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taylorfirman/Desktop/CEO Work/Budget/"/>
    </mc:Choice>
  </mc:AlternateContent>
  <xr:revisionPtr revIDLastSave="0" documentId="8_{8A553931-C54E-BA4F-A143-E7773622D2C0}" xr6:coauthVersionLast="47" xr6:coauthVersionMax="47" xr10:uidLastSave="{00000000-0000-0000-0000-000000000000}"/>
  <bookViews>
    <workbookView xWindow="0" yWindow="760" windowWidth="30240" windowHeight="17820" activeTab="1" xr2:uid="{00000000-000D-0000-FFFF-FFFF00000000}"/>
  </bookViews>
  <sheets>
    <sheet name="GUIDE" sheetId="5" r:id="rId1"/>
    <sheet name="INPUTS" sheetId="4" r:id="rId2"/>
    <sheet name="ENROLLMENT" sheetId="6" r:id="rId3"/>
    <sheet name="STAFFING" sheetId="12" r:id="rId4"/>
    <sheet name="DEBT" sheetId="18" r:id="rId5"/>
    <sheet name="P&amp;L" sheetId="15" r:id="rId6"/>
    <sheet name="Cash" sheetId="9" r:id="rId7"/>
    <sheet name="Balance Sheet" sheetId="26" r:id="rId8"/>
    <sheet name="REPORTS" sheetId="22" r:id="rId9"/>
    <sheet name="DASHBOARD" sheetId="10" r:id="rId10"/>
    <sheet name="Drivers" sheetId="3" r:id="rId11"/>
    <sheet name="Roster" sheetId="24" r:id="rId12"/>
    <sheet name="FY26 LAP Corrections" sheetId="20" r:id="rId13"/>
    <sheet name="FY26 SpEd BEA Rates" sheetId="21" r:id="rId14"/>
  </sheets>
  <externalReferences>
    <externalReference r:id="rId15"/>
    <externalReference r:id="rId16"/>
    <externalReference r:id="rId17"/>
  </externalReferences>
  <definedNames>
    <definedName name="_" hidden="1">#REF!</definedName>
    <definedName name="___________________________________b1" localSheetId="4">{"annual",#N/A,FALSE,"Pro Forma";#N/A,#N/A,FALSE,"Golf Operations"}</definedName>
    <definedName name="___________________________________b1" localSheetId="2">{"annual",#N/A,FALSE,"Pro Forma";#N/A,#N/A,FALSE,"Golf Operations"}</definedName>
    <definedName name="___________________________________b1" localSheetId="1" hidden="1">{"annual",#N/A,FALSE,"Pro Forma";#N/A,#N/A,FALSE,"Golf Operations"}</definedName>
    <definedName name="___________________________________b1" localSheetId="5">{"annual",#N/A,FALSE,"Pro Forma";#N/A,#N/A,FALSE,"Golf Operations"}</definedName>
    <definedName name="___________________________________b1" localSheetId="8">{"annual",#N/A,FALSE,"Pro Forma";#N/A,#N/A,FALSE,"Golf Operations"}</definedName>
    <definedName name="___________________________________b1" localSheetId="3" hidden="1">{"annual",#N/A,FALSE,"Pro Forma";#N/A,#N/A,FALSE,"Golf Operations"}</definedName>
    <definedName name="___________________________________b1">{"annual",#N/A,FALSE,"Pro Forma";#N/A,#N/A,FALSE,"Golf Operations"}</definedName>
    <definedName name="___________________________________cd1" localSheetId="4">{"annual",#N/A,FALSE,"Pro Forma";#N/A,#N/A,FALSE,"Golf Operations"}</definedName>
    <definedName name="___________________________________cd1" localSheetId="2">{"annual",#N/A,FALSE,"Pro Forma";#N/A,#N/A,FALSE,"Golf Operations"}</definedName>
    <definedName name="___________________________________cd1" localSheetId="1" hidden="1">{"annual",#N/A,FALSE,"Pro Forma";#N/A,#N/A,FALSE,"Golf Operations"}</definedName>
    <definedName name="___________________________________cd1" localSheetId="5">{"annual",#N/A,FALSE,"Pro Forma";#N/A,#N/A,FALSE,"Golf Operations"}</definedName>
    <definedName name="___________________________________cd1" localSheetId="8">{"annual",#N/A,FALSE,"Pro Forma";#N/A,#N/A,FALSE,"Golf Operations"}</definedName>
    <definedName name="___________________________________cd1" localSheetId="3" hidden="1">{"annual",#N/A,FALSE,"Pro Forma";#N/A,#N/A,FALSE,"Golf Operations"}</definedName>
    <definedName name="___________________________________cd1">{"annual",#N/A,FALSE,"Pro Forma";#N/A,#N/A,FALSE,"Golf Operations"}</definedName>
    <definedName name="___________________________________gr1" localSheetId="4">{"three",#N/A,FALSE,"Capital";"four",#N/A,FALSE,"Capital"}</definedName>
    <definedName name="___________________________________gr1" localSheetId="2">{"three",#N/A,FALSE,"Capital";"four",#N/A,FALSE,"Capital"}</definedName>
    <definedName name="___________________________________gr1" localSheetId="1" hidden="1">{"three",#N/A,FALSE,"Capital";"four",#N/A,FALSE,"Capital"}</definedName>
    <definedName name="___________________________________gr1" localSheetId="5">{"three",#N/A,FALSE,"Capital";"four",#N/A,FALSE,"Capital"}</definedName>
    <definedName name="___________________________________gr1" localSheetId="8">{"three",#N/A,FALSE,"Capital";"four",#N/A,FALSE,"Capital"}</definedName>
    <definedName name="___________________________________gr1" localSheetId="3" hidden="1">{"three",#N/A,FALSE,"Capital";"four",#N/A,FALSE,"Capital"}</definedName>
    <definedName name="___________________________________gr1">{"three",#N/A,FALSE,"Capital";"four",#N/A,FALSE,"Capital"}</definedName>
    <definedName name="___________________________________wr1" localSheetId="4">{"Output-3Column",#N/A,FALSE,"Output"}</definedName>
    <definedName name="___________________________________wr1" localSheetId="2">{"Output-3Column",#N/A,FALSE,"Output"}</definedName>
    <definedName name="___________________________________wr1" localSheetId="1" hidden="1">{"Output-3Column",#N/A,FALSE,"Output"}</definedName>
    <definedName name="___________________________________wr1" localSheetId="5">{"Output-3Column",#N/A,FALSE,"Output"}</definedName>
    <definedName name="___________________________________wr1" localSheetId="8">{"Output-3Column",#N/A,FALSE,"Output"}</definedName>
    <definedName name="___________________________________wr1" localSheetId="3" hidden="1">{"Output-3Column",#N/A,FALSE,"Output"}</definedName>
    <definedName name="___________________________________wr1">{"Output-3Column",#N/A,FALSE,"Output"}</definedName>
    <definedName name="___________________________________wrn1" localSheetId="4">{"Inflation-BaseYear",#N/A,FALSE,"Inputs"}</definedName>
    <definedName name="___________________________________wrn1" localSheetId="2">{"Inflation-BaseYear",#N/A,FALSE,"Inputs"}</definedName>
    <definedName name="___________________________________wrn1" localSheetId="1" hidden="1">{"Inflation-BaseYear",#N/A,FALSE,"Inputs"}</definedName>
    <definedName name="___________________________________wrn1" localSheetId="5">{"Inflation-BaseYear",#N/A,FALSE,"Inputs"}</definedName>
    <definedName name="___________________________________wrn1" localSheetId="8">{"Inflation-BaseYear",#N/A,FALSE,"Inputs"}</definedName>
    <definedName name="___________________________________wrn1" localSheetId="3" hidden="1">{"Inflation-BaseYear",#N/A,FALSE,"Inputs"}</definedName>
    <definedName name="___________________________________wrn1">{"Inflation-BaseYear",#N/A,FALSE,"Inputs"}</definedName>
    <definedName name="___________________________________wrn4" localSheetId="4">{"data",#N/A,FALSE,"INPUT"}</definedName>
    <definedName name="___________________________________wrn4" localSheetId="2">{"data",#N/A,FALSE,"INPUT"}</definedName>
    <definedName name="___________________________________wrn4" localSheetId="1" hidden="1">{"data",#N/A,FALSE,"INPUT"}</definedName>
    <definedName name="___________________________________wrn4" localSheetId="5">{"data",#N/A,FALSE,"INPUT"}</definedName>
    <definedName name="___________________________________wrn4" localSheetId="8">{"data",#N/A,FALSE,"INPUT"}</definedName>
    <definedName name="___________________________________wrn4" localSheetId="3" hidden="1">{"data",#N/A,FALSE,"INPUT"}</definedName>
    <definedName name="___________________________________wrn4">{"data",#N/A,FALSE,"INPUT"}</definedName>
    <definedName name="_______ACA1">#REF!</definedName>
    <definedName name="_______ACA2">#N/A</definedName>
    <definedName name="_______ADD1">#REF!</definedName>
    <definedName name="_______ADD2">#REF!</definedName>
    <definedName name="_______ADD3">#REF!</definedName>
    <definedName name="_______ADD4">#REF!</definedName>
    <definedName name="_______ADD5">#REF!</definedName>
    <definedName name="_______ADD6">#REF!</definedName>
    <definedName name="_______ADD7">#REF!</definedName>
    <definedName name="_______CPV2">#REF!</definedName>
    <definedName name="_______CPV3">#REF!</definedName>
    <definedName name="_______dec1">#REF!</definedName>
    <definedName name="_______Div10">#REF!</definedName>
    <definedName name="_______Div11">#REF!</definedName>
    <definedName name="_______Div12">#REF!</definedName>
    <definedName name="_______Div13">#REF!</definedName>
    <definedName name="_______Div14">#REF!</definedName>
    <definedName name="_______Div15">#REF!</definedName>
    <definedName name="_______Div16">#REF!</definedName>
    <definedName name="_______Div19">#REF!</definedName>
    <definedName name="_______Div2">#REF!</definedName>
    <definedName name="_______Div3">#REF!</definedName>
    <definedName name="_______Div4">#REF!</definedName>
    <definedName name="_______Div5">#REF!</definedName>
    <definedName name="_______Div6">#REF!</definedName>
    <definedName name="_______Div7">#REF!</definedName>
    <definedName name="_______Div8">#REF!</definedName>
    <definedName name="_______Div9">#REF!</definedName>
    <definedName name="_______fgv1">#REF!</definedName>
    <definedName name="_______fgv2">#REF!</definedName>
    <definedName name="_______fin1">#REF!</definedName>
    <definedName name="_______fin2">#REF!</definedName>
    <definedName name="_______fin3">#REF!</definedName>
    <definedName name="_______FOR1">#REF!</definedName>
    <definedName name="_______FOR2">#REF!</definedName>
    <definedName name="_______LDL1">#REF!</definedName>
    <definedName name="_______LDL2">#REF!</definedName>
    <definedName name="_______pf1">#REF!</definedName>
    <definedName name="_______pf2">#REF!</definedName>
    <definedName name="_______pf3">#REF!</definedName>
    <definedName name="_______PL1">#REF!</definedName>
    <definedName name="_______PL2">#REF!</definedName>
    <definedName name="_______pru2">#REF!</definedName>
    <definedName name="_______pru3">#REF!</definedName>
    <definedName name="_______pru4">#REF!</definedName>
    <definedName name="_______pru5">#REF!</definedName>
    <definedName name="_______ra1">#REF!</definedName>
    <definedName name="_______ra2">#REF!</definedName>
    <definedName name="_______ra3">#REF!</definedName>
    <definedName name="_______set1">#REF!</definedName>
    <definedName name="_______set2">#REF!</definedName>
    <definedName name="_______set3">#REF!</definedName>
    <definedName name="_______ST1">#N/A</definedName>
    <definedName name="_______t1">#REF!</definedName>
    <definedName name="_______twc1">#REF!</definedName>
    <definedName name="_______Yr2002">#REF!</definedName>
    <definedName name="______011211_Gift_FY11_to_date">#REF!</definedName>
    <definedName name="______ACA1">#REF!</definedName>
    <definedName name="______ACA2">#N/A</definedName>
    <definedName name="______ADD1">#REF!</definedName>
    <definedName name="______ADD2">#REF!</definedName>
    <definedName name="______ADD3">#REF!</definedName>
    <definedName name="______ADD4">#REF!</definedName>
    <definedName name="______ADD5">#REF!</definedName>
    <definedName name="______ADD6">#REF!</definedName>
    <definedName name="______ADD7">#REF!</definedName>
    <definedName name="______b1" hidden="1">{"annual",#N/A,FALSE,"Pro Forma";#N/A,#N/A,FALSE,"Golf Operations"}</definedName>
    <definedName name="______cd1" hidden="1">{"annual",#N/A,FALSE,"Pro Forma";#N/A,#N/A,FALSE,"Golf Operations"}</definedName>
    <definedName name="______CPV2">#REF!</definedName>
    <definedName name="______CPV3">#REF!</definedName>
    <definedName name="______dec1">#REF!</definedName>
    <definedName name="______Div10">#REF!</definedName>
    <definedName name="______Div11">#REF!</definedName>
    <definedName name="______Div12">#REF!</definedName>
    <definedName name="______Div13">#REF!</definedName>
    <definedName name="______Div14">#REF!</definedName>
    <definedName name="______Div15">#REF!</definedName>
    <definedName name="______Div16">#REF!</definedName>
    <definedName name="______Div19">#REF!</definedName>
    <definedName name="______Div2">#REF!</definedName>
    <definedName name="______Div3">#REF!</definedName>
    <definedName name="______Div4">#REF!</definedName>
    <definedName name="______Div5">#REF!</definedName>
    <definedName name="______Div6">#REF!</definedName>
    <definedName name="______Div7">#REF!</definedName>
    <definedName name="______Div8">#REF!</definedName>
    <definedName name="______Div9">#REF!</definedName>
    <definedName name="______fgv1">#REF!</definedName>
    <definedName name="______fgv2">#REF!</definedName>
    <definedName name="______fin1">#REF!</definedName>
    <definedName name="______fin2">#REF!</definedName>
    <definedName name="______fin3">#REF!</definedName>
    <definedName name="______FOR1">#REF!</definedName>
    <definedName name="______FOR2">#REF!</definedName>
    <definedName name="______gr1" hidden="1">{"three",#N/A,FALSE,"Capital";"four",#N/A,FALSE,"Capital"}</definedName>
    <definedName name="______LDL1">#REF!</definedName>
    <definedName name="______LDL2">#REF!</definedName>
    <definedName name="______pf1">#REF!</definedName>
    <definedName name="______pf2">#REF!</definedName>
    <definedName name="______pf3">#REF!</definedName>
    <definedName name="______PL1">#REF!</definedName>
    <definedName name="______PL2">#REF!</definedName>
    <definedName name="______pru2">#REF!</definedName>
    <definedName name="______pru3">#REF!</definedName>
    <definedName name="______pru4">#REF!</definedName>
    <definedName name="______pru5">#REF!</definedName>
    <definedName name="______ra1">#REF!</definedName>
    <definedName name="______ra2">#REF!</definedName>
    <definedName name="______ra3">#REF!</definedName>
    <definedName name="______set1">#REF!</definedName>
    <definedName name="______set2">#REF!</definedName>
    <definedName name="______set3">#REF!</definedName>
    <definedName name="______ST1">#N/A</definedName>
    <definedName name="______t1">#REF!</definedName>
    <definedName name="______twc1">#REF!</definedName>
    <definedName name="______wr1" hidden="1">{"Output-3Column",#N/A,FALSE,"Output"}</definedName>
    <definedName name="______wrn1" hidden="1">{"Inflation-BaseYear",#N/A,FALSE,"Inputs"}</definedName>
    <definedName name="______Yr2002">#REF!</definedName>
    <definedName name="_____011211_Gift_FY11_to_date">#REF!</definedName>
    <definedName name="_____ACA1">#REF!</definedName>
    <definedName name="_____ACA2">#N/A</definedName>
    <definedName name="_____ADD1">#REF!</definedName>
    <definedName name="_____ADD2">#REF!</definedName>
    <definedName name="_____ADD3">#REF!</definedName>
    <definedName name="_____ADD4">#REF!</definedName>
    <definedName name="_____ADD5">#REF!</definedName>
    <definedName name="_____ADD6">#REF!</definedName>
    <definedName name="_____ADD7">#REF!</definedName>
    <definedName name="_____CPV2">#REF!</definedName>
    <definedName name="_____Div10">#REF!</definedName>
    <definedName name="_____Div11">#REF!</definedName>
    <definedName name="_____Div12">#REF!</definedName>
    <definedName name="_____Div13">#REF!</definedName>
    <definedName name="_____Div14">#REF!</definedName>
    <definedName name="_____Div15">#REF!</definedName>
    <definedName name="_____Div16">#REF!</definedName>
    <definedName name="_____Div19">#REF!</definedName>
    <definedName name="_____Div2">#REF!</definedName>
    <definedName name="_____Div3">#REF!</definedName>
    <definedName name="_____Div4">#REF!</definedName>
    <definedName name="_____Div5">#REF!</definedName>
    <definedName name="_____Div6">#REF!</definedName>
    <definedName name="_____Div7">#REF!</definedName>
    <definedName name="_____Div8">#REF!</definedName>
    <definedName name="_____Div9">#REF!</definedName>
    <definedName name="_____fgv1">#REF!</definedName>
    <definedName name="_____fgv2">#REF!</definedName>
    <definedName name="_____fin1">#REF!</definedName>
    <definedName name="_____fin2">#REF!</definedName>
    <definedName name="_____fin3">#REF!</definedName>
    <definedName name="_____FOR1">#REF!</definedName>
    <definedName name="_____FOR2">#REF!</definedName>
    <definedName name="_____LDL1">#REF!</definedName>
    <definedName name="_____LDL2">#REF!</definedName>
    <definedName name="_____PL1">#REF!</definedName>
    <definedName name="_____PL2">#REF!</definedName>
    <definedName name="_____pru2">#REF!</definedName>
    <definedName name="_____pru3">#REF!</definedName>
    <definedName name="_____pru4">#REF!</definedName>
    <definedName name="_____pru5">#REF!</definedName>
    <definedName name="_____set1">#REF!</definedName>
    <definedName name="_____set2">#REF!</definedName>
    <definedName name="_____set3">#REF!</definedName>
    <definedName name="_____ST1">#N/A</definedName>
    <definedName name="_____Yr2002">#REF!</definedName>
    <definedName name="____011211_Gift_FY11_to_date">#REF!</definedName>
    <definedName name="____ACA1">#REF!</definedName>
    <definedName name="____ACA2">#N/A</definedName>
    <definedName name="____ADD1">#REF!</definedName>
    <definedName name="____ADD2">#REF!</definedName>
    <definedName name="____ADD3">#REF!</definedName>
    <definedName name="____ADD4">#REF!</definedName>
    <definedName name="____ADD5">#REF!</definedName>
    <definedName name="____ADD6">#REF!</definedName>
    <definedName name="____ADD7">#REF!</definedName>
    <definedName name="____CPV2">#REF!</definedName>
    <definedName name="____CPV3">#REF!</definedName>
    <definedName name="____dec1">#REF!</definedName>
    <definedName name="____Div10">#REF!</definedName>
    <definedName name="____Div11">#REF!</definedName>
    <definedName name="____Div12">#REF!</definedName>
    <definedName name="____Div13">#REF!</definedName>
    <definedName name="____Div14">#REF!</definedName>
    <definedName name="____Div15">#REF!</definedName>
    <definedName name="____Div16">#REF!</definedName>
    <definedName name="____Div19">#REF!</definedName>
    <definedName name="____Div2">#REF!</definedName>
    <definedName name="____Div3">#REF!</definedName>
    <definedName name="____Div4">#REF!</definedName>
    <definedName name="____Div5">#REF!</definedName>
    <definedName name="____Div6">#REF!</definedName>
    <definedName name="____Div7">#REF!</definedName>
    <definedName name="____Div8">#REF!</definedName>
    <definedName name="____Div9">#REF!</definedName>
    <definedName name="____fgv1">#REF!</definedName>
    <definedName name="____fgv2">#REF!</definedName>
    <definedName name="____fin1">#REF!</definedName>
    <definedName name="____fin2">#REF!</definedName>
    <definedName name="____fin3">#REF!</definedName>
    <definedName name="____FOR1">#REF!</definedName>
    <definedName name="____FOR2">#REF!</definedName>
    <definedName name="____grp1">#REF!</definedName>
    <definedName name="____LDL1">#REF!</definedName>
    <definedName name="____LDL2">#REF!</definedName>
    <definedName name="____pf1">#REF!</definedName>
    <definedName name="____pf2">#REF!</definedName>
    <definedName name="____pf3">#REF!</definedName>
    <definedName name="____PL1">#REF!</definedName>
    <definedName name="____PL2">#REF!</definedName>
    <definedName name="____ra1">#REF!</definedName>
    <definedName name="____ra2">#REF!</definedName>
    <definedName name="____ra3">#REF!</definedName>
    <definedName name="____set1">#REF!</definedName>
    <definedName name="____set2">#REF!</definedName>
    <definedName name="____set3">#REF!</definedName>
    <definedName name="____ST1">#N/A</definedName>
    <definedName name="____t1">#REF!</definedName>
    <definedName name="____twc1">#REF!</definedName>
    <definedName name="___011211_Gift_FY11_to_date">#REF!</definedName>
    <definedName name="___120710_Gift_FY11_to_date">#REF!</definedName>
    <definedName name="___ACA1">#REF!</definedName>
    <definedName name="___ACA2">#N/A</definedName>
    <definedName name="___ADD1">#REF!</definedName>
    <definedName name="___ADD2">#REF!</definedName>
    <definedName name="___ADD3">#REF!</definedName>
    <definedName name="___ADD4">#REF!</definedName>
    <definedName name="___ADD5">#REF!</definedName>
    <definedName name="___ADD6">#REF!</definedName>
    <definedName name="___ADD7">#REF!</definedName>
    <definedName name="___ADS1">#REF!</definedName>
    <definedName name="___aic2">#REF!</definedName>
    <definedName name="___arb2">#REF!</definedName>
    <definedName name="___b1" localSheetId="4">{"annual",#N/A,FALSE,"Pro Forma";#N/A,#N/A,FALSE,"Golf Operations"}</definedName>
    <definedName name="___b1" localSheetId="2">{"annual",#N/A,FALSE,"Pro Forma";#N/A,#N/A,FALSE,"Golf Operations"}</definedName>
    <definedName name="___b1" localSheetId="1" hidden="1">{"annual",#N/A,FALSE,"Pro Forma";#N/A,#N/A,FALSE,"Golf Operations"}</definedName>
    <definedName name="___b1" localSheetId="5">{"annual",#N/A,FALSE,"Pro Forma";#N/A,#N/A,FALSE,"Golf Operations"}</definedName>
    <definedName name="___b1" localSheetId="8">{"annual",#N/A,FALSE,"Pro Forma";#N/A,#N/A,FALSE,"Golf Operations"}</definedName>
    <definedName name="___b1" localSheetId="3" hidden="1">{"annual",#N/A,FALSE,"Pro Forma";#N/A,#N/A,FALSE,"Golf Operations"}</definedName>
    <definedName name="___b1">{"annual",#N/A,FALSE,"Pro Forma";#N/A,#N/A,FALSE,"Golf Operations"}</definedName>
    <definedName name="___cd1" localSheetId="4">{"annual",#N/A,FALSE,"Pro Forma";#N/A,#N/A,FALSE,"Golf Operations"}</definedName>
    <definedName name="___cd1" localSheetId="2">{"annual",#N/A,FALSE,"Pro Forma";#N/A,#N/A,FALSE,"Golf Operations"}</definedName>
    <definedName name="___cd1" localSheetId="1" hidden="1">{"annual",#N/A,FALSE,"Pro Forma";#N/A,#N/A,FALSE,"Golf Operations"}</definedName>
    <definedName name="___cd1" localSheetId="5">{"annual",#N/A,FALSE,"Pro Forma";#N/A,#N/A,FALSE,"Golf Operations"}</definedName>
    <definedName name="___cd1" localSheetId="8">{"annual",#N/A,FALSE,"Pro Forma";#N/A,#N/A,FALSE,"Golf Operations"}</definedName>
    <definedName name="___cd1" localSheetId="3" hidden="1">{"annual",#N/A,FALSE,"Pro Forma";#N/A,#N/A,FALSE,"Golf Operations"}</definedName>
    <definedName name="___cd1">{"annual",#N/A,FALSE,"Pro Forma";#N/A,#N/A,FALSE,"Golf Operations"}</definedName>
    <definedName name="___CPV2">#REF!</definedName>
    <definedName name="___del2">#REF!</definedName>
    <definedName name="___Div10">#REF!</definedName>
    <definedName name="___Div11">#REF!</definedName>
    <definedName name="___Div12">#REF!</definedName>
    <definedName name="___Div13">#REF!</definedName>
    <definedName name="___Div14">#REF!</definedName>
    <definedName name="___Div15">#REF!</definedName>
    <definedName name="___Div16">#REF!</definedName>
    <definedName name="___Div19">#REF!</definedName>
    <definedName name="___Div2">#REF!</definedName>
    <definedName name="___Div3">#REF!</definedName>
    <definedName name="___Div4">#REF!</definedName>
    <definedName name="___Div5">#REF!</definedName>
    <definedName name="___Div6">#REF!</definedName>
    <definedName name="___Div7">#REF!</definedName>
    <definedName name="___Div8">#REF!</definedName>
    <definedName name="___Div9">#REF!</definedName>
    <definedName name="___EGF2">#N/A</definedName>
    <definedName name="___EGF3">#N/A</definedName>
    <definedName name="___EGF4">#N/A</definedName>
    <definedName name="___EGF5">#N/A</definedName>
    <definedName name="___fgv1">#REF!</definedName>
    <definedName name="___fgv2">#REF!</definedName>
    <definedName name="___fid2">#REF!</definedName>
    <definedName name="___fin1">#REF!</definedName>
    <definedName name="___fin2">#REF!</definedName>
    <definedName name="___fin3">#REF!</definedName>
    <definedName name="___fmd2">#REF!</definedName>
    <definedName name="___FOR1">#REF!</definedName>
    <definedName name="___FOR2">#REF!</definedName>
    <definedName name="___gr1" localSheetId="4">{"three",#N/A,FALSE,"Capital";"four",#N/A,FALSE,"Capital"}</definedName>
    <definedName name="___gr1" localSheetId="2">{"three",#N/A,FALSE,"Capital";"four",#N/A,FALSE,"Capital"}</definedName>
    <definedName name="___gr1" localSheetId="1" hidden="1">{"three",#N/A,FALSE,"Capital";"four",#N/A,FALSE,"Capital"}</definedName>
    <definedName name="___gr1" localSheetId="5">{"three",#N/A,FALSE,"Capital";"four",#N/A,FALSE,"Capital"}</definedName>
    <definedName name="___gr1" localSheetId="8">{"three",#N/A,FALSE,"Capital";"four",#N/A,FALSE,"Capital"}</definedName>
    <definedName name="___gr1" localSheetId="3" hidden="1">{"three",#N/A,FALSE,"Capital";"four",#N/A,FALSE,"Capital"}</definedName>
    <definedName name="___gr1">{"three",#N/A,FALSE,"Capital";"four",#N/A,FALSE,"Capital"}</definedName>
    <definedName name="___grp1">#REF!</definedName>
    <definedName name="___INT1">#REF!</definedName>
    <definedName name="___INT2">#REF!</definedName>
    <definedName name="___LDL1">#REF!</definedName>
    <definedName name="___LDL2">#REF!</definedName>
    <definedName name="___lmd2">#REF!</definedName>
    <definedName name="___nic2">#REF!</definedName>
    <definedName name="___oid2">#REF!</definedName>
    <definedName name="___par2">#REF!</definedName>
    <definedName name="___PJB1">#REF!</definedName>
    <definedName name="___PJB2">#REF!</definedName>
    <definedName name="___PL1">#REF!</definedName>
    <definedName name="___PL2">#REF!</definedName>
    <definedName name="___set1">#REF!</definedName>
    <definedName name="___set2">#REF!</definedName>
    <definedName name="___set3">#REF!</definedName>
    <definedName name="___SRS1">#REF!</definedName>
    <definedName name="___SRS2">#REF!</definedName>
    <definedName name="___ST1">#N/A</definedName>
    <definedName name="___wr1" localSheetId="4">{"Output-3Column",#N/A,FALSE,"Output"}</definedName>
    <definedName name="___wr1" localSheetId="2">{"Output-3Column",#N/A,FALSE,"Output"}</definedName>
    <definedName name="___wr1" localSheetId="1" hidden="1">{"Output-3Column",#N/A,FALSE,"Output"}</definedName>
    <definedName name="___wr1" localSheetId="5">{"Output-3Column",#N/A,FALSE,"Output"}</definedName>
    <definedName name="___wr1" localSheetId="8">{"Output-3Column",#N/A,FALSE,"Output"}</definedName>
    <definedName name="___wr1" localSheetId="3" hidden="1">{"Output-3Column",#N/A,FALSE,"Output"}</definedName>
    <definedName name="___wr1">{"Output-3Column",#N/A,FALSE,"Output"}</definedName>
    <definedName name="___wrn1" localSheetId="4">{"Inflation-BaseYear",#N/A,FALSE,"Inputs"}</definedName>
    <definedName name="___wrn1" localSheetId="2">{"Inflation-BaseYear",#N/A,FALSE,"Inputs"}</definedName>
    <definedName name="___wrn1" localSheetId="1" hidden="1">{"Inflation-BaseYear",#N/A,FALSE,"Inputs"}</definedName>
    <definedName name="___wrn1" localSheetId="5">{"Inflation-BaseYear",#N/A,FALSE,"Inputs"}</definedName>
    <definedName name="___wrn1" localSheetId="8">{"Inflation-BaseYear",#N/A,FALSE,"Inputs"}</definedName>
    <definedName name="___wrn1" localSheetId="3" hidden="1">{"Inflation-BaseYear",#N/A,FALSE,"Inputs"}</definedName>
    <definedName name="___wrn1">{"Inflation-BaseYear",#N/A,FALSE,"Inputs"}</definedName>
    <definedName name="___wrn4" localSheetId="4">{"data",#N/A,FALSE,"INPUT"}</definedName>
    <definedName name="___wrn4" localSheetId="2">{"data",#N/A,FALSE,"INPUT"}</definedName>
    <definedName name="___wrn4" localSheetId="1" hidden="1">{"data",#N/A,FALSE,"INPUT"}</definedName>
    <definedName name="___wrn4" localSheetId="5">{"data",#N/A,FALSE,"INPUT"}</definedName>
    <definedName name="___wrn4" localSheetId="8">{"data",#N/A,FALSE,"INPUT"}</definedName>
    <definedName name="___wrn4" localSheetId="3" hidden="1">{"data",#N/A,FALSE,"INPUT"}</definedName>
    <definedName name="___wrn4">{"data",#N/A,FALSE,"INPUT"}</definedName>
    <definedName name="__011211_Gift_FY11_to_date">#REF!</definedName>
    <definedName name="__020811_FY11_Gifts_to_date">#REF!</definedName>
    <definedName name="__1_0REPLA">#REF!</definedName>
    <definedName name="__120710_Gift_FY11_to_date">#REF!</definedName>
    <definedName name="__120710_GIFTS_Capital">#REF!</definedName>
    <definedName name="__120813_FY13_gifts_to_date">#REF!</definedName>
    <definedName name="__123Graph_A">#REF!</definedName>
    <definedName name="__123Graph_AGRAPH1" hidden="1">#REF!</definedName>
    <definedName name="__123Graph_B">#REF!</definedName>
    <definedName name="__123Graph_D" hidden="1">#REF!</definedName>
    <definedName name="__123Graph_LBL_A" hidden="1">#REF!</definedName>
    <definedName name="__123Graph_LBL_AMETPLX" hidden="1">#REF!</definedName>
    <definedName name="__123Graph_LBL_ANDALLAS" hidden="1">#REF!</definedName>
    <definedName name="__123Graph_LBL_B" hidden="1">#REF!</definedName>
    <definedName name="__123Graph_LBL_BMETPLX" hidden="1">#REF!</definedName>
    <definedName name="__123Graph_LBL_BNDALLAS" hidden="1">#REF!</definedName>
    <definedName name="__123Graph_LBL_C" hidden="1">#REF!</definedName>
    <definedName name="__123Graph_LBL_CMETPLX" hidden="1">#REF!</definedName>
    <definedName name="__123Graph_LBL_CNDALLAS" hidden="1">#REF!</definedName>
    <definedName name="__123Graph_X">#REF!</definedName>
    <definedName name="__123Graph_XGRAPH1" hidden="1">#REF!</definedName>
    <definedName name="__1Excel_BuiltIn_Print_Titles_8_1">#REF!</definedName>
    <definedName name="__2_0TAB">#REF!</definedName>
    <definedName name="__3_0_0_S" hidden="1">#REF!</definedName>
    <definedName name="__3_0TAB">#REF!</definedName>
    <definedName name="__4_0TAB">#REF!</definedName>
    <definedName name="__ACA1">#REF!</definedName>
    <definedName name="__ACA2">#N/A</definedName>
    <definedName name="__ada2">#REF!</definedName>
    <definedName name="__ada3">#REF!</definedName>
    <definedName name="__ADD1">#REF!</definedName>
    <definedName name="__ADD2">#REF!</definedName>
    <definedName name="__ADD3">#REF!</definedName>
    <definedName name="__ADD4">#REF!</definedName>
    <definedName name="__ADD5">#REF!</definedName>
    <definedName name="__ADD6">#REF!</definedName>
    <definedName name="__ADD7">#REF!</definedName>
    <definedName name="__ADS1">#REF!</definedName>
    <definedName name="__aic2">#REF!</definedName>
    <definedName name="__aic3">#REF!</definedName>
    <definedName name="__arb2">#REF!</definedName>
    <definedName name="__arb3">#REF!</definedName>
    <definedName name="__b1" localSheetId="4">{"annual",#N/A,FALSE,"Pro Forma";#N/A,#N/A,FALSE,"Golf Operations"}</definedName>
    <definedName name="__b1" localSheetId="2">{"annual",#N/A,FALSE,"Pro Forma";#N/A,#N/A,FALSE,"Golf Operations"}</definedName>
    <definedName name="__b1" localSheetId="1" hidden="1">{"annual",#N/A,FALSE,"Pro Forma";#N/A,#N/A,FALSE,"Golf Operations"}</definedName>
    <definedName name="__b1" localSheetId="5">{"annual",#N/A,FALSE,"Pro Forma";#N/A,#N/A,FALSE,"Golf Operations"}</definedName>
    <definedName name="__b1" localSheetId="8">{"annual",#N/A,FALSE,"Pro Forma";#N/A,#N/A,FALSE,"Golf Operations"}</definedName>
    <definedName name="__b1" localSheetId="3" hidden="1">{"annual",#N/A,FALSE,"Pro Forma";#N/A,#N/A,FALSE,"Golf Operations"}</definedName>
    <definedName name="__b1">{"annual",#N/A,FALSE,"Pro Forma";#N/A,#N/A,FALSE,"Golf Operations"}</definedName>
    <definedName name="__bga2">#REF!</definedName>
    <definedName name="__bga3">#REF!</definedName>
    <definedName name="__bookmark_1">#REF!</definedName>
    <definedName name="__cd1" localSheetId="4">{"annual",#N/A,FALSE,"Pro Forma";#N/A,#N/A,FALSE,"Golf Operations"}</definedName>
    <definedName name="__cd1" localSheetId="2">{"annual",#N/A,FALSE,"Pro Forma";#N/A,#N/A,FALSE,"Golf Operations"}</definedName>
    <definedName name="__cd1" localSheetId="1" hidden="1">{"annual",#N/A,FALSE,"Pro Forma";#N/A,#N/A,FALSE,"Golf Operations"}</definedName>
    <definedName name="__cd1" localSheetId="5">{"annual",#N/A,FALSE,"Pro Forma";#N/A,#N/A,FALSE,"Golf Operations"}</definedName>
    <definedName name="__cd1" localSheetId="8">{"annual",#N/A,FALSE,"Pro Forma";#N/A,#N/A,FALSE,"Golf Operations"}</definedName>
    <definedName name="__cd1" localSheetId="3" hidden="1">{"annual",#N/A,FALSE,"Pro Forma";#N/A,#N/A,FALSE,"Golf Operations"}</definedName>
    <definedName name="__cd1">{"annual",#N/A,FALSE,"Pro Forma";#N/A,#N/A,FALSE,"Golf Operations"}</definedName>
    <definedName name="__CFL1">#N/A</definedName>
    <definedName name="__CPV2">#REF!</definedName>
    <definedName name="__csr2">#REF!</definedName>
    <definedName name="__csr3">#REF!</definedName>
    <definedName name="__csr4">#REF!</definedName>
    <definedName name="__del2">#REF!</definedName>
    <definedName name="__Description">#REF!</definedName>
    <definedName name="__Div10">#REF!</definedName>
    <definedName name="__Div11">#REF!</definedName>
    <definedName name="__Div12">#REF!</definedName>
    <definedName name="__Div13">#REF!</definedName>
    <definedName name="__Div14">#REF!</definedName>
    <definedName name="__Div15">#REF!</definedName>
    <definedName name="__Div16">#REF!</definedName>
    <definedName name="__Div19">#REF!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EGF2">#N/A</definedName>
    <definedName name="__EGF3">#N/A</definedName>
    <definedName name="__EGF4">#N/A</definedName>
    <definedName name="__EGF5">#N/A</definedName>
    <definedName name="__FDS_HYPERLINK_TOGGLE_STATE__" hidden="1">"ON"</definedName>
    <definedName name="__fgv1">#REF!</definedName>
    <definedName name="__fgv2">#REF!</definedName>
    <definedName name="__fid2">#REF!</definedName>
    <definedName name="__fin1">#REF!</definedName>
    <definedName name="__fin2">#REF!</definedName>
    <definedName name="__fin3">#REF!</definedName>
    <definedName name="__fmd2">#REF!</definedName>
    <definedName name="__FOR1">#REF!</definedName>
    <definedName name="__FOR2">#REF!</definedName>
    <definedName name="__gr1" localSheetId="4">{"three",#N/A,FALSE,"Capital";"four",#N/A,FALSE,"Capital"}</definedName>
    <definedName name="__gr1" localSheetId="2">{"three",#N/A,FALSE,"Capital";"four",#N/A,FALSE,"Capital"}</definedName>
    <definedName name="__gr1" localSheetId="1" hidden="1">{"three",#N/A,FALSE,"Capital";"four",#N/A,FALSE,"Capital"}</definedName>
    <definedName name="__gr1" localSheetId="5">{"three",#N/A,FALSE,"Capital";"four",#N/A,FALSE,"Capital"}</definedName>
    <definedName name="__gr1" localSheetId="8">{"three",#N/A,FALSE,"Capital";"four",#N/A,FALSE,"Capital"}</definedName>
    <definedName name="__gr1" localSheetId="3" hidden="1">{"three",#N/A,FALSE,"Capital";"four",#N/A,FALSE,"Capital"}</definedName>
    <definedName name="__gr1">{"three",#N/A,FALSE,"Capital";"four",#N/A,FALSE,"Capital"}</definedName>
    <definedName name="__Group">#REF!</definedName>
    <definedName name="__grp1">#REF!</definedName>
    <definedName name="__INT1">#REF!</definedName>
    <definedName name="__INT2">#REF!</definedName>
    <definedName name="__IntlFixup">TRUE</definedName>
    <definedName name="__LDL1">#REF!</definedName>
    <definedName name="__LDL2">#REF!</definedName>
    <definedName name="__lmd2">#REF!</definedName>
    <definedName name="__LongDescrip">#REF!</definedName>
    <definedName name="__nic2">#REF!</definedName>
    <definedName name="__nic3">#REF!</definedName>
    <definedName name="__oid2">#REF!</definedName>
    <definedName name="__par2">#REF!</definedName>
    <definedName name="__PJB1">#REF!</definedName>
    <definedName name="__PJB2">#REF!</definedName>
    <definedName name="__PL1">#REF!</definedName>
    <definedName name="__PL2">#REF!</definedName>
    <definedName name="__Print_Area">#REF!</definedName>
    <definedName name="__Rev">#REF!</definedName>
    <definedName name="__RUP1">#N/A</definedName>
    <definedName name="__set1">#REF!</definedName>
    <definedName name="__set2">#REF!</definedName>
    <definedName name="__set3">#REF!</definedName>
    <definedName name="__SRS1">#REF!</definedName>
    <definedName name="__SRS2">#REF!</definedName>
    <definedName name="__ST1">#N/A</definedName>
    <definedName name="__tbl1">#REF!</definedName>
    <definedName name="__Type">#REF!</definedName>
    <definedName name="__wr1" localSheetId="4">{"Output-3Column",#N/A,FALSE,"Output"}</definedName>
    <definedName name="__wr1" localSheetId="2">{"Output-3Column",#N/A,FALSE,"Output"}</definedName>
    <definedName name="__wr1" localSheetId="1" hidden="1">{"Output-3Column",#N/A,FALSE,"Output"}</definedName>
    <definedName name="__wr1" localSheetId="5">{"Output-3Column",#N/A,FALSE,"Output"}</definedName>
    <definedName name="__wr1" localSheetId="8">{"Output-3Column",#N/A,FALSE,"Output"}</definedName>
    <definedName name="__wr1" localSheetId="3" hidden="1">{"Output-3Column",#N/A,FALSE,"Output"}</definedName>
    <definedName name="__wr1">{"Output-3Column",#N/A,FALSE,"Output"}</definedName>
    <definedName name="__wrn1" localSheetId="4">{"Inflation-BaseYear",#N/A,FALSE,"Inputs"}</definedName>
    <definedName name="__wrn1" localSheetId="2">{"Inflation-BaseYear",#N/A,FALSE,"Inputs"}</definedName>
    <definedName name="__wrn1" localSheetId="1" hidden="1">{"Inflation-BaseYear",#N/A,FALSE,"Inputs"}</definedName>
    <definedName name="__wrn1" localSheetId="5">{"Inflation-BaseYear",#N/A,FALSE,"Inputs"}</definedName>
    <definedName name="__wrn1" localSheetId="8">{"Inflation-BaseYear",#N/A,FALSE,"Inputs"}</definedName>
    <definedName name="__wrn1" localSheetId="3" hidden="1">{"Inflation-BaseYear",#N/A,FALSE,"Inputs"}</definedName>
    <definedName name="__wrn1">{"Inflation-BaseYear",#N/A,FALSE,"Inputs"}</definedName>
    <definedName name="__wrn4" localSheetId="4">{"data",#N/A,FALSE,"INPUT"}</definedName>
    <definedName name="__wrn4" localSheetId="2">{"data",#N/A,FALSE,"INPUT"}</definedName>
    <definedName name="__wrn4" localSheetId="1" hidden="1">{"data",#N/A,FALSE,"INPUT"}</definedName>
    <definedName name="__wrn4" localSheetId="5">{"data",#N/A,FALSE,"INPUT"}</definedName>
    <definedName name="__wrn4" localSheetId="8">{"data",#N/A,FALSE,"INPUT"}</definedName>
    <definedName name="__wrn4" localSheetId="3" hidden="1">{"data",#N/A,FALSE,"INPUT"}</definedName>
    <definedName name="__wrn4">{"data",#N/A,FALSE,"INPUT"}</definedName>
    <definedName name="_011211_Gift_FY11_to_date">#REF!</definedName>
    <definedName name="_020811_FY11_Gifts_to_date">#REF!</definedName>
    <definedName name="_02200">#N/A</definedName>
    <definedName name="_02500">#N/A</definedName>
    <definedName name="_02500A">#N/A</definedName>
    <definedName name="_03303">#N/A</definedName>
    <definedName name="_040611_FY11_gifts_to_date">#REF!</definedName>
    <definedName name="_04202">#N/A</definedName>
    <definedName name="_04460A">#N/A</definedName>
    <definedName name="_04460B">#N/A</definedName>
    <definedName name="_04465A">#N/A</definedName>
    <definedName name="_04465B">#N/A</definedName>
    <definedName name="_050511_FY11_Gifts_to_date">#REF!</definedName>
    <definedName name="_05100">#N/A</definedName>
    <definedName name="_060611_FY11_gifts_to_date">#REF!</definedName>
    <definedName name="_060811_FY11_gifts_to_date">#REF!</definedName>
    <definedName name="_06200">#N/A</definedName>
    <definedName name="_063011_FY11_gifts_tod_ate">#REF!</definedName>
    <definedName name="_070511_FY12_Gifts_to_date">#REF!</definedName>
    <definedName name="_082311_Future_commitments">#REF!</definedName>
    <definedName name="_082611_FY12_gifts_to_date">#REF!</definedName>
    <definedName name="_1">#REF!</definedName>
    <definedName name="_1_0_0_S" hidden="1">#REF!</definedName>
    <definedName name="_1_0g">#REF!</definedName>
    <definedName name="_1_120310_GIFT_FY11_YTD">#REF!</definedName>
    <definedName name="_1_2004_2005_AFR_4_Ad_Valorem_Taxes">#REF!</definedName>
    <definedName name="_1_2005_06_RE_CERTIFICATIO">#REF!</definedName>
    <definedName name="_1.0.1">#REF!</definedName>
    <definedName name="_1.0.2">#REF!</definedName>
    <definedName name="_1.0.4">#REF!</definedName>
    <definedName name="_1.0.6">#REF!</definedName>
    <definedName name="_1.0.7">#REF!</definedName>
    <definedName name="_1.0.8">#REF!</definedName>
    <definedName name="_1.10">#REF!</definedName>
    <definedName name="_1.1A1">#REF!</definedName>
    <definedName name="_1.1A2">#REF!</definedName>
    <definedName name="_1.1A3">#REF!</definedName>
    <definedName name="_1.1A4">#REF!</definedName>
    <definedName name="_1.1B">#REF!</definedName>
    <definedName name="_1.2">#REF!</definedName>
    <definedName name="_1.3">#REF!</definedName>
    <definedName name="_1.4">#REF!</definedName>
    <definedName name="_1.5">#REF!</definedName>
    <definedName name="_1.6">#REF!</definedName>
    <definedName name="_1.7">#REF!</definedName>
    <definedName name="_1.7.1">#REF!</definedName>
    <definedName name="_1.7.2">#REF!</definedName>
    <definedName name="_1.7.3">#REF!</definedName>
    <definedName name="_1.7.4">#REF!</definedName>
    <definedName name="_1.8">#REF!</definedName>
    <definedName name="_1.8.1">#REF!</definedName>
    <definedName name="_1.8.2">#REF!</definedName>
    <definedName name="_1.9">#REF!</definedName>
    <definedName name="_1.BCB">#REF!</definedName>
    <definedName name="_1.CB">#REF!</definedName>
    <definedName name="_1.S1">#REF!</definedName>
    <definedName name="_1.S2">#REF!</definedName>
    <definedName name="_1.TPF">#REF!</definedName>
    <definedName name="_10_Months">#REF!</definedName>
    <definedName name="_102711_future_commitments">#REF!</definedName>
    <definedName name="_102711_FY12_gifts_to_date">#REF!</definedName>
    <definedName name="_11_Months">#REF!</definedName>
    <definedName name="_1100">#REF!</definedName>
    <definedName name="_1110">#REF!</definedName>
    <definedName name="_12_31_06">"SaleMonth"</definedName>
    <definedName name="_1200">#REF!</definedName>
    <definedName name="_120105_FY12_gifts_to_date">#REF!</definedName>
    <definedName name="_120310_GIFTS_2009_2010_Capital_Campaign_v2">#REF!</definedName>
    <definedName name="_120330_FY12_gifts_to_date">#REF!</definedName>
    <definedName name="_120511_FY12_gifts_to_date">#REF!</definedName>
    <definedName name="_120531_FY12_gifts_to_date">#REF!</definedName>
    <definedName name="_120610_GIFTS_2009_2010_Capital_Campaign">#REF!</definedName>
    <definedName name="_120710_Gift_FY11_to_date">#REF!</definedName>
    <definedName name="_120710_GIFTS_Capital">#REF!</definedName>
    <definedName name="_120725_FY12_gifts_to_date">#REF!</definedName>
    <definedName name="_120813_FY12_gifts_to_date">#REF!</definedName>
    <definedName name="_120813_FY13_gifts_to_date">#REF!</definedName>
    <definedName name="_120910_FY13_gifts_to_date">#REF!</definedName>
    <definedName name="_120910_Restricted_operating_funds">#REF!</definedName>
    <definedName name="_1210">#REF!</definedName>
    <definedName name="_121011_FY13_gifts_to_date">#REF!</definedName>
    <definedName name="_121203_FY13_gifts_to_date">#REF!</definedName>
    <definedName name="_1240">#REF!</definedName>
    <definedName name="_13010">#REF!</definedName>
    <definedName name="_1320">#REF!</definedName>
    <definedName name="_1350">#REF!</definedName>
    <definedName name="_1350V2">#REF!</definedName>
    <definedName name="_1360">#REF!</definedName>
    <definedName name="_1380">#REF!</definedName>
    <definedName name="_1400">#REF!</definedName>
    <definedName name="_1410">#REF!</definedName>
    <definedName name="_14137">#REF!</definedName>
    <definedName name="_1500">#REF!</definedName>
    <definedName name="_1510">#REF!</definedName>
    <definedName name="_16200">#N/A</definedName>
    <definedName name="_1650">#REF!</definedName>
    <definedName name="_16600">#N/A</definedName>
    <definedName name="_17_18_Public_Imm_Counts_by_District_w_removals">#REF!</definedName>
    <definedName name="_17000">#REF!</definedName>
    <definedName name="_17100">#N/A</definedName>
    <definedName name="_1718_EL_Counts___district_level">#REF!</definedName>
    <definedName name="_1718_EL_counts_from_Brady_eligibles_only">#REF!</definedName>
    <definedName name="_1800">#REF!</definedName>
    <definedName name="_1810">#REF!</definedName>
    <definedName name="_1819_EL_Data___LEA_Level">#REF!</definedName>
    <definedName name="_19000">#N/A</definedName>
    <definedName name="_1925">#REF!</definedName>
    <definedName name="_1926">#REF!</definedName>
    <definedName name="_1Excel_BuiltIn_Print_Titles_8_1">#REF!</definedName>
    <definedName name="_2_0_0_S" hidden="1">#REF!</definedName>
    <definedName name="_2_0g">#REF!</definedName>
    <definedName name="_2.__ESE_Guaranteed_Allocation">#REF!</definedName>
    <definedName name="_2.1A4T">#REF!</definedName>
    <definedName name="_2000_01_District_Cost_Differential">#REF!</definedName>
    <definedName name="_2001">#REF!</definedName>
    <definedName name="_2002">#REF!</definedName>
    <definedName name="_2003">#REF!</definedName>
    <definedName name="_2004">#REF!</definedName>
    <definedName name="_2005">#REF!</definedName>
    <definedName name="_2006">#REF!</definedName>
    <definedName name="_2007">#REF!</definedName>
    <definedName name="_2008">#REF!</definedName>
    <definedName name="_2009">#REF!</definedName>
    <definedName name="_2010_API">#REF!</definedName>
    <definedName name="_2011">#REF!</definedName>
    <definedName name="_2110">#REF!</definedName>
    <definedName name="_2125">#REF!</definedName>
    <definedName name="_2133">#REF!</definedName>
    <definedName name="_2134">#REF!</definedName>
    <definedName name="_21X50">#REF!</definedName>
    <definedName name="_21X55">#REF!</definedName>
    <definedName name="_2220">#REF!</definedName>
    <definedName name="_2240">#REF!</definedName>
    <definedName name="_2250">#REF!</definedName>
    <definedName name="_2310">#REF!</definedName>
    <definedName name="_2311">#REF!</definedName>
    <definedName name="_2360">#REF!</definedName>
    <definedName name="_2370">#REF!</definedName>
    <definedName name="_2410">#REF!</definedName>
    <definedName name="_2430">#REF!</definedName>
    <definedName name="_25">#REF!</definedName>
    <definedName name="_2510">#REF!</definedName>
    <definedName name="_2550">#REF!</definedName>
    <definedName name="_2620">#REF!</definedName>
    <definedName name="_27X84">#REF!</definedName>
    <definedName name="_27X94">#REF!</definedName>
    <definedName name="_2900">#REF!</definedName>
    <definedName name="_3_0_0_S" hidden="1">#REF!</definedName>
    <definedName name="_3.__Supplemental_Academic_Instruction">#REF!</definedName>
    <definedName name="_3.3A">#REF!</definedName>
    <definedName name="_3.3A1">#REF!</definedName>
    <definedName name="_3.3A1.1">#REF!</definedName>
    <definedName name="_3.3A2">#REF!</definedName>
    <definedName name="_3.3A3">#REF!</definedName>
    <definedName name="_3.3A4">#REF!</definedName>
    <definedName name="_3.3B">#REF!</definedName>
    <definedName name="_3.3B1">#REF!</definedName>
    <definedName name="_3.3C">#REF!</definedName>
    <definedName name="_3.3C1">#REF!</definedName>
    <definedName name="_3.3C2">#REF!</definedName>
    <definedName name="_3.3C3">#REF!</definedName>
    <definedName name="_3.3D">#REF!</definedName>
    <definedName name="_3.3E">#REF!</definedName>
    <definedName name="_3.3F">#REF!</definedName>
    <definedName name="_3.3F1">#REF!</definedName>
    <definedName name="_3.3F2">#REF!</definedName>
    <definedName name="_3.3G">#REF!</definedName>
    <definedName name="_3.3G1">#REF!</definedName>
    <definedName name="_3.3G2">#REF!</definedName>
    <definedName name="_3.3H">#REF!</definedName>
    <definedName name="_3.3I">#REF!</definedName>
    <definedName name="_3.3I1">#REF!</definedName>
    <definedName name="_3.3I2">#REF!</definedName>
    <definedName name="_3.3J">#REF!</definedName>
    <definedName name="_3.3K">#REF!</definedName>
    <definedName name="_3.3L">#REF!</definedName>
    <definedName name="_3.3M">#REF!</definedName>
    <definedName name="_3.3N">#REF!</definedName>
    <definedName name="_3.3O">#REF!</definedName>
    <definedName name="_3.3T">#REF!</definedName>
    <definedName name="_3.4A">#REF!</definedName>
    <definedName name="_3.4A1.1">#REF!</definedName>
    <definedName name="_3.4A1.2">#REF!</definedName>
    <definedName name="_3.4A2.1">#REF!</definedName>
    <definedName name="_3.4A2.2">#REF!</definedName>
    <definedName name="_3.4A3.1">#REF!</definedName>
    <definedName name="_3.4A3.2">#REF!</definedName>
    <definedName name="_3.4A4.1">#REF!</definedName>
    <definedName name="_3.4A4.2">#REF!</definedName>
    <definedName name="_3.4A5.1">#REF!</definedName>
    <definedName name="_3.4A5.2">#REF!</definedName>
    <definedName name="_3.4A6.1">#REF!</definedName>
    <definedName name="_3.4A6.2">#REF!</definedName>
    <definedName name="_3.4A7.1">#REF!</definedName>
    <definedName name="_3.4A7.2">#REF!</definedName>
    <definedName name="_3.4A8.1">#REF!</definedName>
    <definedName name="_3.4A8.2">#REF!</definedName>
    <definedName name="_3.4B">#REF!</definedName>
    <definedName name="_3.4C">#REF!</definedName>
    <definedName name="_3.4D">#REF!</definedName>
    <definedName name="_3.4E">#REF!</definedName>
    <definedName name="_3.4F">#REF!</definedName>
    <definedName name="_3.4T">#REF!</definedName>
    <definedName name="_3.5A">#REF!</definedName>
    <definedName name="_3.5B">#REF!</definedName>
    <definedName name="_3.5C">#REF!</definedName>
    <definedName name="_3.5D">#REF!</definedName>
    <definedName name="_3.5E">#REF!</definedName>
    <definedName name="_3.5F">#REF!</definedName>
    <definedName name="_3.5G">#REF!</definedName>
    <definedName name="_3.5T">#REF!</definedName>
    <definedName name="_3.F2">#REF!</definedName>
    <definedName name="_3.O">#REF!</definedName>
    <definedName name="_3.T">#REF!</definedName>
    <definedName name="_30X99">#REF!</definedName>
    <definedName name="_33X118">#REF!</definedName>
    <definedName name="_36X150">#REF!</definedName>
    <definedName name="_36X182">#REF!</definedName>
    <definedName name="_36X245">#REF!</definedName>
    <definedName name="_3yrAvgADA">#REF!</definedName>
    <definedName name="_4_0_0_S" hidden="1">#REF!</definedName>
    <definedName name="_4.1A1">#REF!</definedName>
    <definedName name="_4.1A10">#REF!</definedName>
    <definedName name="_4.1A11">#REF!</definedName>
    <definedName name="_4.1A12">#REF!</definedName>
    <definedName name="_4.1A13">#REF!</definedName>
    <definedName name="_4.1A13.2">#REF!</definedName>
    <definedName name="_4.1A14">#REF!</definedName>
    <definedName name="_4.1A14.2">#REF!</definedName>
    <definedName name="_4.1A15">#REF!</definedName>
    <definedName name="_4.1A16">#REF!</definedName>
    <definedName name="_4.1A17">#REF!</definedName>
    <definedName name="_4.1A1T">#REF!</definedName>
    <definedName name="_4.1A2">#REF!</definedName>
    <definedName name="_4.1A2T">#REF!</definedName>
    <definedName name="_4.1A3">#REF!</definedName>
    <definedName name="_4.1A3T">#REF!</definedName>
    <definedName name="_4.1A4">#REF!</definedName>
    <definedName name="_4.1A5">#REF!</definedName>
    <definedName name="_4.1A6">#REF!</definedName>
    <definedName name="_4.1A7">#REF!</definedName>
    <definedName name="_4.1A8">#REF!</definedName>
    <definedName name="_4.1A9">#REF!</definedName>
    <definedName name="_4.CALC">#REF!</definedName>
    <definedName name="_4501_c">#REF!</definedName>
    <definedName name="_5.1B1">#REF!</definedName>
    <definedName name="_5.1B10">#REF!</definedName>
    <definedName name="_5.1B11">#REF!</definedName>
    <definedName name="_5.1B11.1">#REF!</definedName>
    <definedName name="_5.1B2">#REF!</definedName>
    <definedName name="_5.1B2A">#REF!</definedName>
    <definedName name="_5.1B2B">#REF!</definedName>
    <definedName name="_5.1B2C">#REF!</definedName>
    <definedName name="_5.1B2D">#REF!</definedName>
    <definedName name="_5.1B2E">#REF!</definedName>
    <definedName name="_5.1B3">#REF!</definedName>
    <definedName name="_5.1B4">#REF!</definedName>
    <definedName name="_5.1B4A">#REF!</definedName>
    <definedName name="_5.1B4B">#REF!</definedName>
    <definedName name="_5.1B4C">#REF!</definedName>
    <definedName name="_5.1B4D">#REF!</definedName>
    <definedName name="_5.1B4E">#REF!</definedName>
    <definedName name="_5.1B4F">#REF!</definedName>
    <definedName name="_5.1B4G">#REF!</definedName>
    <definedName name="_5.1B4H">#REF!</definedName>
    <definedName name="_5.1B4I">#REF!</definedName>
    <definedName name="_5.1B4J">#REF!</definedName>
    <definedName name="_5.1B4K">#REF!</definedName>
    <definedName name="_5.1B5">#REF!</definedName>
    <definedName name="_5.1B6">#REF!</definedName>
    <definedName name="_5.1B7">#REF!</definedName>
    <definedName name="_5.1B8">#REF!</definedName>
    <definedName name="_5.1B9">#REF!</definedName>
    <definedName name="_5.1BT">#REF!</definedName>
    <definedName name="_501">#REF!</definedName>
    <definedName name="_501c3Status">#REF!</definedName>
    <definedName name="_5184">#REF!</definedName>
    <definedName name="_56F9DC9755BA473782653E2940F9FormId">"hv5kA8ZJ9Eq1LDNameV30TBcspn-oyxDqAJdpjiKveVUMTZPTkdXTlEwVzNYRVhaMVMyRlJLM0pUNi4u"</definedName>
    <definedName name="_56F9DC9755BA473782653E2940F9ResponseSheet">"Form1"</definedName>
    <definedName name="_56F9DC9755BA473782653E2940F9SourceDocId">"{a5d690b7-eb12-439b-9e89-3d0759abc6f1}"</definedName>
    <definedName name="_6_0_0_S" hidden="1">#REF!</definedName>
    <definedName name="_6000_CONTRACT_COSTS">#REF!</definedName>
    <definedName name="_6500">#REF!</definedName>
    <definedName name="_7000_CAPITAL">#REF!</definedName>
    <definedName name="_7027AC9C059748c8A1CB672677814313_UserDefaultSettings_0">#VALUE!</definedName>
    <definedName name="_7027AC9C059748c8A1CB672677814313_UserDefaultSettings_1">"e&gt;_x000D_
    &lt;FontColor&gt;-1&lt;/FontColor&gt;_x000D_
    &lt;FontSize&gt;8&lt;/FontSize&gt;_x000D_
    &lt;FontBold&gt;false&lt;/FontBold&gt;_x000D_
    &lt;FontItalic&gt;false&lt;/FontItalic&gt;_x000D_
    &lt;FontUnderlined&gt;false&lt;/FontUnderlined&gt;_x000D_
  &lt;/TableDimensionCaption&gt;_x000D_
  &lt;TableBandColor&gt;49&lt;/TableBandColor&gt;_x000D_
  &lt;TableBandS"&amp;"ize&gt;2&lt;/TableBandSize&gt;_x000D_
  &lt;TableFormatNonLeafRowMembersBold&gt;false&lt;/TableFormatNonLeafRowMembersBold&gt;_x000D_
  &lt;TableFormatNonLeafColumnMembersBold&gt;false&lt;/TableFormatNonLeafColumnMembersBold&gt;_x000D_
  &lt;TableFormatNonLeafRowCellsBold&gt;false&lt;/TableFormatNonLeafRowCellsBol"&amp;"d&gt;_x000D_
  &lt;TableFormatNonLeafColumnCellsBold&gt;false&lt;/TableFormatNonLeafColumnCellsBold&gt;_x000D_
  &lt;TableGridColor&gt;15&lt;/TableGridColor&gt;_x000D_
  &lt;ChartTableRowAxisLabelDirection&gt;90&lt;/ChartTableRowAxisLabelDirection&gt;_x000D_
&lt;/UserSettings&gt;"</definedName>
    <definedName name="_7027AC9C059748c8A1CB672677814313_UserDefaultSettings_Count">2</definedName>
    <definedName name="_79">#REF!</definedName>
    <definedName name="_8">#REF!</definedName>
    <definedName name="_8.2T">#REF!</definedName>
    <definedName name="_8000_OTHER_COSTS">#REF!</definedName>
    <definedName name="_8100_INSURANCE_COSTS">#REF!</definedName>
    <definedName name="_8200_FOOD_SERVICES">#REF!</definedName>
    <definedName name="_8300_TRANSPORTATION">#REF!</definedName>
    <definedName name="_8400_CONSULTANTS">#REF!</definedName>
    <definedName name="_8500_OCCUPANCY">#REF!</definedName>
    <definedName name="_8600_AUXILLARY_SERVICES">#REF!</definedName>
    <definedName name="_8700_STAFF_DEVELOPMENT">#REF!</definedName>
    <definedName name="_8800_SECURITY_SERVICES">#REF!</definedName>
    <definedName name="_8900_PARENT_COSTS">#REF!</definedName>
    <definedName name="_8X28">#REF!</definedName>
    <definedName name="_9_Months">#REF!</definedName>
    <definedName name="_90_loc">#REF!</definedName>
    <definedName name="_9000_LOCALCONTRIBUTION">#REF!</definedName>
    <definedName name="_a70000">#REF!</definedName>
    <definedName name="_absorption3">#REF!</definedName>
    <definedName name="_ACA1">#REF!</definedName>
    <definedName name="_ACA2">#N/A</definedName>
    <definedName name="_Account_Code">#REF!</definedName>
    <definedName name="_Account_Type">#REF!</definedName>
    <definedName name="_AccountCode">#REF!</definedName>
    <definedName name="_AccountName">#REF!</definedName>
    <definedName name="_ActivityCredit">#REF!</definedName>
    <definedName name="_ActivityDebit">#REF!</definedName>
    <definedName name="_Actuals">#REF!</definedName>
    <definedName name="_ada2">#REF!</definedName>
    <definedName name="_ada3">#REF!</definedName>
    <definedName name="_ada4">#REF!</definedName>
    <definedName name="_Add_On_FTE">#REF!</definedName>
    <definedName name="_ADD1">#REF!</definedName>
    <definedName name="_ADD2">#REF!</definedName>
    <definedName name="_ADD3">#REF!</definedName>
    <definedName name="_ADD4">#REF!</definedName>
    <definedName name="_ADD5">#REF!</definedName>
    <definedName name="_ADD6">#REF!</definedName>
    <definedName name="_ADD7">#REF!</definedName>
    <definedName name="_ADS1">#REF!</definedName>
    <definedName name="_aic2">#REF!</definedName>
    <definedName name="_aic3">#REF!</definedName>
    <definedName name="_ALT60">#REF!</definedName>
    <definedName name="_Apta101_1_2_1">#REF!,#REF!,#REF!,#REF!,#REF!,#REF!,#REF!,#REF!,#REF!,#REF!,#REF!</definedName>
    <definedName name="_Apta101_1_3_1">#REF!,#REF!,#REF!,#REF!,#REF!,#REF!,#REF!,#REF!,#REF!,#REF!,#REF!</definedName>
    <definedName name="_Apta101_1_4_1">#REF!,#REF!,#REF!,#REF!,#REF!,#REF!,#REF!,#REF!,#REF!,#REF!,#REF!</definedName>
    <definedName name="_Apta101_1_5_1">#REF!,#REF!,#REF!,#REF!,#REF!,#REF!,#REF!,#REF!,#REF!,#REF!,#REF!</definedName>
    <definedName name="_Apta101_1_6_1">#REF!,#REF!,#REF!,#REF!,#REF!,#REF!,#REF!,#REF!,#REF!,#REF!,#REF!</definedName>
    <definedName name="_Apta105_1_2_1">#REF!,#REF!,#REF!,#REF!,#REF!,#REF!,#REF!,#REF!,#REF!,#REF!,#REF!,#REF!,#REF!,#REF!,#REF!,#REF!,#REF!,#REF!,#REF!,#REF!,#REF!,#REF!,#REF!,#REF!,#REF!</definedName>
    <definedName name="_Apta105_1_3_1">#REF!,#REF!,#REF!,#REF!,#REF!,#REF!,#REF!,#REF!,#REF!,#REF!,#REF!,#REF!,#REF!,#REF!,#REF!,#REF!,#REF!,#REF!,#REF!,#REF!,#REF!,#REF!,#REF!,#REF!,#REF!</definedName>
    <definedName name="_Apta105_1_4_1">#REF!,#REF!,#REF!,#REF!,#REF!,#REF!,#REF!,#REF!,#REF!,#REF!,#REF!,#REF!,#REF!,#REF!,#REF!,#REF!,#REF!,#REF!,#REF!,#REF!,#REF!,#REF!,#REF!,#REF!,#REF!</definedName>
    <definedName name="_Apta105_1_5_1">#REF!,#REF!,#REF!,#REF!,#REF!,#REF!,#REF!,#REF!,#REF!,#REF!,#REF!,#REF!,#REF!,#REF!,#REF!,#REF!,#REF!,#REF!,#REF!,#REF!,#REF!,#REF!,#REF!,#REF!,#REF!</definedName>
    <definedName name="_Apta105_1_6_1">#REF!,#REF!,#REF!,#REF!,#REF!,#REF!,#REF!,#REF!,#REF!,#REF!,#REF!,#REF!,#REF!,#REF!,#REF!,#REF!,#REF!,#REF!,#REF!,#REF!,#REF!,#REF!,#REF!,#REF!,#REF!</definedName>
    <definedName name="_Apta107_1_2_1">#REF!,#REF!,#REF!,#REF!,#REF!</definedName>
    <definedName name="_Apta107_1_3_1">#REF!,#REF!,#REF!,#REF!,#REF!</definedName>
    <definedName name="_Apta107_1_4_1">#REF!,#REF!,#REF!,#REF!,#REF!</definedName>
    <definedName name="_Apta107_1_5_1">#REF!,#REF!,#REF!,#REF!,#REF!</definedName>
    <definedName name="_Apta107_1_6_1">#REF!,#REF!,#REF!,#REF!,#REF!</definedName>
    <definedName name="_Apta108_1_2_1">#REF!,#REF!</definedName>
    <definedName name="_Apta108_1_3_1">#REF!,#REF!</definedName>
    <definedName name="_Apta108_1_4_1">#REF!,#REF!</definedName>
    <definedName name="_Apta108_1_5_1">#REF!,#REF!</definedName>
    <definedName name="_Apta108_1_6_1">#REF!,#REF!</definedName>
    <definedName name="_Apta109_1_2_1">#REF!,#REF!,#REF!,#REF!,#REF!,#REF!</definedName>
    <definedName name="_Apta109_1_3_1">#REF!,#REF!,#REF!,#REF!,#REF!,#REF!</definedName>
    <definedName name="_Apta109_1_4_1">#REF!,#REF!,#REF!,#REF!,#REF!,#REF!</definedName>
    <definedName name="_Apta109_1_5_1">#REF!,#REF!,#REF!,#REF!,#REF!,#REF!</definedName>
    <definedName name="_Apta109_1_6_1">#REF!,#REF!,#REF!,#REF!,#REF!,#REF!</definedName>
    <definedName name="_Apta110_1_2_1">#REF!,#REF!,#REF!,#REF!,#REF!</definedName>
    <definedName name="_Apta110_1_3_1">#REF!,#REF!,#REF!,#REF!,#REF!</definedName>
    <definedName name="_Apta110_1_4_1">#REF!,#REF!,#REF!,#REF!,#REF!</definedName>
    <definedName name="_Apta110_1_5_1">#REF!,#REF!,#REF!,#REF!,#REF!</definedName>
    <definedName name="_Apta110_1_6_1">#REF!,#REF!,#REF!,#REF!,#REF!</definedName>
    <definedName name="_Apta112_1_2_1">#REF!,#REF!,#REF!,#REF!,#REF!</definedName>
    <definedName name="_Apta112_1_3_1">#REF!,#REF!,#REF!,#REF!,#REF!</definedName>
    <definedName name="_Apta112_1_4_1">#REF!,#REF!,#REF!,#REF!,#REF!</definedName>
    <definedName name="_Apta112_1_5_1">#REF!,#REF!,#REF!,#REF!,#REF!</definedName>
    <definedName name="_Apta112_1_6_1">#REF!,#REF!,#REF!,#REF!,#REF!</definedName>
    <definedName name="_Apta113_1_2_1">#REF!,#REF!,#REF!,#REF!,#REF!,#REF!,#REF!,#REF!,#REF!,#REF!,#REF!,#REF!</definedName>
    <definedName name="_Apta113_1_3_1">#REF!,#REF!,#REF!,#REF!,#REF!,#REF!,#REF!,#REF!,#REF!,#REF!,#REF!,#REF!</definedName>
    <definedName name="_Apta113_1_4_1">#REF!,#REF!,#REF!,#REF!,#REF!,#REF!,#REF!,#REF!,#REF!,#REF!,#REF!,#REF!</definedName>
    <definedName name="_Apta113_1_5_1">#REF!,#REF!,#REF!,#REF!,#REF!,#REF!,#REF!,#REF!,#REF!,#REF!,#REF!,#REF!</definedName>
    <definedName name="_Apta113_1_6_1">#REF!,#REF!,#REF!,#REF!,#REF!,#REF!,#REF!,#REF!,#REF!,#REF!,#REF!,#REF!</definedName>
    <definedName name="_Apta118_1_2_1">#REF!,#REF!,#REF!,#REF!,#REF!,#REF!,#REF!</definedName>
    <definedName name="_Apta118_1_3_1">#REF!,#REF!,#REF!,#REF!,#REF!,#REF!,#REF!</definedName>
    <definedName name="_Apta118_1_4_1">#REF!,#REF!,#REF!,#REF!,#REF!,#REF!,#REF!</definedName>
    <definedName name="_Apta118_1_5_1">#REF!,#REF!,#REF!,#REF!,#REF!,#REF!,#REF!</definedName>
    <definedName name="_Apta118_1_6_1">#REF!,#REF!,#REF!,#REF!,#REF!,#REF!,#REF!</definedName>
    <definedName name="_Apta119_1_2_1">#REF!,#REF!,#REF!,#REF!,#REF!,#REF!,#REF!</definedName>
    <definedName name="_Apta119_1_3_1">#REF!,#REF!,#REF!,#REF!,#REF!,#REF!,#REF!</definedName>
    <definedName name="_Apta119_1_4_1">#REF!,#REF!,#REF!,#REF!,#REF!,#REF!,#REF!</definedName>
    <definedName name="_Apta119_1_5_1">#REF!,#REF!,#REF!,#REF!,#REF!,#REF!,#REF!</definedName>
    <definedName name="_Apta119_1_6_1">#REF!,#REF!,#REF!,#REF!,#REF!,#REF!,#REF!</definedName>
    <definedName name="_Apta120_1_2_1">#REF!,#REF!,#REF!,#REF!,#REF!,#REF!,#REF!</definedName>
    <definedName name="_Apta120_1_3_1">#REF!,#REF!,#REF!,#REF!,#REF!,#REF!,#REF!</definedName>
    <definedName name="_Apta120_1_4_1">#REF!,#REF!,#REF!,#REF!,#REF!,#REF!,#REF!</definedName>
    <definedName name="_Apta120_1_5_1">#REF!,#REF!,#REF!,#REF!,#REF!,#REF!,#REF!</definedName>
    <definedName name="_Apta120_1_6_1">#REF!,#REF!,#REF!,#REF!,#REF!,#REF!,#REF!</definedName>
    <definedName name="_Apta121_1_2_1">#REF!,#REF!,#REF!,#REF!,#REF!</definedName>
    <definedName name="_Apta121_1_3_1">#REF!,#REF!,#REF!,#REF!,#REF!</definedName>
    <definedName name="_Apta121_1_4_1">#REF!,#REF!,#REF!,#REF!,#REF!</definedName>
    <definedName name="_Apta121_1_5_1">#REF!,#REF!,#REF!,#REF!,#REF!</definedName>
    <definedName name="_Apta121_1_6_1">#REF!,#REF!,#REF!,#REF!,#REF!</definedName>
    <definedName name="_Apta122_1_2_1">#REF!,#REF!,#REF!,#REF!,#REF!</definedName>
    <definedName name="_Apta122_1_3_1">#REF!,#REF!,#REF!,#REF!,#REF!</definedName>
    <definedName name="_Apta122_1_4_1">#REF!,#REF!,#REF!,#REF!,#REF!</definedName>
    <definedName name="_Apta122_1_5_1">#REF!,#REF!,#REF!,#REF!,#REF!</definedName>
    <definedName name="_Apta122_1_6_1">#REF!,#REF!,#REF!,#REF!,#REF!</definedName>
    <definedName name="_Apta125_1_2_1">#REF!,#REF!,#REF!,#REF!,#REF!</definedName>
    <definedName name="_Apta125_1_3_1">#REF!,#REF!,#REF!,#REF!,#REF!</definedName>
    <definedName name="_Apta125_1_4_1">#REF!,#REF!,#REF!,#REF!,#REF!</definedName>
    <definedName name="_Apta125_1_5_1">#REF!,#REF!,#REF!,#REF!,#REF!</definedName>
    <definedName name="_Apta125_1_6_1">#REF!,#REF!,#REF!,#REF!,#REF!</definedName>
    <definedName name="_Apta127_1_2_1">#REF!,#REF!,#REF!,#REF!,#REF!,#REF!,#REF!</definedName>
    <definedName name="_Apta127_1_3_1">#REF!,#REF!,#REF!,#REF!,#REF!,#REF!,#REF!</definedName>
    <definedName name="_Apta127_1_4_1">#REF!,#REF!,#REF!,#REF!,#REF!,#REF!,#REF!</definedName>
    <definedName name="_Apta127_1_5_1">#REF!,#REF!,#REF!,#REF!,#REF!,#REF!,#REF!</definedName>
    <definedName name="_Apta127_1_6_1">#REF!,#REF!,#REF!,#REF!,#REF!,#REF!,#REF!</definedName>
    <definedName name="_Apta132_1_2_1">#REF!,#REF!,#REF!,#REF!,#REF!,#REF!,#REF!</definedName>
    <definedName name="_Apta132_1_3_1">#REF!,#REF!,#REF!,#REF!,#REF!,#REF!,#REF!</definedName>
    <definedName name="_Apta132_1_4_1">#REF!,#REF!,#REF!,#REF!,#REF!,#REF!,#REF!</definedName>
    <definedName name="_Apta132_1_5_1">#REF!,#REF!,#REF!,#REF!,#REF!,#REF!,#REF!</definedName>
    <definedName name="_Apta132_1_6_1">#REF!,#REF!,#REF!,#REF!,#REF!,#REF!,#REF!</definedName>
    <definedName name="_Apta135_1_2_1">#REF!,#REF!,#REF!,#REF!,#REF!,#REF!,#REF!</definedName>
    <definedName name="_Apta135_1_3_1">#REF!,#REF!,#REF!,#REF!,#REF!,#REF!,#REF!</definedName>
    <definedName name="_Apta135_1_4_1">#REF!,#REF!,#REF!,#REF!,#REF!,#REF!,#REF!</definedName>
    <definedName name="_Apta135_1_5_1">#REF!,#REF!,#REF!,#REF!,#REF!,#REF!,#REF!</definedName>
    <definedName name="_Apta135_1_6_1">#REF!,#REF!,#REF!,#REF!,#REF!,#REF!,#REF!</definedName>
    <definedName name="_Apta139_1_2_1">#REF!,#REF!</definedName>
    <definedName name="_Apta139_1_3_1">#REF!,#REF!</definedName>
    <definedName name="_Apta139_1_4_1">#REF!,#REF!</definedName>
    <definedName name="_Apta139_1_5_1">#REF!,#REF!</definedName>
    <definedName name="_Apta139_1_6_1">#REF!,#REF!</definedName>
    <definedName name="_Apta14_1_2_1">#REF!,#REF!</definedName>
    <definedName name="_Apta14_1_3_1">#REF!,#REF!</definedName>
    <definedName name="_Apta14_1_4_1">#REF!,#REF!</definedName>
    <definedName name="_Apta14_1_5_1">#REF!,#REF!</definedName>
    <definedName name="_Apta14_1_6_1">#REF!,#REF!</definedName>
    <definedName name="_Apta140_1_2_1">#REF!,#REF!</definedName>
    <definedName name="_Apta140_1_3_1">#REF!,#REF!</definedName>
    <definedName name="_Apta140_1_4_1">#REF!,#REF!</definedName>
    <definedName name="_Apta140_1_5_1">#REF!,#REF!</definedName>
    <definedName name="_Apta140_1_6_1">#REF!,#REF!</definedName>
    <definedName name="_Apta141_1_2_1">#REF!,#REF!,#REF!,#REF!,#REF!,#REF!,#REF!,#REF!,#REF!,#REF!,#REF!,#REF!,#REF!,#REF!,#REF!,#REF!,#REF!,#REF!,#REF!,#REF!,#REF!,#REF!,#REF!,#REF!,#REF!,#REF!,#REF!,#REF!,#REF!,#REF!,#REF!,#REF!,#REF!,#REF!</definedName>
    <definedName name="_Apta141_1_3_1">#REF!,#REF!,#REF!,#REF!,#REF!,#REF!,#REF!,#REF!,#REF!,#REF!,#REF!,#REF!,#REF!,#REF!,#REF!,#REF!,#REF!,#REF!,#REF!,#REF!,#REF!,#REF!,#REF!,#REF!,#REF!,#REF!,#REF!,#REF!,#REF!,#REF!,#REF!,#REF!,#REF!,#REF!</definedName>
    <definedName name="_Apta141_1_4_1">#REF!,#REF!,#REF!,#REF!,#REF!,#REF!,#REF!,#REF!,#REF!,#REF!,#REF!,#REF!,#REF!,#REF!,#REF!,#REF!,#REF!,#REF!,#REF!,#REF!,#REF!,#REF!,#REF!,#REF!,#REF!,#REF!,#REF!,#REF!,#REF!,#REF!,#REF!,#REF!,#REF!,#REF!</definedName>
    <definedName name="_Apta141_1_5_1">#REF!,#REF!,#REF!,#REF!,#REF!,#REF!,#REF!,#REF!,#REF!,#REF!,#REF!,#REF!,#REF!,#REF!,#REF!,#REF!,#REF!,#REF!,#REF!,#REF!,#REF!,#REF!,#REF!,#REF!,#REF!,#REF!,#REF!,#REF!,#REF!,#REF!,#REF!,#REF!,#REF!,#REF!</definedName>
    <definedName name="_Apta141_1_6_1">#REF!,#REF!,#REF!,#REF!,#REF!,#REF!,#REF!,#REF!,#REF!,#REF!,#REF!,#REF!,#REF!,#REF!,#REF!,#REF!,#REF!,#REF!,#REF!,#REF!,#REF!,#REF!,#REF!,#REF!,#REF!,#REF!,#REF!,#REF!,#REF!,#REF!,#REF!,#REF!,#REF!,#REF!</definedName>
    <definedName name="_Apta15_1_2_1">#REF!,#REF!</definedName>
    <definedName name="_Apta15_1_3_1">#REF!,#REF!</definedName>
    <definedName name="_Apta15_1_4_1">#REF!,#REF!</definedName>
    <definedName name="_Apta15_1_5_1">#REF!,#REF!</definedName>
    <definedName name="_Apta15_1_6_1">#REF!,#REF!</definedName>
    <definedName name="_Apta155_1_2_1">#REF!,#REF!</definedName>
    <definedName name="_Apta155_1_3_1">#REF!,#REF!</definedName>
    <definedName name="_Apta155_1_4_1">#REF!,#REF!</definedName>
    <definedName name="_Apta155_1_5_1">#REF!,#REF!</definedName>
    <definedName name="_Apta155_1_6_1">#REF!,#REF!</definedName>
    <definedName name="_Apta16_1_2_1">#REF!,#REF!</definedName>
    <definedName name="_Apta16_1_3_1">#REF!,#REF!</definedName>
    <definedName name="_Apta16_1_4_1">#REF!,#REF!</definedName>
    <definedName name="_Apta16_1_5_1">#REF!,#REF!</definedName>
    <definedName name="_Apta16_1_6_1">#REF!,#REF!</definedName>
    <definedName name="_Apta165_1_2_1">#REF!,#REF!,#REF!,#REF!,#REF!,#REF!,#REF!,#REF!,#REF!,#REF!,#REF!,#REF!,#REF!,#REF!,#REF!,#REF!,#REF!,#REF!,#REF!,#REF!,#REF!,#REF!,#REF!,#REF!,#REF!,#REF!,#REF!,#REF!,#REF!,#REF!,#REF!,#REF!,#REF!,#REF!,#REF!,#REF!,#REF!,#REF!,#REF!,#REF!</definedName>
    <definedName name="_Apta165_1_3_1">#REF!,#REF!,#REF!,#REF!,#REF!,#REF!,#REF!,#REF!,#REF!,#REF!,#REF!,#REF!,#REF!,#REF!,#REF!,#REF!,#REF!,#REF!,#REF!,#REF!,#REF!,#REF!,#REF!,#REF!,#REF!,#REF!,#REF!,#REF!,#REF!,#REF!,#REF!,#REF!,#REF!,#REF!,#REF!,#REF!,#REF!,#REF!,#REF!,#REF!</definedName>
    <definedName name="_Apta165_1_4_1">#REF!,#REF!,#REF!,#REF!,#REF!,#REF!,#REF!,#REF!,#REF!,#REF!,#REF!,#REF!,#REF!,#REF!,#REF!,#REF!,#REF!,#REF!,#REF!,#REF!,#REF!,#REF!,#REF!,#REF!,#REF!,#REF!,#REF!,#REF!,#REF!,#REF!,#REF!,#REF!,#REF!,#REF!,#REF!,#REF!,#REF!,#REF!,#REF!,#REF!</definedName>
    <definedName name="_Apta165_1_5_1">#REF!,#REF!,#REF!,#REF!,#REF!,#REF!,#REF!,#REF!,#REF!,#REF!,#REF!,#REF!,#REF!,#REF!,#REF!,#REF!,#REF!,#REF!,#REF!,#REF!,#REF!,#REF!,#REF!,#REF!,#REF!,#REF!,#REF!,#REF!,#REF!,#REF!,#REF!,#REF!,#REF!,#REF!,#REF!,#REF!,#REF!,#REF!,#REF!,#REF!</definedName>
    <definedName name="_Apta165_1_6_1">#REF!,#REF!,#REF!,#REF!,#REF!,#REF!,#REF!,#REF!,#REF!,#REF!,#REF!,#REF!,#REF!,#REF!,#REF!,#REF!,#REF!,#REF!,#REF!,#REF!,#REF!,#REF!,#REF!,#REF!,#REF!,#REF!,#REF!,#REF!,#REF!,#REF!,#REF!,#REF!,#REF!,#REF!,#REF!,#REF!,#REF!,#REF!,#REF!,#REF!</definedName>
    <definedName name="_Apta169_1_2_1">#REF!,#REF!</definedName>
    <definedName name="_Apta169_1_3_1">#REF!,#REF!</definedName>
    <definedName name="_Apta169_1_4_1">#REF!,#REF!</definedName>
    <definedName name="_Apta169_1_5_1">#REF!,#REF!</definedName>
    <definedName name="_Apta169_1_6_1">#REF!,#REF!</definedName>
    <definedName name="_Apta17_1_2_1">#REF!,#REF!</definedName>
    <definedName name="_Apta17_1_3_1">#REF!,#REF!</definedName>
    <definedName name="_Apta17_1_4_1">#REF!,#REF!</definedName>
    <definedName name="_Apta17_1_5_1">#REF!,#REF!</definedName>
    <definedName name="_Apta17_1_6_1">#REF!,#REF!</definedName>
    <definedName name="_Apta177_1_2_1">#REF!,#REF!,#REF!,#REF!,#REF!,#REF!,#REF!,#REF!,#REF!,#REF!,#REF!,#REF!,#REF!,#REF!,#REF!</definedName>
    <definedName name="_Apta177_1_3_1">#REF!,#REF!,#REF!,#REF!,#REF!,#REF!,#REF!,#REF!,#REF!,#REF!,#REF!,#REF!,#REF!,#REF!,#REF!</definedName>
    <definedName name="_Apta177_1_4_1">#REF!,#REF!,#REF!,#REF!,#REF!,#REF!,#REF!,#REF!,#REF!,#REF!,#REF!,#REF!,#REF!,#REF!,#REF!</definedName>
    <definedName name="_Apta177_1_5_1">#REF!,#REF!,#REF!,#REF!,#REF!,#REF!,#REF!,#REF!,#REF!,#REF!,#REF!,#REF!,#REF!,#REF!,#REF!</definedName>
    <definedName name="_Apta177_1_6_1">#REF!,#REF!,#REF!,#REF!,#REF!,#REF!,#REF!,#REF!,#REF!,#REF!,#REF!,#REF!,#REF!,#REF!,#REF!</definedName>
    <definedName name="_Apta18_1_2_1">#REF!,#REF!</definedName>
    <definedName name="_Apta18_1_3_1">#REF!,#REF!</definedName>
    <definedName name="_Apta18_1_4_1">#REF!,#REF!</definedName>
    <definedName name="_Apta18_1_5_1">#REF!,#REF!</definedName>
    <definedName name="_Apta18_1_6_1">#REF!,#REF!</definedName>
    <definedName name="_Apta188_1_2_1">#REF!,#REF!,#REF!</definedName>
    <definedName name="_Apta188_1_3_1">#REF!,#REF!,#REF!</definedName>
    <definedName name="_Apta188_1_4_1">#REF!,#REF!,#REF!</definedName>
    <definedName name="_Apta188_1_5_1">#REF!,#REF!,#REF!</definedName>
    <definedName name="_Apta188_1_6_1">#REF!,#REF!,#REF!</definedName>
    <definedName name="_Apta189_1_2_1">#REF!,#REF!,#REF!,#REF!,#REF!,#REF!,#REF!,#REF!,#REF!,#REF!,#REF!,#REF!,#REF!,#REF!,#REF!,#REF!,#REF!</definedName>
    <definedName name="_Apta189_1_3_1">#REF!,#REF!,#REF!,#REF!,#REF!,#REF!,#REF!,#REF!,#REF!,#REF!,#REF!,#REF!,#REF!,#REF!,#REF!,#REF!,#REF!</definedName>
    <definedName name="_Apta189_1_4_1">#REF!,#REF!,#REF!,#REF!,#REF!,#REF!,#REF!,#REF!,#REF!,#REF!,#REF!,#REF!,#REF!,#REF!,#REF!,#REF!,#REF!</definedName>
    <definedName name="_Apta189_1_5_1">#REF!,#REF!,#REF!,#REF!,#REF!,#REF!,#REF!,#REF!,#REF!,#REF!,#REF!,#REF!,#REF!,#REF!,#REF!,#REF!,#REF!</definedName>
    <definedName name="_Apta189_1_6_1">#REF!,#REF!,#REF!,#REF!,#REF!,#REF!,#REF!,#REF!,#REF!,#REF!,#REF!,#REF!,#REF!,#REF!,#REF!,#REF!,#REF!</definedName>
    <definedName name="_Apta196_1_2_1">#REF!,#REF!,#REF!,#REF!,#REF!,#REF!,#REF!,#REF!,#REF!,#REF!,#REF!,#REF!,#REF!,#REF!,#REF!,#REF!,#REF!,#REF!,#REF!,#REF!</definedName>
    <definedName name="_Apta196_1_3_1">#REF!,#REF!,#REF!,#REF!,#REF!,#REF!,#REF!,#REF!,#REF!,#REF!,#REF!,#REF!,#REF!,#REF!,#REF!,#REF!,#REF!,#REF!,#REF!,#REF!</definedName>
    <definedName name="_Apta196_1_4_1">#REF!,#REF!,#REF!,#REF!,#REF!,#REF!,#REF!,#REF!,#REF!,#REF!,#REF!,#REF!,#REF!,#REF!,#REF!,#REF!,#REF!,#REF!,#REF!,#REF!</definedName>
    <definedName name="_Apta196_1_5_1">#REF!,#REF!,#REF!,#REF!,#REF!,#REF!,#REF!,#REF!,#REF!,#REF!,#REF!,#REF!,#REF!,#REF!,#REF!,#REF!,#REF!,#REF!,#REF!,#REF!</definedName>
    <definedName name="_Apta196_1_6_1">#REF!,#REF!,#REF!,#REF!,#REF!,#REF!,#REF!,#REF!,#REF!,#REF!,#REF!,#REF!,#REF!,#REF!,#REF!,#REF!,#REF!,#REF!,#REF!,#REF!</definedName>
    <definedName name="_Apta221_1_2_1">#REF!,#REF!,#REF!,#REF!,#REF!,#REF!,#REF!,#REF!,#REF!,#REF!,#REF!,#REF!,#REF!,#REF!,#REF!,#REF!,#REF!,#REF!,#REF!,#REF!,#REF!,#REF!,#REF!,#REF!,#REF!,#REF!,#REF!,#REF!,#REF!,#REF!,#REF!,#REF!,#REF!,#REF!,#REF!,#REF!,#REF!,#REF!,#REF!,#REF!,#REF!,#REF!,#REF!,#REF!,#REF!,#REF!,#REF!,#REF!,#REF!,#REF!,#REF!,#REF!,#REF!,#REF!</definedName>
    <definedName name="_Apta221_1_3_1">#REF!,#REF!,#REF!,#REF!,#REF!,#REF!,#REF!,#REF!,#REF!,#REF!,#REF!,#REF!,#REF!,#REF!,#REF!,#REF!,#REF!,#REF!,#REF!,#REF!,#REF!,#REF!,#REF!,#REF!,#REF!,#REF!,#REF!,#REF!,#REF!,#REF!,#REF!,#REF!,#REF!,#REF!,#REF!,#REF!,#REF!,#REF!,#REF!,#REF!,#REF!,#REF!,#REF!,#REF!,#REF!,#REF!,#REF!,#REF!,#REF!,#REF!,#REF!,#REF!,#REF!,#REF!</definedName>
    <definedName name="_Apta221_1_4_1">#REF!,#REF!,#REF!,#REF!,#REF!,#REF!,#REF!,#REF!,#REF!,#REF!,#REF!,#REF!,#REF!,#REF!,#REF!,#REF!,#REF!,#REF!,#REF!,#REF!,#REF!,#REF!,#REF!,#REF!,#REF!,#REF!,#REF!,#REF!,#REF!,#REF!,#REF!,#REF!,#REF!,#REF!,#REF!,#REF!,#REF!,#REF!,#REF!,#REF!,#REF!,#REF!,#REF!,#REF!,#REF!,#REF!,#REF!,#REF!,#REF!,#REF!,#REF!,#REF!,#REF!,#REF!</definedName>
    <definedName name="_Apta221_1_5_1">#REF!,#REF!,#REF!,#REF!,#REF!,#REF!,#REF!,#REF!,#REF!,#REF!,#REF!,#REF!,#REF!,#REF!,#REF!,#REF!,#REF!,#REF!,#REF!,#REF!,#REF!,#REF!,#REF!,#REF!,#REF!,#REF!,#REF!,#REF!,#REF!,#REF!,#REF!,#REF!,#REF!,#REF!,#REF!,#REF!,#REF!,#REF!,#REF!,#REF!,#REF!,#REF!,#REF!,#REF!,#REF!,#REF!,#REF!,#REF!,#REF!,#REF!,#REF!,#REF!,#REF!,#REF!</definedName>
    <definedName name="_Apta221_1_6_1">#REF!,#REF!,#REF!,#REF!,#REF!,#REF!,#REF!,#REF!,#REF!,#REF!,#REF!,#REF!,#REF!,#REF!,#REF!,#REF!,#REF!,#REF!,#REF!,#REF!,#REF!,#REF!,#REF!,#REF!,#REF!,#REF!,#REF!,#REF!,#REF!,#REF!,#REF!,#REF!,#REF!,#REF!,#REF!,#REF!,#REF!,#REF!,#REF!,#REF!,#REF!,#REF!,#REF!,#REF!,#REF!,#REF!,#REF!,#REF!,#REF!,#REF!,#REF!,#REF!,#REF!,#REF!</definedName>
    <definedName name="_Apta25_1_2_1">#REF!,#REF!,#REF!,#REF!,#REF!</definedName>
    <definedName name="_Apta25_1_3_1">#REF!,#REF!,#REF!,#REF!,#REF!</definedName>
    <definedName name="_Apta25_1_4_1">#REF!,#REF!,#REF!,#REF!,#REF!</definedName>
    <definedName name="_Apta25_1_5_1">#REF!,#REF!,#REF!,#REF!,#REF!</definedName>
    <definedName name="_Apta25_1_6_1">#REF!,#REF!,#REF!,#REF!,#REF!</definedName>
    <definedName name="_Apta27_1_2_1">#REF!,#REF!,#REF!</definedName>
    <definedName name="_Apta27_1_3_1">#REF!,#REF!,#REF!</definedName>
    <definedName name="_Apta27_1_4_1">#REF!,#REF!,#REF!</definedName>
    <definedName name="_Apta27_1_5_1">#REF!,#REF!,#REF!</definedName>
    <definedName name="_Apta27_1_6_1">#REF!,#REF!,#REF!</definedName>
    <definedName name="_Apta28_1_2_1">#REF!,#REF!</definedName>
    <definedName name="_Apta28_1_3_1">#REF!,#REF!</definedName>
    <definedName name="_Apta28_1_4_1">#REF!,#REF!</definedName>
    <definedName name="_Apta28_1_5_1">#REF!,#REF!</definedName>
    <definedName name="_Apta28_1_6_1">#REF!,#REF!</definedName>
    <definedName name="_Apta30_1_2_1">#REF!,#REF!,#REF!,#REF!</definedName>
    <definedName name="_Apta30_1_3_1">#REF!,#REF!,#REF!,#REF!</definedName>
    <definedName name="_Apta30_1_4_1">#REF!,#REF!,#REF!,#REF!</definedName>
    <definedName name="_Apta30_1_5_1">#REF!,#REF!,#REF!,#REF!</definedName>
    <definedName name="_Apta30_1_6_1">#REF!,#REF!,#REF!,#REF!</definedName>
    <definedName name="_Apta32_1_2_1">#REF!,#REF!,#REF!,#REF!,#REF!</definedName>
    <definedName name="_Apta32_1_3_1">#REF!,#REF!,#REF!,#REF!,#REF!</definedName>
    <definedName name="_Apta32_1_4_1">#REF!,#REF!,#REF!,#REF!,#REF!</definedName>
    <definedName name="_Apta32_1_5_1">#REF!,#REF!,#REF!,#REF!,#REF!</definedName>
    <definedName name="_Apta32_1_6_1">#REF!,#REF!,#REF!,#REF!,#REF!</definedName>
    <definedName name="_Apta33_1_2_1">#REF!</definedName>
    <definedName name="_Apta33_1_3_1">#REF!</definedName>
    <definedName name="_Apta33_1_4_1">#REF!</definedName>
    <definedName name="_Apta33_1_5_1">#REF!</definedName>
    <definedName name="_Apta33_1_6_1">#REF!</definedName>
    <definedName name="_Apta35_1_2_1">#REF!,#REF!,#REF!,#REF!,#REF!,#REF!</definedName>
    <definedName name="_Apta35_1_3_1">#REF!,#REF!,#REF!,#REF!,#REF!,#REF!</definedName>
    <definedName name="_Apta35_1_4_1">#REF!,#REF!,#REF!,#REF!,#REF!,#REF!</definedName>
    <definedName name="_Apta35_1_5_1">#REF!,#REF!,#REF!,#REF!,#REF!,#REF!</definedName>
    <definedName name="_Apta35_1_6_1">#REF!,#REF!,#REF!,#REF!,#REF!,#REF!</definedName>
    <definedName name="_Apta40_1_3_1">#REF!,#REF!</definedName>
    <definedName name="_Apta41_1_1_1">#REF!,#REF!,#REF!,#REF!,#REF!,#REF!,#REF!,#REF!,#REF!</definedName>
    <definedName name="_Apta41_1_2_1">#REF!,#REF!,#REF!,#REF!,#REF!,#REF!,#REF!,#REF!,#REF!</definedName>
    <definedName name="_Apta41_1_3_1">#REF!,#REF!,#REF!,#REF!,#REF!,#REF!,#REF!,#REF!,#REF!</definedName>
    <definedName name="_Apta41_1_4_1">#REF!,#REF!,#REF!,#REF!,#REF!,#REF!,#REF!,#REF!,#REF!</definedName>
    <definedName name="_Apta41_1_5_1">#REF!,#REF!,#REF!,#REF!,#REF!,#REF!,#REF!,#REF!,#REF!</definedName>
    <definedName name="_Apta41_1_6_1">#REF!,#REF!,#REF!,#REF!,#REF!,#REF!,#REF!,#REF!,#REF!</definedName>
    <definedName name="_Apta48_1_2_1">#REF!,#REF!,#REF!,#REF!</definedName>
    <definedName name="_Apta48_1_3_1">#REF!,#REF!,#REF!,#REF!</definedName>
    <definedName name="_Apta48_1_4_1">#REF!,#REF!,#REF!,#REF!</definedName>
    <definedName name="_Apta48_1_5_1">#REF!,#REF!,#REF!,#REF!</definedName>
    <definedName name="_Apta48_1_6_1">#REF!,#REF!,#REF!,#REF!</definedName>
    <definedName name="_Apta50_1_2_1">#REF!,#REF!</definedName>
    <definedName name="_Apta50_1_3_1">#REF!,#REF!</definedName>
    <definedName name="_Apta50_1_4_1">#REF!,#REF!</definedName>
    <definedName name="_Apta50_1_5_1">#REF!,#REF!</definedName>
    <definedName name="_Apta50_1_6_1">#REF!,#REF!</definedName>
    <definedName name="_Apta51_1_3_1">#REF!</definedName>
    <definedName name="_Apta52_1_2_1">#REF!,#REF!,#REF!</definedName>
    <definedName name="_Apta52_1_3_1">#REF!,#REF!,#REF!</definedName>
    <definedName name="_Apta52_1_4_1">#REF!,#REF!,#REF!</definedName>
    <definedName name="_Apta52_1_5_1">#REF!,#REF!,#REF!</definedName>
    <definedName name="_Apta52_1_6_1">#REF!,#REF!,#REF!</definedName>
    <definedName name="_Apta53_1_2_1">#REF!,#REF!</definedName>
    <definedName name="_Apta53_1_3_1">#REF!,#REF!</definedName>
    <definedName name="_Apta53_1_4_1">#REF!,#REF!</definedName>
    <definedName name="_Apta53_1_5_1">#REF!,#REF!</definedName>
    <definedName name="_Apta53_1_6_1">#REF!,#REF!</definedName>
    <definedName name="_Apta56_1_2_1">#REF!,#REF!,#REF!,#REF!</definedName>
    <definedName name="_Apta56_1_3_1">#REF!,#REF!,#REF!,#REF!</definedName>
    <definedName name="_Apta56_1_4_1">#REF!,#REF!,#REF!,#REF!</definedName>
    <definedName name="_Apta56_1_5_1">#REF!,#REF!,#REF!,#REF!</definedName>
    <definedName name="_Apta56_1_6_1">#REF!,#REF!,#REF!,#REF!</definedName>
    <definedName name="_Apta61_1_2_1">#REF!,#REF!,#REF!,#REF!,#REF!,#REF!,#REF!,#REF!</definedName>
    <definedName name="_Apta61_1_3_1">#REF!,#REF!,#REF!,#REF!,#REF!,#REF!,#REF!,#REF!</definedName>
    <definedName name="_Apta61_1_4_1">#REF!,#REF!,#REF!,#REF!,#REF!,#REF!,#REF!,#REF!</definedName>
    <definedName name="_Apta61_1_5_1">#REF!,#REF!,#REF!,#REF!,#REF!,#REF!,#REF!,#REF!</definedName>
    <definedName name="_Apta61_1_6_1">#REF!,#REF!,#REF!,#REF!,#REF!,#REF!,#REF!,#REF!</definedName>
    <definedName name="_Apta68_1_2_1">#REF!,#REF!</definedName>
    <definedName name="_Apta68_1_3_1">#REF!,#REF!</definedName>
    <definedName name="_Apta68_1_4_1">#REF!,#REF!</definedName>
    <definedName name="_Apta68_1_5_1">#REF!,#REF!</definedName>
    <definedName name="_Apta68_1_6_1">#REF!,#REF!</definedName>
    <definedName name="_Apta69_1_2_1">#REF!,#REF!</definedName>
    <definedName name="_Apta69_1_3_1">#REF!,#REF!</definedName>
    <definedName name="_Apta69_1_4_1">#REF!,#REF!</definedName>
    <definedName name="_Apta69_1_5_1">#REF!,#REF!</definedName>
    <definedName name="_Apta69_1_6_1">#REF!,#REF!</definedName>
    <definedName name="_Apta70_1_2_1">#REF!,#REF!,#REF!,#REF!,#REF!,#REF!,#REF!,#REF!,#REF!</definedName>
    <definedName name="_Apta70_1_3_1">#REF!,#REF!,#REF!,#REF!,#REF!,#REF!,#REF!,#REF!,#REF!</definedName>
    <definedName name="_Apta70_1_4_1">#REF!,#REF!,#REF!,#REF!,#REF!,#REF!,#REF!,#REF!,#REF!</definedName>
    <definedName name="_Apta70_1_5_1">#REF!,#REF!,#REF!,#REF!,#REF!,#REF!,#REF!,#REF!,#REF!</definedName>
    <definedName name="_Apta70_1_6_1">#REF!,#REF!,#REF!,#REF!,#REF!,#REF!,#REF!,#REF!,#REF!</definedName>
    <definedName name="_Apta71_1_2_1">#REF!,#REF!,#REF!,#REF!,#REF!,#REF!,#REF!,#REF!,#REF!,#REF!</definedName>
    <definedName name="_Apta71_1_3_1">#REF!,#REF!,#REF!,#REF!,#REF!,#REF!,#REF!,#REF!,#REF!,#REF!</definedName>
    <definedName name="_Apta71_1_4_1">#REF!,#REF!,#REF!,#REF!,#REF!,#REF!,#REF!,#REF!,#REF!,#REF!</definedName>
    <definedName name="_Apta71_1_5_1">#REF!,#REF!,#REF!,#REF!,#REF!,#REF!,#REF!,#REF!,#REF!,#REF!</definedName>
    <definedName name="_Apta71_1_6_1">#REF!,#REF!,#REF!,#REF!,#REF!,#REF!,#REF!,#REF!,#REF!,#REF!</definedName>
    <definedName name="_Apta77_1_2_1">#REF!,#REF!,#REF!,#REF!,#REF!,#REF!,#REF!,#REF!,#REF!,#REF!,#REF!,#REF!,#REF!,#REF!,#REF!,#REF!,#REF!,#REF!</definedName>
    <definedName name="_Apta77_1_3_1">#REF!,#REF!,#REF!,#REF!,#REF!,#REF!,#REF!,#REF!,#REF!,#REF!,#REF!,#REF!,#REF!,#REF!,#REF!,#REF!,#REF!,#REF!</definedName>
    <definedName name="_Apta77_1_4_1">#REF!,#REF!,#REF!,#REF!,#REF!,#REF!,#REF!,#REF!,#REF!,#REF!,#REF!,#REF!,#REF!,#REF!,#REF!,#REF!,#REF!,#REF!</definedName>
    <definedName name="_Apta77_1_5_1">#REF!,#REF!,#REF!,#REF!,#REF!,#REF!,#REF!,#REF!,#REF!,#REF!,#REF!,#REF!,#REF!,#REF!,#REF!,#REF!,#REF!,#REF!</definedName>
    <definedName name="_Apta77_1_6_1">#REF!,#REF!,#REF!,#REF!,#REF!,#REF!,#REF!,#REF!,#REF!,#REF!,#REF!,#REF!,#REF!,#REF!,#REF!,#REF!,#REF!,#REF!</definedName>
    <definedName name="_Apta83_1_2_1">#REF!,#REF!,#REF!,#REF!,#REF!</definedName>
    <definedName name="_Apta83_1_3_1">#REF!,#REF!,#REF!,#REF!,#REF!</definedName>
    <definedName name="_Apta83_1_4_1">#REF!,#REF!,#REF!,#REF!,#REF!</definedName>
    <definedName name="_Apta83_1_5_1">#REF!,#REF!,#REF!,#REF!,#REF!</definedName>
    <definedName name="_Apta83_1_6_1">#REF!,#REF!,#REF!,#REF!,#REF!</definedName>
    <definedName name="_Apta85_1_2_1">#REF!,#REF!,#REF!,#REF!,#REF!,#REF!,#REF!,#REF!,#REF!,#REF!,#REF!,#REF!,#REF!,#REF!,#REF!,#REF!,#REF!,#REF!,#REF!,#REF!</definedName>
    <definedName name="_Apta85_1_3_1">#REF!,#REF!,#REF!,#REF!,#REF!,#REF!,#REF!,#REF!,#REF!,#REF!,#REF!,#REF!,#REF!,#REF!,#REF!,#REF!,#REF!,#REF!,#REF!,#REF!</definedName>
    <definedName name="_Apta85_1_4_1">#REF!,#REF!,#REF!,#REF!,#REF!,#REF!,#REF!,#REF!,#REF!,#REF!,#REF!,#REF!,#REF!,#REF!,#REF!,#REF!,#REF!,#REF!,#REF!,#REF!</definedName>
    <definedName name="_Apta85_1_5_1">#REF!,#REF!,#REF!,#REF!,#REF!,#REF!,#REF!,#REF!,#REF!,#REF!,#REF!,#REF!,#REF!,#REF!,#REF!,#REF!,#REF!,#REF!,#REF!,#REF!</definedName>
    <definedName name="_Apta85_1_6_1">#REF!,#REF!,#REF!,#REF!,#REF!,#REF!,#REF!,#REF!,#REF!,#REF!,#REF!,#REF!,#REF!,#REF!,#REF!,#REF!,#REF!,#REF!,#REF!,#REF!</definedName>
    <definedName name="_Apta86_1_2_1">#REF!,#REF!,#REF!,#REF!</definedName>
    <definedName name="_Apta86_1_3_1">#REF!,#REF!,#REF!,#REF!</definedName>
    <definedName name="_Apta86_1_4_1">#REF!,#REF!,#REF!,#REF!</definedName>
    <definedName name="_Apta86_1_5_1">#REF!,#REF!,#REF!,#REF!</definedName>
    <definedName name="_Apta86_1_6_1">#REF!,#REF!,#REF!,#REF!</definedName>
    <definedName name="_Apta88_1_2_1">#REF!,#REF!</definedName>
    <definedName name="_Apta88_1_3_1">#REF!,#REF!</definedName>
    <definedName name="_Apta88_1_4_1">#REF!,#REF!</definedName>
    <definedName name="_Apta88_1_5_1">#REF!,#REF!</definedName>
    <definedName name="_Apta88_1_6_1">#REF!,#REF!</definedName>
    <definedName name="_Apta91_1_2_1">#REF!,#REF!,#REF!,#REF!</definedName>
    <definedName name="_Apta91_1_3_1">#REF!,#REF!,#REF!,#REF!</definedName>
    <definedName name="_Apta91_1_4_1">#REF!,#REF!,#REF!,#REF!</definedName>
    <definedName name="_Apta91_1_5_1">#REF!,#REF!,#REF!,#REF!</definedName>
    <definedName name="_Apta91_1_6_1">#REF!,#REF!,#REF!,#REF!</definedName>
    <definedName name="_Apta92_1_2_1">#REF!,#REF!,#REF!,#REF!,#REF!</definedName>
    <definedName name="_Apta92_1_3_1">#REF!,#REF!,#REF!,#REF!,#REF!</definedName>
    <definedName name="_Apta92_1_4_1">#REF!,#REF!,#REF!,#REF!,#REF!</definedName>
    <definedName name="_Apta92_1_5_1">#REF!,#REF!,#REF!,#REF!,#REF!</definedName>
    <definedName name="_Apta92_1_6_1">#REF!,#REF!,#REF!,#REF!,#REF!</definedName>
    <definedName name="_Apta99_1_2_1">#REF!,#REF!</definedName>
    <definedName name="_Apta99_1_3_1">#REF!,#REF!</definedName>
    <definedName name="_Apta99_1_4_1">#REF!,#REF!</definedName>
    <definedName name="_Apta99_1_5_1">#REF!,#REF!</definedName>
    <definedName name="_Apta99_1_6_1">#REF!,#REF!</definedName>
    <definedName name="_arb2">#REF!</definedName>
    <definedName name="_arb3">#REF!</definedName>
    <definedName name="_Ateam1960">#REF!</definedName>
    <definedName name="_Ateam1991">#REF!</definedName>
    <definedName name="_Ateam333">#REF!</definedName>
    <definedName name="_AteamDREAM">#REF!</definedName>
    <definedName name="_AteamDREAMHS">#REF!</definedName>
    <definedName name="_AteamSBX">#REF!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GoalSeekTargetValue">0</definedName>
    <definedName name="_AtRisk_SimSetting_LiveUpdate">TRUE</definedName>
    <definedName name="_AtRisk_SimSetting_LiveUpdatePeriod">-1</definedName>
    <definedName name="_AtRisk_SimSetting_MacroMode">0</definedName>
    <definedName name="_AtRisk_SimSetting_MacroRecalculationBehavior">0</definedName>
    <definedName name="_AtRisk_SimSetting_MaxAutoIterations">50000</definedName>
    <definedName name="_AtRisk_SimSetting_MultipleCPUCount">8</definedName>
    <definedName name="_AtRisk_SimSetting_MultipleCPUManualCount">8</definedName>
    <definedName name="_AtRisk_SimSetting_MultipleCPUMode">2</definedName>
    <definedName name="_AtRisk_SimSetting_MultipleCPUModeV8">2</definedName>
    <definedName name="_AtRisk_SimSetting_RandomNumberGenerator">0</definedName>
    <definedName name="_AtRisk_SimSetting_ReportOptionCustomItemsCount">0</definedName>
    <definedName name="_AtRisk_SimSetting_ReportOptionDataMode">1</definedName>
    <definedName name="_AtRisk_SimSetting_ReportOptionReportMultiSimType">1</definedName>
    <definedName name="_AtRisk_SimSetting_ReportOptionReportPlacement">1</definedName>
    <definedName name="_AtRisk_SimSetting_ReportOptionReportSelection">0</definedName>
    <definedName name="_AtRisk_SimSetting_ReportOptionReportsFileType">1</definedName>
    <definedName name="_AtRisk_SimSetting_ReportOptionReportStyle">1</definedName>
    <definedName name="_AtRisk_SimSetting_ReportOptionSelectiveQR">FALSE</definedName>
    <definedName name="_AtRisk_SimSetting_ReportsList">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2</definedName>
    <definedName name="_AtRisk_SimSetting_StdRecalcWithoutRiskStaticPercentile">0.5</definedName>
    <definedName name="_AvailableBalance">#REF!</definedName>
    <definedName name="_AvailableBalance2">#REF!</definedName>
    <definedName name="_b1" hidden="1">{"annual",#N/A,FALSE,"Pro Forma";#N/A,#N/A,FALSE,"Golf Operations"}</definedName>
    <definedName name="_bdm.17E144F561804739B0F2BCC26DA73708.edm" hidden="1">#REF!</definedName>
    <definedName name="_bdm.2D61E03D8651420480D11D8E8EBCA380.edm" hidden="1">#REF!</definedName>
    <definedName name="_bdm.6A897E6781904C8FB772B29C22D90C37.edm" hidden="1">#REF!</definedName>
    <definedName name="_bdm.71486A4CE2884B4187D0BC83436ED520.edm" hidden="1">#REF!</definedName>
    <definedName name="_bdm.9B143323A3374AF491279A50135C30FA.edm" hidden="1">#REF!</definedName>
    <definedName name="_bdm.B098F9F87DB74CBEA0BB152934FA8FCF.edm" hidden="1">#REF!</definedName>
    <definedName name="_bdm.CE68A13289AB418298D6D2FFA2228F99.edm" hidden="1">#REF!</definedName>
    <definedName name="_bdm.DCB006E09F8D4BA99AD6A329E293CC92.edm" hidden="1">#REF!</definedName>
    <definedName name="_Begin_Date">#REF!</definedName>
    <definedName name="_BeginningBalance">#REF!</definedName>
    <definedName name="_bga2">#REF!</definedName>
    <definedName name="_bga3">#REF!</definedName>
    <definedName name="_bga4">#REF!</definedName>
    <definedName name="_Budget">#REF!</definedName>
    <definedName name="_Calendar">#REF!</definedName>
    <definedName name="_cd1" hidden="1">{"annual",#N/A,FALSE,"Pro Forma";#N/A,#N/A,FALSE,"Golf Operations"}</definedName>
    <definedName name="_CFL1">#N/A</definedName>
    <definedName name="_cflow_2" hidden="1">{"CF",#N/A,FALSE,"Cash Flow";"RET",#N/A,FALSE,"Returns";"NPV",#N/A,FALSE,"Values";"ASMPT",#N/A,FALSE,"Assumptions"}</definedName>
    <definedName name="_cga2">#REF!</definedName>
    <definedName name="_cga3">#REF!</definedName>
    <definedName name="_cga4">#REF!</definedName>
    <definedName name="_COE1">#REF!</definedName>
    <definedName name="_COE1.">#REF!</definedName>
    <definedName name="_Comment">#REF!</definedName>
    <definedName name="_Consolidate_Area">#REF!</definedName>
    <definedName name="_Contract_Days">#REF!</definedName>
    <definedName name="_Contract_Days_1">#REF!</definedName>
    <definedName name="_Course">#REF!</definedName>
    <definedName name="_CP0151000">#REF!</definedName>
    <definedName name="_CP0152000">#REF!</definedName>
    <definedName name="_CP0153000">#REF!</definedName>
    <definedName name="_CP0154000">#REF!</definedName>
    <definedName name="_CP0155000">#REF!</definedName>
    <definedName name="_CP0156000">#REF!</definedName>
    <definedName name="_CP0157000">#REF!</definedName>
    <definedName name="_CP0171000">#REF!</definedName>
    <definedName name="_CP0172000">#REF!</definedName>
    <definedName name="_CP0173000">#REF!</definedName>
    <definedName name="_CP0174000">#REF!</definedName>
    <definedName name="_CP0175000">#REF!</definedName>
    <definedName name="_CP0176000">#REF!</definedName>
    <definedName name="_CP0177000">#REF!</definedName>
    <definedName name="_CP0621000">#REF!</definedName>
    <definedName name="_CP0622000">#REF!</definedName>
    <definedName name="_CP0623000">#REF!</definedName>
    <definedName name="_CP0624000">#REF!</definedName>
    <definedName name="_CP0625000">#REF!</definedName>
    <definedName name="_CP0626000">#REF!</definedName>
    <definedName name="_CP0627000">#REF!</definedName>
    <definedName name="_CP0741000">#REF!</definedName>
    <definedName name="_CP0742000">#REF!</definedName>
    <definedName name="_CP0743000">#REF!</definedName>
    <definedName name="_CP0744000">#REF!</definedName>
    <definedName name="_CP0745000">#REF!</definedName>
    <definedName name="_CP0746000">#REF!</definedName>
    <definedName name="_CP0747000">#REF!</definedName>
    <definedName name="_CPV2">#REF!</definedName>
    <definedName name="_cpw1">#REF!</definedName>
    <definedName name="_cpw2">#REF!</definedName>
    <definedName name="_CPW45">#REF!</definedName>
    <definedName name="_csr1">#REF!</definedName>
    <definedName name="_csr2">#REF!</definedName>
    <definedName name="_csr3">#REF!</definedName>
    <definedName name="_csr4">#REF!</definedName>
    <definedName name="_DAT2">#REF!</definedName>
    <definedName name="_DAT4">#REF!</definedName>
    <definedName name="_DAT5">#REF!</definedName>
    <definedName name="_del1" localSheetId="4" hidden="1">{"Page1",#N/A,FALSE,"7979";"Page2",#N/A,FALSE,"7979";"Page3",#N/A,FALSE,"7979"}</definedName>
    <definedName name="_del1" localSheetId="2" hidden="1">{"Page1",#N/A,FALSE,"7979";"Page2",#N/A,FALSE,"7979";"Page3",#N/A,FALSE,"7979"}</definedName>
    <definedName name="_del1" localSheetId="1" hidden="1">{"Page1",#N/A,FALSE,"7979";"Page2",#N/A,FALSE,"7979";"Page3",#N/A,FALSE,"7979"}</definedName>
    <definedName name="_del1" localSheetId="5" hidden="1">{"Page1",#N/A,FALSE,"7979";"Page2",#N/A,FALSE,"7979";"Page3",#N/A,FALSE,"7979"}</definedName>
    <definedName name="_del1" localSheetId="8" hidden="1">{"Page1",#N/A,FALSE,"7979";"Page2",#N/A,FALSE,"7979";"Page3",#N/A,FALSE,"7979"}</definedName>
    <definedName name="_del1" localSheetId="3" hidden="1">{"Page1",#N/A,FALSE,"7979";"Page2",#N/A,FALSE,"7979";"Page3",#N/A,FALSE,"7979"}</definedName>
    <definedName name="_del1" hidden="1">{"Page1",#N/A,FALSE,"7979";"Page2",#N/A,FALSE,"7979";"Page3",#N/A,FALSE,"7979"}</definedName>
    <definedName name="_del2">#REF!</definedName>
    <definedName name="_Description">#REF!</definedName>
    <definedName name="_Designation">#REF!</definedName>
    <definedName name="_Dist_Values" hidden="1">#REF!</definedName>
    <definedName name="_Div10">#REF!</definedName>
    <definedName name="_Div11">#REF!</definedName>
    <definedName name="_Div12">#REF!</definedName>
    <definedName name="_Div13">#REF!</definedName>
    <definedName name="_Div14">#REF!</definedName>
    <definedName name="_Div15">#REF!</definedName>
    <definedName name="_Div16">#REF!</definedName>
    <definedName name="_Div19">#REF!</definedName>
    <definedName name="_DIV2">#REF!</definedName>
    <definedName name="_DIV2SCENARIO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REAMOpsDREAM">#REF!</definedName>
    <definedName name="_DREAMOpsDREAMHS">#REF!</definedName>
    <definedName name="_DSP12">#REF!</definedName>
    <definedName name="_DSP141">#REF!</definedName>
    <definedName name="_DSP176">#REF!</definedName>
    <definedName name="_DSP197">#REF!</definedName>
    <definedName name="_DSP212">#REF!</definedName>
    <definedName name="_DSP227">#REF!</definedName>
    <definedName name="_DSP242">#REF!</definedName>
    <definedName name="_DSP261">#REF!</definedName>
    <definedName name="_DSP300">#REF!</definedName>
    <definedName name="_DSP333">#REF!</definedName>
    <definedName name="_DSP352">#REF!</definedName>
    <definedName name="_DSP373">#REF!</definedName>
    <definedName name="_DSP388">#REF!</definedName>
    <definedName name="_DSP415">#REF!</definedName>
    <definedName name="_DSP436">#REF!</definedName>
    <definedName name="_DSP45">#REF!</definedName>
    <definedName name="_DSP460">#REF!</definedName>
    <definedName name="_DSP66">#REF!</definedName>
    <definedName name="_DSP81">#REF!</definedName>
    <definedName name="_EGF2">#N/A</definedName>
    <definedName name="_EGF3">#N/A</definedName>
    <definedName name="_EGF4">#N/A</definedName>
    <definedName name="_EGF5">#N/A</definedName>
    <definedName name="_Element">#REF!</definedName>
    <definedName name="_ElementValue">#REF!</definedName>
    <definedName name="_Employee">#REF!</definedName>
    <definedName name="_Encumbrances">#REF!</definedName>
    <definedName name="_End_Date">#REF!</definedName>
    <definedName name="_EndingBalance">#REF!</definedName>
    <definedName name="_Facil1960">#REF!</definedName>
    <definedName name="_Facil1991">#REF!</definedName>
    <definedName name="_Facil333">#REF!</definedName>
    <definedName name="_FacilDREAM">#REF!</definedName>
    <definedName name="_FacilDREAMHS">#REF!</definedName>
    <definedName name="_FacilSBX">#REF!</definedName>
    <definedName name="_fgv1">#REF!</definedName>
    <definedName name="_fgv2">#REF!</definedName>
    <definedName name="_fid2">#REF!</definedName>
    <definedName name="_Fil1" localSheetId="2" hidden="1">#REF!</definedName>
    <definedName name="_Fil1" localSheetId="1" hidden="1">#REF!</definedName>
    <definedName name="_Fil1" hidden="1">#REF!</definedName>
    <definedName name="_Fill" localSheetId="2" hidden="1">#REF!</definedName>
    <definedName name="_Fill" localSheetId="1" hidden="1">#REF!</definedName>
    <definedName name="_Fill" hidden="1">#REF!</definedName>
    <definedName name="_Fill2" hidden="1">#REF!</definedName>
    <definedName name="_Fill3">#REF!</definedName>
    <definedName name="_xlnm._FilterDatabase" localSheetId="4" hidden="1">#REF!</definedName>
    <definedName name="_xlnm._FilterDatabase" localSheetId="12" hidden="1">'FY26 LAP Corrections'!$A$1:$E$259</definedName>
    <definedName name="_xlnm._FilterDatabase" localSheetId="13" hidden="1">'FY26 SpEd BEA Rates'!$A$3:$P$381</definedName>
    <definedName name="_xlnm._FilterDatabase" localSheetId="1" hidden="1">#N/A</definedName>
    <definedName name="_xlnm._FilterDatabase" localSheetId="5" hidden="1">#N/A</definedName>
    <definedName name="_xlnm._FilterDatabase" localSheetId="8" hidden="1">#N/A</definedName>
    <definedName name="_xlnm._FilterDatabase" localSheetId="3" hidden="1">STAFFING!$R$51:$R$121</definedName>
    <definedName name="_xlnm._FilterDatabase" hidden="1">#REF!</definedName>
    <definedName name="_fin1">#REF!</definedName>
    <definedName name="_fin2">#REF!</definedName>
    <definedName name="_fin3">#REF!</definedName>
    <definedName name="_fmd2">#REF!</definedName>
    <definedName name="_FOR1">#REF!</definedName>
    <definedName name="_FOR2">#REF!</definedName>
    <definedName name="_FTE">#REF!</definedName>
    <definedName name="_FTE5">#REF!</definedName>
    <definedName name="_Function">#REF!</definedName>
    <definedName name="_Fund">#REF!</definedName>
    <definedName name="_Fund_Balancing_Element_Values">#REF!</definedName>
    <definedName name="_Fund_Classification">#REF!</definedName>
    <definedName name="_Goal">#REF!</definedName>
    <definedName name="_gr1" hidden="1">{"three",#N/A,FALSE,"Capital";"four",#N/A,FALSE,"Capital"}</definedName>
    <definedName name="_Grade">#REF!</definedName>
    <definedName name="_grp1">#REF!</definedName>
    <definedName name="_I001_Discounted_Cash_Flow">#REF!</definedName>
    <definedName name="_i00All_Inputs">#REF!</definedName>
    <definedName name="_I03Summary_Valuation">#REF!</definedName>
    <definedName name="_i482_Assumptions">#REF!</definedName>
    <definedName name="_INT1">#REF!</definedName>
    <definedName name="_INT2">#REF!</definedName>
    <definedName name="_IT1960">#REF!</definedName>
    <definedName name="_IT1991">#REF!</definedName>
    <definedName name="_IT333">#REF!</definedName>
    <definedName name="_ITDREAM">#REF!</definedName>
    <definedName name="_ITDREAMHS">#REF!</definedName>
    <definedName name="_ITSBX">#REF!</definedName>
    <definedName name="_Key1" localSheetId="2" hidden="1">#REF!</definedName>
    <definedName name="_Key1" localSheetId="1" hidden="1">#REF!</definedName>
    <definedName name="_Key1" hidden="1">#REF!</definedName>
    <definedName name="_Key2" hidden="1">#REF!</definedName>
    <definedName name="_Key5" hidden="1">#REF!</definedName>
    <definedName name="_Key6" hidden="1">#REF!</definedName>
    <definedName name="_Key8" hidden="1">#REF!</definedName>
    <definedName name="_Key9" localSheetId="2" hidden="1">#REF!</definedName>
    <definedName name="_Key9" localSheetId="1" hidden="1">#REF!</definedName>
    <definedName name="_Key9" hidden="1">#REF!</definedName>
    <definedName name="_LDL1">#REF!</definedName>
    <definedName name="_LDL2">#REF!</definedName>
    <definedName name="_lmd2">#REF!</definedName>
    <definedName name="_lu1">#REF!</definedName>
    <definedName name="_lu2">#REF!</definedName>
    <definedName name="_lu3">#REF!</definedName>
    <definedName name="_mad335">#REF!</definedName>
    <definedName name="_mad347">#REF!</definedName>
    <definedName name="_MK1000">#REF!</definedName>
    <definedName name="_MK2000">#REF!</definedName>
    <definedName name="_MK3000">#REF!</definedName>
    <definedName name="_MK4000">#REF!</definedName>
    <definedName name="_MK5000">#REF!</definedName>
    <definedName name="_MK6000">#REF!</definedName>
    <definedName name="_MK7000">#REF!</definedName>
    <definedName name="_MR1000">#REF!</definedName>
    <definedName name="_MR2000">#REF!</definedName>
    <definedName name="_MR3000">#REF!</definedName>
    <definedName name="_MR4000">#REF!</definedName>
    <definedName name="_MR5000">#REF!</definedName>
    <definedName name="_MR6000">#REF!</definedName>
    <definedName name="_MR7000">#REF!</definedName>
    <definedName name="_Msg1">#REF!</definedName>
    <definedName name="_new1" hidden="1">{"Data Input",#N/A,TRUE,"Data Input";"15-Yr Cash Flow",#N/A,TRUE,"Cash Flow";"15-Yr Value",#N/A,TRUE,"Value "}</definedName>
    <definedName name="_new3" hidden="1">{"ODB",#N/A,FALSE,"Hold Scenario"}</definedName>
    <definedName name="_new4" hidden="1">{#N/A,#N/A,FALSE,"OpEx (PP)";#N/A,#N/A,FALSE,"Lease Comps (O)-BT";#N/A,#N/A,FALSE,"OpEx (CC)";#N/A,#N/A,FALSE,"Value (PP-Base)";#N/A,#N/A,FALSE,"Value (CC-Base)";#N/A,#N/A,FALSE,"Sales Comps (R)";#N/A,#N/A,FALSE,"Sales Comps (O)"}</definedName>
    <definedName name="_nic2">#REF!</definedName>
    <definedName name="_nic3">#REF!</definedName>
    <definedName name="_norm1">#REF!</definedName>
    <definedName name="_np1">#N/A</definedName>
    <definedName name="_Number">#REF!</definedName>
    <definedName name="_Object">#REF!</definedName>
    <definedName name="_oid2">#REF!</definedName>
    <definedName name="_Order1" localSheetId="4" hidden="1">0</definedName>
    <definedName name="_Order1" localSheetId="2" hidden="1">0</definedName>
    <definedName name="_Order1" localSheetId="1" hidden="1">255</definedName>
    <definedName name="_Order1" localSheetId="3" hidden="1">255</definedName>
    <definedName name="_Order1" hidden="1">255</definedName>
    <definedName name="_Order2" hidden="1">255</definedName>
    <definedName name="_P">#REF!</definedName>
    <definedName name="_P00bal">#REF!</definedName>
    <definedName name="_P00baladj">#REF!</definedName>
    <definedName name="_P00balassum">#REF!</definedName>
    <definedName name="_P00cash">#REF!</definedName>
    <definedName name="_P00facts">#REF!</definedName>
    <definedName name="_P00feeamort">#REF!</definedName>
    <definedName name="_P00fees">#REF!</definedName>
    <definedName name="_P00Food">#REF!</definedName>
    <definedName name="_P00inc">#REF!</definedName>
    <definedName name="_P00incassum">#REF!</definedName>
    <definedName name="_P00irr">#REF!</definedName>
    <definedName name="_P00model">#REF!</definedName>
    <definedName name="_P00Page_1">#REF!</definedName>
    <definedName name="_P00Page_12">#REF!</definedName>
    <definedName name="_P00Page_2">#REF!</definedName>
    <definedName name="_P00Page_3">#REF!</definedName>
    <definedName name="_P00Page_4">#REF!</definedName>
    <definedName name="_P00Page_5">#REF!</definedName>
    <definedName name="_P00Page_6">#REF!</definedName>
    <definedName name="_P00Print_All">#REF!</definedName>
    <definedName name="_P00sources">#REF!</definedName>
    <definedName name="_P00srsubdebt">#REF!</definedName>
    <definedName name="_P00summary">#REF!</definedName>
    <definedName name="_P00Summary_Valuation">#REF!</definedName>
    <definedName name="_P00supl">#REF!</definedName>
    <definedName name="_P00tax">#REF!</definedName>
    <definedName name="_P00wholemodel">#REF!</definedName>
    <definedName name="_P471000">#REF!</definedName>
    <definedName name="_P472000">#REF!</definedName>
    <definedName name="_P473000">#REF!</definedName>
    <definedName name="_P474000">#REF!</definedName>
    <definedName name="_P475000">#REF!</definedName>
    <definedName name="_P476000">#REF!</definedName>
    <definedName name="_P477000">#REF!</definedName>
    <definedName name="_P551000">#REF!</definedName>
    <definedName name="_P552000">#REF!</definedName>
    <definedName name="_P553000">#REF!</definedName>
    <definedName name="_P554000">#REF!</definedName>
    <definedName name="_P555000">#REF!</definedName>
    <definedName name="_P556000">#REF!</definedName>
    <definedName name="_P557000">#REF!</definedName>
    <definedName name="_P70Restaurants">#REF!</definedName>
    <definedName name="_par2">#REF!</definedName>
    <definedName name="_PG1">#REF!</definedName>
    <definedName name="_PG2">#REF!</definedName>
    <definedName name="_PG3">#REF!</definedName>
    <definedName name="_PG4">#REF!</definedName>
    <definedName name="_PG5">#REF!</definedName>
    <definedName name="_PJB1">#REF!</definedName>
    <definedName name="_PJB2">#REF!</definedName>
    <definedName name="_PL1">#REF!</definedName>
    <definedName name="_PL2">#REF!</definedName>
    <definedName name="_Position_Status">#REF!</definedName>
    <definedName name="_pr1">SUM(#REF!)</definedName>
    <definedName name="_pr10">SUM(#REF!)</definedName>
    <definedName name="_pr11">SUM(#REF!)</definedName>
    <definedName name="_pr12">SUM(#REF!)</definedName>
    <definedName name="_pr13">SUM(#REF!)</definedName>
    <definedName name="_pr14">SUM(#REF!)</definedName>
    <definedName name="_pr15">SUM(#REF!)</definedName>
    <definedName name="_pr16">SUM(#REF!)</definedName>
    <definedName name="_pr17">SUM(#REF!)</definedName>
    <definedName name="_pr18">SUM(#REF!)</definedName>
    <definedName name="_pr19">SUM(#REF!)</definedName>
    <definedName name="_pr2">SUM(#REF!)</definedName>
    <definedName name="_pr20">SUM(#REF!)</definedName>
    <definedName name="_pr21">SUM(#REF!)</definedName>
    <definedName name="_pr3">SUM(#REF!)</definedName>
    <definedName name="_pr4">SUM(#REF!)</definedName>
    <definedName name="_pr5">SUM(#REF!)</definedName>
    <definedName name="_pr6">SUM(#REF!)</definedName>
    <definedName name="_pr7">SUM(#REF!)</definedName>
    <definedName name="_pr8">SUM(#REF!)</definedName>
    <definedName name="_pr9">SUM(#REF!)</definedName>
    <definedName name="_ProjectYear">#REF!</definedName>
    <definedName name="_Q1">#REF!</definedName>
    <definedName name="_Q2">#REF!</definedName>
    <definedName name="_Q2YTD">#REF!</definedName>
    <definedName name="_Q3">#REF!</definedName>
    <definedName name="_Q3TYD">#REF!</definedName>
    <definedName name="_Q4">#REF!</definedName>
    <definedName name="_Q4TYD">#REF!</definedName>
    <definedName name="_Regression_Out" hidden="1">#REF!</definedName>
    <definedName name="_Regression_X" hidden="1">#REF!</definedName>
    <definedName name="_Regression_Y" hidden="1">#REF!</definedName>
    <definedName name="_Resource">#REF!</definedName>
    <definedName name="_RUP1">#N/A</definedName>
    <definedName name="_sad2" hidden="1">{"MonthlyRentRoll",#N/A,FALSE,"RentRoll"}</definedName>
    <definedName name="_salary">#REF!</definedName>
    <definedName name="_SB740">#REF!</definedName>
    <definedName name="_School">#REF!</definedName>
    <definedName name="_SchoolFiscal1">#REF!</definedName>
    <definedName name="_set1">#REF!</definedName>
    <definedName name="_set2">#REF!</definedName>
    <definedName name="_set3">#REF!</definedName>
    <definedName name="_Site">#REF!</definedName>
    <definedName name="_Sort" localSheetId="2" hidden="1">#REF!</definedName>
    <definedName name="_Sort" localSheetId="1" hidden="1">#REF!</definedName>
    <definedName name="_Sort" hidden="1">#REF!</definedName>
    <definedName name="_Source_Document">#REF!</definedName>
    <definedName name="_Source_Entity">#REF!</definedName>
    <definedName name="_SRS1">#REF!</definedName>
    <definedName name="_SRS2">#REF!</definedName>
    <definedName name="_ST1">#N/A</definedName>
    <definedName name="_Status">#REF!</definedName>
    <definedName name="_Subject">#REF!</definedName>
    <definedName name="_Tab2_In2" hidden="1">#REF!</definedName>
    <definedName name="_Table1_In1" localSheetId="2" hidden="1">#REF!</definedName>
    <definedName name="_Table1_In1" localSheetId="1" hidden="1">#REF!</definedName>
    <definedName name="_Table1_In1" hidden="1">#REF!</definedName>
    <definedName name="_Table1_Out" localSheetId="2" hidden="1">#REF!</definedName>
    <definedName name="_Table1_Out" localSheetId="1" hidden="1">#REF!</definedName>
    <definedName name="_Table1_Out" hidden="1">#REF!</definedName>
    <definedName name="_Table2" hidden="1">#REF!</definedName>
    <definedName name="_Table2_In1" localSheetId="2" hidden="1">#REF!</definedName>
    <definedName name="_Table2_In1" localSheetId="1" hidden="1">#REF!</definedName>
    <definedName name="_Table2_In1" hidden="1">#REF!</definedName>
    <definedName name="_Table2_In1_2" hidden="1">#REF!</definedName>
    <definedName name="_Table2_In2" hidden="1">#REF!</definedName>
    <definedName name="_Table2_in2_2" hidden="1">#REF!</definedName>
    <definedName name="_Table2_Out" localSheetId="2" hidden="1">#REF!</definedName>
    <definedName name="_Table2_Out" localSheetId="1" hidden="1">#REF!</definedName>
    <definedName name="_Table2_Out" hidden="1">#REF!</definedName>
    <definedName name="_tbl1">#REF!</definedName>
    <definedName name="_TOT10">#REF!</definedName>
    <definedName name="_TOT11">#REF!</definedName>
    <definedName name="_TOT12">#REF!</definedName>
    <definedName name="_TOT13">#REF!</definedName>
    <definedName name="_TOT14">#REF!</definedName>
    <definedName name="_TOT15">#REF!</definedName>
    <definedName name="_TOT16">#REF!</definedName>
    <definedName name="_TOT17">#REF!</definedName>
    <definedName name="_TOT18">#REF!</definedName>
    <definedName name="_TOT19">#REF!</definedName>
    <definedName name="_TOT20">#REF!</definedName>
    <definedName name="_TOT21">#REF!</definedName>
    <definedName name="_TOT22">#REF!</definedName>
    <definedName name="_TOT23">#REF!</definedName>
    <definedName name="_TOT24">#REF!</definedName>
    <definedName name="_TOT25">#REF!</definedName>
    <definedName name="_TOT26">#REF!</definedName>
    <definedName name="_TOT27">#REF!</definedName>
    <definedName name="_TOT7">#REF!</definedName>
    <definedName name="_TOT8">#REF!</definedName>
    <definedName name="_TOT9">#REF!</definedName>
    <definedName name="_Transaction_Number">#REF!</definedName>
    <definedName name="_TransactionCredit">#REF!</definedName>
    <definedName name="_TransactionDate">#REF!</definedName>
    <definedName name="_TransactionDebit">#REF!</definedName>
    <definedName name="_Type">#REF!</definedName>
    <definedName name="_vena_BalanceSheetS1_BalanceSheetB1_C_1_662882583268425730">#REF!</definedName>
    <definedName name="_vena_BalanceSheetS1_BalanceSheetB1_C_1_662882583268425730_1">#REF!</definedName>
    <definedName name="_vena_BalanceSheetS1_BalanceSheetB1_C_FV_a398e917565c475b8f0c5e9ebb5e002d">#REF!</definedName>
    <definedName name="_vena_BalanceSheetS1_BalanceSheetB1_C_FV_a398e917565c475b8f0c5e9ebb5e002d_1">#REF!</definedName>
    <definedName name="_vena_BalanceSheetS1_BalanceSheetB1_C_FV_a398e917565c475b8f0c5e9ebb5e002d_2">#REF!</definedName>
    <definedName name="_vena_BalanceSheetS1_BalanceSheetB1_C_FV_a398e917565c475b8f0c5e9ebb5e002d_3">#REF!</definedName>
    <definedName name="_vena_BalanceSheetS1_BalanceSheetB1_C_FV_e1c3a244dc3d4f149ecdf7d748811086">#REF!</definedName>
    <definedName name="_vena_BalanceSheetS1_BalanceSheetB1_C_FV_e1c3a244dc3d4f149ecdf7d748811086_1">#REF!</definedName>
    <definedName name="_vena_BalanceSheetS1_BalanceSheetB1_C_FV_e1c3a244dc3d4f149ecdf7d748811086_2">#REF!</definedName>
    <definedName name="_vena_BalanceSheetS1_BalanceSheetB1_C_FV_e1c3a244dc3d4f149ecdf7d748811086_3">#REF!</definedName>
    <definedName name="_vena_BalanceSheetS1_BalanceSheetB1_R_5_632005310894833666">#REF!</definedName>
    <definedName name="_vena_BalanceSheetS1_BalanceSheetB1_R_5_632005310924193794">#REF!</definedName>
    <definedName name="_vena_BalanceSheetS1_BalanceSheetB1_R_5_632005310995496964">#REF!</definedName>
    <definedName name="_vena_BalanceSheetS1_BalanceSheetB1_R_5_632005311083577346">#REF!</definedName>
    <definedName name="_vena_BalanceSheetS1_BalanceSheetB1_R_5_632005311213600772">#REF!</definedName>
    <definedName name="_vena_BalanceSheetS1_BalanceSheetB1_R_5_632005311242960896">#REF!</definedName>
    <definedName name="_vena_BalanceSheetS1_BalanceSheetB1_R_5_632005311767248896">#REF!</definedName>
    <definedName name="_vena_BalanceSheetS1_BalanceSheetB1_R_5_632005311767248898">#REF!</definedName>
    <definedName name="_vena_BalanceSheetS1_BalanceSheetB1_R_5_632005311947603971">#REF!</definedName>
    <definedName name="_vena_BalanceSheetS1_BalanceSheetB1_R_5_632005312237010948">#REF!</definedName>
    <definedName name="_vena_BalanceSheetS1_BalanceSheetB1_R_5_632005312266371078">#REF!</definedName>
    <definedName name="_vena_BalanceSheetS1_BalanceSheetB1_R_5_632005312325091330">#REF!</definedName>
    <definedName name="_vena_BalanceSheetS1_BalanceSheetB1_R_5_632005312442531846">#REF!</definedName>
    <definedName name="_vena_BalanceSheetS1_BalanceSheetB1_R_5_632005312450920454">#REF!</definedName>
    <definedName name="_vena_BalanceSheetS1_BalanceSheetB1_R_5_632005312610304000">#REF!</definedName>
    <definedName name="_vena_BalanceSheetS1_BalanceSheetB1_R_5_642245834465214464">#REF!</definedName>
    <definedName name="_vena_BalanceSheetS1_P_2_632005310802558978" comment="*">#REF!</definedName>
    <definedName name="_vena_BalanceSheetS1_P_6_632005313059094533" comment="*">#REF!</definedName>
    <definedName name="_vena_BalanceSheetS1_P_7_632005313260421126" comment="*">#REF!</definedName>
    <definedName name="_vena_BalanceSheetS1_P_8_632005313667268610" comment="*">#REF!</definedName>
    <definedName name="_vena_BalanceSheetS2_BalanceSheetB2_C_1_662882583268425730">#REF!</definedName>
    <definedName name="_vena_BalanceSheetS2_BalanceSheetB2_C_8_632005313650491398">#REF!</definedName>
    <definedName name="_vena_BalanceSheetS2_BalanceSheetB2_C_8_632005313650491398_1">#REF!</definedName>
    <definedName name="_vena_BalanceSheetS2_BalanceSheetB2_R_5_632005310894833666">#REF!</definedName>
    <definedName name="_vena_BalanceSheetS2_BalanceSheetB2_R_5_632005310924193794">#REF!</definedName>
    <definedName name="_vena_BalanceSheetS2_BalanceSheetB2_R_5_632005310995496964">#REF!</definedName>
    <definedName name="_vena_BalanceSheetS2_BalanceSheetB2_R_5_632005311083577346">#REF!</definedName>
    <definedName name="_vena_BalanceSheetS2_BalanceSheetB2_R_5_632005311213600772">#REF!</definedName>
    <definedName name="_vena_BalanceSheetS2_BalanceSheetB2_R_5_632005311242960896">#REF!</definedName>
    <definedName name="_vena_BalanceSheetS2_BalanceSheetB2_R_5_632005311679168518">#REF!</definedName>
    <definedName name="_vena_BalanceSheetS2_BalanceSheetB2_R_5_632005311767248896">#REF!</definedName>
    <definedName name="_vena_BalanceSheetS2_BalanceSheetB2_R_5_632005311767248898">#REF!</definedName>
    <definedName name="_vena_BalanceSheetS2_BalanceSheetB2_R_5_632005311947603971">#REF!</definedName>
    <definedName name="_vena_BalanceSheetS2_BalanceSheetB2_R_5_632005312237010948">#REF!</definedName>
    <definedName name="_vena_BalanceSheetS2_BalanceSheetB2_R_5_632005312266371078">#REF!</definedName>
    <definedName name="_vena_BalanceSheetS2_BalanceSheetB2_R_5_632005312325091330">#REF!</definedName>
    <definedName name="_vena_BalanceSheetS2_BalanceSheetB2_R_5_632005312442531846">#REF!</definedName>
    <definedName name="_vena_BalanceSheetS2_BalanceSheetB2_R_5_632005312450920454">#REF!</definedName>
    <definedName name="_vena_BalanceSheetS2_BalanceSheetB3_C_8_632005313629519872">#REF!</definedName>
    <definedName name="_vena_BalanceSheetS2_BalanceSheetB3_C_8_632005313629519872_1">#REF!</definedName>
    <definedName name="_vena_BalanceSheetS2_BalanceSheetB3_C_FV_9b0abd7578fb42018b1ba18b8b26d3ae">#REF!</definedName>
    <definedName name="_vena_BalanceSheetS2_BalanceSheetB3_C_FV_9b0abd7578fb42018b1ba18b8b26d3ae_1">#REF!</definedName>
    <definedName name="_vena_BalanceSheetS2_BalanceSheetB3_R_5_667945018958282752">#REF!</definedName>
    <definedName name="_vena_BalanceSheetS2_P_3_632005310022418436" comment="*">#REF!</definedName>
    <definedName name="_vena_BalanceSheetS2_P_6_632005313063288832" comment="*">#REF!</definedName>
    <definedName name="_vena_BalanceSheetS2_P_7_632005313256226820" comment="*">#REF!</definedName>
    <definedName name="_vena_BalanceSheetS2_P_FV_e1c3a244dc3d4f149ecdf7d748811086" comment="*">#REF!</definedName>
    <definedName name="_vena_BalanceSheetS2_P_FV_e3545e3dcc52420a84dcdae3a23a4597" comment="*">#REF!</definedName>
    <definedName name="_vena_Budget_P_2_1133913492312686602">#REF!</definedName>
    <definedName name="_vena_Budget_P_2_1273064267406508032" comment="*">#REF!</definedName>
    <definedName name="_vena_Budget_P_2_1400381491900448778" comment="*">#REF!</definedName>
    <definedName name="_vena_CapExS1_CapExB1_C_2_632005310802558978">#REF!</definedName>
    <definedName name="_vena_CapExS1_CapExB1_C_2_632005310802558978_1">#REF!</definedName>
    <definedName name="_vena_CapExS1_CapExB1_C_2_632005310802558978_10">#REF!</definedName>
    <definedName name="_vena_CapExS1_CapExB1_C_2_632005310802558978_11">#REF!</definedName>
    <definedName name="_vena_CapExS1_CapExB1_C_2_632005310802558978_12">#REF!</definedName>
    <definedName name="_vena_CapExS1_CapExB1_C_2_632005310802558978_13">#REF!</definedName>
    <definedName name="_vena_CapExS1_CapExB1_C_2_632005310802558978_2">#REF!</definedName>
    <definedName name="_vena_CapExS1_CapExB1_C_2_632005310802558978_3">#REF!</definedName>
    <definedName name="_vena_CapExS1_CapExB1_C_2_632005310802558978_4">#REF!</definedName>
    <definedName name="_vena_CapExS1_CapExB1_C_2_632005310802558978_5">#REF!</definedName>
    <definedName name="_vena_CapExS1_CapExB1_C_2_632005310802558978_6">#REF!</definedName>
    <definedName name="_vena_CapExS1_CapExB1_C_2_632005310802558978_7">#REF!</definedName>
    <definedName name="_vena_CapExS1_CapExB1_C_2_632005310802558978_8">#REF!</definedName>
    <definedName name="_vena_CapExS1_CapExB1_C_2_632005310802558978_9">#REF!</definedName>
    <definedName name="_vena_CapExS1_CapExB1_C_3_632005310022418432">#REF!</definedName>
    <definedName name="_vena_CapExS1_CapExB1_C_3_632005310022418436">#REF!</definedName>
    <definedName name="_vena_CapExS1_CapExB1_C_4_632005309959503878">#REF!</definedName>
    <definedName name="_vena_CapExS1_CapExB1_C_4_632005309959503878_1">#REF!</definedName>
    <definedName name="_vena_CapExS1_CapExB1_C_4_632005309959503878_2">#REF!</definedName>
    <definedName name="_vena_CapExS1_CapExB1_C_8_632005313595965446">#REF!</definedName>
    <definedName name="_vena_CapExS1_CapExB1_C_8_632005313595965446_1">#REF!</definedName>
    <definedName name="_vena_CapExS1_CapExB1_C_8_632005313595965446_2">#REF!</definedName>
    <definedName name="_vena_CapExS1_CapExB1_C_8_632005313595965446_3">#REF!</definedName>
    <definedName name="_vena_CapExS1_CapExB1_C_8_632005313595965446_4">#REF!</definedName>
    <definedName name="_vena_CapExS1_CapExB1_C_8_632005313595965446_5">#REF!</definedName>
    <definedName name="_vena_CapExS1_CapExB1_C_8_632005313629519872">#REF!</definedName>
    <definedName name="_vena_CapExS1_CapExB1_C_8_632005313629519872_1">#REF!</definedName>
    <definedName name="_vena_CapExS1_CapExB1_C_8_632005313629519872_2">#REF!</definedName>
    <definedName name="_vena_CapExS1_CapExB1_C_8_632005313629519872_3">#REF!</definedName>
    <definedName name="_vena_CapExS1_CapExB1_C_8_632005313629519872_4">#REF!</definedName>
    <definedName name="_vena_CapExS1_CapExB1_C_8_632005313629519872_5">#REF!</definedName>
    <definedName name="_vena_CapExS1_CapExB1_C_8_632005313650491392">#REF!</definedName>
    <definedName name="_vena_CapExS1_CapExB1_C_8_632005313650491400">#REF!</definedName>
    <definedName name="_vena_CapExS1_CapExB1_C_8_632005313667268610">#REF!</definedName>
    <definedName name="_vena_CapExS1_CapExB1_C_8_632005313667268610_1">#REF!</definedName>
    <definedName name="_vena_CapExS1_CapExB1_C_8_632005313667268610_10">#REF!</definedName>
    <definedName name="_vena_CapExS1_CapExB1_C_8_632005313667268610_11">#REF!</definedName>
    <definedName name="_vena_CapExS1_CapExB1_C_8_632005313667268610_12">#REF!</definedName>
    <definedName name="_vena_CapExS1_CapExB1_C_8_632005313667268610_13">#REF!</definedName>
    <definedName name="_vena_CapExS1_CapExB1_C_8_632005313667268610_2">#REF!</definedName>
    <definedName name="_vena_CapExS1_CapExB1_C_8_632005313667268610_3">#REF!</definedName>
    <definedName name="_vena_CapExS1_CapExB1_C_8_632005313667268610_4">#REF!</definedName>
    <definedName name="_vena_CapExS1_CapExB1_C_8_632005313667268610_5">#REF!</definedName>
    <definedName name="_vena_CapExS1_CapExB1_C_8_632005313667268610_6">#REF!</definedName>
    <definedName name="_vena_CapExS1_CapExB1_C_8_632005313667268610_7">#REF!</definedName>
    <definedName name="_vena_CapExS1_CapExB1_C_8_632005313667268610_8">#REF!</definedName>
    <definedName name="_vena_CapExS1_CapExB1_C_8_632005313667268610_9">#REF!</definedName>
    <definedName name="_vena_CapExS1_CapExB1_C_8_632005313684045832">#REF!</definedName>
    <definedName name="_vena_CapExS1_CapExB1_C_FV_a398e917565c475b8f0c5e9ebb5e002d">#REF!</definedName>
    <definedName name="_vena_CapExS1_CapExB1_C_FV_a398e917565c475b8f0c5e9ebb5e002d_1">#REF!</definedName>
    <definedName name="_vena_CapExS1_CapExB1_C_FV_a398e917565c475b8f0c5e9ebb5e002d_10">#REF!</definedName>
    <definedName name="_vena_CapExS1_CapExB1_C_FV_a398e917565c475b8f0c5e9ebb5e002d_11">#REF!</definedName>
    <definedName name="_vena_CapExS1_CapExB1_C_FV_a398e917565c475b8f0c5e9ebb5e002d_12">#REF!</definedName>
    <definedName name="_vena_CapExS1_CapExB1_C_FV_a398e917565c475b8f0c5e9ebb5e002d_2">#REF!</definedName>
    <definedName name="_vena_CapExS1_CapExB1_C_FV_a398e917565c475b8f0c5e9ebb5e002d_3">#REF!</definedName>
    <definedName name="_vena_CapExS1_CapExB1_C_FV_a398e917565c475b8f0c5e9ebb5e002d_4">#REF!</definedName>
    <definedName name="_vena_CapExS1_CapExB1_C_FV_a398e917565c475b8f0c5e9ebb5e002d_5">#REF!</definedName>
    <definedName name="_vena_CapExS1_CapExB1_C_FV_a398e917565c475b8f0c5e9ebb5e002d_6">#REF!</definedName>
    <definedName name="_vena_CapExS1_CapExB1_C_FV_a398e917565c475b8f0c5e9ebb5e002d_7">#REF!</definedName>
    <definedName name="_vena_CapExS1_CapExB1_C_FV_a398e917565c475b8f0c5e9ebb5e002d_8">#REF!</definedName>
    <definedName name="_vena_CapExS1_CapExB1_C_FV_a398e917565c475b8f0c5e9ebb5e002d_9">#REF!</definedName>
    <definedName name="_vena_CapExS1_CapExB1_C_FV_e1c3a244dc3d4f149ecdf7d748811086">#REF!</definedName>
    <definedName name="_vena_CapExS1_CapExB1_C_FV_e1c3a244dc3d4f149ecdf7d748811086_1">#REF!</definedName>
    <definedName name="_vena_CapExS1_CapExB1_C_FV_e1c3a244dc3d4f149ecdf7d748811086_10">#REF!</definedName>
    <definedName name="_vena_CapExS1_CapExB1_C_FV_e1c3a244dc3d4f149ecdf7d748811086_11">#REF!</definedName>
    <definedName name="_vena_CapExS1_CapExB1_C_FV_e1c3a244dc3d4f149ecdf7d748811086_12">#REF!</definedName>
    <definedName name="_vena_CapExS1_CapExB1_C_FV_e1c3a244dc3d4f149ecdf7d748811086_13">#REF!</definedName>
    <definedName name="_vena_CapExS1_CapExB1_C_FV_e1c3a244dc3d4f149ecdf7d748811086_14">#REF!</definedName>
    <definedName name="_vena_CapExS1_CapExB1_C_FV_e1c3a244dc3d4f149ecdf7d748811086_18">#REF!</definedName>
    <definedName name="_vena_CapExS1_CapExB1_C_FV_e1c3a244dc3d4f149ecdf7d748811086_19">#REF!</definedName>
    <definedName name="_vena_CapExS1_CapExB1_C_FV_e1c3a244dc3d4f149ecdf7d748811086_2">#REF!</definedName>
    <definedName name="_vena_CapExS1_CapExB1_C_FV_e1c3a244dc3d4f149ecdf7d748811086_20">#REF!</definedName>
    <definedName name="_vena_CapExS1_CapExB1_C_FV_e1c3a244dc3d4f149ecdf7d748811086_21">#REF!</definedName>
    <definedName name="_vena_CapExS1_CapExB1_C_FV_e1c3a244dc3d4f149ecdf7d748811086_22">#REF!</definedName>
    <definedName name="_vena_CapExS1_CapExB1_C_FV_e1c3a244dc3d4f149ecdf7d748811086_23">#REF!</definedName>
    <definedName name="_vena_CapExS1_CapExB1_C_FV_e1c3a244dc3d4f149ecdf7d748811086_24">#REF!</definedName>
    <definedName name="_vena_CapExS1_CapExB1_C_FV_e1c3a244dc3d4f149ecdf7d748811086_25">#REF!</definedName>
    <definedName name="_vena_CapExS1_CapExB1_C_FV_e1c3a244dc3d4f149ecdf7d748811086_26">#REF!</definedName>
    <definedName name="_vena_CapExS1_CapExB1_C_FV_e1c3a244dc3d4f149ecdf7d748811086_27">#REF!</definedName>
    <definedName name="_vena_CapExS1_CapExB1_C_FV_e1c3a244dc3d4f149ecdf7d748811086_28">#REF!</definedName>
    <definedName name="_vena_CapExS1_CapExB1_C_FV_e1c3a244dc3d4f149ecdf7d748811086_29">#REF!</definedName>
    <definedName name="_vena_CapExS1_CapExB1_C_FV_e1c3a244dc3d4f149ecdf7d748811086_3">#REF!</definedName>
    <definedName name="_vena_CapExS1_CapExB1_C_FV_e1c3a244dc3d4f149ecdf7d748811086_4">#REF!</definedName>
    <definedName name="_vena_CapExS1_CapExB1_C_FV_e1c3a244dc3d4f149ecdf7d748811086_5">#REF!</definedName>
    <definedName name="_vena_CapExS1_CapExB1_C_FV_e1c3a244dc3d4f149ecdf7d748811086_6">#REF!</definedName>
    <definedName name="_vena_CapExS1_CapExB1_C_FV_e1c3a244dc3d4f149ecdf7d748811086_7">#REF!</definedName>
    <definedName name="_vena_CapExS1_CapExB1_C_FV_e1c3a244dc3d4f149ecdf7d748811086_8">#REF!</definedName>
    <definedName name="_vena_CapExS1_CapExB1_C_FV_e1c3a244dc3d4f149ecdf7d748811086_9">#REF!</definedName>
    <definedName name="_vena_CapExS1_CapExB1_C_FV_e3545e3dcc52420a84dcdae3a23a4597">#REF!</definedName>
    <definedName name="_vena_CapExS1_CapExB1_R_5_1185381162074505216">#REF!</definedName>
    <definedName name="_vena_CapExS1_CapExB1_R_5_1185381381183373313">#REF!</definedName>
    <definedName name="_vena_CapExS1_CapExB1_R_5_632005311217795076">#REF!</definedName>
    <definedName name="_vena_CapExS1_CapExB1_R_5_632005311293292550">#REF!</definedName>
    <definedName name="_vena_CapExS1_CapExB1_R_5_632005311314264065">#REF!</definedName>
    <definedName name="_vena_CapExS1_CapExB1_R_5_632005311322652673">#REF!</definedName>
    <definedName name="_vena_CapExS1_CapExB1_R_5_632005311347818503">#REF!</definedName>
    <definedName name="_vena_CapExS1_CapExB1_R_5_632005311381372929">#REF!</definedName>
    <definedName name="_vena_CapExS1_CapExB1_R_5_632005311398150146">#REF!</definedName>
    <definedName name="_vena_CapExS1_CapExB1_R_5_632005311402344454">#REF!</definedName>
    <definedName name="_vena_CapExS1_CapExB1_R_5_632005311435898884">#REF!</definedName>
    <definedName name="_vena_CapExS1_CapExB1_R_5_632005311456870400">#REF!</definedName>
    <definedName name="_vena_CapExS1_CapExB1_R_5_632005311482036228">#REF!</definedName>
    <definedName name="_vena_CapExS1_CapExB1_R_5_632005311511396354">#REF!</definedName>
    <definedName name="_vena_CapExS1_CapExB1_R_5_632005311544950788">#REF!</definedName>
    <definedName name="_vena_CapExS1_CapExB1_R_5_632005311553339393">#REF!</definedName>
    <definedName name="_vena_CapExS1_CapExB1_R_5_632005311574310914">#REF!</definedName>
    <definedName name="_vena_CapExS1_CapExB1_R_5_632005311607865348">#REF!</definedName>
    <definedName name="_vena_CapExS1_CapExB1_R_5_632005311654002692">#REF!</definedName>
    <definedName name="_vena_CapExS1_CapExB1_R_5_632005311876300804">#REF!</definedName>
    <definedName name="_vena_CapExS1_CapExB1_R_5_632005311922438146">#REF!</definedName>
    <definedName name="_vena_CapExS1_CapExB1_R_5_632005311976964104">#REF!</definedName>
    <definedName name="_vena_CapExS1_CapExB1_R_5_632005312006324240">#REF!</definedName>
    <definedName name="_vena_CapExS1_CapExB1_R_5_632005312031490085">#REF!</definedName>
    <definedName name="_vena_CapExS1_CapExB1_R_5_632005312056655878">#REF!</definedName>
    <definedName name="_vena_CapExS1_CapExB1_R_5_632005312077627398">#REF!</definedName>
    <definedName name="_vena_CapExS1_CapExB1_R_5_632005312081821701">#REF!</definedName>
    <definedName name="_vena_CapExS1_CapExB1_R_5_632005312106987526">#REF!</definedName>
    <definedName name="_vena_CapExS1_CapExB1_R_5_632005312148930566">#REF!</definedName>
    <definedName name="_vena_CapExS1_CapExB1_R_5_632005312157319172">#REF!</definedName>
    <definedName name="_vena_CapExS1_CapExB2_C_8_632005313629519872">#REF!</definedName>
    <definedName name="_vena_CapExS1_CapExB2_C_8_632005313629519872_1">#REF!</definedName>
    <definedName name="_vena_CapExS1_CapExB2_C_8_632005313629519872_2">#REF!</definedName>
    <definedName name="_vena_CapExS1_CapExB2_C_8_632005313629519872_3">#REF!</definedName>
    <definedName name="_vena_CapExS1_CapExB2_C_8_632005313629519872_4">#REF!</definedName>
    <definedName name="_vena_CapExS1_CapExB2_C_8_632005313629519872_5">#REF!</definedName>
    <definedName name="_vena_CapExS1_CapExB2_C_FV_e1c3a244dc3d4f149ecdf7d748811086_10">#REF!</definedName>
    <definedName name="_vena_CapExS1_CapExB2_C_FV_e1c3a244dc3d4f149ecdf7d748811086_11">#REF!</definedName>
    <definedName name="_vena_CapExS1_CapExB2_C_FV_e1c3a244dc3d4f149ecdf7d748811086_6">#REF!</definedName>
    <definedName name="_vena_CapExS1_CapExB2_C_FV_e1c3a244dc3d4f149ecdf7d748811086_7">#REF!</definedName>
    <definedName name="_vena_CapExS1_CapExB2_C_FV_e1c3a244dc3d4f149ecdf7d748811086_8">#REF!</definedName>
    <definedName name="_vena_CapExS1_CapExB2_C_FV_e1c3a244dc3d4f149ecdf7d748811086_9">#REF!</definedName>
    <definedName name="_vena_CapExS1_CapExB2_R_5_632005311498813448">#REF!</definedName>
    <definedName name="_vena_CapExS1_P_3_632005310022418436" comment="*">#REF!</definedName>
    <definedName name="_vena_CapExS1_P_6_632005313059094533" comment="*">#REF!</definedName>
    <definedName name="_vena_CapExS1_P_6_632005313063288832" comment="*">#REF!</definedName>
    <definedName name="_vena_CapExS1_P_7_632005313256226820" comment="*">#REF!</definedName>
    <definedName name="_vena_CapExS1_P_7_632005313260421126" comment="*">#REF!</definedName>
    <definedName name="_vena_CapExS1_P_FV_56493ffece784c5db4cd0fd3b40a250d" comment="*">#REF!</definedName>
    <definedName name="_vena_CapExS1_P_FV_9b0abd7578fb42018b1ba18b8b26d3ae" comment="*">#REF!</definedName>
    <definedName name="_vena_CapExS1_P_FV_e3545e3dcc52420a84dcdae3a23a4597" comment="*">#REF!</definedName>
    <definedName name="_vena_CapExS2_CapExB2_C_3_632005310022418436">#REF!</definedName>
    <definedName name="_vena_CapExS2_CapExB2_C_3_632005310022418436_1">#REF!</definedName>
    <definedName name="_vena_CapExS2_CapExB2_C_3_632005310022418436_2">#REF!</definedName>
    <definedName name="_vena_CapExS2_CapExB2_C_3_632005310022418436_3">#REF!</definedName>
    <definedName name="_vena_CapExS2_CapExB2_C_3_632005310022418436_4">#REF!</definedName>
    <definedName name="_vena_CapExS2_CapExB2_C_4_632005309959503878">#REF!</definedName>
    <definedName name="_vena_CapExS2_CapExB2_C_4_632005309959503878_1">#REF!</definedName>
    <definedName name="_vena_CapExS2_CapExB2_C_4_632005309959503878_2">#REF!</definedName>
    <definedName name="_vena_CapExS2_CapExB2_C_8_632005313595965446">#REF!</definedName>
    <definedName name="_vena_CapExS2_CapExB2_C_8_632005313629519872">#REF!</definedName>
    <definedName name="_vena_CapExS2_CapExB2_C_8_632005313637908481">#REF!</definedName>
    <definedName name="_vena_CapExS2_CapExB2_C_8_632005313650491400">#REF!</definedName>
    <definedName name="_vena_CapExS2_CapExB2_C_8_632005313692434436">#REF!</definedName>
    <definedName name="_vena_CapExS2_CapExB2_C_FV_e1c3a244dc3d4f149ecdf7d748811086">#REF!</definedName>
    <definedName name="_vena_CapExS2_CapExB2_C_FV_e1c3a244dc3d4f149ecdf7d748811086_1">#REF!</definedName>
    <definedName name="_vena_CapExS2_CapExB2_C_FV_e3545e3dcc52420a84dcdae3a23a4597">#REF!</definedName>
    <definedName name="_vena_CapExS2_CapExB2_C_FV_e3545e3dcc52420a84dcdae3a23a4597_1">#REF!</definedName>
    <definedName name="_vena_CapExS2_CapExB2_C_FV_e3545e3dcc52420a84dcdae3a23a4597_2">#REF!</definedName>
    <definedName name="_vena_CapExS2_CapExB2_C_FV_e3545e3dcc52420a84dcdae3a23a4597_3">#REF!</definedName>
    <definedName name="_vena_CapExS2_CapExB2_C_FV_e3545e3dcc52420a84dcdae3a23a4597_4">#REF!</definedName>
    <definedName name="_vena_CapExS2_CapExB2_R_5_632005311876300804" comment="*">#REF!</definedName>
    <definedName name="_vena_CapExS2_CapExB3_C_3_632005310022418436">#REF!</definedName>
    <definedName name="_vena_CapExS2_CapExB3_C_8_632005313629519872">#REF!</definedName>
    <definedName name="_vena_CapExS2_CapExB3_C_FV_e1c3a244dc3d4f149ecdf7d748811086">#REF!</definedName>
    <definedName name="_vena_CapExS2_CapExB3_C_FV_e3545e3dcc52420a84dcdae3a23a4597">#REF!</definedName>
    <definedName name="_vena_CapExS2_CapExB3_R_5_632005311498813448">#REF!</definedName>
    <definedName name="_vena_CapExS2_CapExB3_R_5_632005311876300804">#REF!</definedName>
    <definedName name="_vena_CapExS2_P_6_632005313063288832" comment="*">#REF!</definedName>
    <definedName name="_vena_CapExS2_P_7_632005313256226820" comment="*">#REF!</definedName>
    <definedName name="_vena_CapExS2_P_FV_9b0abd7578fb42018b1ba18b8b26d3ae" comment="*">#REF!</definedName>
    <definedName name="_vena_CashFlowS1_CashFlowB1_C_3_431662182402359297">#REF!</definedName>
    <definedName name="_vena_CashFlowS1_CashFlowB1_C_3_632005310022418432">#REF!</definedName>
    <definedName name="_vena_CashFlowS1_CashFlowB1_C_FV_56493ffece784c5db4cd0fd3b40a250d">#REF!</definedName>
    <definedName name="_vena_CashFlowS1_CashFlowB1_C_FV_9b0abd7578fb42018b1ba18b8b26d3ae_1">#REF!</definedName>
    <definedName name="_vena_CashFlowS1_CashFlowB1_R_5_453691236339941376">#REF!</definedName>
    <definedName name="_vena_CashFlowS1_CashFlowB1_R_5_632005312237010948">#REF!</definedName>
    <definedName name="_vena_CashFlowS1_P_2_431662182159089665" comment="*">#REF!</definedName>
    <definedName name="_vena_CashFlowS1_P_2_632005310802558978" comment="*">#REF!</definedName>
    <definedName name="_vena_CashFlowS1_P_6_431662179294380035" comment="*">#REF!</definedName>
    <definedName name="_vena_CashFlowS1_P_6_632005313059094533" comment="*">#REF!</definedName>
    <definedName name="_vena_CashFlowS1_P_7_431662176576471041" comment="*">#REF!</definedName>
    <definedName name="_vena_CashFlowS1_P_7_632005313260421126" comment="*">#REF!</definedName>
    <definedName name="_vena_CashFlowS1_P_8_467161758927421440" comment="*">#REF!</definedName>
    <definedName name="_vena_CashFlowS1_P_8_632005313667268610" comment="*">#REF!</definedName>
    <definedName name="_vena_CashFlowS1_P_FV_56493ffece784c5db4cd0fd3b40a250d" comment="*">#REF!</definedName>
    <definedName name="_vena_CashFlowS1_P_FV_e1c3a244dc3d4f149ecdf7d748811086" comment="*">#REF!</definedName>
    <definedName name="_vena_CashFlowS2_CashFlowB2_C_3_431662182406553601">#REF!</definedName>
    <definedName name="_vena_CashFlowS2_CashFlowB2_C_3_632005310022418436">#REF!</definedName>
    <definedName name="_vena_CashFlowS2_CashFlowB2_C_3_632005310022418436_1">#REF!</definedName>
    <definedName name="_vena_CashFlowS2_CashFlowB2_C_3_632005310022418436_2">#REF!</definedName>
    <definedName name="_vena_CashFlowS2_CashFlowB2_C_3_632005310022418436_3">#REF!</definedName>
    <definedName name="_vena_CashFlowS2_CashFlowB2_C_3_632005310022418436_4">#REF!</definedName>
    <definedName name="_vena_CashFlowS2_CashFlowB2_C_3_632005310022418436_5">#REF!</definedName>
    <definedName name="_vena_CashFlowS2_CashFlowB2_C_8_431662182280724481">#REF!</definedName>
    <definedName name="_vena_CashFlowS2_CashFlowB2_C_8_632005313629519872">#REF!</definedName>
    <definedName name="_vena_CashFlowS2_CashFlowB2_C_8_632005313629519872_1">#REF!</definedName>
    <definedName name="_vena_CashFlowS2_CashFlowB2_C_8_632005313629519872_10">#REF!</definedName>
    <definedName name="_vena_CashFlowS2_CashFlowB2_C_8_632005313629519872_11">#REF!</definedName>
    <definedName name="_vena_CashFlowS2_CashFlowB2_C_8_632005313629519872_12">#REF!</definedName>
    <definedName name="_vena_CashFlowS2_CashFlowB2_C_8_632005313629519872_13">#REF!</definedName>
    <definedName name="_vena_CashFlowS2_CashFlowB2_C_8_632005313629519872_14">#REF!</definedName>
    <definedName name="_vena_CashFlowS2_CashFlowB2_C_8_632005313629519872_15">#REF!</definedName>
    <definedName name="_vena_CashFlowS2_CashFlowB2_C_8_632005313629519872_16">#REF!</definedName>
    <definedName name="_vena_CashFlowS2_CashFlowB2_C_8_632005313629519872_17">#REF!</definedName>
    <definedName name="_vena_CashFlowS2_CashFlowB2_C_8_632005313629519872_18">#REF!</definedName>
    <definedName name="_vena_CashFlowS2_CashFlowB2_C_8_632005313629519872_19">#REF!</definedName>
    <definedName name="_vena_CashFlowS2_CashFlowB2_C_8_632005313629519872_2">#REF!</definedName>
    <definedName name="_vena_CashFlowS2_CashFlowB2_C_8_632005313629519872_20">#REF!</definedName>
    <definedName name="_vena_CashFlowS2_CashFlowB2_C_8_632005313629519872_21">#REF!</definedName>
    <definedName name="_vena_CashFlowS2_CashFlowB2_C_8_632005313629519872_22">#REF!</definedName>
    <definedName name="_vena_CashFlowS2_CashFlowB2_C_8_632005313629519872_23">#REF!</definedName>
    <definedName name="_vena_CashFlowS2_CashFlowB2_C_8_632005313629519872_24">#REF!</definedName>
    <definedName name="_vena_CashFlowS2_CashFlowB2_C_8_632005313629519872_25">#REF!</definedName>
    <definedName name="_vena_CashFlowS2_CashFlowB2_C_8_632005313629519872_26">#REF!</definedName>
    <definedName name="_vena_CashFlowS2_CashFlowB2_C_8_632005313629519872_27">#REF!</definedName>
    <definedName name="_vena_CashFlowS2_CashFlowB2_C_8_632005313629519872_28">#REF!</definedName>
    <definedName name="_vena_CashFlowS2_CashFlowB2_C_8_632005313629519872_29">#REF!</definedName>
    <definedName name="_vena_CashFlowS2_CashFlowB2_C_8_632005313629519872_3">#REF!</definedName>
    <definedName name="_vena_CashFlowS2_CashFlowB2_C_8_632005313629519872_30">#REF!</definedName>
    <definedName name="_vena_CashFlowS2_CashFlowB2_C_8_632005313629519872_31">#REF!</definedName>
    <definedName name="_vena_CashFlowS2_CashFlowB2_C_8_632005313629519872_32">#REF!</definedName>
    <definedName name="_vena_CashFlowS2_CashFlowB2_C_8_632005313629519872_33">#REF!</definedName>
    <definedName name="_vena_CashFlowS2_CashFlowB2_C_8_632005313629519872_34">#REF!</definedName>
    <definedName name="_vena_CashFlowS2_CashFlowB2_C_8_632005313629519872_35">#REF!</definedName>
    <definedName name="_vena_CashFlowS2_CashFlowB2_C_8_632005313629519872_36">#REF!</definedName>
    <definedName name="_vena_CashFlowS2_CashFlowB2_C_8_632005313629519872_37">#REF!</definedName>
    <definedName name="_vena_CashFlowS2_CashFlowB2_C_8_632005313629519872_38">#REF!</definedName>
    <definedName name="_vena_CashFlowS2_CashFlowB2_C_8_632005313629519872_39">#REF!</definedName>
    <definedName name="_vena_CashFlowS2_CashFlowB2_C_8_632005313629519872_4">#REF!</definedName>
    <definedName name="_vena_CashFlowS2_CashFlowB2_C_8_632005313629519872_40">#REF!</definedName>
    <definedName name="_vena_CashFlowS2_CashFlowB2_C_8_632005313629519872_41">#REF!</definedName>
    <definedName name="_vena_CashFlowS2_CashFlowB2_C_8_632005313629519872_42">#REF!</definedName>
    <definedName name="_vena_CashFlowS2_CashFlowB2_C_8_632005313629519872_43">#REF!</definedName>
    <definedName name="_vena_CashFlowS2_CashFlowB2_C_8_632005313629519872_44">#REF!</definedName>
    <definedName name="_vena_CashFlowS2_CashFlowB2_C_8_632005313629519872_45">#REF!</definedName>
    <definedName name="_vena_CashFlowS2_CashFlowB2_C_8_632005313629519872_46">#REF!</definedName>
    <definedName name="_vena_CashFlowS2_CashFlowB2_C_8_632005313629519872_47">#REF!</definedName>
    <definedName name="_vena_CashFlowS2_CashFlowB2_C_8_632005313629519872_48">#REF!</definedName>
    <definedName name="_vena_CashFlowS2_CashFlowB2_C_8_632005313629519872_49">#REF!</definedName>
    <definedName name="_vena_CashFlowS2_CashFlowB2_C_8_632005313629519872_5">#REF!</definedName>
    <definedName name="_vena_CashFlowS2_CashFlowB2_C_8_632005313629519872_50">#REF!</definedName>
    <definedName name="_vena_CashFlowS2_CashFlowB2_C_8_632005313629519872_51">#REF!</definedName>
    <definedName name="_vena_CashFlowS2_CashFlowB2_C_8_632005313629519872_52">#REF!</definedName>
    <definedName name="_vena_CashFlowS2_CashFlowB2_C_8_632005313629519872_53">#REF!</definedName>
    <definedName name="_vena_CashFlowS2_CashFlowB2_C_8_632005313629519872_54">#REF!</definedName>
    <definedName name="_vena_CashFlowS2_CashFlowB2_C_8_632005313629519872_55">#REF!</definedName>
    <definedName name="_vena_CashFlowS2_CashFlowB2_C_8_632005313629519872_56">#REF!</definedName>
    <definedName name="_vena_CashFlowS2_CashFlowB2_C_8_632005313629519872_57">#REF!</definedName>
    <definedName name="_vena_CashFlowS2_CashFlowB2_C_8_632005313629519872_58">#REF!</definedName>
    <definedName name="_vena_CashFlowS2_CashFlowB2_C_8_632005313629519872_59">#REF!</definedName>
    <definedName name="_vena_CashFlowS2_CashFlowB2_C_8_632005313629519872_6">#REF!</definedName>
    <definedName name="_vena_CashFlowS2_CashFlowB2_C_8_632005313629519872_60">#REF!</definedName>
    <definedName name="_vena_CashFlowS2_CashFlowB2_C_8_632005313629519872_61">#REF!</definedName>
    <definedName name="_vena_CashFlowS2_CashFlowB2_C_8_632005313629519872_62">#REF!</definedName>
    <definedName name="_vena_CashFlowS2_CashFlowB2_C_8_632005313629519872_63">#REF!</definedName>
    <definedName name="_vena_CashFlowS2_CashFlowB2_C_8_632005313629519872_64">#REF!</definedName>
    <definedName name="_vena_CashFlowS2_CashFlowB2_C_8_632005313629519872_65">#REF!</definedName>
    <definedName name="_vena_CashFlowS2_CashFlowB2_C_8_632005313629519872_66">#REF!</definedName>
    <definedName name="_vena_CashFlowS2_CashFlowB2_C_8_632005313629519872_67">#REF!</definedName>
    <definedName name="_vena_CashFlowS2_CashFlowB2_C_8_632005313629519872_68">#REF!</definedName>
    <definedName name="_vena_CashFlowS2_CashFlowB2_C_8_632005313629519872_69">#REF!</definedName>
    <definedName name="_vena_CashFlowS2_CashFlowB2_C_8_632005313629519872_7">#REF!</definedName>
    <definedName name="_vena_CashFlowS2_CashFlowB2_C_8_632005313629519872_70">#REF!</definedName>
    <definedName name="_vena_CashFlowS2_CashFlowB2_C_8_632005313629519872_71">#REF!</definedName>
    <definedName name="_vena_CashFlowS2_CashFlowB2_C_8_632005313629519872_72">#REF!</definedName>
    <definedName name="_vena_CashFlowS2_CashFlowB2_C_8_632005313629519872_73">#REF!</definedName>
    <definedName name="_vena_CashFlowS2_CashFlowB2_C_8_632005313629519872_74">#REF!</definedName>
    <definedName name="_vena_CashFlowS2_CashFlowB2_C_8_632005313629519872_75">#REF!</definedName>
    <definedName name="_vena_CashFlowS2_CashFlowB2_C_8_632005313629519872_76">#REF!</definedName>
    <definedName name="_vena_CashFlowS2_CashFlowB2_C_8_632005313629519872_77">#REF!</definedName>
    <definedName name="_vena_CashFlowS2_CashFlowB2_C_8_632005313629519872_8">#REF!</definedName>
    <definedName name="_vena_CashFlowS2_CashFlowB2_C_8_632005313629519872_9">#REF!</definedName>
    <definedName name="_vena_CashFlowS2_CashFlowB2_C_FV_56493ffece784c5db4cd0fd3b40a250d">#REF!</definedName>
    <definedName name="_vena_CashFlowS2_CashFlowB2_C_FV_56493ffece784c5db4cd0fd3b40a250d_1">#REF!</definedName>
    <definedName name="_vena_CashFlowS2_CashFlowB2_C_FV_56493ffece784c5db4cd0fd3b40a250d_10">#REF!</definedName>
    <definedName name="_vena_CashFlowS2_CashFlowB2_C_FV_56493ffece784c5db4cd0fd3b40a250d_11">#REF!</definedName>
    <definedName name="_vena_CashFlowS2_CashFlowB2_C_FV_56493ffece784c5db4cd0fd3b40a250d_12">#REF!</definedName>
    <definedName name="_vena_CashFlowS2_CashFlowB2_C_FV_56493ffece784c5db4cd0fd3b40a250d_13">#REF!</definedName>
    <definedName name="_vena_CashFlowS2_CashFlowB2_C_FV_56493ffece784c5db4cd0fd3b40a250d_14">#REF!</definedName>
    <definedName name="_vena_CashFlowS2_CashFlowB2_C_FV_56493ffece784c5db4cd0fd3b40a250d_15">#REF!</definedName>
    <definedName name="_vena_CashFlowS2_CashFlowB2_C_FV_56493ffece784c5db4cd0fd3b40a250d_16">#REF!</definedName>
    <definedName name="_vena_CashFlowS2_CashFlowB2_C_FV_56493ffece784c5db4cd0fd3b40a250d_17">#REF!</definedName>
    <definedName name="_vena_CashFlowS2_CashFlowB2_C_FV_56493ffece784c5db4cd0fd3b40a250d_18">#REF!</definedName>
    <definedName name="_vena_CashFlowS2_CashFlowB2_C_FV_56493ffece784c5db4cd0fd3b40a250d_19">#REF!</definedName>
    <definedName name="_vena_CashFlowS2_CashFlowB2_C_FV_56493ffece784c5db4cd0fd3b40a250d_2">#REF!</definedName>
    <definedName name="_vena_CashFlowS2_CashFlowB2_C_FV_56493ffece784c5db4cd0fd3b40a250d_20">#REF!</definedName>
    <definedName name="_vena_CashFlowS2_CashFlowB2_C_FV_56493ffece784c5db4cd0fd3b40a250d_21">#REF!</definedName>
    <definedName name="_vena_CashFlowS2_CashFlowB2_C_FV_56493ffece784c5db4cd0fd3b40a250d_22">#REF!</definedName>
    <definedName name="_vena_CashFlowS2_CashFlowB2_C_FV_56493ffece784c5db4cd0fd3b40a250d_23">#REF!</definedName>
    <definedName name="_vena_CashFlowS2_CashFlowB2_C_FV_56493ffece784c5db4cd0fd3b40a250d_24">#REF!</definedName>
    <definedName name="_vena_CashFlowS2_CashFlowB2_C_FV_56493ffece784c5db4cd0fd3b40a250d_25">#REF!</definedName>
    <definedName name="_vena_CashFlowS2_CashFlowB2_C_FV_56493ffece784c5db4cd0fd3b40a250d_26">#REF!</definedName>
    <definedName name="_vena_CashFlowS2_CashFlowB2_C_FV_56493ffece784c5db4cd0fd3b40a250d_27">#REF!</definedName>
    <definedName name="_vena_CashFlowS2_CashFlowB2_C_FV_56493ffece784c5db4cd0fd3b40a250d_28">#REF!</definedName>
    <definedName name="_vena_CashFlowS2_CashFlowB2_C_FV_56493ffece784c5db4cd0fd3b40a250d_29">#REF!</definedName>
    <definedName name="_vena_CashFlowS2_CashFlowB2_C_FV_56493ffece784c5db4cd0fd3b40a250d_3">#REF!</definedName>
    <definedName name="_vena_CashFlowS2_CashFlowB2_C_FV_56493ffece784c5db4cd0fd3b40a250d_30">#REF!</definedName>
    <definedName name="_vena_CashFlowS2_CashFlowB2_C_FV_56493ffece784c5db4cd0fd3b40a250d_31">#REF!</definedName>
    <definedName name="_vena_CashFlowS2_CashFlowB2_C_FV_56493ffece784c5db4cd0fd3b40a250d_32">#REF!</definedName>
    <definedName name="_vena_CashFlowS2_CashFlowB2_C_FV_56493ffece784c5db4cd0fd3b40a250d_33">#REF!</definedName>
    <definedName name="_vena_CashFlowS2_CashFlowB2_C_FV_56493ffece784c5db4cd0fd3b40a250d_34">#REF!</definedName>
    <definedName name="_vena_CashFlowS2_CashFlowB2_C_FV_56493ffece784c5db4cd0fd3b40a250d_35">#REF!</definedName>
    <definedName name="_vena_CashFlowS2_CashFlowB2_C_FV_56493ffece784c5db4cd0fd3b40a250d_36">#REF!</definedName>
    <definedName name="_vena_CashFlowS2_CashFlowB2_C_FV_56493ffece784c5db4cd0fd3b40a250d_37">#REF!</definedName>
    <definedName name="_vena_CashFlowS2_CashFlowB2_C_FV_56493ffece784c5db4cd0fd3b40a250d_38">#REF!</definedName>
    <definedName name="_vena_CashFlowS2_CashFlowB2_C_FV_56493ffece784c5db4cd0fd3b40a250d_39">#REF!</definedName>
    <definedName name="_vena_CashFlowS2_CashFlowB2_C_FV_56493ffece784c5db4cd0fd3b40a250d_4">#REF!</definedName>
    <definedName name="_vena_CashFlowS2_CashFlowB2_C_FV_56493ffece784c5db4cd0fd3b40a250d_40">#REF!</definedName>
    <definedName name="_vena_CashFlowS2_CashFlowB2_C_FV_56493ffece784c5db4cd0fd3b40a250d_41">#REF!</definedName>
    <definedName name="_vena_CashFlowS2_CashFlowB2_C_FV_56493ffece784c5db4cd0fd3b40a250d_42">#REF!</definedName>
    <definedName name="_vena_CashFlowS2_CashFlowB2_C_FV_56493ffece784c5db4cd0fd3b40a250d_43">#REF!</definedName>
    <definedName name="_vena_CashFlowS2_CashFlowB2_C_FV_56493ffece784c5db4cd0fd3b40a250d_44">#REF!</definedName>
    <definedName name="_vena_CashFlowS2_CashFlowB2_C_FV_56493ffece784c5db4cd0fd3b40a250d_45">#REF!</definedName>
    <definedName name="_vena_CashFlowS2_CashFlowB2_C_FV_56493ffece784c5db4cd0fd3b40a250d_46">#REF!</definedName>
    <definedName name="_vena_CashFlowS2_CashFlowB2_C_FV_56493ffece784c5db4cd0fd3b40a250d_47">#REF!</definedName>
    <definedName name="_vena_CashFlowS2_CashFlowB2_C_FV_56493ffece784c5db4cd0fd3b40a250d_48">#REF!</definedName>
    <definedName name="_vena_CashFlowS2_CashFlowB2_C_FV_56493ffece784c5db4cd0fd3b40a250d_49">#REF!</definedName>
    <definedName name="_vena_CashFlowS2_CashFlowB2_C_FV_56493ffece784c5db4cd0fd3b40a250d_5">#REF!</definedName>
    <definedName name="_vena_CashFlowS2_CashFlowB2_C_FV_56493ffece784c5db4cd0fd3b40a250d_50">#REF!</definedName>
    <definedName name="_vena_CashFlowS2_CashFlowB2_C_FV_56493ffece784c5db4cd0fd3b40a250d_51">#REF!</definedName>
    <definedName name="_vena_CashFlowS2_CashFlowB2_C_FV_56493ffece784c5db4cd0fd3b40a250d_52">#REF!</definedName>
    <definedName name="_vena_CashFlowS2_CashFlowB2_C_FV_56493ffece784c5db4cd0fd3b40a250d_53">#REF!</definedName>
    <definedName name="_vena_CashFlowS2_CashFlowB2_C_FV_56493ffece784c5db4cd0fd3b40a250d_54">#REF!</definedName>
    <definedName name="_vena_CashFlowS2_CashFlowB2_C_FV_56493ffece784c5db4cd0fd3b40a250d_55">#REF!</definedName>
    <definedName name="_vena_CashFlowS2_CashFlowB2_C_FV_56493ffece784c5db4cd0fd3b40a250d_56">#REF!</definedName>
    <definedName name="_vena_CashFlowS2_CashFlowB2_C_FV_56493ffece784c5db4cd0fd3b40a250d_57">#REF!</definedName>
    <definedName name="_vena_CashFlowS2_CashFlowB2_C_FV_56493ffece784c5db4cd0fd3b40a250d_58">#REF!</definedName>
    <definedName name="_vena_CashFlowS2_CashFlowB2_C_FV_56493ffece784c5db4cd0fd3b40a250d_59">#REF!</definedName>
    <definedName name="_vena_CashFlowS2_CashFlowB2_C_FV_56493ffece784c5db4cd0fd3b40a250d_6">#REF!</definedName>
    <definedName name="_vena_CashFlowS2_CashFlowB2_C_FV_56493ffece784c5db4cd0fd3b40a250d_60">#REF!</definedName>
    <definedName name="_vena_CashFlowS2_CashFlowB2_C_FV_56493ffece784c5db4cd0fd3b40a250d_61">#REF!</definedName>
    <definedName name="_vena_CashFlowS2_CashFlowB2_C_FV_56493ffece784c5db4cd0fd3b40a250d_62">#REF!</definedName>
    <definedName name="_vena_CashFlowS2_CashFlowB2_C_FV_56493ffece784c5db4cd0fd3b40a250d_63">#REF!</definedName>
    <definedName name="_vena_CashFlowS2_CashFlowB2_C_FV_56493ffece784c5db4cd0fd3b40a250d_64">#REF!</definedName>
    <definedName name="_vena_CashFlowS2_CashFlowB2_C_FV_56493ffece784c5db4cd0fd3b40a250d_65">#REF!</definedName>
    <definedName name="_vena_CashFlowS2_CashFlowB2_C_FV_56493ffece784c5db4cd0fd3b40a250d_66">#REF!</definedName>
    <definedName name="_vena_CashFlowS2_CashFlowB2_C_FV_56493ffece784c5db4cd0fd3b40a250d_67">#REF!</definedName>
    <definedName name="_vena_CashFlowS2_CashFlowB2_C_FV_56493ffece784c5db4cd0fd3b40a250d_68">#REF!</definedName>
    <definedName name="_vena_CashFlowS2_CashFlowB2_C_FV_56493ffece784c5db4cd0fd3b40a250d_69">#REF!</definedName>
    <definedName name="_vena_CashFlowS2_CashFlowB2_C_FV_56493ffece784c5db4cd0fd3b40a250d_7">#REF!</definedName>
    <definedName name="_vena_CashFlowS2_CashFlowB2_C_FV_56493ffece784c5db4cd0fd3b40a250d_70">#REF!</definedName>
    <definedName name="_vena_CashFlowS2_CashFlowB2_C_FV_56493ffece784c5db4cd0fd3b40a250d_71">#REF!</definedName>
    <definedName name="_vena_CashFlowS2_CashFlowB2_C_FV_56493ffece784c5db4cd0fd3b40a250d_72">#REF!</definedName>
    <definedName name="_vena_CashFlowS2_CashFlowB2_C_FV_56493ffece784c5db4cd0fd3b40a250d_73">#REF!</definedName>
    <definedName name="_vena_CashFlowS2_CashFlowB2_C_FV_56493ffece784c5db4cd0fd3b40a250d_74">#REF!</definedName>
    <definedName name="_vena_CashFlowS2_CashFlowB2_C_FV_56493ffece784c5db4cd0fd3b40a250d_75">#REF!</definedName>
    <definedName name="_vena_CashFlowS2_CashFlowB2_C_FV_56493ffece784c5db4cd0fd3b40a250d_76">#REF!</definedName>
    <definedName name="_vena_CashFlowS2_CashFlowB2_C_FV_56493ffece784c5db4cd0fd3b40a250d_77">#REF!</definedName>
    <definedName name="_vena_CashFlowS2_CashFlowB2_C_FV_56493ffece784c5db4cd0fd3b40a250d_8">#REF!</definedName>
    <definedName name="_vena_CashFlowS2_CashFlowB2_C_FV_56493ffece784c5db4cd0fd3b40a250d_9">#REF!</definedName>
    <definedName name="_vena_CashFlowS2_CashFlowB2_C_FV_9b0abd7578fb42018b1ba18b8b26d3ae">#REF!</definedName>
    <definedName name="_vena_CashFlowS2_CashFlowB2_C_FV_9b0abd7578fb42018b1ba18b8b26d3ae_1">#REF!</definedName>
    <definedName name="_vena_CashFlowS2_CashFlowB2_C_FV_9b0abd7578fb42018b1ba18b8b26d3ae_10">#REF!</definedName>
    <definedName name="_vena_CashFlowS2_CashFlowB2_C_FV_9b0abd7578fb42018b1ba18b8b26d3ae_11">#REF!</definedName>
    <definedName name="_vena_CashFlowS2_CashFlowB2_C_FV_9b0abd7578fb42018b1ba18b8b26d3ae_13">#REF!</definedName>
    <definedName name="_vena_CashFlowS2_CashFlowB2_C_FV_9b0abd7578fb42018b1ba18b8b26d3ae_14">#REF!</definedName>
    <definedName name="_vena_CashFlowS2_CashFlowB2_C_FV_9b0abd7578fb42018b1ba18b8b26d3ae_15">#REF!</definedName>
    <definedName name="_vena_CashFlowS2_CashFlowB2_C_FV_9b0abd7578fb42018b1ba18b8b26d3ae_16">#REF!</definedName>
    <definedName name="_vena_CashFlowS2_CashFlowB2_C_FV_9b0abd7578fb42018b1ba18b8b26d3ae_17">#REF!</definedName>
    <definedName name="_vena_CashFlowS2_CashFlowB2_C_FV_9b0abd7578fb42018b1ba18b8b26d3ae_18">#REF!</definedName>
    <definedName name="_vena_CashFlowS2_CashFlowB2_C_FV_9b0abd7578fb42018b1ba18b8b26d3ae_19">#REF!</definedName>
    <definedName name="_vena_CashFlowS2_CashFlowB2_C_FV_9b0abd7578fb42018b1ba18b8b26d3ae_2">#REF!</definedName>
    <definedName name="_vena_CashFlowS2_CashFlowB2_C_FV_9b0abd7578fb42018b1ba18b8b26d3ae_20">#REF!</definedName>
    <definedName name="_vena_CashFlowS2_CashFlowB2_C_FV_9b0abd7578fb42018b1ba18b8b26d3ae_21">#REF!</definedName>
    <definedName name="_vena_CashFlowS2_CashFlowB2_C_FV_9b0abd7578fb42018b1ba18b8b26d3ae_22">#REF!</definedName>
    <definedName name="_vena_CashFlowS2_CashFlowB2_C_FV_9b0abd7578fb42018b1ba18b8b26d3ae_23">#REF!</definedName>
    <definedName name="_vena_CashFlowS2_CashFlowB2_C_FV_9b0abd7578fb42018b1ba18b8b26d3ae_24">#REF!</definedName>
    <definedName name="_vena_CashFlowS2_CashFlowB2_C_FV_9b0abd7578fb42018b1ba18b8b26d3ae_25">#REF!</definedName>
    <definedName name="_vena_CashFlowS2_CashFlowB2_C_FV_9b0abd7578fb42018b1ba18b8b26d3ae_26">#REF!</definedName>
    <definedName name="_vena_CashFlowS2_CashFlowB2_C_FV_9b0abd7578fb42018b1ba18b8b26d3ae_3">#REF!</definedName>
    <definedName name="_vena_CashFlowS2_CashFlowB2_C_FV_9b0abd7578fb42018b1ba18b8b26d3ae_4">#REF!</definedName>
    <definedName name="_vena_CashFlowS2_CashFlowB2_C_FV_9b0abd7578fb42018b1ba18b8b26d3ae_5">#REF!</definedName>
    <definedName name="_vena_CashFlowS2_CashFlowB2_C_FV_9b0abd7578fb42018b1ba18b8b26d3ae_6">#REF!</definedName>
    <definedName name="_vena_CashFlowS2_CashFlowB2_C_FV_9b0abd7578fb42018b1ba18b8b26d3ae_7">#REF!</definedName>
    <definedName name="_vena_CashFlowS2_CashFlowB2_C_FV_9b0abd7578fb42018b1ba18b8b26d3ae_8">#REF!</definedName>
    <definedName name="_vena_CashFlowS2_CashFlowB2_C_FV_9b0abd7578fb42018b1ba18b8b26d3ae_9">#REF!</definedName>
    <definedName name="_vena_CashFlowS2_CashFlowB2_C_FV_a398e917565c475b8f0c5e9ebb5e002d">#REF!</definedName>
    <definedName name="_vena_CashFlowS2_CashFlowB2_C_FV_a398e917565c475b8f0c5e9ebb5e002d_1">#REF!</definedName>
    <definedName name="_vena_CashFlowS2_CashFlowB2_C_FV_a398e917565c475b8f0c5e9ebb5e002d_10">#REF!</definedName>
    <definedName name="_vena_CashFlowS2_CashFlowB2_C_FV_a398e917565c475b8f0c5e9ebb5e002d_11">#REF!</definedName>
    <definedName name="_vena_CashFlowS2_CashFlowB2_C_FV_a398e917565c475b8f0c5e9ebb5e002d_12">#REF!</definedName>
    <definedName name="_vena_CashFlowS2_CashFlowB2_C_FV_a398e917565c475b8f0c5e9ebb5e002d_13">#REF!</definedName>
    <definedName name="_vena_CashFlowS2_CashFlowB2_C_FV_a398e917565c475b8f0c5e9ebb5e002d_14">#REF!</definedName>
    <definedName name="_vena_CashFlowS2_CashFlowB2_C_FV_a398e917565c475b8f0c5e9ebb5e002d_15">#REF!</definedName>
    <definedName name="_vena_CashFlowS2_CashFlowB2_C_FV_a398e917565c475b8f0c5e9ebb5e002d_16">#REF!</definedName>
    <definedName name="_vena_CashFlowS2_CashFlowB2_C_FV_a398e917565c475b8f0c5e9ebb5e002d_17">#REF!</definedName>
    <definedName name="_vena_CashFlowS2_CashFlowB2_C_FV_a398e917565c475b8f0c5e9ebb5e002d_18">#REF!</definedName>
    <definedName name="_vena_CashFlowS2_CashFlowB2_C_FV_a398e917565c475b8f0c5e9ebb5e002d_19">#REF!</definedName>
    <definedName name="_vena_CashFlowS2_CashFlowB2_C_FV_a398e917565c475b8f0c5e9ebb5e002d_2">#REF!</definedName>
    <definedName name="_vena_CashFlowS2_CashFlowB2_C_FV_a398e917565c475b8f0c5e9ebb5e002d_20">#REF!</definedName>
    <definedName name="_vena_CashFlowS2_CashFlowB2_C_FV_a398e917565c475b8f0c5e9ebb5e002d_21">#REF!</definedName>
    <definedName name="_vena_CashFlowS2_CashFlowB2_C_FV_a398e917565c475b8f0c5e9ebb5e002d_22">#REF!</definedName>
    <definedName name="_vena_CashFlowS2_CashFlowB2_C_FV_a398e917565c475b8f0c5e9ebb5e002d_23">#REF!</definedName>
    <definedName name="_vena_CashFlowS2_CashFlowB2_C_FV_a398e917565c475b8f0c5e9ebb5e002d_24">#REF!</definedName>
    <definedName name="_vena_CashFlowS2_CashFlowB2_C_FV_a398e917565c475b8f0c5e9ebb5e002d_25">#REF!</definedName>
    <definedName name="_vena_CashFlowS2_CashFlowB2_C_FV_a398e917565c475b8f0c5e9ebb5e002d_26">#REF!</definedName>
    <definedName name="_vena_CashFlowS2_CashFlowB2_C_FV_a398e917565c475b8f0c5e9ebb5e002d_27">#REF!</definedName>
    <definedName name="_vena_CashFlowS2_CashFlowB2_C_FV_a398e917565c475b8f0c5e9ebb5e002d_28">#REF!</definedName>
    <definedName name="_vena_CashFlowS2_CashFlowB2_C_FV_a398e917565c475b8f0c5e9ebb5e002d_29">#REF!</definedName>
    <definedName name="_vena_CashFlowS2_CashFlowB2_C_FV_a398e917565c475b8f0c5e9ebb5e002d_3">#REF!</definedName>
    <definedName name="_vena_CashFlowS2_CashFlowB2_C_FV_a398e917565c475b8f0c5e9ebb5e002d_30">#REF!</definedName>
    <definedName name="_vena_CashFlowS2_CashFlowB2_C_FV_a398e917565c475b8f0c5e9ebb5e002d_31">#REF!</definedName>
    <definedName name="_vena_CashFlowS2_CashFlowB2_C_FV_a398e917565c475b8f0c5e9ebb5e002d_32">#REF!</definedName>
    <definedName name="_vena_CashFlowS2_CashFlowB2_C_FV_a398e917565c475b8f0c5e9ebb5e002d_33">#REF!</definedName>
    <definedName name="_vena_CashFlowS2_CashFlowB2_C_FV_a398e917565c475b8f0c5e9ebb5e002d_34">#REF!</definedName>
    <definedName name="_vena_CashFlowS2_CashFlowB2_C_FV_a398e917565c475b8f0c5e9ebb5e002d_35">#REF!</definedName>
    <definedName name="_vena_CashFlowS2_CashFlowB2_C_FV_a398e917565c475b8f0c5e9ebb5e002d_36">#REF!</definedName>
    <definedName name="_vena_CashFlowS2_CashFlowB2_C_FV_a398e917565c475b8f0c5e9ebb5e002d_37">#REF!</definedName>
    <definedName name="_vena_CashFlowS2_CashFlowB2_C_FV_a398e917565c475b8f0c5e9ebb5e002d_38">#REF!</definedName>
    <definedName name="_vena_CashFlowS2_CashFlowB2_C_FV_a398e917565c475b8f0c5e9ebb5e002d_39">#REF!</definedName>
    <definedName name="_vena_CashFlowS2_CashFlowB2_C_FV_a398e917565c475b8f0c5e9ebb5e002d_4">#REF!</definedName>
    <definedName name="_vena_CashFlowS2_CashFlowB2_C_FV_a398e917565c475b8f0c5e9ebb5e002d_40">#REF!</definedName>
    <definedName name="_vena_CashFlowS2_CashFlowB2_C_FV_a398e917565c475b8f0c5e9ebb5e002d_41">#REF!</definedName>
    <definedName name="_vena_CashFlowS2_CashFlowB2_C_FV_a398e917565c475b8f0c5e9ebb5e002d_42">#REF!</definedName>
    <definedName name="_vena_CashFlowS2_CashFlowB2_C_FV_a398e917565c475b8f0c5e9ebb5e002d_43">#REF!</definedName>
    <definedName name="_vena_CashFlowS2_CashFlowB2_C_FV_a398e917565c475b8f0c5e9ebb5e002d_44">#REF!</definedName>
    <definedName name="_vena_CashFlowS2_CashFlowB2_C_FV_a398e917565c475b8f0c5e9ebb5e002d_45">#REF!</definedName>
    <definedName name="_vena_CashFlowS2_CashFlowB2_C_FV_a398e917565c475b8f0c5e9ebb5e002d_46">#REF!</definedName>
    <definedName name="_vena_CashFlowS2_CashFlowB2_C_FV_a398e917565c475b8f0c5e9ebb5e002d_47">#REF!</definedName>
    <definedName name="_vena_CashFlowS2_CashFlowB2_C_FV_a398e917565c475b8f0c5e9ebb5e002d_48">#REF!</definedName>
    <definedName name="_vena_CashFlowS2_CashFlowB2_C_FV_a398e917565c475b8f0c5e9ebb5e002d_49">#REF!</definedName>
    <definedName name="_vena_CashFlowS2_CashFlowB2_C_FV_a398e917565c475b8f0c5e9ebb5e002d_5">#REF!</definedName>
    <definedName name="_vena_CashFlowS2_CashFlowB2_C_FV_a398e917565c475b8f0c5e9ebb5e002d_50">#REF!</definedName>
    <definedName name="_vena_CashFlowS2_CashFlowB2_C_FV_a398e917565c475b8f0c5e9ebb5e002d_51">#REF!</definedName>
    <definedName name="_vena_CashFlowS2_CashFlowB2_C_FV_a398e917565c475b8f0c5e9ebb5e002d_52">#REF!</definedName>
    <definedName name="_vena_CashFlowS2_CashFlowB2_C_FV_a398e917565c475b8f0c5e9ebb5e002d_53">#REF!</definedName>
    <definedName name="_vena_CashFlowS2_CashFlowB2_C_FV_a398e917565c475b8f0c5e9ebb5e002d_54">#REF!</definedName>
    <definedName name="_vena_CashFlowS2_CashFlowB2_C_FV_a398e917565c475b8f0c5e9ebb5e002d_55">#REF!</definedName>
    <definedName name="_vena_CashFlowS2_CashFlowB2_C_FV_a398e917565c475b8f0c5e9ebb5e002d_56">#REF!</definedName>
    <definedName name="_vena_CashFlowS2_CashFlowB2_C_FV_a398e917565c475b8f0c5e9ebb5e002d_57">#REF!</definedName>
    <definedName name="_vena_CashFlowS2_CashFlowB2_C_FV_a398e917565c475b8f0c5e9ebb5e002d_58">#REF!</definedName>
    <definedName name="_vena_CashFlowS2_CashFlowB2_C_FV_a398e917565c475b8f0c5e9ebb5e002d_59">#REF!</definedName>
    <definedName name="_vena_CashFlowS2_CashFlowB2_C_FV_a398e917565c475b8f0c5e9ebb5e002d_6">#REF!</definedName>
    <definedName name="_vena_CashFlowS2_CashFlowB2_C_FV_a398e917565c475b8f0c5e9ebb5e002d_60">#REF!</definedName>
    <definedName name="_vena_CashFlowS2_CashFlowB2_C_FV_a398e917565c475b8f0c5e9ebb5e002d_61">#REF!</definedName>
    <definedName name="_vena_CashFlowS2_CashFlowB2_C_FV_a398e917565c475b8f0c5e9ebb5e002d_62">#REF!</definedName>
    <definedName name="_vena_CashFlowS2_CashFlowB2_C_FV_a398e917565c475b8f0c5e9ebb5e002d_63">#REF!</definedName>
    <definedName name="_vena_CashFlowS2_CashFlowB2_C_FV_a398e917565c475b8f0c5e9ebb5e002d_64">#REF!</definedName>
    <definedName name="_vena_CashFlowS2_CashFlowB2_C_FV_a398e917565c475b8f0c5e9ebb5e002d_65">#REF!</definedName>
    <definedName name="_vena_CashFlowS2_CashFlowB2_C_FV_a398e917565c475b8f0c5e9ebb5e002d_66">#REF!</definedName>
    <definedName name="_vena_CashFlowS2_CashFlowB2_C_FV_a398e917565c475b8f0c5e9ebb5e002d_67">#REF!</definedName>
    <definedName name="_vena_CashFlowS2_CashFlowB2_C_FV_a398e917565c475b8f0c5e9ebb5e002d_68">#REF!</definedName>
    <definedName name="_vena_CashFlowS2_CashFlowB2_C_FV_a398e917565c475b8f0c5e9ebb5e002d_69">#REF!</definedName>
    <definedName name="_vena_CashFlowS2_CashFlowB2_C_FV_a398e917565c475b8f0c5e9ebb5e002d_7">#REF!</definedName>
    <definedName name="_vena_CashFlowS2_CashFlowB2_C_FV_a398e917565c475b8f0c5e9ebb5e002d_70">#REF!</definedName>
    <definedName name="_vena_CashFlowS2_CashFlowB2_C_FV_a398e917565c475b8f0c5e9ebb5e002d_71">#REF!</definedName>
    <definedName name="_vena_CashFlowS2_CashFlowB2_C_FV_a398e917565c475b8f0c5e9ebb5e002d_8">#REF!</definedName>
    <definedName name="_vena_CashFlowS2_CashFlowB2_C_FV_a398e917565c475b8f0c5e9ebb5e002d_9">#REF!</definedName>
    <definedName name="_vena_CashFlowS2_CashFlowB2_C_FV_e1c3a244dc3d4f149ecdf7d748811086">#REF!</definedName>
    <definedName name="_vena_CashFlowS2_CashFlowB2_C_FV_e1c3a244dc3d4f149ecdf7d748811086_1">#REF!</definedName>
    <definedName name="_vena_CashFlowS2_CashFlowB2_C_FV_e1c3a244dc3d4f149ecdf7d748811086_10">#REF!</definedName>
    <definedName name="_vena_CashFlowS2_CashFlowB2_C_FV_e1c3a244dc3d4f149ecdf7d748811086_11">#REF!</definedName>
    <definedName name="_vena_CashFlowS2_CashFlowB2_C_FV_e1c3a244dc3d4f149ecdf7d748811086_12">#REF!</definedName>
    <definedName name="_vena_CashFlowS2_CashFlowB2_C_FV_e1c3a244dc3d4f149ecdf7d748811086_13">#REF!</definedName>
    <definedName name="_vena_CashFlowS2_CashFlowB2_C_FV_e1c3a244dc3d4f149ecdf7d748811086_14">#REF!</definedName>
    <definedName name="_vena_CashFlowS2_CashFlowB2_C_FV_e1c3a244dc3d4f149ecdf7d748811086_15">#REF!</definedName>
    <definedName name="_vena_CashFlowS2_CashFlowB2_C_FV_e1c3a244dc3d4f149ecdf7d748811086_16">#REF!</definedName>
    <definedName name="_vena_CashFlowS2_CashFlowB2_C_FV_e1c3a244dc3d4f149ecdf7d748811086_17">#REF!</definedName>
    <definedName name="_vena_CashFlowS2_CashFlowB2_C_FV_e1c3a244dc3d4f149ecdf7d748811086_18">#REF!</definedName>
    <definedName name="_vena_CashFlowS2_CashFlowB2_C_FV_e1c3a244dc3d4f149ecdf7d748811086_19">#REF!</definedName>
    <definedName name="_vena_CashFlowS2_CashFlowB2_C_FV_e1c3a244dc3d4f149ecdf7d748811086_2">#REF!</definedName>
    <definedName name="_vena_CashFlowS2_CashFlowB2_C_FV_e1c3a244dc3d4f149ecdf7d748811086_20">#REF!</definedName>
    <definedName name="_vena_CashFlowS2_CashFlowB2_C_FV_e1c3a244dc3d4f149ecdf7d748811086_21">#REF!</definedName>
    <definedName name="_vena_CashFlowS2_CashFlowB2_C_FV_e1c3a244dc3d4f149ecdf7d748811086_22">#REF!</definedName>
    <definedName name="_vena_CashFlowS2_CashFlowB2_C_FV_e1c3a244dc3d4f149ecdf7d748811086_23">#REF!</definedName>
    <definedName name="_vena_CashFlowS2_CashFlowB2_C_FV_e1c3a244dc3d4f149ecdf7d748811086_24">#REF!</definedName>
    <definedName name="_vena_CashFlowS2_CashFlowB2_C_FV_e1c3a244dc3d4f149ecdf7d748811086_25">#REF!</definedName>
    <definedName name="_vena_CashFlowS2_CashFlowB2_C_FV_e1c3a244dc3d4f149ecdf7d748811086_26">#REF!</definedName>
    <definedName name="_vena_CashFlowS2_CashFlowB2_C_FV_e1c3a244dc3d4f149ecdf7d748811086_27">#REF!</definedName>
    <definedName name="_vena_CashFlowS2_CashFlowB2_C_FV_e1c3a244dc3d4f149ecdf7d748811086_28">#REF!</definedName>
    <definedName name="_vena_CashFlowS2_CashFlowB2_C_FV_e1c3a244dc3d4f149ecdf7d748811086_29">#REF!</definedName>
    <definedName name="_vena_CashFlowS2_CashFlowB2_C_FV_e1c3a244dc3d4f149ecdf7d748811086_3">#REF!</definedName>
    <definedName name="_vena_CashFlowS2_CashFlowB2_C_FV_e1c3a244dc3d4f149ecdf7d748811086_30">#REF!</definedName>
    <definedName name="_vena_CashFlowS2_CashFlowB2_C_FV_e1c3a244dc3d4f149ecdf7d748811086_31">#REF!</definedName>
    <definedName name="_vena_CashFlowS2_CashFlowB2_C_FV_e1c3a244dc3d4f149ecdf7d748811086_32">#REF!</definedName>
    <definedName name="_vena_CashFlowS2_CashFlowB2_C_FV_e1c3a244dc3d4f149ecdf7d748811086_33">#REF!</definedName>
    <definedName name="_vena_CashFlowS2_CashFlowB2_C_FV_e1c3a244dc3d4f149ecdf7d748811086_34">#REF!</definedName>
    <definedName name="_vena_CashFlowS2_CashFlowB2_C_FV_e1c3a244dc3d4f149ecdf7d748811086_35">#REF!</definedName>
    <definedName name="_vena_CashFlowS2_CashFlowB2_C_FV_e1c3a244dc3d4f149ecdf7d748811086_36">#REF!</definedName>
    <definedName name="_vena_CashFlowS2_CashFlowB2_C_FV_e1c3a244dc3d4f149ecdf7d748811086_37">#REF!</definedName>
    <definedName name="_vena_CashFlowS2_CashFlowB2_C_FV_e1c3a244dc3d4f149ecdf7d748811086_38">#REF!</definedName>
    <definedName name="_vena_CashFlowS2_CashFlowB2_C_FV_e1c3a244dc3d4f149ecdf7d748811086_39">#REF!</definedName>
    <definedName name="_vena_CashFlowS2_CashFlowB2_C_FV_e1c3a244dc3d4f149ecdf7d748811086_4">#REF!</definedName>
    <definedName name="_vena_CashFlowS2_CashFlowB2_C_FV_e1c3a244dc3d4f149ecdf7d748811086_40">#REF!</definedName>
    <definedName name="_vena_CashFlowS2_CashFlowB2_C_FV_e1c3a244dc3d4f149ecdf7d748811086_41">#REF!</definedName>
    <definedName name="_vena_CashFlowS2_CashFlowB2_C_FV_e1c3a244dc3d4f149ecdf7d748811086_42">#REF!</definedName>
    <definedName name="_vena_CashFlowS2_CashFlowB2_C_FV_e1c3a244dc3d4f149ecdf7d748811086_43">#REF!</definedName>
    <definedName name="_vena_CashFlowS2_CashFlowB2_C_FV_e1c3a244dc3d4f149ecdf7d748811086_44">#REF!</definedName>
    <definedName name="_vena_CashFlowS2_CashFlowB2_C_FV_e1c3a244dc3d4f149ecdf7d748811086_45">#REF!</definedName>
    <definedName name="_vena_CashFlowS2_CashFlowB2_C_FV_e1c3a244dc3d4f149ecdf7d748811086_46">#REF!</definedName>
    <definedName name="_vena_CashFlowS2_CashFlowB2_C_FV_e1c3a244dc3d4f149ecdf7d748811086_47">#REF!</definedName>
    <definedName name="_vena_CashFlowS2_CashFlowB2_C_FV_e1c3a244dc3d4f149ecdf7d748811086_48">#REF!</definedName>
    <definedName name="_vena_CashFlowS2_CashFlowB2_C_FV_e1c3a244dc3d4f149ecdf7d748811086_49">#REF!</definedName>
    <definedName name="_vena_CashFlowS2_CashFlowB2_C_FV_e1c3a244dc3d4f149ecdf7d748811086_5">#REF!</definedName>
    <definedName name="_vena_CashFlowS2_CashFlowB2_C_FV_e1c3a244dc3d4f149ecdf7d748811086_50">#REF!</definedName>
    <definedName name="_vena_CashFlowS2_CashFlowB2_C_FV_e1c3a244dc3d4f149ecdf7d748811086_51">#REF!</definedName>
    <definedName name="_vena_CashFlowS2_CashFlowB2_C_FV_e1c3a244dc3d4f149ecdf7d748811086_52">#REF!</definedName>
    <definedName name="_vena_CashFlowS2_CashFlowB2_C_FV_e1c3a244dc3d4f149ecdf7d748811086_53">#REF!</definedName>
    <definedName name="_vena_CashFlowS2_CashFlowB2_C_FV_e1c3a244dc3d4f149ecdf7d748811086_54">#REF!</definedName>
    <definedName name="_vena_CashFlowS2_CashFlowB2_C_FV_e1c3a244dc3d4f149ecdf7d748811086_55">#REF!</definedName>
    <definedName name="_vena_CashFlowS2_CashFlowB2_C_FV_e1c3a244dc3d4f149ecdf7d748811086_56">#REF!</definedName>
    <definedName name="_vena_CashFlowS2_CashFlowB2_C_FV_e1c3a244dc3d4f149ecdf7d748811086_57">#REF!</definedName>
    <definedName name="_vena_CashFlowS2_CashFlowB2_C_FV_e1c3a244dc3d4f149ecdf7d748811086_58">#REF!</definedName>
    <definedName name="_vena_CashFlowS2_CashFlowB2_C_FV_e1c3a244dc3d4f149ecdf7d748811086_59">#REF!</definedName>
    <definedName name="_vena_CashFlowS2_CashFlowB2_C_FV_e1c3a244dc3d4f149ecdf7d748811086_6">#REF!</definedName>
    <definedName name="_vena_CashFlowS2_CashFlowB2_C_FV_e1c3a244dc3d4f149ecdf7d748811086_60">#REF!</definedName>
    <definedName name="_vena_CashFlowS2_CashFlowB2_C_FV_e1c3a244dc3d4f149ecdf7d748811086_61">#REF!</definedName>
    <definedName name="_vena_CashFlowS2_CashFlowB2_C_FV_e1c3a244dc3d4f149ecdf7d748811086_62">#REF!</definedName>
    <definedName name="_vena_CashFlowS2_CashFlowB2_C_FV_e1c3a244dc3d4f149ecdf7d748811086_63">#REF!</definedName>
    <definedName name="_vena_CashFlowS2_CashFlowB2_C_FV_e1c3a244dc3d4f149ecdf7d748811086_64">#REF!</definedName>
    <definedName name="_vena_CashFlowS2_CashFlowB2_C_FV_e1c3a244dc3d4f149ecdf7d748811086_65">#REF!</definedName>
    <definedName name="_vena_CashFlowS2_CashFlowB2_C_FV_e1c3a244dc3d4f149ecdf7d748811086_66">#REF!</definedName>
    <definedName name="_vena_CashFlowS2_CashFlowB2_C_FV_e1c3a244dc3d4f149ecdf7d748811086_67">#REF!</definedName>
    <definedName name="_vena_CashFlowS2_CashFlowB2_C_FV_e1c3a244dc3d4f149ecdf7d748811086_68">#REF!</definedName>
    <definedName name="_vena_CashFlowS2_CashFlowB2_C_FV_e1c3a244dc3d4f149ecdf7d748811086_69">#REF!</definedName>
    <definedName name="_vena_CashFlowS2_CashFlowB2_C_FV_e1c3a244dc3d4f149ecdf7d748811086_7">#REF!</definedName>
    <definedName name="_vena_CashFlowS2_CashFlowB2_C_FV_e1c3a244dc3d4f149ecdf7d748811086_70">#REF!</definedName>
    <definedName name="_vena_CashFlowS2_CashFlowB2_C_FV_e1c3a244dc3d4f149ecdf7d748811086_71">#REF!</definedName>
    <definedName name="_vena_CashFlowS2_CashFlowB2_C_FV_e1c3a244dc3d4f149ecdf7d748811086_72">#REF!</definedName>
    <definedName name="_vena_CashFlowS2_CashFlowB2_C_FV_e1c3a244dc3d4f149ecdf7d748811086_73">#REF!</definedName>
    <definedName name="_vena_CashFlowS2_CashFlowB2_C_FV_e1c3a244dc3d4f149ecdf7d748811086_74">#REF!</definedName>
    <definedName name="_vena_CashFlowS2_CashFlowB2_C_FV_e1c3a244dc3d4f149ecdf7d748811086_75">#REF!</definedName>
    <definedName name="_vena_CashFlowS2_CashFlowB2_C_FV_e1c3a244dc3d4f149ecdf7d748811086_76">#REF!</definedName>
    <definedName name="_vena_CashFlowS2_CashFlowB2_C_FV_e1c3a244dc3d4f149ecdf7d748811086_77">#REF!</definedName>
    <definedName name="_vena_CashFlowS2_CashFlowB2_C_FV_e1c3a244dc3d4f149ecdf7d748811086_8">#REF!</definedName>
    <definedName name="_vena_CashFlowS2_CashFlowB2_C_FV_e1c3a244dc3d4f149ecdf7d748811086_9">#REF!</definedName>
    <definedName name="_vena_CashFlowS2_CashFlowB2_R_5_1111159204226662400">#REF!</definedName>
    <definedName name="_vena_CashFlowS2_CashFlowB2_R_5_1167674209943552000">#REF!</definedName>
    <definedName name="_vena_CashFlowS2_CashFlowB2_R_5_1170595977436463104">#REF!</definedName>
    <definedName name="_vena_CashFlowS2_CashFlowB2_R_5_1170596113696817152">#REF!</definedName>
    <definedName name="_vena_CashFlowS2_CashFlowB2_R_5_1185377430419013632">#REF!</definedName>
    <definedName name="_vena_CashFlowS2_CashFlowB2_R_5_1185377508101718016">#REF!</definedName>
    <definedName name="_vena_CashFlowS2_CashFlowB2_R_5_1202087927775100928">#REF!</definedName>
    <definedName name="_vena_CashFlowS2_CashFlowB2_R_5_1235034379672354816">#REF!</definedName>
    <definedName name="_vena_CashFlowS2_CashFlowB2_R_5_1251394851461267456">#REF!</definedName>
    <definedName name="_vena_CashFlowS2_CashFlowB2_R_5_1280678120106754048">#REF!</definedName>
    <definedName name="_vena_CashFlowS2_CashFlowB2_R_5_1314840998504824832">#REF!</definedName>
    <definedName name="_vena_CashFlowS2_CashFlowB2_R_5_1443625441048920064">#REF!</definedName>
    <definedName name="_vena_CashFlowS2_CashFlowB2_R_5_489561548411502592">#REF!</definedName>
    <definedName name="_vena_CashFlowS2_CashFlowB2_R_5_551651279547138048">#REF!</definedName>
    <definedName name="_vena_CashFlowS2_CashFlowB2_R_5_551651279639412736">#REF!</definedName>
    <definedName name="_vena_CashFlowS2_CashFlowB2_R_5_551651280230809602">#REF!</definedName>
    <definedName name="_vena_CashFlowS2_CashFlowB2_R_5_551651280667017216">#REF!</definedName>
    <definedName name="_vena_CashFlowS2_CashFlowB2_R_5_551651280671211520">#REF!</definedName>
    <definedName name="_vena_CashFlowS2_CashFlowB2_R_5_551651281153556480">#REF!</definedName>
    <definedName name="_vena_CashFlowS2_CashFlowB2_R_5_551651282814500866">#REF!</definedName>
    <definedName name="_vena_CashFlowS2_CashFlowB2_R_5_551651283271680000">#REF!</definedName>
    <definedName name="_vena_CashFlowS2_CashFlowB2_R_5_551651283720470530">#REF!</definedName>
    <definedName name="_vena_CashFlowS2_CashFlowB2_R_5_552736486795378689">#REF!</definedName>
    <definedName name="_vena_CashFlowS2_CashFlowB2_R_5_552736486812155904">#REF!</definedName>
    <definedName name="_vena_CashFlowS2_CashFlowB2_R_5_552736486816350209">#REF!</definedName>
    <definedName name="_vena_CashFlowS2_CashFlowB2_R_5_552736486824738817">#REF!</definedName>
    <definedName name="_vena_CashFlowS2_CashFlowB2_R_5_552736486833127425">#REF!</definedName>
    <definedName name="_vena_CashFlowS2_CashFlowB2_R_5_552736486837321729">#REF!</definedName>
    <definedName name="_vena_CashFlowS2_CashFlowB2_R_5_552736486845710337">#REF!</definedName>
    <definedName name="_vena_CashFlowS2_CashFlowB2_R_5_552736486854098945">#REF!</definedName>
    <definedName name="_vena_CashFlowS2_CashFlowB2_R_5_552736486858293249">#REF!</definedName>
    <definedName name="_vena_CashFlowS2_CashFlowB2_R_5_552736486866681857">#REF!</definedName>
    <definedName name="_vena_CashFlowS2_CashFlowB2_R_5_552736486875070465">#REF!</definedName>
    <definedName name="_vena_CashFlowS2_CashFlowB2_R_5_552736486879264769">#REF!</definedName>
    <definedName name="_vena_CashFlowS2_CashFlowB2_R_5_552736486887653377">#REF!</definedName>
    <definedName name="_vena_CashFlowS2_CashFlowB2_R_5_552736486896041985">#REF!</definedName>
    <definedName name="_vena_CashFlowS2_CashFlowB2_R_5_552736486904430593">#REF!</definedName>
    <definedName name="_vena_CashFlowS2_CashFlowB2_R_5_552736486912819201">#REF!</definedName>
    <definedName name="_vena_CashFlowS2_CashFlowB2_R_5_552736486925402113">#REF!</definedName>
    <definedName name="_vena_CashFlowS2_CashFlowB2_R_5_552736486933790721">#REF!</definedName>
    <definedName name="_vena_CashFlowS2_CashFlowB2_R_5_552736486942179329">#REF!</definedName>
    <definedName name="_vena_CashFlowS2_CashFlowB2_R_5_552736486950567937">#REF!</definedName>
    <definedName name="_vena_CashFlowS2_CashFlowB2_R_5_552736486954762241">#REF!</definedName>
    <definedName name="_vena_CashFlowS2_CashFlowB2_R_5_552736486963150849">#REF!</definedName>
    <definedName name="_vena_CashFlowS2_CashFlowB2_R_5_552736486979928065">#REF!</definedName>
    <definedName name="_vena_CashFlowS2_CashFlowB2_R_5_552736486992510976">#REF!</definedName>
    <definedName name="_vena_CashFlowS2_CashFlowB2_R_5_552736487000899585">#REF!</definedName>
    <definedName name="_vena_CashFlowS2_CashFlowB2_R_5_552736487009288193">#REF!</definedName>
    <definedName name="_vena_CashFlowS2_CashFlowB2_R_5_552736487013482497">#REF!</definedName>
    <definedName name="_vena_CashFlowS2_CashFlowB2_R_5_552736487021871105">#REF!</definedName>
    <definedName name="_vena_CashFlowS2_CashFlowB2_R_5_552736487030259713">#REF!</definedName>
    <definedName name="_vena_CashFlowS2_CashFlowB2_R_5_552736487034454017">#REF!</definedName>
    <definedName name="_vena_CashFlowS2_CashFlowB2_R_5_552736487042842625">#REF!</definedName>
    <definedName name="_vena_CashFlowS2_CashFlowB2_R_5_552736487051231233">#REF!</definedName>
    <definedName name="_vena_CashFlowS2_CashFlowB2_R_5_552736487055425537">#REF!</definedName>
    <definedName name="_vena_CashFlowS2_CashFlowB2_R_5_552736487063814145">#REF!</definedName>
    <definedName name="_vena_CashFlowS2_CashFlowB2_R_5_552736487072202753">#REF!</definedName>
    <definedName name="_vena_CashFlowS2_CashFlowB2_R_5_552736487080591360">#REF!</definedName>
    <definedName name="_vena_CashFlowS2_CashFlowB2_R_5_552736487084785665">#REF!</definedName>
    <definedName name="_vena_CashFlowS2_CashFlowB2_R_5_552736487101562881">#REF!</definedName>
    <definedName name="_vena_CashFlowS2_CashFlowB2_R_5_552736487114145792">#REF!</definedName>
    <definedName name="_vena_CashFlowS2_CashFlowB2_R_5_552736487122534401">#REF!</definedName>
    <definedName name="_vena_CashFlowS2_CashFlowB2_R_5_552736487130923009">#REF!</definedName>
    <definedName name="_vena_CashFlowS2_CashFlowB2_R_5_552736487135117313">#REF!</definedName>
    <definedName name="_vena_CashFlowS2_CashFlowB2_R_5_552736487143505921">#REF!</definedName>
    <definedName name="_vena_CashFlowS2_CashFlowB2_R_5_552736487151894529">#REF!</definedName>
    <definedName name="_vena_CashFlowS2_CashFlowB2_R_5_552736487156088833">#REF!</definedName>
    <definedName name="_vena_CashFlowS2_CashFlowB2_R_5_552736487164477441">#REF!</definedName>
    <definedName name="_vena_CashFlowS2_CashFlowB2_R_5_552736487172866049">#REF!</definedName>
    <definedName name="_vena_CashFlowS2_CashFlowB2_R_5_552736487181254657">#REF!</definedName>
    <definedName name="_vena_CashFlowS2_CashFlowB2_R_5_552736487189643264">#REF!</definedName>
    <definedName name="_vena_CashFlowS2_CashFlowB2_R_5_552736487193837569">#REF!</definedName>
    <definedName name="_vena_CashFlowS2_CashFlowB2_R_5_552736487210614785">#REF!</definedName>
    <definedName name="_vena_CashFlowS2_CashFlowB2_R_5_552736487235780608">#REF!</definedName>
    <definedName name="_vena_CashFlowS2_CashFlowB2_R_5_552736487248363520">#REF!</definedName>
    <definedName name="_vena_CashFlowS2_CashFlowB2_R_5_552736487256752129">#REF!</definedName>
    <definedName name="_vena_CashFlowS2_CashFlowB2_R_5_552736487265140737">#REF!</definedName>
    <definedName name="_vena_CashFlowS2_CashFlowB2_R_5_552736487269335041">#REF!</definedName>
    <definedName name="_vena_CashFlowS2_CashFlowB2_R_5_552736487277723649">#REF!</definedName>
    <definedName name="_vena_CashFlowS2_CashFlowB2_R_5_552736487286112257">#REF!</definedName>
    <definedName name="_vena_CashFlowS2_CashFlowB2_R_5_552736487294500865">#REF!</definedName>
    <definedName name="_vena_CashFlowS2_CashFlowB2_R_5_552736487302889473">#REF!</definedName>
    <definedName name="_vena_CashFlowS2_CashFlowB2_R_5_552736487311278081">#REF!</definedName>
    <definedName name="_vena_CashFlowS2_CashFlowB2_R_5_552736487315472385">#REF!</definedName>
    <definedName name="_vena_CashFlowS2_CashFlowB2_R_5_552736487323860993">#REF!</definedName>
    <definedName name="_vena_CashFlowS2_CashFlowB2_R_5_552736487332249601">#REF!</definedName>
    <definedName name="_vena_CashFlowS2_CashFlowB2_R_5_552736487340638209">#REF!</definedName>
    <definedName name="_vena_CashFlowS2_CashFlowB2_R_5_552736487344832513">#REF!</definedName>
    <definedName name="_vena_CashFlowS2_CashFlowB2_R_5_552736487353221121">#REF!</definedName>
    <definedName name="_vena_CashFlowS2_CashFlowB2_R_5_552736487361609729">#REF!</definedName>
    <definedName name="_vena_CashFlowS2_CashFlowB2_R_5_552736487369998337">#REF!</definedName>
    <definedName name="_vena_CashFlowS2_CashFlowB2_R_5_552736487399358464">#REF!</definedName>
    <definedName name="_vena_CashFlowS2_CashFlowB2_R_5_552736487403552769">#REF!</definedName>
    <definedName name="_vena_CashFlowS2_CashFlowB2_R_5_552736487411941377">#REF!</definedName>
    <definedName name="_vena_CashFlowS2_CashFlowB2_R_5_552736487420329985">#REF!</definedName>
    <definedName name="_vena_CashFlowS2_CashFlowB2_R_5_552736487428718593">#REF!</definedName>
    <definedName name="_vena_CashFlowS2_CashFlowB2_R_5_552736487437107201">#REF!</definedName>
    <definedName name="_vena_CashFlowS2_CashFlowB2_R_5_552736487445495808">#REF!</definedName>
    <definedName name="_vena_CashFlowS2_CashFlowB2_R_5_552736487449690113">#REF!</definedName>
    <definedName name="_vena_CashFlowS2_CashFlowB2_R_5_552736487458078721">#REF!</definedName>
    <definedName name="_vena_CashFlowS2_CashFlowB2_R_5_552736487466467329">#REF!</definedName>
    <definedName name="_vena_CashFlowS2_CashFlowB2_R_5_552736487495827457">#REF!</definedName>
    <definedName name="_vena_CashFlowS2_CashFlowB2_R_5_552736487512604672">#REF!</definedName>
    <definedName name="_vena_CashFlowS2_CashFlowB2_R_5_552736487516798977">#REF!</definedName>
    <definedName name="_vena_CashFlowS2_CashFlowB2_R_5_552736487525187585">#REF!</definedName>
    <definedName name="_vena_CashFlowS2_CashFlowB2_R_5_552736487533576193">#REF!</definedName>
    <definedName name="_vena_CashFlowS2_CashFlowB2_R_5_552736487541964801">#REF!</definedName>
    <definedName name="_vena_CashFlowS2_CashFlowB2_R_5_552736487550353408">#REF!</definedName>
    <definedName name="_vena_CashFlowS2_CashFlowB2_R_5_552736487554547713">#REF!</definedName>
    <definedName name="_vena_CashFlowS2_CashFlowB2_R_5_552736487562936321">#REF!</definedName>
    <definedName name="_vena_CashFlowS2_CashFlowB2_R_5_552736487571324929">#REF!</definedName>
    <definedName name="_vena_CashFlowS2_CashFlowB2_R_5_552736487575519233">#REF!</definedName>
    <definedName name="_vena_CashFlowS2_CashFlowB2_R_5_552736487592296449">#REF!</definedName>
    <definedName name="_vena_CashFlowS2_CashFlowB2_R_5_552736487609073664">#REF!</definedName>
    <definedName name="_vena_CashFlowS2_CashFlowB2_R_5_552736487613267969">#REF!</definedName>
    <definedName name="_vena_CashFlowS2_CashFlowB2_R_5_552736487621656577">#REF!</definedName>
    <definedName name="_vena_CashFlowS2_CashFlowB2_R_5_552736487630045185">#REF!</definedName>
    <definedName name="_vena_CashFlowS2_CashFlowB2_R_5_552736487638433793">#REF!</definedName>
    <definedName name="_vena_CashFlowS2_CashFlowB2_R_5_552736487646822401">#REF!</definedName>
    <definedName name="_vena_CashFlowS2_CashFlowB2_R_5_552736487655211009">#REF!</definedName>
    <definedName name="_vena_CashFlowS2_CashFlowB2_R_5_552736487667793921">#REF!</definedName>
    <definedName name="_vena_CashFlowS2_CashFlowB2_R_5_552736487684571136">#REF!</definedName>
    <definedName name="_vena_CashFlowS2_CashFlowB2_R_5_552736487692959744">#REF!</definedName>
    <definedName name="_vena_CashFlowS2_CashFlowB2_R_5_552736487697154049">#REF!</definedName>
    <definedName name="_vena_CashFlowS2_CashFlowB2_R_5_552736487705542657">#REF!</definedName>
    <definedName name="_vena_CashFlowS2_CashFlowB2_R_5_552736487713931265">#REF!</definedName>
    <definedName name="_vena_CashFlowS2_CashFlowB2_R_5_552736487722319872">#REF!</definedName>
    <definedName name="_vena_CashFlowS2_CashFlowB2_R_5_552736487726514177">#REF!</definedName>
    <definedName name="_vena_CashFlowS2_CashFlowB2_R_5_552736487739097089">#REF!</definedName>
    <definedName name="_vena_CashFlowS2_CashFlowB2_R_5_552736487743291393">#REF!</definedName>
    <definedName name="_vena_CashFlowS2_CashFlowB2_R_5_552736487818788865">#REF!</definedName>
    <definedName name="_vena_CashFlowS2_CashFlowB2_R_5_552736487835566080">#REF!</definedName>
    <definedName name="_vena_CashFlowS2_CashFlowB2_R_5_552736487843954688">#REF!</definedName>
    <definedName name="_vena_CashFlowS2_CashFlowB2_R_5_552736487848148993">#REF!</definedName>
    <definedName name="_vena_CashFlowS2_CashFlowB2_R_5_552736487856537601">#REF!</definedName>
    <definedName name="_vena_CashFlowS2_CashFlowB2_R_5_552736487864926209">#REF!</definedName>
    <definedName name="_vena_CashFlowS2_CashFlowB2_R_5_552736487873314817">#REF!</definedName>
    <definedName name="_vena_CashFlowS2_CashFlowB2_R_5_552736487881703424">#REF!</definedName>
    <definedName name="_vena_CashFlowS2_CashFlowB2_R_5_552736487885897729">#REF!</definedName>
    <definedName name="_vena_CashFlowS2_CashFlowB2_R_5_552736487894286337">#REF!</definedName>
    <definedName name="_vena_CashFlowS2_CashFlowB2_R_5_552736487902674945">#REF!</definedName>
    <definedName name="_vena_CashFlowS2_CashFlowB2_R_5_552736487919452161">#REF!</definedName>
    <definedName name="_vena_CashFlowS2_CashFlowB2_R_5_552736487936229376">#REF!</definedName>
    <definedName name="_vena_CashFlowS2_CashFlowB2_R_5_552736487940423681">#REF!</definedName>
    <definedName name="_vena_CashFlowS2_CashFlowB2_R_5_552736487948812289">#REF!</definedName>
    <definedName name="_vena_CashFlowS2_CashFlowB2_R_5_552736487957200897">#REF!</definedName>
    <definedName name="_vena_CashFlowS2_CashFlowB2_R_5_552736487965589505">#REF!</definedName>
    <definedName name="_vena_CashFlowS2_CashFlowB2_R_5_552736487973978113">#REF!</definedName>
    <definedName name="_vena_CashFlowS2_CashFlowB2_R_5_552736487982366721">#REF!</definedName>
    <definedName name="_vena_CashFlowS2_CashFlowB2_R_5_552736487990755329">#REF!</definedName>
    <definedName name="_vena_CashFlowS2_CashFlowB2_R_5_552736487999143937">#REF!</definedName>
    <definedName name="_vena_CashFlowS2_CashFlowB2_R_5_552736488007532545">#REF!</definedName>
    <definedName name="_vena_CashFlowS2_CashFlowB2_R_5_552736488015921153">#REF!</definedName>
    <definedName name="_vena_CashFlowS2_CashFlowB2_R_5_552736488024309760">#REF!</definedName>
    <definedName name="_vena_CashFlowS2_CashFlowB2_R_5_552736488028504065">#REF!</definedName>
    <definedName name="_vena_CashFlowS2_CashFlowB2_R_5_552736488049475585">#REF!</definedName>
    <definedName name="_vena_CashFlowS2_CashFlowB2_R_5_552736488066252800">#REF!</definedName>
    <definedName name="_vena_CashFlowS2_CashFlowB2_R_5_552736488074641409">#REF!</definedName>
    <definedName name="_vena_CashFlowS2_CashFlowB2_R_5_552736488078835713">#REF!</definedName>
    <definedName name="_vena_CashFlowS2_CashFlowB2_R_5_552736488087224321">#REF!</definedName>
    <definedName name="_vena_CashFlowS2_CashFlowB2_R_5_552736488095612929">#REF!</definedName>
    <definedName name="_vena_CashFlowS2_CashFlowB2_R_5_552736488124973057">#REF!</definedName>
    <definedName name="_vena_CashFlowS2_CashFlowB2_R_5_552736488154333185">#REF!</definedName>
    <definedName name="_vena_CashFlowS2_CashFlowB2_R_5_552736488162721793">#REF!</definedName>
    <definedName name="_vena_CashFlowS2_CashFlowB2_R_5_552736488175304704">#REF!</definedName>
    <definedName name="_vena_CashFlowS2_CashFlowB2_R_5_552736488183693313">#REF!</definedName>
    <definedName name="_vena_CashFlowS2_CashFlowB2_R_5_552736488200470528">#REF!</definedName>
    <definedName name="_vena_CashFlowS2_CashFlowB2_R_5_552736488208859137">#REF!</definedName>
    <definedName name="_vena_CashFlowS2_CashFlowB2_R_5_552736488217247745">#REF!</definedName>
    <definedName name="_vena_CashFlowS2_CashFlowB2_R_5_552736488225636353">#REF!</definedName>
    <definedName name="_vena_CashFlowS2_CashFlowB2_R_5_552736488234024961">#REF!</definedName>
    <definedName name="_vena_CashFlowS2_CashFlowB2_R_5_552736488242413569">#REF!</definedName>
    <definedName name="_vena_CashFlowS2_CashFlowB2_R_5_552736488259190784">#REF!</definedName>
    <definedName name="_vena_CashFlowS2_CashFlowB2_R_5_552736488263385089">#REF!</definedName>
    <definedName name="_vena_CashFlowS2_CashFlowB2_R_5_552736488280162304">#REF!</definedName>
    <definedName name="_vena_CashFlowS2_CashFlowB2_R_5_552736488292745216">#REF!</definedName>
    <definedName name="_vena_CashFlowS2_CashFlowB2_R_5_552736488305328128">#REF!</definedName>
    <definedName name="_vena_CashFlowS2_CashFlowB2_R_5_552736488313716737">#REF!</definedName>
    <definedName name="_vena_CashFlowS2_CashFlowB2_R_5_552736488322105345">#REF!</definedName>
    <definedName name="_vena_CashFlowS2_CashFlowB2_R_5_552736488334688256">#REF!</definedName>
    <definedName name="_vena_CashFlowS2_CashFlowB2_R_5_552736488355659776">#REF!</definedName>
    <definedName name="_vena_CashFlowS2_CashFlowB2_R_5_552736488364048385">#REF!</definedName>
    <definedName name="_vena_CashFlowS2_CashFlowB2_R_5_552736488380825600">#REF!</definedName>
    <definedName name="_vena_CashFlowS2_CashFlowB2_R_5_552736488389214209">#REF!</definedName>
    <definedName name="_vena_CashFlowS2_CashFlowB2_R_5_552736488397602817">#REF!</definedName>
    <definedName name="_vena_CashFlowS2_CashFlowB2_R_5_552736488414380032">#REF!</definedName>
    <definedName name="_vena_CashFlowS2_CashFlowB2_R_5_552736488418574337">#REF!</definedName>
    <definedName name="_vena_CashFlowS2_CashFlowB2_R_5_552736488426962945">#REF!</definedName>
    <definedName name="_vena_CashFlowS2_CashFlowB2_R_5_552736488456323072">#REF!</definedName>
    <definedName name="_vena_CashFlowS2_CashFlowB2_R_5_552736488489877505">#REF!</definedName>
    <definedName name="_vena_CashFlowS2_CashFlowB2_R_5_552736488502460416">#REF!</definedName>
    <definedName name="_vena_CashFlowS2_CashFlowB2_R_5_552736488519237632">#REF!</definedName>
    <definedName name="_vena_CashFlowS2_CashFlowB2_R_5_552736488531820545">#REF!</definedName>
    <definedName name="_vena_CashFlowS2_CashFlowB2_R_5_552736488544403457">#REF!</definedName>
    <definedName name="_vena_CashFlowS2_CashFlowB2_R_5_552736488556986369">#REF!</definedName>
    <definedName name="_vena_CashFlowS2_CashFlowB2_R_5_552736488565374977">#REF!</definedName>
    <definedName name="_vena_CashFlowS2_CashFlowB2_R_5_552736488569569281">#REF!</definedName>
    <definedName name="_vena_CashFlowS2_CashFlowB2_R_5_552736488586346496">#REF!</definedName>
    <definedName name="_vena_CashFlowS2_CashFlowB2_R_5_552736488594735105">#REF!</definedName>
    <definedName name="_vena_CashFlowS2_CashFlowB2_R_5_552736488603123713">#REF!</definedName>
    <definedName name="_vena_CashFlowS2_CashFlowB2_R_5_552736488615706624">#REF!</definedName>
    <definedName name="_vena_CashFlowS2_CashFlowB2_R_5_552736488624095233">#REF!</definedName>
    <definedName name="_vena_CashFlowS2_CashFlowB2_R_5_552736488636678144">#REF!</definedName>
    <definedName name="_vena_CashFlowS2_CashFlowB2_R_5_552736488645066753">#REF!</definedName>
    <definedName name="_vena_CashFlowS2_CashFlowB2_R_5_552736488653455361">#REF!</definedName>
    <definedName name="_vena_CashFlowS2_CashFlowB2_R_5_552736488661843969">#REF!</definedName>
    <definedName name="_vena_CashFlowS2_CashFlowB2_R_5_552736488674426881">#REF!</definedName>
    <definedName name="_vena_CashFlowS2_CashFlowB2_R_5_552736488691204096">#REF!</definedName>
    <definedName name="_vena_CashFlowS2_CashFlowB2_R_5_552736488699592705">#REF!</definedName>
    <definedName name="_vena_CashFlowS2_CashFlowB2_R_5_552736488716369920">#REF!</definedName>
    <definedName name="_vena_CashFlowS2_CashFlowB2_R_5_552736488720564225">#REF!</definedName>
    <definedName name="_vena_CashFlowS2_CashFlowB2_R_5_552736488733147137">#REF!</definedName>
    <definedName name="_vena_CashFlowS2_CashFlowB2_R_5_552736488749924352">#REF!</definedName>
    <definedName name="_vena_CashFlowS2_CashFlowB2_R_5_552736488766701569">#REF!</definedName>
    <definedName name="_vena_CashFlowS2_CashFlowB2_R_5_552736488800256000">#REF!</definedName>
    <definedName name="_vena_CashFlowS2_CashFlowB2_R_5_552736488808644609">#REF!</definedName>
    <definedName name="_vena_CashFlowS2_CashFlowB2_R_5_552736488817033217">#REF!</definedName>
    <definedName name="_vena_CashFlowS2_CashFlowB2_R_5_552736488825421825">#REF!</definedName>
    <definedName name="_vena_CashFlowS2_CashFlowB2_R_5_552736488829616129">#REF!</definedName>
    <definedName name="_vena_CashFlowS2_CashFlowB2_R_5_552736488838004737">#REF!</definedName>
    <definedName name="_vena_CashFlowS2_CashFlowB2_R_5_552736488846393345">#REF!</definedName>
    <definedName name="_vena_CashFlowS2_CashFlowB2_R_5_552736488863170560">#REF!</definedName>
    <definedName name="_vena_CashFlowS2_CashFlowB2_R_5_552736488879947776">#REF!</definedName>
    <definedName name="_vena_CashFlowS2_CashFlowB2_R_5_552736488888336384">#REF!</definedName>
    <definedName name="_vena_CashFlowS2_CashFlowB2_R_5_552736488892530689">#REF!</definedName>
    <definedName name="_vena_CashFlowS2_CashFlowB2_R_5_552736488900919297">#REF!</definedName>
    <definedName name="_vena_CashFlowS2_CashFlowB2_R_5_552736488913502209">#REF!</definedName>
    <definedName name="_vena_CashFlowS2_CashFlowB2_R_5_552736488921890817">#REF!</definedName>
    <definedName name="_vena_CashFlowS2_CashFlowB2_R_5_552736488930279425">#REF!</definedName>
    <definedName name="_vena_CashFlowS2_CashFlowB2_R_5_552736488934473729">#REF!</definedName>
    <definedName name="_vena_CashFlowS2_CashFlowB2_R_5_552736488942862337">#REF!</definedName>
    <definedName name="_vena_CashFlowS2_CashFlowB2_R_5_552736488951250945">#REF!</definedName>
    <definedName name="_vena_CashFlowS2_CashFlowB2_R_5_552736488959639553">#REF!</definedName>
    <definedName name="_vena_CashFlowS2_CashFlowB2_R_5_552736488976416768">#REF!</definedName>
    <definedName name="_vena_CashFlowS2_CashFlowB2_R_5_552736488984805377">#REF!</definedName>
    <definedName name="_vena_CashFlowS2_CashFlowB2_R_5_552736489001582592">#REF!</definedName>
    <definedName name="_vena_CashFlowS2_CashFlowB2_R_5_552736489014165504">#REF!</definedName>
    <definedName name="_vena_CashFlowS2_CashFlowB2_R_5_552736489026748416">#REF!</definedName>
    <definedName name="_vena_CashFlowS2_CashFlowB2_R_5_552736489035137025">#REF!</definedName>
    <definedName name="_vena_CashFlowS2_CashFlowB2_R_5_552736489047719936">#REF!</definedName>
    <definedName name="_vena_CashFlowS2_CashFlowB2_R_5_552736489056108545">#REF!</definedName>
    <definedName name="_vena_CashFlowS2_CashFlowB2_R_5_552736489064497153">#REF!</definedName>
    <definedName name="_vena_CashFlowS2_CashFlowB2_R_5_552736489085468672">#REF!</definedName>
    <definedName name="_vena_CashFlowS2_CashFlowB2_R_5_552736489089662977">#REF!</definedName>
    <definedName name="_vena_CashFlowS2_CashFlowB2_R_5_552736489110634496">#REF!</definedName>
    <definedName name="_vena_CashFlowS2_CashFlowB2_R_5_552736489119023104">#REF!</definedName>
    <definedName name="_vena_CashFlowS2_CashFlowB2_R_5_552736489127411713">#REF!</definedName>
    <definedName name="_vena_CashFlowS2_CashFlowB2_R_5_553004603877228544">#REF!</definedName>
    <definedName name="_vena_CashFlowS2_CashFlowB2_R_5_553004856093966336">#REF!</definedName>
    <definedName name="_vena_CashFlowS2_CashFlowB2_R_5_553005432164974592">#REF!</definedName>
    <definedName name="_vena_CashFlowS2_CashFlowB2_R_5_553020693446131712">#REF!</definedName>
    <definedName name="_vena_CashFlowS2_CashFlowB2_R_5_553020693450326017">#REF!</definedName>
    <definedName name="_vena_CashFlowS2_CashFlowB2_R_5_553020693454520321">#REF!</definedName>
    <definedName name="_vena_CashFlowS2_CashFlowB2_R_5_553020693454520323">#REF!</definedName>
    <definedName name="_vena_CashFlowS2_CashFlowB2_R_5_553020693458714625">#REF!</definedName>
    <definedName name="_vena_CashFlowS2_CashFlowB2_R_5_553020693462908929">#REF!</definedName>
    <definedName name="_vena_CashFlowS2_CashFlowB2_R_5_553020693462908931">#REF!</definedName>
    <definedName name="_vena_CashFlowS2_CashFlowB2_R_5_553020693467103233">#REF!</definedName>
    <definedName name="_vena_CashFlowS2_CashFlowB2_R_5_553020693471297537">#REF!</definedName>
    <definedName name="_vena_CashFlowS2_CashFlowB2_R_5_553020693471297539">#REF!</definedName>
    <definedName name="_vena_CashFlowS2_CashFlowB2_R_5_553020693475491841">#REF!</definedName>
    <definedName name="_vena_CashFlowS2_CashFlowB2_R_5_553020693479686147">#REF!</definedName>
    <definedName name="_vena_CashFlowS2_CashFlowB2_R_5_553020693483880449">#REF!</definedName>
    <definedName name="_vena_CashFlowS2_CashFlowB2_R_5_553020693488074753">#REF!</definedName>
    <definedName name="_vena_CashFlowS2_CashFlowB2_R_5_553020693488074755">#REF!</definedName>
    <definedName name="_vena_CashFlowS2_CashFlowB2_R_5_553020693492269057">#REF!</definedName>
    <definedName name="_vena_CashFlowS2_CashFlowB2_R_5_553020693496463361">#REF!</definedName>
    <definedName name="_vena_CashFlowS2_CashFlowB2_R_5_553020693496463363">#REF!</definedName>
    <definedName name="_vena_CashFlowS2_CashFlowB2_R_5_553020693500657665">#REF!</definedName>
    <definedName name="_vena_CashFlowS2_CashFlowB2_R_5_553020693504851969">#REF!</definedName>
    <definedName name="_vena_CashFlowS2_CashFlowB2_R_5_553020693521629184">#REF!</definedName>
    <definedName name="_vena_CashFlowS2_CashFlowB2_R_5_553020693525823489">#REF!</definedName>
    <definedName name="_vena_CashFlowS2_CashFlowB2_R_5_553020693530017793">#REF!</definedName>
    <definedName name="_vena_CashFlowS2_CashFlowB2_R_5_555286447117959168">#REF!</definedName>
    <definedName name="_vena_CashFlowS2_CashFlowB2_R_5_555594863500853248">#REF!</definedName>
    <definedName name="_vena_CashFlowS2_CashFlowB2_R_5_555595689988980736">#REF!</definedName>
    <definedName name="_vena_CashFlowS2_CashFlowB2_R_5_555600413882449920">#REF!</definedName>
    <definedName name="_vena_CashFlowS2_CashFlowB2_R_5_555600502600237056">#REF!</definedName>
    <definedName name="_vena_CashFlowS2_CashFlowB2_R_5_567892648623472640">#REF!</definedName>
    <definedName name="_vena_CashFlowS2_CashFlowB2_R_5_567893146436894720">#REF!</definedName>
    <definedName name="_vena_CashFlowS2_CashFlowB2_R_5_567893413639356416">#REF!</definedName>
    <definedName name="_vena_CashFlowS2_CashFlowB2_R_5_567893530102464512">#REF!</definedName>
    <definedName name="_vena_CashFlowS2_CashFlowB2_R_5_567893685237710848">#REF!</definedName>
    <definedName name="_vena_CashFlowS2_CashFlowB2_R_5_567893851260583936">#REF!</definedName>
    <definedName name="_vena_CashFlowS2_CashFlowB2_R_5_567894059482349568">#REF!</definedName>
    <definedName name="_vena_CashFlowS2_CashFlowB2_R_5_567894184993226752">#REF!</definedName>
    <definedName name="_vena_CashFlowS2_CashFlowB2_R_5_567894306095104000">#REF!</definedName>
    <definedName name="_vena_CashFlowS2_CashFlowB2_R_5_567894417365925888">#REF!</definedName>
    <definedName name="_vena_CashFlowS2_CashFlowB2_R_5_567895058167758848">#REF!</definedName>
    <definedName name="_vena_CashFlowS2_CashFlowB2_R_5_567895151054422016">#REF!</definedName>
    <definedName name="_vena_CashFlowS2_CashFlowB2_R_5_567895227948990464">#REF!</definedName>
    <definedName name="_vena_CashFlowS2_CashFlowB2_R_5_567895334349701120">#REF!</definedName>
    <definedName name="_vena_CashFlowS2_CashFlowB2_R_5_588955414247505920">#REF!</definedName>
    <definedName name="_vena_CashFlowS2_CashFlowB2_R_5_588955952527835136">#REF!</definedName>
    <definedName name="_vena_CashFlowS2_CashFlowB2_R_5_607045133481148416">#REF!</definedName>
    <definedName name="_vena_CashFlowS2_CashFlowB2_R_5_632005310831919105">#REF!</definedName>
    <definedName name="_vena_CashFlowS2_CashFlowB2_R_5_632005310831919111">#REF!</definedName>
    <definedName name="_vena_CashFlowS2_CashFlowB2_R_5_632005310831919113">#REF!</definedName>
    <definedName name="_vena_CashFlowS2_CashFlowB2_R_5_632005310836113408">#REF!</definedName>
    <definedName name="_vena_CashFlowS2_CashFlowB2_R_5_632005310836113410">#REF!</definedName>
    <definedName name="_vena_CashFlowS2_CashFlowB2_R_5_632005310840307712">#REF!</definedName>
    <definedName name="_vena_CashFlowS2_CashFlowB2_R_5_632005310852890628">#REF!</definedName>
    <definedName name="_vena_CashFlowS2_CashFlowB2_R_5_632005310857084934">#REF!</definedName>
    <definedName name="_vena_CashFlowS2_CashFlowB2_R_5_632005310857084936">#REF!</definedName>
    <definedName name="_vena_CashFlowS2_CashFlowB2_R_5_632005310861279232">#REF!</definedName>
    <definedName name="_vena_CashFlowS2_CashFlowB2_R_5_632005310861279234">#REF!</definedName>
    <definedName name="_vena_CashFlowS2_CashFlowB2_R_5_632005310861279238">#REF!</definedName>
    <definedName name="_vena_CashFlowS2_CashFlowB2_R_5_632005310882250754">#REF!</definedName>
    <definedName name="_vena_CashFlowS2_CashFlowB2_R_5_632005310882250756">#REF!</definedName>
    <definedName name="_vena_CashFlowS2_CashFlowB2_R_5_632005310890639362">#REF!</definedName>
    <definedName name="_vena_CashFlowS2_CashFlowB2_R_5_632005310890639364">#REF!</definedName>
    <definedName name="_vena_CashFlowS2_CashFlowB2_R_5_632005310890639366">#REF!</definedName>
    <definedName name="_vena_CashFlowS2_CashFlowB2_R_5_632005310894833664">#REF!</definedName>
    <definedName name="_vena_CashFlowS2_CashFlowB2_R_5_632005310894833672">#REF!</definedName>
    <definedName name="_vena_CashFlowS2_CashFlowB2_R_5_632005310907416580">#REF!</definedName>
    <definedName name="_vena_CashFlowS2_CashFlowB2_R_5_632005310915805190">#REF!</definedName>
    <definedName name="_vena_CashFlowS2_CashFlowB2_R_5_632005310919999492">#REF!</definedName>
    <definedName name="_vena_CashFlowS2_CashFlowB2_R_5_632005310919999494">#REF!</definedName>
    <definedName name="_vena_CashFlowS2_CashFlowB2_R_5_632005310919999496">#REF!</definedName>
    <definedName name="_vena_CashFlowS2_CashFlowB2_R_5_632005310924193792">#REF!</definedName>
    <definedName name="_vena_CashFlowS2_CashFlowB2_R_5_632005310924193798">#REF!</definedName>
    <definedName name="_vena_CashFlowS2_CashFlowB2_R_5_632005310940971013">#REF!</definedName>
    <definedName name="_vena_CashFlowS2_CashFlowB2_R_5_632005310945165316">#REF!</definedName>
    <definedName name="_vena_CashFlowS2_CashFlowB2_R_5_632005310949359624">#REF!</definedName>
    <definedName name="_vena_CashFlowS2_CashFlowB2_R_5_632005310953553920">#REF!</definedName>
    <definedName name="_vena_CashFlowS2_CashFlowB2_R_5_632005310953553922">#REF!</definedName>
    <definedName name="_vena_CashFlowS2_CashFlowB2_R_5_632005310953553924">#REF!</definedName>
    <definedName name="_vena_CashFlowS2_CashFlowB2_R_5_632005310957748224">#REF!</definedName>
    <definedName name="_vena_CashFlowS2_CashFlowB2_R_5_632005310957748226">#REF!</definedName>
    <definedName name="_vena_CashFlowS2_CashFlowB2_R_5_632005310974525442">#REF!</definedName>
    <definedName name="_vena_CashFlowS2_CashFlowB2_R_5_632005310974525444">#REF!</definedName>
    <definedName name="_vena_CashFlowS2_CashFlowB2_R_5_632005310978719744">#REF!</definedName>
    <definedName name="_vena_CashFlowS2_CashFlowB2_R_5_632005310982914050">#REF!</definedName>
    <definedName name="_vena_CashFlowS2_CashFlowB2_R_5_632005310982914052">#REF!</definedName>
    <definedName name="_vena_CashFlowS2_CashFlowB2_R_5_632005310982914054">#REF!</definedName>
    <definedName name="_vena_CashFlowS2_CashFlowB2_R_5_632005310982914056">#REF!</definedName>
    <definedName name="_vena_CashFlowS2_CashFlowB2_R_5_632005310987108357">#REF!</definedName>
    <definedName name="_vena_CashFlowS2_CashFlowB2_R_5_632005310995496960">#REF!</definedName>
    <definedName name="_vena_CashFlowS2_CashFlowB2_R_5_632005310995496962">#REF!</definedName>
    <definedName name="_vena_CashFlowS2_CashFlowB2_R_5_632005310995496966">#REF!</definedName>
    <definedName name="_vena_CashFlowS2_CashFlowB2_R_5_632005311008079873">#REF!</definedName>
    <definedName name="_vena_CashFlowS2_CashFlowB2_R_5_632005311012274180">#REF!</definedName>
    <definedName name="_vena_CashFlowS2_CashFlowB2_R_5_632005311012274184">#REF!</definedName>
    <definedName name="_vena_CashFlowS2_CashFlowB2_R_5_632005311016468480">#REF!</definedName>
    <definedName name="_vena_CashFlowS2_CashFlowB2_R_5_632005311016468486">#REF!</definedName>
    <definedName name="_vena_CashFlowS2_CashFlowB2_R_5_632005311033245699">#REF!</definedName>
    <definedName name="_vena_CashFlowS2_CashFlowB2_R_5_632005311033245703">#REF!</definedName>
    <definedName name="_vena_CashFlowS2_CashFlowB2_R_5_632005311037440008">#REF!</definedName>
    <definedName name="_vena_CashFlowS2_CashFlowB2_R_5_632005311041634304">#REF!</definedName>
    <definedName name="_vena_CashFlowS2_CashFlowB2_R_5_632005311041634306">#REF!</definedName>
    <definedName name="_vena_CashFlowS2_CashFlowB2_R_5_632005311041634308">#REF!</definedName>
    <definedName name="_vena_CashFlowS2_CashFlowB2_R_5_632005311062605830">#REF!</definedName>
    <definedName name="_vena_CashFlowS2_CashFlowB2_R_5_632005311070994432">#REF!</definedName>
    <definedName name="_vena_CashFlowS2_CashFlowB2_R_5_632005311070994434">#REF!</definedName>
    <definedName name="_vena_CashFlowS2_CashFlowB2_R_5_632005311070994436">#REF!</definedName>
    <definedName name="_vena_CashFlowS2_CashFlowB2_R_5_632005311070994438">#REF!</definedName>
    <definedName name="_vena_CashFlowS2_CashFlowB2_R_5_632005311083577348">#REF!</definedName>
    <definedName name="_vena_CashFlowS2_CashFlowB2_R_5_632005311096160258">#REF!</definedName>
    <definedName name="_vena_CashFlowS2_CashFlowB2_R_5_632005311096160260">#REF!</definedName>
    <definedName name="_vena_CashFlowS2_CashFlowB2_R_5_632005311096160262">#REF!</definedName>
    <definedName name="_vena_CashFlowS2_CashFlowB2_R_5_632005311096160264">#REF!</definedName>
    <definedName name="_vena_CashFlowS2_CashFlowB2_R_5_632005311100354567">#REF!</definedName>
    <definedName name="_vena_CashFlowS2_CashFlowB2_R_5_632005311121326082">#REF!</definedName>
    <definedName name="_vena_CashFlowS2_CashFlowB2_R_5_632005311121326086">#REF!</definedName>
    <definedName name="_vena_CashFlowS2_CashFlowB2_R_5_632005311125520384">#REF!</definedName>
    <definedName name="_vena_CashFlowS2_CashFlowB2_R_5_632005311125520386">#REF!</definedName>
    <definedName name="_vena_CashFlowS2_CashFlowB2_R_5_632005311125520392">#REF!</definedName>
    <definedName name="_vena_CashFlowS2_CashFlowB2_R_5_632005311146491912">#REF!</definedName>
    <definedName name="_vena_CashFlowS2_CashFlowB2_R_5_632005311150686208">#REF!</definedName>
    <definedName name="_vena_CashFlowS2_CashFlowB2_R_5_632005311154880512">#REF!</definedName>
    <definedName name="_vena_CashFlowS2_CashFlowB2_R_5_632005311154880514">#REF!</definedName>
    <definedName name="_vena_CashFlowS2_CashFlowB2_R_5_632005311154880516">#REF!</definedName>
    <definedName name="_vena_CashFlowS2_CashFlowB2_R_5_632005311159074816">#REF!</definedName>
    <definedName name="_vena_CashFlowS2_CashFlowB2_R_5_632005311175852035">#REF!</definedName>
    <definedName name="_vena_CashFlowS2_CashFlowB2_R_5_632005311175852039">#REF!</definedName>
    <definedName name="_vena_CashFlowS2_CashFlowB2_R_5_632005311184240640">#REF!</definedName>
    <definedName name="_vena_CashFlowS2_CashFlowB2_R_5_632005311184240642">#REF!</definedName>
    <definedName name="_vena_CashFlowS2_CashFlowB2_R_5_632005311184240644">#REF!</definedName>
    <definedName name="_vena_CashFlowS2_CashFlowB2_R_5_632005311188434945">#REF!</definedName>
    <definedName name="_vena_CashFlowS2_CashFlowB2_R_5_632005311209406470">#REF!</definedName>
    <definedName name="_vena_CashFlowS2_CashFlowB2_R_5_632005311209406472">#REF!</definedName>
    <definedName name="_vena_CashFlowS2_CashFlowB2_R_5_632005311213600768">#REF!</definedName>
    <definedName name="_vena_CashFlowS2_CashFlowB2_R_5_632005311213600770">#REF!</definedName>
    <definedName name="_vena_CashFlowS2_CashFlowB2_R_5_632005311230377986">#REF!</definedName>
    <definedName name="_vena_CashFlowS2_CashFlowB2_R_5_632005311234572292">#REF!</definedName>
    <definedName name="_vena_CashFlowS2_CashFlowB2_R_5_632005311234572294">#REF!</definedName>
    <definedName name="_vena_CashFlowS2_CashFlowB2_R_5_632005311238766592">#REF!</definedName>
    <definedName name="_vena_CashFlowS2_CashFlowB2_R_5_632005311238766596">#REF!</definedName>
    <definedName name="_vena_CashFlowS2_CashFlowB2_R_5_632005311238766600">#REF!</definedName>
    <definedName name="_vena_CashFlowS2_CashFlowB2_R_5_632005311255543815">#REF!</definedName>
    <definedName name="_vena_CashFlowS2_CashFlowB2_R_5_632005311259738112">#REF!</definedName>
    <definedName name="_vena_CashFlowS2_CashFlowB2_R_5_632005311259738114">#REF!</definedName>
    <definedName name="_vena_CashFlowS2_CashFlowB2_R_5_632005311263932420">#REF!</definedName>
    <definedName name="_vena_CashFlowS2_CashFlowB2_R_5_632005311263932422">#REF!</definedName>
    <definedName name="_vena_CashFlowS2_CashFlowB2_R_5_632005311268126720">#REF!</definedName>
    <definedName name="_vena_CashFlowS2_CashFlowB2_R_5_632005311268126726">#REF!</definedName>
    <definedName name="_vena_CashFlowS2_CashFlowB2_R_5_632005311268126728">#REF!</definedName>
    <definedName name="_vena_CashFlowS2_CashFlowB2_R_5_632005311284903938">#REF!</definedName>
    <definedName name="_vena_CashFlowS2_CashFlowB2_R_5_632005311284903942">#REF!</definedName>
    <definedName name="_vena_CashFlowS2_CashFlowB2_R_5_632005311289098249">#REF!</definedName>
    <definedName name="_vena_CashFlowS2_CashFlowB2_R_5_632005311293292544">#REF!</definedName>
    <definedName name="_vena_CashFlowS2_CashFlowB2_R_5_632005311293292546">#REF!</definedName>
    <definedName name="_vena_CashFlowS2_CashFlowB2_R_5_632005311293292548">#REF!</definedName>
    <definedName name="_vena_CashFlowS2_CashFlowB2_R_5_632005311297486850">#REF!</definedName>
    <definedName name="_vena_CashFlowS2_CashFlowB2_R_5_632005311297486852">#REF!</definedName>
    <definedName name="_vena_CashFlowS2_CashFlowB2_R_5_632005311318458370">#REF!</definedName>
    <definedName name="_vena_CashFlowS2_CashFlowB2_R_5_632005311318458372">#REF!</definedName>
    <definedName name="_vena_CashFlowS2_CashFlowB2_R_5_632005311318458374">#REF!</definedName>
    <definedName name="_vena_CashFlowS2_CashFlowB2_R_5_632005311318458376">#REF!</definedName>
    <definedName name="_vena_CashFlowS2_CashFlowB2_R_5_632005311322652677">#REF!</definedName>
    <definedName name="_vena_CashFlowS2_CashFlowB2_R_5_632005311322652679">#REF!</definedName>
    <definedName name="_vena_CashFlowS2_CashFlowB2_R_5_632005311335235592">#REF!</definedName>
    <definedName name="_vena_CashFlowS2_CashFlowB2_R_5_632005311339429888">#REF!</definedName>
    <definedName name="_vena_CashFlowS2_CashFlowB2_R_5_632005311339429890">#REF!</definedName>
    <definedName name="_vena_CashFlowS2_CashFlowB2_R_5_632005311339429892">#REF!</definedName>
    <definedName name="_vena_CashFlowS2_CashFlowB2_R_5_632005311339429894">#REF!</definedName>
    <definedName name="_vena_CashFlowS2_CashFlowB2_R_5_632005311343624200">#REF!</definedName>
    <definedName name="_vena_CashFlowS2_CashFlowB2_R_5_632005311347818496">#REF!</definedName>
    <definedName name="_vena_CashFlowS2_CashFlowB2_R_5_632005311347818498">#REF!</definedName>
    <definedName name="_vena_CashFlowS2_CashFlowB2_R_5_632005311347818500">#REF!</definedName>
    <definedName name="_vena_CashFlowS2_CashFlowB2_R_5_632005311352012802">#REF!</definedName>
    <definedName name="_vena_CashFlowS2_CashFlowB2_R_5_632005311352012804">#REF!</definedName>
    <definedName name="_vena_CashFlowS2_CashFlowB2_R_5_632005311377178626">#REF!</definedName>
    <definedName name="_vena_CashFlowS2_CashFlowB2_R_5_632005311377178628">#REF!</definedName>
    <definedName name="_vena_CashFlowS2_CashFlowB2_R_5_632005311377178630">#REF!</definedName>
    <definedName name="_vena_CashFlowS2_CashFlowB2_R_5_632005311377178632">#REF!</definedName>
    <definedName name="_vena_CashFlowS2_CashFlowB2_R_5_632005311381372931">#REF!</definedName>
    <definedName name="_vena_CashFlowS2_CashFlowB2_R_5_632005311381372933">#REF!</definedName>
    <definedName name="_vena_CashFlowS2_CashFlowB2_R_5_632005311398150152">#REF!</definedName>
    <definedName name="_vena_CashFlowS2_CashFlowB2_R_5_632005311402344448">#REF!</definedName>
    <definedName name="_vena_CashFlowS2_CashFlowB2_R_5_632005311402344450">#REF!</definedName>
    <definedName name="_vena_CashFlowS2_CashFlowB2_R_5_632005311402344452">#REF!</definedName>
    <definedName name="_vena_CashFlowS2_CashFlowB2_R_5_632005311406538754">#REF!</definedName>
    <definedName name="_vena_CashFlowS2_CashFlowB2_R_5_632005311406538756">#REF!</definedName>
    <definedName name="_vena_CashFlowS2_CashFlowB2_R_5_632005311406538758">#REF!</definedName>
    <definedName name="_vena_CashFlowS2_CashFlowB2_R_5_632005311423315976">#REF!</definedName>
    <definedName name="_vena_CashFlowS2_CashFlowB2_R_5_632005311427510272">#REF!</definedName>
    <definedName name="_vena_CashFlowS2_CashFlowB2_R_5_632005311427510274">#REF!</definedName>
    <definedName name="_vena_CashFlowS2_CashFlowB2_R_5_632005311431704581">#REF!</definedName>
    <definedName name="_vena_CashFlowS2_CashFlowB2_R_5_632005311431704583">#REF!</definedName>
    <definedName name="_vena_CashFlowS2_CashFlowB2_R_5_632005311435898880">#REF!</definedName>
    <definedName name="_vena_CashFlowS2_CashFlowB2_R_5_632005311435898882">#REF!</definedName>
    <definedName name="_vena_CashFlowS2_CashFlowB2_R_5_632005311440093184">#REF!</definedName>
    <definedName name="_vena_CashFlowS2_CashFlowB2_R_5_632005311452676096">#REF!</definedName>
    <definedName name="_vena_CashFlowS2_CashFlowB2_R_5_632005311452676098">#REF!</definedName>
    <definedName name="_vena_CashFlowS2_CashFlowB2_R_5_632005311452676100">#REF!</definedName>
    <definedName name="_vena_CashFlowS2_CashFlowB2_R_5_632005311452676102">#REF!</definedName>
    <definedName name="_vena_CashFlowS2_CashFlowB2_R_5_632005311456870402">#REF!</definedName>
    <definedName name="_vena_CashFlowS2_CashFlowB2_R_5_632005311473647616">#REF!</definedName>
    <definedName name="_vena_CashFlowS2_CashFlowB2_R_5_632005311477841923">#REF!</definedName>
    <definedName name="_vena_CashFlowS2_CashFlowB2_R_5_632005311477841925">#REF!</definedName>
    <definedName name="_vena_CashFlowS2_CashFlowB2_R_5_632005311477841927">#REF!</definedName>
    <definedName name="_vena_CashFlowS2_CashFlowB2_R_5_632005311482036224">#REF!</definedName>
    <definedName name="_vena_CashFlowS2_CashFlowB2_R_5_632005311482036226">#REF!</definedName>
    <definedName name="_vena_CashFlowS2_CashFlowB2_R_5_632005311486230528">#REF!</definedName>
    <definedName name="_vena_CashFlowS2_CashFlowB2_R_5_632005311486230530">#REF!</definedName>
    <definedName name="_vena_CashFlowS2_CashFlowB2_R_5_632005311503007752">#REF!</definedName>
    <definedName name="_vena_CashFlowS2_CashFlowB2_R_5_632005311507202050">#REF!</definedName>
    <definedName name="_vena_CashFlowS2_CashFlowB2_R_5_632005311507202054">#REF!</definedName>
    <definedName name="_vena_CashFlowS2_CashFlowB2_R_5_632005311507202056">#REF!</definedName>
    <definedName name="_vena_CashFlowS2_CashFlowB2_R_5_632005311511396352">#REF!</definedName>
    <definedName name="_vena_CashFlowS2_CashFlowB2_R_5_632005311511396358">#REF!</definedName>
    <definedName name="_vena_CashFlowS2_CashFlowB2_R_5_632005311515590656">#REF!</definedName>
    <definedName name="_vena_CashFlowS2_CashFlowB2_R_5_632005311515590658">#REF!</definedName>
    <definedName name="_vena_CashFlowS2_CashFlowB2_R_5_632005311523979268">#REF!</definedName>
    <definedName name="_vena_CashFlowS2_CashFlowB2_R_5_632005311532367880">#REF!</definedName>
    <definedName name="_vena_CashFlowS2_CashFlowB2_R_5_632005311536562178">#REF!</definedName>
    <definedName name="_vena_CashFlowS2_CashFlowB2_R_5_632005311536562180">#REF!</definedName>
    <definedName name="_vena_CashFlowS2_CashFlowB2_R_5_632005311540756486">#REF!</definedName>
    <definedName name="_vena_CashFlowS2_CashFlowB2_R_5_632005311540756488">#REF!</definedName>
    <definedName name="_vena_CashFlowS2_CashFlowB2_R_5_632005311544950784">#REF!</definedName>
    <definedName name="_vena_CashFlowS2_CashFlowB2_R_5_632005311549145088">#REF!</definedName>
    <definedName name="_vena_CashFlowS2_CashFlowB2_R_5_632005311549145090">#REF!</definedName>
    <definedName name="_vena_CashFlowS2_CashFlowB2_R_5_632005311549145096">#REF!</definedName>
    <definedName name="_vena_CashFlowS2_CashFlowB2_R_5_632005311557533704">#REF!</definedName>
    <definedName name="_vena_CashFlowS2_CashFlowB2_R_5_632005311565922304">#REF!</definedName>
    <definedName name="_vena_CashFlowS2_CashFlowB2_R_5_632005311570116610">#REF!</definedName>
    <definedName name="_vena_CashFlowS2_CashFlowB2_R_5_632005311570116612">#REF!</definedName>
    <definedName name="_vena_CashFlowS2_CashFlowB2_R_5_632005311570116614">#REF!</definedName>
    <definedName name="_vena_CashFlowS2_CashFlowB2_R_5_632005311574310912">#REF!</definedName>
    <definedName name="_vena_CashFlowS2_CashFlowB2_R_5_632005311574310916">#REF!</definedName>
    <definedName name="_vena_CashFlowS2_CashFlowB2_R_5_632005311574310918">#REF!</definedName>
    <definedName name="_vena_CashFlowS2_CashFlowB2_R_5_632005311586893833">#REF!</definedName>
    <definedName name="_vena_CashFlowS2_CashFlowB2_R_5_632005311599476737">#REF!</definedName>
    <definedName name="_vena_CashFlowS2_CashFlowB2_R_5_632005311603671046">#REF!</definedName>
    <definedName name="_vena_CashFlowS2_CashFlowB2_R_5_632005311603671049">#REF!</definedName>
    <definedName name="_vena_CashFlowS2_CashFlowB2_R_5_632005311607865344">#REF!</definedName>
    <definedName name="_vena_CashFlowS2_CashFlowB2_R_5_632005311607865346">#REF!</definedName>
    <definedName name="_vena_CashFlowS2_CashFlowB2_R_5_632005311612059648">#REF!</definedName>
    <definedName name="_vena_CashFlowS2_CashFlowB2_R_5_632005311612059650">#REF!</definedName>
    <definedName name="_vena_CashFlowS2_CashFlowB2_R_5_632005311628836870">#REF!</definedName>
    <definedName name="_vena_CashFlowS2_CashFlowB2_R_5_632005311641419782">#REF!</definedName>
    <definedName name="_vena_CashFlowS2_CashFlowB2_R_5_632005311645614080">#REF!</definedName>
    <definedName name="_vena_CashFlowS2_CashFlowB2_R_5_632005311645614082">#REF!</definedName>
    <definedName name="_vena_CashFlowS2_CashFlowB2_R_5_632005311649808390">#REF!</definedName>
    <definedName name="_vena_CashFlowS2_CashFlowB2_R_5_632005311649808392">#REF!</definedName>
    <definedName name="_vena_CashFlowS2_CashFlowB2_R_5_632005311654002688">#REF!</definedName>
    <definedName name="_vena_CashFlowS2_CashFlowB2_R_5_632005311654002690">#REF!</definedName>
    <definedName name="_vena_CashFlowS2_CashFlowB2_R_5_632005311654002694">#REF!</definedName>
    <definedName name="_vena_CashFlowS2_CashFlowB2_R_5_632005311654002696">#REF!</definedName>
    <definedName name="_vena_CashFlowS2_CashFlowB2_R_5_632005311674974208">#REF!</definedName>
    <definedName name="_vena_CashFlowS2_CashFlowB2_R_5_632005311674974217">#REF!</definedName>
    <definedName name="_vena_CashFlowS2_CashFlowB2_R_5_632005311679168512">#REF!</definedName>
    <definedName name="_vena_CashFlowS2_CashFlowB2_R_5_632005311679168514">#REF!</definedName>
    <definedName name="_vena_CashFlowS2_CashFlowB2_R_5_632005311679168516">#REF!</definedName>
    <definedName name="_vena_CashFlowS2_CashFlowB2_R_5_632005311683362816">#REF!</definedName>
    <definedName name="_vena_CashFlowS2_CashFlowB2_R_5_632005311683362818">#REF!</definedName>
    <definedName name="_vena_CashFlowS2_CashFlowB2_R_5_632005311691751424">#REF!</definedName>
    <definedName name="_vena_CashFlowS2_CashFlowB2_R_5_632005311700140038">#REF!</definedName>
    <definedName name="_vena_CashFlowS2_CashFlowB2_R_5_632005311704334340">#REF!</definedName>
    <definedName name="_vena_CashFlowS2_CashFlowB2_R_5_632005311704334342">#REF!</definedName>
    <definedName name="_vena_CashFlowS2_CashFlowB2_R_5_632005311704334344">#REF!</definedName>
    <definedName name="_vena_CashFlowS2_CashFlowB2_R_5_632005311704334346">#REF!</definedName>
    <definedName name="_vena_CashFlowS2_CashFlowB2_R_5_632005311708528643">#REF!</definedName>
    <definedName name="_vena_CashFlowS2_CashFlowB2_R_5_632005311725305856">#REF!</definedName>
    <definedName name="_vena_CashFlowS2_CashFlowB2_R_5_632005311729500162">#REF!</definedName>
    <definedName name="_vena_CashFlowS2_CashFlowB2_R_5_632005311729500164">#REF!</definedName>
    <definedName name="_vena_CashFlowS2_CashFlowB2_R_5_632005311729500168">#REF!</definedName>
    <definedName name="_vena_CashFlowS2_CashFlowB2_R_5_632005311733694472">#REF!</definedName>
    <definedName name="_vena_CashFlowS2_CashFlowB2_R_5_632005311737888768">#REF!</definedName>
    <definedName name="_vena_CashFlowS2_CashFlowB2_R_5_632005311737888770">#REF!</definedName>
    <definedName name="_vena_CashFlowS2_CashFlowB2_R_5_632005311737888772">#REF!</definedName>
    <definedName name="_vena_CashFlowS2_CashFlowB2_R_5_632005311758860291">#REF!</definedName>
    <definedName name="_vena_CashFlowS2_CashFlowB2_R_5_632005311758860295">#REF!</definedName>
    <definedName name="_vena_CashFlowS2_CashFlowB2_R_5_632005311758860297">#REF!</definedName>
    <definedName name="_vena_CashFlowS2_CashFlowB2_R_5_632005311763054592">#REF!</definedName>
    <definedName name="_vena_CashFlowS2_CashFlowB2_R_5_632005311763054594">#REF!</definedName>
    <definedName name="_vena_CashFlowS2_CashFlowB2_R_5_632005311763054596">#REF!</definedName>
    <definedName name="_vena_CashFlowS2_CashFlowB2_R_5_632005311763054598">#REF!</definedName>
    <definedName name="_vena_CashFlowS2_CashFlowB2_R_5_632005311771443204">#REF!</definedName>
    <definedName name="_vena_CashFlowS2_CashFlowB2_R_5_632005311784026112">#REF!</definedName>
    <definedName name="_vena_CashFlowS2_CashFlowB2_R_5_632005311784026114">#REF!</definedName>
    <definedName name="_vena_CashFlowS2_CashFlowB2_R_5_632005311784026116">#REF!</definedName>
    <definedName name="_vena_CashFlowS2_CashFlowB2_R_5_632005311788220419">#REF!</definedName>
    <definedName name="_vena_CashFlowS2_CashFlowB2_R_5_632005311788220421">#REF!</definedName>
    <definedName name="_vena_CashFlowS2_CashFlowB2_R_5_632005311788220425">#REF!</definedName>
    <definedName name="_vena_CashFlowS2_CashFlowB2_R_5_632005311792414722">#REF!</definedName>
    <definedName name="_vena_CashFlowS2_CashFlowB2_R_5_632005311792414724">#REF!</definedName>
    <definedName name="_vena_CashFlowS2_CashFlowB2_R_5_632005311792414726">#REF!</definedName>
    <definedName name="_vena_CashFlowS2_CashFlowB2_R_5_632005311809191946">#REF!</definedName>
    <definedName name="_vena_CashFlowS2_CashFlowB2_R_5_632005311817580544">#REF!</definedName>
    <definedName name="_vena_CashFlowS2_CashFlowB2_R_5_632005311817580546">#REF!</definedName>
    <definedName name="_vena_CashFlowS2_CashFlowB2_R_5_632005311817580548">#REF!</definedName>
    <definedName name="_vena_CashFlowS2_CashFlowB2_R_5_632005311817580550">#REF!</definedName>
    <definedName name="_vena_CashFlowS2_CashFlowB2_R_5_632005311817580552">#REF!</definedName>
    <definedName name="_vena_CashFlowS2_CashFlowB2_R_5_632005311821774848">#REF!</definedName>
    <definedName name="_vena_CashFlowS2_CashFlowB2_R_5_632005311838552072">#REF!</definedName>
    <definedName name="_vena_CashFlowS2_CashFlowB2_R_5_632005311842746368">#REF!</definedName>
    <definedName name="_vena_CashFlowS2_CashFlowB2_R_5_632005311842746370">#REF!</definedName>
    <definedName name="_vena_CashFlowS2_CashFlowB2_R_5_632005311842746372">#REF!</definedName>
    <definedName name="_vena_CashFlowS2_CashFlowB2_R_5_632005311846940672">#REF!</definedName>
    <definedName name="_vena_CashFlowS2_CashFlowB2_R_5_632005311846940674">#REF!</definedName>
    <definedName name="_vena_CashFlowS2_CashFlowB2_R_5_632005311859523594">#REF!</definedName>
    <definedName name="_vena_CashFlowS2_CashFlowB2_R_5_632005311863717888">#REF!</definedName>
    <definedName name="_vena_CashFlowS2_CashFlowB2_R_5_632005311867912192">#REF!</definedName>
    <definedName name="_vena_CashFlowS2_CashFlowB2_R_5_632005311867912194">#REF!</definedName>
    <definedName name="_vena_CashFlowS2_CashFlowB2_R_5_632005311867912196">#REF!</definedName>
    <definedName name="_vena_CashFlowS2_CashFlowB2_R_5_632005311867912198">#REF!</definedName>
    <definedName name="_vena_CashFlowS2_CashFlowB2_R_5_632005311872106499">#REF!</definedName>
    <definedName name="_vena_CashFlowS2_CashFlowB2_R_5_632005311884689412">#REF!</definedName>
    <definedName name="_vena_CashFlowS2_CashFlowB2_R_5_632005311888883714">#REF!</definedName>
    <definedName name="_vena_CashFlowS2_CashFlowB2_R_5_632005311888883718">#REF!</definedName>
    <definedName name="_vena_CashFlowS2_CashFlowB2_R_5_632005311893078018">#REF!</definedName>
    <definedName name="_vena_CashFlowS2_CashFlowB2_R_5_632005311893078020">#REF!</definedName>
    <definedName name="_vena_CashFlowS2_CashFlowB2_R_5_632005311893078022">#REF!</definedName>
    <definedName name="_vena_CashFlowS2_CashFlowB2_R_5_632005311897272322">#REF!</definedName>
    <definedName name="_vena_CashFlowS2_CashFlowB2_R_5_632005311897272324">#REF!</definedName>
    <definedName name="_vena_CashFlowS2_CashFlowB2_R_5_632005311914049538">#REF!</definedName>
    <definedName name="_vena_CashFlowS2_CashFlowB2_R_5_632005311918243845">#REF!</definedName>
    <definedName name="_vena_CashFlowS2_CashFlowB2_R_5_632005311918243847">#REF!</definedName>
    <definedName name="_vena_CashFlowS2_CashFlowB2_R_5_632005311918243849">#REF!</definedName>
    <definedName name="_vena_CashFlowS2_CashFlowB2_R_5_632005311922438144">#REF!</definedName>
    <definedName name="_vena_CashFlowS2_CashFlowB2_R_5_632005311922438150">#REF!</definedName>
    <definedName name="_vena_CashFlowS2_CashFlowB2_R_5_632005311939215368">#REF!</definedName>
    <definedName name="_vena_CashFlowS2_CashFlowB2_R_5_632005311943409668">#REF!</definedName>
    <definedName name="_vena_CashFlowS2_CashFlowB2_R_5_632005311943409670">#REF!</definedName>
    <definedName name="_vena_CashFlowS2_CashFlowB2_R_5_632005311943409672">#REF!</definedName>
    <definedName name="_vena_CashFlowS2_CashFlowB2_R_5_632005311943409674">#REF!</definedName>
    <definedName name="_vena_CashFlowS2_CashFlowB2_R_5_632005311947603973">#REF!</definedName>
    <definedName name="_vena_CashFlowS2_CashFlowB2_R_5_632005311947603975">#REF!</definedName>
    <definedName name="_vena_CashFlowS2_CashFlowB2_R_5_632005311960186888">#REF!</definedName>
    <definedName name="_vena_CashFlowS2_CashFlowB2_R_5_632005311964381184">#REF!</definedName>
    <definedName name="_vena_CashFlowS2_CashFlowB2_R_5_632005311964381192">#REF!</definedName>
    <definedName name="_vena_CashFlowS2_CashFlowB2_R_5_632005311968575488">#REF!</definedName>
    <definedName name="_vena_CashFlowS2_CashFlowB2_R_5_632005311972769793">#REF!</definedName>
    <definedName name="_vena_CashFlowS2_CashFlowB2_R_5_632005311972769795">#REF!</definedName>
    <definedName name="_vena_CashFlowS2_CashFlowB2_R_5_632005311972769797">#REF!</definedName>
    <definedName name="_vena_CashFlowS2_CashFlowB2_R_5_632005311972769805">#REF!</definedName>
    <definedName name="_vena_CashFlowS2_CashFlowB2_R_5_632005311976964096">#REF!</definedName>
    <definedName name="_vena_CashFlowS2_CashFlowB2_R_5_632005311976964121">#REF!</definedName>
    <definedName name="_vena_CashFlowS2_CashFlowB2_R_5_632005311997935642">#REF!</definedName>
    <definedName name="_vena_CashFlowS2_CashFlowB2_R_5_632005312002129944">#REF!</definedName>
    <definedName name="_vena_CashFlowS2_CashFlowB2_R_5_632005312002129952">#REF!</definedName>
    <definedName name="_vena_CashFlowS2_CashFlowB2_R_5_632005312002129961">#REF!</definedName>
    <definedName name="_vena_CashFlowS2_CashFlowB2_R_5_632005312006324232">#REF!</definedName>
    <definedName name="_vena_CashFlowS2_CashFlowB2_R_5_632005312006324257">#REF!</definedName>
    <definedName name="_vena_CashFlowS2_CashFlowB2_R_5_632005312027295755">#REF!</definedName>
    <definedName name="_vena_CashFlowS2_CashFlowB2_R_5_632005312031490051">#REF!</definedName>
    <definedName name="_vena_CashFlowS2_CashFlowB2_R_5_632005312031490058">#REF!</definedName>
    <definedName name="_vena_CashFlowS2_CashFlowB2_R_5_632005312031490068">#REF!</definedName>
    <definedName name="_vena_CashFlowS2_CashFlowB2_R_5_632005312031490077">#REF!</definedName>
    <definedName name="_vena_CashFlowS2_CashFlowB2_R_5_632005312035684364">#REF!</definedName>
    <definedName name="_vena_CashFlowS2_CashFlowB2_R_5_632005312048267270">#REF!</definedName>
    <definedName name="_vena_CashFlowS2_CashFlowB2_R_5_632005312048267272">#REF!</definedName>
    <definedName name="_vena_CashFlowS2_CashFlowB2_R_5_632005312048267274">#REF!</definedName>
    <definedName name="_vena_CashFlowS2_CashFlowB2_R_5_632005312052461569">#REF!</definedName>
    <definedName name="_vena_CashFlowS2_CashFlowB2_R_5_632005312052461577">#REF!</definedName>
    <definedName name="_vena_CashFlowS2_CashFlowB2_R_5_632005312056655872">#REF!</definedName>
    <definedName name="_vena_CashFlowS2_CashFlowB2_R_5_632005312056655874">#REF!</definedName>
    <definedName name="_vena_CashFlowS2_CashFlowB2_R_5_632005312056655876">#REF!</definedName>
    <definedName name="_vena_CashFlowS2_CashFlowB2_R_5_632005312060850179">#REF!</definedName>
    <definedName name="_vena_CashFlowS2_CashFlowB2_R_5_632005312077627400">#REF!</definedName>
    <definedName name="_vena_CashFlowS2_CashFlowB2_R_5_632005312077627402">#REF!</definedName>
    <definedName name="_vena_CashFlowS2_CashFlowB2_R_5_632005312081821697">#REF!</definedName>
    <definedName name="_vena_CashFlowS2_CashFlowB2_R_5_632005312081821699">#REF!</definedName>
    <definedName name="_vena_CashFlowS2_CashFlowB2_R_5_632005312086016000">#REF!</definedName>
    <definedName name="_vena_CashFlowS2_CashFlowB2_R_5_632005312086016002">#REF!</definedName>
    <definedName name="_vena_CashFlowS2_CashFlowB2_R_5_632005312098598914">#REF!</definedName>
    <definedName name="_vena_CashFlowS2_CashFlowB2_R_5_632005312098598918">#REF!</definedName>
    <definedName name="_vena_CashFlowS2_CashFlowB2_R_5_632005312102793222">#REF!</definedName>
    <definedName name="_vena_CashFlowS2_CashFlowB2_R_5_632005312102793224">#REF!</definedName>
    <definedName name="_vena_CashFlowS2_CashFlowB2_R_5_632005312106987520">#REF!</definedName>
    <definedName name="_vena_CashFlowS2_CashFlowB2_R_5_632005312106987522">#REF!</definedName>
    <definedName name="_vena_CashFlowS2_CashFlowB2_R_5_632005312111181824">#REF!</definedName>
    <definedName name="_vena_CashFlowS2_CashFlowB2_R_5_632005312111181826">#REF!</definedName>
    <definedName name="_vena_CashFlowS2_CashFlowB2_R_5_632005312111181828">#REF!</definedName>
    <definedName name="_vena_CashFlowS2_CashFlowB2_R_5_632005312119570434">#REF!</definedName>
    <definedName name="_vena_CashFlowS2_CashFlowB2_R_5_632005312123764738">#REF!</definedName>
    <definedName name="_vena_CashFlowS2_CashFlowB2_R_5_632005312127959044">#REF!</definedName>
    <definedName name="_vena_CashFlowS2_CashFlowB2_R_5_632005312127959056">#REF!</definedName>
    <definedName name="_vena_CashFlowS2_CashFlowB2_R_5_632005312127959058">#REF!</definedName>
    <definedName name="_vena_CashFlowS2_CashFlowB2_R_5_632005312132153347">#REF!</definedName>
    <definedName name="_vena_CashFlowS2_CashFlowB2_R_5_632005312132153349">#REF!</definedName>
    <definedName name="_vena_CashFlowS2_CashFlowB2_R_5_632005312144736256">#REF!</definedName>
    <definedName name="_vena_CashFlowS2_CashFlowB2_R_5_632005312148930564">#REF!</definedName>
    <definedName name="_vena_CashFlowS2_CashFlowB2_R_5_632005312148930568">#REF!</definedName>
    <definedName name="_vena_CashFlowS2_CashFlowB2_R_5_632005312153124870">#REF!</definedName>
    <definedName name="_vena_CashFlowS2_CashFlowB2_R_5_632005312153124872">#REF!</definedName>
    <definedName name="_vena_CashFlowS2_CashFlowB2_R_5_632005312157319168">#REF!</definedName>
    <definedName name="_vena_CashFlowS2_CashFlowB2_R_5_632005312157319170">#REF!</definedName>
    <definedName name="_vena_CashFlowS2_CashFlowB2_R_5_632005312157319176">#REF!</definedName>
    <definedName name="_vena_CashFlowS2_CashFlowB2_R_5_632005312161513472">#REF!</definedName>
    <definedName name="_vena_CashFlowS2_CashFlowB2_R_5_632005312161513474">#REF!</definedName>
    <definedName name="_vena_CashFlowS2_CashFlowB2_R_5_632005312161513476">#REF!</definedName>
    <definedName name="_vena_CashFlowS2_CashFlowB2_R_5_632005312174096384">#REF!</definedName>
    <definedName name="_vena_CashFlowS2_CashFlowB2_R_5_632005312178290696">#REF!</definedName>
    <definedName name="_vena_CashFlowS2_CashFlowB2_R_5_632005312182484998">#REF!</definedName>
    <definedName name="_vena_CashFlowS2_CashFlowB2_R_5_632005312182485000">#REF!</definedName>
    <definedName name="_vena_CashFlowS2_CashFlowB2_R_5_632005312186679296">#REF!</definedName>
    <definedName name="_vena_CashFlowS2_CashFlowB2_R_5_632005312186679302">#REF!</definedName>
    <definedName name="_vena_CashFlowS2_CashFlowB2_R_5_632005312186679304">#REF!</definedName>
    <definedName name="_vena_CashFlowS2_CashFlowB2_R_5_632005312199262218">#REF!</definedName>
    <definedName name="_vena_CashFlowS2_CashFlowB2_R_5_632005312211845122">#REF!</definedName>
    <definedName name="_vena_CashFlowS2_CashFlowB2_R_5_632005312211845124">#REF!</definedName>
    <definedName name="_vena_CashFlowS2_CashFlowB2_R_5_632005312211845127">#REF!</definedName>
    <definedName name="_vena_CashFlowS2_CashFlowB2_R_5_632005312216039426">#REF!</definedName>
    <definedName name="_vena_CashFlowS2_CashFlowB2_R_5_632005312216039428">#REF!</definedName>
    <definedName name="_vena_CashFlowS2_CashFlowB2_R_5_632005312228622346">#REF!</definedName>
    <definedName name="_vena_CashFlowS2_CashFlowB2_R_5_632005312232816640">#REF!</definedName>
    <definedName name="_vena_CashFlowS2_CashFlowB2_R_5_632005312232816642">#REF!</definedName>
    <definedName name="_vena_CashFlowS2_CashFlowB2_R_5_632005312237010952">#REF!</definedName>
    <definedName name="_vena_CashFlowS2_CashFlowB2_R_5_632005312241205248">#REF!</definedName>
    <definedName name="_vena_CashFlowS2_CashFlowB2_R_5_632005312241205254">#REF!</definedName>
    <definedName name="_vena_CashFlowS2_CashFlowB2_R_5_632005312262176775">#REF!</definedName>
    <definedName name="_vena_CashFlowS2_CashFlowB2_R_5_632005312266371080">#REF!</definedName>
    <definedName name="_vena_CashFlowS2_CashFlowB2_R_5_632005312270565376">#REF!</definedName>
    <definedName name="_vena_CashFlowS2_CashFlowB2_R_5_632005312270565382">#REF!</definedName>
    <definedName name="_vena_CashFlowS2_CashFlowB2_R_5_632005312270565384">#REF!</definedName>
    <definedName name="_vena_CashFlowS2_CashFlowB2_R_5_632005312291536902">#REF!</definedName>
    <definedName name="_vena_CashFlowS2_CashFlowB2_R_5_632005312295731208">#REF!</definedName>
    <definedName name="_vena_CashFlowS2_CashFlowB2_R_5_632005312295731210">#REF!</definedName>
    <definedName name="_vena_CashFlowS2_CashFlowB2_R_5_632005312299925505">#REF!</definedName>
    <definedName name="_vena_CashFlowS2_CashFlowB2_R_5_632005312299925511">#REF!</definedName>
    <definedName name="_vena_CashFlowS2_CashFlowB2_R_5_632005312304119808">#REF!</definedName>
    <definedName name="_vena_CashFlowS2_CashFlowB2_R_5_632005312304119810">#REF!</definedName>
    <definedName name="_vena_CashFlowS2_CashFlowB2_R_5_632005312304119814">#REF!</definedName>
    <definedName name="_vena_CashFlowS2_CashFlowB2_R_5_632005312308314114">#REF!</definedName>
    <definedName name="_vena_CashFlowS2_CashFlowB2_R_5_632005312325091332">#REF!</definedName>
    <definedName name="_vena_CashFlowS2_CashFlowB2_R_5_632005312325091334">#REF!</definedName>
    <definedName name="_vena_CashFlowS2_CashFlowB2_R_5_632005312325091336">#REF!</definedName>
    <definedName name="_vena_CashFlowS2_CashFlowB2_R_5_632005312329285634">#REF!</definedName>
    <definedName name="_vena_CashFlowS2_CashFlowB2_R_5_632005312329285636">#REF!</definedName>
    <definedName name="_vena_CashFlowS2_CashFlowB2_R_5_632005312346062856">#REF!</definedName>
    <definedName name="_vena_CashFlowS2_CashFlowB2_R_5_632005312350257152">#REF!</definedName>
    <definedName name="_vena_CashFlowS2_CashFlowB2_R_5_632005312350257154">#REF!</definedName>
    <definedName name="_vena_CashFlowS2_CashFlowB2_R_5_632005312354451456">#REF!</definedName>
    <definedName name="_vena_CashFlowS2_CashFlowB2_R_5_632005312354451464">#REF!</definedName>
    <definedName name="_vena_CashFlowS2_CashFlowB2_R_5_632005312358645762">#REF!</definedName>
    <definedName name="_vena_CashFlowS2_CashFlowB2_R_5_632005312358645764">#REF!</definedName>
    <definedName name="_vena_CashFlowS2_CashFlowB2_R_5_632005312358645768">#REF!</definedName>
    <definedName name="_vena_CashFlowS2_CashFlowB2_R_5_632005312362840065">#REF!</definedName>
    <definedName name="_vena_CashFlowS2_CashFlowB2_R_5_632005312362840067">#REF!</definedName>
    <definedName name="_vena_CashFlowS2_CashFlowB2_R_5_632005312379617286">#REF!</definedName>
    <definedName name="_vena_CashFlowS2_CashFlowB2_R_5_632005312388005890">#REF!</definedName>
    <definedName name="_vena_CashFlowS2_CashFlowB2_R_5_632005312388005892">#REF!</definedName>
    <definedName name="_vena_CashFlowS2_CashFlowB2_R_5_632005312388005894">#REF!</definedName>
    <definedName name="_vena_CashFlowS2_CashFlowB2_R_5_632005312392200194">#REF!</definedName>
    <definedName name="_vena_CashFlowS2_CashFlowB2_R_5_632005312392200196">#REF!</definedName>
    <definedName name="_vena_CashFlowS2_CashFlowB2_R_5_632005312417366022">#REF!</definedName>
    <definedName name="_vena_CashFlowS2_CashFlowB2_R_5_632005312417366024">#REF!</definedName>
    <definedName name="_vena_CashFlowS2_CashFlowB2_R_5_632005312417366026">#REF!</definedName>
    <definedName name="_vena_CashFlowS2_CashFlowB2_R_5_632005312421560325">#REF!</definedName>
    <definedName name="_vena_CashFlowS2_CashFlowB2_R_5_632005312421560327">#REF!</definedName>
    <definedName name="_vena_CashFlowS2_CashFlowB2_R_5_632005312429948928">#REF!</definedName>
    <definedName name="_vena_CashFlowS2_CashFlowB2_R_5_632005312438337544">#REF!</definedName>
    <definedName name="_vena_CashFlowS2_CashFlowB2_R_5_632005312442531848">#REF!</definedName>
    <definedName name="_vena_CashFlowS2_CashFlowB2_R_5_632005312446726145">#REF!</definedName>
    <definedName name="_vena_CashFlowS2_CashFlowB2_R_5_632005312450920456">#REF!</definedName>
    <definedName name="_vena_CashFlowS2_CashFlowB2_R_5_632005312455114752">#REF!</definedName>
    <definedName name="_vena_CashFlowS2_CashFlowB2_R_5_632005312455114754">#REF!</definedName>
    <definedName name="_vena_CashFlowS2_CashFlowB2_R_5_632005312455114760">#REF!</definedName>
    <definedName name="_vena_CashFlowS2_CashFlowB2_R_5_632005312459309056">#REF!</definedName>
    <definedName name="_vena_CashFlowS2_CashFlowB2_R_5_632005312471891978">#REF!</definedName>
    <definedName name="_vena_CashFlowS2_CashFlowB2_R_5_632005312476086273">#REF!</definedName>
    <definedName name="_vena_CashFlowS2_CashFlowB2_R_5_632005312476086275">#REF!</definedName>
    <definedName name="_vena_CashFlowS2_CashFlowB2_R_5_632005312480280576">#REF!</definedName>
    <definedName name="_vena_CashFlowS2_CashFlowB2_R_5_632005312480280578">#REF!</definedName>
    <definedName name="_vena_CashFlowS2_CashFlowB2_R_5_632005312484474880">#REF!</definedName>
    <definedName name="_vena_CashFlowS2_CashFlowB2_R_5_632005312492863495">#REF!</definedName>
    <definedName name="_vena_CashFlowS2_CashFlowB2_R_5_632005312497057796">#REF!</definedName>
    <definedName name="_vena_CashFlowS2_CashFlowB2_R_5_632005312497057798">#REF!</definedName>
    <definedName name="_vena_CashFlowS2_CashFlowB2_R_5_632005312497057800">#REF!</definedName>
    <definedName name="_vena_CashFlowS2_CashFlowB2_R_5_632005312501252100">#REF!</definedName>
    <definedName name="_vena_CashFlowS2_CashFlowB2_R_5_632005312501252102">#REF!</definedName>
    <definedName name="_vena_CashFlowS2_CashFlowB2_R_5_632005312501252104">#REF!</definedName>
    <definedName name="_vena_CashFlowS2_CashFlowB2_R_5_632005312522223616">#REF!</definedName>
    <definedName name="_vena_CashFlowS2_CashFlowB2_R_5_632005312522223618">#REF!</definedName>
    <definedName name="_vena_CashFlowS2_CashFlowB2_R_5_632005312526417958">#REF!</definedName>
    <definedName name="_vena_CashFlowS2_CashFlowB2_R_5_632005312530612224">#REF!</definedName>
    <definedName name="_vena_CashFlowS2_CashFlowB2_R_5_632005312530612226">#REF!</definedName>
    <definedName name="_vena_CashFlowS2_CashFlowB2_R_5_632005312530612232">#REF!</definedName>
    <definedName name="_vena_CashFlowS2_CashFlowB2_R_5_632005312534806528">#REF!</definedName>
    <definedName name="_vena_CashFlowS2_CashFlowB2_R_5_632005312547389446">#REF!</definedName>
    <definedName name="_vena_CashFlowS2_CashFlowB2_R_5_632005312547389448">#REF!</definedName>
    <definedName name="_vena_CashFlowS2_CashFlowB2_R_5_632005312551583744">#REF!</definedName>
    <definedName name="_vena_CashFlowS2_CashFlowB2_R_5_632005312551583750">#REF!</definedName>
    <definedName name="_vena_CashFlowS2_CashFlowB2_R_5_632005312555778048">#REF!</definedName>
    <definedName name="_vena_CashFlowS2_CashFlowB2_R_5_632005312564166664">#REF!</definedName>
    <definedName name="_vena_CashFlowS2_CashFlowB2_R_5_632005312568360964">#REF!</definedName>
    <definedName name="_vena_CashFlowS2_CashFlowB2_R_5_632005312568360968">#REF!</definedName>
    <definedName name="_vena_CashFlowS2_CashFlowB2_R_5_632005312572555270">#REF!</definedName>
    <definedName name="_vena_CashFlowS2_CashFlowB2_R_5_632005312572555272">#REF!</definedName>
    <definedName name="_vena_CashFlowS2_CashFlowB2_R_5_632005312576749568">#REF!</definedName>
    <definedName name="_vena_CashFlowS2_CashFlowB2_R_5_632005312576749570">#REF!</definedName>
    <definedName name="_vena_CashFlowS2_CashFlowB2_R_5_632005312576749576">#REF!</definedName>
    <definedName name="_vena_CashFlowS2_CashFlowB2_R_5_632005312580943872">#REF!</definedName>
    <definedName name="_vena_CashFlowS2_CashFlowB2_R_5_632005312585138180">#REF!</definedName>
    <definedName name="_vena_CashFlowS2_CashFlowB2_R_5_632005312597721093">#REF!</definedName>
    <definedName name="_vena_CashFlowS2_CashFlowB2_R_5_632005312597721095">#REF!</definedName>
    <definedName name="_vena_CashFlowS2_CashFlowB2_R_5_632005312597721097">#REF!</definedName>
    <definedName name="_vena_CashFlowS2_CashFlowB2_R_5_632005312601915392">#REF!</definedName>
    <definedName name="_vena_CashFlowS2_CashFlowB2_R_5_632005312601915396">#REF!</definedName>
    <definedName name="_vena_CashFlowS2_CashFlowB2_R_5_632005312601915398">#REF!</definedName>
    <definedName name="_vena_CashFlowS2_CashFlowB2_R_5_632802684999303168">#REF!</definedName>
    <definedName name="_vena_CashFlowS2_CashFlowB2_R_5_632802806714466304">#REF!</definedName>
    <definedName name="_vena_CashFlowS2_CashFlowB2_R_5_640425049593872384">#REF!</definedName>
    <definedName name="_vena_CashFlowS2_CashFlowB2_R_5_640425049946193920">#REF!</definedName>
    <definedName name="_vena_CashFlowS2_CashFlowB2_R_5_640425050315292672">#REF!</definedName>
    <definedName name="_vena_CashFlowS2_CashFlowB2_R_5_651649670930104320">#REF!</definedName>
    <definedName name="_vena_CashFlowS2_CashFlowB2_R_5_672280564707885073">#REF!</definedName>
    <definedName name="_vena_CashFlowS2_CashFlowB2_R_5_820620957949886465">#REF!</definedName>
    <definedName name="_vena_CashFlowS2_CashFlowB2_R_5_969124762453147649">#REF!</definedName>
    <definedName name="_vena_CashFlowS2_CashFlowB2_R_5_969124837275336705">#REF!</definedName>
    <definedName name="_vena_CashFlowS2_CashFlowB2_R_5_969124902391644161">#REF!</definedName>
    <definedName name="_vena_CashFlowS2_CashFlowB2_R_5_969124968162525249">#REF!</definedName>
    <definedName name="_vena_CashFlowS2_CashFlowB2_R_5_979193608274313216">#REF!</definedName>
    <definedName name="_vena_CashFlowS2_CashFlowB3_C_3_431662182406553601">#REF!</definedName>
    <definedName name="_vena_CashFlowS2_CashFlowB3_C_3_431662182406553601_1">#REF!</definedName>
    <definedName name="_vena_CashFlowS2_CashFlowB3_C_3_431662182406553601_2">#REF!</definedName>
    <definedName name="_vena_CashFlowS2_CashFlowB3_C_3_431662182406553601_3">#REF!</definedName>
    <definedName name="_vena_CashFlowS2_CashFlowB3_C_3_431662182406553601_4">#REF!</definedName>
    <definedName name="_vena_CashFlowS2_CashFlowB3_C_3_431662182406553601_5">#REF!</definedName>
    <definedName name="_vena_CashFlowS2_CashFlowB3_C_8_431662182280724481">#REF!</definedName>
    <definedName name="_vena_CashFlowS2_CashFlowB3_C_8_431662182280724481_1">#REF!</definedName>
    <definedName name="_vena_CashFlowS2_CashFlowB3_C_8_431662182280724481_10">#REF!</definedName>
    <definedName name="_vena_CashFlowS2_CashFlowB3_C_8_431662182280724481_11">#REF!</definedName>
    <definedName name="_vena_CashFlowS2_CashFlowB3_C_8_431662182280724481_12">#REF!</definedName>
    <definedName name="_vena_CashFlowS2_CashFlowB3_C_8_431662182280724481_13">#REF!</definedName>
    <definedName name="_vena_CashFlowS2_CashFlowB3_C_8_431662182280724481_14">#REF!</definedName>
    <definedName name="_vena_CashFlowS2_CashFlowB3_C_8_431662182280724481_15">#REF!</definedName>
    <definedName name="_vena_CashFlowS2_CashFlowB3_C_8_431662182280724481_16">#REF!</definedName>
    <definedName name="_vena_CashFlowS2_CashFlowB3_C_8_431662182280724481_17">#REF!</definedName>
    <definedName name="_vena_CashFlowS2_CashFlowB3_C_8_431662182280724481_18">#REF!</definedName>
    <definedName name="_vena_CashFlowS2_CashFlowB3_C_8_431662182280724481_19">#REF!</definedName>
    <definedName name="_vena_CashFlowS2_CashFlowB3_C_8_431662182280724481_2">#REF!</definedName>
    <definedName name="_vena_CashFlowS2_CashFlowB3_C_8_431662182280724481_20">#REF!</definedName>
    <definedName name="_vena_CashFlowS2_CashFlowB3_C_8_431662182280724481_21">#REF!</definedName>
    <definedName name="_vena_CashFlowS2_CashFlowB3_C_8_431662182280724481_22">#REF!</definedName>
    <definedName name="_vena_CashFlowS2_CashFlowB3_C_8_431662182280724481_23">#REF!</definedName>
    <definedName name="_vena_CashFlowS2_CashFlowB3_C_8_431662182280724481_24">#REF!</definedName>
    <definedName name="_vena_CashFlowS2_CashFlowB3_C_8_431662182280724481_25">#REF!</definedName>
    <definedName name="_vena_CashFlowS2_CashFlowB3_C_8_431662182280724481_26">#REF!</definedName>
    <definedName name="_vena_CashFlowS2_CashFlowB3_C_8_431662182280724481_27">#REF!</definedName>
    <definedName name="_vena_CashFlowS2_CashFlowB3_C_8_431662182280724481_28">#REF!</definedName>
    <definedName name="_vena_CashFlowS2_CashFlowB3_C_8_431662182280724481_29">#REF!</definedName>
    <definedName name="_vena_CashFlowS2_CashFlowB3_C_8_431662182280724481_3">#REF!</definedName>
    <definedName name="_vena_CashFlowS2_CashFlowB3_C_8_431662182280724481_30">#REF!</definedName>
    <definedName name="_vena_CashFlowS2_CashFlowB3_C_8_431662182280724481_31">#REF!</definedName>
    <definedName name="_vena_CashFlowS2_CashFlowB3_C_8_431662182280724481_32">#REF!</definedName>
    <definedName name="_vena_CashFlowS2_CashFlowB3_C_8_431662182280724481_33">#REF!</definedName>
    <definedName name="_vena_CashFlowS2_CashFlowB3_C_8_431662182280724481_34">#REF!</definedName>
    <definedName name="_vena_CashFlowS2_CashFlowB3_C_8_431662182280724481_35">#REF!</definedName>
    <definedName name="_vena_CashFlowS2_CashFlowB3_C_8_431662182280724481_36">#REF!</definedName>
    <definedName name="_vena_CashFlowS2_CashFlowB3_C_8_431662182280724481_37">#REF!</definedName>
    <definedName name="_vena_CashFlowS2_CashFlowB3_C_8_431662182280724481_38">#REF!</definedName>
    <definedName name="_vena_CashFlowS2_CashFlowB3_C_8_431662182280724481_39">#REF!</definedName>
    <definedName name="_vena_CashFlowS2_CashFlowB3_C_8_431662182280724481_4">#REF!</definedName>
    <definedName name="_vena_CashFlowS2_CashFlowB3_C_8_431662182280724481_40">#REF!</definedName>
    <definedName name="_vena_CashFlowS2_CashFlowB3_C_8_431662182280724481_41">#REF!</definedName>
    <definedName name="_vena_CashFlowS2_CashFlowB3_C_8_431662182280724481_42">#REF!</definedName>
    <definedName name="_vena_CashFlowS2_CashFlowB3_C_8_431662182280724481_43">#REF!</definedName>
    <definedName name="_vena_CashFlowS2_CashFlowB3_C_8_431662182280724481_44">#REF!</definedName>
    <definedName name="_vena_CashFlowS2_CashFlowB3_C_8_431662182280724481_45">#REF!</definedName>
    <definedName name="_vena_CashFlowS2_CashFlowB3_C_8_431662182280724481_46">#REF!</definedName>
    <definedName name="_vena_CashFlowS2_CashFlowB3_C_8_431662182280724481_47">#REF!</definedName>
    <definedName name="_vena_CashFlowS2_CashFlowB3_C_8_431662182280724481_48">#REF!</definedName>
    <definedName name="_vena_CashFlowS2_CashFlowB3_C_8_431662182280724481_49">#REF!</definedName>
    <definedName name="_vena_CashFlowS2_CashFlowB3_C_8_431662182280724481_5">#REF!</definedName>
    <definedName name="_vena_CashFlowS2_CashFlowB3_C_8_431662182280724481_50">#REF!</definedName>
    <definedName name="_vena_CashFlowS2_CashFlowB3_C_8_431662182280724481_51">#REF!</definedName>
    <definedName name="_vena_CashFlowS2_CashFlowB3_C_8_431662182280724481_52">#REF!</definedName>
    <definedName name="_vena_CashFlowS2_CashFlowB3_C_8_431662182280724481_53">#REF!</definedName>
    <definedName name="_vena_CashFlowS2_CashFlowB3_C_8_431662182280724481_54">#REF!</definedName>
    <definedName name="_vena_CashFlowS2_CashFlowB3_C_8_431662182280724481_55">#REF!</definedName>
    <definedName name="_vena_CashFlowS2_CashFlowB3_C_8_431662182280724481_56">#REF!</definedName>
    <definedName name="_vena_CashFlowS2_CashFlowB3_C_8_431662182280724481_57">#REF!</definedName>
    <definedName name="_vena_CashFlowS2_CashFlowB3_C_8_431662182280724481_58">#REF!</definedName>
    <definedName name="_vena_CashFlowS2_CashFlowB3_C_8_431662182280724481_59">#REF!</definedName>
    <definedName name="_vena_CashFlowS2_CashFlowB3_C_8_431662182280724481_6">#REF!</definedName>
    <definedName name="_vena_CashFlowS2_CashFlowB3_C_8_431662182280724481_60">#REF!</definedName>
    <definedName name="_vena_CashFlowS2_CashFlowB3_C_8_431662182280724481_61">#REF!</definedName>
    <definedName name="_vena_CashFlowS2_CashFlowB3_C_8_431662182280724481_62">#REF!</definedName>
    <definedName name="_vena_CashFlowS2_CashFlowB3_C_8_431662182280724481_63">#REF!</definedName>
    <definedName name="_vena_CashFlowS2_CashFlowB3_C_8_431662182280724481_64">#REF!</definedName>
    <definedName name="_vena_CashFlowS2_CashFlowB3_C_8_431662182280724481_65">#REF!</definedName>
    <definedName name="_vena_CashFlowS2_CashFlowB3_C_8_431662182280724481_66">#REF!</definedName>
    <definedName name="_vena_CashFlowS2_CashFlowB3_C_8_431662182280724481_67">#REF!</definedName>
    <definedName name="_vena_CashFlowS2_CashFlowB3_C_8_431662182280724481_68">#REF!</definedName>
    <definedName name="_vena_CashFlowS2_CashFlowB3_C_8_431662182280724481_69">#REF!</definedName>
    <definedName name="_vena_CashFlowS2_CashFlowB3_C_8_431662182280724481_7">#REF!</definedName>
    <definedName name="_vena_CashFlowS2_CashFlowB3_C_8_431662182280724481_70">#REF!</definedName>
    <definedName name="_vena_CashFlowS2_CashFlowB3_C_8_431662182280724481_71">#REF!</definedName>
    <definedName name="_vena_CashFlowS2_CashFlowB3_C_8_431662182280724481_72">#REF!</definedName>
    <definedName name="_vena_CashFlowS2_CashFlowB3_C_8_431662182280724481_73">#REF!</definedName>
    <definedName name="_vena_CashFlowS2_CashFlowB3_C_8_431662182280724481_74">#REF!</definedName>
    <definedName name="_vena_CashFlowS2_CashFlowB3_C_8_431662182280724481_75">#REF!</definedName>
    <definedName name="_vena_CashFlowS2_CashFlowB3_C_8_431662182280724481_76">#REF!</definedName>
    <definedName name="_vena_CashFlowS2_CashFlowB3_C_8_431662182280724481_77">#REF!</definedName>
    <definedName name="_vena_CashFlowS2_CashFlowB3_C_8_431662182280724481_8">#REF!</definedName>
    <definedName name="_vena_CashFlowS2_CashFlowB3_C_8_431662182280724481_9">#REF!</definedName>
    <definedName name="_vena_CashFlowS2_CashFlowB3_C_8_551651297725251586">#REF!</definedName>
    <definedName name="_vena_CashFlowS2_CashFlowB3_C_8_551651297725251586_1">#REF!</definedName>
    <definedName name="_vena_CashFlowS2_CashFlowB3_C_8_551651297725251586_10">#REF!</definedName>
    <definedName name="_vena_CashFlowS2_CashFlowB3_C_8_551651297725251586_11">#REF!</definedName>
    <definedName name="_vena_CashFlowS2_CashFlowB3_C_8_551651297725251586_12">#REF!</definedName>
    <definedName name="_vena_CashFlowS2_CashFlowB3_C_8_551651297725251586_13">#REF!</definedName>
    <definedName name="_vena_CashFlowS2_CashFlowB3_C_8_551651297725251586_14">#REF!</definedName>
    <definedName name="_vena_CashFlowS2_CashFlowB3_C_8_551651297725251586_15">#REF!</definedName>
    <definedName name="_vena_CashFlowS2_CashFlowB3_C_8_551651297725251586_16">#REF!</definedName>
    <definedName name="_vena_CashFlowS2_CashFlowB3_C_8_551651297725251586_17">#REF!</definedName>
    <definedName name="_vena_CashFlowS2_CashFlowB3_C_8_551651297725251586_18">#REF!</definedName>
    <definedName name="_vena_CashFlowS2_CashFlowB3_C_8_551651297725251586_19">#REF!</definedName>
    <definedName name="_vena_CashFlowS2_CashFlowB3_C_8_551651297725251586_2">#REF!</definedName>
    <definedName name="_vena_CashFlowS2_CashFlowB3_C_8_551651297725251586_20">#REF!</definedName>
    <definedName name="_vena_CashFlowS2_CashFlowB3_C_8_551651297725251586_21">#REF!</definedName>
    <definedName name="_vena_CashFlowS2_CashFlowB3_C_8_551651297725251586_22">#REF!</definedName>
    <definedName name="_vena_CashFlowS2_CashFlowB3_C_8_551651297725251586_23">#REF!</definedName>
    <definedName name="_vena_CashFlowS2_CashFlowB3_C_8_551651297725251586_24">#REF!</definedName>
    <definedName name="_vena_CashFlowS2_CashFlowB3_C_8_551651297725251586_25">#REF!</definedName>
    <definedName name="_vena_CashFlowS2_CashFlowB3_C_8_551651297725251586_26">#REF!</definedName>
    <definedName name="_vena_CashFlowS2_CashFlowB3_C_8_551651297725251586_27">#REF!</definedName>
    <definedName name="_vena_CashFlowS2_CashFlowB3_C_8_551651297725251586_28">#REF!</definedName>
    <definedName name="_vena_CashFlowS2_CashFlowB3_C_8_551651297725251586_29">#REF!</definedName>
    <definedName name="_vena_CashFlowS2_CashFlowB3_C_8_551651297725251586_3">#REF!</definedName>
    <definedName name="_vena_CashFlowS2_CashFlowB3_C_8_551651297725251586_30">#REF!</definedName>
    <definedName name="_vena_CashFlowS2_CashFlowB3_C_8_551651297725251586_31">#REF!</definedName>
    <definedName name="_vena_CashFlowS2_CashFlowB3_C_8_551651297725251586_32">#REF!</definedName>
    <definedName name="_vena_CashFlowS2_CashFlowB3_C_8_551651297725251586_33">#REF!</definedName>
    <definedName name="_vena_CashFlowS2_CashFlowB3_C_8_551651297725251586_34">#REF!</definedName>
    <definedName name="_vena_CashFlowS2_CashFlowB3_C_8_551651297725251586_35">#REF!</definedName>
    <definedName name="_vena_CashFlowS2_CashFlowB3_C_8_551651297725251586_36">#REF!</definedName>
    <definedName name="_vena_CashFlowS2_CashFlowB3_C_8_551651297725251586_37">#REF!</definedName>
    <definedName name="_vena_CashFlowS2_CashFlowB3_C_8_551651297725251586_38">#REF!</definedName>
    <definedName name="_vena_CashFlowS2_CashFlowB3_C_8_551651297725251586_39">#REF!</definedName>
    <definedName name="_vena_CashFlowS2_CashFlowB3_C_8_551651297725251586_4">#REF!</definedName>
    <definedName name="_vena_CashFlowS2_CashFlowB3_C_8_551651297725251586_40">#REF!</definedName>
    <definedName name="_vena_CashFlowS2_CashFlowB3_C_8_551651297725251586_41">#REF!</definedName>
    <definedName name="_vena_CashFlowS2_CashFlowB3_C_8_551651297725251586_42">#REF!</definedName>
    <definedName name="_vena_CashFlowS2_CashFlowB3_C_8_551651297725251586_43">#REF!</definedName>
    <definedName name="_vena_CashFlowS2_CashFlowB3_C_8_551651297725251586_44">#REF!</definedName>
    <definedName name="_vena_CashFlowS2_CashFlowB3_C_8_551651297725251586_45">#REF!</definedName>
    <definedName name="_vena_CashFlowS2_CashFlowB3_C_8_551651297725251586_46">#REF!</definedName>
    <definedName name="_vena_CashFlowS2_CashFlowB3_C_8_551651297725251586_47">#REF!</definedName>
    <definedName name="_vena_CashFlowS2_CashFlowB3_C_8_551651297725251586_48">#REF!</definedName>
    <definedName name="_vena_CashFlowS2_CashFlowB3_C_8_551651297725251586_49">#REF!</definedName>
    <definedName name="_vena_CashFlowS2_CashFlowB3_C_8_551651297725251586_5">#REF!</definedName>
    <definedName name="_vena_CashFlowS2_CashFlowB3_C_8_551651297725251586_50">#REF!</definedName>
    <definedName name="_vena_CashFlowS2_CashFlowB3_C_8_551651297725251586_51">#REF!</definedName>
    <definedName name="_vena_CashFlowS2_CashFlowB3_C_8_551651297725251586_52">#REF!</definedName>
    <definedName name="_vena_CashFlowS2_CashFlowB3_C_8_551651297725251586_53">#REF!</definedName>
    <definedName name="_vena_CashFlowS2_CashFlowB3_C_8_551651297725251586_54">#REF!</definedName>
    <definedName name="_vena_CashFlowS2_CashFlowB3_C_8_551651297725251586_55">#REF!</definedName>
    <definedName name="_vena_CashFlowS2_CashFlowB3_C_8_551651297725251586_56">#REF!</definedName>
    <definedName name="_vena_CashFlowS2_CashFlowB3_C_8_551651297725251586_57">#REF!</definedName>
    <definedName name="_vena_CashFlowS2_CashFlowB3_C_8_551651297725251586_58">#REF!</definedName>
    <definedName name="_vena_CashFlowS2_CashFlowB3_C_8_551651297725251586_59">#REF!</definedName>
    <definedName name="_vena_CashFlowS2_CashFlowB3_C_8_551651297725251586_6">#REF!</definedName>
    <definedName name="_vena_CashFlowS2_CashFlowB3_C_8_551651297725251586_60">#REF!</definedName>
    <definedName name="_vena_CashFlowS2_CashFlowB3_C_8_551651297725251586_61">#REF!</definedName>
    <definedName name="_vena_CashFlowS2_CashFlowB3_C_8_551651297725251586_62">#REF!</definedName>
    <definedName name="_vena_CashFlowS2_CashFlowB3_C_8_551651297725251586_63">#REF!</definedName>
    <definedName name="_vena_CashFlowS2_CashFlowB3_C_8_551651297725251586_64">#REF!</definedName>
    <definedName name="_vena_CashFlowS2_CashFlowB3_C_8_551651297725251586_65">#REF!</definedName>
    <definedName name="_vena_CashFlowS2_CashFlowB3_C_8_551651297725251586_66">#REF!</definedName>
    <definedName name="_vena_CashFlowS2_CashFlowB3_C_8_551651297725251586_67">#REF!</definedName>
    <definedName name="_vena_CashFlowS2_CashFlowB3_C_8_551651297725251586_68">#REF!</definedName>
    <definedName name="_vena_CashFlowS2_CashFlowB3_C_8_551651297725251586_69">#REF!</definedName>
    <definedName name="_vena_CashFlowS2_CashFlowB3_C_8_551651297725251586_7">#REF!</definedName>
    <definedName name="_vena_CashFlowS2_CashFlowB3_C_8_551651297725251586_70">#REF!</definedName>
    <definedName name="_vena_CashFlowS2_CashFlowB3_C_8_551651297725251586_71">#REF!</definedName>
    <definedName name="_vena_CashFlowS2_CashFlowB3_C_8_551651297725251586_8">#REF!</definedName>
    <definedName name="_vena_CashFlowS2_CashFlowB3_C_8_551651297725251586_9">#REF!</definedName>
    <definedName name="_vena_CashFlowS2_CashFlowB3_C_8_632005313629519872">#REF!</definedName>
    <definedName name="_vena_CashFlowS2_CashFlowB3_C_8_632005313629519872_1">#REF!</definedName>
    <definedName name="_vena_CashFlowS2_CashFlowB3_C_8_632005313629519872_10">#REF!</definedName>
    <definedName name="_vena_CashFlowS2_CashFlowB3_C_8_632005313629519872_11">#REF!</definedName>
    <definedName name="_vena_CashFlowS2_CashFlowB3_C_8_632005313629519872_12">#REF!</definedName>
    <definedName name="_vena_CashFlowS2_CashFlowB3_C_8_632005313629519872_13">#REF!</definedName>
    <definedName name="_vena_CashFlowS2_CashFlowB3_C_8_632005313629519872_14">#REF!</definedName>
    <definedName name="_vena_CashFlowS2_CashFlowB3_C_8_632005313629519872_15">#REF!</definedName>
    <definedName name="_vena_CashFlowS2_CashFlowB3_C_8_632005313629519872_16">#REF!</definedName>
    <definedName name="_vena_CashFlowS2_CashFlowB3_C_8_632005313629519872_17">#REF!</definedName>
    <definedName name="_vena_CashFlowS2_CashFlowB3_C_8_632005313629519872_18">#REF!</definedName>
    <definedName name="_vena_CashFlowS2_CashFlowB3_C_8_632005313629519872_19">#REF!</definedName>
    <definedName name="_vena_CashFlowS2_CashFlowB3_C_8_632005313629519872_2">#REF!</definedName>
    <definedName name="_vena_CashFlowS2_CashFlowB3_C_8_632005313629519872_20">#REF!</definedName>
    <definedName name="_vena_CashFlowS2_CashFlowB3_C_8_632005313629519872_21">#REF!</definedName>
    <definedName name="_vena_CashFlowS2_CashFlowB3_C_8_632005313629519872_22">#REF!</definedName>
    <definedName name="_vena_CashFlowS2_CashFlowB3_C_8_632005313629519872_23">#REF!</definedName>
    <definedName name="_vena_CashFlowS2_CashFlowB3_C_8_632005313629519872_24">#REF!</definedName>
    <definedName name="_vena_CashFlowS2_CashFlowB3_C_8_632005313629519872_25">#REF!</definedName>
    <definedName name="_vena_CashFlowS2_CashFlowB3_C_8_632005313629519872_26">#REF!</definedName>
    <definedName name="_vena_CashFlowS2_CashFlowB3_C_8_632005313629519872_27">#REF!</definedName>
    <definedName name="_vena_CashFlowS2_CashFlowB3_C_8_632005313629519872_28">#REF!</definedName>
    <definedName name="_vena_CashFlowS2_CashFlowB3_C_8_632005313629519872_29">#REF!</definedName>
    <definedName name="_vena_CashFlowS2_CashFlowB3_C_8_632005313629519872_3">#REF!</definedName>
    <definedName name="_vena_CashFlowS2_CashFlowB3_C_8_632005313629519872_30">#REF!</definedName>
    <definedName name="_vena_CashFlowS2_CashFlowB3_C_8_632005313629519872_31">#REF!</definedName>
    <definedName name="_vena_CashFlowS2_CashFlowB3_C_8_632005313629519872_32">#REF!</definedName>
    <definedName name="_vena_CashFlowS2_CashFlowB3_C_8_632005313629519872_33">#REF!</definedName>
    <definedName name="_vena_CashFlowS2_CashFlowB3_C_8_632005313629519872_34">#REF!</definedName>
    <definedName name="_vena_CashFlowS2_CashFlowB3_C_8_632005313629519872_35">#REF!</definedName>
    <definedName name="_vena_CashFlowS2_CashFlowB3_C_8_632005313629519872_36">#REF!</definedName>
    <definedName name="_vena_CashFlowS2_CashFlowB3_C_8_632005313629519872_37">#REF!</definedName>
    <definedName name="_vena_CashFlowS2_CashFlowB3_C_8_632005313629519872_38">#REF!</definedName>
    <definedName name="_vena_CashFlowS2_CashFlowB3_C_8_632005313629519872_39">#REF!</definedName>
    <definedName name="_vena_CashFlowS2_CashFlowB3_C_8_632005313629519872_4">#REF!</definedName>
    <definedName name="_vena_CashFlowS2_CashFlowB3_C_8_632005313629519872_40">#REF!</definedName>
    <definedName name="_vena_CashFlowS2_CashFlowB3_C_8_632005313629519872_41">#REF!</definedName>
    <definedName name="_vena_CashFlowS2_CashFlowB3_C_8_632005313629519872_42">#REF!</definedName>
    <definedName name="_vena_CashFlowS2_CashFlowB3_C_8_632005313629519872_43">#REF!</definedName>
    <definedName name="_vena_CashFlowS2_CashFlowB3_C_8_632005313629519872_44">#REF!</definedName>
    <definedName name="_vena_CashFlowS2_CashFlowB3_C_8_632005313629519872_45">#REF!</definedName>
    <definedName name="_vena_CashFlowS2_CashFlowB3_C_8_632005313629519872_46">#REF!</definedName>
    <definedName name="_vena_CashFlowS2_CashFlowB3_C_8_632005313629519872_47">#REF!</definedName>
    <definedName name="_vena_CashFlowS2_CashFlowB3_C_8_632005313629519872_48">#REF!</definedName>
    <definedName name="_vena_CashFlowS2_CashFlowB3_C_8_632005313629519872_49">#REF!</definedName>
    <definedName name="_vena_CashFlowS2_CashFlowB3_C_8_632005313629519872_5">#REF!</definedName>
    <definedName name="_vena_CashFlowS2_CashFlowB3_C_8_632005313629519872_50">#REF!</definedName>
    <definedName name="_vena_CashFlowS2_CashFlowB3_C_8_632005313629519872_51">#REF!</definedName>
    <definedName name="_vena_CashFlowS2_CashFlowB3_C_8_632005313629519872_52">#REF!</definedName>
    <definedName name="_vena_CashFlowS2_CashFlowB3_C_8_632005313629519872_53">#REF!</definedName>
    <definedName name="_vena_CashFlowS2_CashFlowB3_C_8_632005313629519872_54">#REF!</definedName>
    <definedName name="_vena_CashFlowS2_CashFlowB3_C_8_632005313629519872_55">#REF!</definedName>
    <definedName name="_vena_CashFlowS2_CashFlowB3_C_8_632005313629519872_56">#REF!</definedName>
    <definedName name="_vena_CashFlowS2_CashFlowB3_C_8_632005313629519872_57">#REF!</definedName>
    <definedName name="_vena_CashFlowS2_CashFlowB3_C_8_632005313629519872_58">#REF!</definedName>
    <definedName name="_vena_CashFlowS2_CashFlowB3_C_8_632005313629519872_59">#REF!</definedName>
    <definedName name="_vena_CashFlowS2_CashFlowB3_C_8_632005313629519872_6">#REF!</definedName>
    <definedName name="_vena_CashFlowS2_CashFlowB3_C_8_632005313629519872_60">#REF!</definedName>
    <definedName name="_vena_CashFlowS2_CashFlowB3_C_8_632005313629519872_61">#REF!</definedName>
    <definedName name="_vena_CashFlowS2_CashFlowB3_C_8_632005313629519872_62">#REF!</definedName>
    <definedName name="_vena_CashFlowS2_CashFlowB3_C_8_632005313629519872_63">#REF!</definedName>
    <definedName name="_vena_CashFlowS2_CashFlowB3_C_8_632005313629519872_64">#REF!</definedName>
    <definedName name="_vena_CashFlowS2_CashFlowB3_C_8_632005313629519872_65">#REF!</definedName>
    <definedName name="_vena_CashFlowS2_CashFlowB3_C_8_632005313629519872_66">#REF!</definedName>
    <definedName name="_vena_CashFlowS2_CashFlowB3_C_8_632005313629519872_67">#REF!</definedName>
    <definedName name="_vena_CashFlowS2_CashFlowB3_C_8_632005313629519872_68">#REF!</definedName>
    <definedName name="_vena_CashFlowS2_CashFlowB3_C_8_632005313629519872_69">#REF!</definedName>
    <definedName name="_vena_CashFlowS2_CashFlowB3_C_8_632005313629519872_7">#REF!</definedName>
    <definedName name="_vena_CashFlowS2_CashFlowB3_C_8_632005313629519872_70">#REF!</definedName>
    <definedName name="_vena_CashFlowS2_CashFlowB3_C_8_632005313629519872_71">#REF!</definedName>
    <definedName name="_vena_CashFlowS2_CashFlowB3_C_8_632005313629519872_8">#REF!</definedName>
    <definedName name="_vena_CashFlowS2_CashFlowB3_C_8_632005313629519872_9">#REF!</definedName>
    <definedName name="_vena_CashFlowS2_CashFlowB3_C_FV_56493ffece784c5db4cd0fd3b40a250d">#REF!</definedName>
    <definedName name="_vena_CashFlowS2_CashFlowB3_C_FV_56493ffece784c5db4cd0fd3b40a250d_1">#REF!</definedName>
    <definedName name="_vena_CashFlowS2_CashFlowB3_C_FV_56493ffece784c5db4cd0fd3b40a250d_10">#REF!</definedName>
    <definedName name="_vena_CashFlowS2_CashFlowB3_C_FV_56493ffece784c5db4cd0fd3b40a250d_11">#REF!</definedName>
    <definedName name="_vena_CashFlowS2_CashFlowB3_C_FV_56493ffece784c5db4cd0fd3b40a250d_12">#REF!</definedName>
    <definedName name="_vena_CashFlowS2_CashFlowB3_C_FV_56493ffece784c5db4cd0fd3b40a250d_13">#REF!</definedName>
    <definedName name="_vena_CashFlowS2_CashFlowB3_C_FV_56493ffece784c5db4cd0fd3b40a250d_14">#REF!</definedName>
    <definedName name="_vena_CashFlowS2_CashFlowB3_C_FV_56493ffece784c5db4cd0fd3b40a250d_15">#REF!</definedName>
    <definedName name="_vena_CashFlowS2_CashFlowB3_C_FV_56493ffece784c5db4cd0fd3b40a250d_16">#REF!</definedName>
    <definedName name="_vena_CashFlowS2_CashFlowB3_C_FV_56493ffece784c5db4cd0fd3b40a250d_17">#REF!</definedName>
    <definedName name="_vena_CashFlowS2_CashFlowB3_C_FV_56493ffece784c5db4cd0fd3b40a250d_18">#REF!</definedName>
    <definedName name="_vena_CashFlowS2_CashFlowB3_C_FV_56493ffece784c5db4cd0fd3b40a250d_19">#REF!</definedName>
    <definedName name="_vena_CashFlowS2_CashFlowB3_C_FV_56493ffece784c5db4cd0fd3b40a250d_2">#REF!</definedName>
    <definedName name="_vena_CashFlowS2_CashFlowB3_C_FV_56493ffece784c5db4cd0fd3b40a250d_20">#REF!</definedName>
    <definedName name="_vena_CashFlowS2_CashFlowB3_C_FV_56493ffece784c5db4cd0fd3b40a250d_21">#REF!</definedName>
    <definedName name="_vena_CashFlowS2_CashFlowB3_C_FV_56493ffece784c5db4cd0fd3b40a250d_22">#REF!</definedName>
    <definedName name="_vena_CashFlowS2_CashFlowB3_C_FV_56493ffece784c5db4cd0fd3b40a250d_23">#REF!</definedName>
    <definedName name="_vena_CashFlowS2_CashFlowB3_C_FV_56493ffece784c5db4cd0fd3b40a250d_24">#REF!</definedName>
    <definedName name="_vena_CashFlowS2_CashFlowB3_C_FV_56493ffece784c5db4cd0fd3b40a250d_25">#REF!</definedName>
    <definedName name="_vena_CashFlowS2_CashFlowB3_C_FV_56493ffece784c5db4cd0fd3b40a250d_26">#REF!</definedName>
    <definedName name="_vena_CashFlowS2_CashFlowB3_C_FV_56493ffece784c5db4cd0fd3b40a250d_27">#REF!</definedName>
    <definedName name="_vena_CashFlowS2_CashFlowB3_C_FV_56493ffece784c5db4cd0fd3b40a250d_28">#REF!</definedName>
    <definedName name="_vena_CashFlowS2_CashFlowB3_C_FV_56493ffece784c5db4cd0fd3b40a250d_29">#REF!</definedName>
    <definedName name="_vena_CashFlowS2_CashFlowB3_C_FV_56493ffece784c5db4cd0fd3b40a250d_3">#REF!</definedName>
    <definedName name="_vena_CashFlowS2_CashFlowB3_C_FV_56493ffece784c5db4cd0fd3b40a250d_30">#REF!</definedName>
    <definedName name="_vena_CashFlowS2_CashFlowB3_C_FV_56493ffece784c5db4cd0fd3b40a250d_31">#REF!</definedName>
    <definedName name="_vena_CashFlowS2_CashFlowB3_C_FV_56493ffece784c5db4cd0fd3b40a250d_32">#REF!</definedName>
    <definedName name="_vena_CashFlowS2_CashFlowB3_C_FV_56493ffece784c5db4cd0fd3b40a250d_33">#REF!</definedName>
    <definedName name="_vena_CashFlowS2_CashFlowB3_C_FV_56493ffece784c5db4cd0fd3b40a250d_34">#REF!</definedName>
    <definedName name="_vena_CashFlowS2_CashFlowB3_C_FV_56493ffece784c5db4cd0fd3b40a250d_35">#REF!</definedName>
    <definedName name="_vena_CashFlowS2_CashFlowB3_C_FV_56493ffece784c5db4cd0fd3b40a250d_36">#REF!</definedName>
    <definedName name="_vena_CashFlowS2_CashFlowB3_C_FV_56493ffece784c5db4cd0fd3b40a250d_37">#REF!</definedName>
    <definedName name="_vena_CashFlowS2_CashFlowB3_C_FV_56493ffece784c5db4cd0fd3b40a250d_38">#REF!</definedName>
    <definedName name="_vena_CashFlowS2_CashFlowB3_C_FV_56493ffece784c5db4cd0fd3b40a250d_39">#REF!</definedName>
    <definedName name="_vena_CashFlowS2_CashFlowB3_C_FV_56493ffece784c5db4cd0fd3b40a250d_4">#REF!</definedName>
    <definedName name="_vena_CashFlowS2_CashFlowB3_C_FV_56493ffece784c5db4cd0fd3b40a250d_40">#REF!</definedName>
    <definedName name="_vena_CashFlowS2_CashFlowB3_C_FV_56493ffece784c5db4cd0fd3b40a250d_41">#REF!</definedName>
    <definedName name="_vena_CashFlowS2_CashFlowB3_C_FV_56493ffece784c5db4cd0fd3b40a250d_42">#REF!</definedName>
    <definedName name="_vena_CashFlowS2_CashFlowB3_C_FV_56493ffece784c5db4cd0fd3b40a250d_43">#REF!</definedName>
    <definedName name="_vena_CashFlowS2_CashFlowB3_C_FV_56493ffece784c5db4cd0fd3b40a250d_44">#REF!</definedName>
    <definedName name="_vena_CashFlowS2_CashFlowB3_C_FV_56493ffece784c5db4cd0fd3b40a250d_45">#REF!</definedName>
    <definedName name="_vena_CashFlowS2_CashFlowB3_C_FV_56493ffece784c5db4cd0fd3b40a250d_46">#REF!</definedName>
    <definedName name="_vena_CashFlowS2_CashFlowB3_C_FV_56493ffece784c5db4cd0fd3b40a250d_47">#REF!</definedName>
    <definedName name="_vena_CashFlowS2_CashFlowB3_C_FV_56493ffece784c5db4cd0fd3b40a250d_48">#REF!</definedName>
    <definedName name="_vena_CashFlowS2_CashFlowB3_C_FV_56493ffece784c5db4cd0fd3b40a250d_49">#REF!</definedName>
    <definedName name="_vena_CashFlowS2_CashFlowB3_C_FV_56493ffece784c5db4cd0fd3b40a250d_5">#REF!</definedName>
    <definedName name="_vena_CashFlowS2_CashFlowB3_C_FV_56493ffece784c5db4cd0fd3b40a250d_50">#REF!</definedName>
    <definedName name="_vena_CashFlowS2_CashFlowB3_C_FV_56493ffece784c5db4cd0fd3b40a250d_51">#REF!</definedName>
    <definedName name="_vena_CashFlowS2_CashFlowB3_C_FV_56493ffece784c5db4cd0fd3b40a250d_52">#REF!</definedName>
    <definedName name="_vena_CashFlowS2_CashFlowB3_C_FV_56493ffece784c5db4cd0fd3b40a250d_53">#REF!</definedName>
    <definedName name="_vena_CashFlowS2_CashFlowB3_C_FV_56493ffece784c5db4cd0fd3b40a250d_54">#REF!</definedName>
    <definedName name="_vena_CashFlowS2_CashFlowB3_C_FV_56493ffece784c5db4cd0fd3b40a250d_55">#REF!</definedName>
    <definedName name="_vena_CashFlowS2_CashFlowB3_C_FV_56493ffece784c5db4cd0fd3b40a250d_56">#REF!</definedName>
    <definedName name="_vena_CashFlowS2_CashFlowB3_C_FV_56493ffece784c5db4cd0fd3b40a250d_57">#REF!</definedName>
    <definedName name="_vena_CashFlowS2_CashFlowB3_C_FV_56493ffece784c5db4cd0fd3b40a250d_58">#REF!</definedName>
    <definedName name="_vena_CashFlowS2_CashFlowB3_C_FV_56493ffece784c5db4cd0fd3b40a250d_59">#REF!</definedName>
    <definedName name="_vena_CashFlowS2_CashFlowB3_C_FV_56493ffece784c5db4cd0fd3b40a250d_6">#REF!</definedName>
    <definedName name="_vena_CashFlowS2_CashFlowB3_C_FV_56493ffece784c5db4cd0fd3b40a250d_60">#REF!</definedName>
    <definedName name="_vena_CashFlowS2_CashFlowB3_C_FV_56493ffece784c5db4cd0fd3b40a250d_61">#REF!</definedName>
    <definedName name="_vena_CashFlowS2_CashFlowB3_C_FV_56493ffece784c5db4cd0fd3b40a250d_62">#REF!</definedName>
    <definedName name="_vena_CashFlowS2_CashFlowB3_C_FV_56493ffece784c5db4cd0fd3b40a250d_63">#REF!</definedName>
    <definedName name="_vena_CashFlowS2_CashFlowB3_C_FV_56493ffece784c5db4cd0fd3b40a250d_64">#REF!</definedName>
    <definedName name="_vena_CashFlowS2_CashFlowB3_C_FV_56493ffece784c5db4cd0fd3b40a250d_65">#REF!</definedName>
    <definedName name="_vena_CashFlowS2_CashFlowB3_C_FV_56493ffece784c5db4cd0fd3b40a250d_66">#REF!</definedName>
    <definedName name="_vena_CashFlowS2_CashFlowB3_C_FV_56493ffece784c5db4cd0fd3b40a250d_67">#REF!</definedName>
    <definedName name="_vena_CashFlowS2_CashFlowB3_C_FV_56493ffece784c5db4cd0fd3b40a250d_68">#REF!</definedName>
    <definedName name="_vena_CashFlowS2_CashFlowB3_C_FV_56493ffece784c5db4cd0fd3b40a250d_69">#REF!</definedName>
    <definedName name="_vena_CashFlowS2_CashFlowB3_C_FV_56493ffece784c5db4cd0fd3b40a250d_7">#REF!</definedName>
    <definedName name="_vena_CashFlowS2_CashFlowB3_C_FV_56493ffece784c5db4cd0fd3b40a250d_70">#REF!</definedName>
    <definedName name="_vena_CashFlowS2_CashFlowB3_C_FV_56493ffece784c5db4cd0fd3b40a250d_71">#REF!</definedName>
    <definedName name="_vena_CashFlowS2_CashFlowB3_C_FV_56493ffece784c5db4cd0fd3b40a250d_72">#REF!</definedName>
    <definedName name="_vena_CashFlowS2_CashFlowB3_C_FV_56493ffece784c5db4cd0fd3b40a250d_73">#REF!</definedName>
    <definedName name="_vena_CashFlowS2_CashFlowB3_C_FV_56493ffece784c5db4cd0fd3b40a250d_74">#REF!</definedName>
    <definedName name="_vena_CashFlowS2_CashFlowB3_C_FV_56493ffece784c5db4cd0fd3b40a250d_75">#REF!</definedName>
    <definedName name="_vena_CashFlowS2_CashFlowB3_C_FV_56493ffece784c5db4cd0fd3b40a250d_76">#REF!</definedName>
    <definedName name="_vena_CashFlowS2_CashFlowB3_C_FV_56493ffece784c5db4cd0fd3b40a250d_77">#REF!</definedName>
    <definedName name="_vena_CashFlowS2_CashFlowB3_C_FV_56493ffece784c5db4cd0fd3b40a250d_8">#REF!</definedName>
    <definedName name="_vena_CashFlowS2_CashFlowB3_C_FV_56493ffece784c5db4cd0fd3b40a250d_9">#REF!</definedName>
    <definedName name="_vena_CashFlowS2_CashFlowB3_C_FV_9b0abd7578fb42018b1ba18b8b26d3ae">#REF!</definedName>
    <definedName name="_vena_CashFlowS2_CashFlowB3_C_FV_9b0abd7578fb42018b1ba18b8b26d3ae_1">#REF!</definedName>
    <definedName name="_vena_CashFlowS2_CashFlowB3_C_FV_9b0abd7578fb42018b1ba18b8b26d3ae_10">#REF!</definedName>
    <definedName name="_vena_CashFlowS2_CashFlowB3_C_FV_9b0abd7578fb42018b1ba18b8b26d3ae_12">#REF!</definedName>
    <definedName name="_vena_CashFlowS2_CashFlowB3_C_FV_9b0abd7578fb42018b1ba18b8b26d3ae_13">#REF!</definedName>
    <definedName name="_vena_CashFlowS2_CashFlowB3_C_FV_9b0abd7578fb42018b1ba18b8b26d3ae_14">#REF!</definedName>
    <definedName name="_vena_CashFlowS2_CashFlowB3_C_FV_9b0abd7578fb42018b1ba18b8b26d3ae_15">#REF!</definedName>
    <definedName name="_vena_CashFlowS2_CashFlowB3_C_FV_9b0abd7578fb42018b1ba18b8b26d3ae_16">#REF!</definedName>
    <definedName name="_vena_CashFlowS2_CashFlowB3_C_FV_9b0abd7578fb42018b1ba18b8b26d3ae_17">#REF!</definedName>
    <definedName name="_vena_CashFlowS2_CashFlowB3_C_FV_9b0abd7578fb42018b1ba18b8b26d3ae_18">#REF!</definedName>
    <definedName name="_vena_CashFlowS2_CashFlowB3_C_FV_9b0abd7578fb42018b1ba18b8b26d3ae_19">#REF!</definedName>
    <definedName name="_vena_CashFlowS2_CashFlowB3_C_FV_9b0abd7578fb42018b1ba18b8b26d3ae_2">#REF!</definedName>
    <definedName name="_vena_CashFlowS2_CashFlowB3_C_FV_9b0abd7578fb42018b1ba18b8b26d3ae_20">#REF!</definedName>
    <definedName name="_vena_CashFlowS2_CashFlowB3_C_FV_9b0abd7578fb42018b1ba18b8b26d3ae_21">#REF!</definedName>
    <definedName name="_vena_CashFlowS2_CashFlowB3_C_FV_9b0abd7578fb42018b1ba18b8b26d3ae_22">#REF!</definedName>
    <definedName name="_vena_CashFlowS2_CashFlowB3_C_FV_9b0abd7578fb42018b1ba18b8b26d3ae_23">#REF!</definedName>
    <definedName name="_vena_CashFlowS2_CashFlowB3_C_FV_9b0abd7578fb42018b1ba18b8b26d3ae_24">#REF!</definedName>
    <definedName name="_vena_CashFlowS2_CashFlowB3_C_FV_9b0abd7578fb42018b1ba18b8b26d3ae_3">#REF!</definedName>
    <definedName name="_vena_CashFlowS2_CashFlowB3_C_FV_9b0abd7578fb42018b1ba18b8b26d3ae_4">#REF!</definedName>
    <definedName name="_vena_CashFlowS2_CashFlowB3_C_FV_9b0abd7578fb42018b1ba18b8b26d3ae_5">#REF!</definedName>
    <definedName name="_vena_CashFlowS2_CashFlowB3_C_FV_9b0abd7578fb42018b1ba18b8b26d3ae_6">#REF!</definedName>
    <definedName name="_vena_CashFlowS2_CashFlowB3_C_FV_9b0abd7578fb42018b1ba18b8b26d3ae_7">#REF!</definedName>
    <definedName name="_vena_CashFlowS2_CashFlowB3_C_FV_9b0abd7578fb42018b1ba18b8b26d3ae_8">#REF!</definedName>
    <definedName name="_vena_CashFlowS2_CashFlowB3_C_FV_9b0abd7578fb42018b1ba18b8b26d3ae_9">#REF!</definedName>
    <definedName name="_vena_CashFlowS2_CashFlowB3_C_FV_a398e917565c475b8f0c5e9ebb5e002d">#REF!</definedName>
    <definedName name="_vena_CashFlowS2_CashFlowB3_C_FV_a398e917565c475b8f0c5e9ebb5e002d_1">#REF!</definedName>
    <definedName name="_vena_CashFlowS2_CashFlowB3_C_FV_a398e917565c475b8f0c5e9ebb5e002d_10">#REF!</definedName>
    <definedName name="_vena_CashFlowS2_CashFlowB3_C_FV_a398e917565c475b8f0c5e9ebb5e002d_11">#REF!</definedName>
    <definedName name="_vena_CashFlowS2_CashFlowB3_C_FV_a398e917565c475b8f0c5e9ebb5e002d_12">#REF!</definedName>
    <definedName name="_vena_CashFlowS2_CashFlowB3_C_FV_a398e917565c475b8f0c5e9ebb5e002d_13">#REF!</definedName>
    <definedName name="_vena_CashFlowS2_CashFlowB3_C_FV_a398e917565c475b8f0c5e9ebb5e002d_14">#REF!</definedName>
    <definedName name="_vena_CashFlowS2_CashFlowB3_C_FV_a398e917565c475b8f0c5e9ebb5e002d_15">#REF!</definedName>
    <definedName name="_vena_CashFlowS2_CashFlowB3_C_FV_a398e917565c475b8f0c5e9ebb5e002d_16">#REF!</definedName>
    <definedName name="_vena_CashFlowS2_CashFlowB3_C_FV_a398e917565c475b8f0c5e9ebb5e002d_17">#REF!</definedName>
    <definedName name="_vena_CashFlowS2_CashFlowB3_C_FV_a398e917565c475b8f0c5e9ebb5e002d_18">#REF!</definedName>
    <definedName name="_vena_CashFlowS2_CashFlowB3_C_FV_a398e917565c475b8f0c5e9ebb5e002d_19">#REF!</definedName>
    <definedName name="_vena_CashFlowS2_CashFlowB3_C_FV_a398e917565c475b8f0c5e9ebb5e002d_2">#REF!</definedName>
    <definedName name="_vena_CashFlowS2_CashFlowB3_C_FV_a398e917565c475b8f0c5e9ebb5e002d_20">#REF!</definedName>
    <definedName name="_vena_CashFlowS2_CashFlowB3_C_FV_a398e917565c475b8f0c5e9ebb5e002d_21">#REF!</definedName>
    <definedName name="_vena_CashFlowS2_CashFlowB3_C_FV_a398e917565c475b8f0c5e9ebb5e002d_22">#REF!</definedName>
    <definedName name="_vena_CashFlowS2_CashFlowB3_C_FV_a398e917565c475b8f0c5e9ebb5e002d_23">#REF!</definedName>
    <definedName name="_vena_CashFlowS2_CashFlowB3_C_FV_a398e917565c475b8f0c5e9ebb5e002d_24">#REF!</definedName>
    <definedName name="_vena_CashFlowS2_CashFlowB3_C_FV_a398e917565c475b8f0c5e9ebb5e002d_25">#REF!</definedName>
    <definedName name="_vena_CashFlowS2_CashFlowB3_C_FV_a398e917565c475b8f0c5e9ebb5e002d_26">#REF!</definedName>
    <definedName name="_vena_CashFlowS2_CashFlowB3_C_FV_a398e917565c475b8f0c5e9ebb5e002d_27">#REF!</definedName>
    <definedName name="_vena_CashFlowS2_CashFlowB3_C_FV_a398e917565c475b8f0c5e9ebb5e002d_28">#REF!</definedName>
    <definedName name="_vena_CashFlowS2_CashFlowB3_C_FV_a398e917565c475b8f0c5e9ebb5e002d_29">#REF!</definedName>
    <definedName name="_vena_CashFlowS2_CashFlowB3_C_FV_a398e917565c475b8f0c5e9ebb5e002d_3">#REF!</definedName>
    <definedName name="_vena_CashFlowS2_CashFlowB3_C_FV_a398e917565c475b8f0c5e9ebb5e002d_30">#REF!</definedName>
    <definedName name="_vena_CashFlowS2_CashFlowB3_C_FV_a398e917565c475b8f0c5e9ebb5e002d_31">#REF!</definedName>
    <definedName name="_vena_CashFlowS2_CashFlowB3_C_FV_a398e917565c475b8f0c5e9ebb5e002d_32">#REF!</definedName>
    <definedName name="_vena_CashFlowS2_CashFlowB3_C_FV_a398e917565c475b8f0c5e9ebb5e002d_33">#REF!</definedName>
    <definedName name="_vena_CashFlowS2_CashFlowB3_C_FV_a398e917565c475b8f0c5e9ebb5e002d_34">#REF!</definedName>
    <definedName name="_vena_CashFlowS2_CashFlowB3_C_FV_a398e917565c475b8f0c5e9ebb5e002d_35">#REF!</definedName>
    <definedName name="_vena_CashFlowS2_CashFlowB3_C_FV_a398e917565c475b8f0c5e9ebb5e002d_36">#REF!</definedName>
    <definedName name="_vena_CashFlowS2_CashFlowB3_C_FV_a398e917565c475b8f0c5e9ebb5e002d_37">#REF!</definedName>
    <definedName name="_vena_CashFlowS2_CashFlowB3_C_FV_a398e917565c475b8f0c5e9ebb5e002d_38">#REF!</definedName>
    <definedName name="_vena_CashFlowS2_CashFlowB3_C_FV_a398e917565c475b8f0c5e9ebb5e002d_39">#REF!</definedName>
    <definedName name="_vena_CashFlowS2_CashFlowB3_C_FV_a398e917565c475b8f0c5e9ebb5e002d_4">#REF!</definedName>
    <definedName name="_vena_CashFlowS2_CashFlowB3_C_FV_a398e917565c475b8f0c5e9ebb5e002d_40">#REF!</definedName>
    <definedName name="_vena_CashFlowS2_CashFlowB3_C_FV_a398e917565c475b8f0c5e9ebb5e002d_41">#REF!</definedName>
    <definedName name="_vena_CashFlowS2_CashFlowB3_C_FV_a398e917565c475b8f0c5e9ebb5e002d_42">#REF!</definedName>
    <definedName name="_vena_CashFlowS2_CashFlowB3_C_FV_a398e917565c475b8f0c5e9ebb5e002d_43">#REF!</definedName>
    <definedName name="_vena_CashFlowS2_CashFlowB3_C_FV_a398e917565c475b8f0c5e9ebb5e002d_44">#REF!</definedName>
    <definedName name="_vena_CashFlowS2_CashFlowB3_C_FV_a398e917565c475b8f0c5e9ebb5e002d_45">#REF!</definedName>
    <definedName name="_vena_CashFlowS2_CashFlowB3_C_FV_a398e917565c475b8f0c5e9ebb5e002d_46">#REF!</definedName>
    <definedName name="_vena_CashFlowS2_CashFlowB3_C_FV_a398e917565c475b8f0c5e9ebb5e002d_47">#REF!</definedName>
    <definedName name="_vena_CashFlowS2_CashFlowB3_C_FV_a398e917565c475b8f0c5e9ebb5e002d_48">#REF!</definedName>
    <definedName name="_vena_CashFlowS2_CashFlowB3_C_FV_a398e917565c475b8f0c5e9ebb5e002d_49">#REF!</definedName>
    <definedName name="_vena_CashFlowS2_CashFlowB3_C_FV_a398e917565c475b8f0c5e9ebb5e002d_5">#REF!</definedName>
    <definedName name="_vena_CashFlowS2_CashFlowB3_C_FV_a398e917565c475b8f0c5e9ebb5e002d_50">#REF!</definedName>
    <definedName name="_vena_CashFlowS2_CashFlowB3_C_FV_a398e917565c475b8f0c5e9ebb5e002d_51">#REF!</definedName>
    <definedName name="_vena_CashFlowS2_CashFlowB3_C_FV_a398e917565c475b8f0c5e9ebb5e002d_52">#REF!</definedName>
    <definedName name="_vena_CashFlowS2_CashFlowB3_C_FV_a398e917565c475b8f0c5e9ebb5e002d_53">#REF!</definedName>
    <definedName name="_vena_CashFlowS2_CashFlowB3_C_FV_a398e917565c475b8f0c5e9ebb5e002d_54">#REF!</definedName>
    <definedName name="_vena_CashFlowS2_CashFlowB3_C_FV_a398e917565c475b8f0c5e9ebb5e002d_55">#REF!</definedName>
    <definedName name="_vena_CashFlowS2_CashFlowB3_C_FV_a398e917565c475b8f0c5e9ebb5e002d_56">#REF!</definedName>
    <definedName name="_vena_CashFlowS2_CashFlowB3_C_FV_a398e917565c475b8f0c5e9ebb5e002d_57">#REF!</definedName>
    <definedName name="_vena_CashFlowS2_CashFlowB3_C_FV_a398e917565c475b8f0c5e9ebb5e002d_58">#REF!</definedName>
    <definedName name="_vena_CashFlowS2_CashFlowB3_C_FV_a398e917565c475b8f0c5e9ebb5e002d_59">#REF!</definedName>
    <definedName name="_vena_CashFlowS2_CashFlowB3_C_FV_a398e917565c475b8f0c5e9ebb5e002d_6">#REF!</definedName>
    <definedName name="_vena_CashFlowS2_CashFlowB3_C_FV_a398e917565c475b8f0c5e9ebb5e002d_60">#REF!</definedName>
    <definedName name="_vena_CashFlowS2_CashFlowB3_C_FV_a398e917565c475b8f0c5e9ebb5e002d_61">#REF!</definedName>
    <definedName name="_vena_CashFlowS2_CashFlowB3_C_FV_a398e917565c475b8f0c5e9ebb5e002d_62">#REF!</definedName>
    <definedName name="_vena_CashFlowS2_CashFlowB3_C_FV_a398e917565c475b8f0c5e9ebb5e002d_63">#REF!</definedName>
    <definedName name="_vena_CashFlowS2_CashFlowB3_C_FV_a398e917565c475b8f0c5e9ebb5e002d_64">#REF!</definedName>
    <definedName name="_vena_CashFlowS2_CashFlowB3_C_FV_a398e917565c475b8f0c5e9ebb5e002d_65">#REF!</definedName>
    <definedName name="_vena_CashFlowS2_CashFlowB3_C_FV_a398e917565c475b8f0c5e9ebb5e002d_66">#REF!</definedName>
    <definedName name="_vena_CashFlowS2_CashFlowB3_C_FV_a398e917565c475b8f0c5e9ebb5e002d_67">#REF!</definedName>
    <definedName name="_vena_CashFlowS2_CashFlowB3_C_FV_a398e917565c475b8f0c5e9ebb5e002d_68">#REF!</definedName>
    <definedName name="_vena_CashFlowS2_CashFlowB3_C_FV_a398e917565c475b8f0c5e9ebb5e002d_69">#REF!</definedName>
    <definedName name="_vena_CashFlowS2_CashFlowB3_C_FV_a398e917565c475b8f0c5e9ebb5e002d_7">#REF!</definedName>
    <definedName name="_vena_CashFlowS2_CashFlowB3_C_FV_a398e917565c475b8f0c5e9ebb5e002d_70">#REF!</definedName>
    <definedName name="_vena_CashFlowS2_CashFlowB3_C_FV_a398e917565c475b8f0c5e9ebb5e002d_71">#REF!</definedName>
    <definedName name="_vena_CashFlowS2_CashFlowB3_C_FV_a398e917565c475b8f0c5e9ebb5e002d_8">#REF!</definedName>
    <definedName name="_vena_CashFlowS2_CashFlowB3_C_FV_a398e917565c475b8f0c5e9ebb5e002d_9">#REF!</definedName>
    <definedName name="_vena_CashFlowS2_CashFlowB3_C_FV_e1c3a244dc3d4f149ecdf7d748811086">#REF!</definedName>
    <definedName name="_vena_CashFlowS2_CashFlowB3_C_FV_e1c3a244dc3d4f149ecdf7d748811086_1">#REF!</definedName>
    <definedName name="_vena_CashFlowS2_CashFlowB3_C_FV_e1c3a244dc3d4f149ecdf7d748811086_10">#REF!</definedName>
    <definedName name="_vena_CashFlowS2_CashFlowB3_C_FV_e1c3a244dc3d4f149ecdf7d748811086_11">#REF!</definedName>
    <definedName name="_vena_CashFlowS2_CashFlowB3_C_FV_e1c3a244dc3d4f149ecdf7d748811086_12">#REF!</definedName>
    <definedName name="_vena_CashFlowS2_CashFlowB3_C_FV_e1c3a244dc3d4f149ecdf7d748811086_13">#REF!</definedName>
    <definedName name="_vena_CashFlowS2_CashFlowB3_C_FV_e1c3a244dc3d4f149ecdf7d748811086_14">#REF!</definedName>
    <definedName name="_vena_CashFlowS2_CashFlowB3_C_FV_e1c3a244dc3d4f149ecdf7d748811086_15">#REF!</definedName>
    <definedName name="_vena_CashFlowS2_CashFlowB3_C_FV_e1c3a244dc3d4f149ecdf7d748811086_16">#REF!</definedName>
    <definedName name="_vena_CashFlowS2_CashFlowB3_C_FV_e1c3a244dc3d4f149ecdf7d748811086_17">#REF!</definedName>
    <definedName name="_vena_CashFlowS2_CashFlowB3_C_FV_e1c3a244dc3d4f149ecdf7d748811086_18">#REF!</definedName>
    <definedName name="_vena_CashFlowS2_CashFlowB3_C_FV_e1c3a244dc3d4f149ecdf7d748811086_19">#REF!</definedName>
    <definedName name="_vena_CashFlowS2_CashFlowB3_C_FV_e1c3a244dc3d4f149ecdf7d748811086_2">#REF!</definedName>
    <definedName name="_vena_CashFlowS2_CashFlowB3_C_FV_e1c3a244dc3d4f149ecdf7d748811086_20">#REF!</definedName>
    <definedName name="_vena_CashFlowS2_CashFlowB3_C_FV_e1c3a244dc3d4f149ecdf7d748811086_21">#REF!</definedName>
    <definedName name="_vena_CashFlowS2_CashFlowB3_C_FV_e1c3a244dc3d4f149ecdf7d748811086_22">#REF!</definedName>
    <definedName name="_vena_CashFlowS2_CashFlowB3_C_FV_e1c3a244dc3d4f149ecdf7d748811086_23">#REF!</definedName>
    <definedName name="_vena_CashFlowS2_CashFlowB3_C_FV_e1c3a244dc3d4f149ecdf7d748811086_24">#REF!</definedName>
    <definedName name="_vena_CashFlowS2_CashFlowB3_C_FV_e1c3a244dc3d4f149ecdf7d748811086_25">#REF!</definedName>
    <definedName name="_vena_CashFlowS2_CashFlowB3_C_FV_e1c3a244dc3d4f149ecdf7d748811086_26">#REF!</definedName>
    <definedName name="_vena_CashFlowS2_CashFlowB3_C_FV_e1c3a244dc3d4f149ecdf7d748811086_27">#REF!</definedName>
    <definedName name="_vena_CashFlowS2_CashFlowB3_C_FV_e1c3a244dc3d4f149ecdf7d748811086_28">#REF!</definedName>
    <definedName name="_vena_CashFlowS2_CashFlowB3_C_FV_e1c3a244dc3d4f149ecdf7d748811086_29">#REF!</definedName>
    <definedName name="_vena_CashFlowS2_CashFlowB3_C_FV_e1c3a244dc3d4f149ecdf7d748811086_3">#REF!</definedName>
    <definedName name="_vena_CashFlowS2_CashFlowB3_C_FV_e1c3a244dc3d4f149ecdf7d748811086_30">#REF!</definedName>
    <definedName name="_vena_CashFlowS2_CashFlowB3_C_FV_e1c3a244dc3d4f149ecdf7d748811086_31">#REF!</definedName>
    <definedName name="_vena_CashFlowS2_CashFlowB3_C_FV_e1c3a244dc3d4f149ecdf7d748811086_32">#REF!</definedName>
    <definedName name="_vena_CashFlowS2_CashFlowB3_C_FV_e1c3a244dc3d4f149ecdf7d748811086_33">#REF!</definedName>
    <definedName name="_vena_CashFlowS2_CashFlowB3_C_FV_e1c3a244dc3d4f149ecdf7d748811086_34">#REF!</definedName>
    <definedName name="_vena_CashFlowS2_CashFlowB3_C_FV_e1c3a244dc3d4f149ecdf7d748811086_35">#REF!</definedName>
    <definedName name="_vena_CashFlowS2_CashFlowB3_C_FV_e1c3a244dc3d4f149ecdf7d748811086_36">#REF!</definedName>
    <definedName name="_vena_CashFlowS2_CashFlowB3_C_FV_e1c3a244dc3d4f149ecdf7d748811086_37">#REF!</definedName>
    <definedName name="_vena_CashFlowS2_CashFlowB3_C_FV_e1c3a244dc3d4f149ecdf7d748811086_38">#REF!</definedName>
    <definedName name="_vena_CashFlowS2_CashFlowB3_C_FV_e1c3a244dc3d4f149ecdf7d748811086_39">#REF!</definedName>
    <definedName name="_vena_CashFlowS2_CashFlowB3_C_FV_e1c3a244dc3d4f149ecdf7d748811086_4">#REF!</definedName>
    <definedName name="_vena_CashFlowS2_CashFlowB3_C_FV_e1c3a244dc3d4f149ecdf7d748811086_40">#REF!</definedName>
    <definedName name="_vena_CashFlowS2_CashFlowB3_C_FV_e1c3a244dc3d4f149ecdf7d748811086_41">#REF!</definedName>
    <definedName name="_vena_CashFlowS2_CashFlowB3_C_FV_e1c3a244dc3d4f149ecdf7d748811086_42">#REF!</definedName>
    <definedName name="_vena_CashFlowS2_CashFlowB3_C_FV_e1c3a244dc3d4f149ecdf7d748811086_43">#REF!</definedName>
    <definedName name="_vena_CashFlowS2_CashFlowB3_C_FV_e1c3a244dc3d4f149ecdf7d748811086_44">#REF!</definedName>
    <definedName name="_vena_CashFlowS2_CashFlowB3_C_FV_e1c3a244dc3d4f149ecdf7d748811086_45">#REF!</definedName>
    <definedName name="_vena_CashFlowS2_CashFlowB3_C_FV_e1c3a244dc3d4f149ecdf7d748811086_46">#REF!</definedName>
    <definedName name="_vena_CashFlowS2_CashFlowB3_C_FV_e1c3a244dc3d4f149ecdf7d748811086_47">#REF!</definedName>
    <definedName name="_vena_CashFlowS2_CashFlowB3_C_FV_e1c3a244dc3d4f149ecdf7d748811086_48">#REF!</definedName>
    <definedName name="_vena_CashFlowS2_CashFlowB3_C_FV_e1c3a244dc3d4f149ecdf7d748811086_49">#REF!</definedName>
    <definedName name="_vena_CashFlowS2_CashFlowB3_C_FV_e1c3a244dc3d4f149ecdf7d748811086_5">#REF!</definedName>
    <definedName name="_vena_CashFlowS2_CashFlowB3_C_FV_e1c3a244dc3d4f149ecdf7d748811086_50">#REF!</definedName>
    <definedName name="_vena_CashFlowS2_CashFlowB3_C_FV_e1c3a244dc3d4f149ecdf7d748811086_51">#REF!</definedName>
    <definedName name="_vena_CashFlowS2_CashFlowB3_C_FV_e1c3a244dc3d4f149ecdf7d748811086_52">#REF!</definedName>
    <definedName name="_vena_CashFlowS2_CashFlowB3_C_FV_e1c3a244dc3d4f149ecdf7d748811086_53">#REF!</definedName>
    <definedName name="_vena_CashFlowS2_CashFlowB3_C_FV_e1c3a244dc3d4f149ecdf7d748811086_54">#REF!</definedName>
    <definedName name="_vena_CashFlowS2_CashFlowB3_C_FV_e1c3a244dc3d4f149ecdf7d748811086_55">#REF!</definedName>
    <definedName name="_vena_CashFlowS2_CashFlowB3_C_FV_e1c3a244dc3d4f149ecdf7d748811086_56">#REF!</definedName>
    <definedName name="_vena_CashFlowS2_CashFlowB3_C_FV_e1c3a244dc3d4f149ecdf7d748811086_57">#REF!</definedName>
    <definedName name="_vena_CashFlowS2_CashFlowB3_C_FV_e1c3a244dc3d4f149ecdf7d748811086_58">#REF!</definedName>
    <definedName name="_vena_CashFlowS2_CashFlowB3_C_FV_e1c3a244dc3d4f149ecdf7d748811086_59">#REF!</definedName>
    <definedName name="_vena_CashFlowS2_CashFlowB3_C_FV_e1c3a244dc3d4f149ecdf7d748811086_6">#REF!</definedName>
    <definedName name="_vena_CashFlowS2_CashFlowB3_C_FV_e1c3a244dc3d4f149ecdf7d748811086_60">#REF!</definedName>
    <definedName name="_vena_CashFlowS2_CashFlowB3_C_FV_e1c3a244dc3d4f149ecdf7d748811086_61">#REF!</definedName>
    <definedName name="_vena_CashFlowS2_CashFlowB3_C_FV_e1c3a244dc3d4f149ecdf7d748811086_62">#REF!</definedName>
    <definedName name="_vena_CashFlowS2_CashFlowB3_C_FV_e1c3a244dc3d4f149ecdf7d748811086_63">#REF!</definedName>
    <definedName name="_vena_CashFlowS2_CashFlowB3_C_FV_e1c3a244dc3d4f149ecdf7d748811086_64">#REF!</definedName>
    <definedName name="_vena_CashFlowS2_CashFlowB3_C_FV_e1c3a244dc3d4f149ecdf7d748811086_65">#REF!</definedName>
    <definedName name="_vena_CashFlowS2_CashFlowB3_C_FV_e1c3a244dc3d4f149ecdf7d748811086_66">#REF!</definedName>
    <definedName name="_vena_CashFlowS2_CashFlowB3_C_FV_e1c3a244dc3d4f149ecdf7d748811086_67">#REF!</definedName>
    <definedName name="_vena_CashFlowS2_CashFlowB3_C_FV_e1c3a244dc3d4f149ecdf7d748811086_68">#REF!</definedName>
    <definedName name="_vena_CashFlowS2_CashFlowB3_C_FV_e1c3a244dc3d4f149ecdf7d748811086_69">#REF!</definedName>
    <definedName name="_vena_CashFlowS2_CashFlowB3_C_FV_e1c3a244dc3d4f149ecdf7d748811086_7">#REF!</definedName>
    <definedName name="_vena_CashFlowS2_CashFlowB3_C_FV_e1c3a244dc3d4f149ecdf7d748811086_70">#REF!</definedName>
    <definedName name="_vena_CashFlowS2_CashFlowB3_C_FV_e1c3a244dc3d4f149ecdf7d748811086_71">#REF!</definedName>
    <definedName name="_vena_CashFlowS2_CashFlowB3_C_FV_e1c3a244dc3d4f149ecdf7d748811086_72">#REF!</definedName>
    <definedName name="_vena_CashFlowS2_CashFlowB3_C_FV_e1c3a244dc3d4f149ecdf7d748811086_73">#REF!</definedName>
    <definedName name="_vena_CashFlowS2_CashFlowB3_C_FV_e1c3a244dc3d4f149ecdf7d748811086_74">#REF!</definedName>
    <definedName name="_vena_CashFlowS2_CashFlowB3_C_FV_e1c3a244dc3d4f149ecdf7d748811086_75">#REF!</definedName>
    <definedName name="_vena_CashFlowS2_CashFlowB3_C_FV_e1c3a244dc3d4f149ecdf7d748811086_76">#REF!</definedName>
    <definedName name="_vena_CashFlowS2_CashFlowB3_C_FV_e1c3a244dc3d4f149ecdf7d748811086_77">#REF!</definedName>
    <definedName name="_vena_CashFlowS2_CashFlowB3_C_FV_e1c3a244dc3d4f149ecdf7d748811086_8">#REF!</definedName>
    <definedName name="_vena_CashFlowS2_CashFlowB3_C_FV_e1c3a244dc3d4f149ecdf7d748811086_9">#REF!</definedName>
    <definedName name="_vena_CashFlowS2_CashFlowB3_R_5_1075919563626119168">#REF!</definedName>
    <definedName name="_vena_CashFlowS2_CashFlowB3_R_5_1111520259854303232">#REF!</definedName>
    <definedName name="_vena_CashFlowS2_CashFlowB3_R_5_1111524173681000448">#REF!</definedName>
    <definedName name="_vena_CashFlowS2_CashFlowB3_R_5_1144090288895164416">#REF!</definedName>
    <definedName name="_vena_CashFlowS2_CashFlowB3_R_5_1186870856006238208">#REF!</definedName>
    <definedName name="_vena_CashFlowS2_CashFlowB3_R_5_1186870856203370497">#REF!</definedName>
    <definedName name="_vena_CashFlowS2_CashFlowB3_R_5_1186870856203370499">#REF!</definedName>
    <definedName name="_vena_CashFlowS2_CashFlowB3_R_5_1186870856207564801">#REF!</definedName>
    <definedName name="_vena_CashFlowS2_CashFlowB3_R_5_1186870856207564805">#REF!</definedName>
    <definedName name="_vena_CashFlowS2_CashFlowB3_R_5_1186870856207564807">#REF!</definedName>
    <definedName name="_vena_CashFlowS2_CashFlowB3_R_5_1235118656917078017">#REF!</definedName>
    <definedName name="_vena_CashFlowS2_CashFlowB3_R_5_1258303532941574144">#REF!</definedName>
    <definedName name="_vena_CashFlowS2_CashFlowB3_R_5_1312503216814161920">#REF!</definedName>
    <definedName name="_vena_CashFlowS2_CashFlowB3_R_5_1349162310434291712">#REF!</definedName>
    <definedName name="_vena_CashFlowS2_CashFlowB3_R_5_1349162459873017856">#REF!</definedName>
    <definedName name="_vena_CashFlowS2_CashFlowB3_R_5_1349164924127281152">#REF!</definedName>
    <definedName name="_vena_CashFlowS2_CashFlowB3_R_5_1349227871266275328">#REF!</definedName>
    <definedName name="_vena_CashFlowS2_CashFlowB3_R_5_1349228249705873408">#REF!</definedName>
    <definedName name="_vena_CashFlowS2_CashFlowB3_R_5_1349228312880742400">#REF!</definedName>
    <definedName name="_vena_CashFlowS2_CashFlowB3_R_5_1349228445015867392">#REF!</definedName>
    <definedName name="_vena_CashFlowS2_CashFlowB3_R_5_1349228476705669120">#REF!</definedName>
    <definedName name="_vena_CashFlowS2_CashFlowB3_R_5_1372108834994782487">#REF!</definedName>
    <definedName name="_vena_CashFlowS2_CashFlowB3_R_5_1372108961466417152">#REF!</definedName>
    <definedName name="_vena_CashFlowS2_CashFlowB3_R_5_1451293258702520320">#REF!</definedName>
    <definedName name="_vena_CashFlowS2_CashFlowB3_R_5_431662131277987840">#REF!</definedName>
    <definedName name="_vena_CashFlowS2_CashFlowB3_R_5_431662131290570752">#REF!</definedName>
    <definedName name="_vena_CashFlowS2_CashFlowB3_R_5_431662131294765057">#REF!</definedName>
    <definedName name="_vena_CashFlowS2_CashFlowB3_R_5_431662131298959361">#REF!</definedName>
    <definedName name="_vena_CashFlowS2_CashFlowB3_R_5_431662131303153665">#REF!</definedName>
    <definedName name="_vena_CashFlowS2_CashFlowB3_R_5_431662131311542273">#REF!</definedName>
    <definedName name="_vena_CashFlowS2_CashFlowB3_R_5_431662131315736577">#REF!</definedName>
    <definedName name="_vena_CashFlowS2_CashFlowB3_R_5_431662131324125185">#REF!</definedName>
    <definedName name="_vena_CashFlowS2_CashFlowB3_R_5_431662131328319489">#REF!</definedName>
    <definedName name="_vena_CashFlowS2_CashFlowB3_R_5_431662131332513793">#REF!</definedName>
    <definedName name="_vena_CashFlowS2_CashFlowB3_R_5_431662131336708097">#REF!</definedName>
    <definedName name="_vena_CashFlowS2_CashFlowB3_R_5_431662131340902401">#REF!</definedName>
    <definedName name="_vena_CashFlowS2_CashFlowB3_R_5_431662131345096705">#REF!</definedName>
    <definedName name="_vena_CashFlowS2_CashFlowB3_R_5_431662131353485313">#REF!</definedName>
    <definedName name="_vena_CashFlowS2_CashFlowB3_R_5_431662131361873921">#REF!</definedName>
    <definedName name="_vena_CashFlowS2_CashFlowB3_R_5_431662131378651136">#REF!</definedName>
    <definedName name="_vena_CashFlowS2_CashFlowB3_R_5_431662131387039744">#REF!</definedName>
    <definedName name="_vena_CashFlowS2_CashFlowB3_R_5_431662131391234049">#REF!</definedName>
    <definedName name="_vena_CashFlowS2_CashFlowB3_R_5_431662131395428353">#REF!</definedName>
    <definedName name="_vena_CashFlowS2_CashFlowB3_R_5_431662131399622657">#REF!</definedName>
    <definedName name="_vena_CashFlowS2_CashFlowB3_R_5_431662131408011265">#REF!</definedName>
    <definedName name="_vena_CashFlowS2_CashFlowB3_R_5_431662131412205569">#REF!</definedName>
    <definedName name="_vena_CashFlowS2_CashFlowB3_R_5_431662131420594177">#REF!</definedName>
    <definedName name="_vena_CashFlowS2_CashFlowB3_R_5_431662131424788481">#REF!</definedName>
    <definedName name="_vena_CashFlowS2_CashFlowB3_R_5_431662131433177088">#REF!</definedName>
    <definedName name="_vena_CashFlowS2_CashFlowB3_R_5_431662131437371393">#REF!</definedName>
    <definedName name="_vena_CashFlowS2_CashFlowB3_R_5_431662131441565697">#REF!</definedName>
    <definedName name="_vena_CashFlowS2_CashFlowB3_R_5_431662131445760001">#REF!</definedName>
    <definedName name="_vena_CashFlowS2_CashFlowB3_R_5_431662131449954305">#REF!</definedName>
    <definedName name="_vena_CashFlowS2_CashFlowB3_R_5_431662131458342913">#REF!</definedName>
    <definedName name="_vena_CashFlowS2_CashFlowB3_R_5_431662131462537217">#REF!</definedName>
    <definedName name="_vena_CashFlowS2_CashFlowB3_R_5_431662131466731521">#REF!</definedName>
    <definedName name="_vena_CashFlowS2_CashFlowB3_R_5_431662131475120129">#REF!</definedName>
    <definedName name="_vena_CashFlowS2_CashFlowB3_R_5_431662131479314433">#REF!</definedName>
    <definedName name="_vena_CashFlowS2_CashFlowB3_R_5_431662131483508737">#REF!</definedName>
    <definedName name="_vena_CashFlowS2_CashFlowB3_R_5_431662131487703041">#REF!</definedName>
    <definedName name="_vena_CashFlowS2_CashFlowB3_R_5_431662131496091649">#REF!</definedName>
    <definedName name="_vena_CashFlowS2_CashFlowB3_R_5_431662131500285953">#REF!</definedName>
    <definedName name="_vena_CashFlowS2_CashFlowB3_R_5_431662131504480257">#REF!</definedName>
    <definedName name="_vena_CashFlowS2_CashFlowB3_R_5_431662131508674561">#REF!</definedName>
    <definedName name="_vena_CashFlowS2_CashFlowB3_R_5_431662131512868865">#REF!</definedName>
    <definedName name="_vena_CashFlowS2_CashFlowB3_R_5_431662131517063169">#REF!</definedName>
    <definedName name="_vena_CashFlowS2_CashFlowB3_R_5_431662131529646081">#REF!</definedName>
    <definedName name="_vena_CashFlowS2_CashFlowB3_R_5_431662131546423296">#REF!</definedName>
    <definedName name="_vena_CashFlowS2_CashFlowB3_R_5_431662131550617601">#REF!</definedName>
    <definedName name="_vena_CashFlowS2_CashFlowB3_R_5_431662131554811905">#REF!</definedName>
    <definedName name="_vena_CashFlowS2_CashFlowB3_R_5_431662131559006209">#REF!</definedName>
    <definedName name="_vena_CashFlowS2_CashFlowB3_R_5_431662131567394816">#REF!</definedName>
    <definedName name="_vena_CashFlowS2_CashFlowB3_R_5_431662131571589121">#REF!</definedName>
    <definedName name="_vena_CashFlowS2_CashFlowB3_R_5_431662131575783425">#REF!</definedName>
    <definedName name="_vena_CashFlowS2_CashFlowB3_R_5_431662131579977729">#REF!</definedName>
    <definedName name="_vena_CashFlowS2_CashFlowB3_R_5_431662131588366337">#REF!</definedName>
    <definedName name="_vena_CashFlowS2_CashFlowB3_R_5_431662131592560641">#REF!</definedName>
    <definedName name="_vena_CashFlowS2_CashFlowB3_R_5_431662131596754945">#REF!</definedName>
    <definedName name="_vena_CashFlowS2_CashFlowB3_R_5_431662131600949249">#REF!</definedName>
    <definedName name="_vena_CashFlowS2_CashFlowB3_R_5_431662131609337857">#REF!</definedName>
    <definedName name="_vena_CashFlowS2_CashFlowB3_R_5_431662131613532161">#REF!</definedName>
    <definedName name="_vena_CashFlowS2_CashFlowB3_R_5_431662131621920769">#REF!</definedName>
    <definedName name="_vena_CashFlowS2_CashFlowB3_R_5_431662131626115073">#REF!</definedName>
    <definedName name="_vena_CashFlowS2_CashFlowB3_R_5_431662131630309377">#REF!</definedName>
    <definedName name="_vena_CashFlowS2_CashFlowB3_R_5_431662131638697985">#REF!</definedName>
    <definedName name="_vena_CashFlowS2_CashFlowB3_R_5_431662131642892289">#REF!</definedName>
    <definedName name="_vena_CashFlowS2_CashFlowB3_R_5_431662131647086593">#REF!</definedName>
    <definedName name="_vena_CashFlowS2_CashFlowB3_R_5_431662131655475200">#REF!</definedName>
    <definedName name="_vena_CashFlowS2_CashFlowB3_R_5_431662131659669505">#REF!</definedName>
    <definedName name="_vena_CashFlowS2_CashFlowB3_R_5_431662131663863809">#REF!</definedName>
    <definedName name="_vena_CashFlowS2_CashFlowB3_R_5_431662131668058116">#REF!</definedName>
    <definedName name="_vena_CashFlowS2_CashFlowB3_R_5_431662131676446721">#REF!</definedName>
    <definedName name="_vena_CashFlowS2_CashFlowB3_R_5_431662131680641025">#REF!</definedName>
    <definedName name="_vena_CashFlowS2_CashFlowB3_R_5_431662131689029634">#REF!</definedName>
    <definedName name="_vena_CashFlowS2_CashFlowB3_R_5_431662131693223939">#REF!</definedName>
    <definedName name="_vena_CashFlowS2_CashFlowB3_R_5_431662131697418241">#REF!</definedName>
    <definedName name="_vena_CashFlowS2_CashFlowB3_R_5_431662131701612545">#REF!</definedName>
    <definedName name="_vena_CashFlowS2_CashFlowB3_R_5_431662131710001152">#REF!</definedName>
    <definedName name="_vena_CashFlowS2_CashFlowB3_R_5_431662131714195457">#REF!</definedName>
    <definedName name="_vena_CashFlowS2_CashFlowB3_R_5_431662131718389761">#REF!</definedName>
    <definedName name="_vena_CashFlowS2_CashFlowB3_R_5_431662131722584065">#REF!</definedName>
    <definedName name="_vena_CashFlowS2_CashFlowB3_R_5_431662131726778369">#REF!</definedName>
    <definedName name="_vena_CashFlowS2_CashFlowB3_R_5_431662131730972673">#REF!</definedName>
    <definedName name="_vena_CashFlowS2_CashFlowB3_R_5_431662131735166977">#REF!</definedName>
    <definedName name="_vena_CashFlowS2_CashFlowB3_R_5_431662131743555585">#REF!</definedName>
    <definedName name="_vena_CashFlowS2_CashFlowB3_R_5_431662131747749889">#REF!</definedName>
    <definedName name="_vena_CashFlowS2_CashFlowB3_R_5_431662131751944193">#REF!</definedName>
    <definedName name="_vena_CashFlowS2_CashFlowB3_R_5_431662131756138497">#REF!</definedName>
    <definedName name="_vena_CashFlowS2_CashFlowB3_R_5_431662131760332801">#REF!</definedName>
    <definedName name="_vena_CashFlowS2_CashFlowB3_R_5_431662131764527105">#REF!</definedName>
    <definedName name="_vena_CashFlowS2_CashFlowB3_R_5_431662131768721409">#REF!</definedName>
    <definedName name="_vena_CashFlowS2_CashFlowB3_R_5_431662131777110017">#REF!</definedName>
    <definedName name="_vena_CashFlowS2_CashFlowB3_R_5_431662131781304321">#REF!</definedName>
    <definedName name="_vena_CashFlowS2_CashFlowB3_R_5_431662131785498625">#REF!</definedName>
    <definedName name="_vena_CashFlowS2_CashFlowB3_R_5_431662131789692929">#REF!</definedName>
    <definedName name="_vena_CashFlowS2_CashFlowB3_R_5_431662131793887233">#REF!</definedName>
    <definedName name="_vena_CashFlowS2_CashFlowB3_R_5_431662131802275840">#REF!</definedName>
    <definedName name="_vena_CashFlowS2_CashFlowB3_R_5_431662131810664449">#REF!</definedName>
    <definedName name="_vena_CashFlowS2_CashFlowB3_R_5_431662131823247360">#REF!</definedName>
    <definedName name="_vena_CashFlowS2_CashFlowB3_R_5_431662131831635968">#REF!</definedName>
    <definedName name="_vena_CashFlowS2_CashFlowB3_R_5_431662131835830273">#REF!</definedName>
    <definedName name="_vena_CashFlowS2_CashFlowB3_R_5_431662131840024577">#REF!</definedName>
    <definedName name="_vena_CashFlowS2_CashFlowB3_R_5_431662131848413185">#REF!</definedName>
    <definedName name="_vena_CashFlowS2_CashFlowB3_R_5_431662131852607489">#REF!</definedName>
    <definedName name="_vena_CashFlowS2_CashFlowB3_R_5_431662131856801793">#REF!</definedName>
    <definedName name="_vena_CashFlowS2_CashFlowB3_R_5_431662131860996097">#REF!</definedName>
    <definedName name="_vena_CashFlowS2_CashFlowB3_R_5_431662131865190401">#REF!</definedName>
    <definedName name="_vena_CashFlowS2_CashFlowB3_R_5_431662131869384705">#REF!</definedName>
    <definedName name="_vena_CashFlowS2_CashFlowB3_R_5_431662131877773313">#REF!</definedName>
    <definedName name="_vena_CashFlowS2_CashFlowB3_R_5_431662131881967617">#REF!</definedName>
    <definedName name="_vena_CashFlowS2_CashFlowB3_R_5_431662131886161921">#REF!</definedName>
    <definedName name="_vena_CashFlowS2_CashFlowB3_R_5_431662131890356226">#REF!</definedName>
    <definedName name="_vena_CashFlowS2_CashFlowB3_R_5_431662131898744835">#REF!</definedName>
    <definedName name="_vena_CashFlowS2_CashFlowB3_R_5_431662131915522048">#REF!</definedName>
    <definedName name="_vena_CashFlowS2_CashFlowB3_R_5_431662131919716368">#REF!</definedName>
    <definedName name="_vena_CashFlowS2_CashFlowB3_R_5_431662131928104961">#REF!</definedName>
    <definedName name="_vena_CashFlowS2_CashFlowB3_R_5_431662131932299265">#REF!</definedName>
    <definedName name="_vena_CashFlowS2_CashFlowB3_R_5_431662131978436608">#REF!</definedName>
    <definedName name="_vena_CashFlowS2_CashFlowB3_R_5_431662131995213824">#REF!</definedName>
    <definedName name="_vena_CashFlowS2_CashFlowB3_R_5_431662131999408129">#REF!</definedName>
    <definedName name="_vena_CashFlowS2_CashFlowB3_R_5_431662132007796737">#REF!</definedName>
    <definedName name="_vena_CashFlowS2_CashFlowB3_R_5_431662132011991041">#REF!</definedName>
    <definedName name="_vena_CashFlowS2_CashFlowB3_R_5_431662132016185345">#REF!</definedName>
    <definedName name="_vena_CashFlowS2_CashFlowB3_R_5_431662132020379649">#REF!</definedName>
    <definedName name="_vena_CashFlowS2_CashFlowB3_R_5_431662132037156865">#REF!</definedName>
    <definedName name="_vena_CashFlowS2_CashFlowB3_R_5_431662132041351169">#REF!</definedName>
    <definedName name="_vena_CashFlowS2_CashFlowB3_R_5_431662132049739777">#REF!</definedName>
    <definedName name="_vena_CashFlowS2_CashFlowB3_R_5_431662132053934081">#REF!</definedName>
    <definedName name="_vena_CashFlowS2_CashFlowB3_R_5_431662132058128385">#REF!</definedName>
    <definedName name="_vena_CashFlowS2_CashFlowB3_R_5_431662132066516992">#REF!</definedName>
    <definedName name="_vena_CashFlowS2_CashFlowB3_R_5_431662132070711297">#REF!</definedName>
    <definedName name="_vena_CashFlowS2_CashFlowB3_R_5_431662132074905601">#REF!</definedName>
    <definedName name="_vena_CashFlowS2_CashFlowB3_R_5_431662132079099905">#REF!</definedName>
    <definedName name="_vena_CashFlowS2_CashFlowB3_R_5_431662132087488513">#REF!</definedName>
    <definedName name="_vena_CashFlowS2_CashFlowB3_R_5_431662132091682817">#REF!</definedName>
    <definedName name="_vena_CashFlowS2_CashFlowB3_R_5_431662132095877121">#REF!</definedName>
    <definedName name="_vena_CashFlowS2_CashFlowB3_R_5_431662132104265728">#REF!</definedName>
    <definedName name="_vena_CashFlowS2_CashFlowB3_R_5_431662132108460033">#REF!</definedName>
    <definedName name="_vena_CashFlowS2_CashFlowB3_R_5_431662132112654337">#REF!</definedName>
    <definedName name="_vena_CashFlowS2_CashFlowB3_R_5_431662132121042945">#REF!</definedName>
    <definedName name="_vena_CashFlowS2_CashFlowB3_R_5_431662132125237249">#REF!</definedName>
    <definedName name="_vena_CashFlowS2_CashFlowB3_R_5_431662132133625857">#REF!</definedName>
    <definedName name="_vena_CashFlowS2_CashFlowB3_R_5_431662132137820161">#REF!</definedName>
    <definedName name="_vena_CashFlowS2_CashFlowB3_R_5_431662132142014465">#REF!</definedName>
    <definedName name="_vena_CashFlowS2_CashFlowB3_R_5_431662132150403073">#REF!</definedName>
    <definedName name="_vena_CashFlowS2_CashFlowB3_R_5_431662132154597377">#REF!</definedName>
    <definedName name="_vena_CashFlowS2_CashFlowB3_R_5_431662132158791681">#REF!</definedName>
    <definedName name="_vena_CashFlowS2_CashFlowB3_R_5_431662132175568897">#REF!</definedName>
    <definedName name="_vena_CashFlowS2_CashFlowB3_R_5_431662132188151809">#REF!</definedName>
    <definedName name="_vena_CashFlowS2_CashFlowB3_R_5_431662132192346113">#REF!</definedName>
    <definedName name="_vena_CashFlowS2_CashFlowB3_R_5_431662132200734721">#REF!</definedName>
    <definedName name="_vena_CashFlowS2_CashFlowB3_R_5_431662132204929025">#REF!</definedName>
    <definedName name="_vena_CashFlowS2_CashFlowB3_R_5_431662132209123329">#REF!</definedName>
    <definedName name="_vena_CashFlowS2_CashFlowB3_R_5_431662132217511937">#REF!</definedName>
    <definedName name="_vena_CashFlowS2_CashFlowB3_R_5_431662132221706241">#REF!</definedName>
    <definedName name="_vena_CashFlowS2_CashFlowB3_R_5_431662132225900545">#REF!</definedName>
    <definedName name="_vena_CashFlowS2_CashFlowB3_R_5_431662132234289153">#REF!</definedName>
    <definedName name="_vena_CashFlowS2_CashFlowB3_R_5_431662132242677761">#REF!</definedName>
    <definedName name="_vena_CashFlowS2_CashFlowB3_R_5_431662132259454976">#REF!</definedName>
    <definedName name="_vena_CashFlowS2_CashFlowB3_R_5_431662132267843585">#REF!</definedName>
    <definedName name="_vena_CashFlowS2_CashFlowB3_R_5_431662132272037889">#REF!</definedName>
    <definedName name="_vena_CashFlowS2_CashFlowB3_R_5_431662132276232193">#REF!</definedName>
    <definedName name="_vena_CashFlowS2_CashFlowB3_R_5_431662132284620801">#REF!</definedName>
    <definedName name="_vena_CashFlowS2_CashFlowB3_R_5_431662132288815105">#REF!</definedName>
    <definedName name="_vena_CashFlowS2_CashFlowB3_R_5_431662132297203713">#REF!</definedName>
    <definedName name="_vena_CashFlowS2_CashFlowB3_R_5_431662132301398017">#REF!</definedName>
    <definedName name="_vena_CashFlowS2_CashFlowB3_R_5_431662132305592321">#REF!</definedName>
    <definedName name="_vena_CashFlowS2_CashFlowB3_R_5_431662132309786625">#REF!</definedName>
    <definedName name="_vena_CashFlowS2_CashFlowB3_R_5_431662132318175233">#REF!</definedName>
    <definedName name="_vena_CashFlowS2_CashFlowB3_R_5_431662132322369537">#REF!</definedName>
    <definedName name="_vena_CashFlowS2_CashFlowB3_R_5_431662132326563841">#REF!</definedName>
    <definedName name="_vena_CashFlowS2_CashFlowB3_R_5_431662132334952449">#REF!</definedName>
    <definedName name="_vena_CashFlowS2_CashFlowB3_R_5_431662132339146753">#REF!</definedName>
    <definedName name="_vena_CashFlowS2_CashFlowB3_R_5_431662132347535361">#REF!</definedName>
    <definedName name="_vena_CashFlowS2_CashFlowB3_R_5_431662132351729665">#REF!</definedName>
    <definedName name="_vena_CashFlowS2_CashFlowB3_R_5_431662132355923969">#REF!</definedName>
    <definedName name="_vena_CashFlowS2_CashFlowB3_R_5_431662132364312576">#REF!</definedName>
    <definedName name="_vena_CashFlowS2_CashFlowB3_R_5_431662132368506881">#REF!</definedName>
    <definedName name="_vena_CashFlowS2_CashFlowB3_R_5_431662132372701185">#REF!</definedName>
    <definedName name="_vena_CashFlowS2_CashFlowB3_R_5_431662132376895489">#REF!</definedName>
    <definedName name="_vena_CashFlowS2_CashFlowB3_R_5_431662132385284097">#REF!</definedName>
    <definedName name="_vena_CashFlowS2_CashFlowB3_R_5_431662132389478401">#REF!</definedName>
    <definedName name="_vena_CashFlowS2_CashFlowB3_R_5_431662132393672705">#REF!</definedName>
    <definedName name="_vena_CashFlowS2_CashFlowB3_R_5_431662132397867009">#REF!</definedName>
    <definedName name="_vena_CashFlowS2_CashFlowB3_R_5_431662132406255617">#REF!</definedName>
    <definedName name="_vena_CashFlowS2_CashFlowB3_R_5_431662132410449921">#REF!</definedName>
    <definedName name="_vena_CashFlowS2_CashFlowB3_R_5_431662132414644225">#REF!</definedName>
    <definedName name="_vena_CashFlowS2_CashFlowB3_R_5_431662132423032833">#REF!</definedName>
    <definedName name="_vena_CashFlowS2_CashFlowB3_R_5_431662132427227137">#REF!</definedName>
    <definedName name="_vena_CashFlowS2_CashFlowB3_R_5_431662132431421441">#REF!</definedName>
    <definedName name="_vena_CashFlowS2_CashFlowB3_R_5_431662132435615745">#REF!</definedName>
    <definedName name="_vena_CashFlowS2_CashFlowB3_R_5_431662132444004353">#REF!</definedName>
    <definedName name="_vena_CashFlowS2_CashFlowB3_R_5_431662132448198657">#REF!</definedName>
    <definedName name="_vena_CashFlowS2_CashFlowB3_R_5_431662132452392961">#REF!</definedName>
    <definedName name="_vena_CashFlowS2_CashFlowB3_R_5_431662132460781568">#REF!</definedName>
    <definedName name="_vena_CashFlowS2_CashFlowB3_R_5_431662132464975873">#REF!</definedName>
    <definedName name="_vena_CashFlowS2_CashFlowB3_R_5_431662132469170177">#REF!</definedName>
    <definedName name="_vena_CashFlowS2_CashFlowB3_R_5_431662132477558784">#REF!</definedName>
    <definedName name="_vena_CashFlowS2_CashFlowB3_R_5_431662132481753089">#REF!</definedName>
    <definedName name="_vena_CashFlowS2_CashFlowB3_R_5_431662132485947393">#REF!</definedName>
    <definedName name="_vena_CashFlowS2_CashFlowB3_R_5_431662132494336001">#REF!</definedName>
    <definedName name="_vena_CashFlowS2_CashFlowB3_R_5_431662132498530305">#REF!</definedName>
    <definedName name="_vena_CashFlowS2_CashFlowB3_R_5_431662132502724609">#REF!</definedName>
    <definedName name="_vena_CashFlowS2_CashFlowB3_R_5_431662132506918913">#REF!</definedName>
    <definedName name="_vena_CashFlowS2_CashFlowB3_R_5_431662132511113217">#REF!</definedName>
    <definedName name="_vena_CashFlowS2_CashFlowB3_R_5_431662132515307521">#REF!</definedName>
    <definedName name="_vena_CashFlowS2_CashFlowB3_R_5_431662132527890433">#REF!</definedName>
    <definedName name="_vena_CashFlowS2_CashFlowB3_R_5_431662132544667648">#REF!</definedName>
    <definedName name="_vena_CashFlowS2_CashFlowB3_R_5_431662132548861953">#REF!</definedName>
    <definedName name="_vena_CashFlowS2_CashFlowB3_R_5_431662132553056257">#REF!</definedName>
    <definedName name="_vena_CashFlowS2_CashFlowB3_R_5_431662132557250561">#REF!</definedName>
    <definedName name="_vena_CashFlowS2_CashFlowB3_R_5_431662132561444865">#REF!</definedName>
    <definedName name="_vena_CashFlowS2_CashFlowB3_R_5_431662132565639169">#REF!</definedName>
    <definedName name="_vena_CashFlowS2_CashFlowB3_R_5_431662132574027777">#REF!</definedName>
    <definedName name="_vena_CashFlowS2_CashFlowB3_R_5_431662132578222081">#REF!</definedName>
    <definedName name="_vena_CashFlowS2_CashFlowB3_R_5_431662132582416385">#REF!</definedName>
    <definedName name="_vena_CashFlowS2_CashFlowB3_R_5_431662132590804992">#REF!</definedName>
    <definedName name="_vena_CashFlowS2_CashFlowB3_R_5_431662132594999297">#REF!</definedName>
    <definedName name="_vena_CashFlowS2_CashFlowB3_R_5_431662132599193601">#REF!</definedName>
    <definedName name="_vena_CashFlowS2_CashFlowB3_R_5_431662132603387905">#REF!</definedName>
    <definedName name="_vena_CashFlowS2_CashFlowB3_R_5_431662132607582211">#REF!</definedName>
    <definedName name="_vena_CashFlowS2_CashFlowB3_R_5_431662132615970817">#REF!</definedName>
    <definedName name="_vena_CashFlowS2_CashFlowB3_R_5_431662132620165121">#REF!</definedName>
    <definedName name="_vena_CashFlowS2_CashFlowB3_R_5_431662132624359425">#REF!</definedName>
    <definedName name="_vena_CashFlowS2_CashFlowB3_R_5_431662132628553729">#REF!</definedName>
    <definedName name="_vena_CashFlowS2_CashFlowB3_R_5_431662132632748035">#REF!</definedName>
    <definedName name="_vena_CashFlowS2_CashFlowB3_R_5_431662132641136641">#REF!</definedName>
    <definedName name="_vena_CashFlowS2_CashFlowB3_R_5_431662132645330945">#REF!</definedName>
    <definedName name="_vena_CashFlowS2_CashFlowB3_R_5_431662132649525249">#REF!</definedName>
    <definedName name="_vena_CashFlowS2_CashFlowB3_R_5_431662132653719553">#REF!</definedName>
    <definedName name="_vena_CashFlowS2_CashFlowB3_R_5_431662132657913857">#REF!</definedName>
    <definedName name="_vena_CashFlowS2_CashFlowB3_R_5_431662132662108163">#REF!</definedName>
    <definedName name="_vena_CashFlowS2_CashFlowB3_R_5_431662132666302467">#REF!</definedName>
    <definedName name="_vena_CashFlowS2_CashFlowB3_R_5_431662132674691073">#REF!</definedName>
    <definedName name="_vena_CashFlowS2_CashFlowB3_R_5_431662132678885377">#REF!</definedName>
    <definedName name="_vena_CashFlowS2_CashFlowB3_R_5_431662132683079681">#REF!</definedName>
    <definedName name="_vena_CashFlowS2_CashFlowB3_R_5_431662132687273985">#REF!</definedName>
    <definedName name="_vena_CashFlowS2_CashFlowB3_R_5_431662132691468289">#REF!</definedName>
    <definedName name="_vena_CashFlowS2_CashFlowB3_R_5_431662132695662593">#REF!</definedName>
    <definedName name="_vena_CashFlowS2_CashFlowB3_R_5_431662132708245505">#REF!</definedName>
    <definedName name="_vena_CashFlowS2_CashFlowB3_R_5_431662132720828416">#REF!</definedName>
    <definedName name="_vena_CashFlowS2_CashFlowB3_R_5_431662132725022721">#REF!</definedName>
    <definedName name="_vena_CashFlowS2_CashFlowB3_R_5_431662132729217025">#REF!</definedName>
    <definedName name="_vena_CashFlowS2_CashFlowB3_R_5_431662132737605633">#REF!</definedName>
    <definedName name="_vena_CashFlowS2_CashFlowB3_R_5_431662132741799937">#REF!</definedName>
    <definedName name="_vena_CashFlowS2_CashFlowB3_R_5_431662132745994241">#REF!</definedName>
    <definedName name="_vena_CashFlowS2_CashFlowB3_R_5_431662132754382849">#REF!</definedName>
    <definedName name="_vena_CashFlowS2_CashFlowB3_R_5_431662132758577153">#REF!</definedName>
    <definedName name="_vena_CashFlowS2_CashFlowB3_R_5_431662132762771457">#REF!</definedName>
    <definedName name="_vena_CashFlowS2_CashFlowB3_R_5_431662132766965761">#REF!</definedName>
    <definedName name="_vena_CashFlowS2_CashFlowB3_R_5_431662132771160065">#REF!</definedName>
    <definedName name="_vena_CashFlowS2_CashFlowB3_R_5_431662132775354369">#REF!</definedName>
    <definedName name="_vena_CashFlowS2_CashFlowB3_R_5_431662132783742977">#REF!</definedName>
    <definedName name="_vena_CashFlowS2_CashFlowB3_R_5_431662132787937281">#REF!</definedName>
    <definedName name="_vena_CashFlowS2_CashFlowB3_R_5_431662132792131585">#REF!</definedName>
    <definedName name="_vena_CashFlowS2_CashFlowB3_R_5_431662132796325889">#REF!</definedName>
    <definedName name="_vena_CashFlowS2_CashFlowB3_R_5_431662132800520193">#REF!</definedName>
    <definedName name="_vena_CashFlowS2_CashFlowB3_R_5_431662132804714497">#REF!</definedName>
    <definedName name="_vena_CashFlowS2_CashFlowB3_R_5_431662132813103104">#REF!</definedName>
    <definedName name="_vena_CashFlowS2_CashFlowB3_R_5_431662132817297409">#REF!</definedName>
    <definedName name="_vena_CashFlowS2_CashFlowB3_R_5_431662132821491713">#REF!</definedName>
    <definedName name="_vena_CashFlowS2_CashFlowB3_R_5_431662132825686017">#REF!</definedName>
    <definedName name="_vena_CashFlowS2_CashFlowB3_R_5_431662132829880321">#REF!</definedName>
    <definedName name="_vena_CashFlowS2_CashFlowB3_R_5_431662132834074625">#REF!</definedName>
    <definedName name="_vena_CashFlowS2_CashFlowB3_R_5_431662132838268929">#REF!</definedName>
    <definedName name="_vena_CashFlowS2_CashFlowB3_R_5_431662132846657537">#REF!</definedName>
    <definedName name="_vena_CashFlowS2_CashFlowB3_R_5_431662132850851841">#REF!</definedName>
    <definedName name="_vena_CashFlowS2_CashFlowB3_R_5_431662132855046145">#REF!</definedName>
    <definedName name="_vena_CashFlowS2_CashFlowB3_R_5_431662132859240449">#REF!</definedName>
    <definedName name="_vena_CashFlowS2_CashFlowB3_R_5_431662132863434753">#REF!</definedName>
    <definedName name="_vena_CashFlowS2_CashFlowB3_R_5_431662132871823361">#REF!</definedName>
    <definedName name="_vena_CashFlowS2_CashFlowB3_R_5_431662132876017665">#REF!</definedName>
    <definedName name="_vena_CashFlowS2_CashFlowB3_R_5_431662132880211969">#REF!</definedName>
    <definedName name="_vena_CashFlowS2_CashFlowB3_R_5_431662132884406273">#REF!</definedName>
    <definedName name="_vena_CashFlowS2_CashFlowB3_R_5_431662132888600577">#REF!</definedName>
    <definedName name="_vena_CashFlowS2_CashFlowB3_R_5_431662132892794881">#REF!</definedName>
    <definedName name="_vena_CashFlowS2_CashFlowB3_R_5_431662132901183489">#REF!</definedName>
    <definedName name="_vena_CashFlowS2_CashFlowB3_R_5_431662132905377793">#REF!</definedName>
    <definedName name="_vena_CashFlowS2_CashFlowB3_R_5_431662132909572097">#REF!</definedName>
    <definedName name="_vena_CashFlowS2_CashFlowB3_R_5_431662132913766401">#REF!</definedName>
    <definedName name="_vena_CashFlowS2_CashFlowB3_R_5_431662132922155008">#REF!</definedName>
    <definedName name="_vena_CashFlowS2_CashFlowB3_R_5_431662132926349313">#REF!</definedName>
    <definedName name="_vena_CashFlowS2_CashFlowB3_R_5_431662132930543617">#REF!</definedName>
    <definedName name="_vena_CashFlowS2_CashFlowB3_R_5_431662132934737921">#REF!</definedName>
    <definedName name="_vena_CashFlowS2_CashFlowB3_R_5_431662132938932225">#REF!</definedName>
    <definedName name="_vena_CashFlowS2_CashFlowB3_R_5_431662132947320833">#REF!</definedName>
    <definedName name="_vena_CashFlowS2_CashFlowB3_R_5_431662132951515137">#REF!</definedName>
    <definedName name="_vena_CashFlowS2_CashFlowB3_R_5_431662132955709441">#REF!</definedName>
    <definedName name="_vena_CashFlowS2_CashFlowB3_R_5_431662132959903745">#REF!</definedName>
    <definedName name="_vena_CashFlowS2_CashFlowB3_R_5_431662132968292353">#REF!</definedName>
    <definedName name="_vena_CashFlowS2_CashFlowB3_R_5_431662132976680961">#REF!</definedName>
    <definedName name="_vena_CashFlowS2_CashFlowB3_R_5_431662132985069569">#REF!</definedName>
    <definedName name="_vena_CashFlowS2_CashFlowB3_R_5_431662133001846784">#REF!</definedName>
    <definedName name="_vena_CashFlowS2_CashFlowB3_R_5_431662133006041089">#REF!</definedName>
    <definedName name="_vena_CashFlowS2_CashFlowB3_R_5_431662133014429697">#REF!</definedName>
    <definedName name="_vena_CashFlowS2_CashFlowB3_R_5_431662133018624001">#REF!</definedName>
    <definedName name="_vena_CashFlowS2_CashFlowB3_R_5_431662133022818305">#REF!</definedName>
    <definedName name="_vena_CashFlowS2_CashFlowB3_R_5_431662133031206913">#REF!</definedName>
    <definedName name="_vena_CashFlowS2_CashFlowB3_R_5_431662133035401217">#REF!</definedName>
    <definedName name="_vena_CashFlowS2_CashFlowB3_R_5_431662133039595521">#REF!</definedName>
    <definedName name="_vena_CashFlowS2_CashFlowB3_R_5_431662133043789825">#REF!</definedName>
    <definedName name="_vena_CashFlowS2_CashFlowB3_R_5_431662133047984129">#REF!</definedName>
    <definedName name="_vena_CashFlowS2_CashFlowB3_R_5_431662133052178433">#REF!</definedName>
    <definedName name="_vena_CashFlowS2_CashFlowB3_R_5_431662133056372737">#REF!</definedName>
    <definedName name="_vena_CashFlowS2_CashFlowB3_R_5_431662133064761344">#REF!</definedName>
    <definedName name="_vena_CashFlowS2_CashFlowB3_R_5_431662133068955649">#REF!</definedName>
    <definedName name="_vena_CashFlowS2_CashFlowB3_R_5_431662133073149953">#REF!</definedName>
    <definedName name="_vena_CashFlowS2_CashFlowB3_R_5_431662133077344257">#REF!</definedName>
    <definedName name="_vena_CashFlowS2_CashFlowB3_R_5_431662133081538561">#REF!</definedName>
    <definedName name="_vena_CashFlowS2_CashFlowB3_R_5_431662133085732865">#REF!</definedName>
    <definedName name="_vena_CashFlowS2_CashFlowB3_R_5_431662133089927169">#REF!</definedName>
    <definedName name="_vena_CashFlowS2_CashFlowB3_R_5_431662133098315777">#REF!</definedName>
    <definedName name="_vena_CashFlowS2_CashFlowB3_R_5_431662133102510081">#REF!</definedName>
    <definedName name="_vena_CashFlowS2_CashFlowB3_R_5_431662133106704385">#REF!</definedName>
    <definedName name="_vena_CashFlowS2_CashFlowB3_R_5_431662133110898689">#REF!</definedName>
    <definedName name="_vena_CashFlowS2_CashFlowB3_R_5_431662133115092993">#REF!</definedName>
    <definedName name="_vena_CashFlowS2_CashFlowB3_R_5_431662133119287297">#REF!</definedName>
    <definedName name="_vena_CashFlowS2_CashFlowB3_R_5_431662133123481601">#REF!</definedName>
    <definedName name="_vena_CashFlowS2_CashFlowB3_R_5_431662133131870208">#REF!</definedName>
    <definedName name="_vena_CashFlowS2_CashFlowB3_R_5_431662133136064513">#REF!</definedName>
    <definedName name="_vena_CashFlowS2_CashFlowB3_R_5_431662133140258817">#REF!</definedName>
    <definedName name="_vena_CashFlowS2_CashFlowB3_R_5_431662133144453121">#REF!</definedName>
    <definedName name="_vena_CashFlowS2_CashFlowB3_R_5_431662133148647425">#REF!</definedName>
    <definedName name="_vena_CashFlowS2_CashFlowB3_R_5_431662133152841729">#REF!</definedName>
    <definedName name="_vena_CashFlowS2_CashFlowB3_R_5_431662133157036033">#REF!</definedName>
    <definedName name="_vena_CashFlowS2_CashFlowB3_R_5_431662133165424641">#REF!</definedName>
    <definedName name="_vena_CashFlowS2_CashFlowB3_R_5_431662133169618945">#REF!</definedName>
    <definedName name="_vena_CashFlowS2_CashFlowB3_R_5_431662133173813249">#REF!</definedName>
    <definedName name="_vena_CashFlowS2_CashFlowB3_R_5_431662133178007553">#REF!</definedName>
    <definedName name="_vena_CashFlowS2_CashFlowB3_R_5_431662133182201857">#REF!</definedName>
    <definedName name="_vena_CashFlowS2_CashFlowB3_R_5_431662133186396161">#REF!</definedName>
    <definedName name="_vena_CashFlowS2_CashFlowB3_R_5_431662133194784769">#REF!</definedName>
    <definedName name="_vena_CashFlowS2_CashFlowB3_R_5_431662133198979073">#REF!</definedName>
    <definedName name="_vena_CashFlowS2_CashFlowB3_R_5_431662133203173377">#REF!</definedName>
    <definedName name="_vena_CashFlowS2_CashFlowB3_R_5_431662133207367681">#REF!</definedName>
    <definedName name="_vena_CashFlowS2_CashFlowB3_R_5_431662133211561985">#REF!</definedName>
    <definedName name="_vena_CashFlowS2_CashFlowB3_R_5_431662133219950592">#REF!</definedName>
    <definedName name="_vena_CashFlowS2_CashFlowB3_R_5_431662133224144897">#REF!</definedName>
    <definedName name="_vena_CashFlowS2_CashFlowB3_R_5_431662133228339201">#REF!</definedName>
    <definedName name="_vena_CashFlowS2_CashFlowB3_R_5_431662133232533505">#REF!</definedName>
    <definedName name="_vena_CashFlowS2_CashFlowB3_R_5_431662133236727809">#REF!</definedName>
    <definedName name="_vena_CashFlowS2_CashFlowB3_R_5_431662133240922113">#REF!</definedName>
    <definedName name="_vena_CashFlowS2_CashFlowB3_R_5_431662133245116417">#REF!</definedName>
    <definedName name="_vena_CashFlowS2_CashFlowB3_R_5_431662133249310721">#REF!</definedName>
    <definedName name="_vena_CashFlowS2_CashFlowB3_R_5_431662133257699328">#REF!</definedName>
    <definedName name="_vena_CashFlowS2_CashFlowB3_R_5_431662133261893633">#REF!</definedName>
    <definedName name="_vena_CashFlowS2_CashFlowB3_R_5_431662133266087937">#REF!</definedName>
    <definedName name="_vena_CashFlowS2_CashFlowB3_R_5_431662133270282241">#REF!</definedName>
    <definedName name="_vena_CashFlowS2_CashFlowB3_R_5_431662133274476545">#REF!</definedName>
    <definedName name="_vena_CashFlowS2_CashFlowB3_R_5_431662133282865153">#REF!</definedName>
    <definedName name="_vena_CashFlowS2_CashFlowB3_R_5_431662133291253761">#REF!</definedName>
    <definedName name="_vena_CashFlowS2_CashFlowB3_R_5_431662133299642369">#REF!</definedName>
    <definedName name="_vena_CashFlowS2_CashFlowB3_R_5_431662133308030977">#REF!</definedName>
    <definedName name="_vena_CashFlowS2_CashFlowB3_R_5_431662133312225281">#REF!</definedName>
    <definedName name="_vena_CashFlowS2_CashFlowB3_R_5_431662133316419585">#REF!</definedName>
    <definedName name="_vena_CashFlowS2_CashFlowB3_R_5_431662133320613889">#REF!</definedName>
    <definedName name="_vena_CashFlowS2_CashFlowB3_R_5_431662133329002497">#REF!</definedName>
    <definedName name="_vena_CashFlowS2_CashFlowB3_R_5_431662133333196801">#REF!</definedName>
    <definedName name="_vena_CashFlowS2_CashFlowB3_R_5_431662133337391105">#REF!</definedName>
    <definedName name="_vena_CashFlowS2_CashFlowB3_R_5_431662133341585409">#REF!</definedName>
    <definedName name="_vena_CashFlowS2_CashFlowB3_R_5_431662133345779713">#REF!</definedName>
    <definedName name="_vena_CashFlowS2_CashFlowB3_R_5_431662133349974017">#REF!</definedName>
    <definedName name="_vena_CashFlowS2_CashFlowB3_R_5_431662133358362624">#REF!</definedName>
    <definedName name="_vena_CashFlowS2_CashFlowB3_R_5_431662133362556929">#REF!</definedName>
    <definedName name="_vena_CashFlowS2_CashFlowB3_R_5_431662133366751233">#REF!</definedName>
    <definedName name="_vena_CashFlowS2_CashFlowB3_R_5_431662133370945537">#REF!</definedName>
    <definedName name="_vena_CashFlowS2_CashFlowB3_R_5_431662133375139841">#REF!</definedName>
    <definedName name="_vena_CashFlowS2_CashFlowB3_R_5_431662133383528449">#REF!</definedName>
    <definedName name="_vena_CashFlowS2_CashFlowB3_R_5_431662133387722753">#REF!</definedName>
    <definedName name="_vena_CashFlowS2_CashFlowB3_R_5_431662133391917057">#REF!</definedName>
    <definedName name="_vena_CashFlowS2_CashFlowB3_R_5_431662133396111361">#REF!</definedName>
    <definedName name="_vena_CashFlowS2_CashFlowB3_R_5_431662133400305665">#REF!</definedName>
    <definedName name="_vena_CashFlowS2_CashFlowB3_R_5_431662133404499969">#REF!</definedName>
    <definedName name="_vena_CashFlowS2_CashFlowB3_R_5_431662133408694273">#REF!</definedName>
    <definedName name="_vena_CashFlowS2_CashFlowB3_R_5_431662133417082881">#REF!</definedName>
    <definedName name="_vena_CashFlowS2_CashFlowB3_R_5_431662133421277185">#REF!</definedName>
    <definedName name="_vena_CashFlowS2_CashFlowB3_R_5_431662133425471489">#REF!</definedName>
    <definedName name="_vena_CashFlowS2_CashFlowB3_R_5_431662133429665793">#REF!</definedName>
    <definedName name="_vena_CashFlowS2_CashFlowB3_R_5_431662133433860097">#REF!</definedName>
    <definedName name="_vena_CashFlowS2_CashFlowB3_R_5_431662133438054401">#REF!</definedName>
    <definedName name="_vena_CashFlowS2_CashFlowB3_R_5_431662133442248705">#REF!</definedName>
    <definedName name="_vena_CashFlowS2_CashFlowB3_R_5_431662133450637313">#REF!</definedName>
    <definedName name="_vena_CashFlowS2_CashFlowB3_R_5_431662133454831617">#REF!</definedName>
    <definedName name="_vena_CashFlowS2_CashFlowB3_R_5_431662133459025921">#REF!</definedName>
    <definedName name="_vena_CashFlowS2_CashFlowB3_R_5_431662133463220225">#REF!</definedName>
    <definedName name="_vena_CashFlowS2_CashFlowB3_R_5_431662133467414529">#REF!</definedName>
    <definedName name="_vena_CashFlowS2_CashFlowB3_R_5_431662133479997441">#REF!</definedName>
    <definedName name="_vena_CashFlowS2_CashFlowB3_R_5_431662133484191745">#REF!</definedName>
    <definedName name="_vena_CashFlowS2_CashFlowB3_R_5_431662133488386049">#REF!</definedName>
    <definedName name="_vena_CashFlowS2_CashFlowB3_R_5_431662133492580353">#REF!</definedName>
    <definedName name="_vena_CashFlowS2_CashFlowB3_R_5_431662133500968961">#REF!</definedName>
    <definedName name="_vena_CashFlowS2_CashFlowB3_R_5_431662133505163265">#REF!</definedName>
    <definedName name="_vena_CashFlowS2_CashFlowB3_R_5_431662133509357569">#REF!</definedName>
    <definedName name="_vena_CashFlowS2_CashFlowB3_R_5_431662133513551873">#REF!</definedName>
    <definedName name="_vena_CashFlowS2_CashFlowB3_R_5_431662133517746177">#REF!</definedName>
    <definedName name="_vena_CashFlowS2_CashFlowB3_R_5_431662133521940481">#REF!</definedName>
    <definedName name="_vena_CashFlowS2_CashFlowB3_R_5_431662133530329089">#REF!</definedName>
    <definedName name="_vena_CashFlowS2_CashFlowB3_R_5_431662133534523393">#REF!</definedName>
    <definedName name="_vena_CashFlowS2_CashFlowB3_R_5_431662133538717697">#REF!</definedName>
    <definedName name="_vena_CashFlowS2_CashFlowB3_R_5_431662133547106305">#REF!</definedName>
    <definedName name="_vena_CashFlowS2_CashFlowB3_R_5_431662133551300609">#REF!</definedName>
    <definedName name="_vena_CashFlowS2_CashFlowB3_R_5_431662133555494913">#REF!</definedName>
    <definedName name="_vena_CashFlowS2_CashFlowB3_R_5_431662133559689217">#REF!</definedName>
    <definedName name="_vena_CashFlowS2_CashFlowB3_R_5_431662133568077825">#REF!</definedName>
    <definedName name="_vena_CashFlowS2_CashFlowB3_R_5_431662133572272129">#REF!</definedName>
    <definedName name="_vena_CashFlowS2_CashFlowB3_R_5_431662133580660736">#REF!</definedName>
    <definedName name="_vena_CashFlowS2_CashFlowB3_R_5_431662133584855041">#REF!</definedName>
    <definedName name="_vena_CashFlowS2_CashFlowB3_R_5_431662133589049345">#REF!</definedName>
    <definedName name="_vena_CashFlowS2_CashFlowB3_R_5_431662133593243649">#REF!</definedName>
    <definedName name="_vena_CashFlowS2_CashFlowB3_R_5_431662133605826561">#REF!</definedName>
    <definedName name="_vena_CashFlowS2_CashFlowB3_R_5_431662133622603776">#REF!</definedName>
    <definedName name="_vena_CashFlowS2_CashFlowB3_R_5_431662133626798081">#REF!</definedName>
    <definedName name="_vena_CashFlowS2_CashFlowB3_R_5_431662133635186689">#REF!</definedName>
    <definedName name="_vena_CashFlowS2_CashFlowB3_R_5_431662133643575297">#REF!</definedName>
    <definedName name="_vena_CashFlowS2_CashFlowB3_R_5_431662133647769601">#REF!</definedName>
    <definedName name="_vena_CashFlowS2_CashFlowB3_R_5_431662133651963905">#REF!</definedName>
    <definedName name="_vena_CashFlowS2_CashFlowB3_R_5_431662133656158209">#REF!</definedName>
    <definedName name="_vena_CashFlowS2_CashFlowB3_R_5_431662133660352513">#REF!</definedName>
    <definedName name="_vena_CashFlowS2_CashFlowB3_R_5_431662133664546817">#REF!</definedName>
    <definedName name="_vena_CashFlowS2_CashFlowB3_R_5_431662133677129729">#REF!</definedName>
    <definedName name="_vena_CashFlowS2_CashFlowB3_R_5_431662133693906944">#REF!</definedName>
    <definedName name="_vena_CashFlowS2_CashFlowB3_R_5_431662133698101249">#REF!</definedName>
    <definedName name="_vena_CashFlowS2_CashFlowB3_R_5_431662133706489857">#REF!</definedName>
    <definedName name="_vena_CashFlowS2_CashFlowB3_R_5_431662133710684161">#REF!</definedName>
    <definedName name="_vena_CashFlowS2_CashFlowB3_R_5_431662133714878465">#REF!</definedName>
    <definedName name="_vena_CashFlowS2_CashFlowB3_R_5_431662133723267073">#REF!</definedName>
    <definedName name="_vena_CashFlowS2_CashFlowB3_R_5_431662133727461377">#REF!</definedName>
    <definedName name="_vena_CashFlowS2_CashFlowB3_R_5_431662133731655681">#REF!</definedName>
    <definedName name="_vena_CashFlowS2_CashFlowB3_R_5_431662133735849985">#REF!</definedName>
    <definedName name="_vena_CashFlowS2_CashFlowB3_R_5_431662133740044289">#REF!</definedName>
    <definedName name="_vena_CashFlowS2_CashFlowB3_R_5_463496996411277312">#REF!</definedName>
    <definedName name="_vena_CashFlowS2_CashFlowB3_R_5_463655972880908288">#REF!</definedName>
    <definedName name="_vena_CashFlowS2_CashFlowB3_R_5_463656270143684608">#REF!</definedName>
    <definedName name="_vena_CashFlowS2_CashFlowB3_R_5_464657397114470400">#REF!</definedName>
    <definedName name="_vena_CashFlowS2_CashFlowB3_R_5_464751028991033344">#REF!</definedName>
    <definedName name="_vena_CashFlowS2_CashFlowB3_R_5_464751063678189568">#REF!</definedName>
    <definedName name="_vena_CashFlowS2_CashFlowB3_R_5_465834827804835840">#REF!</definedName>
    <definedName name="_vena_CashFlowS2_CashFlowB3_R_5_465834870527885312">#REF!</definedName>
    <definedName name="_vena_CashFlowS2_CashFlowB3_R_5_480282866560532480">#REF!</definedName>
    <definedName name="_vena_CashFlowS2_CashFlowB3_R_5_484175100812591104">#REF!</definedName>
    <definedName name="_vena_CashFlowS2_CashFlowB3_R_5_484175225560367104">#REF!</definedName>
    <definedName name="_vena_CashFlowS2_CashFlowB3_R_5_484175382463905792">#REF!</definedName>
    <definedName name="_vena_CashFlowS2_CashFlowB3_R_5_484175481030049792">#REF!</definedName>
    <definedName name="_vena_CashFlowS2_CashFlowB3_R_5_484537393690181632">#REF!</definedName>
    <definedName name="_vena_CashFlowS2_CashFlowB3_R_5_495736496901324800">#REF!</definedName>
    <definedName name="_vena_CashFlowS2_CashFlowB3_R_5_495736637918674944">#REF!</definedName>
    <definedName name="_vena_CashFlowS2_CashFlowB3_R_5_495736795930689536">#REF!</definedName>
    <definedName name="_vena_CashFlowS2_CashFlowB3_R_5_495736973987151921">#REF!</definedName>
    <definedName name="_vena_CashFlowS2_CashFlowB3_R_5_495737043323191296">#REF!</definedName>
    <definedName name="_vena_CashFlowS2_CashFlowB3_R_5_495737181823827968">#REF!</definedName>
    <definedName name="_vena_CashFlowS2_CashFlowB3_R_5_495812598937157632">#REF!</definedName>
    <definedName name="_vena_CashFlowS2_CashFlowB3_R_5_551651281229053954">#REF!</definedName>
    <definedName name="_vena_CashFlowS2_CashFlowB3_R_5_632005311968575498">#REF!</definedName>
    <definedName name="_vena_CashFlowS2_CashFlowB3_R_5_781732079313747968">#REF!</definedName>
    <definedName name="_vena_CashFlowS2_CashFlowB3_R_5_781747737229918208">#REF!</definedName>
    <definedName name="_vena_CashFlowS2_CashFlowB3_R_5_781747762450399232">#REF!</definedName>
    <definedName name="_vena_CashFlowS2_CashFlowB3_R_5_781747791617327104">#REF!</definedName>
    <definedName name="_vena_CashFlowS2_CashFlowB3_R_5_781747818582507520">#REF!</definedName>
    <definedName name="_vena_CashFlowS2_CashFlowB3_R_5_781748213857910784">#REF!</definedName>
    <definedName name="_vena_CashFlowS2_CashFlowB3_R_5_781748321865433090">#REF!</definedName>
    <definedName name="_vena_CashFlowS2_CashFlowB3_R_5_781748379378253826">#REF!</definedName>
    <definedName name="_vena_CashFlowS2_CashFlowB3_R_5_781748554007838720">#REF!</definedName>
    <definedName name="_vena_CashFlowS2_CashFlowB3_R_5_781753509934530560">#REF!</definedName>
    <definedName name="_vena_CashFlowS2_CashFlowB3_R_5_781753609746644992">#REF!</definedName>
    <definedName name="_vena_CashFlowS2_CashFlowB3_R_5_781753643997069312">#REF!</definedName>
    <definedName name="_vena_CashFlowS2_CashFlowB3_R_5_974915780629495809">#REF!</definedName>
    <definedName name="_vena_CashFlowS2_CashFlowB3_R_5_980297783344758784">#REF!</definedName>
    <definedName name="_vena_CashFlowS2_CashFlowB3_R_5_980297783562862592">#REF!</definedName>
    <definedName name="_vena_CashFlowS2_CashFlowB3_R_5_980297783579639808">#REF!</definedName>
    <definedName name="_vena_CashFlowS2_CashFlowB3_R_5_980297783588028417">#REF!</definedName>
    <definedName name="_vena_CashFlowS2_CashFlowB3_R_5_980297783600611329">#REF!</definedName>
    <definedName name="_vena_CashFlowS2_CashFlowB3_R_5_980297783613194240">#REF!</definedName>
    <definedName name="_vena_CashFlowS2_CashFlowB3_R_5_980297783621582849">#REF!</definedName>
    <definedName name="_vena_CashFlowS2_CashFlowB3_R_5_980297783638360065">#REF!</definedName>
    <definedName name="_vena_CashFlowS2_CashFlowB3_R_5_980297783650942977">#REF!</definedName>
    <definedName name="_vena_CashFlowS2_CashFlowB3_R_5_980297783663525889">#REF!</definedName>
    <definedName name="_vena_CashFlowS2_CashFlowB3_R_5_980297783676108800">#REF!</definedName>
    <definedName name="_vena_CashFlowS2_CashFlowB3_R_5_980297783684497409">#REF!</definedName>
    <definedName name="_vena_CashFlowS2_CashFlowB3_R_5_980297783697080321">#REF!</definedName>
    <definedName name="_vena_CashFlowS2_CashFlowB3_R_5_980297783705468929">#REF!</definedName>
    <definedName name="_vena_CashFlowS2_CashFlowB3_R_5_980297783726440449">#REF!</definedName>
    <definedName name="_vena_CashFlowS2_CashFlowB3_R_5_980297783734829057">#REF!</definedName>
    <definedName name="_vena_CashFlowS2_CashFlowB3_R_5_980297783747411969">#REF!</definedName>
    <definedName name="_vena_CashFlowS2_CashFlowB3_R_5_980297783759994881">#REF!</definedName>
    <definedName name="_vena_CashFlowS2_CashFlowB3_R_5_980297783772577793">#REF!</definedName>
    <definedName name="_vena_CashFlowS2_CashFlowB3_R_5_980297783785160705">#REF!</definedName>
    <definedName name="_vena_CashFlowS2_CashFlowB4_C_8_431662182280724481">#REF!</definedName>
    <definedName name="_vena_CashFlowS2_CashFlowB4_C_8_431662182280724481_1">#REF!</definedName>
    <definedName name="_vena_CashFlowS2_CashFlowB4_C_8_431662182280724481_10">#REF!</definedName>
    <definedName name="_vena_CashFlowS2_CashFlowB4_C_8_431662182280724481_11">#REF!</definedName>
    <definedName name="_vena_CashFlowS2_CashFlowB4_C_8_431662182280724481_12">#REF!</definedName>
    <definedName name="_vena_CashFlowS2_CashFlowB4_C_8_431662182280724481_13">#REF!</definedName>
    <definedName name="_vena_CashFlowS2_CashFlowB4_C_8_431662182280724481_14">#REF!</definedName>
    <definedName name="_vena_CashFlowS2_CashFlowB4_C_8_431662182280724481_15">#REF!</definedName>
    <definedName name="_vena_CashFlowS2_CashFlowB4_C_8_431662182280724481_16">#REF!</definedName>
    <definedName name="_vena_CashFlowS2_CashFlowB4_C_8_431662182280724481_17">#REF!</definedName>
    <definedName name="_vena_CashFlowS2_CashFlowB4_C_8_431662182280724481_18">#REF!</definedName>
    <definedName name="_vena_CashFlowS2_CashFlowB4_C_8_431662182280724481_19">#REF!</definedName>
    <definedName name="_vena_CashFlowS2_CashFlowB4_C_8_431662182280724481_2">#REF!</definedName>
    <definedName name="_vena_CashFlowS2_CashFlowB4_C_8_431662182280724481_20">#REF!</definedName>
    <definedName name="_vena_CashFlowS2_CashFlowB4_C_8_431662182280724481_21">#REF!</definedName>
    <definedName name="_vena_CashFlowS2_CashFlowB4_C_8_431662182280724481_22">#REF!</definedName>
    <definedName name="_vena_CashFlowS2_CashFlowB4_C_8_431662182280724481_23">#REF!</definedName>
    <definedName name="_vena_CashFlowS2_CashFlowB4_C_8_431662182280724481_24">#REF!</definedName>
    <definedName name="_vena_CashFlowS2_CashFlowB4_C_8_431662182280724481_25">#REF!</definedName>
    <definedName name="_vena_CashFlowS2_CashFlowB4_C_8_431662182280724481_26">#REF!</definedName>
    <definedName name="_vena_CashFlowS2_CashFlowB4_C_8_431662182280724481_27">#REF!</definedName>
    <definedName name="_vena_CashFlowS2_CashFlowB4_C_8_431662182280724481_28">#REF!</definedName>
    <definedName name="_vena_CashFlowS2_CashFlowB4_C_8_431662182280724481_29">#REF!</definedName>
    <definedName name="_vena_CashFlowS2_CashFlowB4_C_8_431662182280724481_3">#REF!</definedName>
    <definedName name="_vena_CashFlowS2_CashFlowB4_C_8_431662182280724481_30">#REF!</definedName>
    <definedName name="_vena_CashFlowS2_CashFlowB4_C_8_431662182280724481_31">#REF!</definedName>
    <definedName name="_vena_CashFlowS2_CashFlowB4_C_8_431662182280724481_32">#REF!</definedName>
    <definedName name="_vena_CashFlowS2_CashFlowB4_C_8_431662182280724481_33">#REF!</definedName>
    <definedName name="_vena_CashFlowS2_CashFlowB4_C_8_431662182280724481_34">#REF!</definedName>
    <definedName name="_vena_CashFlowS2_CashFlowB4_C_8_431662182280724481_35">#REF!</definedName>
    <definedName name="_vena_CashFlowS2_CashFlowB4_C_8_431662182280724481_36">#REF!</definedName>
    <definedName name="_vena_CashFlowS2_CashFlowB4_C_8_431662182280724481_37">#REF!</definedName>
    <definedName name="_vena_CashFlowS2_CashFlowB4_C_8_431662182280724481_38">#REF!</definedName>
    <definedName name="_vena_CashFlowS2_CashFlowB4_C_8_431662182280724481_39">#REF!</definedName>
    <definedName name="_vena_CashFlowS2_CashFlowB4_C_8_431662182280724481_4">#REF!</definedName>
    <definedName name="_vena_CashFlowS2_CashFlowB4_C_8_431662182280724481_40">#REF!</definedName>
    <definedName name="_vena_CashFlowS2_CashFlowB4_C_8_431662182280724481_41">#REF!</definedName>
    <definedName name="_vena_CashFlowS2_CashFlowB4_C_8_431662182280724481_42">#REF!</definedName>
    <definedName name="_vena_CashFlowS2_CashFlowB4_C_8_431662182280724481_43">#REF!</definedName>
    <definedName name="_vena_CashFlowS2_CashFlowB4_C_8_431662182280724481_44">#REF!</definedName>
    <definedName name="_vena_CashFlowS2_CashFlowB4_C_8_431662182280724481_45">#REF!</definedName>
    <definedName name="_vena_CashFlowS2_CashFlowB4_C_8_431662182280724481_46">#REF!</definedName>
    <definedName name="_vena_CashFlowS2_CashFlowB4_C_8_431662182280724481_47">#REF!</definedName>
    <definedName name="_vena_CashFlowS2_CashFlowB4_C_8_431662182280724481_48">#REF!</definedName>
    <definedName name="_vena_CashFlowS2_CashFlowB4_C_8_431662182280724481_49">#REF!</definedName>
    <definedName name="_vena_CashFlowS2_CashFlowB4_C_8_431662182280724481_5">#REF!</definedName>
    <definedName name="_vena_CashFlowS2_CashFlowB4_C_8_431662182280724481_50">#REF!</definedName>
    <definedName name="_vena_CashFlowS2_CashFlowB4_C_8_431662182280724481_51">#REF!</definedName>
    <definedName name="_vena_CashFlowS2_CashFlowB4_C_8_431662182280724481_52">#REF!</definedName>
    <definedName name="_vena_CashFlowS2_CashFlowB4_C_8_431662182280724481_53">#REF!</definedName>
    <definedName name="_vena_CashFlowS2_CashFlowB4_C_8_431662182280724481_54">#REF!</definedName>
    <definedName name="_vena_CashFlowS2_CashFlowB4_C_8_431662182280724481_55">#REF!</definedName>
    <definedName name="_vena_CashFlowS2_CashFlowB4_C_8_431662182280724481_56">#REF!</definedName>
    <definedName name="_vena_CashFlowS2_CashFlowB4_C_8_431662182280724481_57">#REF!</definedName>
    <definedName name="_vena_CashFlowS2_CashFlowB4_C_8_431662182280724481_58">#REF!</definedName>
    <definedName name="_vena_CashFlowS2_CashFlowB4_C_8_431662182280724481_59">#REF!</definedName>
    <definedName name="_vena_CashFlowS2_CashFlowB4_C_8_431662182280724481_6">#REF!</definedName>
    <definedName name="_vena_CashFlowS2_CashFlowB4_C_8_431662182280724481_60">#REF!</definedName>
    <definedName name="_vena_CashFlowS2_CashFlowB4_C_8_431662182280724481_61">#REF!</definedName>
    <definedName name="_vena_CashFlowS2_CashFlowB4_C_8_431662182280724481_62">#REF!</definedName>
    <definedName name="_vena_CashFlowS2_CashFlowB4_C_8_431662182280724481_63">#REF!</definedName>
    <definedName name="_vena_CashFlowS2_CashFlowB4_C_8_431662182280724481_64">#REF!</definedName>
    <definedName name="_vena_CashFlowS2_CashFlowB4_C_8_431662182280724481_65">#REF!</definedName>
    <definedName name="_vena_CashFlowS2_CashFlowB4_C_8_431662182280724481_66">#REF!</definedName>
    <definedName name="_vena_CashFlowS2_CashFlowB4_C_8_431662182280724481_67">#REF!</definedName>
    <definedName name="_vena_CashFlowS2_CashFlowB4_C_8_431662182280724481_68">#REF!</definedName>
    <definedName name="_vena_CashFlowS2_CashFlowB4_C_8_431662182280724481_69">#REF!</definedName>
    <definedName name="_vena_CashFlowS2_CashFlowB4_C_8_431662182280724481_7">#REF!</definedName>
    <definedName name="_vena_CashFlowS2_CashFlowB4_C_8_431662182280724481_70">#REF!</definedName>
    <definedName name="_vena_CashFlowS2_CashFlowB4_C_8_431662182280724481_71">#REF!</definedName>
    <definedName name="_vena_CashFlowS2_CashFlowB4_C_8_431662182280724481_8">#REF!</definedName>
    <definedName name="_vena_CashFlowS2_CashFlowB4_C_8_431662182280724481_9">#REF!</definedName>
    <definedName name="_vena_CashFlowS2_CashFlowB4_C_8_551651297725251586">#REF!</definedName>
    <definedName name="_vena_CashFlowS2_CashFlowB4_C_8_551651297725251586_1">#REF!</definedName>
    <definedName name="_vena_CashFlowS2_CashFlowB4_C_8_551651297725251586_10">#REF!</definedName>
    <definedName name="_vena_CashFlowS2_CashFlowB4_C_8_551651297725251586_11">#REF!</definedName>
    <definedName name="_vena_CashFlowS2_CashFlowB4_C_8_551651297725251586_2">#REF!</definedName>
    <definedName name="_vena_CashFlowS2_CashFlowB4_C_8_551651297725251586_3">#REF!</definedName>
    <definedName name="_vena_CashFlowS2_CashFlowB4_C_8_551651297725251586_4">#REF!</definedName>
    <definedName name="_vena_CashFlowS2_CashFlowB4_C_8_551651297725251586_5">#REF!</definedName>
    <definedName name="_vena_CashFlowS2_CashFlowB4_C_8_551651297725251586_6">#REF!</definedName>
    <definedName name="_vena_CashFlowS2_CashFlowB4_C_8_551651297725251586_7">#REF!</definedName>
    <definedName name="_vena_CashFlowS2_CashFlowB4_C_8_551651297725251586_8">#REF!</definedName>
    <definedName name="_vena_CashFlowS2_CashFlowB4_C_8_551651297725251586_9">#REF!</definedName>
    <definedName name="_vena_CashFlowS2_CashFlowB4_C_8_632005313629519872">#REF!</definedName>
    <definedName name="_vena_CashFlowS2_CashFlowB4_C_8_632005313629519872_1">#REF!</definedName>
    <definedName name="_vena_CashFlowS2_CashFlowB4_C_8_632005313629519872_10">#REF!</definedName>
    <definedName name="_vena_CashFlowS2_CashFlowB4_C_8_632005313629519872_11">#REF!</definedName>
    <definedName name="_vena_CashFlowS2_CashFlowB4_C_8_632005313629519872_2">#REF!</definedName>
    <definedName name="_vena_CashFlowS2_CashFlowB4_C_8_632005313629519872_3">#REF!</definedName>
    <definedName name="_vena_CashFlowS2_CashFlowB4_C_8_632005313629519872_4">#REF!</definedName>
    <definedName name="_vena_CashFlowS2_CashFlowB4_C_8_632005313629519872_5">#REF!</definedName>
    <definedName name="_vena_CashFlowS2_CashFlowB4_C_8_632005313629519872_6">#REF!</definedName>
    <definedName name="_vena_CashFlowS2_CashFlowB4_C_8_632005313629519872_7">#REF!</definedName>
    <definedName name="_vena_CashFlowS2_CashFlowB4_C_8_632005313629519872_8">#REF!</definedName>
    <definedName name="_vena_CashFlowS2_CashFlowB4_C_8_632005313629519872_9">#REF!</definedName>
    <definedName name="_vena_CashFlowS2_CashFlowB4_C_FV_56493ffece784c5db4cd0fd3b40a250d">#REF!</definedName>
    <definedName name="_vena_CashFlowS2_CashFlowB4_C_FV_56493ffece784c5db4cd0fd3b40a250d_1">#REF!</definedName>
    <definedName name="_vena_CashFlowS2_CashFlowB4_C_FV_56493ffece784c5db4cd0fd3b40a250d_10">#REF!</definedName>
    <definedName name="_vena_CashFlowS2_CashFlowB4_C_FV_56493ffece784c5db4cd0fd3b40a250d_11">#REF!</definedName>
    <definedName name="_vena_CashFlowS2_CashFlowB4_C_FV_56493ffece784c5db4cd0fd3b40a250d_12">#REF!</definedName>
    <definedName name="_vena_CashFlowS2_CashFlowB4_C_FV_56493ffece784c5db4cd0fd3b40a250d_13">#REF!</definedName>
    <definedName name="_vena_CashFlowS2_CashFlowB4_C_FV_56493ffece784c5db4cd0fd3b40a250d_14">#REF!</definedName>
    <definedName name="_vena_CashFlowS2_CashFlowB4_C_FV_56493ffece784c5db4cd0fd3b40a250d_15">#REF!</definedName>
    <definedName name="_vena_CashFlowS2_CashFlowB4_C_FV_56493ffece784c5db4cd0fd3b40a250d_16">#REF!</definedName>
    <definedName name="_vena_CashFlowS2_CashFlowB4_C_FV_56493ffece784c5db4cd0fd3b40a250d_17">#REF!</definedName>
    <definedName name="_vena_CashFlowS2_CashFlowB4_C_FV_56493ffece784c5db4cd0fd3b40a250d_18">#REF!</definedName>
    <definedName name="_vena_CashFlowS2_CashFlowB4_C_FV_56493ffece784c5db4cd0fd3b40a250d_19">#REF!</definedName>
    <definedName name="_vena_CashFlowS2_CashFlowB4_C_FV_56493ffece784c5db4cd0fd3b40a250d_2">#REF!</definedName>
    <definedName name="_vena_CashFlowS2_CashFlowB4_C_FV_56493ffece784c5db4cd0fd3b40a250d_20">#REF!</definedName>
    <definedName name="_vena_CashFlowS2_CashFlowB4_C_FV_56493ffece784c5db4cd0fd3b40a250d_21">#REF!</definedName>
    <definedName name="_vena_CashFlowS2_CashFlowB4_C_FV_56493ffece784c5db4cd0fd3b40a250d_22">#REF!</definedName>
    <definedName name="_vena_CashFlowS2_CashFlowB4_C_FV_56493ffece784c5db4cd0fd3b40a250d_23">#REF!</definedName>
    <definedName name="_vena_CashFlowS2_CashFlowB4_C_FV_56493ffece784c5db4cd0fd3b40a250d_24">#REF!</definedName>
    <definedName name="_vena_CashFlowS2_CashFlowB4_C_FV_56493ffece784c5db4cd0fd3b40a250d_25">#REF!</definedName>
    <definedName name="_vena_CashFlowS2_CashFlowB4_C_FV_56493ffece784c5db4cd0fd3b40a250d_26">#REF!</definedName>
    <definedName name="_vena_CashFlowS2_CashFlowB4_C_FV_56493ffece784c5db4cd0fd3b40a250d_27">#REF!</definedName>
    <definedName name="_vena_CashFlowS2_CashFlowB4_C_FV_56493ffece784c5db4cd0fd3b40a250d_28">#REF!</definedName>
    <definedName name="_vena_CashFlowS2_CashFlowB4_C_FV_56493ffece784c5db4cd0fd3b40a250d_29">#REF!</definedName>
    <definedName name="_vena_CashFlowS2_CashFlowB4_C_FV_56493ffece784c5db4cd0fd3b40a250d_3">#REF!</definedName>
    <definedName name="_vena_CashFlowS2_CashFlowB4_C_FV_56493ffece784c5db4cd0fd3b40a250d_30">#REF!</definedName>
    <definedName name="_vena_CashFlowS2_CashFlowB4_C_FV_56493ffece784c5db4cd0fd3b40a250d_31">#REF!</definedName>
    <definedName name="_vena_CashFlowS2_CashFlowB4_C_FV_56493ffece784c5db4cd0fd3b40a250d_32">#REF!</definedName>
    <definedName name="_vena_CashFlowS2_CashFlowB4_C_FV_56493ffece784c5db4cd0fd3b40a250d_33">#REF!</definedName>
    <definedName name="_vena_CashFlowS2_CashFlowB4_C_FV_56493ffece784c5db4cd0fd3b40a250d_34">#REF!</definedName>
    <definedName name="_vena_CashFlowS2_CashFlowB4_C_FV_56493ffece784c5db4cd0fd3b40a250d_35">#REF!</definedName>
    <definedName name="_vena_CashFlowS2_CashFlowB4_C_FV_56493ffece784c5db4cd0fd3b40a250d_36">#REF!</definedName>
    <definedName name="_vena_CashFlowS2_CashFlowB4_C_FV_56493ffece784c5db4cd0fd3b40a250d_37">#REF!</definedName>
    <definedName name="_vena_CashFlowS2_CashFlowB4_C_FV_56493ffece784c5db4cd0fd3b40a250d_38">#REF!</definedName>
    <definedName name="_vena_CashFlowS2_CashFlowB4_C_FV_56493ffece784c5db4cd0fd3b40a250d_39">#REF!</definedName>
    <definedName name="_vena_CashFlowS2_CashFlowB4_C_FV_56493ffece784c5db4cd0fd3b40a250d_4">#REF!</definedName>
    <definedName name="_vena_CashFlowS2_CashFlowB4_C_FV_56493ffece784c5db4cd0fd3b40a250d_40">#REF!</definedName>
    <definedName name="_vena_CashFlowS2_CashFlowB4_C_FV_56493ffece784c5db4cd0fd3b40a250d_41">#REF!</definedName>
    <definedName name="_vena_CashFlowS2_CashFlowB4_C_FV_56493ffece784c5db4cd0fd3b40a250d_42">#REF!</definedName>
    <definedName name="_vena_CashFlowS2_CashFlowB4_C_FV_56493ffece784c5db4cd0fd3b40a250d_43">#REF!</definedName>
    <definedName name="_vena_CashFlowS2_CashFlowB4_C_FV_56493ffece784c5db4cd0fd3b40a250d_44">#REF!</definedName>
    <definedName name="_vena_CashFlowS2_CashFlowB4_C_FV_56493ffece784c5db4cd0fd3b40a250d_45">#REF!</definedName>
    <definedName name="_vena_CashFlowS2_CashFlowB4_C_FV_56493ffece784c5db4cd0fd3b40a250d_46">#REF!</definedName>
    <definedName name="_vena_CashFlowS2_CashFlowB4_C_FV_56493ffece784c5db4cd0fd3b40a250d_47">#REF!</definedName>
    <definedName name="_vena_CashFlowS2_CashFlowB4_C_FV_56493ffece784c5db4cd0fd3b40a250d_48">#REF!</definedName>
    <definedName name="_vena_CashFlowS2_CashFlowB4_C_FV_56493ffece784c5db4cd0fd3b40a250d_49">#REF!</definedName>
    <definedName name="_vena_CashFlowS2_CashFlowB4_C_FV_56493ffece784c5db4cd0fd3b40a250d_5">#REF!</definedName>
    <definedName name="_vena_CashFlowS2_CashFlowB4_C_FV_56493ffece784c5db4cd0fd3b40a250d_50">#REF!</definedName>
    <definedName name="_vena_CashFlowS2_CashFlowB4_C_FV_56493ffece784c5db4cd0fd3b40a250d_51">#REF!</definedName>
    <definedName name="_vena_CashFlowS2_CashFlowB4_C_FV_56493ffece784c5db4cd0fd3b40a250d_52">#REF!</definedName>
    <definedName name="_vena_CashFlowS2_CashFlowB4_C_FV_56493ffece784c5db4cd0fd3b40a250d_53">#REF!</definedName>
    <definedName name="_vena_CashFlowS2_CashFlowB4_C_FV_56493ffece784c5db4cd0fd3b40a250d_54">#REF!</definedName>
    <definedName name="_vena_CashFlowS2_CashFlowB4_C_FV_56493ffece784c5db4cd0fd3b40a250d_55">#REF!</definedName>
    <definedName name="_vena_CashFlowS2_CashFlowB4_C_FV_56493ffece784c5db4cd0fd3b40a250d_56">#REF!</definedName>
    <definedName name="_vena_CashFlowS2_CashFlowB4_C_FV_56493ffece784c5db4cd0fd3b40a250d_57">#REF!</definedName>
    <definedName name="_vena_CashFlowS2_CashFlowB4_C_FV_56493ffece784c5db4cd0fd3b40a250d_58">#REF!</definedName>
    <definedName name="_vena_CashFlowS2_CashFlowB4_C_FV_56493ffece784c5db4cd0fd3b40a250d_59">#REF!</definedName>
    <definedName name="_vena_CashFlowS2_CashFlowB4_C_FV_56493ffece784c5db4cd0fd3b40a250d_6">#REF!</definedName>
    <definedName name="_vena_CashFlowS2_CashFlowB4_C_FV_56493ffece784c5db4cd0fd3b40a250d_60">#REF!</definedName>
    <definedName name="_vena_CashFlowS2_CashFlowB4_C_FV_56493ffece784c5db4cd0fd3b40a250d_61">#REF!</definedName>
    <definedName name="_vena_CashFlowS2_CashFlowB4_C_FV_56493ffece784c5db4cd0fd3b40a250d_62">#REF!</definedName>
    <definedName name="_vena_CashFlowS2_CashFlowB4_C_FV_56493ffece784c5db4cd0fd3b40a250d_63">#REF!</definedName>
    <definedName name="_vena_CashFlowS2_CashFlowB4_C_FV_56493ffece784c5db4cd0fd3b40a250d_64">#REF!</definedName>
    <definedName name="_vena_CashFlowS2_CashFlowB4_C_FV_56493ffece784c5db4cd0fd3b40a250d_65">#REF!</definedName>
    <definedName name="_vena_CashFlowS2_CashFlowB4_C_FV_56493ffece784c5db4cd0fd3b40a250d_66">#REF!</definedName>
    <definedName name="_vena_CashFlowS2_CashFlowB4_C_FV_56493ffece784c5db4cd0fd3b40a250d_67">#REF!</definedName>
    <definedName name="_vena_CashFlowS2_CashFlowB4_C_FV_56493ffece784c5db4cd0fd3b40a250d_68">#REF!</definedName>
    <definedName name="_vena_CashFlowS2_CashFlowB4_C_FV_56493ffece784c5db4cd0fd3b40a250d_69">#REF!</definedName>
    <definedName name="_vena_CashFlowS2_CashFlowB4_C_FV_56493ffece784c5db4cd0fd3b40a250d_7">#REF!</definedName>
    <definedName name="_vena_CashFlowS2_CashFlowB4_C_FV_56493ffece784c5db4cd0fd3b40a250d_70">#REF!</definedName>
    <definedName name="_vena_CashFlowS2_CashFlowB4_C_FV_56493ffece784c5db4cd0fd3b40a250d_71">#REF!</definedName>
    <definedName name="_vena_CashFlowS2_CashFlowB4_C_FV_56493ffece784c5db4cd0fd3b40a250d_8">#REF!</definedName>
    <definedName name="_vena_CashFlowS2_CashFlowB4_C_FV_56493ffece784c5db4cd0fd3b40a250d_9">#REF!</definedName>
    <definedName name="_vena_CashFlowS2_CashFlowB4_C_FV_9b0abd7578fb42018b1ba18b8b26d3ae">#REF!</definedName>
    <definedName name="_vena_CashFlowS2_CashFlowB4_C_FV_9b0abd7578fb42018b1ba18b8b26d3ae_1">#REF!</definedName>
    <definedName name="_vena_CashFlowS2_CashFlowB4_C_FV_9b0abd7578fb42018b1ba18b8b26d3ae_10">#REF!</definedName>
    <definedName name="_vena_CashFlowS2_CashFlowB4_C_FV_9b0abd7578fb42018b1ba18b8b26d3ae_11">#REF!</definedName>
    <definedName name="_vena_CashFlowS2_CashFlowB4_C_FV_9b0abd7578fb42018b1ba18b8b26d3ae_2">#REF!</definedName>
    <definedName name="_vena_CashFlowS2_CashFlowB4_C_FV_9b0abd7578fb42018b1ba18b8b26d3ae_3">#REF!</definedName>
    <definedName name="_vena_CashFlowS2_CashFlowB4_C_FV_9b0abd7578fb42018b1ba18b8b26d3ae_4">#REF!</definedName>
    <definedName name="_vena_CashFlowS2_CashFlowB4_C_FV_9b0abd7578fb42018b1ba18b8b26d3ae_5">#REF!</definedName>
    <definedName name="_vena_CashFlowS2_CashFlowB4_C_FV_9b0abd7578fb42018b1ba18b8b26d3ae_6">#REF!</definedName>
    <definedName name="_vena_CashFlowS2_CashFlowB4_C_FV_9b0abd7578fb42018b1ba18b8b26d3ae_7">#REF!</definedName>
    <definedName name="_vena_CashFlowS2_CashFlowB4_C_FV_9b0abd7578fb42018b1ba18b8b26d3ae_8">#REF!</definedName>
    <definedName name="_vena_CashFlowS2_CashFlowB4_C_FV_9b0abd7578fb42018b1ba18b8b26d3ae_9">#REF!</definedName>
    <definedName name="_vena_CashFlowS2_CashFlowB4_C_FV_a398e917565c475b8f0c5e9ebb5e002d">#REF!</definedName>
    <definedName name="_vena_CashFlowS2_CashFlowB4_C_FV_a398e917565c475b8f0c5e9ebb5e002d_1">#REF!</definedName>
    <definedName name="_vena_CashFlowS2_CashFlowB4_C_FV_a398e917565c475b8f0c5e9ebb5e002d_10">#REF!</definedName>
    <definedName name="_vena_CashFlowS2_CashFlowB4_C_FV_a398e917565c475b8f0c5e9ebb5e002d_11">#REF!</definedName>
    <definedName name="_vena_CashFlowS2_CashFlowB4_C_FV_a398e917565c475b8f0c5e9ebb5e002d_12">#REF!</definedName>
    <definedName name="_vena_CashFlowS2_CashFlowB4_C_FV_a398e917565c475b8f0c5e9ebb5e002d_13">#REF!</definedName>
    <definedName name="_vena_CashFlowS2_CashFlowB4_C_FV_a398e917565c475b8f0c5e9ebb5e002d_14">#REF!</definedName>
    <definedName name="_vena_CashFlowS2_CashFlowB4_C_FV_a398e917565c475b8f0c5e9ebb5e002d_15">#REF!</definedName>
    <definedName name="_vena_CashFlowS2_CashFlowB4_C_FV_a398e917565c475b8f0c5e9ebb5e002d_16">#REF!</definedName>
    <definedName name="_vena_CashFlowS2_CashFlowB4_C_FV_a398e917565c475b8f0c5e9ebb5e002d_17">#REF!</definedName>
    <definedName name="_vena_CashFlowS2_CashFlowB4_C_FV_a398e917565c475b8f0c5e9ebb5e002d_18">#REF!</definedName>
    <definedName name="_vena_CashFlowS2_CashFlowB4_C_FV_a398e917565c475b8f0c5e9ebb5e002d_19">#REF!</definedName>
    <definedName name="_vena_CashFlowS2_CashFlowB4_C_FV_a398e917565c475b8f0c5e9ebb5e002d_2">#REF!</definedName>
    <definedName name="_vena_CashFlowS2_CashFlowB4_C_FV_a398e917565c475b8f0c5e9ebb5e002d_20">#REF!</definedName>
    <definedName name="_vena_CashFlowS2_CashFlowB4_C_FV_a398e917565c475b8f0c5e9ebb5e002d_21">#REF!</definedName>
    <definedName name="_vena_CashFlowS2_CashFlowB4_C_FV_a398e917565c475b8f0c5e9ebb5e002d_22">#REF!</definedName>
    <definedName name="_vena_CashFlowS2_CashFlowB4_C_FV_a398e917565c475b8f0c5e9ebb5e002d_23">#REF!</definedName>
    <definedName name="_vena_CashFlowS2_CashFlowB4_C_FV_a398e917565c475b8f0c5e9ebb5e002d_24">#REF!</definedName>
    <definedName name="_vena_CashFlowS2_CashFlowB4_C_FV_a398e917565c475b8f0c5e9ebb5e002d_25">#REF!</definedName>
    <definedName name="_vena_CashFlowS2_CashFlowB4_C_FV_a398e917565c475b8f0c5e9ebb5e002d_26">#REF!</definedName>
    <definedName name="_vena_CashFlowS2_CashFlowB4_C_FV_a398e917565c475b8f0c5e9ebb5e002d_27">#REF!</definedName>
    <definedName name="_vena_CashFlowS2_CashFlowB4_C_FV_a398e917565c475b8f0c5e9ebb5e002d_28">#REF!</definedName>
    <definedName name="_vena_CashFlowS2_CashFlowB4_C_FV_a398e917565c475b8f0c5e9ebb5e002d_29">#REF!</definedName>
    <definedName name="_vena_CashFlowS2_CashFlowB4_C_FV_a398e917565c475b8f0c5e9ebb5e002d_3">#REF!</definedName>
    <definedName name="_vena_CashFlowS2_CashFlowB4_C_FV_a398e917565c475b8f0c5e9ebb5e002d_30">#REF!</definedName>
    <definedName name="_vena_CashFlowS2_CashFlowB4_C_FV_a398e917565c475b8f0c5e9ebb5e002d_31">#REF!</definedName>
    <definedName name="_vena_CashFlowS2_CashFlowB4_C_FV_a398e917565c475b8f0c5e9ebb5e002d_32">#REF!</definedName>
    <definedName name="_vena_CashFlowS2_CashFlowB4_C_FV_a398e917565c475b8f0c5e9ebb5e002d_33">#REF!</definedName>
    <definedName name="_vena_CashFlowS2_CashFlowB4_C_FV_a398e917565c475b8f0c5e9ebb5e002d_34">#REF!</definedName>
    <definedName name="_vena_CashFlowS2_CashFlowB4_C_FV_a398e917565c475b8f0c5e9ebb5e002d_35">#REF!</definedName>
    <definedName name="_vena_CashFlowS2_CashFlowB4_C_FV_a398e917565c475b8f0c5e9ebb5e002d_36">#REF!</definedName>
    <definedName name="_vena_CashFlowS2_CashFlowB4_C_FV_a398e917565c475b8f0c5e9ebb5e002d_37">#REF!</definedName>
    <definedName name="_vena_CashFlowS2_CashFlowB4_C_FV_a398e917565c475b8f0c5e9ebb5e002d_38">#REF!</definedName>
    <definedName name="_vena_CashFlowS2_CashFlowB4_C_FV_a398e917565c475b8f0c5e9ebb5e002d_39">#REF!</definedName>
    <definedName name="_vena_CashFlowS2_CashFlowB4_C_FV_a398e917565c475b8f0c5e9ebb5e002d_4">#REF!</definedName>
    <definedName name="_vena_CashFlowS2_CashFlowB4_C_FV_a398e917565c475b8f0c5e9ebb5e002d_40">#REF!</definedName>
    <definedName name="_vena_CashFlowS2_CashFlowB4_C_FV_a398e917565c475b8f0c5e9ebb5e002d_41">#REF!</definedName>
    <definedName name="_vena_CashFlowS2_CashFlowB4_C_FV_a398e917565c475b8f0c5e9ebb5e002d_42">#REF!</definedName>
    <definedName name="_vena_CashFlowS2_CashFlowB4_C_FV_a398e917565c475b8f0c5e9ebb5e002d_43">#REF!</definedName>
    <definedName name="_vena_CashFlowS2_CashFlowB4_C_FV_a398e917565c475b8f0c5e9ebb5e002d_44">#REF!</definedName>
    <definedName name="_vena_CashFlowS2_CashFlowB4_C_FV_a398e917565c475b8f0c5e9ebb5e002d_45">#REF!</definedName>
    <definedName name="_vena_CashFlowS2_CashFlowB4_C_FV_a398e917565c475b8f0c5e9ebb5e002d_46">#REF!</definedName>
    <definedName name="_vena_CashFlowS2_CashFlowB4_C_FV_a398e917565c475b8f0c5e9ebb5e002d_47">#REF!</definedName>
    <definedName name="_vena_CashFlowS2_CashFlowB4_C_FV_a398e917565c475b8f0c5e9ebb5e002d_48">#REF!</definedName>
    <definedName name="_vena_CashFlowS2_CashFlowB4_C_FV_a398e917565c475b8f0c5e9ebb5e002d_49">#REF!</definedName>
    <definedName name="_vena_CashFlowS2_CashFlowB4_C_FV_a398e917565c475b8f0c5e9ebb5e002d_5">#REF!</definedName>
    <definedName name="_vena_CashFlowS2_CashFlowB4_C_FV_a398e917565c475b8f0c5e9ebb5e002d_50">#REF!</definedName>
    <definedName name="_vena_CashFlowS2_CashFlowB4_C_FV_a398e917565c475b8f0c5e9ebb5e002d_51">#REF!</definedName>
    <definedName name="_vena_CashFlowS2_CashFlowB4_C_FV_a398e917565c475b8f0c5e9ebb5e002d_52">#REF!</definedName>
    <definedName name="_vena_CashFlowS2_CashFlowB4_C_FV_a398e917565c475b8f0c5e9ebb5e002d_53">#REF!</definedName>
    <definedName name="_vena_CashFlowS2_CashFlowB4_C_FV_a398e917565c475b8f0c5e9ebb5e002d_54">#REF!</definedName>
    <definedName name="_vena_CashFlowS2_CashFlowB4_C_FV_a398e917565c475b8f0c5e9ebb5e002d_55">#REF!</definedName>
    <definedName name="_vena_CashFlowS2_CashFlowB4_C_FV_a398e917565c475b8f0c5e9ebb5e002d_56">#REF!</definedName>
    <definedName name="_vena_CashFlowS2_CashFlowB4_C_FV_a398e917565c475b8f0c5e9ebb5e002d_57">#REF!</definedName>
    <definedName name="_vena_CashFlowS2_CashFlowB4_C_FV_a398e917565c475b8f0c5e9ebb5e002d_58">#REF!</definedName>
    <definedName name="_vena_CashFlowS2_CashFlowB4_C_FV_a398e917565c475b8f0c5e9ebb5e002d_59">#REF!</definedName>
    <definedName name="_vena_CashFlowS2_CashFlowB4_C_FV_a398e917565c475b8f0c5e9ebb5e002d_6">#REF!</definedName>
    <definedName name="_vena_CashFlowS2_CashFlowB4_C_FV_a398e917565c475b8f0c5e9ebb5e002d_60">#REF!</definedName>
    <definedName name="_vena_CashFlowS2_CashFlowB4_C_FV_a398e917565c475b8f0c5e9ebb5e002d_61">#REF!</definedName>
    <definedName name="_vena_CashFlowS2_CashFlowB4_C_FV_a398e917565c475b8f0c5e9ebb5e002d_62">#REF!</definedName>
    <definedName name="_vena_CashFlowS2_CashFlowB4_C_FV_a398e917565c475b8f0c5e9ebb5e002d_63">#REF!</definedName>
    <definedName name="_vena_CashFlowS2_CashFlowB4_C_FV_a398e917565c475b8f0c5e9ebb5e002d_64">#REF!</definedName>
    <definedName name="_vena_CashFlowS2_CashFlowB4_C_FV_a398e917565c475b8f0c5e9ebb5e002d_65">#REF!</definedName>
    <definedName name="_vena_CashFlowS2_CashFlowB4_C_FV_a398e917565c475b8f0c5e9ebb5e002d_66">#REF!</definedName>
    <definedName name="_vena_CashFlowS2_CashFlowB4_C_FV_a398e917565c475b8f0c5e9ebb5e002d_67">#REF!</definedName>
    <definedName name="_vena_CashFlowS2_CashFlowB4_C_FV_a398e917565c475b8f0c5e9ebb5e002d_68">#REF!</definedName>
    <definedName name="_vena_CashFlowS2_CashFlowB4_C_FV_a398e917565c475b8f0c5e9ebb5e002d_69">#REF!</definedName>
    <definedName name="_vena_CashFlowS2_CashFlowB4_C_FV_a398e917565c475b8f0c5e9ebb5e002d_7">#REF!</definedName>
    <definedName name="_vena_CashFlowS2_CashFlowB4_C_FV_a398e917565c475b8f0c5e9ebb5e002d_70">#REF!</definedName>
    <definedName name="_vena_CashFlowS2_CashFlowB4_C_FV_a398e917565c475b8f0c5e9ebb5e002d_71">#REF!</definedName>
    <definedName name="_vena_CashFlowS2_CashFlowB4_C_FV_a398e917565c475b8f0c5e9ebb5e002d_8">#REF!</definedName>
    <definedName name="_vena_CashFlowS2_CashFlowB4_C_FV_a398e917565c475b8f0c5e9ebb5e002d_9">#REF!</definedName>
    <definedName name="_vena_CashFlowS2_CashFlowB4_C_FV_e1c3a244dc3d4f149ecdf7d748811086">#REF!</definedName>
    <definedName name="_vena_CashFlowS2_CashFlowB4_C_FV_e1c3a244dc3d4f149ecdf7d748811086_1">#REF!</definedName>
    <definedName name="_vena_CashFlowS2_CashFlowB4_C_FV_e1c3a244dc3d4f149ecdf7d748811086_10">#REF!</definedName>
    <definedName name="_vena_CashFlowS2_CashFlowB4_C_FV_e1c3a244dc3d4f149ecdf7d748811086_11">#REF!</definedName>
    <definedName name="_vena_CashFlowS2_CashFlowB4_C_FV_e1c3a244dc3d4f149ecdf7d748811086_12">#REF!</definedName>
    <definedName name="_vena_CashFlowS2_CashFlowB4_C_FV_e1c3a244dc3d4f149ecdf7d748811086_13">#REF!</definedName>
    <definedName name="_vena_CashFlowS2_CashFlowB4_C_FV_e1c3a244dc3d4f149ecdf7d748811086_14">#REF!</definedName>
    <definedName name="_vena_CashFlowS2_CashFlowB4_C_FV_e1c3a244dc3d4f149ecdf7d748811086_15">#REF!</definedName>
    <definedName name="_vena_CashFlowS2_CashFlowB4_C_FV_e1c3a244dc3d4f149ecdf7d748811086_16">#REF!</definedName>
    <definedName name="_vena_CashFlowS2_CashFlowB4_C_FV_e1c3a244dc3d4f149ecdf7d748811086_17">#REF!</definedName>
    <definedName name="_vena_CashFlowS2_CashFlowB4_C_FV_e1c3a244dc3d4f149ecdf7d748811086_18">#REF!</definedName>
    <definedName name="_vena_CashFlowS2_CashFlowB4_C_FV_e1c3a244dc3d4f149ecdf7d748811086_19">#REF!</definedName>
    <definedName name="_vena_CashFlowS2_CashFlowB4_C_FV_e1c3a244dc3d4f149ecdf7d748811086_2">#REF!</definedName>
    <definedName name="_vena_CashFlowS2_CashFlowB4_C_FV_e1c3a244dc3d4f149ecdf7d748811086_20">#REF!</definedName>
    <definedName name="_vena_CashFlowS2_CashFlowB4_C_FV_e1c3a244dc3d4f149ecdf7d748811086_21">#REF!</definedName>
    <definedName name="_vena_CashFlowS2_CashFlowB4_C_FV_e1c3a244dc3d4f149ecdf7d748811086_22">#REF!</definedName>
    <definedName name="_vena_CashFlowS2_CashFlowB4_C_FV_e1c3a244dc3d4f149ecdf7d748811086_23">#REF!</definedName>
    <definedName name="_vena_CashFlowS2_CashFlowB4_C_FV_e1c3a244dc3d4f149ecdf7d748811086_24">#REF!</definedName>
    <definedName name="_vena_CashFlowS2_CashFlowB4_C_FV_e1c3a244dc3d4f149ecdf7d748811086_25">#REF!</definedName>
    <definedName name="_vena_CashFlowS2_CashFlowB4_C_FV_e1c3a244dc3d4f149ecdf7d748811086_26">#REF!</definedName>
    <definedName name="_vena_CashFlowS2_CashFlowB4_C_FV_e1c3a244dc3d4f149ecdf7d748811086_27">#REF!</definedName>
    <definedName name="_vena_CashFlowS2_CashFlowB4_C_FV_e1c3a244dc3d4f149ecdf7d748811086_28">#REF!</definedName>
    <definedName name="_vena_CashFlowS2_CashFlowB4_C_FV_e1c3a244dc3d4f149ecdf7d748811086_29">#REF!</definedName>
    <definedName name="_vena_CashFlowS2_CashFlowB4_C_FV_e1c3a244dc3d4f149ecdf7d748811086_3">#REF!</definedName>
    <definedName name="_vena_CashFlowS2_CashFlowB4_C_FV_e1c3a244dc3d4f149ecdf7d748811086_30">#REF!</definedName>
    <definedName name="_vena_CashFlowS2_CashFlowB4_C_FV_e1c3a244dc3d4f149ecdf7d748811086_31">#REF!</definedName>
    <definedName name="_vena_CashFlowS2_CashFlowB4_C_FV_e1c3a244dc3d4f149ecdf7d748811086_32">#REF!</definedName>
    <definedName name="_vena_CashFlowS2_CashFlowB4_C_FV_e1c3a244dc3d4f149ecdf7d748811086_33">#REF!</definedName>
    <definedName name="_vena_CashFlowS2_CashFlowB4_C_FV_e1c3a244dc3d4f149ecdf7d748811086_34">#REF!</definedName>
    <definedName name="_vena_CashFlowS2_CashFlowB4_C_FV_e1c3a244dc3d4f149ecdf7d748811086_35">#REF!</definedName>
    <definedName name="_vena_CashFlowS2_CashFlowB4_C_FV_e1c3a244dc3d4f149ecdf7d748811086_36">#REF!</definedName>
    <definedName name="_vena_CashFlowS2_CashFlowB4_C_FV_e1c3a244dc3d4f149ecdf7d748811086_37">#REF!</definedName>
    <definedName name="_vena_CashFlowS2_CashFlowB4_C_FV_e1c3a244dc3d4f149ecdf7d748811086_38">#REF!</definedName>
    <definedName name="_vena_CashFlowS2_CashFlowB4_C_FV_e1c3a244dc3d4f149ecdf7d748811086_39">#REF!</definedName>
    <definedName name="_vena_CashFlowS2_CashFlowB4_C_FV_e1c3a244dc3d4f149ecdf7d748811086_4">#REF!</definedName>
    <definedName name="_vena_CashFlowS2_CashFlowB4_C_FV_e1c3a244dc3d4f149ecdf7d748811086_40">#REF!</definedName>
    <definedName name="_vena_CashFlowS2_CashFlowB4_C_FV_e1c3a244dc3d4f149ecdf7d748811086_41">#REF!</definedName>
    <definedName name="_vena_CashFlowS2_CashFlowB4_C_FV_e1c3a244dc3d4f149ecdf7d748811086_42">#REF!</definedName>
    <definedName name="_vena_CashFlowS2_CashFlowB4_C_FV_e1c3a244dc3d4f149ecdf7d748811086_43">#REF!</definedName>
    <definedName name="_vena_CashFlowS2_CashFlowB4_C_FV_e1c3a244dc3d4f149ecdf7d748811086_44">#REF!</definedName>
    <definedName name="_vena_CashFlowS2_CashFlowB4_C_FV_e1c3a244dc3d4f149ecdf7d748811086_45">#REF!</definedName>
    <definedName name="_vena_CashFlowS2_CashFlowB4_C_FV_e1c3a244dc3d4f149ecdf7d748811086_46">#REF!</definedName>
    <definedName name="_vena_CashFlowS2_CashFlowB4_C_FV_e1c3a244dc3d4f149ecdf7d748811086_47">#REF!</definedName>
    <definedName name="_vena_CashFlowS2_CashFlowB4_C_FV_e1c3a244dc3d4f149ecdf7d748811086_48">#REF!</definedName>
    <definedName name="_vena_CashFlowS2_CashFlowB4_C_FV_e1c3a244dc3d4f149ecdf7d748811086_49">#REF!</definedName>
    <definedName name="_vena_CashFlowS2_CashFlowB4_C_FV_e1c3a244dc3d4f149ecdf7d748811086_5">#REF!</definedName>
    <definedName name="_vena_CashFlowS2_CashFlowB4_C_FV_e1c3a244dc3d4f149ecdf7d748811086_50">#REF!</definedName>
    <definedName name="_vena_CashFlowS2_CashFlowB4_C_FV_e1c3a244dc3d4f149ecdf7d748811086_51">#REF!</definedName>
    <definedName name="_vena_CashFlowS2_CashFlowB4_C_FV_e1c3a244dc3d4f149ecdf7d748811086_52">#REF!</definedName>
    <definedName name="_vena_CashFlowS2_CashFlowB4_C_FV_e1c3a244dc3d4f149ecdf7d748811086_53">#REF!</definedName>
    <definedName name="_vena_CashFlowS2_CashFlowB4_C_FV_e1c3a244dc3d4f149ecdf7d748811086_54">#REF!</definedName>
    <definedName name="_vena_CashFlowS2_CashFlowB4_C_FV_e1c3a244dc3d4f149ecdf7d748811086_55">#REF!</definedName>
    <definedName name="_vena_CashFlowS2_CashFlowB4_C_FV_e1c3a244dc3d4f149ecdf7d748811086_56">#REF!</definedName>
    <definedName name="_vena_CashFlowS2_CashFlowB4_C_FV_e1c3a244dc3d4f149ecdf7d748811086_57">#REF!</definedName>
    <definedName name="_vena_CashFlowS2_CashFlowB4_C_FV_e1c3a244dc3d4f149ecdf7d748811086_58">#REF!</definedName>
    <definedName name="_vena_CashFlowS2_CashFlowB4_C_FV_e1c3a244dc3d4f149ecdf7d748811086_59">#REF!</definedName>
    <definedName name="_vena_CashFlowS2_CashFlowB4_C_FV_e1c3a244dc3d4f149ecdf7d748811086_6">#REF!</definedName>
    <definedName name="_vena_CashFlowS2_CashFlowB4_C_FV_e1c3a244dc3d4f149ecdf7d748811086_60">#REF!</definedName>
    <definedName name="_vena_CashFlowS2_CashFlowB4_C_FV_e1c3a244dc3d4f149ecdf7d748811086_61">#REF!</definedName>
    <definedName name="_vena_CashFlowS2_CashFlowB4_C_FV_e1c3a244dc3d4f149ecdf7d748811086_62">#REF!</definedName>
    <definedName name="_vena_CashFlowS2_CashFlowB4_C_FV_e1c3a244dc3d4f149ecdf7d748811086_63">#REF!</definedName>
    <definedName name="_vena_CashFlowS2_CashFlowB4_C_FV_e1c3a244dc3d4f149ecdf7d748811086_64">#REF!</definedName>
    <definedName name="_vena_CashFlowS2_CashFlowB4_C_FV_e1c3a244dc3d4f149ecdf7d748811086_65">#REF!</definedName>
    <definedName name="_vena_CashFlowS2_CashFlowB4_C_FV_e1c3a244dc3d4f149ecdf7d748811086_66">#REF!</definedName>
    <definedName name="_vena_CashFlowS2_CashFlowB4_C_FV_e1c3a244dc3d4f149ecdf7d748811086_67">#REF!</definedName>
    <definedName name="_vena_CashFlowS2_CashFlowB4_C_FV_e1c3a244dc3d4f149ecdf7d748811086_68">#REF!</definedName>
    <definedName name="_vena_CashFlowS2_CashFlowB4_C_FV_e1c3a244dc3d4f149ecdf7d748811086_69">#REF!</definedName>
    <definedName name="_vena_CashFlowS2_CashFlowB4_C_FV_e1c3a244dc3d4f149ecdf7d748811086_7">#REF!</definedName>
    <definedName name="_vena_CashFlowS2_CashFlowB4_C_FV_e1c3a244dc3d4f149ecdf7d748811086_70">#REF!</definedName>
    <definedName name="_vena_CashFlowS2_CashFlowB4_C_FV_e1c3a244dc3d4f149ecdf7d748811086_71">#REF!</definedName>
    <definedName name="_vena_CashFlowS2_CashFlowB4_C_FV_e1c3a244dc3d4f149ecdf7d748811086_8">#REF!</definedName>
    <definedName name="_vena_CashFlowS2_CashFlowB4_C_FV_e1c3a244dc3d4f149ecdf7d748811086_9">#REF!</definedName>
    <definedName name="_vena_CashFlowS2_CashFlowB4_R_5_463656169434644480">#REF!</definedName>
    <definedName name="_vena_CashFlowS2_CashFlowB4_R_5_551651281434574848">#REF!</definedName>
    <definedName name="_vena_CashFlowS2_CashFlowB4_R_5_632005311532367872">#REF!</definedName>
    <definedName name="_vena_CashFlowS2_CashFlowB5_C_8_431662182280724481">#REF!</definedName>
    <definedName name="_vena_CashFlowS2_CashFlowB5_C_8_431662182280724481_1">#REF!</definedName>
    <definedName name="_vena_CashFlowS2_CashFlowB5_C_8_431662182280724481_10">#REF!</definedName>
    <definedName name="_vena_CashFlowS2_CashFlowB5_C_8_431662182280724481_11">#REF!</definedName>
    <definedName name="_vena_CashFlowS2_CashFlowB5_C_8_431662182280724481_2">#REF!</definedName>
    <definedName name="_vena_CashFlowS2_CashFlowB5_C_8_431662182280724481_3">#REF!</definedName>
    <definedName name="_vena_CashFlowS2_CashFlowB5_C_8_431662182280724481_4">#REF!</definedName>
    <definedName name="_vena_CashFlowS2_CashFlowB5_C_8_431662182280724481_5">#REF!</definedName>
    <definedName name="_vena_CashFlowS2_CashFlowB5_C_8_431662182280724481_6">#REF!</definedName>
    <definedName name="_vena_CashFlowS2_CashFlowB5_C_8_431662182280724481_7">#REF!</definedName>
    <definedName name="_vena_CashFlowS2_CashFlowB5_C_8_431662182280724481_8">#REF!</definedName>
    <definedName name="_vena_CashFlowS2_CashFlowB5_C_8_431662182280724481_9">#REF!</definedName>
    <definedName name="_vena_CashFlowS2_CashFlowB5_C_8_551651297645559808">#REF!</definedName>
    <definedName name="_vena_CashFlowS2_CashFlowB5_C_8_551651297645559808_1">#REF!</definedName>
    <definedName name="_vena_CashFlowS2_CashFlowB5_C_8_551651297645559808_10">#REF!</definedName>
    <definedName name="_vena_CashFlowS2_CashFlowB5_C_8_551651297645559808_11">#REF!</definedName>
    <definedName name="_vena_CashFlowS2_CashFlowB5_C_8_551651297645559808_12">#REF!</definedName>
    <definedName name="_vena_CashFlowS2_CashFlowB5_C_8_551651297645559808_13">#REF!</definedName>
    <definedName name="_vena_CashFlowS2_CashFlowB5_C_8_551651297645559808_14">#REF!</definedName>
    <definedName name="_vena_CashFlowS2_CashFlowB5_C_8_551651297645559808_15">#REF!</definedName>
    <definedName name="_vena_CashFlowS2_CashFlowB5_C_8_551651297645559808_16">#REF!</definedName>
    <definedName name="_vena_CashFlowS2_CashFlowB5_C_8_551651297645559808_17">#REF!</definedName>
    <definedName name="_vena_CashFlowS2_CashFlowB5_C_8_551651297645559808_18">#REF!</definedName>
    <definedName name="_vena_CashFlowS2_CashFlowB5_C_8_551651297645559808_19">#REF!</definedName>
    <definedName name="_vena_CashFlowS2_CashFlowB5_C_8_551651297645559808_2">#REF!</definedName>
    <definedName name="_vena_CashFlowS2_CashFlowB5_C_8_551651297645559808_20">#REF!</definedName>
    <definedName name="_vena_CashFlowS2_CashFlowB5_C_8_551651297645559808_21">#REF!</definedName>
    <definedName name="_vena_CashFlowS2_CashFlowB5_C_8_551651297645559808_22">#REF!</definedName>
    <definedName name="_vena_CashFlowS2_CashFlowB5_C_8_551651297645559808_23">#REF!</definedName>
    <definedName name="_vena_CashFlowS2_CashFlowB5_C_8_551651297645559808_24">#REF!</definedName>
    <definedName name="_vena_CashFlowS2_CashFlowB5_C_8_551651297645559808_25">#REF!</definedName>
    <definedName name="_vena_CashFlowS2_CashFlowB5_C_8_551651297645559808_26">#REF!</definedName>
    <definedName name="_vena_CashFlowS2_CashFlowB5_C_8_551651297645559808_27">#REF!</definedName>
    <definedName name="_vena_CashFlowS2_CashFlowB5_C_8_551651297645559808_28">#REF!</definedName>
    <definedName name="_vena_CashFlowS2_CashFlowB5_C_8_551651297645559808_29">#REF!</definedName>
    <definedName name="_vena_CashFlowS2_CashFlowB5_C_8_551651297645559808_3">#REF!</definedName>
    <definedName name="_vena_CashFlowS2_CashFlowB5_C_8_551651297645559808_30">#REF!</definedName>
    <definedName name="_vena_CashFlowS2_CashFlowB5_C_8_551651297645559808_31">#REF!</definedName>
    <definedName name="_vena_CashFlowS2_CashFlowB5_C_8_551651297645559808_32">#REF!</definedName>
    <definedName name="_vena_CashFlowS2_CashFlowB5_C_8_551651297645559808_33">#REF!</definedName>
    <definedName name="_vena_CashFlowS2_CashFlowB5_C_8_551651297645559808_34">#REF!</definedName>
    <definedName name="_vena_CashFlowS2_CashFlowB5_C_8_551651297645559808_35">#REF!</definedName>
    <definedName name="_vena_CashFlowS2_CashFlowB5_C_8_551651297645559808_36">#REF!</definedName>
    <definedName name="_vena_CashFlowS2_CashFlowB5_C_8_551651297645559808_37">#REF!</definedName>
    <definedName name="_vena_CashFlowS2_CashFlowB5_C_8_551651297645559808_38">#REF!</definedName>
    <definedName name="_vena_CashFlowS2_CashFlowB5_C_8_551651297645559808_39">#REF!</definedName>
    <definedName name="_vena_CashFlowS2_CashFlowB5_C_8_551651297645559808_4">#REF!</definedName>
    <definedName name="_vena_CashFlowS2_CashFlowB5_C_8_551651297645559808_40">#REF!</definedName>
    <definedName name="_vena_CashFlowS2_CashFlowB5_C_8_551651297645559808_41">#REF!</definedName>
    <definedName name="_vena_CashFlowS2_CashFlowB5_C_8_551651297645559808_42">#REF!</definedName>
    <definedName name="_vena_CashFlowS2_CashFlowB5_C_8_551651297645559808_43">#REF!</definedName>
    <definedName name="_vena_CashFlowS2_CashFlowB5_C_8_551651297645559808_44">#REF!</definedName>
    <definedName name="_vena_CashFlowS2_CashFlowB5_C_8_551651297645559808_45">#REF!</definedName>
    <definedName name="_vena_CashFlowS2_CashFlowB5_C_8_551651297645559808_46">#REF!</definedName>
    <definedName name="_vena_CashFlowS2_CashFlowB5_C_8_551651297645559808_47">#REF!</definedName>
    <definedName name="_vena_CashFlowS2_CashFlowB5_C_8_551651297645559808_5">#REF!</definedName>
    <definedName name="_vena_CashFlowS2_CashFlowB5_C_8_551651297645559808_6">#REF!</definedName>
    <definedName name="_vena_CashFlowS2_CashFlowB5_C_8_551651297645559808_7">#REF!</definedName>
    <definedName name="_vena_CashFlowS2_CashFlowB5_C_8_551651297645559808_8">#REF!</definedName>
    <definedName name="_vena_CashFlowS2_CashFlowB5_C_8_551651297645559808_9">#REF!</definedName>
    <definedName name="_vena_CashFlowS2_CashFlowB5_C_8_551651297725251586">#REF!</definedName>
    <definedName name="_vena_CashFlowS2_CashFlowB5_C_8_551651297725251586_1">#REF!</definedName>
    <definedName name="_vena_CashFlowS2_CashFlowB5_C_8_551651297725251586_10">#REF!</definedName>
    <definedName name="_vena_CashFlowS2_CashFlowB5_C_8_551651297725251586_11">#REF!</definedName>
    <definedName name="_vena_CashFlowS2_CashFlowB5_C_8_551651297725251586_12">#REF!</definedName>
    <definedName name="_vena_CashFlowS2_CashFlowB5_C_8_551651297725251586_13">#REF!</definedName>
    <definedName name="_vena_CashFlowS2_CashFlowB5_C_8_551651297725251586_14">#REF!</definedName>
    <definedName name="_vena_CashFlowS2_CashFlowB5_C_8_551651297725251586_15">#REF!</definedName>
    <definedName name="_vena_CashFlowS2_CashFlowB5_C_8_551651297725251586_16">#REF!</definedName>
    <definedName name="_vena_CashFlowS2_CashFlowB5_C_8_551651297725251586_17">#REF!</definedName>
    <definedName name="_vena_CashFlowS2_CashFlowB5_C_8_551651297725251586_18">#REF!</definedName>
    <definedName name="_vena_CashFlowS2_CashFlowB5_C_8_551651297725251586_19">#REF!</definedName>
    <definedName name="_vena_CashFlowS2_CashFlowB5_C_8_551651297725251586_2">#REF!</definedName>
    <definedName name="_vena_CashFlowS2_CashFlowB5_C_8_551651297725251586_20">#REF!</definedName>
    <definedName name="_vena_CashFlowS2_CashFlowB5_C_8_551651297725251586_21">#REF!</definedName>
    <definedName name="_vena_CashFlowS2_CashFlowB5_C_8_551651297725251586_22">#REF!</definedName>
    <definedName name="_vena_CashFlowS2_CashFlowB5_C_8_551651297725251586_23">#REF!</definedName>
    <definedName name="_vena_CashFlowS2_CashFlowB5_C_8_551651297725251586_3">#REF!</definedName>
    <definedName name="_vena_CashFlowS2_CashFlowB5_C_8_551651297725251586_4">#REF!</definedName>
    <definedName name="_vena_CashFlowS2_CashFlowB5_C_8_551651297725251586_5">#REF!</definedName>
    <definedName name="_vena_CashFlowS2_CashFlowB5_C_8_551651297725251586_6">#REF!</definedName>
    <definedName name="_vena_CashFlowS2_CashFlowB5_C_8_551651297725251586_7">#REF!</definedName>
    <definedName name="_vena_CashFlowS2_CashFlowB5_C_8_551651297725251586_8">#REF!</definedName>
    <definedName name="_vena_CashFlowS2_CashFlowB5_C_8_551651297725251586_9">#REF!</definedName>
    <definedName name="_vena_CashFlowS2_CashFlowB5_C_8_632005313629519872">#REF!</definedName>
    <definedName name="_vena_CashFlowS2_CashFlowB5_C_8_632005313629519872_1">#REF!</definedName>
    <definedName name="_vena_CashFlowS2_CashFlowB5_C_8_632005313629519872_10">#REF!</definedName>
    <definedName name="_vena_CashFlowS2_CashFlowB5_C_8_632005313629519872_11">#REF!</definedName>
    <definedName name="_vena_CashFlowS2_CashFlowB5_C_8_632005313629519872_12">#REF!</definedName>
    <definedName name="_vena_CashFlowS2_CashFlowB5_C_8_632005313629519872_13">#REF!</definedName>
    <definedName name="_vena_CashFlowS2_CashFlowB5_C_8_632005313629519872_14">#REF!</definedName>
    <definedName name="_vena_CashFlowS2_CashFlowB5_C_8_632005313629519872_15">#REF!</definedName>
    <definedName name="_vena_CashFlowS2_CashFlowB5_C_8_632005313629519872_16">#REF!</definedName>
    <definedName name="_vena_CashFlowS2_CashFlowB5_C_8_632005313629519872_17">#REF!</definedName>
    <definedName name="_vena_CashFlowS2_CashFlowB5_C_8_632005313629519872_18">#REF!</definedName>
    <definedName name="_vena_CashFlowS2_CashFlowB5_C_8_632005313629519872_19">#REF!</definedName>
    <definedName name="_vena_CashFlowS2_CashFlowB5_C_8_632005313629519872_2">#REF!</definedName>
    <definedName name="_vena_CashFlowS2_CashFlowB5_C_8_632005313629519872_20">#REF!</definedName>
    <definedName name="_vena_CashFlowS2_CashFlowB5_C_8_632005313629519872_21">#REF!</definedName>
    <definedName name="_vena_CashFlowS2_CashFlowB5_C_8_632005313629519872_22">#REF!</definedName>
    <definedName name="_vena_CashFlowS2_CashFlowB5_C_8_632005313629519872_23">#REF!</definedName>
    <definedName name="_vena_CashFlowS2_CashFlowB5_C_8_632005313629519872_3">#REF!</definedName>
    <definedName name="_vena_CashFlowS2_CashFlowB5_C_8_632005313629519872_4">#REF!</definedName>
    <definedName name="_vena_CashFlowS2_CashFlowB5_C_8_632005313629519872_5">#REF!</definedName>
    <definedName name="_vena_CashFlowS2_CashFlowB5_C_8_632005313629519872_6">#REF!</definedName>
    <definedName name="_vena_CashFlowS2_CashFlowB5_C_8_632005313629519872_7">#REF!</definedName>
    <definedName name="_vena_CashFlowS2_CashFlowB5_C_8_632005313629519872_8">#REF!</definedName>
    <definedName name="_vena_CashFlowS2_CashFlowB5_C_8_632005313629519872_9">#REF!</definedName>
    <definedName name="_vena_CashFlowS2_CashFlowB5_C_8_632005313671462912">#REF!</definedName>
    <definedName name="_vena_CashFlowS2_CashFlowB5_C_8_632005313671462912_1">#REF!</definedName>
    <definedName name="_vena_CashFlowS2_CashFlowB5_C_8_632005313671462912_10">#REF!</definedName>
    <definedName name="_vena_CashFlowS2_CashFlowB5_C_8_632005313671462912_11">#REF!</definedName>
    <definedName name="_vena_CashFlowS2_CashFlowB5_C_8_632005313671462912_12">#REF!</definedName>
    <definedName name="_vena_CashFlowS2_CashFlowB5_C_8_632005313671462912_13">#REF!</definedName>
    <definedName name="_vena_CashFlowS2_CashFlowB5_C_8_632005313671462912_14">#REF!</definedName>
    <definedName name="_vena_CashFlowS2_CashFlowB5_C_8_632005313671462912_15">#REF!</definedName>
    <definedName name="_vena_CashFlowS2_CashFlowB5_C_8_632005313671462912_16">#REF!</definedName>
    <definedName name="_vena_CashFlowS2_CashFlowB5_C_8_632005313671462912_17">#REF!</definedName>
    <definedName name="_vena_CashFlowS2_CashFlowB5_C_8_632005313671462912_18">#REF!</definedName>
    <definedName name="_vena_CashFlowS2_CashFlowB5_C_8_632005313671462912_19">#REF!</definedName>
    <definedName name="_vena_CashFlowS2_CashFlowB5_C_8_632005313671462912_2">#REF!</definedName>
    <definedName name="_vena_CashFlowS2_CashFlowB5_C_8_632005313671462912_20">#REF!</definedName>
    <definedName name="_vena_CashFlowS2_CashFlowB5_C_8_632005313671462912_21">#REF!</definedName>
    <definedName name="_vena_CashFlowS2_CashFlowB5_C_8_632005313671462912_22">#REF!</definedName>
    <definedName name="_vena_CashFlowS2_CashFlowB5_C_8_632005313671462912_23">#REF!</definedName>
    <definedName name="_vena_CashFlowS2_CashFlowB5_C_8_632005313671462912_24">#REF!</definedName>
    <definedName name="_vena_CashFlowS2_CashFlowB5_C_8_632005313671462912_25">#REF!</definedName>
    <definedName name="_vena_CashFlowS2_CashFlowB5_C_8_632005313671462912_26">#REF!</definedName>
    <definedName name="_vena_CashFlowS2_CashFlowB5_C_8_632005313671462912_27">#REF!</definedName>
    <definedName name="_vena_CashFlowS2_CashFlowB5_C_8_632005313671462912_28">#REF!</definedName>
    <definedName name="_vena_CashFlowS2_CashFlowB5_C_8_632005313671462912_29">#REF!</definedName>
    <definedName name="_vena_CashFlowS2_CashFlowB5_C_8_632005313671462912_3">#REF!</definedName>
    <definedName name="_vena_CashFlowS2_CashFlowB5_C_8_632005313671462912_30">#REF!</definedName>
    <definedName name="_vena_CashFlowS2_CashFlowB5_C_8_632005313671462912_31">#REF!</definedName>
    <definedName name="_vena_CashFlowS2_CashFlowB5_C_8_632005313671462912_32">#REF!</definedName>
    <definedName name="_vena_CashFlowS2_CashFlowB5_C_8_632005313671462912_33">#REF!</definedName>
    <definedName name="_vena_CashFlowS2_CashFlowB5_C_8_632005313671462912_34">#REF!</definedName>
    <definedName name="_vena_CashFlowS2_CashFlowB5_C_8_632005313671462912_35">#REF!</definedName>
    <definedName name="_vena_CashFlowS2_CashFlowB5_C_8_632005313671462912_36">#REF!</definedName>
    <definedName name="_vena_CashFlowS2_CashFlowB5_C_8_632005313671462912_37">#REF!</definedName>
    <definedName name="_vena_CashFlowS2_CashFlowB5_C_8_632005313671462912_38">#REF!</definedName>
    <definedName name="_vena_CashFlowS2_CashFlowB5_C_8_632005313671462912_39">#REF!</definedName>
    <definedName name="_vena_CashFlowS2_CashFlowB5_C_8_632005313671462912_4">#REF!</definedName>
    <definedName name="_vena_CashFlowS2_CashFlowB5_C_8_632005313671462912_40">#REF!</definedName>
    <definedName name="_vena_CashFlowS2_CashFlowB5_C_8_632005313671462912_41">#REF!</definedName>
    <definedName name="_vena_CashFlowS2_CashFlowB5_C_8_632005313671462912_42">#REF!</definedName>
    <definedName name="_vena_CashFlowS2_CashFlowB5_C_8_632005313671462912_43">#REF!</definedName>
    <definedName name="_vena_CashFlowS2_CashFlowB5_C_8_632005313671462912_44">#REF!</definedName>
    <definedName name="_vena_CashFlowS2_CashFlowB5_C_8_632005313671462912_45">#REF!</definedName>
    <definedName name="_vena_CashFlowS2_CashFlowB5_C_8_632005313671462912_46">#REF!</definedName>
    <definedName name="_vena_CashFlowS2_CashFlowB5_C_8_632005313671462912_47">#REF!</definedName>
    <definedName name="_vena_CashFlowS2_CashFlowB5_C_8_632005313671462912_5">#REF!</definedName>
    <definedName name="_vena_CashFlowS2_CashFlowB5_C_8_632005313671462912_6">#REF!</definedName>
    <definedName name="_vena_CashFlowS2_CashFlowB5_C_8_632005313671462912_7">#REF!</definedName>
    <definedName name="_vena_CashFlowS2_CashFlowB5_C_8_632005313671462912_8">#REF!</definedName>
    <definedName name="_vena_CashFlowS2_CashFlowB5_C_8_632005313671462912_9">#REF!</definedName>
    <definedName name="_vena_CashFlowS2_CashFlowB5_C_FV_56493ffece784c5db4cd0fd3b40a250d">#REF!</definedName>
    <definedName name="_vena_CashFlowS2_CashFlowB5_C_FV_56493ffece784c5db4cd0fd3b40a250d_1">#REF!</definedName>
    <definedName name="_vena_CashFlowS2_CashFlowB5_C_FV_56493ffece784c5db4cd0fd3b40a250d_10">#REF!</definedName>
    <definedName name="_vena_CashFlowS2_CashFlowB5_C_FV_56493ffece784c5db4cd0fd3b40a250d_11">#REF!</definedName>
    <definedName name="_vena_CashFlowS2_CashFlowB5_C_FV_56493ffece784c5db4cd0fd3b40a250d_12">#REF!</definedName>
    <definedName name="_vena_CashFlowS2_CashFlowB5_C_FV_56493ffece784c5db4cd0fd3b40a250d_13">#REF!</definedName>
    <definedName name="_vena_CashFlowS2_CashFlowB5_C_FV_56493ffece784c5db4cd0fd3b40a250d_14">#REF!</definedName>
    <definedName name="_vena_CashFlowS2_CashFlowB5_C_FV_56493ffece784c5db4cd0fd3b40a250d_15">#REF!</definedName>
    <definedName name="_vena_CashFlowS2_CashFlowB5_C_FV_56493ffece784c5db4cd0fd3b40a250d_16">#REF!</definedName>
    <definedName name="_vena_CashFlowS2_CashFlowB5_C_FV_56493ffece784c5db4cd0fd3b40a250d_17">#REF!</definedName>
    <definedName name="_vena_CashFlowS2_CashFlowB5_C_FV_56493ffece784c5db4cd0fd3b40a250d_18">#REF!</definedName>
    <definedName name="_vena_CashFlowS2_CashFlowB5_C_FV_56493ffece784c5db4cd0fd3b40a250d_19">#REF!</definedName>
    <definedName name="_vena_CashFlowS2_CashFlowB5_C_FV_56493ffece784c5db4cd0fd3b40a250d_2">#REF!</definedName>
    <definedName name="_vena_CashFlowS2_CashFlowB5_C_FV_56493ffece784c5db4cd0fd3b40a250d_20">#REF!</definedName>
    <definedName name="_vena_CashFlowS2_CashFlowB5_C_FV_56493ffece784c5db4cd0fd3b40a250d_21">#REF!</definedName>
    <definedName name="_vena_CashFlowS2_CashFlowB5_C_FV_56493ffece784c5db4cd0fd3b40a250d_22">#REF!</definedName>
    <definedName name="_vena_CashFlowS2_CashFlowB5_C_FV_56493ffece784c5db4cd0fd3b40a250d_23">#REF!</definedName>
    <definedName name="_vena_CashFlowS2_CashFlowB5_C_FV_56493ffece784c5db4cd0fd3b40a250d_24">#REF!</definedName>
    <definedName name="_vena_CashFlowS2_CashFlowB5_C_FV_56493ffece784c5db4cd0fd3b40a250d_25">#REF!</definedName>
    <definedName name="_vena_CashFlowS2_CashFlowB5_C_FV_56493ffece784c5db4cd0fd3b40a250d_26">#REF!</definedName>
    <definedName name="_vena_CashFlowS2_CashFlowB5_C_FV_56493ffece784c5db4cd0fd3b40a250d_27">#REF!</definedName>
    <definedName name="_vena_CashFlowS2_CashFlowB5_C_FV_56493ffece784c5db4cd0fd3b40a250d_28">#REF!</definedName>
    <definedName name="_vena_CashFlowS2_CashFlowB5_C_FV_56493ffece784c5db4cd0fd3b40a250d_29">#REF!</definedName>
    <definedName name="_vena_CashFlowS2_CashFlowB5_C_FV_56493ffece784c5db4cd0fd3b40a250d_3">#REF!</definedName>
    <definedName name="_vena_CashFlowS2_CashFlowB5_C_FV_56493ffece784c5db4cd0fd3b40a250d_30">#REF!</definedName>
    <definedName name="_vena_CashFlowS2_CashFlowB5_C_FV_56493ffece784c5db4cd0fd3b40a250d_31">#REF!</definedName>
    <definedName name="_vena_CashFlowS2_CashFlowB5_C_FV_56493ffece784c5db4cd0fd3b40a250d_32">#REF!</definedName>
    <definedName name="_vena_CashFlowS2_CashFlowB5_C_FV_56493ffece784c5db4cd0fd3b40a250d_33">#REF!</definedName>
    <definedName name="_vena_CashFlowS2_CashFlowB5_C_FV_56493ffece784c5db4cd0fd3b40a250d_34">#REF!</definedName>
    <definedName name="_vena_CashFlowS2_CashFlowB5_C_FV_56493ffece784c5db4cd0fd3b40a250d_35">#REF!</definedName>
    <definedName name="_vena_CashFlowS2_CashFlowB5_C_FV_56493ffece784c5db4cd0fd3b40a250d_36">#REF!</definedName>
    <definedName name="_vena_CashFlowS2_CashFlowB5_C_FV_56493ffece784c5db4cd0fd3b40a250d_37">#REF!</definedName>
    <definedName name="_vena_CashFlowS2_CashFlowB5_C_FV_56493ffece784c5db4cd0fd3b40a250d_38">#REF!</definedName>
    <definedName name="_vena_CashFlowS2_CashFlowB5_C_FV_56493ffece784c5db4cd0fd3b40a250d_39">#REF!</definedName>
    <definedName name="_vena_CashFlowS2_CashFlowB5_C_FV_56493ffece784c5db4cd0fd3b40a250d_4">#REF!</definedName>
    <definedName name="_vena_CashFlowS2_CashFlowB5_C_FV_56493ffece784c5db4cd0fd3b40a250d_40">#REF!</definedName>
    <definedName name="_vena_CashFlowS2_CashFlowB5_C_FV_56493ffece784c5db4cd0fd3b40a250d_41">#REF!</definedName>
    <definedName name="_vena_CashFlowS2_CashFlowB5_C_FV_56493ffece784c5db4cd0fd3b40a250d_42">#REF!</definedName>
    <definedName name="_vena_CashFlowS2_CashFlowB5_C_FV_56493ffece784c5db4cd0fd3b40a250d_43">#REF!</definedName>
    <definedName name="_vena_CashFlowS2_CashFlowB5_C_FV_56493ffece784c5db4cd0fd3b40a250d_44">#REF!</definedName>
    <definedName name="_vena_CashFlowS2_CashFlowB5_C_FV_56493ffece784c5db4cd0fd3b40a250d_45">#REF!</definedName>
    <definedName name="_vena_CashFlowS2_CashFlowB5_C_FV_56493ffece784c5db4cd0fd3b40a250d_46">#REF!</definedName>
    <definedName name="_vena_CashFlowS2_CashFlowB5_C_FV_56493ffece784c5db4cd0fd3b40a250d_47">#REF!</definedName>
    <definedName name="_vena_CashFlowS2_CashFlowB5_C_FV_56493ffece784c5db4cd0fd3b40a250d_48">#REF!</definedName>
    <definedName name="_vena_CashFlowS2_CashFlowB5_C_FV_56493ffece784c5db4cd0fd3b40a250d_49">#REF!</definedName>
    <definedName name="_vena_CashFlowS2_CashFlowB5_C_FV_56493ffece784c5db4cd0fd3b40a250d_5">#REF!</definedName>
    <definedName name="_vena_CashFlowS2_CashFlowB5_C_FV_56493ffece784c5db4cd0fd3b40a250d_50">#REF!</definedName>
    <definedName name="_vena_CashFlowS2_CashFlowB5_C_FV_56493ffece784c5db4cd0fd3b40a250d_51">#REF!</definedName>
    <definedName name="_vena_CashFlowS2_CashFlowB5_C_FV_56493ffece784c5db4cd0fd3b40a250d_52">#REF!</definedName>
    <definedName name="_vena_CashFlowS2_CashFlowB5_C_FV_56493ffece784c5db4cd0fd3b40a250d_53">#REF!</definedName>
    <definedName name="_vena_CashFlowS2_CashFlowB5_C_FV_56493ffece784c5db4cd0fd3b40a250d_54">#REF!</definedName>
    <definedName name="_vena_CashFlowS2_CashFlowB5_C_FV_56493ffece784c5db4cd0fd3b40a250d_55">#REF!</definedName>
    <definedName name="_vena_CashFlowS2_CashFlowB5_C_FV_56493ffece784c5db4cd0fd3b40a250d_56">#REF!</definedName>
    <definedName name="_vena_CashFlowS2_CashFlowB5_C_FV_56493ffece784c5db4cd0fd3b40a250d_57">#REF!</definedName>
    <definedName name="_vena_CashFlowS2_CashFlowB5_C_FV_56493ffece784c5db4cd0fd3b40a250d_58">#REF!</definedName>
    <definedName name="_vena_CashFlowS2_CashFlowB5_C_FV_56493ffece784c5db4cd0fd3b40a250d_59">#REF!</definedName>
    <definedName name="_vena_CashFlowS2_CashFlowB5_C_FV_56493ffece784c5db4cd0fd3b40a250d_6">#REF!</definedName>
    <definedName name="_vena_CashFlowS2_CashFlowB5_C_FV_56493ffece784c5db4cd0fd3b40a250d_60">#REF!</definedName>
    <definedName name="_vena_CashFlowS2_CashFlowB5_C_FV_56493ffece784c5db4cd0fd3b40a250d_61">#REF!</definedName>
    <definedName name="_vena_CashFlowS2_CashFlowB5_C_FV_56493ffece784c5db4cd0fd3b40a250d_62">#REF!</definedName>
    <definedName name="_vena_CashFlowS2_CashFlowB5_C_FV_56493ffece784c5db4cd0fd3b40a250d_63">#REF!</definedName>
    <definedName name="_vena_CashFlowS2_CashFlowB5_C_FV_56493ffece784c5db4cd0fd3b40a250d_64">#REF!</definedName>
    <definedName name="_vena_CashFlowS2_CashFlowB5_C_FV_56493ffece784c5db4cd0fd3b40a250d_65">#REF!</definedName>
    <definedName name="_vena_CashFlowS2_CashFlowB5_C_FV_56493ffece784c5db4cd0fd3b40a250d_66">#REF!</definedName>
    <definedName name="_vena_CashFlowS2_CashFlowB5_C_FV_56493ffece784c5db4cd0fd3b40a250d_67">#REF!</definedName>
    <definedName name="_vena_CashFlowS2_CashFlowB5_C_FV_56493ffece784c5db4cd0fd3b40a250d_68">#REF!</definedName>
    <definedName name="_vena_CashFlowS2_CashFlowB5_C_FV_56493ffece784c5db4cd0fd3b40a250d_69">#REF!</definedName>
    <definedName name="_vena_CashFlowS2_CashFlowB5_C_FV_56493ffece784c5db4cd0fd3b40a250d_7">#REF!</definedName>
    <definedName name="_vena_CashFlowS2_CashFlowB5_C_FV_56493ffece784c5db4cd0fd3b40a250d_70">#REF!</definedName>
    <definedName name="_vena_CashFlowS2_CashFlowB5_C_FV_56493ffece784c5db4cd0fd3b40a250d_71">#REF!</definedName>
    <definedName name="_vena_CashFlowS2_CashFlowB5_C_FV_56493ffece784c5db4cd0fd3b40a250d_8">#REF!</definedName>
    <definedName name="_vena_CashFlowS2_CashFlowB5_C_FV_56493ffece784c5db4cd0fd3b40a250d_9">#REF!</definedName>
    <definedName name="_vena_CashFlowS2_CashFlowB5_C_FV_a398e917565c475b8f0c5e9ebb5e002d">#REF!</definedName>
    <definedName name="_vena_CashFlowS2_CashFlowB5_C_FV_a398e917565c475b8f0c5e9ebb5e002d_1">#REF!</definedName>
    <definedName name="_vena_CashFlowS2_CashFlowB5_C_FV_a398e917565c475b8f0c5e9ebb5e002d_10">#REF!</definedName>
    <definedName name="_vena_CashFlowS2_CashFlowB5_C_FV_a398e917565c475b8f0c5e9ebb5e002d_11">#REF!</definedName>
    <definedName name="_vena_CashFlowS2_CashFlowB5_C_FV_a398e917565c475b8f0c5e9ebb5e002d_12">#REF!</definedName>
    <definedName name="_vena_CashFlowS2_CashFlowB5_C_FV_a398e917565c475b8f0c5e9ebb5e002d_13">#REF!</definedName>
    <definedName name="_vena_CashFlowS2_CashFlowB5_C_FV_a398e917565c475b8f0c5e9ebb5e002d_14">#REF!</definedName>
    <definedName name="_vena_CashFlowS2_CashFlowB5_C_FV_a398e917565c475b8f0c5e9ebb5e002d_15">#REF!</definedName>
    <definedName name="_vena_CashFlowS2_CashFlowB5_C_FV_a398e917565c475b8f0c5e9ebb5e002d_16">#REF!</definedName>
    <definedName name="_vena_CashFlowS2_CashFlowB5_C_FV_a398e917565c475b8f0c5e9ebb5e002d_17">#REF!</definedName>
    <definedName name="_vena_CashFlowS2_CashFlowB5_C_FV_a398e917565c475b8f0c5e9ebb5e002d_18">#REF!</definedName>
    <definedName name="_vena_CashFlowS2_CashFlowB5_C_FV_a398e917565c475b8f0c5e9ebb5e002d_19">#REF!</definedName>
    <definedName name="_vena_CashFlowS2_CashFlowB5_C_FV_a398e917565c475b8f0c5e9ebb5e002d_2">#REF!</definedName>
    <definedName name="_vena_CashFlowS2_CashFlowB5_C_FV_a398e917565c475b8f0c5e9ebb5e002d_20">#REF!</definedName>
    <definedName name="_vena_CashFlowS2_CashFlowB5_C_FV_a398e917565c475b8f0c5e9ebb5e002d_21">#REF!</definedName>
    <definedName name="_vena_CashFlowS2_CashFlowB5_C_FV_a398e917565c475b8f0c5e9ebb5e002d_22">#REF!</definedName>
    <definedName name="_vena_CashFlowS2_CashFlowB5_C_FV_a398e917565c475b8f0c5e9ebb5e002d_23">#REF!</definedName>
    <definedName name="_vena_CashFlowS2_CashFlowB5_C_FV_a398e917565c475b8f0c5e9ebb5e002d_24">#REF!</definedName>
    <definedName name="_vena_CashFlowS2_CashFlowB5_C_FV_a398e917565c475b8f0c5e9ebb5e002d_25">#REF!</definedName>
    <definedName name="_vena_CashFlowS2_CashFlowB5_C_FV_a398e917565c475b8f0c5e9ebb5e002d_26">#REF!</definedName>
    <definedName name="_vena_CashFlowS2_CashFlowB5_C_FV_a398e917565c475b8f0c5e9ebb5e002d_27">#REF!</definedName>
    <definedName name="_vena_CashFlowS2_CashFlowB5_C_FV_a398e917565c475b8f0c5e9ebb5e002d_28">#REF!</definedName>
    <definedName name="_vena_CashFlowS2_CashFlowB5_C_FV_a398e917565c475b8f0c5e9ebb5e002d_29">#REF!</definedName>
    <definedName name="_vena_CashFlowS2_CashFlowB5_C_FV_a398e917565c475b8f0c5e9ebb5e002d_3">#REF!</definedName>
    <definedName name="_vena_CashFlowS2_CashFlowB5_C_FV_a398e917565c475b8f0c5e9ebb5e002d_30">#REF!</definedName>
    <definedName name="_vena_CashFlowS2_CashFlowB5_C_FV_a398e917565c475b8f0c5e9ebb5e002d_31">#REF!</definedName>
    <definedName name="_vena_CashFlowS2_CashFlowB5_C_FV_a398e917565c475b8f0c5e9ebb5e002d_32">#REF!</definedName>
    <definedName name="_vena_CashFlowS2_CashFlowB5_C_FV_a398e917565c475b8f0c5e9ebb5e002d_33">#REF!</definedName>
    <definedName name="_vena_CashFlowS2_CashFlowB5_C_FV_a398e917565c475b8f0c5e9ebb5e002d_34">#REF!</definedName>
    <definedName name="_vena_CashFlowS2_CashFlowB5_C_FV_a398e917565c475b8f0c5e9ebb5e002d_35">#REF!</definedName>
    <definedName name="_vena_CashFlowS2_CashFlowB5_C_FV_a398e917565c475b8f0c5e9ebb5e002d_36">#REF!</definedName>
    <definedName name="_vena_CashFlowS2_CashFlowB5_C_FV_a398e917565c475b8f0c5e9ebb5e002d_37">#REF!</definedName>
    <definedName name="_vena_CashFlowS2_CashFlowB5_C_FV_a398e917565c475b8f0c5e9ebb5e002d_38">#REF!</definedName>
    <definedName name="_vena_CashFlowS2_CashFlowB5_C_FV_a398e917565c475b8f0c5e9ebb5e002d_39">#REF!</definedName>
    <definedName name="_vena_CashFlowS2_CashFlowB5_C_FV_a398e917565c475b8f0c5e9ebb5e002d_4">#REF!</definedName>
    <definedName name="_vena_CashFlowS2_CashFlowB5_C_FV_a398e917565c475b8f0c5e9ebb5e002d_40">#REF!</definedName>
    <definedName name="_vena_CashFlowS2_CashFlowB5_C_FV_a398e917565c475b8f0c5e9ebb5e002d_41">#REF!</definedName>
    <definedName name="_vena_CashFlowS2_CashFlowB5_C_FV_a398e917565c475b8f0c5e9ebb5e002d_42">#REF!</definedName>
    <definedName name="_vena_CashFlowS2_CashFlowB5_C_FV_a398e917565c475b8f0c5e9ebb5e002d_43">#REF!</definedName>
    <definedName name="_vena_CashFlowS2_CashFlowB5_C_FV_a398e917565c475b8f0c5e9ebb5e002d_44">#REF!</definedName>
    <definedName name="_vena_CashFlowS2_CashFlowB5_C_FV_a398e917565c475b8f0c5e9ebb5e002d_45">#REF!</definedName>
    <definedName name="_vena_CashFlowS2_CashFlowB5_C_FV_a398e917565c475b8f0c5e9ebb5e002d_46">#REF!</definedName>
    <definedName name="_vena_CashFlowS2_CashFlowB5_C_FV_a398e917565c475b8f0c5e9ebb5e002d_47">#REF!</definedName>
    <definedName name="_vena_CashFlowS2_CashFlowB5_C_FV_a398e917565c475b8f0c5e9ebb5e002d_48">#REF!</definedName>
    <definedName name="_vena_CashFlowS2_CashFlowB5_C_FV_a398e917565c475b8f0c5e9ebb5e002d_49">#REF!</definedName>
    <definedName name="_vena_CashFlowS2_CashFlowB5_C_FV_a398e917565c475b8f0c5e9ebb5e002d_5">#REF!</definedName>
    <definedName name="_vena_CashFlowS2_CashFlowB5_C_FV_a398e917565c475b8f0c5e9ebb5e002d_50">#REF!</definedName>
    <definedName name="_vena_CashFlowS2_CashFlowB5_C_FV_a398e917565c475b8f0c5e9ebb5e002d_51">#REF!</definedName>
    <definedName name="_vena_CashFlowS2_CashFlowB5_C_FV_a398e917565c475b8f0c5e9ebb5e002d_52">#REF!</definedName>
    <definedName name="_vena_CashFlowS2_CashFlowB5_C_FV_a398e917565c475b8f0c5e9ebb5e002d_53">#REF!</definedName>
    <definedName name="_vena_CashFlowS2_CashFlowB5_C_FV_a398e917565c475b8f0c5e9ebb5e002d_54">#REF!</definedName>
    <definedName name="_vena_CashFlowS2_CashFlowB5_C_FV_a398e917565c475b8f0c5e9ebb5e002d_55">#REF!</definedName>
    <definedName name="_vena_CashFlowS2_CashFlowB5_C_FV_a398e917565c475b8f0c5e9ebb5e002d_56">#REF!</definedName>
    <definedName name="_vena_CashFlowS2_CashFlowB5_C_FV_a398e917565c475b8f0c5e9ebb5e002d_57">#REF!</definedName>
    <definedName name="_vena_CashFlowS2_CashFlowB5_C_FV_a398e917565c475b8f0c5e9ebb5e002d_58">#REF!</definedName>
    <definedName name="_vena_CashFlowS2_CashFlowB5_C_FV_a398e917565c475b8f0c5e9ebb5e002d_59">#REF!</definedName>
    <definedName name="_vena_CashFlowS2_CashFlowB5_C_FV_a398e917565c475b8f0c5e9ebb5e002d_6">#REF!</definedName>
    <definedName name="_vena_CashFlowS2_CashFlowB5_C_FV_a398e917565c475b8f0c5e9ebb5e002d_60">#REF!</definedName>
    <definedName name="_vena_CashFlowS2_CashFlowB5_C_FV_a398e917565c475b8f0c5e9ebb5e002d_61">#REF!</definedName>
    <definedName name="_vena_CashFlowS2_CashFlowB5_C_FV_a398e917565c475b8f0c5e9ebb5e002d_62">#REF!</definedName>
    <definedName name="_vena_CashFlowS2_CashFlowB5_C_FV_a398e917565c475b8f0c5e9ebb5e002d_63">#REF!</definedName>
    <definedName name="_vena_CashFlowS2_CashFlowB5_C_FV_a398e917565c475b8f0c5e9ebb5e002d_64">#REF!</definedName>
    <definedName name="_vena_CashFlowS2_CashFlowB5_C_FV_a398e917565c475b8f0c5e9ebb5e002d_65">#REF!</definedName>
    <definedName name="_vena_CashFlowS2_CashFlowB5_C_FV_a398e917565c475b8f0c5e9ebb5e002d_66">#REF!</definedName>
    <definedName name="_vena_CashFlowS2_CashFlowB5_C_FV_a398e917565c475b8f0c5e9ebb5e002d_67">#REF!</definedName>
    <definedName name="_vena_CashFlowS2_CashFlowB5_C_FV_a398e917565c475b8f0c5e9ebb5e002d_68">#REF!</definedName>
    <definedName name="_vena_CashFlowS2_CashFlowB5_C_FV_a398e917565c475b8f0c5e9ebb5e002d_69">#REF!</definedName>
    <definedName name="_vena_CashFlowS2_CashFlowB5_C_FV_a398e917565c475b8f0c5e9ebb5e002d_7">#REF!</definedName>
    <definedName name="_vena_CashFlowS2_CashFlowB5_C_FV_a398e917565c475b8f0c5e9ebb5e002d_70">#REF!</definedName>
    <definedName name="_vena_CashFlowS2_CashFlowB5_C_FV_a398e917565c475b8f0c5e9ebb5e002d_71">#REF!</definedName>
    <definedName name="_vena_CashFlowS2_CashFlowB5_C_FV_a398e917565c475b8f0c5e9ebb5e002d_8">#REF!</definedName>
    <definedName name="_vena_CashFlowS2_CashFlowB5_C_FV_a398e917565c475b8f0c5e9ebb5e002d_9">#REF!</definedName>
    <definedName name="_vena_CashFlowS2_CashFlowB5_C_FV_e1c3a244dc3d4f149ecdf7d748811086">#REF!</definedName>
    <definedName name="_vena_CashFlowS2_CashFlowB5_C_FV_e1c3a244dc3d4f149ecdf7d748811086_1">#REF!</definedName>
    <definedName name="_vena_CashFlowS2_CashFlowB5_C_FV_e1c3a244dc3d4f149ecdf7d748811086_10">#REF!</definedName>
    <definedName name="_vena_CashFlowS2_CashFlowB5_C_FV_e1c3a244dc3d4f149ecdf7d748811086_11">#REF!</definedName>
    <definedName name="_vena_CashFlowS2_CashFlowB5_C_FV_e1c3a244dc3d4f149ecdf7d748811086_12">#REF!</definedName>
    <definedName name="_vena_CashFlowS2_CashFlowB5_C_FV_e1c3a244dc3d4f149ecdf7d748811086_13">#REF!</definedName>
    <definedName name="_vena_CashFlowS2_CashFlowB5_C_FV_e1c3a244dc3d4f149ecdf7d748811086_14">#REF!</definedName>
    <definedName name="_vena_CashFlowS2_CashFlowB5_C_FV_e1c3a244dc3d4f149ecdf7d748811086_15">#REF!</definedName>
    <definedName name="_vena_CashFlowS2_CashFlowB5_C_FV_e1c3a244dc3d4f149ecdf7d748811086_16">#REF!</definedName>
    <definedName name="_vena_CashFlowS2_CashFlowB5_C_FV_e1c3a244dc3d4f149ecdf7d748811086_17">#REF!</definedName>
    <definedName name="_vena_CashFlowS2_CashFlowB5_C_FV_e1c3a244dc3d4f149ecdf7d748811086_18">#REF!</definedName>
    <definedName name="_vena_CashFlowS2_CashFlowB5_C_FV_e1c3a244dc3d4f149ecdf7d748811086_19">#REF!</definedName>
    <definedName name="_vena_CashFlowS2_CashFlowB5_C_FV_e1c3a244dc3d4f149ecdf7d748811086_2">#REF!</definedName>
    <definedName name="_vena_CashFlowS2_CashFlowB5_C_FV_e1c3a244dc3d4f149ecdf7d748811086_20">#REF!</definedName>
    <definedName name="_vena_CashFlowS2_CashFlowB5_C_FV_e1c3a244dc3d4f149ecdf7d748811086_21">#REF!</definedName>
    <definedName name="_vena_CashFlowS2_CashFlowB5_C_FV_e1c3a244dc3d4f149ecdf7d748811086_22">#REF!</definedName>
    <definedName name="_vena_CashFlowS2_CashFlowB5_C_FV_e1c3a244dc3d4f149ecdf7d748811086_23">#REF!</definedName>
    <definedName name="_vena_CashFlowS2_CashFlowB5_C_FV_e1c3a244dc3d4f149ecdf7d748811086_24">#REF!</definedName>
    <definedName name="_vena_CashFlowS2_CashFlowB5_C_FV_e1c3a244dc3d4f149ecdf7d748811086_25">#REF!</definedName>
    <definedName name="_vena_CashFlowS2_CashFlowB5_C_FV_e1c3a244dc3d4f149ecdf7d748811086_26">#REF!</definedName>
    <definedName name="_vena_CashFlowS2_CashFlowB5_C_FV_e1c3a244dc3d4f149ecdf7d748811086_27">#REF!</definedName>
    <definedName name="_vena_CashFlowS2_CashFlowB5_C_FV_e1c3a244dc3d4f149ecdf7d748811086_28">#REF!</definedName>
    <definedName name="_vena_CashFlowS2_CashFlowB5_C_FV_e1c3a244dc3d4f149ecdf7d748811086_29">#REF!</definedName>
    <definedName name="_vena_CashFlowS2_CashFlowB5_C_FV_e1c3a244dc3d4f149ecdf7d748811086_3">#REF!</definedName>
    <definedName name="_vena_CashFlowS2_CashFlowB5_C_FV_e1c3a244dc3d4f149ecdf7d748811086_30">#REF!</definedName>
    <definedName name="_vena_CashFlowS2_CashFlowB5_C_FV_e1c3a244dc3d4f149ecdf7d748811086_31">#REF!</definedName>
    <definedName name="_vena_CashFlowS2_CashFlowB5_C_FV_e1c3a244dc3d4f149ecdf7d748811086_32">#REF!</definedName>
    <definedName name="_vena_CashFlowS2_CashFlowB5_C_FV_e1c3a244dc3d4f149ecdf7d748811086_33">#REF!</definedName>
    <definedName name="_vena_CashFlowS2_CashFlowB5_C_FV_e1c3a244dc3d4f149ecdf7d748811086_34">#REF!</definedName>
    <definedName name="_vena_CashFlowS2_CashFlowB5_C_FV_e1c3a244dc3d4f149ecdf7d748811086_35">#REF!</definedName>
    <definedName name="_vena_CashFlowS2_CashFlowB5_C_FV_e1c3a244dc3d4f149ecdf7d748811086_36">#REF!</definedName>
    <definedName name="_vena_CashFlowS2_CashFlowB5_C_FV_e1c3a244dc3d4f149ecdf7d748811086_37">#REF!</definedName>
    <definedName name="_vena_CashFlowS2_CashFlowB5_C_FV_e1c3a244dc3d4f149ecdf7d748811086_38">#REF!</definedName>
    <definedName name="_vena_CashFlowS2_CashFlowB5_C_FV_e1c3a244dc3d4f149ecdf7d748811086_39">#REF!</definedName>
    <definedName name="_vena_CashFlowS2_CashFlowB5_C_FV_e1c3a244dc3d4f149ecdf7d748811086_4">#REF!</definedName>
    <definedName name="_vena_CashFlowS2_CashFlowB5_C_FV_e1c3a244dc3d4f149ecdf7d748811086_40">#REF!</definedName>
    <definedName name="_vena_CashFlowS2_CashFlowB5_C_FV_e1c3a244dc3d4f149ecdf7d748811086_41">#REF!</definedName>
    <definedName name="_vena_CashFlowS2_CashFlowB5_C_FV_e1c3a244dc3d4f149ecdf7d748811086_42">#REF!</definedName>
    <definedName name="_vena_CashFlowS2_CashFlowB5_C_FV_e1c3a244dc3d4f149ecdf7d748811086_43">#REF!</definedName>
    <definedName name="_vena_CashFlowS2_CashFlowB5_C_FV_e1c3a244dc3d4f149ecdf7d748811086_44">#REF!</definedName>
    <definedName name="_vena_CashFlowS2_CashFlowB5_C_FV_e1c3a244dc3d4f149ecdf7d748811086_45">#REF!</definedName>
    <definedName name="_vena_CashFlowS2_CashFlowB5_C_FV_e1c3a244dc3d4f149ecdf7d748811086_46">#REF!</definedName>
    <definedName name="_vena_CashFlowS2_CashFlowB5_C_FV_e1c3a244dc3d4f149ecdf7d748811086_47">#REF!</definedName>
    <definedName name="_vena_CashFlowS2_CashFlowB5_C_FV_e1c3a244dc3d4f149ecdf7d748811086_48">#REF!</definedName>
    <definedName name="_vena_CashFlowS2_CashFlowB5_C_FV_e1c3a244dc3d4f149ecdf7d748811086_49">#REF!</definedName>
    <definedName name="_vena_CashFlowS2_CashFlowB5_C_FV_e1c3a244dc3d4f149ecdf7d748811086_5">#REF!</definedName>
    <definedName name="_vena_CashFlowS2_CashFlowB5_C_FV_e1c3a244dc3d4f149ecdf7d748811086_50">#REF!</definedName>
    <definedName name="_vena_CashFlowS2_CashFlowB5_C_FV_e1c3a244dc3d4f149ecdf7d748811086_51">#REF!</definedName>
    <definedName name="_vena_CashFlowS2_CashFlowB5_C_FV_e1c3a244dc3d4f149ecdf7d748811086_52">#REF!</definedName>
    <definedName name="_vena_CashFlowS2_CashFlowB5_C_FV_e1c3a244dc3d4f149ecdf7d748811086_53">#REF!</definedName>
    <definedName name="_vena_CashFlowS2_CashFlowB5_C_FV_e1c3a244dc3d4f149ecdf7d748811086_54">#REF!</definedName>
    <definedName name="_vena_CashFlowS2_CashFlowB5_C_FV_e1c3a244dc3d4f149ecdf7d748811086_55">#REF!</definedName>
    <definedName name="_vena_CashFlowS2_CashFlowB5_C_FV_e1c3a244dc3d4f149ecdf7d748811086_56">#REF!</definedName>
    <definedName name="_vena_CashFlowS2_CashFlowB5_C_FV_e1c3a244dc3d4f149ecdf7d748811086_57">#REF!</definedName>
    <definedName name="_vena_CashFlowS2_CashFlowB5_C_FV_e1c3a244dc3d4f149ecdf7d748811086_58">#REF!</definedName>
    <definedName name="_vena_CashFlowS2_CashFlowB5_C_FV_e1c3a244dc3d4f149ecdf7d748811086_59">#REF!</definedName>
    <definedName name="_vena_CashFlowS2_CashFlowB5_C_FV_e1c3a244dc3d4f149ecdf7d748811086_6">#REF!</definedName>
    <definedName name="_vena_CashFlowS2_CashFlowB5_C_FV_e1c3a244dc3d4f149ecdf7d748811086_60">#REF!</definedName>
    <definedName name="_vena_CashFlowS2_CashFlowB5_C_FV_e1c3a244dc3d4f149ecdf7d748811086_61">#REF!</definedName>
    <definedName name="_vena_CashFlowS2_CashFlowB5_C_FV_e1c3a244dc3d4f149ecdf7d748811086_62">#REF!</definedName>
    <definedName name="_vena_CashFlowS2_CashFlowB5_C_FV_e1c3a244dc3d4f149ecdf7d748811086_63">#REF!</definedName>
    <definedName name="_vena_CashFlowS2_CashFlowB5_C_FV_e1c3a244dc3d4f149ecdf7d748811086_64">#REF!</definedName>
    <definedName name="_vena_CashFlowS2_CashFlowB5_C_FV_e1c3a244dc3d4f149ecdf7d748811086_65">#REF!</definedName>
    <definedName name="_vena_CashFlowS2_CashFlowB5_C_FV_e1c3a244dc3d4f149ecdf7d748811086_66">#REF!</definedName>
    <definedName name="_vena_CashFlowS2_CashFlowB5_C_FV_e1c3a244dc3d4f149ecdf7d748811086_67">#REF!</definedName>
    <definedName name="_vena_CashFlowS2_CashFlowB5_C_FV_e1c3a244dc3d4f149ecdf7d748811086_68">#REF!</definedName>
    <definedName name="_vena_CashFlowS2_CashFlowB5_C_FV_e1c3a244dc3d4f149ecdf7d748811086_69">#REF!</definedName>
    <definedName name="_vena_CashFlowS2_CashFlowB5_C_FV_e1c3a244dc3d4f149ecdf7d748811086_7">#REF!</definedName>
    <definedName name="_vena_CashFlowS2_CashFlowB5_C_FV_e1c3a244dc3d4f149ecdf7d748811086_70">#REF!</definedName>
    <definedName name="_vena_CashFlowS2_CashFlowB5_C_FV_e1c3a244dc3d4f149ecdf7d748811086_71">#REF!</definedName>
    <definedName name="_vena_CashFlowS2_CashFlowB5_C_FV_e1c3a244dc3d4f149ecdf7d748811086_8">#REF!</definedName>
    <definedName name="_vena_CashFlowS2_CashFlowB5_C_FV_e1c3a244dc3d4f149ecdf7d748811086_9">#REF!</definedName>
    <definedName name="_vena_CashFlowS2_CashFlowB5_R_5_507518001978146816">#REF!</definedName>
    <definedName name="_vena_CashFlowS2_CashFlowB5_R_5_551651281598152704">#REF!</definedName>
    <definedName name="_vena_CashFlowS2_CashFlowB5_R_5_632005312174096384">#REF!</definedName>
    <definedName name="_vena_CashFlowS2_P_6_431662182054232065" comment="*">#REF!</definedName>
    <definedName name="_vena_CashFlowS2_P_6_551651287818305538" comment="*">#REF!</definedName>
    <definedName name="_vena_CashFlowS2_P_6_632005313063288832" comment="*">#REF!</definedName>
    <definedName name="_vena_CashFlowS2_P_7_431662179290185729" comment="*">#REF!</definedName>
    <definedName name="_vena_CashFlowS2_P_7_551651294977982466" comment="*">#REF!</definedName>
    <definedName name="_vena_CashFlowS2_P_7_632005313256226820" comment="*">#REF!</definedName>
    <definedName name="_vena_CashFlowS2_P_8_632005313629519872" comment="*">#REF!</definedName>
    <definedName name="_vena_CashFlowS2_P_FV_e3545e3dcc52420a84dcdae3a23a4597" comment="*">#REF!</definedName>
    <definedName name="_vena_CashFlowS3_CashFlowB5_C_8_632005313608548359">#REF!</definedName>
    <definedName name="_vena_CashFlowS3_CashFlowB5_C_8_632005313684045826">#REF!</definedName>
    <definedName name="_vena_CashFlowS3_CashFlowB5_C_FV_9b0abd7578fb42018b1ba18b8b26d3ae">#REF!</definedName>
    <definedName name="_vena_CashFlowS3_CashFlowB5_C_FV_9b0abd7578fb42018b1ba18b8b26d3ae_1">#REF!</definedName>
    <definedName name="_vena_CashFlowS3_CashFlowB5_R_FV_42f34b52efc14701904e2bd69b949ebb">#REF!</definedName>
    <definedName name="_vena_CashFlowS3_CashFlowB5_R_FV_42f34b52efc14701904e2bd69b949ebb_1">#REF!</definedName>
    <definedName name="_vena_CashFlowS3_CashFlowB5_R_FV_42f34b52efc14701904e2bd69b949ebb_151">#REF!</definedName>
    <definedName name="_vena_CashFlowS3_CashFlowB5_R_FV_42f34b52efc14701904e2bd69b949ebb_152">#REF!</definedName>
    <definedName name="_vena_CashFlowS3_CashFlowB5_R_FV_42f34b52efc14701904e2bd69b949ebb_153">#REF!</definedName>
    <definedName name="_vena_CashFlowS3_CashFlowB5_R_FV_42f34b52efc14701904e2bd69b949ebb_154">#REF!</definedName>
    <definedName name="_vena_CashFlowS3_CashFlowB5_R_FV_42f34b52efc14701904e2bd69b949ebb_155">#REF!</definedName>
    <definedName name="_vena_CashFlowS3_CashFlowB5_R_FV_42f34b52efc14701904e2bd69b949ebb_156">#REF!</definedName>
    <definedName name="_vena_CashFlowS3_CashFlowB5_R_FV_42f34b52efc14701904e2bd69b949ebb_157">#REF!</definedName>
    <definedName name="_vena_CashFlowS3_CashFlowB5_R_FV_42f34b52efc14701904e2bd69b949ebb_158">#REF!</definedName>
    <definedName name="_vena_CashFlowS3_CashFlowB5_R_FV_42f34b52efc14701904e2bd69b949ebb_159">#REF!</definedName>
    <definedName name="_vena_CashFlowS3_CashFlowB5_R_FV_42f34b52efc14701904e2bd69b949ebb_160">#REF!</definedName>
    <definedName name="_vena_CashFlowS3_CashFlowB5_R_FV_42f34b52efc14701904e2bd69b949ebb_161">#REF!</definedName>
    <definedName name="_vena_CashFlowS3_CashFlowB5_R_FV_42f34b52efc14701904e2bd69b949ebb_162">#REF!</definedName>
    <definedName name="_vena_CashFlowS3_CashFlowB5_R_FV_42f34b52efc14701904e2bd69b949ebb_163">#REF!</definedName>
    <definedName name="_vena_CashFlowS3_CashFlowB5_R_FV_42f34b52efc14701904e2bd69b949ebb_164">#REF!</definedName>
    <definedName name="_vena_CashFlowS3_CashFlowB5_R_FV_42f34b52efc14701904e2bd69b949ebb_165">#REF!</definedName>
    <definedName name="_vena_CashFlowS3_CashFlowB5_R_FV_42f34b52efc14701904e2bd69b949ebb_166">#REF!</definedName>
    <definedName name="_vena_CashFlowS3_CashFlowB5_R_FV_42f34b52efc14701904e2bd69b949ebb_167">#REF!</definedName>
    <definedName name="_vena_CashFlowS3_CashFlowB5_R_FV_42f34b52efc14701904e2bd69b949ebb_168">#REF!</definedName>
    <definedName name="_vena_CashFlowS3_CashFlowB5_R_FV_42f34b52efc14701904e2bd69b949ebb_169">#REF!</definedName>
    <definedName name="_vena_CashFlowS3_CashFlowB5_R_FV_42f34b52efc14701904e2bd69b949ebb_170">#REF!</definedName>
    <definedName name="_vena_CashFlowS3_CashFlowB5_R_FV_42f34b52efc14701904e2bd69b949ebb_171">#REF!</definedName>
    <definedName name="_vena_CashFlowS3_CashFlowB5_R_FV_42f34b52efc14701904e2bd69b949ebb_172">#REF!</definedName>
    <definedName name="_vena_CashFlowS3_CashFlowB5_R_FV_42f34b52efc14701904e2bd69b949ebb_173">#REF!</definedName>
    <definedName name="_vena_CashFlowS3_CashFlowB5_R_FV_42f34b52efc14701904e2bd69b949ebb_174">#REF!</definedName>
    <definedName name="_vena_CashFlowS3_CashFlowB5_R_FV_42f34b52efc14701904e2bd69b949ebb_175">#REF!</definedName>
    <definedName name="_vena_CashFlowS3_CashFlowB5_R_FV_42f34b52efc14701904e2bd69b949ebb_176">#REF!</definedName>
    <definedName name="_vena_CashFlowS3_CashFlowB5_R_FV_42f34b52efc14701904e2bd69b949ebb_177">#REF!</definedName>
    <definedName name="_vena_CashFlowS3_CashFlowB5_R_FV_42f34b52efc14701904e2bd69b949ebb_178">#REF!</definedName>
    <definedName name="_vena_CashFlowS3_CashFlowB5_R_FV_42f34b52efc14701904e2bd69b949ebb_179">#REF!</definedName>
    <definedName name="_vena_CashFlowS3_CashFlowB5_R_FV_42f34b52efc14701904e2bd69b949ebb_180">#REF!</definedName>
    <definedName name="_vena_CashFlowS3_CashFlowB5_R_FV_42f34b52efc14701904e2bd69b949ebb_181">#REF!</definedName>
    <definedName name="_vena_CashFlowS3_CashFlowB5_R_FV_42f34b52efc14701904e2bd69b949ebb_182">#REF!</definedName>
    <definedName name="_vena_CashFlowS3_CashFlowB5_R_FV_42f34b52efc14701904e2bd69b949ebb_183">#REF!</definedName>
    <definedName name="_vena_CashFlowS3_CashFlowB5_R_FV_42f34b52efc14701904e2bd69b949ebb_184">#REF!</definedName>
    <definedName name="_vena_CashFlowS3_CashFlowB5_R_FV_42f34b52efc14701904e2bd69b949ebb_185">#REF!</definedName>
    <definedName name="_vena_CashFlowS3_CashFlowB5_R_FV_42f34b52efc14701904e2bd69b949ebb_186">#REF!</definedName>
    <definedName name="_vena_CashFlowS3_CashFlowB5_R_FV_42f34b52efc14701904e2bd69b949ebb_187">#REF!</definedName>
    <definedName name="_vena_CashFlowS3_CashFlowB5_R_FV_42f34b52efc14701904e2bd69b949ebb_188">#REF!</definedName>
    <definedName name="_vena_CashFlowS3_CashFlowB5_R_FV_42f34b52efc14701904e2bd69b949ebb_189">#REF!</definedName>
    <definedName name="_vena_CashFlowS3_CashFlowB5_R_FV_42f34b52efc14701904e2bd69b949ebb_190">#REF!</definedName>
    <definedName name="_vena_CashFlowS3_CashFlowB5_R_FV_42f34b52efc14701904e2bd69b949ebb_191">#REF!</definedName>
    <definedName name="_vena_CashFlowS3_CashFlowB5_R_FV_42f34b52efc14701904e2bd69b949ebb_192">#REF!</definedName>
    <definedName name="_vena_CashFlowS3_CashFlowB5_R_FV_42f34b52efc14701904e2bd69b949ebb_193">#REF!</definedName>
    <definedName name="_vena_CashFlowS3_CashFlowB5_R_FV_42f34b52efc14701904e2bd69b949ebb_194">#REF!</definedName>
    <definedName name="_vena_CashFlowS3_CashFlowB5_R_FV_42f34b52efc14701904e2bd69b949ebb_195">#REF!</definedName>
    <definedName name="_vena_CashFlowS3_CashFlowB5_R_FV_42f34b52efc14701904e2bd69b949ebb_196">#REF!</definedName>
    <definedName name="_vena_CashFlowS3_CashFlowB5_R_FV_42f34b52efc14701904e2bd69b949ebb_197">#REF!</definedName>
    <definedName name="_vena_CashFlowS3_CashFlowB5_R_FV_42f34b52efc14701904e2bd69b949ebb_198">#REF!</definedName>
    <definedName name="_vena_CashFlowS3_CashFlowB5_R_FV_42f34b52efc14701904e2bd69b949ebb_199">#REF!</definedName>
    <definedName name="_vena_CashFlowS3_CashFlowB5_R_FV_42f34b52efc14701904e2bd69b949ebb_2">#REF!</definedName>
    <definedName name="_vena_CashFlowS3_CashFlowB5_R_FV_42f34b52efc14701904e2bd69b949ebb_200">#REF!</definedName>
    <definedName name="_vena_CashFlowS3_CashFlowB5_R_FV_42f34b52efc14701904e2bd69b949ebb_201">#REF!</definedName>
    <definedName name="_vena_CashFlowS3_CashFlowB5_R_FV_42f34b52efc14701904e2bd69b949ebb_202">#REF!</definedName>
    <definedName name="_vena_CashFlowS3_CashFlowB5_R_FV_42f34b52efc14701904e2bd69b949ebb_203">#REF!</definedName>
    <definedName name="_vena_CashFlowS3_CashFlowB5_R_FV_42f34b52efc14701904e2bd69b949ebb_204">#REF!</definedName>
    <definedName name="_vena_CashFlowS3_CashFlowB5_R_FV_42f34b52efc14701904e2bd69b949ebb_205">#REF!</definedName>
    <definedName name="_vena_CashFlowS3_CashFlowB5_R_FV_42f34b52efc14701904e2bd69b949ebb_206">#REF!</definedName>
    <definedName name="_vena_CashFlowS3_CashFlowB5_R_FV_42f34b52efc14701904e2bd69b949ebb_207">#REF!</definedName>
    <definedName name="_vena_CashFlowS3_CashFlowB5_R_FV_42f34b52efc14701904e2bd69b949ebb_208">#REF!</definedName>
    <definedName name="_vena_CashFlowS3_CashFlowB5_R_FV_42f34b52efc14701904e2bd69b949ebb_209">#REF!</definedName>
    <definedName name="_vena_CashFlowS3_CashFlowB5_R_FV_42f34b52efc14701904e2bd69b949ebb_210">#REF!</definedName>
    <definedName name="_vena_CashFlowS3_CashFlowB5_R_FV_42f34b52efc14701904e2bd69b949ebb_211">#REF!</definedName>
    <definedName name="_vena_CashFlowS3_CashFlowB5_R_FV_42f34b52efc14701904e2bd69b949ebb_212">#REF!</definedName>
    <definedName name="_vena_CashFlowS3_CashFlowB5_R_FV_42f34b52efc14701904e2bd69b949ebb_213">#REF!</definedName>
    <definedName name="_vena_CashFlowS3_CashFlowB5_R_FV_42f34b52efc14701904e2bd69b949ebb_214">#REF!</definedName>
    <definedName name="_vena_CashFlowS3_CashFlowB5_R_FV_42f34b52efc14701904e2bd69b949ebb_215">#REF!</definedName>
    <definedName name="_vena_CashFlowS3_CashFlowB5_R_FV_42f34b52efc14701904e2bd69b949ebb_216">#REF!</definedName>
    <definedName name="_vena_CashFlowS3_CashFlowB5_R_FV_42f34b52efc14701904e2bd69b949ebb_217">#REF!</definedName>
    <definedName name="_vena_CashFlowS3_CashFlowB5_R_FV_42f34b52efc14701904e2bd69b949ebb_218">#REF!</definedName>
    <definedName name="_vena_CashFlowS3_CashFlowB5_R_FV_42f34b52efc14701904e2bd69b949ebb_219">#REF!</definedName>
    <definedName name="_vena_CashFlowS3_CashFlowB5_R_FV_42f34b52efc14701904e2bd69b949ebb_220">#REF!</definedName>
    <definedName name="_vena_CashFlowS3_CashFlowB5_R_FV_42f34b52efc14701904e2bd69b949ebb_221">#REF!</definedName>
    <definedName name="_vena_CashFlowS3_CashFlowB5_R_FV_42f34b52efc14701904e2bd69b949ebb_222">#REF!</definedName>
    <definedName name="_vena_CashFlowS3_CashFlowB5_R_FV_42f34b52efc14701904e2bd69b949ebb_223">#REF!</definedName>
    <definedName name="_vena_CashFlowS3_CashFlowB5_R_FV_42f34b52efc14701904e2bd69b949ebb_224">#REF!</definedName>
    <definedName name="_vena_CashFlowS3_CashFlowB5_R_FV_42f34b52efc14701904e2bd69b949ebb_225">#REF!</definedName>
    <definedName name="_vena_CashFlowS3_CashFlowB5_R_FV_42f34b52efc14701904e2bd69b949ebb_226">#REF!</definedName>
    <definedName name="_vena_CashFlowS3_CashFlowB5_R_FV_42f34b52efc14701904e2bd69b949ebb_227">#REF!</definedName>
    <definedName name="_vena_CashFlowS3_CashFlowB5_R_FV_42f34b52efc14701904e2bd69b949ebb_228">#REF!</definedName>
    <definedName name="_vena_CashFlowS3_CashFlowB5_R_FV_42f34b52efc14701904e2bd69b949ebb_229">#REF!</definedName>
    <definedName name="_vena_CashFlowS3_CashFlowB5_R_FV_42f34b52efc14701904e2bd69b949ebb_230">#REF!</definedName>
    <definedName name="_vena_CashFlowS3_CashFlowB5_R_FV_42f34b52efc14701904e2bd69b949ebb_231">#REF!</definedName>
    <definedName name="_vena_CashFlowS3_CashFlowB5_R_FV_42f34b52efc14701904e2bd69b949ebb_232">#REF!</definedName>
    <definedName name="_vena_CashFlowS3_CashFlowB5_R_FV_42f34b52efc14701904e2bd69b949ebb_233">#REF!</definedName>
    <definedName name="_vena_CashFlowS3_CashFlowB5_R_FV_42f34b52efc14701904e2bd69b949ebb_234">#REF!</definedName>
    <definedName name="_vena_CashFlowS3_CashFlowB5_R_FV_42f34b52efc14701904e2bd69b949ebb_235">#REF!</definedName>
    <definedName name="_vena_CashFlowS3_CashFlowB5_R_FV_42f34b52efc14701904e2bd69b949ebb_236">#REF!</definedName>
    <definedName name="_vena_CashFlowS3_CashFlowB5_R_FV_42f34b52efc14701904e2bd69b949ebb_237">#REF!</definedName>
    <definedName name="_vena_CashFlowS3_CashFlowB5_R_FV_42f34b52efc14701904e2bd69b949ebb_238">#REF!</definedName>
    <definedName name="_vena_CashFlowS3_CashFlowB5_R_FV_42f34b52efc14701904e2bd69b949ebb_239">#REF!</definedName>
    <definedName name="_vena_CashFlowS3_CashFlowB5_R_FV_42f34b52efc14701904e2bd69b949ebb_240">#REF!</definedName>
    <definedName name="_vena_CashFlowS3_CashFlowB5_R_FV_42f34b52efc14701904e2bd69b949ebb_241">#REF!</definedName>
    <definedName name="_vena_CashFlowS3_CashFlowB5_R_FV_42f34b52efc14701904e2bd69b949ebb_242">#REF!</definedName>
    <definedName name="_vena_CashFlowS3_CashFlowB5_R_FV_42f34b52efc14701904e2bd69b949ebb_243">#REF!</definedName>
    <definedName name="_vena_CashFlowS3_CashFlowB5_R_FV_42f34b52efc14701904e2bd69b949ebb_244">#REF!</definedName>
    <definedName name="_vena_CashFlowS3_CashFlowB5_R_FV_42f34b52efc14701904e2bd69b949ebb_245">#REF!</definedName>
    <definedName name="_vena_CashFlowS3_CashFlowB5_R_FV_42f34b52efc14701904e2bd69b949ebb_246">#REF!</definedName>
    <definedName name="_vena_CashFlowS3_CashFlowB5_R_FV_42f34b52efc14701904e2bd69b949ebb_247">#REF!</definedName>
    <definedName name="_vena_CashFlowS3_CashFlowB5_R_FV_42f34b52efc14701904e2bd69b949ebb_248">#REF!</definedName>
    <definedName name="_vena_CashFlowS3_CashFlowB5_R_FV_42f34b52efc14701904e2bd69b949ebb_249">#REF!</definedName>
    <definedName name="_vena_CashFlowS3_CashFlowB5_R_FV_42f34b52efc14701904e2bd69b949ebb_250">#REF!</definedName>
    <definedName name="_vena_CashFlowS3_CashFlowB5_R_FV_42f34b52efc14701904e2bd69b949ebb_251">#REF!</definedName>
    <definedName name="_vena_CashFlowS3_CashFlowB5_R_FV_42f34b52efc14701904e2bd69b949ebb_252">#REF!</definedName>
    <definedName name="_vena_CashFlowS3_CashFlowB5_R_FV_42f34b52efc14701904e2bd69b949ebb_253">#REF!</definedName>
    <definedName name="_vena_CashFlowS3_CashFlowB5_R_FV_42f34b52efc14701904e2bd69b949ebb_254">#REF!</definedName>
    <definedName name="_vena_CashFlowS3_CashFlowB5_R_FV_42f34b52efc14701904e2bd69b949ebb_255">#REF!</definedName>
    <definedName name="_vena_CashFlowS3_CashFlowB5_R_FV_42f34b52efc14701904e2bd69b949ebb_256">#REF!</definedName>
    <definedName name="_vena_CashFlowS3_CashFlowB5_R_FV_42f34b52efc14701904e2bd69b949ebb_257">#REF!</definedName>
    <definedName name="_vena_CashFlowS3_CashFlowB5_R_FV_42f34b52efc14701904e2bd69b949ebb_258">#REF!</definedName>
    <definedName name="_vena_CashFlowS3_CashFlowB5_R_FV_42f34b52efc14701904e2bd69b949ebb_259">#REF!</definedName>
    <definedName name="_vena_CashFlowS3_CashFlowB5_R_FV_42f34b52efc14701904e2bd69b949ebb_260">#REF!</definedName>
    <definedName name="_vena_CashFlowS3_CashFlowB5_R_FV_42f34b52efc14701904e2bd69b949ebb_261">#REF!</definedName>
    <definedName name="_vena_CashFlowS3_CashFlowB5_R_FV_42f34b52efc14701904e2bd69b949ebb_262">#REF!</definedName>
    <definedName name="_vena_CashFlowS3_CashFlowB5_R_FV_42f34b52efc14701904e2bd69b949ebb_263">#REF!</definedName>
    <definedName name="_vena_CashFlowS3_CashFlowB5_R_FV_42f34b52efc14701904e2bd69b949ebb_264">#REF!</definedName>
    <definedName name="_vena_CashFlowS3_CashFlowB5_R_FV_42f34b52efc14701904e2bd69b949ebb_265">#REF!</definedName>
    <definedName name="_vena_CashFlowS3_CashFlowB5_R_FV_42f34b52efc14701904e2bd69b949ebb_266">#REF!</definedName>
    <definedName name="_vena_CashFlowS3_CashFlowB5_R_FV_42f34b52efc14701904e2bd69b949ebb_267">#REF!</definedName>
    <definedName name="_vena_CashFlowS3_CashFlowB5_R_FV_42f34b52efc14701904e2bd69b949ebb_268">#REF!</definedName>
    <definedName name="_vena_CashFlowS3_CashFlowB5_R_FV_42f34b52efc14701904e2bd69b949ebb_269">#REF!</definedName>
    <definedName name="_vena_CashFlowS3_CashFlowB5_R_FV_42f34b52efc14701904e2bd69b949ebb_270">#REF!</definedName>
    <definedName name="_vena_CashFlowS3_CashFlowB5_R_FV_42f34b52efc14701904e2bd69b949ebb_271">#REF!</definedName>
    <definedName name="_vena_CashFlowS3_CashFlowB5_R_FV_42f34b52efc14701904e2bd69b949ebb_272">#REF!</definedName>
    <definedName name="_vena_CashFlowS3_CashFlowB5_R_FV_42f34b52efc14701904e2bd69b949ebb_273">#REF!</definedName>
    <definedName name="_vena_CashFlowS3_CashFlowB5_R_FV_42f34b52efc14701904e2bd69b949ebb_274">#REF!</definedName>
    <definedName name="_vena_CashFlowS3_CashFlowB5_R_FV_42f34b52efc14701904e2bd69b949ebb_275">#REF!</definedName>
    <definedName name="_vena_CashFlowS3_CashFlowB5_R_FV_42f34b52efc14701904e2bd69b949ebb_276">#REF!</definedName>
    <definedName name="_vena_CashFlowS3_CashFlowB5_R_FV_42f34b52efc14701904e2bd69b949ebb_277">#REF!</definedName>
    <definedName name="_vena_CashFlowS3_CashFlowB5_R_FV_42f34b52efc14701904e2bd69b949ebb_278">#REF!</definedName>
    <definedName name="_vena_CashFlowS3_CashFlowB5_R_FV_42f34b52efc14701904e2bd69b949ebb_279">#REF!</definedName>
    <definedName name="_vena_CashFlowS3_CashFlowB5_R_FV_42f34b52efc14701904e2bd69b949ebb_280">#REF!</definedName>
    <definedName name="_vena_CashFlowS3_CashFlowB5_R_FV_42f34b52efc14701904e2bd69b949ebb_281">#REF!</definedName>
    <definedName name="_vena_CashFlowS3_CashFlowB5_R_FV_42f34b52efc14701904e2bd69b949ebb_282">#REF!</definedName>
    <definedName name="_vena_CashFlowS3_CashFlowB5_R_FV_42f34b52efc14701904e2bd69b949ebb_283">#REF!</definedName>
    <definedName name="_vena_CashFlowS3_CashFlowB5_R_FV_42f34b52efc14701904e2bd69b949ebb_284">#REF!</definedName>
    <definedName name="_vena_CashFlowS3_CashFlowB5_R_FV_42f34b52efc14701904e2bd69b949ebb_285">#REF!</definedName>
    <definedName name="_vena_CashFlowS3_CashFlowB5_R_FV_42f34b52efc14701904e2bd69b949ebb_286">#REF!</definedName>
    <definedName name="_vena_CashFlowS3_CashFlowB5_R_FV_42f34b52efc14701904e2bd69b949ebb_287">#REF!</definedName>
    <definedName name="_vena_CashFlowS3_CashFlowB5_R_FV_42f34b52efc14701904e2bd69b949ebb_288">#REF!</definedName>
    <definedName name="_vena_CashFlowS3_CashFlowB5_R_FV_42f34b52efc14701904e2bd69b949ebb_289">#REF!</definedName>
    <definedName name="_vena_CashFlowS3_CashFlowB5_R_FV_42f34b52efc14701904e2bd69b949ebb_290">#REF!</definedName>
    <definedName name="_vena_CashFlowS3_CashFlowB5_R_FV_42f34b52efc14701904e2bd69b949ebb_291">#REF!</definedName>
    <definedName name="_vena_CashFlowS3_CashFlowB5_R_FV_42f34b52efc14701904e2bd69b949ebb_292">#REF!</definedName>
    <definedName name="_vena_CashFlowS3_CashFlowB5_R_FV_42f34b52efc14701904e2bd69b949ebb_293">#REF!</definedName>
    <definedName name="_vena_CashFlowS3_CashFlowB5_R_FV_42f34b52efc14701904e2bd69b949ebb_294">#REF!</definedName>
    <definedName name="_vena_CashFlowS3_CashFlowB5_R_FV_42f34b52efc14701904e2bd69b949ebb_295">#REF!</definedName>
    <definedName name="_vena_CashFlowS3_CashFlowB5_R_FV_42f34b52efc14701904e2bd69b949ebb_296">#REF!</definedName>
    <definedName name="_vena_CashFlowS3_CashFlowB5_R_FV_42f34b52efc14701904e2bd69b949ebb_297">#REF!</definedName>
    <definedName name="_vena_CashFlowS3_CashFlowB5_R_FV_42f34b52efc14701904e2bd69b949ebb_298">#REF!</definedName>
    <definedName name="_vena_CashFlowS3_CashFlowB5_R_FV_42f34b52efc14701904e2bd69b949ebb_299">#REF!</definedName>
    <definedName name="_vena_CashFlowS3_CashFlowB5_R_FV_42f34b52efc14701904e2bd69b949ebb_3">#REF!</definedName>
    <definedName name="_vena_CashFlowS3_CashFlowB5_R_FV_42f34b52efc14701904e2bd69b949ebb_300">#REF!</definedName>
    <definedName name="_vena_CashFlowS3_CashFlowB5_R_FV_42f34b52efc14701904e2bd69b949ebb_301">#REF!</definedName>
    <definedName name="_vena_CashFlowS3_CashFlowB5_R_FV_42f34b52efc14701904e2bd69b949ebb_302">#REF!</definedName>
    <definedName name="_vena_CashFlowS3_CashFlowB5_R_FV_42f34b52efc14701904e2bd69b949ebb_303">#REF!</definedName>
    <definedName name="_vena_CashFlowS3_CashFlowB5_R_FV_42f34b52efc14701904e2bd69b949ebb_304">#REF!</definedName>
    <definedName name="_vena_CashFlowS3_CashFlowB5_R_FV_42f34b52efc14701904e2bd69b949ebb_305">#REF!</definedName>
    <definedName name="_vena_CashFlowS3_CashFlowB5_R_FV_42f34b52efc14701904e2bd69b949ebb_306">#REF!</definedName>
    <definedName name="_vena_CashFlowS3_CashFlowB5_R_FV_42f34b52efc14701904e2bd69b949ebb_307">#REF!</definedName>
    <definedName name="_vena_CashFlowS3_CashFlowB5_R_FV_42f34b52efc14701904e2bd69b949ebb_308">#REF!</definedName>
    <definedName name="_vena_CashFlowS3_CashFlowB5_R_FV_42f34b52efc14701904e2bd69b949ebb_309">#REF!</definedName>
    <definedName name="_vena_CashFlowS3_CashFlowB5_R_FV_42f34b52efc14701904e2bd69b949ebb_310">#REF!</definedName>
    <definedName name="_vena_CashFlowS3_CashFlowB5_R_FV_42f34b52efc14701904e2bd69b949ebb_311">#REF!</definedName>
    <definedName name="_vena_CashFlowS3_CashFlowB5_R_FV_42f34b52efc14701904e2bd69b949ebb_312">#REF!</definedName>
    <definedName name="_vena_CashFlowS3_CashFlowB5_R_FV_42f34b52efc14701904e2bd69b949ebb_313">#REF!</definedName>
    <definedName name="_vena_CashFlowS3_CashFlowB5_R_FV_42f34b52efc14701904e2bd69b949ebb_314">#REF!</definedName>
    <definedName name="_vena_CashFlowS3_CashFlowB5_R_FV_42f34b52efc14701904e2bd69b949ebb_315">#REF!</definedName>
    <definedName name="_vena_CashFlowS3_CashFlowB5_R_FV_42f34b52efc14701904e2bd69b949ebb_316">#REF!</definedName>
    <definedName name="_vena_CashFlowS3_CashFlowB5_R_FV_42f34b52efc14701904e2bd69b949ebb_317">#REF!</definedName>
    <definedName name="_vena_CashFlowS3_CashFlowB5_R_FV_42f34b52efc14701904e2bd69b949ebb_318">#REF!</definedName>
    <definedName name="_vena_CashFlowS3_CashFlowB5_R_FV_42f34b52efc14701904e2bd69b949ebb_319">#REF!</definedName>
    <definedName name="_vena_CashFlowS3_CashFlowB5_R_FV_42f34b52efc14701904e2bd69b949ebb_320">#REF!</definedName>
    <definedName name="_vena_CashFlowS3_CashFlowB5_R_FV_42f34b52efc14701904e2bd69b949ebb_321">#REF!</definedName>
    <definedName name="_vena_CashFlowS3_CashFlowB5_R_FV_42f34b52efc14701904e2bd69b949ebb_322">#REF!</definedName>
    <definedName name="_vena_CashFlowS3_CashFlowB5_R_FV_42f34b52efc14701904e2bd69b949ebb_323">#REF!</definedName>
    <definedName name="_vena_CashFlowS3_CashFlowB5_R_FV_42f34b52efc14701904e2bd69b949ebb_324">#REF!</definedName>
    <definedName name="_vena_CashFlowS3_CashFlowB5_R_FV_42f34b52efc14701904e2bd69b949ebb_325">#REF!</definedName>
    <definedName name="_vena_CashFlowS3_CashFlowB5_R_FV_42f34b52efc14701904e2bd69b949ebb_326">#REF!</definedName>
    <definedName name="_vena_CashFlowS3_CashFlowB5_R_FV_42f34b52efc14701904e2bd69b949ebb_327">#REF!</definedName>
    <definedName name="_vena_CashFlowS3_CashFlowB5_R_FV_42f34b52efc14701904e2bd69b949ebb_328">#REF!</definedName>
    <definedName name="_vena_CashFlowS3_CashFlowB5_R_FV_42f34b52efc14701904e2bd69b949ebb_329">#REF!</definedName>
    <definedName name="_vena_CashFlowS3_CashFlowB5_R_FV_42f34b52efc14701904e2bd69b949ebb_330">#REF!</definedName>
    <definedName name="_vena_CashFlowS3_CashFlowB5_R_FV_42f34b52efc14701904e2bd69b949ebb_331">#REF!</definedName>
    <definedName name="_vena_CashFlowS3_CashFlowB5_R_FV_42f34b52efc14701904e2bd69b949ebb_332">#REF!</definedName>
    <definedName name="_vena_CashFlowS3_CashFlowB5_R_FV_42f34b52efc14701904e2bd69b949ebb_333">#REF!</definedName>
    <definedName name="_vena_CashFlowS3_CashFlowB5_R_FV_42f34b52efc14701904e2bd69b949ebb_334">#REF!</definedName>
    <definedName name="_vena_CashFlowS3_CashFlowB5_R_FV_42f34b52efc14701904e2bd69b949ebb_335">#REF!</definedName>
    <definedName name="_vena_CashFlowS3_CashFlowB5_R_FV_42f34b52efc14701904e2bd69b949ebb_336">#REF!</definedName>
    <definedName name="_vena_CashFlowS3_CashFlowB5_R_FV_42f34b52efc14701904e2bd69b949ebb_337">#REF!</definedName>
    <definedName name="_vena_CashFlowS3_CashFlowB5_R_FV_42f34b52efc14701904e2bd69b949ebb_338">#REF!</definedName>
    <definedName name="_vena_CashFlowS3_CashFlowB5_R_FV_42f34b52efc14701904e2bd69b949ebb_339">#REF!</definedName>
    <definedName name="_vena_CashFlowS3_CashFlowB5_R_FV_42f34b52efc14701904e2bd69b949ebb_340">#REF!</definedName>
    <definedName name="_vena_CashFlowS3_CashFlowB5_R_FV_42f34b52efc14701904e2bd69b949ebb_341">#REF!</definedName>
    <definedName name="_vena_CashFlowS3_CashFlowB5_R_FV_42f34b52efc14701904e2bd69b949ebb_342">#REF!</definedName>
    <definedName name="_vena_CashFlowS3_CashFlowB5_R_FV_42f34b52efc14701904e2bd69b949ebb_343">#REF!</definedName>
    <definedName name="_vena_CashFlowS3_CashFlowB5_R_FV_42f34b52efc14701904e2bd69b949ebb_344">#REF!</definedName>
    <definedName name="_vena_CashFlowS3_CashFlowB5_R_FV_42f34b52efc14701904e2bd69b949ebb_345">#REF!</definedName>
    <definedName name="_vena_CashFlowS3_CashFlowB5_R_FV_42f34b52efc14701904e2bd69b949ebb_346">#REF!</definedName>
    <definedName name="_vena_CashFlowS3_CashFlowB5_R_FV_42f34b52efc14701904e2bd69b949ebb_347">#REF!</definedName>
    <definedName name="_vena_CashFlowS3_CashFlowB5_R_FV_42f34b52efc14701904e2bd69b949ebb_348">#REF!</definedName>
    <definedName name="_vena_CashFlowS3_CashFlowB5_R_FV_42f34b52efc14701904e2bd69b949ebb_349">#REF!</definedName>
    <definedName name="_vena_CashFlowS3_CashFlowB5_R_FV_42f34b52efc14701904e2bd69b949ebb_350">#REF!</definedName>
    <definedName name="_vena_CashFlowS3_CashFlowB5_R_FV_42f34b52efc14701904e2bd69b949ebb_351">#REF!</definedName>
    <definedName name="_vena_CashFlowS3_CashFlowB5_R_FV_42f34b52efc14701904e2bd69b949ebb_352">#REF!</definedName>
    <definedName name="_vena_CashFlowS3_CashFlowB5_R_FV_42f34b52efc14701904e2bd69b949ebb_353">#REF!</definedName>
    <definedName name="_vena_CashFlowS3_CashFlowB5_R_FV_42f34b52efc14701904e2bd69b949ebb_354">#REF!</definedName>
    <definedName name="_vena_CashFlowS3_CashFlowB5_R_FV_42f34b52efc14701904e2bd69b949ebb_355">#REF!</definedName>
    <definedName name="_vena_CashFlowS3_CashFlowB5_R_FV_42f34b52efc14701904e2bd69b949ebb_356">#REF!</definedName>
    <definedName name="_vena_CashFlowS3_CashFlowB5_R_FV_42f34b52efc14701904e2bd69b949ebb_357">#REF!</definedName>
    <definedName name="_vena_CashFlowS3_CashFlowB5_R_FV_42f34b52efc14701904e2bd69b949ebb_358">#REF!</definedName>
    <definedName name="_vena_CashFlowS3_CashFlowB5_R_FV_42f34b52efc14701904e2bd69b949ebb_359">#REF!</definedName>
    <definedName name="_vena_CashFlowS3_CashFlowB5_R_FV_42f34b52efc14701904e2bd69b949ebb_360">#REF!</definedName>
    <definedName name="_vena_CashFlowS3_CashFlowB5_R_FV_42f34b52efc14701904e2bd69b949ebb_361">#REF!</definedName>
    <definedName name="_vena_CashFlowS3_CashFlowB5_R_FV_42f34b52efc14701904e2bd69b949ebb_362">#REF!</definedName>
    <definedName name="_vena_CashFlowS3_CashFlowB5_R_FV_42f34b52efc14701904e2bd69b949ebb_363">#REF!</definedName>
    <definedName name="_vena_CashFlowS3_CashFlowB5_R_FV_42f34b52efc14701904e2bd69b949ebb_364">#REF!</definedName>
    <definedName name="_vena_CashFlowS3_CashFlowB5_R_FV_42f34b52efc14701904e2bd69b949ebb_365">#REF!</definedName>
    <definedName name="_vena_CashFlowS3_CashFlowB5_R_FV_42f34b52efc14701904e2bd69b949ebb_366">#REF!</definedName>
    <definedName name="_vena_CashFlowS3_CashFlowB5_R_FV_42f34b52efc14701904e2bd69b949ebb_367">#REF!</definedName>
    <definedName name="_vena_CashFlowS3_CashFlowB5_R_FV_42f34b52efc14701904e2bd69b949ebb_368">#REF!</definedName>
    <definedName name="_vena_CashFlowS3_CashFlowB5_R_FV_42f34b52efc14701904e2bd69b949ebb_369">#REF!</definedName>
    <definedName name="_vena_CashFlowS3_CashFlowB5_R_FV_42f34b52efc14701904e2bd69b949ebb_370">#REF!</definedName>
    <definedName name="_vena_CashFlowS3_CashFlowB5_R_FV_42f34b52efc14701904e2bd69b949ebb_371">#REF!</definedName>
    <definedName name="_vena_CashFlowS3_CashFlowB5_R_FV_42f34b52efc14701904e2bd69b949ebb_372">#REF!</definedName>
    <definedName name="_vena_CashFlowS3_CashFlowB5_R_FV_42f34b52efc14701904e2bd69b949ebb_373">#REF!</definedName>
    <definedName name="_vena_CashFlowS3_CashFlowB5_R_FV_42f34b52efc14701904e2bd69b949ebb_374">#REF!</definedName>
    <definedName name="_vena_CashFlowS3_CashFlowB5_R_FV_42f34b52efc14701904e2bd69b949ebb_375">#REF!</definedName>
    <definedName name="_vena_CashFlowS3_CashFlowB5_R_FV_42f34b52efc14701904e2bd69b949ebb_376">#REF!</definedName>
    <definedName name="_vena_CashFlowS3_CashFlowB5_R_FV_42f34b52efc14701904e2bd69b949ebb_377">#REF!</definedName>
    <definedName name="_vena_CashFlowS3_CashFlowB5_R_FV_42f34b52efc14701904e2bd69b949ebb_378">#REF!</definedName>
    <definedName name="_vena_CashFlowS3_CashFlowB5_R_FV_42f34b52efc14701904e2bd69b949ebb_379">#REF!</definedName>
    <definedName name="_vena_CashFlowS3_CashFlowB5_R_FV_42f34b52efc14701904e2bd69b949ebb_380">#REF!</definedName>
    <definedName name="_vena_CashFlowS3_CashFlowB5_R_FV_42f34b52efc14701904e2bd69b949ebb_381">#REF!</definedName>
    <definedName name="_vena_CashFlowS3_CashFlowB5_R_FV_42f34b52efc14701904e2bd69b949ebb_382">#REF!</definedName>
    <definedName name="_vena_CashFlowS3_CashFlowB5_R_FV_42f34b52efc14701904e2bd69b949ebb_383">#REF!</definedName>
    <definedName name="_vena_CashFlowS3_CashFlowB5_R_FV_42f34b52efc14701904e2bd69b949ebb_384">#REF!</definedName>
    <definedName name="_vena_CashFlowS3_CashFlowB5_R_FV_42f34b52efc14701904e2bd69b949ebb_385">#REF!</definedName>
    <definedName name="_vena_CashFlowS3_CashFlowB5_R_FV_42f34b52efc14701904e2bd69b949ebb_386">#REF!</definedName>
    <definedName name="_vena_CashFlowS3_CashFlowB5_R_FV_42f34b52efc14701904e2bd69b949ebb_387">#REF!</definedName>
    <definedName name="_vena_CashFlowS3_CashFlowB5_R_FV_42f34b52efc14701904e2bd69b949ebb_388">#REF!</definedName>
    <definedName name="_vena_CashFlowS3_CashFlowB5_R_FV_42f34b52efc14701904e2bd69b949ebb_389">#REF!</definedName>
    <definedName name="_vena_CashFlowS3_CashFlowB5_R_FV_42f34b52efc14701904e2bd69b949ebb_390">#REF!</definedName>
    <definedName name="_vena_CashFlowS3_CashFlowB5_R_FV_42f34b52efc14701904e2bd69b949ebb_391">#REF!</definedName>
    <definedName name="_vena_CashFlowS3_CashFlowB5_R_FV_42f34b52efc14701904e2bd69b949ebb_392">#REF!</definedName>
    <definedName name="_vena_CashFlowS3_CashFlowB5_R_FV_42f34b52efc14701904e2bd69b949ebb_393">#REF!</definedName>
    <definedName name="_vena_CashFlowS3_CashFlowB5_R_FV_42f34b52efc14701904e2bd69b949ebb_394">#REF!</definedName>
    <definedName name="_vena_CashFlowS3_CashFlowB5_R_FV_42f34b52efc14701904e2bd69b949ebb_395">#REF!</definedName>
    <definedName name="_vena_CashFlowS3_CashFlowB5_R_FV_42f34b52efc14701904e2bd69b949ebb_396">#REF!</definedName>
    <definedName name="_vena_CashFlowS3_CashFlowB5_R_FV_42f34b52efc14701904e2bd69b949ebb_397">#REF!</definedName>
    <definedName name="_vena_CashFlowS3_CashFlowB5_R_FV_42f34b52efc14701904e2bd69b949ebb_398">#REF!</definedName>
    <definedName name="_vena_CashFlowS3_CashFlowB5_R_FV_42f34b52efc14701904e2bd69b949ebb_399">#REF!</definedName>
    <definedName name="_vena_CashFlowS3_CashFlowB5_R_FV_42f34b52efc14701904e2bd69b949ebb_4">#REF!</definedName>
    <definedName name="_vena_CashFlowS3_CashFlowB5_R_FV_42f34b52efc14701904e2bd69b949ebb_400">#REF!</definedName>
    <definedName name="_vena_CashFlowS3_CashFlowB5_R_FV_42f34b52efc14701904e2bd69b949ebb_401">#REF!</definedName>
    <definedName name="_vena_CashFlowS3_CashFlowB5_R_FV_42f34b52efc14701904e2bd69b949ebb_402">#REF!</definedName>
    <definedName name="_vena_CashFlowS3_CashFlowB5_R_FV_42f34b52efc14701904e2bd69b949ebb_403">#REF!</definedName>
    <definedName name="_vena_CashFlowS3_CashFlowB5_R_FV_42f34b52efc14701904e2bd69b949ebb_404">#REF!</definedName>
    <definedName name="_vena_CashFlowS3_CashFlowB5_R_FV_42f34b52efc14701904e2bd69b949ebb_405">#REF!</definedName>
    <definedName name="_vena_CashFlowS3_CashFlowB5_R_FV_42f34b52efc14701904e2bd69b949ebb_406">#REF!</definedName>
    <definedName name="_vena_CashFlowS3_CashFlowB5_R_FV_42f34b52efc14701904e2bd69b949ebb_407">#REF!</definedName>
    <definedName name="_vena_CashFlowS3_CashFlowB5_R_FV_42f34b52efc14701904e2bd69b949ebb_408">#REF!</definedName>
    <definedName name="_vena_CashFlowS3_CashFlowB5_R_FV_42f34b52efc14701904e2bd69b949ebb_409">#REF!</definedName>
    <definedName name="_vena_CashFlowS3_CashFlowB5_R_FV_42f34b52efc14701904e2bd69b949ebb_410">#REF!</definedName>
    <definedName name="_vena_CashFlowS3_CashFlowB5_R_FV_42f34b52efc14701904e2bd69b949ebb_411">#REF!</definedName>
    <definedName name="_vena_CashFlowS3_CashFlowB5_R_FV_42f34b52efc14701904e2bd69b949ebb_412">#REF!</definedName>
    <definedName name="_vena_CashFlowS3_CashFlowB5_R_FV_42f34b52efc14701904e2bd69b949ebb_413">#REF!</definedName>
    <definedName name="_vena_CashFlowS3_CashFlowB5_R_FV_42f34b52efc14701904e2bd69b949ebb_414">#REF!</definedName>
    <definedName name="_vena_CashFlowS3_CashFlowB5_R_FV_42f34b52efc14701904e2bd69b949ebb_415">#REF!</definedName>
    <definedName name="_vena_CashFlowS3_CashFlowB5_R_FV_42f34b52efc14701904e2bd69b949ebb_416">#REF!</definedName>
    <definedName name="_vena_CashFlowS3_CashFlowB5_R_FV_42f34b52efc14701904e2bd69b949ebb_417">#REF!</definedName>
    <definedName name="_vena_CashFlowS3_CashFlowB5_R_FV_42f34b52efc14701904e2bd69b949ebb_418">#REF!</definedName>
    <definedName name="_vena_CashFlowS3_CashFlowB5_R_FV_42f34b52efc14701904e2bd69b949ebb_419">#REF!</definedName>
    <definedName name="_vena_CashFlowS3_CashFlowB5_R_FV_42f34b52efc14701904e2bd69b949ebb_420">#REF!</definedName>
    <definedName name="_vena_CashFlowS3_CashFlowB5_R_FV_42f34b52efc14701904e2bd69b949ebb_421">#REF!</definedName>
    <definedName name="_vena_CashFlowS3_CashFlowB5_R_FV_42f34b52efc14701904e2bd69b949ebb_422">#REF!</definedName>
    <definedName name="_vena_CashFlowS3_CashFlowB5_R_FV_42f34b52efc14701904e2bd69b949ebb_423">#REF!</definedName>
    <definedName name="_vena_CashFlowS3_CashFlowB5_R_FV_42f34b52efc14701904e2bd69b949ebb_424">#REF!</definedName>
    <definedName name="_vena_CashFlowS3_CashFlowB5_R_FV_42f34b52efc14701904e2bd69b949ebb_425">#REF!</definedName>
    <definedName name="_vena_CashFlowS3_CashFlowB5_R_FV_42f34b52efc14701904e2bd69b949ebb_426">#REF!</definedName>
    <definedName name="_vena_CashFlowS3_CashFlowB5_R_FV_42f34b52efc14701904e2bd69b949ebb_427">#REF!</definedName>
    <definedName name="_vena_CashFlowS3_CashFlowB5_R_FV_42f34b52efc14701904e2bd69b949ebb_428">#REF!</definedName>
    <definedName name="_vena_CashFlowS3_CashFlowB5_R_FV_42f34b52efc14701904e2bd69b949ebb_429">#REF!</definedName>
    <definedName name="_vena_CashFlowS3_CashFlowB5_R_FV_42f34b52efc14701904e2bd69b949ebb_430">#REF!</definedName>
    <definedName name="_vena_CashFlowS3_CashFlowB5_R_FV_42f34b52efc14701904e2bd69b949ebb_431">#REF!</definedName>
    <definedName name="_vena_CashFlowS3_CashFlowB5_R_FV_42f34b52efc14701904e2bd69b949ebb_432">#REF!</definedName>
    <definedName name="_vena_CashFlowS3_CashFlowB5_R_FV_42f34b52efc14701904e2bd69b949ebb_433">#REF!</definedName>
    <definedName name="_vena_CashFlowS3_CashFlowB5_R_FV_42f34b52efc14701904e2bd69b949ebb_434">#REF!</definedName>
    <definedName name="_vena_CashFlowS3_CashFlowB5_R_FV_42f34b52efc14701904e2bd69b949ebb_435">#REF!</definedName>
    <definedName name="_vena_CashFlowS3_CashFlowB5_R_FV_42f34b52efc14701904e2bd69b949ebb_436">#REF!</definedName>
    <definedName name="_vena_CashFlowS3_CashFlowB5_R_FV_42f34b52efc14701904e2bd69b949ebb_437">#REF!</definedName>
    <definedName name="_vena_CashFlowS3_CashFlowB5_R_FV_42f34b52efc14701904e2bd69b949ebb_438">#REF!</definedName>
    <definedName name="_vena_CashFlowS3_CashFlowB5_R_FV_42f34b52efc14701904e2bd69b949ebb_439">#REF!</definedName>
    <definedName name="_vena_CashFlowS3_CashFlowB5_R_FV_42f34b52efc14701904e2bd69b949ebb_440">#REF!</definedName>
    <definedName name="_vena_CashFlowS3_CashFlowB5_R_FV_42f34b52efc14701904e2bd69b949ebb_441">#REF!</definedName>
    <definedName name="_vena_CashFlowS3_CashFlowB5_R_FV_42f34b52efc14701904e2bd69b949ebb_442">#REF!</definedName>
    <definedName name="_vena_CashFlowS3_CashFlowB5_R_FV_42f34b52efc14701904e2bd69b949ebb_443">#REF!</definedName>
    <definedName name="_vena_CashFlowS3_CashFlowB5_R_FV_42f34b52efc14701904e2bd69b949ebb_444">#REF!</definedName>
    <definedName name="_vena_CashFlowS3_CashFlowB5_R_FV_42f34b52efc14701904e2bd69b949ebb_445">#REF!</definedName>
    <definedName name="_vena_CashFlowS3_CashFlowB5_R_FV_42f34b52efc14701904e2bd69b949ebb_446">#REF!</definedName>
    <definedName name="_vena_CashFlowS3_CashFlowB5_R_FV_42f34b52efc14701904e2bd69b949ebb_447">#REF!</definedName>
    <definedName name="_vena_CashFlowS3_CashFlowB5_R_FV_42f34b52efc14701904e2bd69b949ebb_448">#REF!</definedName>
    <definedName name="_vena_CashFlowS3_CashFlowB5_R_FV_42f34b52efc14701904e2bd69b949ebb_449">#REF!</definedName>
    <definedName name="_vena_CashFlowS3_CashFlowB5_R_FV_42f34b52efc14701904e2bd69b949ebb_450">#REF!</definedName>
    <definedName name="_vena_CashFlowS3_CashFlowB5_R_FV_42f34b52efc14701904e2bd69b949ebb_451">#REF!</definedName>
    <definedName name="_vena_CashFlowS3_CashFlowB5_R_FV_42f34b52efc14701904e2bd69b949ebb_452">#REF!</definedName>
    <definedName name="_vena_CashFlowS3_CashFlowB5_R_FV_42f34b52efc14701904e2bd69b949ebb_453">#REF!</definedName>
    <definedName name="_vena_CashFlowS3_CashFlowB5_R_FV_42f34b52efc14701904e2bd69b949ebb_454">#REF!</definedName>
    <definedName name="_vena_CashFlowS3_CashFlowB5_R_FV_42f34b52efc14701904e2bd69b949ebb_455">#REF!</definedName>
    <definedName name="_vena_CashFlowS3_CashFlowB5_R_FV_42f34b52efc14701904e2bd69b949ebb_456">#REF!</definedName>
    <definedName name="_vena_CashFlowS3_CashFlowB5_R_FV_42f34b52efc14701904e2bd69b949ebb_457">#REF!</definedName>
    <definedName name="_vena_CashFlowS3_CashFlowB5_R_FV_42f34b52efc14701904e2bd69b949ebb_458">#REF!</definedName>
    <definedName name="_vena_CashFlowS3_CashFlowB5_R_FV_42f34b52efc14701904e2bd69b949ebb_459">#REF!</definedName>
    <definedName name="_vena_CashFlowS3_CashFlowB5_R_FV_42f34b52efc14701904e2bd69b949ebb_460">#REF!</definedName>
    <definedName name="_vena_CashFlowS3_CashFlowB5_R_FV_42f34b52efc14701904e2bd69b949ebb_461">#REF!</definedName>
    <definedName name="_vena_CashFlowS3_CashFlowB5_R_FV_42f34b52efc14701904e2bd69b949ebb_462">#REF!</definedName>
    <definedName name="_vena_CashFlowS3_CashFlowB5_R_FV_42f34b52efc14701904e2bd69b949ebb_463">#REF!</definedName>
    <definedName name="_vena_CashFlowS3_CashFlowB5_R_FV_42f34b52efc14701904e2bd69b949ebb_464">#REF!</definedName>
    <definedName name="_vena_CashFlowS3_CashFlowB5_R_FV_42f34b52efc14701904e2bd69b949ebb_465">#REF!</definedName>
    <definedName name="_vena_CashFlowS3_CashFlowB5_R_FV_42f34b52efc14701904e2bd69b949ebb_466">#REF!</definedName>
    <definedName name="_vena_CashFlowS3_CashFlowB5_R_FV_42f34b52efc14701904e2bd69b949ebb_467">#REF!</definedName>
    <definedName name="_vena_CashFlowS3_CashFlowB5_R_FV_42f34b52efc14701904e2bd69b949ebb_468">#REF!</definedName>
    <definedName name="_vena_CashFlowS3_CashFlowB5_R_FV_42f34b52efc14701904e2bd69b949ebb_469">#REF!</definedName>
    <definedName name="_vena_CashFlowS3_CashFlowB5_R_FV_42f34b52efc14701904e2bd69b949ebb_470">#REF!</definedName>
    <definedName name="_vena_CashFlowS3_CashFlowB5_R_FV_42f34b52efc14701904e2bd69b949ebb_471">#REF!</definedName>
    <definedName name="_vena_CashFlowS3_CashFlowB5_R_FV_42f34b52efc14701904e2bd69b949ebb_472">#REF!</definedName>
    <definedName name="_vena_CashFlowS3_CashFlowB5_R_FV_42f34b52efc14701904e2bd69b949ebb_473">#REF!</definedName>
    <definedName name="_vena_CashFlowS3_CashFlowB5_R_FV_42f34b52efc14701904e2bd69b949ebb_474">#REF!</definedName>
    <definedName name="_vena_CashFlowS3_CashFlowB5_R_FV_42f34b52efc14701904e2bd69b949ebb_475">#REF!</definedName>
    <definedName name="_vena_CashFlowS3_CashFlowB5_R_FV_42f34b52efc14701904e2bd69b949ebb_476">#REF!</definedName>
    <definedName name="_vena_CashFlowS3_CashFlowB5_R_FV_42f34b52efc14701904e2bd69b949ebb_477">#REF!</definedName>
    <definedName name="_vena_CashFlowS3_CashFlowB5_R_FV_42f34b52efc14701904e2bd69b949ebb_478">#REF!</definedName>
    <definedName name="_vena_CashFlowS3_CashFlowB5_R_FV_42f34b52efc14701904e2bd69b949ebb_479">#REF!</definedName>
    <definedName name="_vena_CashFlowS3_CashFlowB5_R_FV_42f34b52efc14701904e2bd69b949ebb_480">#REF!</definedName>
    <definedName name="_vena_CashFlowS3_CashFlowB5_R_FV_42f34b52efc14701904e2bd69b949ebb_481">#REF!</definedName>
    <definedName name="_vena_CashFlowS3_CashFlowB5_R_FV_42f34b52efc14701904e2bd69b949ebb_482">#REF!</definedName>
    <definedName name="_vena_CashFlowS3_CashFlowB5_R_FV_42f34b52efc14701904e2bd69b949ebb_483">#REF!</definedName>
    <definedName name="_vena_CashFlowS3_CashFlowB5_R_FV_42f34b52efc14701904e2bd69b949ebb_484">#REF!</definedName>
    <definedName name="_vena_CashFlowS3_CashFlowB5_R_FV_42f34b52efc14701904e2bd69b949ebb_485">#REF!</definedName>
    <definedName name="_vena_CashFlowS3_CashFlowB5_R_FV_42f34b52efc14701904e2bd69b949ebb_486">#REF!</definedName>
    <definedName name="_vena_CashFlowS3_CashFlowB5_R_FV_42f34b52efc14701904e2bd69b949ebb_487">#REF!</definedName>
    <definedName name="_vena_CashFlowS3_CashFlowB5_R_FV_42f34b52efc14701904e2bd69b949ebb_488">#REF!</definedName>
    <definedName name="_vena_CashFlowS3_CashFlowB5_R_FV_42f34b52efc14701904e2bd69b949ebb_489">#REF!</definedName>
    <definedName name="_vena_CashFlowS3_CashFlowB5_R_FV_42f34b52efc14701904e2bd69b949ebb_490">#REF!</definedName>
    <definedName name="_vena_CashFlowS3_CashFlowB5_R_FV_42f34b52efc14701904e2bd69b949ebb_491">#REF!</definedName>
    <definedName name="_vena_CashFlowS3_CashFlowB5_R_FV_42f34b52efc14701904e2bd69b949ebb_492">#REF!</definedName>
    <definedName name="_vena_CashFlowS3_CashFlowB5_R_FV_42f34b52efc14701904e2bd69b949ebb_493">#REF!</definedName>
    <definedName name="_vena_CashFlowS3_CashFlowB5_R_FV_42f34b52efc14701904e2bd69b949ebb_494">#REF!</definedName>
    <definedName name="_vena_CashFlowS3_CashFlowB5_R_FV_42f34b52efc14701904e2bd69b949ebb_495">#REF!</definedName>
    <definedName name="_vena_CashFlowS3_CashFlowB5_R_FV_42f34b52efc14701904e2bd69b949ebb_496">#REF!</definedName>
    <definedName name="_vena_CashFlowS3_CashFlowB5_R_FV_42f34b52efc14701904e2bd69b949ebb_497">#REF!</definedName>
    <definedName name="_vena_CashFlowS3_CashFlowB5_R_FV_42f34b52efc14701904e2bd69b949ebb_498">#REF!</definedName>
    <definedName name="_vena_CashFlowS3_CashFlowB5_R_FV_42f34b52efc14701904e2bd69b949ebb_499">#REF!</definedName>
    <definedName name="_vena_CashFlowS3_CashFlowB5_R_FV_42f34b52efc14701904e2bd69b949ebb_500">#REF!</definedName>
    <definedName name="_vena_CashFlowS3_CashFlowB5_R_FV_42f34b52efc14701904e2bd69b949ebb_501">#REF!</definedName>
    <definedName name="_vena_CashFlowS3_CashFlowB5_R_FV_42f34b52efc14701904e2bd69b949ebb_502">#REF!</definedName>
    <definedName name="_vena_CashFlowS3_CashFlowB5_R_FV_42f34b52efc14701904e2bd69b949ebb_503">#REF!</definedName>
    <definedName name="_vena_CashFlowS3_CashFlowB5_R_FV_42f34b52efc14701904e2bd69b949ebb_504">#REF!</definedName>
    <definedName name="_vena_CashFlowS3_CashFlowB5_R_FV_42f34b52efc14701904e2bd69b949ebb_505">#REF!</definedName>
    <definedName name="_vena_CashFlowS3_CashFlowB5_R_FV_42f34b52efc14701904e2bd69b949ebb_506">#REF!</definedName>
    <definedName name="_vena_CashFlowS3_CashFlowB5_R_FV_42f34b52efc14701904e2bd69b949ebb_507">#REF!</definedName>
    <definedName name="_vena_CashFlowS3_CashFlowB5_R_FV_42f34b52efc14701904e2bd69b949ebb_508">#REF!</definedName>
    <definedName name="_vena_CashFlowS3_CashFlowB5_R_FV_42f34b52efc14701904e2bd69b949ebb_509">#REF!</definedName>
    <definedName name="_vena_CashFlowS3_CashFlowB5_R_FV_42f34b52efc14701904e2bd69b949ebb_510">#REF!</definedName>
    <definedName name="_vena_CashFlowS3_CashFlowB5_R_FV_42f34b52efc14701904e2bd69b949ebb_511">#REF!</definedName>
    <definedName name="_vena_CashFlowS3_CashFlowB5_R_FV_42f34b52efc14701904e2bd69b949ebb_512">#REF!</definedName>
    <definedName name="_vena_CashFlowS3_CashFlowB5_R_FV_42f34b52efc14701904e2bd69b949ebb_513">#REF!</definedName>
    <definedName name="_vena_CashFlowS3_CashFlowB5_R_FV_42f34b52efc14701904e2bd69b949ebb_514">#REF!</definedName>
    <definedName name="_vena_CashFlowS3_CashFlowB5_R_FV_42f34b52efc14701904e2bd69b949ebb_515">#REF!</definedName>
    <definedName name="_vena_CashFlowS3_CashFlowB5_R_FV_42f34b52efc14701904e2bd69b949ebb_516">#REF!</definedName>
    <definedName name="_vena_CashFlowS3_CashFlowB5_R_FV_42f34b52efc14701904e2bd69b949ebb_517">#REF!</definedName>
    <definedName name="_vena_CashFlowS3_CashFlowB5_R_FV_42f34b52efc14701904e2bd69b949ebb_518">#REF!</definedName>
    <definedName name="_vena_CashFlowS3_CashFlowB5_R_FV_42f34b52efc14701904e2bd69b949ebb_519">#REF!</definedName>
    <definedName name="_vena_CashFlowS3_CashFlowB5_R_FV_42f34b52efc14701904e2bd69b949ebb_520">#REF!</definedName>
    <definedName name="_vena_CashFlowS3_CashFlowB5_R_FV_42f34b52efc14701904e2bd69b949ebb_521">#REF!</definedName>
    <definedName name="_vena_CashFlowS3_CashFlowB5_R_FV_42f34b52efc14701904e2bd69b949ebb_522">#REF!</definedName>
    <definedName name="_vena_CashFlowS3_CashFlowB5_R_FV_42f34b52efc14701904e2bd69b949ebb_523">#REF!</definedName>
    <definedName name="_vena_CashFlowS3_CashFlowB5_R_FV_42f34b52efc14701904e2bd69b949ebb_524">#REF!</definedName>
    <definedName name="_vena_CashFlowS3_CashFlowB5_R_FV_42f34b52efc14701904e2bd69b949ebb_525">#REF!</definedName>
    <definedName name="_vena_CashFlowS3_CashFlowB5_R_FV_42f34b52efc14701904e2bd69b949ebb_526">#REF!</definedName>
    <definedName name="_vena_CashFlowS3_CashFlowB5_R_FV_42f34b52efc14701904e2bd69b949ebb_527">#REF!</definedName>
    <definedName name="_vena_CashFlowS3_CashFlowB5_R_FV_42f34b52efc14701904e2bd69b949ebb_528">#REF!</definedName>
    <definedName name="_vena_CashFlowS3_CashFlowB5_R_FV_42f34b52efc14701904e2bd69b949ebb_529">#REF!</definedName>
    <definedName name="_vena_CashFlowS3_CashFlowB5_R_FV_42f34b52efc14701904e2bd69b949ebb_530">#REF!</definedName>
    <definedName name="_vena_CashFlowS3_CashFlowB5_R_FV_42f34b52efc14701904e2bd69b949ebb_531">#REF!</definedName>
    <definedName name="_vena_CashFlowS3_CashFlowB5_R_FV_42f34b52efc14701904e2bd69b949ebb_532">#REF!</definedName>
    <definedName name="_vena_CashFlowS3_CashFlowB5_R_FV_42f34b52efc14701904e2bd69b949ebb_533">#REF!</definedName>
    <definedName name="_vena_CashFlowS3_CashFlowB5_R_FV_42f34b52efc14701904e2bd69b949ebb_534">#REF!</definedName>
    <definedName name="_vena_CashFlowS3_CashFlowB5_R_FV_42f34b52efc14701904e2bd69b949ebb_535">#REF!</definedName>
    <definedName name="_vena_CashFlowS3_CashFlowB5_R_FV_42f34b52efc14701904e2bd69b949ebb_536">#REF!</definedName>
    <definedName name="_vena_CashFlowS3_CashFlowB5_R_FV_42f34b52efc14701904e2bd69b949ebb_537">#REF!</definedName>
    <definedName name="_vena_CashFlowS3_CashFlowB5_R_FV_42f34b52efc14701904e2bd69b949ebb_538">#REF!</definedName>
    <definedName name="_vena_CashFlowS3_CashFlowB5_R_FV_42f34b52efc14701904e2bd69b949ebb_539">#REF!</definedName>
    <definedName name="_vena_CashFlowS3_CashFlowB5_R_FV_42f34b52efc14701904e2bd69b949ebb_540">#REF!</definedName>
    <definedName name="_vena_CashFlowS3_CashFlowB5_R_FV_42f34b52efc14701904e2bd69b949ebb_541">#REF!</definedName>
    <definedName name="_vena_CashFlowS3_CashFlowB5_R_FV_42f34b52efc14701904e2bd69b949ebb_542">#REF!</definedName>
    <definedName name="_vena_CashFlowS3_CashFlowB5_R_FV_42f34b52efc14701904e2bd69b949ebb_543">#REF!</definedName>
    <definedName name="_vena_CashFlowS3_CashFlowB5_R_FV_42f34b52efc14701904e2bd69b949ebb_544">#REF!</definedName>
    <definedName name="_vena_CashFlowS3_CashFlowB5_R_FV_42f34b52efc14701904e2bd69b949ebb_545">#REF!</definedName>
    <definedName name="_vena_CashFlowS3_CashFlowB5_R_FV_42f34b52efc14701904e2bd69b949ebb_546">#REF!</definedName>
    <definedName name="_vena_CashFlowS3_CashFlowB5_R_FV_42f34b52efc14701904e2bd69b949ebb_547">#REF!</definedName>
    <definedName name="_vena_CashFlowS3_CashFlowB5_R_FV_42f34b52efc14701904e2bd69b949ebb_548">#REF!</definedName>
    <definedName name="_vena_CashFlowS3_CashFlowB5_R_FV_42f34b52efc14701904e2bd69b949ebb_549">#REF!</definedName>
    <definedName name="_vena_CashFlowS3_CashFlowB5_R_FV_42f34b52efc14701904e2bd69b949ebb_550">#REF!</definedName>
    <definedName name="_vena_CashFlowS3_CashFlowB5_R_FV_42f34b52efc14701904e2bd69b949ebb_551">#REF!</definedName>
    <definedName name="_vena_CashFlowS3_CashFlowB5_R_FV_42f34b52efc14701904e2bd69b949ebb_552">#REF!</definedName>
    <definedName name="_vena_CashFlowS3_CashFlowB5_R_FV_42f34b52efc14701904e2bd69b949ebb_553">#REF!</definedName>
    <definedName name="_vena_CashFlowS3_CashFlowB5_R_FV_42f34b52efc14701904e2bd69b949ebb_554">#REF!</definedName>
    <definedName name="_vena_CashFlowS3_CashFlowB5_R_FV_42f34b52efc14701904e2bd69b949ebb_555">#REF!</definedName>
    <definedName name="_vena_CashFlowS3_CashFlowB5_R_FV_42f34b52efc14701904e2bd69b949ebb_556">#REF!</definedName>
    <definedName name="_vena_CashFlowS3_CashFlowB5_R_FV_42f34b52efc14701904e2bd69b949ebb_557">#REF!</definedName>
    <definedName name="_vena_CashFlowS3_CashFlowB5_R_FV_42f34b52efc14701904e2bd69b949ebb_558">#REF!</definedName>
    <definedName name="_vena_CashFlowS3_CashFlowB5_R_FV_42f34b52efc14701904e2bd69b949ebb_559">#REF!</definedName>
    <definedName name="_vena_CashFlowS3_CashFlowB5_R_FV_42f34b52efc14701904e2bd69b949ebb_560">#REF!</definedName>
    <definedName name="_vena_CashFlowS3_CashFlowB5_R_FV_42f34b52efc14701904e2bd69b949ebb_561">#REF!</definedName>
    <definedName name="_vena_CashFlowS3_CashFlowB5_R_FV_42f34b52efc14701904e2bd69b949ebb_562">#REF!</definedName>
    <definedName name="_vena_CashFlowS3_CashFlowB5_R_FV_42f34b52efc14701904e2bd69b949ebb_563">#REF!</definedName>
    <definedName name="_vena_CashFlowS3_CashFlowB5_R_FV_42f34b52efc14701904e2bd69b949ebb_564">#REF!</definedName>
    <definedName name="_vena_CashFlowS3_CashFlowB5_R_FV_42f34b52efc14701904e2bd69b949ebb_565">#REF!</definedName>
    <definedName name="_vena_CashFlowS3_CashFlowB5_R_FV_42f34b52efc14701904e2bd69b949ebb_566">#REF!</definedName>
    <definedName name="_vena_CashFlowS3_CashFlowB5_R_FV_42f34b52efc14701904e2bd69b949ebb_567">#REF!</definedName>
    <definedName name="_vena_CashFlowS3_CashFlowB5_R_FV_42f34b52efc14701904e2bd69b949ebb_568">#REF!</definedName>
    <definedName name="_vena_CashFlowS3_CashFlowB5_R_FV_42f34b52efc14701904e2bd69b949ebb_569">#REF!</definedName>
    <definedName name="_vena_CashFlowS3_CashFlowB5_R_FV_42f34b52efc14701904e2bd69b949ebb_570">#REF!</definedName>
    <definedName name="_vena_CashFlowS3_CashFlowB5_R_FV_42f34b52efc14701904e2bd69b949ebb_571">#REF!</definedName>
    <definedName name="_vena_CashFlowS3_CashFlowB5_R_FV_42f34b52efc14701904e2bd69b949ebb_572">#REF!</definedName>
    <definedName name="_vena_CashFlowS3_CashFlowB5_R_FV_42f34b52efc14701904e2bd69b949ebb_573">#REF!</definedName>
    <definedName name="_vena_CashFlowS3_CashFlowB5_R_FV_42f34b52efc14701904e2bd69b949ebb_574">#REF!</definedName>
    <definedName name="_vena_CashFlowS3_CashFlowB5_R_FV_42f34b52efc14701904e2bd69b949ebb_575">#REF!</definedName>
    <definedName name="_vena_CashFlowS3_CashFlowB5_R_FV_42f34b52efc14701904e2bd69b949ebb_576">#REF!</definedName>
    <definedName name="_vena_CashFlowS3_CashFlowB5_R_FV_42f34b52efc14701904e2bd69b949ebb_577">#REF!</definedName>
    <definedName name="_vena_CashFlowS3_CashFlowB5_R_FV_42f34b52efc14701904e2bd69b949ebb_578">#REF!</definedName>
    <definedName name="_vena_CashFlowS3_CashFlowB5_R_FV_42f34b52efc14701904e2bd69b949ebb_579">#REF!</definedName>
    <definedName name="_vena_CashFlowS3_CashFlowB5_R_FV_42f34b52efc14701904e2bd69b949ebb_580">#REF!</definedName>
    <definedName name="_vena_CashFlowS3_CashFlowB5_R_FV_42f34b52efc14701904e2bd69b949ebb_581">#REF!</definedName>
    <definedName name="_vena_CashFlowS3_CashFlowB5_R_FV_42f34b52efc14701904e2bd69b949ebb_582">#REF!</definedName>
    <definedName name="_vena_CashFlowS3_CashFlowB5_R_FV_42f34b52efc14701904e2bd69b949ebb_583">#REF!</definedName>
    <definedName name="_vena_CashFlowS3_CashFlowB5_R_FV_42f34b52efc14701904e2bd69b949ebb_584">#REF!</definedName>
    <definedName name="_vena_CashFlowS3_CashFlowB5_R_FV_42f34b52efc14701904e2bd69b949ebb_585">#REF!</definedName>
    <definedName name="_vena_CashFlowS3_CashFlowB5_R_FV_42f34b52efc14701904e2bd69b949ebb_586">#REF!</definedName>
    <definedName name="_vena_CashFlowS3_CashFlowB5_R_FV_42f34b52efc14701904e2bd69b949ebb_587">#REF!</definedName>
    <definedName name="_vena_CashFlowS3_CashFlowB5_R_FV_42f34b52efc14701904e2bd69b949ebb_588">#REF!</definedName>
    <definedName name="_vena_CashFlowS3_CashFlowB5_R_FV_42f34b52efc14701904e2bd69b949ebb_589">#REF!</definedName>
    <definedName name="_vena_CashFlowS3_CashFlowB5_R_FV_42f34b52efc14701904e2bd69b949ebb_590">#REF!</definedName>
    <definedName name="_vena_CashFlowS3_CashFlowB5_R_FV_42f34b52efc14701904e2bd69b949ebb_591">#REF!</definedName>
    <definedName name="_vena_CashFlowS3_CashFlowB5_R_FV_42f34b52efc14701904e2bd69b949ebb_592">#REF!</definedName>
    <definedName name="_vena_CashFlowS3_CashFlowB5_R_FV_42f34b52efc14701904e2bd69b949ebb_593">#REF!</definedName>
    <definedName name="_vena_CashFlowS3_CashFlowB5_R_FV_42f34b52efc14701904e2bd69b949ebb_594">#REF!</definedName>
    <definedName name="_vena_CashFlowS3_CashFlowB5_R_FV_42f34b52efc14701904e2bd69b949ebb_595">#REF!</definedName>
    <definedName name="_vena_CashFlowS3_CashFlowB5_R_FV_42f34b52efc14701904e2bd69b949ebb_596">#REF!</definedName>
    <definedName name="_vena_CashFlowS3_CashFlowB5_R_FV_42f34b52efc14701904e2bd69b949ebb_597">#REF!</definedName>
    <definedName name="_vena_CashFlowS3_CashFlowB5_R_FV_42f34b52efc14701904e2bd69b949ebb_598">#REF!</definedName>
    <definedName name="_vena_CashFlowS3_CashFlowB5_R_FV_42f34b52efc14701904e2bd69b949ebb_599">#REF!</definedName>
    <definedName name="_vena_CashFlowS3_CashFlowB5_R_FV_42f34b52efc14701904e2bd69b949ebb_600">#REF!</definedName>
    <definedName name="_vena_CashFlowS3_CashFlowB5_R_FV_42f34b52efc14701904e2bd69b949ebb_601">#REF!</definedName>
    <definedName name="_vena_CashFlowS3_CashFlowB5_R_FV_42f34b52efc14701904e2bd69b949ebb_602">#REF!</definedName>
    <definedName name="_vena_CashFlowS3_CashFlowB5_R_FV_42f34b52efc14701904e2bd69b949ebb_603">#REF!</definedName>
    <definedName name="_vena_CashFlowS3_CashFlowB5_R_FV_42f34b52efc14701904e2bd69b949ebb_604">#REF!</definedName>
    <definedName name="_vena_CashFlowS3_CashFlowB5_R_FV_42f34b52efc14701904e2bd69b949ebb_605">#REF!</definedName>
    <definedName name="_vena_CashFlowS3_CashFlowB5_R_FV_42f34b52efc14701904e2bd69b949ebb_606">#REF!</definedName>
    <definedName name="_vena_CashFlowS3_CashFlowB5_R_FV_42f34b52efc14701904e2bd69b949ebb_607">#REF!</definedName>
    <definedName name="_vena_CashFlowS3_CashFlowB5_R_FV_42f34b52efc14701904e2bd69b949ebb_608">#REF!</definedName>
    <definedName name="_vena_CashFlowS3_CashFlowB5_R_FV_42f34b52efc14701904e2bd69b949ebb_609">#REF!</definedName>
    <definedName name="_vena_CashFlowS3_CashFlowB5_R_FV_42f34b52efc14701904e2bd69b949ebb_610">#REF!</definedName>
    <definedName name="_vena_CashFlowS3_CashFlowB5_R_FV_42f34b52efc14701904e2bd69b949ebb_611">#REF!</definedName>
    <definedName name="_vena_CashFlowS3_CashFlowB5_R_FV_42f34b52efc14701904e2bd69b949ebb_612">#REF!</definedName>
    <definedName name="_vena_CashFlowS3_CashFlowB5_R_FV_42f34b52efc14701904e2bd69b949ebb_613">#REF!</definedName>
    <definedName name="_vena_CashFlowS3_CashFlowB5_R_FV_42f34b52efc14701904e2bd69b949ebb_614">#REF!</definedName>
    <definedName name="_vena_CashFlowS3_CashFlowB5_R_FV_42f34b52efc14701904e2bd69b949ebb_615">#REF!</definedName>
    <definedName name="_vena_CashFlowS3_CashFlowB5_R_FV_42f34b52efc14701904e2bd69b949ebb_616">#REF!</definedName>
    <definedName name="_vena_CashFlowS3_CashFlowB5_R_FV_42f34b52efc14701904e2bd69b949ebb_617">#REF!</definedName>
    <definedName name="_vena_CashFlowS3_CashFlowB5_R_FV_42f34b52efc14701904e2bd69b949ebb_618">#REF!</definedName>
    <definedName name="_vena_CashFlowS3_CashFlowB5_R_FV_42f34b52efc14701904e2bd69b949ebb_619">#REF!</definedName>
    <definedName name="_vena_CashFlowS3_CashFlowB5_R_FV_42f34b52efc14701904e2bd69b949ebb_620">#REF!</definedName>
    <definedName name="_vena_CashFlowS3_CashFlowB5_R_FV_42f34b52efc14701904e2bd69b949ebb_621">#REF!</definedName>
    <definedName name="_vena_CashFlowS3_CashFlowB5_R_FV_42f34b52efc14701904e2bd69b949ebb_622">#REF!</definedName>
    <definedName name="_vena_CashFlowS3_CashFlowB5_R_FV_42f34b52efc14701904e2bd69b949ebb_623">#REF!</definedName>
    <definedName name="_vena_CashFlowS3_CashFlowB5_R_FV_42f34b52efc14701904e2bd69b949ebb_624">#REF!</definedName>
    <definedName name="_vena_CashFlowS3_CashFlowB5_R_FV_42f34b52efc14701904e2bd69b949ebb_625">#REF!</definedName>
    <definedName name="_vena_CashFlowS3_CashFlowB5_R_FV_42f34b52efc14701904e2bd69b949ebb_626">#REF!</definedName>
    <definedName name="_vena_CashFlowS3_CashFlowB5_R_FV_42f34b52efc14701904e2bd69b949ebb_627">#REF!</definedName>
    <definedName name="_vena_CashFlowS3_CashFlowB5_R_FV_42f34b52efc14701904e2bd69b949ebb_628">#REF!</definedName>
    <definedName name="_vena_CashFlowS3_CashFlowB6_C_8_551651297721057280">#REF!</definedName>
    <definedName name="_vena_CashFlowS3_CashFlowB6_C_8_632005313608548359">#REF!</definedName>
    <definedName name="_vena_CashFlowS3_CashFlowB6_C_FV_56493ffece784c5db4cd0fd3b40a250d">#REF!</definedName>
    <definedName name="_vena_CashFlowS3_CashFlowB6_R_5_552736486795378689">#REF!</definedName>
    <definedName name="_vena_CashFlowS3_CashFlowB6_R_5_552736486812155904">#REF!</definedName>
    <definedName name="_vena_CashFlowS3_CashFlowB6_R_5_552736486816350209">#REF!</definedName>
    <definedName name="_vena_CashFlowS3_CashFlowB6_R_5_552736486824738817">#REF!</definedName>
    <definedName name="_vena_CashFlowS3_CashFlowB6_R_5_552736486833127425">#REF!</definedName>
    <definedName name="_vena_CashFlowS3_CashFlowB6_R_5_552736486837321729">#REF!</definedName>
    <definedName name="_vena_CashFlowS3_CashFlowB6_R_5_552736486845710337">#REF!</definedName>
    <definedName name="_vena_CashFlowS3_CashFlowB6_R_5_552736486854098945">#REF!</definedName>
    <definedName name="_vena_CashFlowS3_CashFlowB6_R_5_552736486858293249">#REF!</definedName>
    <definedName name="_vena_CashFlowS3_CashFlowB6_R_5_552736486866681857">#REF!</definedName>
    <definedName name="_vena_CashFlowS3_CashFlowB6_R_5_552736486875070465">#REF!</definedName>
    <definedName name="_vena_CashFlowS3_CashFlowB6_R_5_552736486879264769">#REF!</definedName>
    <definedName name="_vena_CashFlowS3_CashFlowB6_R_5_552736486887653377">#REF!</definedName>
    <definedName name="_vena_CashFlowS3_CashFlowB6_R_5_552736486896041985">#REF!</definedName>
    <definedName name="_vena_CashFlowS3_CashFlowB6_R_5_552736486904430593">#REF!</definedName>
    <definedName name="_vena_CashFlowS3_CashFlowB6_R_5_552736486912819201">#REF!</definedName>
    <definedName name="_vena_CashFlowS3_CashFlowB6_R_5_552736486925402113">#REF!</definedName>
    <definedName name="_vena_CashFlowS3_CashFlowB6_R_5_552736486933790721">#REF!</definedName>
    <definedName name="_vena_CashFlowS3_CashFlowB6_R_5_552736486942179329">#REF!</definedName>
    <definedName name="_vena_CashFlowS3_CashFlowB6_R_5_552736486950567937">#REF!</definedName>
    <definedName name="_vena_CashFlowS3_CashFlowB6_R_5_552736486954762241">#REF!</definedName>
    <definedName name="_vena_CashFlowS3_CashFlowB6_R_5_552736486963150849">#REF!</definedName>
    <definedName name="_vena_CashFlowS3_CashFlowB6_R_5_552736486979928065">#REF!</definedName>
    <definedName name="_vena_CashFlowS3_CashFlowB6_R_5_552736486992510976">#REF!</definedName>
    <definedName name="_vena_CashFlowS3_CashFlowB6_R_5_552736487000899585">#REF!</definedName>
    <definedName name="_vena_CashFlowS3_CashFlowB6_R_5_552736487009288193">#REF!</definedName>
    <definedName name="_vena_CashFlowS3_CashFlowB6_R_5_552736487013482497">#REF!</definedName>
    <definedName name="_vena_CashFlowS3_CashFlowB6_R_5_552736487021871105">#REF!</definedName>
    <definedName name="_vena_CashFlowS3_CashFlowB6_R_5_552736487030259713">#REF!</definedName>
    <definedName name="_vena_CashFlowS3_CashFlowB6_R_5_552736487034454017">#REF!</definedName>
    <definedName name="_vena_CashFlowS3_CashFlowB6_R_5_552736487042842625">#REF!</definedName>
    <definedName name="_vena_CashFlowS3_CashFlowB6_R_5_552736487051231233">#REF!</definedName>
    <definedName name="_vena_CashFlowS3_CashFlowB6_R_5_552736487055425537">#REF!</definedName>
    <definedName name="_vena_CashFlowS3_CashFlowB6_R_5_552736487063814145">#REF!</definedName>
    <definedName name="_vena_CashFlowS3_CashFlowB6_R_5_552736487072202753">#REF!</definedName>
    <definedName name="_vena_CashFlowS3_CashFlowB6_R_5_552736487080591360">#REF!</definedName>
    <definedName name="_vena_CashFlowS3_CashFlowB6_R_5_552736487084785665">#REF!</definedName>
    <definedName name="_vena_CashFlowS3_CashFlowB6_R_5_552736487101562881">#REF!</definedName>
    <definedName name="_vena_CashFlowS3_CashFlowB6_R_5_552736487114145792">#REF!</definedName>
    <definedName name="_vena_CashFlowS3_CashFlowB6_R_5_552736487122534401">#REF!</definedName>
    <definedName name="_vena_CashFlowS3_CashFlowB6_R_5_552736487130923009">#REF!</definedName>
    <definedName name="_vena_CashFlowS3_CashFlowB6_R_5_552736487135117313">#REF!</definedName>
    <definedName name="_vena_CashFlowS3_CashFlowB6_R_5_552736487143505921">#REF!</definedName>
    <definedName name="_vena_CashFlowS3_CashFlowB6_R_5_552736487151894529">#REF!</definedName>
    <definedName name="_vena_CashFlowS3_CashFlowB6_R_5_552736487156088833">#REF!</definedName>
    <definedName name="_vena_CashFlowS3_CashFlowB6_R_5_552736487164477441">#REF!</definedName>
    <definedName name="_vena_CashFlowS3_CashFlowB6_R_5_552736487172866049">#REF!</definedName>
    <definedName name="_vena_CashFlowS3_CashFlowB6_R_5_552736487181254657">#REF!</definedName>
    <definedName name="_vena_CashFlowS3_CashFlowB6_R_5_552736487189643264">#REF!</definedName>
    <definedName name="_vena_CashFlowS3_CashFlowB6_R_5_552736487193837569">#REF!</definedName>
    <definedName name="_vena_CashFlowS3_CashFlowB6_R_5_552736487210614785">#REF!</definedName>
    <definedName name="_vena_CashFlowS3_CashFlowB6_R_5_552736487235780608">#REF!</definedName>
    <definedName name="_vena_CashFlowS3_CashFlowB6_R_5_552736487248363520">#REF!</definedName>
    <definedName name="_vena_CashFlowS3_CashFlowB6_R_5_552736487256752129">#REF!</definedName>
    <definedName name="_vena_CashFlowS3_CashFlowB6_R_5_552736487265140737">#REF!</definedName>
    <definedName name="_vena_CashFlowS3_CashFlowB6_R_5_552736487269335041">#REF!</definedName>
    <definedName name="_vena_CashFlowS3_CashFlowB6_R_5_552736487277723649">#REF!</definedName>
    <definedName name="_vena_CashFlowS3_CashFlowB6_R_5_552736487286112257">#REF!</definedName>
    <definedName name="_vena_CashFlowS3_CashFlowB6_R_5_552736487294500865">#REF!</definedName>
    <definedName name="_vena_CashFlowS3_CashFlowB6_R_5_552736487302889473">#REF!</definedName>
    <definedName name="_vena_CashFlowS3_CashFlowB6_R_5_552736487311278081">#REF!</definedName>
    <definedName name="_vena_CashFlowS3_CashFlowB6_R_5_552736487315472385">#REF!</definedName>
    <definedName name="_vena_CashFlowS3_CashFlowB6_R_5_552736487323860993">#REF!</definedName>
    <definedName name="_vena_CashFlowS3_CashFlowB6_R_5_552736487332249601">#REF!</definedName>
    <definedName name="_vena_CashFlowS3_CashFlowB6_R_5_552736487340638209">#REF!</definedName>
    <definedName name="_vena_CashFlowS3_CashFlowB6_R_5_552736487344832513">#REF!</definedName>
    <definedName name="_vena_CashFlowS3_CashFlowB6_R_5_552736487353221121">#REF!</definedName>
    <definedName name="_vena_CashFlowS3_CashFlowB6_R_5_552736487361609729">#REF!</definedName>
    <definedName name="_vena_CashFlowS3_CashFlowB6_R_5_552736487369998337">#REF!</definedName>
    <definedName name="_vena_CashFlowS3_CashFlowB6_R_5_552736487382581249">#REF!</definedName>
    <definedName name="_vena_CashFlowS3_CashFlowB6_R_5_552736487399358464">#REF!</definedName>
    <definedName name="_vena_CashFlowS3_CashFlowB6_R_5_552736487403552769">#REF!</definedName>
    <definedName name="_vena_CashFlowS3_CashFlowB6_R_5_552736487411941377">#REF!</definedName>
    <definedName name="_vena_CashFlowS3_CashFlowB6_R_5_552736487420329985">#REF!</definedName>
    <definedName name="_vena_CashFlowS3_CashFlowB6_R_5_552736487428718593">#REF!</definedName>
    <definedName name="_vena_CashFlowS3_CashFlowB6_R_5_552736487437107201">#REF!</definedName>
    <definedName name="_vena_CashFlowS3_CashFlowB6_R_5_552736487445495808">#REF!</definedName>
    <definedName name="_vena_CashFlowS3_CashFlowB6_R_5_552736487449690113">#REF!</definedName>
    <definedName name="_vena_CashFlowS3_CashFlowB6_R_5_552736487458078721">#REF!</definedName>
    <definedName name="_vena_CashFlowS3_CashFlowB6_R_5_552736487466467329">#REF!</definedName>
    <definedName name="_vena_CashFlowS3_CashFlowB6_R_5_552736487495827457">#REF!</definedName>
    <definedName name="_vena_CashFlowS3_CashFlowB6_R_5_552736487512604672">#REF!</definedName>
    <definedName name="_vena_CashFlowS3_CashFlowB6_R_5_552736487516798977">#REF!</definedName>
    <definedName name="_vena_CashFlowS3_CashFlowB6_R_5_552736487525187585">#REF!</definedName>
    <definedName name="_vena_CashFlowS3_CashFlowB6_R_5_552736487533576193">#REF!</definedName>
    <definedName name="_vena_CashFlowS3_CashFlowB6_R_5_552736487541964801">#REF!</definedName>
    <definedName name="_vena_CashFlowS3_CashFlowB6_R_5_552736487550353408">#REF!</definedName>
    <definedName name="_vena_CashFlowS3_CashFlowB6_R_5_552736487554547713">#REF!</definedName>
    <definedName name="_vena_CashFlowS3_CashFlowB6_R_5_552736487562936321">#REF!</definedName>
    <definedName name="_vena_CashFlowS3_CashFlowB6_R_5_552736487571324929">#REF!</definedName>
    <definedName name="_vena_CashFlowS3_CashFlowB6_R_5_552736487575519233">#REF!</definedName>
    <definedName name="_vena_CashFlowS3_CashFlowB6_R_5_552736487592296449">#REF!</definedName>
    <definedName name="_vena_CashFlowS3_CashFlowB6_R_5_552736487609073664">#REF!</definedName>
    <definedName name="_vena_CashFlowS3_CashFlowB6_R_5_552736487613267969">#REF!</definedName>
    <definedName name="_vena_CashFlowS3_CashFlowB6_R_5_552736487621656577">#REF!</definedName>
    <definedName name="_vena_CashFlowS3_CashFlowB6_R_5_552736487630045185">#REF!</definedName>
    <definedName name="_vena_CashFlowS3_CashFlowB6_R_5_552736487638433793">#REF!</definedName>
    <definedName name="_vena_CashFlowS3_CashFlowB6_R_5_552736487646822401">#REF!</definedName>
    <definedName name="_vena_CashFlowS3_CashFlowB6_R_5_552736487655211009">#REF!</definedName>
    <definedName name="_vena_CashFlowS3_CashFlowB6_R_5_552736487667793921">#REF!</definedName>
    <definedName name="_vena_CashFlowS3_CashFlowB6_R_5_552736487684571136">#REF!</definedName>
    <definedName name="_vena_CashFlowS3_CashFlowB6_R_5_552736487692959744">#REF!</definedName>
    <definedName name="_vena_CashFlowS3_CashFlowB6_R_5_552736487697154049">#REF!</definedName>
    <definedName name="_vena_CashFlowS3_CashFlowB6_R_5_552736487705542657">#REF!</definedName>
    <definedName name="_vena_CashFlowS3_CashFlowB6_R_5_552736487713931265">#REF!</definedName>
    <definedName name="_vena_CashFlowS3_CashFlowB6_R_5_552736487722319872">#REF!</definedName>
    <definedName name="_vena_CashFlowS3_CashFlowB6_R_5_552736487726514177">#REF!</definedName>
    <definedName name="_vena_CashFlowS3_CashFlowB6_R_5_552736487739097089">#REF!</definedName>
    <definedName name="_vena_CashFlowS3_CashFlowB6_R_5_552736487743291393">#REF!</definedName>
    <definedName name="_vena_CashFlowS3_CashFlowB6_R_5_552736487818788865">#REF!</definedName>
    <definedName name="_vena_CashFlowS3_CashFlowB6_R_5_552736487835566080">#REF!</definedName>
    <definedName name="_vena_CashFlowS3_CashFlowB6_R_5_552736487843954688">#REF!</definedName>
    <definedName name="_vena_CashFlowS3_CashFlowB6_R_5_552736487848148993">#REF!</definedName>
    <definedName name="_vena_CashFlowS3_CashFlowB6_R_5_552736487856537601">#REF!</definedName>
    <definedName name="_vena_CashFlowS3_CashFlowB6_R_5_552736487864926209">#REF!</definedName>
    <definedName name="_vena_CashFlowS3_CashFlowB6_R_5_552736487873314817">#REF!</definedName>
    <definedName name="_vena_CashFlowS3_CashFlowB6_R_5_552736487881703424">#REF!</definedName>
    <definedName name="_vena_CashFlowS3_CashFlowB6_R_5_552736487885897729">#REF!</definedName>
    <definedName name="_vena_CashFlowS3_CashFlowB6_R_5_552736487894286337">#REF!</definedName>
    <definedName name="_vena_CashFlowS3_CashFlowB6_R_5_552736487902674945">#REF!</definedName>
    <definedName name="_vena_CashFlowS3_CashFlowB6_R_5_552736487919452161">#REF!</definedName>
    <definedName name="_vena_CashFlowS3_CashFlowB6_R_5_552736487936229376">#REF!</definedName>
    <definedName name="_vena_CashFlowS3_CashFlowB6_R_5_552736487940423681">#REF!</definedName>
    <definedName name="_vena_CashFlowS3_CashFlowB6_R_5_552736487948812289">#REF!</definedName>
    <definedName name="_vena_CashFlowS3_CashFlowB6_R_5_552736487957200897">#REF!</definedName>
    <definedName name="_vena_CashFlowS3_CashFlowB6_R_5_552736487965589505">#REF!</definedName>
    <definedName name="_vena_CashFlowS3_CashFlowB6_R_5_552736487973978113">#REF!</definedName>
    <definedName name="_vena_CashFlowS3_CashFlowB6_R_5_552736487982366721">#REF!</definedName>
    <definedName name="_vena_CashFlowS3_CashFlowB6_R_5_552736487990755329">#REF!</definedName>
    <definedName name="_vena_CashFlowS3_CashFlowB6_R_5_552736487999143937">#REF!</definedName>
    <definedName name="_vena_CashFlowS3_CashFlowB6_R_5_552736488007532545">#REF!</definedName>
    <definedName name="_vena_CashFlowS3_CashFlowB6_R_5_552736488015921153">#REF!</definedName>
    <definedName name="_vena_CashFlowS3_CashFlowB6_R_5_552736488024309760">#REF!</definedName>
    <definedName name="_vena_CashFlowS3_CashFlowB6_R_5_552736488028504065">#REF!</definedName>
    <definedName name="_vena_CashFlowS3_CashFlowB6_R_5_552736488049475585">#REF!</definedName>
    <definedName name="_vena_CashFlowS3_CashFlowB6_R_5_552736488066252800">#REF!</definedName>
    <definedName name="_vena_CashFlowS3_CashFlowB6_R_5_552736488074641409">#REF!</definedName>
    <definedName name="_vena_CashFlowS3_CashFlowB6_R_5_552736488078835713">#REF!</definedName>
    <definedName name="_vena_CashFlowS3_CashFlowB6_R_5_552736488087224321">#REF!</definedName>
    <definedName name="_vena_CashFlowS3_CashFlowB6_R_5_552736488095612929">#REF!</definedName>
    <definedName name="_vena_CashFlowS3_CashFlowB6_R_5_552736488124973057">#REF!</definedName>
    <definedName name="_vena_CashFlowS3_CashFlowB6_R_5_552736488154333185">#REF!</definedName>
    <definedName name="_vena_CashFlowS3_CashFlowB6_R_5_552736488162721793">#REF!</definedName>
    <definedName name="_vena_CashFlowS3_CashFlowB6_R_5_552736488175304704">#REF!</definedName>
    <definedName name="_vena_CashFlowS3_CashFlowB6_R_5_552736488183693313">#REF!</definedName>
    <definedName name="_vena_CashFlowS3_CashFlowB6_R_5_552736488200470528">#REF!</definedName>
    <definedName name="_vena_CashFlowS3_CashFlowB6_R_5_552736488208859137">#REF!</definedName>
    <definedName name="_vena_CashFlowS3_CashFlowB6_R_5_552736488217247745">#REF!</definedName>
    <definedName name="_vena_CashFlowS3_CashFlowB6_R_5_552736488225636353">#REF!</definedName>
    <definedName name="_vena_CashFlowS3_CashFlowB6_R_5_552736488234024961">#REF!</definedName>
    <definedName name="_vena_CashFlowS3_CashFlowB6_R_5_552736488242413569">#REF!</definedName>
    <definedName name="_vena_CashFlowS3_CashFlowB6_R_5_552736488259190784">#REF!</definedName>
    <definedName name="_vena_CashFlowS3_CashFlowB6_R_5_552736488263385089">#REF!</definedName>
    <definedName name="_vena_CashFlowS3_CashFlowB6_R_5_552736488280162304">#REF!</definedName>
    <definedName name="_vena_CashFlowS3_CashFlowB6_R_5_552736488292745216">#REF!</definedName>
    <definedName name="_vena_CashFlowS3_CashFlowB6_R_5_552736488305328128">#REF!</definedName>
    <definedName name="_vena_CashFlowS3_CashFlowB6_R_5_552736488313716737">#REF!</definedName>
    <definedName name="_vena_CashFlowS3_CashFlowB6_R_5_552736488322105345">#REF!</definedName>
    <definedName name="_vena_CashFlowS3_CashFlowB6_R_5_552736488334688256">#REF!</definedName>
    <definedName name="_vena_CashFlowS3_CashFlowB6_R_5_552736488355659776">#REF!</definedName>
    <definedName name="_vena_CashFlowS3_CashFlowB6_R_5_552736488364048385">#REF!</definedName>
    <definedName name="_vena_CashFlowS3_CashFlowB6_R_5_552736488380825600">#REF!</definedName>
    <definedName name="_vena_CashFlowS3_CashFlowB6_R_5_552736488389214209">#REF!</definedName>
    <definedName name="_vena_CashFlowS3_CashFlowB6_R_5_552736488397602817">#REF!</definedName>
    <definedName name="_vena_CashFlowS3_CashFlowB6_R_5_552736488414380032">#REF!</definedName>
    <definedName name="_vena_CashFlowS3_CashFlowB6_R_5_552736488418574337">#REF!</definedName>
    <definedName name="_vena_CashFlowS3_CashFlowB6_R_5_552736488426962945">#REF!</definedName>
    <definedName name="_vena_CashFlowS3_CashFlowB6_R_5_552736488456323072">#REF!</definedName>
    <definedName name="_vena_CashFlowS3_CashFlowB6_R_5_552736488489877505">#REF!</definedName>
    <definedName name="_vena_CashFlowS3_CashFlowB6_R_5_552736488502460416">#REF!</definedName>
    <definedName name="_vena_CashFlowS3_CashFlowB6_R_5_552736488519237632">#REF!</definedName>
    <definedName name="_vena_CashFlowS3_CashFlowB6_R_5_552736488531820545">#REF!</definedName>
    <definedName name="_vena_CashFlowS3_CashFlowB6_R_5_552736488544403457">#REF!</definedName>
    <definedName name="_vena_CashFlowS3_CashFlowB6_R_5_552736488556986369">#REF!</definedName>
    <definedName name="_vena_CashFlowS3_CashFlowB6_R_5_552736488565374977">#REF!</definedName>
    <definedName name="_vena_CashFlowS3_CashFlowB6_R_5_552736488569569281">#REF!</definedName>
    <definedName name="_vena_CashFlowS3_CashFlowB6_R_5_552736488586346496">#REF!</definedName>
    <definedName name="_vena_CashFlowS3_CashFlowB6_R_5_552736488594735105">#REF!</definedName>
    <definedName name="_vena_CashFlowS3_CashFlowB6_R_5_552736488603123713">#REF!</definedName>
    <definedName name="_vena_CashFlowS3_CashFlowB6_R_5_552736488615706624">#REF!</definedName>
    <definedName name="_vena_CashFlowS3_CashFlowB6_R_5_552736488624095233">#REF!</definedName>
    <definedName name="_vena_CashFlowS3_CashFlowB6_R_5_552736488636678144">#REF!</definedName>
    <definedName name="_vena_CashFlowS3_CashFlowB6_R_5_552736488645066753">#REF!</definedName>
    <definedName name="_vena_CashFlowS3_CashFlowB6_R_5_552736488653455361">#REF!</definedName>
    <definedName name="_vena_CashFlowS3_CashFlowB6_R_5_552736488661843969">#REF!</definedName>
    <definedName name="_vena_CashFlowS3_CashFlowB6_R_5_552736488674426881">#REF!</definedName>
    <definedName name="_vena_CashFlowS3_CashFlowB6_R_5_552736488691204096">#REF!</definedName>
    <definedName name="_vena_CashFlowS3_CashFlowB6_R_5_552736488699592705">#REF!</definedName>
    <definedName name="_vena_CashFlowS3_CashFlowB6_R_5_552736488716369920">#REF!</definedName>
    <definedName name="_vena_CashFlowS3_CashFlowB6_R_5_552736488720564225">#REF!</definedName>
    <definedName name="_vena_CashFlowS3_CashFlowB6_R_5_552736488733147137">#REF!</definedName>
    <definedName name="_vena_CashFlowS3_CashFlowB6_R_5_552736488749924352">#REF!</definedName>
    <definedName name="_vena_CashFlowS3_CashFlowB6_R_5_552736488766701569">#REF!</definedName>
    <definedName name="_vena_CashFlowS3_CashFlowB6_R_5_552736488800256000">#REF!</definedName>
    <definedName name="_vena_CashFlowS3_CashFlowB6_R_5_552736488808644609">#REF!</definedName>
    <definedName name="_vena_CashFlowS3_CashFlowB6_R_5_552736488817033217">#REF!</definedName>
    <definedName name="_vena_CashFlowS3_CashFlowB6_R_5_552736488825421825">#REF!</definedName>
    <definedName name="_vena_CashFlowS3_CashFlowB6_R_5_552736488829616129">#REF!</definedName>
    <definedName name="_vena_CashFlowS3_CashFlowB6_R_5_552736488838004737">#REF!</definedName>
    <definedName name="_vena_CashFlowS3_CashFlowB6_R_5_552736488846393345">#REF!</definedName>
    <definedName name="_vena_CashFlowS3_CashFlowB6_R_5_552736488863170560">#REF!</definedName>
    <definedName name="_vena_CashFlowS3_CashFlowB6_R_5_552736488879947776">#REF!</definedName>
    <definedName name="_vena_CashFlowS3_CashFlowB6_R_5_552736488888336384">#REF!</definedName>
    <definedName name="_vena_CashFlowS3_CashFlowB6_R_5_552736488892530689">#REF!</definedName>
    <definedName name="_vena_CashFlowS3_CashFlowB6_R_5_552736488900919297">#REF!</definedName>
    <definedName name="_vena_CashFlowS3_CashFlowB6_R_5_552736488913502209">#REF!</definedName>
    <definedName name="_vena_CashFlowS3_CashFlowB6_R_5_552736488921890817">#REF!</definedName>
    <definedName name="_vena_CashFlowS3_CashFlowB6_R_5_552736488930279425">#REF!</definedName>
    <definedName name="_vena_CashFlowS3_CashFlowB6_R_5_552736488934473729">#REF!</definedName>
    <definedName name="_vena_CashFlowS3_CashFlowB6_R_5_552736488942862337">#REF!</definedName>
    <definedName name="_vena_CashFlowS3_CashFlowB6_R_5_552736488951250945">#REF!</definedName>
    <definedName name="_vena_CashFlowS3_CashFlowB6_R_5_552736488959639553">#REF!</definedName>
    <definedName name="_vena_CashFlowS3_CashFlowB6_R_5_552736488976416768">#REF!</definedName>
    <definedName name="_vena_CashFlowS3_CashFlowB6_R_5_552736488984805377">#REF!</definedName>
    <definedName name="_vena_CashFlowS3_CashFlowB6_R_5_552736489001582592">#REF!</definedName>
    <definedName name="_vena_CashFlowS3_CashFlowB6_R_5_552736489014165504">#REF!</definedName>
    <definedName name="_vena_CashFlowS3_CashFlowB6_R_5_552736489026748416">#REF!</definedName>
    <definedName name="_vena_CashFlowS3_CashFlowB6_R_5_552736489035137025">#REF!</definedName>
    <definedName name="_vena_CashFlowS3_CashFlowB6_R_5_552736489047719936">#REF!</definedName>
    <definedName name="_vena_CashFlowS3_CashFlowB6_R_5_552736489056108545">#REF!</definedName>
    <definedName name="_vena_CashFlowS3_CashFlowB6_R_5_552736489064497153">#REF!</definedName>
    <definedName name="_vena_CashFlowS3_CashFlowB6_R_5_552736489085468672">#REF!</definedName>
    <definedName name="_vena_CashFlowS3_CashFlowB6_R_5_552736489089662977">#REF!</definedName>
    <definedName name="_vena_CashFlowS3_CashFlowB6_R_5_552736489110634496">#REF!</definedName>
    <definedName name="_vena_CashFlowS3_CashFlowB6_R_5_552736489119023104">#REF!</definedName>
    <definedName name="_vena_CashFlowS3_CashFlowB6_R_5_552736489127411713">#REF!</definedName>
    <definedName name="_vena_CashFlowS3_CashFlowB6_R_5_553004603877228544">#REF!</definedName>
    <definedName name="_vena_CashFlowS3_CashFlowB6_R_5_553004856093966336">#REF!</definedName>
    <definedName name="_vena_CashFlowS3_CashFlowB6_R_5_553005432164974592">#REF!</definedName>
    <definedName name="_vena_CashFlowS3_CashFlowB6_R_5_553020693446131712">#REF!</definedName>
    <definedName name="_vena_CashFlowS3_CashFlowB6_R_5_553020693450326017">#REF!</definedName>
    <definedName name="_vena_CashFlowS3_CashFlowB6_R_5_553020693454520321">#REF!</definedName>
    <definedName name="_vena_CashFlowS3_CashFlowB6_R_5_553020693454520323">#REF!</definedName>
    <definedName name="_vena_CashFlowS3_CashFlowB6_R_5_553020693458714625">#REF!</definedName>
    <definedName name="_vena_CashFlowS3_CashFlowB6_R_5_553020693462908929">#REF!</definedName>
    <definedName name="_vena_CashFlowS3_CashFlowB6_R_5_553020693462908931">#REF!</definedName>
    <definedName name="_vena_CashFlowS3_CashFlowB6_R_5_553020693467103233">#REF!</definedName>
    <definedName name="_vena_CashFlowS3_CashFlowB6_R_5_553020693471297537">#REF!</definedName>
    <definedName name="_vena_CashFlowS3_CashFlowB6_R_5_553020693471297539">#REF!</definedName>
    <definedName name="_vena_CashFlowS3_CashFlowB6_R_5_553020693475491841">#REF!</definedName>
    <definedName name="_vena_CashFlowS3_CashFlowB6_R_5_553020693479686147">#REF!</definedName>
    <definedName name="_vena_CashFlowS3_CashFlowB6_R_5_553020693483880449">#REF!</definedName>
    <definedName name="_vena_CashFlowS3_CashFlowB6_R_5_553020693488074753">#REF!</definedName>
    <definedName name="_vena_CashFlowS3_CashFlowB6_R_5_553020693488074755">#REF!</definedName>
    <definedName name="_vena_CashFlowS3_CashFlowB6_R_5_553020693492269057">#REF!</definedName>
    <definedName name="_vena_CashFlowS3_CashFlowB6_R_5_553020693496463361">#REF!</definedName>
    <definedName name="_vena_CashFlowS3_CashFlowB6_R_5_553020693496463363">#REF!</definedName>
    <definedName name="_vena_CashFlowS3_CashFlowB6_R_5_553020693500657665">#REF!</definedName>
    <definedName name="_vena_CashFlowS3_CashFlowB6_R_5_553020693504851969">#REF!</definedName>
    <definedName name="_vena_CashFlowS3_CashFlowB6_R_5_553020693521629184">#REF!</definedName>
    <definedName name="_vena_CashFlowS3_CashFlowB6_R_5_553020693525823489">#REF!</definedName>
    <definedName name="_vena_CashFlowS3_CashFlowB6_R_5_553020693530017793">#REF!</definedName>
    <definedName name="_vena_CashFlowS3_CashFlowB6_R_5_555286447117959168">#REF!</definedName>
    <definedName name="_vena_CashFlowS3_CashFlowB6_R_5_555594863500853248">#REF!</definedName>
    <definedName name="_vena_CashFlowS3_CashFlowB6_R_5_555595689988980736">#REF!</definedName>
    <definedName name="_vena_CashFlowS3_CashFlowB6_R_5_555600413882449920">#REF!</definedName>
    <definedName name="_vena_CashFlowS3_CashFlowB6_R_5_555600502600237056">#REF!</definedName>
    <definedName name="_vena_CashFlowS3_CashFlowB6_R_5_567892648623472640">#REF!</definedName>
    <definedName name="_vena_CashFlowS3_CashFlowB6_R_5_567893146436894720">#REF!</definedName>
    <definedName name="_vena_CashFlowS3_CashFlowB6_R_5_567893413639356416">#REF!</definedName>
    <definedName name="_vena_CashFlowS3_CashFlowB6_R_5_567893530102464512">#REF!</definedName>
    <definedName name="_vena_CashFlowS3_CashFlowB6_R_5_567893685237710848">#REF!</definedName>
    <definedName name="_vena_CashFlowS3_CashFlowB6_R_5_567893851260583936">#REF!</definedName>
    <definedName name="_vena_CashFlowS3_CashFlowB6_R_5_567894059482349568">#REF!</definedName>
    <definedName name="_vena_CashFlowS3_CashFlowB6_R_5_567894184993226752">#REF!</definedName>
    <definedName name="_vena_CashFlowS3_CashFlowB6_R_5_567894306095104000">#REF!</definedName>
    <definedName name="_vena_CashFlowS3_CashFlowB6_R_5_567894417365925888">#REF!</definedName>
    <definedName name="_vena_CashFlowS3_CashFlowB6_R_5_567895058167758848">#REF!</definedName>
    <definedName name="_vena_CashFlowS3_CashFlowB6_R_5_567895151054422016">#REF!</definedName>
    <definedName name="_vena_CashFlowS3_CashFlowB6_R_5_567895227948990464">#REF!</definedName>
    <definedName name="_vena_CashFlowS3_CashFlowB6_R_5_567895334349701120">#REF!</definedName>
    <definedName name="_vena_CashFlowS3_CashFlowB6_R_5_588955414247505920">#REF!</definedName>
    <definedName name="_vena_CashFlowS3_CashFlowB6_R_5_588955952527835136">#REF!</definedName>
    <definedName name="_vena_CashFlowS3_CashFlowB6_R_5_607045133481148416">#REF!</definedName>
    <definedName name="_vena_CashFlowS3_CashFlowB6_R_FV_42f34b52efc14701904e2bd69b949ebb">#REF!</definedName>
    <definedName name="_vena_CashFlowS3_CashFlowB6_R_FV_42f34b52efc14701904e2bd69b949ebb_151">#REF!</definedName>
    <definedName name="_vena_CashFlowS3_CashFlowB6_R_FV_42f34b52efc14701904e2bd69b949ebb_152">#REF!</definedName>
    <definedName name="_vena_CashFlowS3_CashFlowB6_R_FV_42f34b52efc14701904e2bd69b949ebb_153">#REF!</definedName>
    <definedName name="_vena_CashFlowS3_CashFlowB6_R_FV_42f34b52efc14701904e2bd69b949ebb_154">#REF!</definedName>
    <definedName name="_vena_CashFlowS3_CashFlowB6_R_FV_42f34b52efc14701904e2bd69b949ebb_155">#REF!</definedName>
    <definedName name="_vena_CashFlowS3_CashFlowB6_R_FV_42f34b52efc14701904e2bd69b949ebb_156">#REF!</definedName>
    <definedName name="_vena_CashFlowS3_CashFlowB6_R_FV_42f34b52efc14701904e2bd69b949ebb_157">#REF!</definedName>
    <definedName name="_vena_CashFlowS3_CashFlowB6_R_FV_42f34b52efc14701904e2bd69b949ebb_158">#REF!</definedName>
    <definedName name="_vena_CashFlowS3_CashFlowB6_R_FV_42f34b52efc14701904e2bd69b949ebb_159">#REF!</definedName>
    <definedName name="_vena_CashFlowS3_CashFlowB6_R_FV_42f34b52efc14701904e2bd69b949ebb_160">#REF!</definedName>
    <definedName name="_vena_CashFlowS3_CashFlowB6_R_FV_42f34b52efc14701904e2bd69b949ebb_161">#REF!</definedName>
    <definedName name="_vena_CashFlowS3_CashFlowB6_R_FV_42f34b52efc14701904e2bd69b949ebb_162">#REF!</definedName>
    <definedName name="_vena_CashFlowS3_CashFlowB6_R_FV_42f34b52efc14701904e2bd69b949ebb_163">#REF!</definedName>
    <definedName name="_vena_CashFlowS3_CashFlowB6_R_FV_42f34b52efc14701904e2bd69b949ebb_164">#REF!</definedName>
    <definedName name="_vena_CashFlowS3_CashFlowB6_R_FV_42f34b52efc14701904e2bd69b949ebb_165">#REF!</definedName>
    <definedName name="_vena_CashFlowS3_CashFlowB6_R_FV_42f34b52efc14701904e2bd69b949ebb_166">#REF!</definedName>
    <definedName name="_vena_CashFlowS3_CashFlowB6_R_FV_42f34b52efc14701904e2bd69b949ebb_167">#REF!</definedName>
    <definedName name="_vena_CashFlowS3_CashFlowB6_R_FV_42f34b52efc14701904e2bd69b949ebb_168">#REF!</definedName>
    <definedName name="_vena_CashFlowS3_CashFlowB6_R_FV_42f34b52efc14701904e2bd69b949ebb_169">#REF!</definedName>
    <definedName name="_vena_CashFlowS3_CashFlowB6_R_FV_42f34b52efc14701904e2bd69b949ebb_170">#REF!</definedName>
    <definedName name="_vena_CashFlowS3_CashFlowB6_R_FV_42f34b52efc14701904e2bd69b949ebb_171">#REF!</definedName>
    <definedName name="_vena_CashFlowS3_CashFlowB6_R_FV_42f34b52efc14701904e2bd69b949ebb_172">#REF!</definedName>
    <definedName name="_vena_CashFlowS3_CashFlowB6_R_FV_42f34b52efc14701904e2bd69b949ebb_173">#REF!</definedName>
    <definedName name="_vena_CashFlowS3_CashFlowB6_R_FV_42f34b52efc14701904e2bd69b949ebb_174">#REF!</definedName>
    <definedName name="_vena_CashFlowS3_CashFlowB6_R_FV_42f34b52efc14701904e2bd69b949ebb_175">#REF!</definedName>
    <definedName name="_vena_CashFlowS3_CashFlowB6_R_FV_42f34b52efc14701904e2bd69b949ebb_176">#REF!</definedName>
    <definedName name="_vena_CashFlowS3_CashFlowB6_R_FV_42f34b52efc14701904e2bd69b949ebb_177">#REF!</definedName>
    <definedName name="_vena_CashFlowS3_CashFlowB6_R_FV_42f34b52efc14701904e2bd69b949ebb_178">#REF!</definedName>
    <definedName name="_vena_CashFlowS3_CashFlowB6_R_FV_42f34b52efc14701904e2bd69b949ebb_179">#REF!</definedName>
    <definedName name="_vena_CashFlowS3_CashFlowB6_R_FV_42f34b52efc14701904e2bd69b949ebb_180">#REF!</definedName>
    <definedName name="_vena_CashFlowS3_CashFlowB6_R_FV_42f34b52efc14701904e2bd69b949ebb_181">#REF!</definedName>
    <definedName name="_vena_CashFlowS3_CashFlowB6_R_FV_42f34b52efc14701904e2bd69b949ebb_182">#REF!</definedName>
    <definedName name="_vena_CashFlowS3_CashFlowB6_R_FV_42f34b52efc14701904e2bd69b949ebb_183">#REF!</definedName>
    <definedName name="_vena_CashFlowS3_CashFlowB6_R_FV_42f34b52efc14701904e2bd69b949ebb_184">#REF!</definedName>
    <definedName name="_vena_CashFlowS3_CashFlowB6_R_FV_42f34b52efc14701904e2bd69b949ebb_185">#REF!</definedName>
    <definedName name="_vena_CashFlowS3_CashFlowB6_R_FV_42f34b52efc14701904e2bd69b949ebb_186">#REF!</definedName>
    <definedName name="_vena_CashFlowS3_CashFlowB6_R_FV_42f34b52efc14701904e2bd69b949ebb_187">#REF!</definedName>
    <definedName name="_vena_CashFlowS3_CashFlowB6_R_FV_42f34b52efc14701904e2bd69b949ebb_188">#REF!</definedName>
    <definedName name="_vena_CashFlowS3_CashFlowB6_R_FV_42f34b52efc14701904e2bd69b949ebb_189">#REF!</definedName>
    <definedName name="_vena_CashFlowS3_CashFlowB6_R_FV_42f34b52efc14701904e2bd69b949ebb_190">#REF!</definedName>
    <definedName name="_vena_CashFlowS3_CashFlowB6_R_FV_42f34b52efc14701904e2bd69b949ebb_191">#REF!</definedName>
    <definedName name="_vena_CashFlowS3_CashFlowB6_R_FV_42f34b52efc14701904e2bd69b949ebb_192">#REF!</definedName>
    <definedName name="_vena_CashFlowS3_CashFlowB6_R_FV_42f34b52efc14701904e2bd69b949ebb_193">#REF!</definedName>
    <definedName name="_vena_CashFlowS3_CashFlowB6_R_FV_42f34b52efc14701904e2bd69b949ebb_194">#REF!</definedName>
    <definedName name="_vena_CashFlowS3_CashFlowB6_R_FV_42f34b52efc14701904e2bd69b949ebb_195">#REF!</definedName>
    <definedName name="_vena_CashFlowS3_CashFlowB6_R_FV_42f34b52efc14701904e2bd69b949ebb_196">#REF!</definedName>
    <definedName name="_vena_CashFlowS3_CashFlowB6_R_FV_42f34b52efc14701904e2bd69b949ebb_197">#REF!</definedName>
    <definedName name="_vena_CashFlowS3_CashFlowB6_R_FV_42f34b52efc14701904e2bd69b949ebb_198">#REF!</definedName>
    <definedName name="_vena_CashFlowS3_CashFlowB6_R_FV_42f34b52efc14701904e2bd69b949ebb_199">#REF!</definedName>
    <definedName name="_vena_CashFlowS3_CashFlowB6_R_FV_42f34b52efc14701904e2bd69b949ebb_200">#REF!</definedName>
    <definedName name="_vena_CashFlowS3_CashFlowB6_R_FV_42f34b52efc14701904e2bd69b949ebb_201">#REF!</definedName>
    <definedName name="_vena_CashFlowS3_CashFlowB6_R_FV_42f34b52efc14701904e2bd69b949ebb_202">#REF!</definedName>
    <definedName name="_vena_CashFlowS3_CashFlowB6_R_FV_42f34b52efc14701904e2bd69b949ebb_203">#REF!</definedName>
    <definedName name="_vena_CashFlowS3_CashFlowB6_R_FV_42f34b52efc14701904e2bd69b949ebb_204">#REF!</definedName>
    <definedName name="_vena_CashFlowS3_CashFlowB6_R_FV_42f34b52efc14701904e2bd69b949ebb_205">#REF!</definedName>
    <definedName name="_vena_CashFlowS3_CashFlowB6_R_FV_42f34b52efc14701904e2bd69b949ebb_206">#REF!</definedName>
    <definedName name="_vena_CashFlowS3_CashFlowB6_R_FV_42f34b52efc14701904e2bd69b949ebb_207">#REF!</definedName>
    <definedName name="_vena_CashFlowS3_CashFlowB6_R_FV_42f34b52efc14701904e2bd69b949ebb_208">#REF!</definedName>
    <definedName name="_vena_CashFlowS3_CashFlowB6_R_FV_42f34b52efc14701904e2bd69b949ebb_209">#REF!</definedName>
    <definedName name="_vena_CashFlowS3_CashFlowB6_R_FV_42f34b52efc14701904e2bd69b949ebb_210">#REF!</definedName>
    <definedName name="_vena_CashFlowS3_CashFlowB6_R_FV_42f34b52efc14701904e2bd69b949ebb_211">#REF!</definedName>
    <definedName name="_vena_CashFlowS3_CashFlowB6_R_FV_42f34b52efc14701904e2bd69b949ebb_212">#REF!</definedName>
    <definedName name="_vena_CashFlowS3_CashFlowB6_R_FV_42f34b52efc14701904e2bd69b949ebb_213">#REF!</definedName>
    <definedName name="_vena_CashFlowS3_CashFlowB6_R_FV_42f34b52efc14701904e2bd69b949ebb_214">#REF!</definedName>
    <definedName name="_vena_CashFlowS3_CashFlowB6_R_FV_42f34b52efc14701904e2bd69b949ebb_215">#REF!</definedName>
    <definedName name="_vena_CashFlowS3_CashFlowB6_R_FV_42f34b52efc14701904e2bd69b949ebb_216">#REF!</definedName>
    <definedName name="_vena_CashFlowS3_CashFlowB6_R_FV_42f34b52efc14701904e2bd69b949ebb_217">#REF!</definedName>
    <definedName name="_vena_CashFlowS3_CashFlowB6_R_FV_42f34b52efc14701904e2bd69b949ebb_218">#REF!</definedName>
    <definedName name="_vena_CashFlowS3_CashFlowB6_R_FV_42f34b52efc14701904e2bd69b949ebb_219">#REF!</definedName>
    <definedName name="_vena_CashFlowS3_CashFlowB6_R_FV_42f34b52efc14701904e2bd69b949ebb_220">#REF!</definedName>
    <definedName name="_vena_CashFlowS3_CashFlowB6_R_FV_42f34b52efc14701904e2bd69b949ebb_221">#REF!</definedName>
    <definedName name="_vena_CashFlowS3_CashFlowB6_R_FV_42f34b52efc14701904e2bd69b949ebb_222">#REF!</definedName>
    <definedName name="_vena_CashFlowS3_CashFlowB6_R_FV_42f34b52efc14701904e2bd69b949ebb_223">#REF!</definedName>
    <definedName name="_vena_CashFlowS3_CashFlowB6_R_FV_42f34b52efc14701904e2bd69b949ebb_224">#REF!</definedName>
    <definedName name="_vena_CashFlowS3_CashFlowB6_R_FV_42f34b52efc14701904e2bd69b949ebb_225">#REF!</definedName>
    <definedName name="_vena_CashFlowS3_CashFlowB6_R_FV_42f34b52efc14701904e2bd69b949ebb_226">#REF!</definedName>
    <definedName name="_vena_CashFlowS3_CashFlowB6_R_FV_42f34b52efc14701904e2bd69b949ebb_227">#REF!</definedName>
    <definedName name="_vena_CashFlowS3_CashFlowB6_R_FV_42f34b52efc14701904e2bd69b949ebb_228">#REF!</definedName>
    <definedName name="_vena_CashFlowS3_CashFlowB6_R_FV_42f34b52efc14701904e2bd69b949ebb_229">#REF!</definedName>
    <definedName name="_vena_CashFlowS3_CashFlowB6_R_FV_42f34b52efc14701904e2bd69b949ebb_230">#REF!</definedName>
    <definedName name="_vena_CashFlowS3_CashFlowB6_R_FV_42f34b52efc14701904e2bd69b949ebb_231">#REF!</definedName>
    <definedName name="_vena_CashFlowS3_CashFlowB6_R_FV_42f34b52efc14701904e2bd69b949ebb_232">#REF!</definedName>
    <definedName name="_vena_CashFlowS3_CashFlowB6_R_FV_42f34b52efc14701904e2bd69b949ebb_233">#REF!</definedName>
    <definedName name="_vena_CashFlowS3_CashFlowB6_R_FV_42f34b52efc14701904e2bd69b949ebb_234">#REF!</definedName>
    <definedName name="_vena_CashFlowS3_CashFlowB6_R_FV_42f34b52efc14701904e2bd69b949ebb_235">#REF!</definedName>
    <definedName name="_vena_CashFlowS3_CashFlowB6_R_FV_42f34b52efc14701904e2bd69b949ebb_236">#REF!</definedName>
    <definedName name="_vena_CashFlowS3_CashFlowB6_R_FV_42f34b52efc14701904e2bd69b949ebb_237">#REF!</definedName>
    <definedName name="_vena_CashFlowS3_CashFlowB6_R_FV_42f34b52efc14701904e2bd69b949ebb_238">#REF!</definedName>
    <definedName name="_vena_CashFlowS3_CashFlowB6_R_FV_42f34b52efc14701904e2bd69b949ebb_239">#REF!</definedName>
    <definedName name="_vena_CashFlowS3_CashFlowB6_R_FV_42f34b52efc14701904e2bd69b949ebb_240">#REF!</definedName>
    <definedName name="_vena_CashFlowS3_CashFlowB6_R_FV_42f34b52efc14701904e2bd69b949ebb_241">#REF!</definedName>
    <definedName name="_vena_CashFlowS3_CashFlowB6_R_FV_42f34b52efc14701904e2bd69b949ebb_242">#REF!</definedName>
    <definedName name="_vena_CashFlowS3_CashFlowB6_R_FV_42f34b52efc14701904e2bd69b949ebb_243">#REF!</definedName>
    <definedName name="_vena_CashFlowS3_CashFlowB6_R_FV_42f34b52efc14701904e2bd69b949ebb_244">#REF!</definedName>
    <definedName name="_vena_CashFlowS3_CashFlowB6_R_FV_42f34b52efc14701904e2bd69b949ebb_245">#REF!</definedName>
    <definedName name="_vena_CashFlowS3_CashFlowB6_R_FV_42f34b52efc14701904e2bd69b949ebb_246">#REF!</definedName>
    <definedName name="_vena_CashFlowS3_CashFlowB6_R_FV_42f34b52efc14701904e2bd69b949ebb_247">#REF!</definedName>
    <definedName name="_vena_CashFlowS3_CashFlowB6_R_FV_42f34b52efc14701904e2bd69b949ebb_248">#REF!</definedName>
    <definedName name="_vena_CashFlowS3_CashFlowB6_R_FV_42f34b52efc14701904e2bd69b949ebb_249">#REF!</definedName>
    <definedName name="_vena_CashFlowS3_CashFlowB6_R_FV_42f34b52efc14701904e2bd69b949ebb_250">#REF!</definedName>
    <definedName name="_vena_CashFlowS3_CashFlowB6_R_FV_42f34b52efc14701904e2bd69b949ebb_251">#REF!</definedName>
    <definedName name="_vena_CashFlowS3_CashFlowB6_R_FV_42f34b52efc14701904e2bd69b949ebb_252">#REF!</definedName>
    <definedName name="_vena_CashFlowS3_CashFlowB6_R_FV_42f34b52efc14701904e2bd69b949ebb_253">#REF!</definedName>
    <definedName name="_vena_CashFlowS3_CashFlowB6_R_FV_42f34b52efc14701904e2bd69b949ebb_254">#REF!</definedName>
    <definedName name="_vena_CashFlowS3_CashFlowB6_R_FV_42f34b52efc14701904e2bd69b949ebb_255">#REF!</definedName>
    <definedName name="_vena_CashFlowS3_CashFlowB6_R_FV_42f34b52efc14701904e2bd69b949ebb_256">#REF!</definedName>
    <definedName name="_vena_CashFlowS3_CashFlowB6_R_FV_42f34b52efc14701904e2bd69b949ebb_257">#REF!</definedName>
    <definedName name="_vena_CashFlowS3_CashFlowB6_R_FV_42f34b52efc14701904e2bd69b949ebb_258">#REF!</definedName>
    <definedName name="_vena_CashFlowS3_CashFlowB6_R_FV_42f34b52efc14701904e2bd69b949ebb_259">#REF!</definedName>
    <definedName name="_vena_CashFlowS3_CashFlowB6_R_FV_42f34b52efc14701904e2bd69b949ebb_260">#REF!</definedName>
    <definedName name="_vena_CashFlowS3_CashFlowB6_R_FV_42f34b52efc14701904e2bd69b949ebb_261">#REF!</definedName>
    <definedName name="_vena_CashFlowS3_CashFlowB6_R_FV_42f34b52efc14701904e2bd69b949ebb_262">#REF!</definedName>
    <definedName name="_vena_CashFlowS3_CashFlowB6_R_FV_42f34b52efc14701904e2bd69b949ebb_263">#REF!</definedName>
    <definedName name="_vena_CashFlowS3_CashFlowB6_R_FV_42f34b52efc14701904e2bd69b949ebb_264">#REF!</definedName>
    <definedName name="_vena_CashFlowS3_CashFlowB6_R_FV_42f34b52efc14701904e2bd69b949ebb_265">#REF!</definedName>
    <definedName name="_vena_CashFlowS3_CashFlowB6_R_FV_42f34b52efc14701904e2bd69b949ebb_266">#REF!</definedName>
    <definedName name="_vena_CashFlowS3_CashFlowB6_R_FV_42f34b52efc14701904e2bd69b949ebb_267">#REF!</definedName>
    <definedName name="_vena_CashFlowS3_CashFlowB6_R_FV_42f34b52efc14701904e2bd69b949ebb_268">#REF!</definedName>
    <definedName name="_vena_CashFlowS3_CashFlowB6_R_FV_42f34b52efc14701904e2bd69b949ebb_269">#REF!</definedName>
    <definedName name="_vena_CashFlowS3_CashFlowB6_R_FV_42f34b52efc14701904e2bd69b949ebb_270">#REF!</definedName>
    <definedName name="_vena_CashFlowS3_CashFlowB6_R_FV_42f34b52efc14701904e2bd69b949ebb_271">#REF!</definedName>
    <definedName name="_vena_CashFlowS3_CashFlowB6_R_FV_42f34b52efc14701904e2bd69b949ebb_272">#REF!</definedName>
    <definedName name="_vena_CashFlowS3_CashFlowB6_R_FV_42f34b52efc14701904e2bd69b949ebb_273">#REF!</definedName>
    <definedName name="_vena_CashFlowS3_CashFlowB6_R_FV_42f34b52efc14701904e2bd69b949ebb_274">#REF!</definedName>
    <definedName name="_vena_CashFlowS3_CashFlowB6_R_FV_42f34b52efc14701904e2bd69b949ebb_275">#REF!</definedName>
    <definedName name="_vena_CashFlowS3_CashFlowB6_R_FV_42f34b52efc14701904e2bd69b949ebb_276">#REF!</definedName>
    <definedName name="_vena_CashFlowS3_CashFlowB6_R_FV_42f34b52efc14701904e2bd69b949ebb_277">#REF!</definedName>
    <definedName name="_vena_CashFlowS3_CashFlowB6_R_FV_42f34b52efc14701904e2bd69b949ebb_278">#REF!</definedName>
    <definedName name="_vena_CashFlowS3_CashFlowB6_R_FV_42f34b52efc14701904e2bd69b949ebb_279">#REF!</definedName>
    <definedName name="_vena_CashFlowS3_CashFlowB6_R_FV_42f34b52efc14701904e2bd69b949ebb_280">#REF!</definedName>
    <definedName name="_vena_CashFlowS3_CashFlowB6_R_FV_42f34b52efc14701904e2bd69b949ebb_281">#REF!</definedName>
    <definedName name="_vena_CashFlowS3_CashFlowB6_R_FV_42f34b52efc14701904e2bd69b949ebb_282">#REF!</definedName>
    <definedName name="_vena_CashFlowS3_CashFlowB6_R_FV_42f34b52efc14701904e2bd69b949ebb_283">#REF!</definedName>
    <definedName name="_vena_CashFlowS3_CashFlowB6_R_FV_42f34b52efc14701904e2bd69b949ebb_284">#REF!</definedName>
    <definedName name="_vena_CashFlowS3_CashFlowB6_R_FV_42f34b52efc14701904e2bd69b949ebb_285">#REF!</definedName>
    <definedName name="_vena_CashFlowS3_CashFlowB6_R_FV_42f34b52efc14701904e2bd69b949ebb_286">#REF!</definedName>
    <definedName name="_vena_CashFlowS3_CashFlowB6_R_FV_42f34b52efc14701904e2bd69b949ebb_287">#REF!</definedName>
    <definedName name="_vena_CashFlowS3_CashFlowB6_R_FV_42f34b52efc14701904e2bd69b949ebb_288">#REF!</definedName>
    <definedName name="_vena_CashFlowS3_CashFlowB6_R_FV_42f34b52efc14701904e2bd69b949ebb_289">#REF!</definedName>
    <definedName name="_vena_CashFlowS3_CashFlowB6_R_FV_42f34b52efc14701904e2bd69b949ebb_290">#REF!</definedName>
    <definedName name="_vena_CashFlowS3_CashFlowB6_R_FV_42f34b52efc14701904e2bd69b949ebb_291">#REF!</definedName>
    <definedName name="_vena_CashFlowS3_CashFlowB6_R_FV_42f34b52efc14701904e2bd69b949ebb_292">#REF!</definedName>
    <definedName name="_vena_CashFlowS3_CashFlowB6_R_FV_42f34b52efc14701904e2bd69b949ebb_293">#REF!</definedName>
    <definedName name="_vena_CashFlowS3_CashFlowB6_R_FV_42f34b52efc14701904e2bd69b949ebb_294">#REF!</definedName>
    <definedName name="_vena_CashFlowS3_CashFlowB6_R_FV_42f34b52efc14701904e2bd69b949ebb_295">#REF!</definedName>
    <definedName name="_vena_CashFlowS3_CashFlowB6_R_FV_42f34b52efc14701904e2bd69b949ebb_296">#REF!</definedName>
    <definedName name="_vena_CashFlowS3_CashFlowB6_R_FV_42f34b52efc14701904e2bd69b949ebb_297">#REF!</definedName>
    <definedName name="_vena_CashFlowS3_CashFlowB6_R_FV_42f34b52efc14701904e2bd69b949ebb_298">#REF!</definedName>
    <definedName name="_vena_CashFlowS3_CashFlowB6_R_FV_42f34b52efc14701904e2bd69b949ebb_299">#REF!</definedName>
    <definedName name="_vena_CashFlowS3_CashFlowB6_R_FV_42f34b52efc14701904e2bd69b949ebb_300">#REF!</definedName>
    <definedName name="_vena_CashFlowS3_CashFlowB6_R_FV_42f34b52efc14701904e2bd69b949ebb_301">#REF!</definedName>
    <definedName name="_vena_CashFlowS3_CashFlowB6_R_FV_42f34b52efc14701904e2bd69b949ebb_302">#REF!</definedName>
    <definedName name="_vena_CashFlowS3_CashFlowB6_R_FV_42f34b52efc14701904e2bd69b949ebb_303">#REF!</definedName>
    <definedName name="_vena_CashFlowS3_CashFlowB6_R_FV_42f34b52efc14701904e2bd69b949ebb_304">#REF!</definedName>
    <definedName name="_vena_CashFlowS3_CashFlowB6_R_FV_42f34b52efc14701904e2bd69b949ebb_305">#REF!</definedName>
    <definedName name="_vena_CashFlowS3_CashFlowB6_R_FV_42f34b52efc14701904e2bd69b949ebb_306">#REF!</definedName>
    <definedName name="_vena_CashFlowS3_CashFlowB6_R_FV_42f34b52efc14701904e2bd69b949ebb_307">#REF!</definedName>
    <definedName name="_vena_CashFlowS3_CashFlowB6_R_FV_42f34b52efc14701904e2bd69b949ebb_308">#REF!</definedName>
    <definedName name="_vena_CashFlowS3_CashFlowB6_R_FV_42f34b52efc14701904e2bd69b949ebb_309">#REF!</definedName>
    <definedName name="_vena_CashFlowS3_CashFlowB6_R_FV_42f34b52efc14701904e2bd69b949ebb_310">#REF!</definedName>
    <definedName name="_vena_CashFlowS3_CashFlowB6_R_FV_42f34b52efc14701904e2bd69b949ebb_311">#REF!</definedName>
    <definedName name="_vena_CashFlowS3_CashFlowB6_R_FV_42f34b52efc14701904e2bd69b949ebb_312">#REF!</definedName>
    <definedName name="_vena_CashFlowS3_CashFlowB6_R_FV_42f34b52efc14701904e2bd69b949ebb_313">#REF!</definedName>
    <definedName name="_vena_CashFlowS3_CashFlowB6_R_FV_42f34b52efc14701904e2bd69b949ebb_314">#REF!</definedName>
    <definedName name="_vena_CashFlowS3_CashFlowB6_R_FV_42f34b52efc14701904e2bd69b949ebb_315">#REF!</definedName>
    <definedName name="_vena_CashFlowS3_CashFlowB6_R_FV_42f34b52efc14701904e2bd69b949ebb_316">#REF!</definedName>
    <definedName name="_vena_CashFlowS3_CashFlowB6_R_FV_42f34b52efc14701904e2bd69b949ebb_317">#REF!</definedName>
    <definedName name="_vena_CashFlowS3_CashFlowB6_R_FV_42f34b52efc14701904e2bd69b949ebb_318">#REF!</definedName>
    <definedName name="_vena_CashFlowS3_CashFlowB6_R_FV_42f34b52efc14701904e2bd69b949ebb_319">#REF!</definedName>
    <definedName name="_vena_CashFlowS3_CashFlowB6_R_FV_42f34b52efc14701904e2bd69b949ebb_320">#REF!</definedName>
    <definedName name="_vena_CashFlowS3_CashFlowB6_R_FV_42f34b52efc14701904e2bd69b949ebb_321">#REF!</definedName>
    <definedName name="_vena_CashFlowS3_CashFlowB6_R_FV_42f34b52efc14701904e2bd69b949ebb_322">#REF!</definedName>
    <definedName name="_vena_CashFlowS3_CashFlowB6_R_FV_42f34b52efc14701904e2bd69b949ebb_323">#REF!</definedName>
    <definedName name="_vena_CashFlowS3_CashFlowB6_R_FV_42f34b52efc14701904e2bd69b949ebb_324">#REF!</definedName>
    <definedName name="_vena_CashFlowS3_CashFlowB6_R_FV_42f34b52efc14701904e2bd69b949ebb_325">#REF!</definedName>
    <definedName name="_vena_CashFlowS3_CashFlowB6_R_FV_42f34b52efc14701904e2bd69b949ebb_326">#REF!</definedName>
    <definedName name="_vena_CashFlowS3_CashFlowB6_R_FV_42f34b52efc14701904e2bd69b949ebb_327">#REF!</definedName>
    <definedName name="_vena_CashFlowS3_CashFlowB6_R_FV_42f34b52efc14701904e2bd69b949ebb_328">#REF!</definedName>
    <definedName name="_vena_CashFlowS3_CashFlowB6_R_FV_42f34b52efc14701904e2bd69b949ebb_329">#REF!</definedName>
    <definedName name="_vena_CashFlowS3_CashFlowB6_R_FV_42f34b52efc14701904e2bd69b949ebb_330">#REF!</definedName>
    <definedName name="_vena_CashFlowS3_CashFlowB6_R_FV_42f34b52efc14701904e2bd69b949ebb_331">#REF!</definedName>
    <definedName name="_vena_CashFlowS3_CashFlowB6_R_FV_42f34b52efc14701904e2bd69b949ebb_332">#REF!</definedName>
    <definedName name="_vena_CashFlowS3_CashFlowB6_R_FV_42f34b52efc14701904e2bd69b949ebb_333">#REF!</definedName>
    <definedName name="_vena_CashFlowS3_CashFlowB6_R_FV_42f34b52efc14701904e2bd69b949ebb_334">#REF!</definedName>
    <definedName name="_vena_CashFlowS3_CashFlowB6_R_FV_42f34b52efc14701904e2bd69b949ebb_335">#REF!</definedName>
    <definedName name="_vena_CashFlowS3_CashFlowB6_R_FV_42f34b52efc14701904e2bd69b949ebb_336">#REF!</definedName>
    <definedName name="_vena_CashFlowS3_CashFlowB6_R_FV_42f34b52efc14701904e2bd69b949ebb_337">#REF!</definedName>
    <definedName name="_vena_CashFlowS3_CashFlowB6_R_FV_42f34b52efc14701904e2bd69b949ebb_338">#REF!</definedName>
    <definedName name="_vena_CashFlowS3_CashFlowB6_R_FV_42f34b52efc14701904e2bd69b949ebb_339">#REF!</definedName>
    <definedName name="_vena_CashFlowS3_CashFlowB6_R_FV_42f34b52efc14701904e2bd69b949ebb_340">#REF!</definedName>
    <definedName name="_vena_CashFlowS3_CashFlowB6_R_FV_42f34b52efc14701904e2bd69b949ebb_341">#REF!</definedName>
    <definedName name="_vena_CashFlowS3_CashFlowB6_R_FV_42f34b52efc14701904e2bd69b949ebb_342">#REF!</definedName>
    <definedName name="_vena_CashFlowS3_CashFlowB6_R_FV_42f34b52efc14701904e2bd69b949ebb_343">#REF!</definedName>
    <definedName name="_vena_CashFlowS3_CashFlowB6_R_FV_42f34b52efc14701904e2bd69b949ebb_344">#REF!</definedName>
    <definedName name="_vena_CashFlowS3_CashFlowB6_R_FV_42f34b52efc14701904e2bd69b949ebb_345">#REF!</definedName>
    <definedName name="_vena_CashFlowS3_CashFlowB6_R_FV_42f34b52efc14701904e2bd69b949ebb_346">#REF!</definedName>
    <definedName name="_vena_CashFlowS3_CashFlowB6_R_FV_42f34b52efc14701904e2bd69b949ebb_347">#REF!</definedName>
    <definedName name="_vena_CashFlowS3_CashFlowB6_R_FV_42f34b52efc14701904e2bd69b949ebb_348">#REF!</definedName>
    <definedName name="_vena_CashFlowS3_CashFlowB6_R_FV_42f34b52efc14701904e2bd69b949ebb_349">#REF!</definedName>
    <definedName name="_vena_CashFlowS3_CashFlowB6_R_FV_42f34b52efc14701904e2bd69b949ebb_350">#REF!</definedName>
    <definedName name="_vena_CashFlowS3_CashFlowB6_R_FV_42f34b52efc14701904e2bd69b949ebb_351">#REF!</definedName>
    <definedName name="_vena_CashFlowS3_CashFlowB6_R_FV_42f34b52efc14701904e2bd69b949ebb_352">#REF!</definedName>
    <definedName name="_vena_CashFlowS3_CashFlowB6_R_FV_42f34b52efc14701904e2bd69b949ebb_353">#REF!</definedName>
    <definedName name="_vena_CashFlowS3_CashFlowB6_R_FV_42f34b52efc14701904e2bd69b949ebb_354">#REF!</definedName>
    <definedName name="_vena_CashFlowS3_CashFlowB6_R_FV_42f34b52efc14701904e2bd69b949ebb_355">#REF!</definedName>
    <definedName name="_vena_CashFlowS3_CashFlowB6_R_FV_42f34b52efc14701904e2bd69b949ebb_356">#REF!</definedName>
    <definedName name="_vena_CashFlowS3_CashFlowB6_R_FV_42f34b52efc14701904e2bd69b949ebb_357">#REF!</definedName>
    <definedName name="_vena_CashFlowS3_CashFlowB6_R_FV_42f34b52efc14701904e2bd69b949ebb_358">#REF!</definedName>
    <definedName name="_vena_CashFlowS3_CashFlowB6_R_FV_42f34b52efc14701904e2bd69b949ebb_359">#REF!</definedName>
    <definedName name="_vena_CashFlowS3_CashFlowB6_R_FV_42f34b52efc14701904e2bd69b949ebb_360">#REF!</definedName>
    <definedName name="_vena_CashFlowS3_CashFlowB6_R_FV_42f34b52efc14701904e2bd69b949ebb_361">#REF!</definedName>
    <definedName name="_vena_CashFlowS3_CashFlowB6_R_FV_42f34b52efc14701904e2bd69b949ebb_362">#REF!</definedName>
    <definedName name="_vena_CashFlowS3_CashFlowB6_R_FV_42f34b52efc14701904e2bd69b949ebb_363">#REF!</definedName>
    <definedName name="_vena_CashFlowS3_CashFlowB6_R_FV_42f34b52efc14701904e2bd69b949ebb_364">#REF!</definedName>
    <definedName name="_vena_CashFlowS3_CashFlowB6_R_FV_42f34b52efc14701904e2bd69b949ebb_365">#REF!</definedName>
    <definedName name="_vena_CashFlowS3_CashFlowB6_R_FV_42f34b52efc14701904e2bd69b949ebb_366">#REF!</definedName>
    <definedName name="_vena_CashFlowS3_CashFlowB6_R_FV_42f34b52efc14701904e2bd69b949ebb_367">#REF!</definedName>
    <definedName name="_vena_CashFlowS3_CashFlowB6_R_FV_42f34b52efc14701904e2bd69b949ebb_368">#REF!</definedName>
    <definedName name="_vena_CashFlowS3_CashFlowB6_R_FV_42f34b52efc14701904e2bd69b949ebb_369">#REF!</definedName>
    <definedName name="_vena_CashFlowS3_CashFlowB6_R_FV_42f34b52efc14701904e2bd69b949ebb_370">#REF!</definedName>
    <definedName name="_vena_CashFlowS3_CashFlowB6_R_FV_42f34b52efc14701904e2bd69b949ebb_371">#REF!</definedName>
    <definedName name="_vena_CashFlowS3_CashFlowB6_R_FV_42f34b52efc14701904e2bd69b949ebb_372">#REF!</definedName>
    <definedName name="_vena_CashFlowS3_CashFlowB6_R_FV_42f34b52efc14701904e2bd69b949ebb_373">#REF!</definedName>
    <definedName name="_vena_CashFlowS3_CashFlowB6_R_FV_42f34b52efc14701904e2bd69b949ebb_374">#REF!</definedName>
    <definedName name="_vena_CashFlowS3_CashFlowB6_R_FV_42f34b52efc14701904e2bd69b949ebb_375">#REF!</definedName>
    <definedName name="_vena_CashFlowS3_CashFlowB6_R_FV_42f34b52efc14701904e2bd69b949ebb_376">#REF!</definedName>
    <definedName name="_vena_CashFlowS3_CashFlowB6_R_FV_42f34b52efc14701904e2bd69b949ebb_377">#REF!</definedName>
    <definedName name="_vena_CashFlowS3_CashFlowB6_R_FV_42f34b52efc14701904e2bd69b949ebb_378">#REF!</definedName>
    <definedName name="_vena_CashFlowS3_CashFlowB6_R_FV_42f34b52efc14701904e2bd69b949ebb_379">#REF!</definedName>
    <definedName name="_vena_CashFlowS3_CashFlowB6_R_FV_42f34b52efc14701904e2bd69b949ebb_380">#REF!</definedName>
    <definedName name="_vena_CashFlowS3_CashFlowB6_R_FV_42f34b52efc14701904e2bd69b949ebb_381">#REF!</definedName>
    <definedName name="_vena_CashFlowS3_CashFlowB6_R_FV_42f34b52efc14701904e2bd69b949ebb_382">#REF!</definedName>
    <definedName name="_vena_CashFlowS3_CashFlowB6_R_FV_42f34b52efc14701904e2bd69b949ebb_383">#REF!</definedName>
    <definedName name="_vena_CashFlowS3_CashFlowB6_R_FV_42f34b52efc14701904e2bd69b949ebb_384">#REF!</definedName>
    <definedName name="_vena_CashFlowS3_CashFlowB6_R_FV_42f34b52efc14701904e2bd69b949ebb_385">#REF!</definedName>
    <definedName name="_vena_CashFlowS3_CashFlowB6_R_FV_42f34b52efc14701904e2bd69b949ebb_386">#REF!</definedName>
    <definedName name="_vena_CashFlowS3_CashFlowB6_R_FV_42f34b52efc14701904e2bd69b949ebb_387">#REF!</definedName>
    <definedName name="_vena_CashFlowS3_CashFlowB6_R_FV_42f34b52efc14701904e2bd69b949ebb_388">#REF!</definedName>
    <definedName name="_vena_CashFlowS3_CashFlowB6_R_FV_42f34b52efc14701904e2bd69b949ebb_389">#REF!</definedName>
    <definedName name="_vena_CashFlowS3_CashFlowB6_R_FV_42f34b52efc14701904e2bd69b949ebb_39">#REF!</definedName>
    <definedName name="_vena_CashFlowS3_CashFlowB6_R_FV_42f34b52efc14701904e2bd69b949ebb_390">#REF!</definedName>
    <definedName name="_vena_CashFlowS3_CashFlowB6_R_FV_42f34b52efc14701904e2bd69b949ebb_391">#REF!</definedName>
    <definedName name="_vena_CashFlowS3_CashFlowB6_R_FV_42f34b52efc14701904e2bd69b949ebb_392">#REF!</definedName>
    <definedName name="_vena_CashFlowS3_CashFlowB6_R_FV_42f34b52efc14701904e2bd69b949ebb_393">#REF!</definedName>
    <definedName name="_vena_CashFlowS3_CashFlowB6_R_FV_42f34b52efc14701904e2bd69b949ebb_394">#REF!</definedName>
    <definedName name="_vena_CashFlowS3_CashFlowB6_R_FV_42f34b52efc14701904e2bd69b949ebb_395">#REF!</definedName>
    <definedName name="_vena_CashFlowS3_CashFlowB6_R_FV_42f34b52efc14701904e2bd69b949ebb_396">#REF!</definedName>
    <definedName name="_vena_CashFlowS3_CashFlowB6_R_FV_42f34b52efc14701904e2bd69b949ebb_397">#REF!</definedName>
    <definedName name="_vena_CashFlowS3_CashFlowB6_R_FV_42f34b52efc14701904e2bd69b949ebb_398">#REF!</definedName>
    <definedName name="_vena_CashFlowS3_CashFlowB6_R_FV_42f34b52efc14701904e2bd69b949ebb_399">#REF!</definedName>
    <definedName name="_vena_CashFlowS3_CashFlowB6_R_FV_42f34b52efc14701904e2bd69b949ebb_40">#REF!</definedName>
    <definedName name="_vena_CashFlowS3_CashFlowB6_R_FV_42f34b52efc14701904e2bd69b949ebb_400">#REF!</definedName>
    <definedName name="_vena_CashFlowS3_CashFlowB6_R_FV_42f34b52efc14701904e2bd69b949ebb_401">#REF!</definedName>
    <definedName name="_vena_CashFlowS3_CashFlowB6_R_FV_42f34b52efc14701904e2bd69b949ebb_402">#REF!</definedName>
    <definedName name="_vena_CashFlowS3_CashFlowB6_R_FV_42f34b52efc14701904e2bd69b949ebb_403">#REF!</definedName>
    <definedName name="_vena_CashFlowS3_CashFlowB6_R_FV_42f34b52efc14701904e2bd69b949ebb_404">#REF!</definedName>
    <definedName name="_vena_CashFlowS3_CashFlowB6_R_FV_42f34b52efc14701904e2bd69b949ebb_405">#REF!</definedName>
    <definedName name="_vena_CashFlowS3_CashFlowB6_R_FV_42f34b52efc14701904e2bd69b949ebb_406">#REF!</definedName>
    <definedName name="_vena_CashFlowS3_CashFlowB6_R_FV_42f34b52efc14701904e2bd69b949ebb_407">#REF!</definedName>
    <definedName name="_vena_CashFlowS3_CashFlowB6_R_FV_42f34b52efc14701904e2bd69b949ebb_408">#REF!</definedName>
    <definedName name="_vena_CashFlowS3_CashFlowB6_R_FV_42f34b52efc14701904e2bd69b949ebb_409">#REF!</definedName>
    <definedName name="_vena_CashFlowS3_CashFlowB6_R_FV_42f34b52efc14701904e2bd69b949ebb_41">#REF!</definedName>
    <definedName name="_vena_CashFlowS3_CashFlowB6_R_FV_42f34b52efc14701904e2bd69b949ebb_410">#REF!</definedName>
    <definedName name="_vena_CashFlowS3_CashFlowB6_R_FV_42f34b52efc14701904e2bd69b949ebb_411">#REF!</definedName>
    <definedName name="_vena_CashFlowS3_CashFlowB6_R_FV_42f34b52efc14701904e2bd69b949ebb_412">#REF!</definedName>
    <definedName name="_vena_CashFlowS3_CashFlowB6_R_FV_42f34b52efc14701904e2bd69b949ebb_413">#REF!</definedName>
    <definedName name="_vena_CashFlowS3_CashFlowB6_R_FV_42f34b52efc14701904e2bd69b949ebb_414">#REF!</definedName>
    <definedName name="_vena_CashFlowS3_CashFlowB6_R_FV_42f34b52efc14701904e2bd69b949ebb_415">#REF!</definedName>
    <definedName name="_vena_CashFlowS3_CashFlowB6_R_FV_42f34b52efc14701904e2bd69b949ebb_416">#REF!</definedName>
    <definedName name="_vena_CashFlowS3_CashFlowB6_R_FV_42f34b52efc14701904e2bd69b949ebb_417">#REF!</definedName>
    <definedName name="_vena_CashFlowS3_CashFlowB6_R_FV_42f34b52efc14701904e2bd69b949ebb_418">#REF!</definedName>
    <definedName name="_vena_CashFlowS3_CashFlowB6_R_FV_42f34b52efc14701904e2bd69b949ebb_419">#REF!</definedName>
    <definedName name="_vena_CashFlowS3_CashFlowB6_R_FV_42f34b52efc14701904e2bd69b949ebb_42">#REF!</definedName>
    <definedName name="_vena_CashFlowS3_CashFlowB6_R_FV_42f34b52efc14701904e2bd69b949ebb_420">#REF!</definedName>
    <definedName name="_vena_CashFlowS3_CashFlowB6_R_FV_42f34b52efc14701904e2bd69b949ebb_421">#REF!</definedName>
    <definedName name="_vena_CashFlowS3_CashFlowB6_R_FV_42f34b52efc14701904e2bd69b949ebb_422">#REF!</definedName>
    <definedName name="_vena_CashFlowS3_CashFlowB6_R_FV_42f34b52efc14701904e2bd69b949ebb_423">#REF!</definedName>
    <definedName name="_vena_CashFlowS3_CashFlowB6_R_FV_42f34b52efc14701904e2bd69b949ebb_424">#REF!</definedName>
    <definedName name="_vena_CashFlowS3_CashFlowB6_R_FV_42f34b52efc14701904e2bd69b949ebb_425">#REF!</definedName>
    <definedName name="_vena_CashFlowS3_CashFlowB6_R_FV_42f34b52efc14701904e2bd69b949ebb_426">#REF!</definedName>
    <definedName name="_vena_CashFlowS3_CashFlowB6_R_FV_42f34b52efc14701904e2bd69b949ebb_427">#REF!</definedName>
    <definedName name="_vena_CashFlowS3_CashFlowB6_R_FV_42f34b52efc14701904e2bd69b949ebb_428">#REF!</definedName>
    <definedName name="_vena_CashFlowS3_CashFlowB6_R_FV_42f34b52efc14701904e2bd69b949ebb_429">#REF!</definedName>
    <definedName name="_vena_CashFlowS3_CashFlowB6_R_FV_42f34b52efc14701904e2bd69b949ebb_430">#REF!</definedName>
    <definedName name="_vena_CashFlowS3_CashFlowB6_R_FV_42f34b52efc14701904e2bd69b949ebb_431">#REF!</definedName>
    <definedName name="_vena_CashFlowS3_CashFlowB6_R_FV_42f34b52efc14701904e2bd69b949ebb_432">#REF!</definedName>
    <definedName name="_vena_CashFlowS3_CashFlowB6_R_FV_42f34b52efc14701904e2bd69b949ebb_433">#REF!</definedName>
    <definedName name="_vena_CashFlowS3_CashFlowB6_R_FV_42f34b52efc14701904e2bd69b949ebb_434">#REF!</definedName>
    <definedName name="_vena_CashFlowS3_CashFlowB6_R_FV_42f34b52efc14701904e2bd69b949ebb_435">#REF!</definedName>
    <definedName name="_vena_CashFlowS3_CashFlowB6_R_FV_42f34b52efc14701904e2bd69b949ebb_436">#REF!</definedName>
    <definedName name="_vena_CashFlowS3_CashFlowB6_R_FV_42f34b52efc14701904e2bd69b949ebb_437">#REF!</definedName>
    <definedName name="_vena_CashFlowS3_CashFlowB6_R_FV_42f34b52efc14701904e2bd69b949ebb_438">#REF!</definedName>
    <definedName name="_vena_CashFlowS3_CashFlowB6_R_FV_42f34b52efc14701904e2bd69b949ebb_439">#REF!</definedName>
    <definedName name="_vena_CashFlowS3_CashFlowB6_R_FV_42f34b52efc14701904e2bd69b949ebb_440">#REF!</definedName>
    <definedName name="_vena_CashFlowS3_CashFlowB6_R_FV_42f34b52efc14701904e2bd69b949ebb_441">#REF!</definedName>
    <definedName name="_vena_CashFlowS3_CashFlowB6_R_FV_42f34b52efc14701904e2bd69b949ebb_442">#REF!</definedName>
    <definedName name="_vena_CashFlowS3_CashFlowB6_R_FV_42f34b52efc14701904e2bd69b949ebb_443">#REF!</definedName>
    <definedName name="_vena_CashFlowS3_CashFlowB6_R_FV_42f34b52efc14701904e2bd69b949ebb_444">#REF!</definedName>
    <definedName name="_vena_CashFlowS3_CashFlowB6_R_FV_42f34b52efc14701904e2bd69b949ebb_445">#REF!</definedName>
    <definedName name="_vena_CashFlowS3_CashFlowB6_R_FV_42f34b52efc14701904e2bd69b949ebb_446">#REF!</definedName>
    <definedName name="_vena_CashFlowS3_CashFlowB6_R_FV_42f34b52efc14701904e2bd69b949ebb_447">#REF!</definedName>
    <definedName name="_vena_CashFlowS3_CashFlowB6_R_FV_42f34b52efc14701904e2bd69b949ebb_448">#REF!</definedName>
    <definedName name="_vena_CashFlowS3_CashFlowB6_R_FV_42f34b52efc14701904e2bd69b949ebb_449">#REF!</definedName>
    <definedName name="_vena_CashFlowS3_CashFlowB6_R_FV_42f34b52efc14701904e2bd69b949ebb_450">#REF!</definedName>
    <definedName name="_vena_CashFlowS3_CashFlowB6_R_FV_42f34b52efc14701904e2bd69b949ebb_451">#REF!</definedName>
    <definedName name="_vena_CashFlowS3_CashFlowB6_R_FV_42f34b52efc14701904e2bd69b949ebb_452">#REF!</definedName>
    <definedName name="_vena_CashFlowS3_CashFlowB6_R_FV_42f34b52efc14701904e2bd69b949ebb_453">#REF!</definedName>
    <definedName name="_vena_CashFlowS3_CashFlowB6_R_FV_42f34b52efc14701904e2bd69b949ebb_454">#REF!</definedName>
    <definedName name="_vena_CashFlowS3_CashFlowB6_R_FV_42f34b52efc14701904e2bd69b949ebb_455">#REF!</definedName>
    <definedName name="_vena_CashFlowS3_CashFlowB6_R_FV_42f34b52efc14701904e2bd69b949ebb_456">#REF!</definedName>
    <definedName name="_vena_CashFlowS3_CashFlowB6_R_FV_42f34b52efc14701904e2bd69b949ebb_457">#REF!</definedName>
    <definedName name="_vena_CashFlowS3_CashFlowB6_R_FV_42f34b52efc14701904e2bd69b949ebb_458">#REF!</definedName>
    <definedName name="_vena_CashFlowS3_CashFlowB6_R_FV_42f34b52efc14701904e2bd69b949ebb_459">#REF!</definedName>
    <definedName name="_vena_CashFlowS3_CashFlowB6_R_FV_42f34b52efc14701904e2bd69b949ebb_460">#REF!</definedName>
    <definedName name="_vena_CashFlowS3_CashFlowB6_R_FV_42f34b52efc14701904e2bd69b949ebb_461">#REF!</definedName>
    <definedName name="_vena_CashFlowS3_CashFlowB6_R_FV_42f34b52efc14701904e2bd69b949ebb_462">#REF!</definedName>
    <definedName name="_vena_CashFlowS3_CashFlowB6_R_FV_42f34b52efc14701904e2bd69b949ebb_463">#REF!</definedName>
    <definedName name="_vena_CashFlowS3_CashFlowB6_R_FV_42f34b52efc14701904e2bd69b949ebb_464">#REF!</definedName>
    <definedName name="_vena_CashFlowS3_CashFlowB6_R_FV_42f34b52efc14701904e2bd69b949ebb_465">#REF!</definedName>
    <definedName name="_vena_CashFlowS3_CashFlowB6_R_FV_42f34b52efc14701904e2bd69b949ebb_466">#REF!</definedName>
    <definedName name="_vena_CashFlowS3_CashFlowB6_R_FV_42f34b52efc14701904e2bd69b949ebb_467">#REF!</definedName>
    <definedName name="_vena_CashFlowS3_CashFlowB6_R_FV_42f34b52efc14701904e2bd69b949ebb_468">#REF!</definedName>
    <definedName name="_vena_CashFlowS3_CashFlowB6_R_FV_42f34b52efc14701904e2bd69b949ebb_469">#REF!</definedName>
    <definedName name="_vena_CashFlowS3_CashFlowB6_R_FV_42f34b52efc14701904e2bd69b949ebb_470">#REF!</definedName>
    <definedName name="_vena_CashFlowS3_CashFlowB6_R_FV_42f34b52efc14701904e2bd69b949ebb_471">#REF!</definedName>
    <definedName name="_vena_CashFlowS3_CashFlowB6_R_FV_42f34b52efc14701904e2bd69b949ebb_472">#REF!</definedName>
    <definedName name="_vena_CashFlowS3_CashFlowB6_R_FV_42f34b52efc14701904e2bd69b949ebb_473">#REF!</definedName>
    <definedName name="_vena_CashFlowS3_CashFlowB6_R_FV_42f34b52efc14701904e2bd69b949ebb_474">#REF!</definedName>
    <definedName name="_vena_CashFlowS3_CashFlowB6_R_FV_42f34b52efc14701904e2bd69b949ebb_475">#REF!</definedName>
    <definedName name="_vena_CashFlowS3_CashFlowB6_R_FV_42f34b52efc14701904e2bd69b949ebb_476">#REF!</definedName>
    <definedName name="_vena_CashFlowS3_CashFlowB6_R_FV_42f34b52efc14701904e2bd69b949ebb_477">#REF!</definedName>
    <definedName name="_vena_CashFlowS3_CashFlowB6_R_FV_42f34b52efc14701904e2bd69b949ebb_478">#REF!</definedName>
    <definedName name="_vena_CashFlowS3_CashFlowB6_R_FV_42f34b52efc14701904e2bd69b949ebb_479">#REF!</definedName>
    <definedName name="_vena_CashFlowS3_CashFlowB6_R_FV_42f34b52efc14701904e2bd69b949ebb_480">#REF!</definedName>
    <definedName name="_vena_CashFlowS3_CashFlowB6_R_FV_42f34b52efc14701904e2bd69b949ebb_481">#REF!</definedName>
    <definedName name="_vena_CashFlowS3_CashFlowB6_R_FV_42f34b52efc14701904e2bd69b949ebb_482">#REF!</definedName>
    <definedName name="_vena_CashFlowS3_CashFlowB6_R_FV_42f34b52efc14701904e2bd69b949ebb_483">#REF!</definedName>
    <definedName name="_vena_CashFlowS3_CashFlowB6_R_FV_42f34b52efc14701904e2bd69b949ebb_484">#REF!</definedName>
    <definedName name="_vena_CashFlowS3_CashFlowB6_R_FV_42f34b52efc14701904e2bd69b949ebb_485">#REF!</definedName>
    <definedName name="_vena_CashFlowS3_CashFlowB6_R_FV_42f34b52efc14701904e2bd69b949ebb_486">#REF!</definedName>
    <definedName name="_vena_CashFlowS3_CashFlowB6_R_FV_42f34b52efc14701904e2bd69b949ebb_487">#REF!</definedName>
    <definedName name="_vena_CashFlowS3_CashFlowB6_R_FV_42f34b52efc14701904e2bd69b949ebb_488">#REF!</definedName>
    <definedName name="_vena_CashFlowS3_CashFlowB6_R_FV_42f34b52efc14701904e2bd69b949ebb_489">#REF!</definedName>
    <definedName name="_vena_CashFlowS3_CashFlowB6_R_FV_42f34b52efc14701904e2bd69b949ebb_490">#REF!</definedName>
    <definedName name="_vena_CashFlowS3_CashFlowB6_R_FV_42f34b52efc14701904e2bd69b949ebb_491">#REF!</definedName>
    <definedName name="_vena_CashFlowS3_CashFlowB6_R_FV_42f34b52efc14701904e2bd69b949ebb_492">#REF!</definedName>
    <definedName name="_vena_CashFlowS3_CashFlowB6_R_FV_42f34b52efc14701904e2bd69b949ebb_493">#REF!</definedName>
    <definedName name="_vena_CashFlowS3_CashFlowB6_R_FV_42f34b52efc14701904e2bd69b949ebb_494">#REF!</definedName>
    <definedName name="_vena_CashFlowS3_CashFlowB6_R_FV_42f34b52efc14701904e2bd69b949ebb_495">#REF!</definedName>
    <definedName name="_vena_CashFlowS3_CashFlowB6_R_FV_42f34b52efc14701904e2bd69b949ebb_496">#REF!</definedName>
    <definedName name="_vena_CashFlowS3_CashFlowB6_R_FV_42f34b52efc14701904e2bd69b949ebb_497">#REF!</definedName>
    <definedName name="_vena_CashFlowS3_CashFlowB6_R_FV_42f34b52efc14701904e2bd69b949ebb_498">#REF!</definedName>
    <definedName name="_vena_CashFlowS3_CashFlowB6_R_FV_42f34b52efc14701904e2bd69b949ebb_499">#REF!</definedName>
    <definedName name="_vena_CashFlowS3_CashFlowB6_R_FV_42f34b52efc14701904e2bd69b949ebb_500">#REF!</definedName>
    <definedName name="_vena_CashFlowS3_CashFlowB6_R_FV_42f34b52efc14701904e2bd69b949ebb_501">#REF!</definedName>
    <definedName name="_vena_CashFlowS3_CashFlowB6_R_FV_42f34b52efc14701904e2bd69b949ebb_502">#REF!</definedName>
    <definedName name="_vena_CashFlowS3_CashFlowB6_R_FV_42f34b52efc14701904e2bd69b949ebb_503">#REF!</definedName>
    <definedName name="_vena_CashFlowS3_CashFlowB6_R_FV_42f34b52efc14701904e2bd69b949ebb_504">#REF!</definedName>
    <definedName name="_vena_CashFlowS3_CashFlowB6_R_FV_42f34b52efc14701904e2bd69b949ebb_505">#REF!</definedName>
    <definedName name="_vena_CashFlowS3_CashFlowB6_R_FV_42f34b52efc14701904e2bd69b949ebb_506">#REF!</definedName>
    <definedName name="_vena_CashFlowS3_CashFlowB6_R_FV_42f34b52efc14701904e2bd69b949ebb_507">#REF!</definedName>
    <definedName name="_vena_CashFlowS3_CashFlowB6_R_FV_42f34b52efc14701904e2bd69b949ebb_508">#REF!</definedName>
    <definedName name="_vena_CashFlowS3_CashFlowB6_R_FV_42f34b52efc14701904e2bd69b949ebb_509">#REF!</definedName>
    <definedName name="_vena_CashFlowS3_CashFlowB6_R_FV_42f34b52efc14701904e2bd69b949ebb_510">#REF!</definedName>
    <definedName name="_vena_CashFlowS3_CashFlowB6_R_FV_42f34b52efc14701904e2bd69b949ebb_511">#REF!</definedName>
    <definedName name="_vena_CashFlowS3_CashFlowB6_R_FV_42f34b52efc14701904e2bd69b949ebb_512">#REF!</definedName>
    <definedName name="_vena_CashFlowS3_CashFlowB6_R_FV_42f34b52efc14701904e2bd69b949ebb_513">#REF!</definedName>
    <definedName name="_vena_CashFlowS3_CashFlowB6_R_FV_42f34b52efc14701904e2bd69b949ebb_514">#REF!</definedName>
    <definedName name="_vena_CashFlowS3_CashFlowB6_R_FV_42f34b52efc14701904e2bd69b949ebb_515">#REF!</definedName>
    <definedName name="_vena_CashFlowS3_CashFlowB6_R_FV_42f34b52efc14701904e2bd69b949ebb_516">#REF!</definedName>
    <definedName name="_vena_CashFlowS3_CashFlowB6_R_FV_42f34b52efc14701904e2bd69b949ebb_517">#REF!</definedName>
    <definedName name="_vena_CashFlowS3_CashFlowB6_R_FV_42f34b52efc14701904e2bd69b949ebb_518">#REF!</definedName>
    <definedName name="_vena_CashFlowS3_CashFlowB6_R_FV_42f34b52efc14701904e2bd69b949ebb_519">#REF!</definedName>
    <definedName name="_vena_CashFlowS3_CashFlowB6_R_FV_42f34b52efc14701904e2bd69b949ebb_520">#REF!</definedName>
    <definedName name="_vena_CashFlowS3_CashFlowB6_R_FV_42f34b52efc14701904e2bd69b949ebb_521">#REF!</definedName>
    <definedName name="_vena_CashFlowS3_CashFlowB6_R_FV_42f34b52efc14701904e2bd69b949ebb_522">#REF!</definedName>
    <definedName name="_vena_CashFlowS3_CashFlowB6_R_FV_42f34b52efc14701904e2bd69b949ebb_523">#REF!</definedName>
    <definedName name="_vena_CashFlowS3_CashFlowB6_R_FV_42f34b52efc14701904e2bd69b949ebb_524">#REF!</definedName>
    <definedName name="_vena_CashFlowS3_CashFlowB6_R_FV_42f34b52efc14701904e2bd69b949ebb_525">#REF!</definedName>
    <definedName name="_vena_CashFlowS3_CashFlowB6_R_FV_42f34b52efc14701904e2bd69b949ebb_526">#REF!</definedName>
    <definedName name="_vena_CashFlowS3_CashFlowB6_R_FV_42f34b52efc14701904e2bd69b949ebb_527">#REF!</definedName>
    <definedName name="_vena_CashFlowS3_CashFlowB6_R_FV_42f34b52efc14701904e2bd69b949ebb_528">#REF!</definedName>
    <definedName name="_vena_CashFlowS3_CashFlowB6_R_FV_42f34b52efc14701904e2bd69b949ebb_529">#REF!</definedName>
    <definedName name="_vena_CashFlowS3_CashFlowB6_R_FV_42f34b52efc14701904e2bd69b949ebb_530">#REF!</definedName>
    <definedName name="_vena_CashFlowS3_CashFlowB6_R_FV_42f34b52efc14701904e2bd69b949ebb_531">#REF!</definedName>
    <definedName name="_vena_CashFlowS3_CashFlowB6_R_FV_42f34b52efc14701904e2bd69b949ebb_532">#REF!</definedName>
    <definedName name="_vena_CashFlowS3_CashFlowB6_R_FV_42f34b52efc14701904e2bd69b949ebb_533">#REF!</definedName>
    <definedName name="_vena_CashFlowS3_CashFlowB6_R_FV_42f34b52efc14701904e2bd69b949ebb_534">#REF!</definedName>
    <definedName name="_vena_CashFlowS3_CashFlowB6_R_FV_42f34b52efc14701904e2bd69b949ebb_535">#REF!</definedName>
    <definedName name="_vena_CashFlowS3_CashFlowB6_R_FV_42f34b52efc14701904e2bd69b949ebb_536">#REF!</definedName>
    <definedName name="_vena_CashFlowS3_CashFlowB6_R_FV_42f34b52efc14701904e2bd69b949ebb_537">#REF!</definedName>
    <definedName name="_vena_CashFlowS3_CashFlowB6_R_FV_42f34b52efc14701904e2bd69b949ebb_538">#REF!</definedName>
    <definedName name="_vena_CashFlowS3_CashFlowB6_R_FV_42f34b52efc14701904e2bd69b949ebb_539">#REF!</definedName>
    <definedName name="_vena_CashFlowS3_CashFlowB6_R_FV_42f34b52efc14701904e2bd69b949ebb_540">#REF!</definedName>
    <definedName name="_vena_CashFlowS3_CashFlowB6_R_FV_42f34b52efc14701904e2bd69b949ebb_541">#REF!</definedName>
    <definedName name="_vena_CashFlowS3_CashFlowB6_R_FV_42f34b52efc14701904e2bd69b949ebb_542">#REF!</definedName>
    <definedName name="_vena_CashFlowS3_CashFlowB6_R_FV_42f34b52efc14701904e2bd69b949ebb_543">#REF!</definedName>
    <definedName name="_vena_CashFlowS3_CashFlowB6_R_FV_42f34b52efc14701904e2bd69b949ebb_544">#REF!</definedName>
    <definedName name="_vena_CashFlowS3_CashFlowB6_R_FV_42f34b52efc14701904e2bd69b949ebb_545">#REF!</definedName>
    <definedName name="_vena_CashFlowS3_CashFlowB6_R_FV_42f34b52efc14701904e2bd69b949ebb_546">#REF!</definedName>
    <definedName name="_vena_CashFlowS3_CashFlowB6_R_FV_42f34b52efc14701904e2bd69b949ebb_547">#REF!</definedName>
    <definedName name="_vena_CashFlowS3_CashFlowB6_R_FV_42f34b52efc14701904e2bd69b949ebb_548">#REF!</definedName>
    <definedName name="_vena_CashFlowS3_CashFlowB6_R_FV_42f34b52efc14701904e2bd69b949ebb_549">#REF!</definedName>
    <definedName name="_vena_CashFlowS3_CashFlowB6_R_FV_42f34b52efc14701904e2bd69b949ebb_550">#REF!</definedName>
    <definedName name="_vena_CashFlowS3_CashFlowB6_R_FV_42f34b52efc14701904e2bd69b949ebb_551">#REF!</definedName>
    <definedName name="_vena_CashFlowS3_CashFlowB6_R_FV_42f34b52efc14701904e2bd69b949ebb_552">#REF!</definedName>
    <definedName name="_vena_CashFlowS3_CashFlowB6_R_FV_42f34b52efc14701904e2bd69b949ebb_553">#REF!</definedName>
    <definedName name="_vena_CashFlowS3_CashFlowB6_R_FV_42f34b52efc14701904e2bd69b949ebb_554">#REF!</definedName>
    <definedName name="_vena_CashFlowS3_CashFlowB6_R_FV_42f34b52efc14701904e2bd69b949ebb_555">#REF!</definedName>
    <definedName name="_vena_CashFlowS3_CashFlowB6_R_FV_42f34b52efc14701904e2bd69b949ebb_556">#REF!</definedName>
    <definedName name="_vena_CashFlowS3_CashFlowB6_R_FV_42f34b52efc14701904e2bd69b949ebb_557">#REF!</definedName>
    <definedName name="_vena_CashFlowS3_CashFlowB6_R_FV_42f34b52efc14701904e2bd69b949ebb_558">#REF!</definedName>
    <definedName name="_vena_CashFlowS3_CashFlowB6_R_FV_42f34b52efc14701904e2bd69b949ebb_559">#REF!</definedName>
    <definedName name="_vena_CashFlowS3_CashFlowB6_R_FV_42f34b52efc14701904e2bd69b949ebb_560">#REF!</definedName>
    <definedName name="_vena_CashFlowS3_CashFlowB6_R_FV_42f34b52efc14701904e2bd69b949ebb_561">#REF!</definedName>
    <definedName name="_vena_CashFlowS3_CashFlowB6_R_FV_42f34b52efc14701904e2bd69b949ebb_562">#REF!</definedName>
    <definedName name="_vena_CashFlowS3_CashFlowB6_R_FV_42f34b52efc14701904e2bd69b949ebb_563">#REF!</definedName>
    <definedName name="_vena_CashFlowS3_CashFlowB6_R_FV_42f34b52efc14701904e2bd69b949ebb_564">#REF!</definedName>
    <definedName name="_vena_CashFlowS3_CashFlowB6_R_FV_42f34b52efc14701904e2bd69b949ebb_565">#REF!</definedName>
    <definedName name="_vena_CashFlowS3_CashFlowB6_R_FV_42f34b52efc14701904e2bd69b949ebb_566">#REF!</definedName>
    <definedName name="_vena_CashFlowS3_CashFlowB6_R_FV_42f34b52efc14701904e2bd69b949ebb_567">#REF!</definedName>
    <definedName name="_vena_CashFlowS3_CashFlowB6_R_FV_42f34b52efc14701904e2bd69b949ebb_568">#REF!</definedName>
    <definedName name="_vena_CashFlowS3_CashFlowB6_R_FV_42f34b52efc14701904e2bd69b949ebb_569">#REF!</definedName>
    <definedName name="_vena_CashFlowS3_CashFlowB6_R_FV_42f34b52efc14701904e2bd69b949ebb_570">#REF!</definedName>
    <definedName name="_vena_CashFlowS3_CashFlowB6_R_FV_42f34b52efc14701904e2bd69b949ebb_571">#REF!</definedName>
    <definedName name="_vena_CashFlowS3_CashFlowB6_R_FV_42f34b52efc14701904e2bd69b949ebb_572">#REF!</definedName>
    <definedName name="_vena_CashFlowS3_CashFlowB6_R_FV_42f34b52efc14701904e2bd69b949ebb_573">#REF!</definedName>
    <definedName name="_vena_CashFlowS3_CashFlowB6_R_FV_42f34b52efc14701904e2bd69b949ebb_574">#REF!</definedName>
    <definedName name="_vena_CashFlowS3_CashFlowB6_R_FV_42f34b52efc14701904e2bd69b949ebb_575">#REF!</definedName>
    <definedName name="_vena_CashFlowS3_CashFlowB6_R_FV_42f34b52efc14701904e2bd69b949ebb_576">#REF!</definedName>
    <definedName name="_vena_CashFlowS3_CashFlowB6_R_FV_42f34b52efc14701904e2bd69b949ebb_577">#REF!</definedName>
    <definedName name="_vena_CashFlowS3_CashFlowB6_R_FV_42f34b52efc14701904e2bd69b949ebb_578">#REF!</definedName>
    <definedName name="_vena_CashFlowS3_CashFlowB6_R_FV_42f34b52efc14701904e2bd69b949ebb_579">#REF!</definedName>
    <definedName name="_vena_CashFlowS3_CashFlowB6_R_FV_42f34b52efc14701904e2bd69b949ebb_580">#REF!</definedName>
    <definedName name="_vena_CashFlowS3_CashFlowB6_R_FV_42f34b52efc14701904e2bd69b949ebb_581">#REF!</definedName>
    <definedName name="_vena_CashFlowS3_CashFlowB6_R_FV_42f34b52efc14701904e2bd69b949ebb_582">#REF!</definedName>
    <definedName name="_vena_CashFlowS3_CashFlowB6_R_FV_42f34b52efc14701904e2bd69b949ebb_583">#REF!</definedName>
    <definedName name="_vena_CashFlowS3_CashFlowB6_R_FV_42f34b52efc14701904e2bd69b949ebb_584">#REF!</definedName>
    <definedName name="_vena_CashFlowS3_CashFlowB6_R_FV_42f34b52efc14701904e2bd69b949ebb_585">#REF!</definedName>
    <definedName name="_vena_CashFlowS3_CashFlowB6_R_FV_42f34b52efc14701904e2bd69b949ebb_586">#REF!</definedName>
    <definedName name="_vena_CashFlowS3_CashFlowB6_R_FV_42f34b52efc14701904e2bd69b949ebb_587">#REF!</definedName>
    <definedName name="_vena_CashFlowS3_CashFlowB6_R_FV_42f34b52efc14701904e2bd69b949ebb_588">#REF!</definedName>
    <definedName name="_vena_CashFlowS3_CashFlowB6_R_FV_42f34b52efc14701904e2bd69b949ebb_589">#REF!</definedName>
    <definedName name="_vena_CashFlowS3_CashFlowB6_R_FV_42f34b52efc14701904e2bd69b949ebb_590">#REF!</definedName>
    <definedName name="_vena_CashFlowS3_CashFlowB6_R_FV_42f34b52efc14701904e2bd69b949ebb_591">#REF!</definedName>
    <definedName name="_vena_CashFlowS3_CashFlowB6_R_FV_42f34b52efc14701904e2bd69b949ebb_592">#REF!</definedName>
    <definedName name="_vena_CashFlowS3_CashFlowB6_R_FV_42f34b52efc14701904e2bd69b949ebb_593">#REF!</definedName>
    <definedName name="_vena_CashFlowS3_CashFlowB6_R_FV_42f34b52efc14701904e2bd69b949ebb_594">#REF!</definedName>
    <definedName name="_vena_CashFlowS3_CashFlowB6_R_FV_42f34b52efc14701904e2bd69b949ebb_595">#REF!</definedName>
    <definedName name="_vena_CashFlowS3_CashFlowB6_R_FV_42f34b52efc14701904e2bd69b949ebb_596">#REF!</definedName>
    <definedName name="_vena_CashFlowS3_CashFlowB6_R_FV_42f34b52efc14701904e2bd69b949ebb_597">#REF!</definedName>
    <definedName name="_vena_CashFlowS3_CashFlowB6_R_FV_42f34b52efc14701904e2bd69b949ebb_598">#REF!</definedName>
    <definedName name="_vena_CashFlowS3_CashFlowB6_R_FV_42f34b52efc14701904e2bd69b949ebb_599">#REF!</definedName>
    <definedName name="_vena_CashFlowS3_CashFlowB6_R_FV_42f34b52efc14701904e2bd69b949ebb_600">#REF!</definedName>
    <definedName name="_vena_CashFlowS3_CashFlowB6_R_FV_42f34b52efc14701904e2bd69b949ebb_601">#REF!</definedName>
    <definedName name="_vena_CashFlowS3_CashFlowB6_R_FV_42f34b52efc14701904e2bd69b949ebb_602">#REF!</definedName>
    <definedName name="_vena_CashFlowS3_CashFlowB6_R_FV_42f34b52efc14701904e2bd69b949ebb_603">#REF!</definedName>
    <definedName name="_vena_CashFlowS3_CashFlowB6_R_FV_42f34b52efc14701904e2bd69b949ebb_604">#REF!</definedName>
    <definedName name="_vena_CashFlowS3_CashFlowB6_R_FV_42f34b52efc14701904e2bd69b949ebb_605">#REF!</definedName>
    <definedName name="_vena_CashFlowS3_CashFlowB6_R_FV_42f34b52efc14701904e2bd69b949ebb_606">#REF!</definedName>
    <definedName name="_vena_CashFlowS3_CashFlowB6_R_FV_42f34b52efc14701904e2bd69b949ebb_607">#REF!</definedName>
    <definedName name="_vena_CashFlowS3_CashFlowB6_R_FV_42f34b52efc14701904e2bd69b949ebb_608">#REF!</definedName>
    <definedName name="_vena_CashFlowS3_CashFlowB6_R_FV_42f34b52efc14701904e2bd69b949ebb_609">#REF!</definedName>
    <definedName name="_vena_CashFlowS3_CashFlowB6_R_FV_42f34b52efc14701904e2bd69b949ebb_610">#REF!</definedName>
    <definedName name="_vena_CashFlowS3_CashFlowB6_R_FV_42f34b52efc14701904e2bd69b949ebb_611">#REF!</definedName>
    <definedName name="_vena_CashFlowS3_CashFlowB6_R_FV_42f34b52efc14701904e2bd69b949ebb_612">#REF!</definedName>
    <definedName name="_vena_CashFlowS3_CashFlowB6_R_FV_42f34b52efc14701904e2bd69b949ebb_613">#REF!</definedName>
    <definedName name="_vena_CashFlowS3_CashFlowB6_R_FV_42f34b52efc14701904e2bd69b949ebb_614">#REF!</definedName>
    <definedName name="_vena_CashFlowS3_CashFlowB6_R_FV_42f34b52efc14701904e2bd69b949ebb_615">#REF!</definedName>
    <definedName name="_vena_CashFlowS3_CashFlowB6_R_FV_42f34b52efc14701904e2bd69b949ebb_616">#REF!</definedName>
    <definedName name="_vena_CashFlowS3_CashFlowB6_R_FV_42f34b52efc14701904e2bd69b949ebb_617">#REF!</definedName>
    <definedName name="_vena_CashFlowS3_CashFlowB6_R_FV_42f34b52efc14701904e2bd69b949ebb_618">#REF!</definedName>
    <definedName name="_vena_CashFlowS3_CashFlowB6_R_FV_42f34b52efc14701904e2bd69b949ebb_619">#REF!</definedName>
    <definedName name="_vena_CashFlowS3_CashFlowB6_R_FV_42f34b52efc14701904e2bd69b949ebb_620">#REF!</definedName>
    <definedName name="_vena_CashFlowS3_CashFlowB6_R_FV_42f34b52efc14701904e2bd69b949ebb_621">#REF!</definedName>
    <definedName name="_vena_CashFlowS3_CashFlowB6_R_FV_42f34b52efc14701904e2bd69b949ebb_622">#REF!</definedName>
    <definedName name="_vena_CashFlowS3_CashFlowB6_R_FV_42f34b52efc14701904e2bd69b949ebb_623">#REF!</definedName>
    <definedName name="_vena_CashFlowS3_CashFlowB6_R_FV_42f34b52efc14701904e2bd69b949ebb_624">#REF!</definedName>
    <definedName name="_vena_CashFlowS3_CashFlowB6_R_FV_42f34b52efc14701904e2bd69b949ebb_625">#REF!</definedName>
    <definedName name="_vena_CashFlowS3_CashFlowB6_R_FV_42f34b52efc14701904e2bd69b949ebb_626">#REF!</definedName>
    <definedName name="_vena_CashFlowS3_CashFlowB6_R_FV_42f34b52efc14701904e2bd69b949ebb_627">#REF!</definedName>
    <definedName name="_vena_CashFlowS3_CashFlowB7_C_8_431662182314278912">#REF!</definedName>
    <definedName name="_vena_CashFlowS3_CashFlowB7_R_FV_42f34b52efc14701904e2bd69b949ebb_108">#REF!</definedName>
    <definedName name="_vena_CashFlowS3_CashFlowB7_R_FV_42f34b52efc14701904e2bd69b949ebb_150">#REF!</definedName>
    <definedName name="_vena_CashFlowS3_CashFlowB7_R_FV_42f34b52efc14701904e2bd69b949ebb_19">#REF!</definedName>
    <definedName name="_vena_CashFlowS3_CashFlowB7_R_FV_42f34b52efc14701904e2bd69b949ebb_203">#REF!</definedName>
    <definedName name="_vena_CashFlowS3_CashFlowB7_R_FV_42f34b52efc14701904e2bd69b949ebb_237">#REF!</definedName>
    <definedName name="_vena_CashFlowS3_CashFlowB7_R_FV_42f34b52efc14701904e2bd69b949ebb_289">#REF!</definedName>
    <definedName name="_vena_CashFlowS3_CashFlowB7_R_FV_42f34b52efc14701904e2bd69b949ebb_37">#REF!</definedName>
    <definedName name="_vena_CashFlowS3_CashFlowB7_R_FV_42f34b52efc14701904e2bd69b949ebb_409">#REF!</definedName>
    <definedName name="_vena_CashFlowS3_CashFlowB7_R_FV_42f34b52efc14701904e2bd69b949ebb_419">#REF!</definedName>
    <definedName name="_vena_CashFlowS3_CashFlowB7_R_FV_42f34b52efc14701904e2bd69b949ebb_430">#REF!</definedName>
    <definedName name="_vena_CashFlowS3_CashFlowB7_R_FV_42f34b52efc14701904e2bd69b949ebb_431">#REF!</definedName>
    <definedName name="_vena_CashFlowS3_CashFlowB7_R_FV_42f34b52efc14701904e2bd69b949ebb_432">#REF!</definedName>
    <definedName name="_vena_CashFlowS3_CashFlowB7_R_FV_42f34b52efc14701904e2bd69b949ebb_433">#REF!</definedName>
    <definedName name="_vena_CashFlowS3_CashFlowB7_R_FV_42f34b52efc14701904e2bd69b949ebb_434">#REF!</definedName>
    <definedName name="_vena_CashFlowS3_CashFlowB7_R_FV_42f34b52efc14701904e2bd69b949ebb_435">#REF!</definedName>
    <definedName name="_vena_CashFlowS3_CashFlowB7_R_FV_42f34b52efc14701904e2bd69b949ebb_436">#REF!</definedName>
    <definedName name="_vena_CashFlowS3_CashFlowB7_R_FV_42f34b52efc14701904e2bd69b949ebb_437">#REF!</definedName>
    <definedName name="_vena_CashFlowS3_CashFlowB7_R_FV_42f34b52efc14701904e2bd69b949ebb_438">#REF!</definedName>
    <definedName name="_vena_CashFlowS3_CashFlowB7_R_FV_42f34b52efc14701904e2bd69b949ebb_439">#REF!</definedName>
    <definedName name="_vena_CashFlowS3_CashFlowB7_R_FV_42f34b52efc14701904e2bd69b949ebb_440">#REF!</definedName>
    <definedName name="_vena_CashFlowS3_CashFlowB7_R_FV_42f34b52efc14701904e2bd69b949ebb_441">#REF!</definedName>
    <definedName name="_vena_CashFlowS3_CashFlowB7_R_FV_42f34b52efc14701904e2bd69b949ebb_442">#REF!</definedName>
    <definedName name="_vena_CashFlowS3_CashFlowB7_R_FV_42f34b52efc14701904e2bd69b949ebb_443">#REF!</definedName>
    <definedName name="_vena_CashFlowS3_CashFlowB7_R_FV_42f34b52efc14701904e2bd69b949ebb_444">#REF!</definedName>
    <definedName name="_vena_CashFlowS3_CashFlowB7_R_FV_42f34b52efc14701904e2bd69b949ebb_445">#REF!</definedName>
    <definedName name="_vena_CashFlowS3_CashFlowB7_R_FV_42f34b52efc14701904e2bd69b949ebb_446">#REF!</definedName>
    <definedName name="_vena_CashFlowS3_CashFlowB7_R_FV_42f34b52efc14701904e2bd69b949ebb_447">#REF!</definedName>
    <definedName name="_vena_CashFlowS3_CashFlowB7_R_FV_42f34b52efc14701904e2bd69b949ebb_448">#REF!</definedName>
    <definedName name="_vena_CashFlowS3_CashFlowB7_R_FV_42f34b52efc14701904e2bd69b949ebb_449">#REF!</definedName>
    <definedName name="_vena_CashFlowS3_CashFlowB7_R_FV_42f34b52efc14701904e2bd69b949ebb_450">#REF!</definedName>
    <definedName name="_vena_CashFlowS3_CashFlowB7_R_FV_42f34b52efc14701904e2bd69b949ebb_451">#REF!</definedName>
    <definedName name="_vena_CashFlowS3_CashFlowB7_R_FV_42f34b52efc14701904e2bd69b949ebb_452">#REF!</definedName>
    <definedName name="_vena_CashFlowS3_CashFlowB7_R_FV_42f34b52efc14701904e2bd69b949ebb_453">#REF!</definedName>
    <definedName name="_vena_CashFlowS3_CashFlowB7_R_FV_42f34b52efc14701904e2bd69b949ebb_454">#REF!</definedName>
    <definedName name="_vena_CashFlowS3_CashFlowB7_R_FV_42f34b52efc14701904e2bd69b949ebb_455">#REF!</definedName>
    <definedName name="_vena_CashFlowS3_CashFlowB7_R_FV_42f34b52efc14701904e2bd69b949ebb_456">#REF!</definedName>
    <definedName name="_vena_CashFlowS3_CashFlowB7_R_FV_42f34b52efc14701904e2bd69b949ebb_457">#REF!</definedName>
    <definedName name="_vena_CashFlowS3_CashFlowB7_R_FV_42f34b52efc14701904e2bd69b949ebb_458">#REF!</definedName>
    <definedName name="_vena_CashFlowS3_CashFlowB7_R_FV_42f34b52efc14701904e2bd69b949ebb_459">#REF!</definedName>
    <definedName name="_vena_CashFlowS3_CashFlowB7_R_FV_42f34b52efc14701904e2bd69b949ebb_460">#REF!</definedName>
    <definedName name="_vena_CashFlowS3_CashFlowB7_R_FV_42f34b52efc14701904e2bd69b949ebb_461">#REF!</definedName>
    <definedName name="_vena_CashFlowS3_CashFlowB7_R_FV_42f34b52efc14701904e2bd69b949ebb_462">#REF!</definedName>
    <definedName name="_vena_CashFlowS3_CashFlowB7_R_FV_42f34b52efc14701904e2bd69b949ebb_463">#REF!</definedName>
    <definedName name="_vena_CashFlowS3_CashFlowB7_R_FV_42f34b52efc14701904e2bd69b949ebb_464">#REF!</definedName>
    <definedName name="_vena_CashFlowS3_CashFlowB7_R_FV_42f34b52efc14701904e2bd69b949ebb_465">#REF!</definedName>
    <definedName name="_vena_CashFlowS3_CashFlowB7_R_FV_42f34b52efc14701904e2bd69b949ebb_466">#REF!</definedName>
    <definedName name="_vena_CashFlowS3_CashFlowB7_R_FV_42f34b52efc14701904e2bd69b949ebb_467">#REF!</definedName>
    <definedName name="_vena_CashFlowS3_CashFlowB7_R_FV_42f34b52efc14701904e2bd69b949ebb_468">#REF!</definedName>
    <definedName name="_vena_CashFlowS3_CashFlowB7_R_FV_42f34b52efc14701904e2bd69b949ebb_469">#REF!</definedName>
    <definedName name="_vena_CashFlowS3_CashFlowB7_R_FV_42f34b52efc14701904e2bd69b949ebb_470">#REF!</definedName>
    <definedName name="_vena_CashFlowS3_CashFlowB7_R_FV_42f34b52efc14701904e2bd69b949ebb_471">#REF!</definedName>
    <definedName name="_vena_CashFlowS3_CashFlowB7_R_FV_42f34b52efc14701904e2bd69b949ebb_472">#REF!</definedName>
    <definedName name="_vena_CashFlowS3_CashFlowB7_R_FV_42f34b52efc14701904e2bd69b949ebb_473">#REF!</definedName>
    <definedName name="_vena_CashFlowS3_CashFlowB7_R_FV_42f34b52efc14701904e2bd69b949ebb_474">#REF!</definedName>
    <definedName name="_vena_CashFlowS3_CashFlowB7_R_FV_42f34b52efc14701904e2bd69b949ebb_475">#REF!</definedName>
    <definedName name="_vena_CashFlowS3_CashFlowB7_R_FV_42f34b52efc14701904e2bd69b949ebb_476">#REF!</definedName>
    <definedName name="_vena_CashFlowS3_CashFlowB7_R_FV_42f34b52efc14701904e2bd69b949ebb_477">#REF!</definedName>
    <definedName name="_vena_CashFlowS3_CashFlowB7_R_FV_42f34b52efc14701904e2bd69b949ebb_478">#REF!</definedName>
    <definedName name="_vena_CashFlowS3_CashFlowB7_R_FV_42f34b52efc14701904e2bd69b949ebb_479">#REF!</definedName>
    <definedName name="_vena_CashFlowS3_CashFlowB7_R_FV_42f34b52efc14701904e2bd69b949ebb_480">#REF!</definedName>
    <definedName name="_vena_CashFlowS3_CashFlowB7_R_FV_42f34b52efc14701904e2bd69b949ebb_481">#REF!</definedName>
    <definedName name="_vena_CashFlowS3_CashFlowB7_R_FV_42f34b52efc14701904e2bd69b949ebb_482">#REF!</definedName>
    <definedName name="_vena_CashFlowS3_CashFlowB7_R_FV_42f34b52efc14701904e2bd69b949ebb_483">#REF!</definedName>
    <definedName name="_vena_CashFlowS3_CashFlowB7_R_FV_42f34b52efc14701904e2bd69b949ebb_484">#REF!</definedName>
    <definedName name="_vena_CashFlowS3_CashFlowB7_R_FV_42f34b52efc14701904e2bd69b949ebb_485">#REF!</definedName>
    <definedName name="_vena_CashFlowS3_CashFlowB7_R_FV_42f34b52efc14701904e2bd69b949ebb_486">#REF!</definedName>
    <definedName name="_vena_CashFlowS3_CashFlowB7_R_FV_42f34b52efc14701904e2bd69b949ebb_487">#REF!</definedName>
    <definedName name="_vena_CashFlowS3_CashFlowB7_R_FV_42f34b52efc14701904e2bd69b949ebb_488">#REF!</definedName>
    <definedName name="_vena_CashFlowS3_CashFlowB7_R_FV_42f34b52efc14701904e2bd69b949ebb_489">#REF!</definedName>
    <definedName name="_vena_CashFlowS3_CashFlowB7_R_FV_42f34b52efc14701904e2bd69b949ebb_490">#REF!</definedName>
    <definedName name="_vena_CashFlowS3_CashFlowB7_R_FV_42f34b52efc14701904e2bd69b949ebb_491">#REF!</definedName>
    <definedName name="_vena_CashFlowS3_CashFlowB7_R_FV_42f34b52efc14701904e2bd69b949ebb_492">#REF!</definedName>
    <definedName name="_vena_CashFlowS3_CashFlowB7_R_FV_42f34b52efc14701904e2bd69b949ebb_493">#REF!</definedName>
    <definedName name="_vena_CashFlowS3_CashFlowB7_R_FV_42f34b52efc14701904e2bd69b949ebb_494">#REF!</definedName>
    <definedName name="_vena_CashFlowS3_CashFlowB7_R_FV_42f34b52efc14701904e2bd69b949ebb_495">#REF!</definedName>
    <definedName name="_vena_CashFlowS3_CashFlowB7_R_FV_42f34b52efc14701904e2bd69b949ebb_496">#REF!</definedName>
    <definedName name="_vena_CashFlowS3_CashFlowB7_R_FV_42f34b52efc14701904e2bd69b949ebb_497">#REF!</definedName>
    <definedName name="_vena_CashFlowS3_CashFlowB7_R_FV_42f34b52efc14701904e2bd69b949ebb_498">#REF!</definedName>
    <definedName name="_vena_CashFlowS3_CashFlowB7_R_FV_42f34b52efc14701904e2bd69b949ebb_499">#REF!</definedName>
    <definedName name="_vena_CashFlowS3_CashFlowB7_R_FV_42f34b52efc14701904e2bd69b949ebb_5">#REF!</definedName>
    <definedName name="_vena_CashFlowS3_CashFlowB7_R_FV_42f34b52efc14701904e2bd69b949ebb_500">#REF!</definedName>
    <definedName name="_vena_CashFlowS3_CashFlowB7_R_FV_42f34b52efc14701904e2bd69b949ebb_501">#REF!</definedName>
    <definedName name="_vena_CashFlowS3_CashFlowB7_R_FV_42f34b52efc14701904e2bd69b949ebb_502">#REF!</definedName>
    <definedName name="_vena_CashFlowS3_CashFlowB7_R_FV_42f34b52efc14701904e2bd69b949ebb_503">#REF!</definedName>
    <definedName name="_vena_CashFlowS3_CashFlowB7_R_FV_42f34b52efc14701904e2bd69b949ebb_504">#REF!</definedName>
    <definedName name="_vena_CashFlowS3_CashFlowB7_R_FV_42f34b52efc14701904e2bd69b949ebb_505">#REF!</definedName>
    <definedName name="_vena_CashFlowS3_CashFlowB7_R_FV_42f34b52efc14701904e2bd69b949ebb_506">#REF!</definedName>
    <definedName name="_vena_CashFlowS3_CashFlowB7_R_FV_42f34b52efc14701904e2bd69b949ebb_507">#REF!</definedName>
    <definedName name="_vena_CashFlowS3_CashFlowB7_R_FV_42f34b52efc14701904e2bd69b949ebb_508">#REF!</definedName>
    <definedName name="_vena_CashFlowS3_CashFlowB7_R_FV_42f34b52efc14701904e2bd69b949ebb_509">#REF!</definedName>
    <definedName name="_vena_CashFlowS3_CashFlowB7_R_FV_42f34b52efc14701904e2bd69b949ebb_510">#REF!</definedName>
    <definedName name="_vena_CashFlowS3_CashFlowB7_R_FV_42f34b52efc14701904e2bd69b949ebb_511">#REF!</definedName>
    <definedName name="_vena_CashFlowS3_CashFlowB7_R_FV_42f34b52efc14701904e2bd69b949ebb_512">#REF!</definedName>
    <definedName name="_vena_CashFlowS3_CashFlowB7_R_FV_42f34b52efc14701904e2bd69b949ebb_513">#REF!</definedName>
    <definedName name="_vena_CashFlowS3_CashFlowB7_R_FV_42f34b52efc14701904e2bd69b949ebb_514">#REF!</definedName>
    <definedName name="_vena_CashFlowS3_CashFlowB7_R_FV_42f34b52efc14701904e2bd69b949ebb_515">#REF!</definedName>
    <definedName name="_vena_CashFlowS3_CashFlowB7_R_FV_42f34b52efc14701904e2bd69b949ebb_516">#REF!</definedName>
    <definedName name="_vena_CashFlowS3_CashFlowB7_R_FV_42f34b52efc14701904e2bd69b949ebb_517">#REF!</definedName>
    <definedName name="_vena_CashFlowS3_CashFlowB7_R_FV_42f34b52efc14701904e2bd69b949ebb_518">#REF!</definedName>
    <definedName name="_vena_CashFlowS3_CashFlowB7_R_FV_42f34b52efc14701904e2bd69b949ebb_519">#REF!</definedName>
    <definedName name="_vena_CashFlowS3_CashFlowB7_R_FV_42f34b52efc14701904e2bd69b949ebb_520">#REF!</definedName>
    <definedName name="_vena_CashFlowS3_CashFlowB7_R_FV_42f34b52efc14701904e2bd69b949ebb_521">#REF!</definedName>
    <definedName name="_vena_CashFlowS3_CashFlowB7_R_FV_42f34b52efc14701904e2bd69b949ebb_522">#REF!</definedName>
    <definedName name="_vena_CashFlowS3_CashFlowB7_R_FV_42f34b52efc14701904e2bd69b949ebb_523">#REF!</definedName>
    <definedName name="_vena_CashFlowS3_CashFlowB7_R_FV_42f34b52efc14701904e2bd69b949ebb_524">#REF!</definedName>
    <definedName name="_vena_CashFlowS3_CashFlowB7_R_FV_42f34b52efc14701904e2bd69b949ebb_525">#REF!</definedName>
    <definedName name="_vena_CashFlowS3_CashFlowB7_R_FV_42f34b52efc14701904e2bd69b949ebb_526">#REF!</definedName>
    <definedName name="_vena_CashFlowS3_CashFlowB7_R_FV_42f34b52efc14701904e2bd69b949ebb_527">#REF!</definedName>
    <definedName name="_vena_CashFlowS3_CashFlowB7_R_FV_42f34b52efc14701904e2bd69b949ebb_528">#REF!</definedName>
    <definedName name="_vena_CashFlowS3_CashFlowB7_R_FV_42f34b52efc14701904e2bd69b949ebb_529">#REF!</definedName>
    <definedName name="_vena_CashFlowS3_CashFlowB7_R_FV_42f34b52efc14701904e2bd69b949ebb_530">#REF!</definedName>
    <definedName name="_vena_CashFlowS3_CashFlowB7_R_FV_42f34b52efc14701904e2bd69b949ebb_531">#REF!</definedName>
    <definedName name="_vena_CashFlowS3_CashFlowB7_R_FV_42f34b52efc14701904e2bd69b949ebb_532">#REF!</definedName>
    <definedName name="_vena_CashFlowS3_CashFlowB7_R_FV_42f34b52efc14701904e2bd69b949ebb_533">#REF!</definedName>
    <definedName name="_vena_CashFlowS3_CashFlowB7_R_FV_42f34b52efc14701904e2bd69b949ebb_534">#REF!</definedName>
    <definedName name="_vena_CashFlowS3_CashFlowB7_R_FV_42f34b52efc14701904e2bd69b949ebb_535">#REF!</definedName>
    <definedName name="_vena_CashFlowS3_CashFlowB7_R_FV_42f34b52efc14701904e2bd69b949ebb_536">#REF!</definedName>
    <definedName name="_vena_CashFlowS3_CashFlowB7_R_FV_42f34b52efc14701904e2bd69b949ebb_537">#REF!</definedName>
    <definedName name="_vena_CashFlowS3_CashFlowB7_R_FV_42f34b52efc14701904e2bd69b949ebb_538">#REF!</definedName>
    <definedName name="_vena_CashFlowS3_CashFlowB7_R_FV_42f34b52efc14701904e2bd69b949ebb_539">#REF!</definedName>
    <definedName name="_vena_CashFlowS3_CashFlowB7_R_FV_42f34b52efc14701904e2bd69b949ebb_540">#REF!</definedName>
    <definedName name="_vena_CashFlowS3_CashFlowB7_R_FV_42f34b52efc14701904e2bd69b949ebb_541">#REF!</definedName>
    <definedName name="_vena_CashFlowS3_CashFlowB7_R_FV_42f34b52efc14701904e2bd69b949ebb_542">#REF!</definedName>
    <definedName name="_vena_CashFlowS3_CashFlowB7_R_FV_42f34b52efc14701904e2bd69b949ebb_543">#REF!</definedName>
    <definedName name="_vena_CashFlowS3_CashFlowB7_R_FV_42f34b52efc14701904e2bd69b949ebb_544">#REF!</definedName>
    <definedName name="_vena_CashFlowS3_CashFlowB7_R_FV_42f34b52efc14701904e2bd69b949ebb_545">#REF!</definedName>
    <definedName name="_vena_CashFlowS3_CashFlowB7_R_FV_42f34b52efc14701904e2bd69b949ebb_546">#REF!</definedName>
    <definedName name="_vena_CashFlowS3_CashFlowB7_R_FV_42f34b52efc14701904e2bd69b949ebb_547">#REF!</definedName>
    <definedName name="_vena_CashFlowS3_CashFlowB7_R_FV_42f34b52efc14701904e2bd69b949ebb_548">#REF!</definedName>
    <definedName name="_vena_CashFlowS3_CashFlowB7_R_FV_42f34b52efc14701904e2bd69b949ebb_549">#REF!</definedName>
    <definedName name="_vena_CashFlowS3_CashFlowB7_R_FV_42f34b52efc14701904e2bd69b949ebb_550">#REF!</definedName>
    <definedName name="_vena_CashFlowS3_CashFlowB7_R_FV_42f34b52efc14701904e2bd69b949ebb_551">#REF!</definedName>
    <definedName name="_vena_CashFlowS3_CashFlowB7_R_FV_42f34b52efc14701904e2bd69b949ebb_552">#REF!</definedName>
    <definedName name="_vena_CashFlowS3_CashFlowB7_R_FV_42f34b52efc14701904e2bd69b949ebb_553">#REF!</definedName>
    <definedName name="_vena_CashFlowS3_CashFlowB7_R_FV_42f34b52efc14701904e2bd69b949ebb_554">#REF!</definedName>
    <definedName name="_vena_CashFlowS3_CashFlowB7_R_FV_42f34b52efc14701904e2bd69b949ebb_555">#REF!</definedName>
    <definedName name="_vena_CashFlowS3_CashFlowB7_R_FV_42f34b52efc14701904e2bd69b949ebb_556">#REF!</definedName>
    <definedName name="_vena_CashFlowS3_CashFlowB7_R_FV_42f34b52efc14701904e2bd69b949ebb_557">#REF!</definedName>
    <definedName name="_vena_CashFlowS3_CashFlowB7_R_FV_42f34b52efc14701904e2bd69b949ebb_558">#REF!</definedName>
    <definedName name="_vena_CashFlowS3_CashFlowB7_R_FV_42f34b52efc14701904e2bd69b949ebb_559">#REF!</definedName>
    <definedName name="_vena_CashFlowS3_CashFlowB7_R_FV_42f34b52efc14701904e2bd69b949ebb_560">#REF!</definedName>
    <definedName name="_vena_CashFlowS3_CashFlowB7_R_FV_42f34b52efc14701904e2bd69b949ebb_561">#REF!</definedName>
    <definedName name="_vena_CashFlowS3_CashFlowB7_R_FV_42f34b52efc14701904e2bd69b949ebb_562">#REF!</definedName>
    <definedName name="_vena_CashFlowS3_CashFlowB7_R_FV_42f34b52efc14701904e2bd69b949ebb_563">#REF!</definedName>
    <definedName name="_vena_CashFlowS3_CashFlowB7_R_FV_42f34b52efc14701904e2bd69b949ebb_564">#REF!</definedName>
    <definedName name="_vena_CashFlowS3_CashFlowB7_R_FV_42f34b52efc14701904e2bd69b949ebb_565">#REF!</definedName>
    <definedName name="_vena_CashFlowS3_CashFlowB7_R_FV_42f34b52efc14701904e2bd69b949ebb_566">#REF!</definedName>
    <definedName name="_vena_CashFlowS3_CashFlowB7_R_FV_42f34b52efc14701904e2bd69b949ebb_567">#REF!</definedName>
    <definedName name="_vena_CashFlowS3_CashFlowB7_R_FV_42f34b52efc14701904e2bd69b949ebb_568">#REF!</definedName>
    <definedName name="_vena_CashFlowS3_CashFlowB7_R_FV_42f34b52efc14701904e2bd69b949ebb_569">#REF!</definedName>
    <definedName name="_vena_CashFlowS3_CashFlowB7_R_FV_42f34b52efc14701904e2bd69b949ebb_570">#REF!</definedName>
    <definedName name="_vena_CashFlowS3_CashFlowB7_R_FV_42f34b52efc14701904e2bd69b949ebb_571">#REF!</definedName>
    <definedName name="_vena_CashFlowS3_CashFlowB7_R_FV_42f34b52efc14701904e2bd69b949ebb_572">#REF!</definedName>
    <definedName name="_vena_CashFlowS3_CashFlowB7_R_FV_42f34b52efc14701904e2bd69b949ebb_573">#REF!</definedName>
    <definedName name="_vena_CashFlowS3_CashFlowB7_R_FV_42f34b52efc14701904e2bd69b949ebb_574">#REF!</definedName>
    <definedName name="_vena_CashFlowS3_CashFlowB7_R_FV_42f34b52efc14701904e2bd69b949ebb_575">#REF!</definedName>
    <definedName name="_vena_CashFlowS3_CashFlowB7_R_FV_42f34b52efc14701904e2bd69b949ebb_576">#REF!</definedName>
    <definedName name="_vena_CashFlowS3_CashFlowB7_R_FV_42f34b52efc14701904e2bd69b949ebb_577">#REF!</definedName>
    <definedName name="_vena_CashFlowS3_CashFlowB7_R_FV_42f34b52efc14701904e2bd69b949ebb_578">#REF!</definedName>
    <definedName name="_vena_CashFlowS3_CashFlowB7_R_FV_42f34b52efc14701904e2bd69b949ebb_579">#REF!</definedName>
    <definedName name="_vena_CashFlowS3_CashFlowB7_R_FV_42f34b52efc14701904e2bd69b949ebb_580">#REF!</definedName>
    <definedName name="_vena_CashFlowS3_CashFlowB7_R_FV_42f34b52efc14701904e2bd69b949ebb_581">#REF!</definedName>
    <definedName name="_vena_CashFlowS3_CashFlowB7_R_FV_42f34b52efc14701904e2bd69b949ebb_582">#REF!</definedName>
    <definedName name="_vena_CashFlowS3_CashFlowB7_R_FV_42f34b52efc14701904e2bd69b949ebb_583">#REF!</definedName>
    <definedName name="_vena_CashFlowS3_CashFlowB7_R_FV_42f34b52efc14701904e2bd69b949ebb_584">#REF!</definedName>
    <definedName name="_vena_CashFlowS3_CashFlowB7_R_FV_42f34b52efc14701904e2bd69b949ebb_585">#REF!</definedName>
    <definedName name="_vena_CashFlowS3_CashFlowB7_R_FV_42f34b52efc14701904e2bd69b949ebb_586">#REF!</definedName>
    <definedName name="_vena_CashFlowS3_CashFlowB7_R_FV_42f34b52efc14701904e2bd69b949ebb_587">#REF!</definedName>
    <definedName name="_vena_CashFlowS3_CashFlowB7_R_FV_42f34b52efc14701904e2bd69b949ebb_588">#REF!</definedName>
    <definedName name="_vena_CashFlowS3_CashFlowB7_R_FV_42f34b52efc14701904e2bd69b949ebb_589">#REF!</definedName>
    <definedName name="_vena_CashFlowS3_CashFlowB7_R_FV_42f34b52efc14701904e2bd69b949ebb_590">#REF!</definedName>
    <definedName name="_vena_CashFlowS3_CashFlowB7_R_FV_42f34b52efc14701904e2bd69b949ebb_591">#REF!</definedName>
    <definedName name="_vena_CashFlowS3_CashFlowB7_R_FV_42f34b52efc14701904e2bd69b949ebb_592">#REF!</definedName>
    <definedName name="_vena_CashFlowS3_CashFlowB7_R_FV_42f34b52efc14701904e2bd69b949ebb_593">#REF!</definedName>
    <definedName name="_vena_CashFlowS3_CashFlowB7_R_FV_42f34b52efc14701904e2bd69b949ebb_594">#REF!</definedName>
    <definedName name="_vena_CashFlowS3_CashFlowB7_R_FV_42f34b52efc14701904e2bd69b949ebb_595">#REF!</definedName>
    <definedName name="_vena_CashFlowS3_CashFlowB7_R_FV_42f34b52efc14701904e2bd69b949ebb_596">#REF!</definedName>
    <definedName name="_vena_CashFlowS3_CashFlowB7_R_FV_42f34b52efc14701904e2bd69b949ebb_597">#REF!</definedName>
    <definedName name="_vena_CashFlowS3_CashFlowB7_R_FV_42f34b52efc14701904e2bd69b949ebb_598">#REF!</definedName>
    <definedName name="_vena_CashFlowS3_CashFlowB7_R_FV_42f34b52efc14701904e2bd69b949ebb_599">#REF!</definedName>
    <definedName name="_vena_CashFlowS3_CashFlowB7_R_FV_42f34b52efc14701904e2bd69b949ebb_600">#REF!</definedName>
    <definedName name="_vena_CashFlowS3_CashFlowB7_R_FV_42f34b52efc14701904e2bd69b949ebb_601">#REF!</definedName>
    <definedName name="_vena_CashFlowS3_CashFlowB7_R_FV_42f34b52efc14701904e2bd69b949ebb_602">#REF!</definedName>
    <definedName name="_vena_CashFlowS3_CashFlowB7_R_FV_42f34b52efc14701904e2bd69b949ebb_603">#REF!</definedName>
    <definedName name="_vena_CashFlowS3_CashFlowB7_R_FV_42f34b52efc14701904e2bd69b949ebb_604">#REF!</definedName>
    <definedName name="_vena_CashFlowS3_CashFlowB7_R_FV_42f34b52efc14701904e2bd69b949ebb_605">#REF!</definedName>
    <definedName name="_vena_CashFlowS3_CashFlowB7_R_FV_42f34b52efc14701904e2bd69b949ebb_606">#REF!</definedName>
    <definedName name="_vena_CashFlowS3_CashFlowB7_R_FV_42f34b52efc14701904e2bd69b949ebb_607">#REF!</definedName>
    <definedName name="_vena_CashFlowS3_CashFlowB7_R_FV_42f34b52efc14701904e2bd69b949ebb_608">#REF!</definedName>
    <definedName name="_vena_CashFlowS3_CashFlowB7_R_FV_42f34b52efc14701904e2bd69b949ebb_609">#REF!</definedName>
    <definedName name="_vena_CashFlowS3_CashFlowB7_R_FV_42f34b52efc14701904e2bd69b949ebb_610">#REF!</definedName>
    <definedName name="_vena_CashFlowS3_CashFlowB7_R_FV_42f34b52efc14701904e2bd69b949ebb_611">#REF!</definedName>
    <definedName name="_vena_CashFlowS3_CashFlowB7_R_FV_42f34b52efc14701904e2bd69b949ebb_612">#REF!</definedName>
    <definedName name="_vena_CashFlowS3_CashFlowB7_R_FV_42f34b52efc14701904e2bd69b949ebb_613">#REF!</definedName>
    <definedName name="_vena_CashFlowS3_CashFlowB7_R_FV_42f34b52efc14701904e2bd69b949ebb_614">#REF!</definedName>
    <definedName name="_vena_CashFlowS3_CashFlowB7_R_FV_42f34b52efc14701904e2bd69b949ebb_615">#REF!</definedName>
    <definedName name="_vena_CashFlowS3_CashFlowB7_R_FV_42f34b52efc14701904e2bd69b949ebb_616">#REF!</definedName>
    <definedName name="_vena_CashFlowS3_CashFlowB7_R_FV_42f34b52efc14701904e2bd69b949ebb_617">#REF!</definedName>
    <definedName name="_vena_CashFlowS3_CashFlowB7_R_FV_42f34b52efc14701904e2bd69b949ebb_618">#REF!</definedName>
    <definedName name="_vena_CashFlowS3_CashFlowB7_R_FV_42f34b52efc14701904e2bd69b949ebb_619">#REF!</definedName>
    <definedName name="_vena_CashFlowS3_CashFlowB7_R_FV_42f34b52efc14701904e2bd69b949ebb_620">#REF!</definedName>
    <definedName name="_vena_CashFlowS3_CashFlowB7_R_FV_42f34b52efc14701904e2bd69b949ebb_621">#REF!</definedName>
    <definedName name="_vena_CashFlowS3_CashFlowB7_R_FV_42f34b52efc14701904e2bd69b949ebb_622">#REF!</definedName>
    <definedName name="_vena_CashFlowS3_CashFlowB7_R_FV_42f34b52efc14701904e2bd69b949ebb_623">#REF!</definedName>
    <definedName name="_vena_CashFlowS3_CashFlowB7_R_FV_42f34b52efc14701904e2bd69b949ebb_624">#REF!</definedName>
    <definedName name="_vena_CashFlowS3_CashFlowB7_R_FV_42f34b52efc14701904e2bd69b949ebb_625">#REF!</definedName>
    <definedName name="_vena_CashFlowS3_CashFlowB7_R_FV_42f34b52efc14701904e2bd69b949ebb_626">#REF!</definedName>
    <definedName name="_vena_CashFlowS3_CashFlowB7_R_FV_42f34b52efc14701904e2bd69b949ebb_627">#REF!</definedName>
    <definedName name="_vena_CashFlowS3_CashFlowB7_R_FV_42f34b52efc14701904e2bd69b949ebb_628">#REF!</definedName>
    <definedName name="_vena_CashFlowS3_CashFlowB7_R_FV_42f34b52efc14701904e2bd69b949ebb_629">#REF!</definedName>
    <definedName name="_vena_CashFlowS3_CashFlowB7_R_FV_42f34b52efc14701904e2bd69b949ebb_630">#REF!</definedName>
    <definedName name="_vena_CashFlowS3_CashFlowB7_R_FV_42f34b52efc14701904e2bd69b949ebb_631">#REF!</definedName>
    <definedName name="_vena_CashFlowS3_CashFlowB7_R_FV_42f34b52efc14701904e2bd69b949ebb_632">#REF!</definedName>
    <definedName name="_vena_CashFlowS3_CashFlowB7_R_FV_42f34b52efc14701904e2bd69b949ebb_633">#REF!</definedName>
    <definedName name="_vena_CashFlowS3_CashFlowB7_R_FV_42f34b52efc14701904e2bd69b949ebb_634">#REF!</definedName>
    <definedName name="_vena_CashFlowS3_CashFlowB7_R_FV_42f34b52efc14701904e2bd69b949ebb_635">#REF!</definedName>
    <definedName name="_vena_CashFlowS3_CashFlowB7_R_FV_42f34b52efc14701904e2bd69b949ebb_636">#REF!</definedName>
    <definedName name="_vena_CashFlowS3_CashFlowB7_R_FV_42f34b52efc14701904e2bd69b949ebb_637">#REF!</definedName>
    <definedName name="_vena_CashFlowS3_CashFlowB7_R_FV_42f34b52efc14701904e2bd69b949ebb_638">#REF!</definedName>
    <definedName name="_vena_CashFlowS3_CashFlowB7_R_FV_42f34b52efc14701904e2bd69b949ebb_639">#REF!</definedName>
    <definedName name="_vena_CashFlowS3_CashFlowB7_R_FV_42f34b52efc14701904e2bd69b949ebb_640">#REF!</definedName>
    <definedName name="_vena_CashFlowS3_CashFlowB7_R_FV_42f34b52efc14701904e2bd69b949ebb_641">#REF!</definedName>
    <definedName name="_vena_CashFlowS3_CashFlowB7_R_FV_42f34b52efc14701904e2bd69b949ebb_642">#REF!</definedName>
    <definedName name="_vena_CashFlowS3_CashFlowB7_R_FV_42f34b52efc14701904e2bd69b949ebb_643">#REF!</definedName>
    <definedName name="_vena_CashFlowS3_CashFlowB7_R_FV_42f34b52efc14701904e2bd69b949ebb_644">#REF!</definedName>
    <definedName name="_vena_CashFlowS3_CashFlowB7_R_FV_42f34b52efc14701904e2bd69b949ebb_645">#REF!</definedName>
    <definedName name="_vena_CashFlowS3_CashFlowB7_R_FV_42f34b52efc14701904e2bd69b949ebb_646">#REF!</definedName>
    <definedName name="_vena_CashFlowS3_CashFlowB7_R_FV_42f34b52efc14701904e2bd69b949ebb_647">#REF!</definedName>
    <definedName name="_vena_CashFlowS3_CashFlowB7_R_FV_42f34b52efc14701904e2bd69b949ebb_648">#REF!</definedName>
    <definedName name="_vena_CashFlowS3_CashFlowB7_R_FV_42f34b52efc14701904e2bd69b949ebb_649">#REF!</definedName>
    <definedName name="_vena_CashFlowS3_CashFlowB7_R_FV_42f34b52efc14701904e2bd69b949ebb_650">#REF!</definedName>
    <definedName name="_vena_CashFlowS3_CashFlowB7_R_FV_42f34b52efc14701904e2bd69b949ebb_651">#REF!</definedName>
    <definedName name="_vena_CashFlowS3_CashFlowB7_R_FV_42f34b52efc14701904e2bd69b949ebb_652">#REF!</definedName>
    <definedName name="_vena_CashFlowS3_CashFlowB7_R_FV_42f34b52efc14701904e2bd69b949ebb_653">#REF!</definedName>
    <definedName name="_vena_CashFlowS3_CashFlowB7_R_FV_42f34b52efc14701904e2bd69b949ebb_654">#REF!</definedName>
    <definedName name="_vena_CashFlowS3_CashFlowB7_R_FV_42f34b52efc14701904e2bd69b949ebb_655">#REF!</definedName>
    <definedName name="_vena_CashFlowS3_CashFlowB7_R_FV_42f34b52efc14701904e2bd69b949ebb_656">#REF!</definedName>
    <definedName name="_vena_CashFlowS3_CashFlowB7_R_FV_42f34b52efc14701904e2bd69b949ebb_657">#REF!</definedName>
    <definedName name="_vena_CashFlowS3_CashFlowB7_R_FV_42f34b52efc14701904e2bd69b949ebb_658">#REF!</definedName>
    <definedName name="_vena_CashFlowS3_CashFlowB7_R_FV_42f34b52efc14701904e2bd69b949ebb_659">#REF!</definedName>
    <definedName name="_vena_CashFlowS3_CashFlowB7_R_FV_42f34b52efc14701904e2bd69b949ebb_660">#REF!</definedName>
    <definedName name="_vena_CashFlowS3_CashFlowB7_R_FV_42f34b52efc14701904e2bd69b949ebb_661">#REF!</definedName>
    <definedName name="_vena_CashFlowS3_CashFlowB7_R_FV_42f34b52efc14701904e2bd69b949ebb_662">#REF!</definedName>
    <definedName name="_vena_CashFlowS3_CashFlowB7_R_FV_42f34b52efc14701904e2bd69b949ebb_663">#REF!</definedName>
    <definedName name="_vena_CashFlowS3_CashFlowB7_R_FV_42f34b52efc14701904e2bd69b949ebb_664">#REF!</definedName>
    <definedName name="_vena_CashFlowS3_CashFlowB7_R_FV_42f34b52efc14701904e2bd69b949ebb_665">#REF!</definedName>
    <definedName name="_vena_CashFlowS3_CashFlowB7_R_FV_42f34b52efc14701904e2bd69b949ebb_666">#REF!</definedName>
    <definedName name="_vena_CashFlowS3_CashFlowB7_R_FV_42f34b52efc14701904e2bd69b949ebb_667">#REF!</definedName>
    <definedName name="_vena_CashFlowS3_CashFlowB7_R_FV_42f34b52efc14701904e2bd69b949ebb_668">#REF!</definedName>
    <definedName name="_vena_CashFlowS3_CashFlowB7_R_FV_42f34b52efc14701904e2bd69b949ebb_669">#REF!</definedName>
    <definedName name="_vena_CashFlowS3_CashFlowB7_R_FV_42f34b52efc14701904e2bd69b949ebb_670">#REF!</definedName>
    <definedName name="_vena_CashFlowS3_CashFlowB7_R_FV_42f34b52efc14701904e2bd69b949ebb_671">#REF!</definedName>
    <definedName name="_vena_CashFlowS3_CashFlowB7_R_FV_42f34b52efc14701904e2bd69b949ebb_672">#REF!</definedName>
    <definedName name="_vena_CashFlowS3_CashFlowB7_R_FV_42f34b52efc14701904e2bd69b949ebb_673">#REF!</definedName>
    <definedName name="_vena_CashFlowS3_CashFlowB7_R_FV_42f34b52efc14701904e2bd69b949ebb_674">#REF!</definedName>
    <definedName name="_vena_CashFlowS3_CashFlowB7_R_FV_42f34b52efc14701904e2bd69b949ebb_675">#REF!</definedName>
    <definedName name="_vena_CashFlowS3_CashFlowB7_R_FV_42f34b52efc14701904e2bd69b949ebb_676">#REF!</definedName>
    <definedName name="_vena_CashFlowS3_CashFlowB7_R_FV_42f34b52efc14701904e2bd69b949ebb_677">#REF!</definedName>
    <definedName name="_vena_CashFlowS3_CashFlowB7_R_FV_42f34b52efc14701904e2bd69b949ebb_678">#REF!</definedName>
    <definedName name="_vena_CashFlowS3_CashFlowB7_R_FV_42f34b52efc14701904e2bd69b949ebb_679">#REF!</definedName>
    <definedName name="_vena_CashFlowS3_CashFlowB7_R_FV_42f34b52efc14701904e2bd69b949ebb_680">#REF!</definedName>
    <definedName name="_vena_CashFlowS3_CashFlowB7_R_FV_42f34b52efc14701904e2bd69b949ebb_681">#REF!</definedName>
    <definedName name="_vena_CashFlowS3_CashFlowB7_R_FV_42f34b52efc14701904e2bd69b949ebb_682">#REF!</definedName>
    <definedName name="_vena_CashFlowS3_CashFlowB7_R_FV_42f34b52efc14701904e2bd69b949ebb_683">#REF!</definedName>
    <definedName name="_vena_CashFlowS3_CashFlowB7_R_FV_42f34b52efc14701904e2bd69b949ebb_684">#REF!</definedName>
    <definedName name="_vena_CashFlowS3_CashFlowB7_R_FV_42f34b52efc14701904e2bd69b949ebb_685">#REF!</definedName>
    <definedName name="_vena_CashFlowS3_CashFlowB7_R_FV_42f34b52efc14701904e2bd69b949ebb_686">#REF!</definedName>
    <definedName name="_vena_CashFlowS3_CashFlowB7_R_FV_42f34b52efc14701904e2bd69b949ebb_687">#REF!</definedName>
    <definedName name="_vena_CashFlowS3_CashFlowB7_R_FV_42f34b52efc14701904e2bd69b949ebb_688">#REF!</definedName>
    <definedName name="_vena_CashFlowS3_CashFlowB7_R_FV_42f34b52efc14701904e2bd69b949ebb_689">#REF!</definedName>
    <definedName name="_vena_CashFlowS3_CashFlowB7_R_FV_42f34b52efc14701904e2bd69b949ebb_690">#REF!</definedName>
    <definedName name="_vena_CashFlowS3_CashFlowB7_R_FV_42f34b52efc14701904e2bd69b949ebb_691">#REF!</definedName>
    <definedName name="_vena_CashFlowS3_CashFlowB7_R_FV_42f34b52efc14701904e2bd69b949ebb_692">#REF!</definedName>
    <definedName name="_vena_CashFlowS3_CashFlowB7_R_FV_42f34b52efc14701904e2bd69b949ebb_693">#REF!</definedName>
    <definedName name="_vena_CashFlowS3_CashFlowB7_R_FV_42f34b52efc14701904e2bd69b949ebb_694">#REF!</definedName>
    <definedName name="_vena_CashFlowS3_CashFlowB7_R_FV_42f34b52efc14701904e2bd69b949ebb_695">#REF!</definedName>
    <definedName name="_vena_CashFlowS3_CashFlowB7_R_FV_42f34b52efc14701904e2bd69b949ebb_696">#REF!</definedName>
    <definedName name="_vena_CashFlowS3_CashFlowB7_R_FV_42f34b52efc14701904e2bd69b949ebb_697">#REF!</definedName>
    <definedName name="_vena_CashFlowS3_CashFlowB7_R_FV_42f34b52efc14701904e2bd69b949ebb_698">#REF!</definedName>
    <definedName name="_vena_CashFlowS3_CashFlowB7_R_FV_42f34b52efc14701904e2bd69b949ebb_699">#REF!</definedName>
    <definedName name="_vena_CashFlowS3_CashFlowB7_R_FV_42f34b52efc14701904e2bd69b949ebb_700">#REF!</definedName>
    <definedName name="_vena_CashFlowS3_CashFlowB7_R_FV_42f34b52efc14701904e2bd69b949ebb_701">#REF!</definedName>
    <definedName name="_vena_CashFlowS3_CashFlowB7_R_FV_42f34b52efc14701904e2bd69b949ebb_702">#REF!</definedName>
    <definedName name="_vena_CashFlowS3_CashFlowB7_R_FV_42f34b52efc14701904e2bd69b949ebb_703">#REF!</definedName>
    <definedName name="_vena_CashFlowS3_CashFlowB7_R_FV_42f34b52efc14701904e2bd69b949ebb_704">#REF!</definedName>
    <definedName name="_vena_CashFlowS3_CashFlowB7_R_FV_42f34b52efc14701904e2bd69b949ebb_705">#REF!</definedName>
    <definedName name="_vena_CashFlowS3_CashFlowB7_R_FV_42f34b52efc14701904e2bd69b949ebb_706">#REF!</definedName>
    <definedName name="_vena_CashFlowS3_CashFlowB7_R_FV_42f34b52efc14701904e2bd69b949ebb_707">#REF!</definedName>
    <definedName name="_vena_CashFlowS3_CashFlowB7_R_FV_42f34b52efc14701904e2bd69b949ebb_708">#REF!</definedName>
    <definedName name="_vena_CashFlowS3_CashFlowB7_R_FV_42f34b52efc14701904e2bd69b949ebb_709">#REF!</definedName>
    <definedName name="_vena_CashFlowS3_CashFlowB7_R_FV_42f34b52efc14701904e2bd69b949ebb_710">#REF!</definedName>
    <definedName name="_vena_CashFlowS3_CashFlowB7_R_FV_42f34b52efc14701904e2bd69b949ebb_711">#REF!</definedName>
    <definedName name="_vena_CashFlowS3_CashFlowB7_R_FV_42f34b52efc14701904e2bd69b949ebb_712">#REF!</definedName>
    <definedName name="_vena_CashFlowS3_CashFlowB7_R_FV_42f34b52efc14701904e2bd69b949ebb_713">#REF!</definedName>
    <definedName name="_vena_CashFlowS3_CashFlowB7_R_FV_42f34b52efc14701904e2bd69b949ebb_714">#REF!</definedName>
    <definedName name="_vena_CashFlowS3_CashFlowB7_R_FV_42f34b52efc14701904e2bd69b949ebb_715">#REF!</definedName>
    <definedName name="_vena_CashFlowS3_CashFlowB7_R_FV_42f34b52efc14701904e2bd69b949ebb_716">#REF!</definedName>
    <definedName name="_vena_CashFlowS3_CashFlowB7_R_FV_42f34b52efc14701904e2bd69b949ebb_717">#REF!</definedName>
    <definedName name="_vena_CashFlowS3_CashFlowB7_R_FV_42f34b52efc14701904e2bd69b949ebb_718">#REF!</definedName>
    <definedName name="_vena_CashFlowS3_CashFlowB7_R_FV_42f34b52efc14701904e2bd69b949ebb_719">#REF!</definedName>
    <definedName name="_vena_CashFlowS3_CashFlowB7_R_FV_42f34b52efc14701904e2bd69b949ebb_720">#REF!</definedName>
    <definedName name="_vena_CashFlowS3_CashFlowB7_R_FV_42f34b52efc14701904e2bd69b949ebb_721">#REF!</definedName>
    <definedName name="_vena_CashFlowS3_CashFlowB7_R_FV_42f34b52efc14701904e2bd69b949ebb_722">#REF!</definedName>
    <definedName name="_vena_CashFlowS3_CashFlowB7_R_FV_42f34b52efc14701904e2bd69b949ebb_723">#REF!</definedName>
    <definedName name="_vena_CashFlowS3_CashFlowB7_R_FV_42f34b52efc14701904e2bd69b949ebb_724">#REF!</definedName>
    <definedName name="_vena_CashFlowS3_CashFlowB7_R_FV_42f34b52efc14701904e2bd69b949ebb_725">#REF!</definedName>
    <definedName name="_vena_CashFlowS3_CashFlowB7_R_FV_42f34b52efc14701904e2bd69b949ebb_726">#REF!</definedName>
    <definedName name="_vena_CashFlowS3_CashFlowB7_R_FV_42f34b52efc14701904e2bd69b949ebb_727">#REF!</definedName>
    <definedName name="_vena_CashFlowS3_CashFlowB7_R_FV_42f34b52efc14701904e2bd69b949ebb_728">#REF!</definedName>
    <definedName name="_vena_CashFlowS3_CashFlowB7_R_FV_42f34b52efc14701904e2bd69b949ebb_729">#REF!</definedName>
    <definedName name="_vena_CashFlowS3_CashFlowB7_R_FV_42f34b52efc14701904e2bd69b949ebb_730">#REF!</definedName>
    <definedName name="_vena_CashFlowS3_CashFlowB7_R_FV_42f34b52efc14701904e2bd69b949ebb_731">#REF!</definedName>
    <definedName name="_vena_CashFlowS3_CashFlowB7_R_FV_42f34b52efc14701904e2bd69b949ebb_732">#REF!</definedName>
    <definedName name="_vena_CashFlowS3_CashFlowB7_R_FV_42f34b52efc14701904e2bd69b949ebb_733">#REF!</definedName>
    <definedName name="_vena_CashFlowS3_CashFlowB7_R_FV_42f34b52efc14701904e2bd69b949ebb_734">#REF!</definedName>
    <definedName name="_vena_CashFlowS3_CashFlowB7_R_FV_42f34b52efc14701904e2bd69b949ebb_735">#REF!</definedName>
    <definedName name="_vena_CashFlowS3_CashFlowB7_R_FV_42f34b52efc14701904e2bd69b949ebb_736">#REF!</definedName>
    <definedName name="_vena_CashFlowS3_CashFlowB7_R_FV_42f34b52efc14701904e2bd69b949ebb_737">#REF!</definedName>
    <definedName name="_vena_CashFlowS3_CashFlowB7_R_FV_42f34b52efc14701904e2bd69b949ebb_738">#REF!</definedName>
    <definedName name="_vena_CashFlowS3_CashFlowB7_R_FV_42f34b52efc14701904e2bd69b949ebb_739">#REF!</definedName>
    <definedName name="_vena_CashFlowS3_CashFlowB7_R_FV_42f34b52efc14701904e2bd69b949ebb_740">#REF!</definedName>
    <definedName name="_vena_CashFlowS3_CashFlowB7_R_FV_42f34b52efc14701904e2bd69b949ebb_741">#REF!</definedName>
    <definedName name="_vena_CashFlowS3_CashFlowB7_R_FV_42f34b52efc14701904e2bd69b949ebb_742">#REF!</definedName>
    <definedName name="_vena_CashFlowS3_CashFlowB7_R_FV_42f34b52efc14701904e2bd69b949ebb_743">#REF!</definedName>
    <definedName name="_vena_CashFlowS3_CashFlowB7_R_FV_42f34b52efc14701904e2bd69b949ebb_744">#REF!</definedName>
    <definedName name="_vena_CashFlowS3_CashFlowB7_R_FV_42f34b52efc14701904e2bd69b949ebb_745">#REF!</definedName>
    <definedName name="_vena_CashFlowS3_CashFlowB7_R_FV_42f34b52efc14701904e2bd69b949ebb_746">#REF!</definedName>
    <definedName name="_vena_CashFlowS3_CashFlowB7_R_FV_42f34b52efc14701904e2bd69b949ebb_747">#REF!</definedName>
    <definedName name="_vena_CashFlowS3_CashFlowB7_R_FV_42f34b52efc14701904e2bd69b949ebb_748">#REF!</definedName>
    <definedName name="_vena_CashFlowS3_CashFlowB7_R_FV_42f34b52efc14701904e2bd69b949ebb_749">#REF!</definedName>
    <definedName name="_vena_CashFlowS3_CashFlowB7_R_FV_42f34b52efc14701904e2bd69b949ebb_750">#REF!</definedName>
    <definedName name="_vena_CashFlowS3_CashFlowB7_R_FV_42f34b52efc14701904e2bd69b949ebb_751">#REF!</definedName>
    <definedName name="_vena_CashFlowS3_CashFlowB7_R_FV_42f34b52efc14701904e2bd69b949ebb_752">#REF!</definedName>
    <definedName name="_vena_CashFlowS3_CashFlowB7_R_FV_42f34b52efc14701904e2bd69b949ebb_753">#REF!</definedName>
    <definedName name="_vena_CashFlowS3_CashFlowB7_R_FV_42f34b52efc14701904e2bd69b949ebb_754">#REF!</definedName>
    <definedName name="_vena_CashFlowS3_CashFlowB7_R_FV_42f34b52efc14701904e2bd69b949ebb_755">#REF!</definedName>
    <definedName name="_vena_CashFlowS3_CashFlowB7_R_FV_42f34b52efc14701904e2bd69b949ebb_756">#REF!</definedName>
    <definedName name="_vena_CashFlowS3_CashFlowB7_R_FV_42f34b52efc14701904e2bd69b949ebb_757">#REF!</definedName>
    <definedName name="_vena_CashFlowS3_CashFlowB7_R_FV_42f34b52efc14701904e2bd69b949ebb_758">#REF!</definedName>
    <definedName name="_vena_CashFlowS3_CashFlowB7_R_FV_42f34b52efc14701904e2bd69b949ebb_759">#REF!</definedName>
    <definedName name="_vena_CashFlowS3_CashFlowB7_R_FV_42f34b52efc14701904e2bd69b949ebb_760">#REF!</definedName>
    <definedName name="_vena_CashFlowS3_CashFlowB7_R_FV_42f34b52efc14701904e2bd69b949ebb_761">#REF!</definedName>
    <definedName name="_vena_CashFlowS3_CashFlowB7_R_FV_42f34b52efc14701904e2bd69b949ebb_762">#REF!</definedName>
    <definedName name="_vena_CashFlowS3_CashFlowB7_R_FV_42f34b52efc14701904e2bd69b949ebb_763">#REF!</definedName>
    <definedName name="_vena_CashFlowS3_CashFlowB7_R_FV_42f34b52efc14701904e2bd69b949ebb_764">#REF!</definedName>
    <definedName name="_vena_CashFlowS3_CashFlowB7_R_FV_42f34b52efc14701904e2bd69b949ebb_765">#REF!</definedName>
    <definedName name="_vena_CashFlowS3_CashFlowB7_R_FV_42f34b52efc14701904e2bd69b949ebb_766">#REF!</definedName>
    <definedName name="_vena_CashFlowS3_CashFlowB7_R_FV_42f34b52efc14701904e2bd69b949ebb_767">#REF!</definedName>
    <definedName name="_vena_CashFlowS3_CashFlowB7_R_FV_42f34b52efc14701904e2bd69b949ebb_768">#REF!</definedName>
    <definedName name="_vena_CashFlowS3_CashFlowB7_R_FV_42f34b52efc14701904e2bd69b949ebb_769">#REF!</definedName>
    <definedName name="_vena_CashFlowS3_CashFlowB7_R_FV_42f34b52efc14701904e2bd69b949ebb_770">#REF!</definedName>
    <definedName name="_vena_CashFlowS3_CashFlowB7_R_FV_42f34b52efc14701904e2bd69b949ebb_771">#REF!</definedName>
    <definedName name="_vena_CashFlowS3_CashFlowB7_R_FV_42f34b52efc14701904e2bd69b949ebb_772">#REF!</definedName>
    <definedName name="_vena_CashFlowS3_CashFlowB7_R_FV_42f34b52efc14701904e2bd69b949ebb_773">#REF!</definedName>
    <definedName name="_vena_CashFlowS3_CashFlowB7_R_FV_42f34b52efc14701904e2bd69b949ebb_774">#REF!</definedName>
    <definedName name="_vena_CashFlowS3_CashFlowB7_R_FV_42f34b52efc14701904e2bd69b949ebb_775">#REF!</definedName>
    <definedName name="_vena_CashFlowS3_CashFlowB7_R_FV_42f34b52efc14701904e2bd69b949ebb_776">#REF!</definedName>
    <definedName name="_vena_CashFlowS3_CashFlowB7_R_FV_42f34b52efc14701904e2bd69b949ebb_777">#REF!</definedName>
    <definedName name="_vena_CashFlowS3_CashFlowB7_R_FV_42f34b52efc14701904e2bd69b949ebb_778">#REF!</definedName>
    <definedName name="_vena_CashFlowS3_CashFlowB7_R_FV_42f34b52efc14701904e2bd69b949ebb_779">#REF!</definedName>
    <definedName name="_vena_CashFlowS3_CashFlowB7_R_FV_42f34b52efc14701904e2bd69b949ebb_780">#REF!</definedName>
    <definedName name="_vena_CashFlowS3_CashFlowB7_R_FV_42f34b52efc14701904e2bd69b949ebb_781">#REF!</definedName>
    <definedName name="_vena_CashFlowS3_CashFlowB7_R_FV_42f34b52efc14701904e2bd69b949ebb_782">#REF!</definedName>
    <definedName name="_vena_CashFlowS3_CashFlowB7_R_FV_42f34b52efc14701904e2bd69b949ebb_783">#REF!</definedName>
    <definedName name="_vena_CashFlowS3_CashFlowB7_R_FV_42f34b52efc14701904e2bd69b949ebb_784">#REF!</definedName>
    <definedName name="_vena_CashFlowS3_CashFlowB7_R_FV_42f34b52efc14701904e2bd69b949ebb_785">#REF!</definedName>
    <definedName name="_vena_CashFlowS3_CashFlowB7_R_FV_42f34b52efc14701904e2bd69b949ebb_786">#REF!</definedName>
    <definedName name="_vena_CashFlowS3_CashFlowB7_R_FV_42f34b52efc14701904e2bd69b949ebb_787">#REF!</definedName>
    <definedName name="_vena_CashFlowS3_CashFlowB7_R_FV_42f34b52efc14701904e2bd69b949ebb_788">#REF!</definedName>
    <definedName name="_vena_CashFlowS3_CashFlowB7_R_FV_42f34b52efc14701904e2bd69b949ebb_789">#REF!</definedName>
    <definedName name="_vena_CashFlowS3_CashFlowB7_R_FV_42f34b52efc14701904e2bd69b949ebb_790">#REF!</definedName>
    <definedName name="_vena_CashFlowS3_CashFlowB7_R_FV_42f34b52efc14701904e2bd69b949ebb_791">#REF!</definedName>
    <definedName name="_vena_CashFlowS3_CashFlowB7_R_FV_42f34b52efc14701904e2bd69b949ebb_792">#REF!</definedName>
    <definedName name="_vena_CashFlowS3_CashFlowB7_R_FV_42f34b52efc14701904e2bd69b949ebb_793">#REF!</definedName>
    <definedName name="_vena_CashFlowS3_CashFlowB7_R_FV_42f34b52efc14701904e2bd69b949ebb_794">#REF!</definedName>
    <definedName name="_vena_CashFlowS3_CashFlowB7_R_FV_42f34b52efc14701904e2bd69b949ebb_795">#REF!</definedName>
    <definedName name="_vena_CashFlowS3_CashFlowB7_R_FV_42f34b52efc14701904e2bd69b949ebb_796">#REF!</definedName>
    <definedName name="_vena_CashFlowS3_CashFlowB7_R_FV_42f34b52efc14701904e2bd69b949ebb_797">#REF!</definedName>
    <definedName name="_vena_CashFlowS3_CashFlowB7_R_FV_42f34b52efc14701904e2bd69b949ebb_798">#REF!</definedName>
    <definedName name="_vena_CashFlowS3_CashFlowB7_R_FV_42f34b52efc14701904e2bd69b949ebb_799">#REF!</definedName>
    <definedName name="_vena_CashFlowS3_CashFlowB7_R_FV_42f34b52efc14701904e2bd69b949ebb_800">#REF!</definedName>
    <definedName name="_vena_CashFlowS3_CashFlowB7_R_FV_42f34b52efc14701904e2bd69b949ebb_801">#REF!</definedName>
    <definedName name="_vena_CashFlowS3_CashFlowB7_R_FV_42f34b52efc14701904e2bd69b949ebb_802">#REF!</definedName>
    <definedName name="_vena_CashFlowS3_CashFlowB7_R_FV_42f34b52efc14701904e2bd69b949ebb_803">#REF!</definedName>
    <definedName name="_vena_CashFlowS3_CashFlowB7_R_FV_42f34b52efc14701904e2bd69b949ebb_804">#REF!</definedName>
    <definedName name="_vena_CashFlowS3_CashFlowB7_R_FV_42f34b52efc14701904e2bd69b949ebb_805">#REF!</definedName>
    <definedName name="_vena_CashFlowS3_CashFlowB7_R_FV_42f34b52efc14701904e2bd69b949ebb_806">#REF!</definedName>
    <definedName name="_vena_CashFlowS3_CashFlowB7_R_FV_42f34b52efc14701904e2bd69b949ebb_807">#REF!</definedName>
    <definedName name="_vena_CashFlowS3_CashFlowB7_R_FV_42f34b52efc14701904e2bd69b949ebb_808">#REF!</definedName>
    <definedName name="_vena_CashFlowS3_CashFlowB7_R_FV_42f34b52efc14701904e2bd69b949ebb_809">#REF!</definedName>
    <definedName name="_vena_CashFlowS3_CashFlowB7_R_FV_42f34b52efc14701904e2bd69b949ebb_810">#REF!</definedName>
    <definedName name="_vena_CashFlowS3_CashFlowB7_R_FV_42f34b52efc14701904e2bd69b949ebb_811">#REF!</definedName>
    <definedName name="_vena_CashFlowS3_CashFlowB7_R_FV_42f34b52efc14701904e2bd69b949ebb_812">#REF!</definedName>
    <definedName name="_vena_CashFlowS3_CashFlowB7_R_FV_42f34b52efc14701904e2bd69b949ebb_813">#REF!</definedName>
    <definedName name="_vena_CashFlowS3_CashFlowB7_R_FV_42f34b52efc14701904e2bd69b949ebb_814">#REF!</definedName>
    <definedName name="_vena_CashFlowS3_CashFlowB7_R_FV_42f34b52efc14701904e2bd69b949ebb_815">#REF!</definedName>
    <definedName name="_vena_CashFlowS3_CashFlowB7_R_FV_42f34b52efc14701904e2bd69b949ebb_816">#REF!</definedName>
    <definedName name="_vena_CashFlowS3_CashFlowB7_R_FV_42f34b52efc14701904e2bd69b949ebb_817">#REF!</definedName>
    <definedName name="_vena_CashFlowS3_CashFlowB7_R_FV_42f34b52efc14701904e2bd69b949ebb_818">#REF!</definedName>
    <definedName name="_vena_CashFlowS3_CashFlowB7_R_FV_42f34b52efc14701904e2bd69b949ebb_819">#REF!</definedName>
    <definedName name="_vena_CashFlowS3_CashFlowB7_R_FV_42f34b52efc14701904e2bd69b949ebb_820">#REF!</definedName>
    <definedName name="_vena_CashFlowS3_CashFlowB7_R_FV_42f34b52efc14701904e2bd69b949ebb_821">#REF!</definedName>
    <definedName name="_vena_CashFlowS3_CashFlowB7_R_FV_42f34b52efc14701904e2bd69b949ebb_822">#REF!</definedName>
    <definedName name="_vena_CashFlowS3_CashFlowB7_R_FV_42f34b52efc14701904e2bd69b949ebb_823">#REF!</definedName>
    <definedName name="_vena_CashFlowS3_CashFlowB7_R_FV_42f34b52efc14701904e2bd69b949ebb_824">#REF!</definedName>
    <definedName name="_vena_CashFlowS3_CashFlowB7_R_FV_42f34b52efc14701904e2bd69b949ebb_825">#REF!</definedName>
    <definedName name="_vena_CashFlowS3_CashFlowB7_R_FV_42f34b52efc14701904e2bd69b949ebb_826">#REF!</definedName>
    <definedName name="_vena_CashFlowS3_CashFlowB7_R_FV_42f34b52efc14701904e2bd69b949ebb_827">#REF!</definedName>
    <definedName name="_vena_CashFlowS3_CashFlowB7_R_FV_42f34b52efc14701904e2bd69b949ebb_828">#REF!</definedName>
    <definedName name="_vena_CashFlowS3_CashFlowB7_R_FV_42f34b52efc14701904e2bd69b949ebb_829">#REF!</definedName>
    <definedName name="_vena_CashFlowS3_CashFlowB7_R_FV_42f34b52efc14701904e2bd69b949ebb_830">#REF!</definedName>
    <definedName name="_vena_CashFlowS3_CashFlowB7_R_FV_42f34b52efc14701904e2bd69b949ebb_831">#REF!</definedName>
    <definedName name="_vena_CashFlowS3_CashFlowB7_R_FV_42f34b52efc14701904e2bd69b949ebb_832">#REF!</definedName>
    <definedName name="_vena_CashFlowS3_CashFlowB7_R_FV_42f34b52efc14701904e2bd69b949ebb_833">#REF!</definedName>
    <definedName name="_vena_CashFlowS3_CashFlowB7_R_FV_42f34b52efc14701904e2bd69b949ebb_834">#REF!</definedName>
    <definedName name="_vena_CashFlowS3_CashFlowB7_R_FV_42f34b52efc14701904e2bd69b949ebb_835">#REF!</definedName>
    <definedName name="_vena_CashFlowS3_CashFlowB7_R_FV_42f34b52efc14701904e2bd69b949ebb_836">#REF!</definedName>
    <definedName name="_vena_CashFlowS3_CashFlowB7_R_FV_42f34b52efc14701904e2bd69b949ebb_837">#REF!</definedName>
    <definedName name="_vena_CashFlowS3_CashFlowB7_R_FV_42f34b52efc14701904e2bd69b949ebb_838">#REF!</definedName>
    <definedName name="_vena_CashFlowS3_CashFlowB7_R_FV_42f34b52efc14701904e2bd69b949ebb_839">#REF!</definedName>
    <definedName name="_vena_CashFlowS3_CashFlowB7_R_FV_42f34b52efc14701904e2bd69b949ebb_840">#REF!</definedName>
    <definedName name="_vena_CashFlowS3_CashFlowB7_R_FV_42f34b52efc14701904e2bd69b949ebb_841">#REF!</definedName>
    <definedName name="_vena_CashFlowS3_CashFlowB7_R_FV_42f34b52efc14701904e2bd69b949ebb_842">#REF!</definedName>
    <definedName name="_vena_CashFlowS3_CashFlowB7_R_FV_42f34b52efc14701904e2bd69b949ebb_843">#REF!</definedName>
    <definedName name="_vena_CashFlowS3_CashFlowB7_R_FV_42f34b52efc14701904e2bd69b949ebb_844">#REF!</definedName>
    <definedName name="_vena_CashFlowS3_CashFlowB7_R_FV_42f34b52efc14701904e2bd69b949ebb_845">#REF!</definedName>
    <definedName name="_vena_CashFlowS3_CashFlowB7_R_FV_42f34b52efc14701904e2bd69b949ebb_846">#REF!</definedName>
    <definedName name="_vena_CashFlowS3_CashFlowB7_R_FV_42f34b52efc14701904e2bd69b949ebb_847">#REF!</definedName>
    <definedName name="_vena_CashFlowS3_CashFlowB7_R_FV_42f34b52efc14701904e2bd69b949ebb_848">#REF!</definedName>
    <definedName name="_vena_CashFlowS3_CashFlowB7_R_FV_42f34b52efc14701904e2bd69b949ebb_849">#REF!</definedName>
    <definedName name="_vena_CashFlowS3_CashFlowB7_R_FV_42f34b52efc14701904e2bd69b949ebb_850">#REF!</definedName>
    <definedName name="_vena_CashFlowS3_CashFlowB7_R_FV_42f34b52efc14701904e2bd69b949ebb_851">#REF!</definedName>
    <definedName name="_vena_CashFlowS3_CashFlowB7_R_FV_42f34b52efc14701904e2bd69b949ebb_852">#REF!</definedName>
    <definedName name="_vena_CashFlowS3_CashFlowB7_R_FV_42f34b52efc14701904e2bd69b949ebb_853">#REF!</definedName>
    <definedName name="_vena_CashFlowS3_CashFlowB7_R_FV_42f34b52efc14701904e2bd69b949ebb_854">#REF!</definedName>
    <definedName name="_vena_CashFlowS3_CashFlowB7_R_FV_42f34b52efc14701904e2bd69b949ebb_855">#REF!</definedName>
    <definedName name="_vena_CashFlowS3_CashFlowB7_R_FV_42f34b52efc14701904e2bd69b949ebb_856">#REF!</definedName>
    <definedName name="_vena_CashFlowS3_CashFlowB7_R_FV_42f34b52efc14701904e2bd69b949ebb_857">#REF!</definedName>
    <definedName name="_vena_CashFlowS3_CashFlowB7_R_FV_42f34b52efc14701904e2bd69b949ebb_858">#REF!</definedName>
    <definedName name="_vena_CashFlowS3_CashFlowB7_R_FV_42f34b52efc14701904e2bd69b949ebb_859">#REF!</definedName>
    <definedName name="_vena_CashFlowS3_CashFlowB7_R_FV_42f34b52efc14701904e2bd69b949ebb_860">#REF!</definedName>
    <definedName name="_vena_CashFlowS3_CashFlowB7_R_FV_42f34b52efc14701904e2bd69b949ebb_861">#REF!</definedName>
    <definedName name="_vena_CashFlowS3_CashFlowB7_R_FV_42f34b52efc14701904e2bd69b949ebb_862">#REF!</definedName>
    <definedName name="_vena_CashFlowS3_CashFlowB7_R_FV_42f34b52efc14701904e2bd69b949ebb_863">#REF!</definedName>
    <definedName name="_vena_CashFlowS3_CashFlowB7_R_FV_42f34b52efc14701904e2bd69b949ebb_864">#REF!</definedName>
    <definedName name="_vena_CashFlowS3_CashFlowB7_R_FV_42f34b52efc14701904e2bd69b949ebb_865">#REF!</definedName>
    <definedName name="_vena_CashFlowS3_CashFlowB7_R_FV_42f34b52efc14701904e2bd69b949ebb_866">#REF!</definedName>
    <definedName name="_vena_CashFlowS3_CashFlowB7_R_FV_42f34b52efc14701904e2bd69b949ebb_867">#REF!</definedName>
    <definedName name="_vena_CashFlowS3_CashFlowB7_R_FV_42f34b52efc14701904e2bd69b949ebb_868">#REF!</definedName>
    <definedName name="_vena_CashFlowS3_CashFlowB7_R_FV_42f34b52efc14701904e2bd69b949ebb_869">#REF!</definedName>
    <definedName name="_vena_CashFlowS3_CashFlowB7_R_FV_42f34b52efc14701904e2bd69b949ebb_870">#REF!</definedName>
    <definedName name="_vena_CashFlowS3_CashFlowB7_R_FV_42f34b52efc14701904e2bd69b949ebb_871">#REF!</definedName>
    <definedName name="_vena_CashFlowS3_CashFlowB7_R_FV_42f34b52efc14701904e2bd69b949ebb_872">#REF!</definedName>
    <definedName name="_vena_CashFlowS3_CashFlowB7_R_FV_42f34b52efc14701904e2bd69b949ebb_873">#REF!</definedName>
    <definedName name="_vena_CashFlowS3_CashFlowB7_R_FV_42f34b52efc14701904e2bd69b949ebb_874">#REF!</definedName>
    <definedName name="_vena_CashFlowS3_CashFlowB7_R_FV_42f34b52efc14701904e2bd69b949ebb_875">#REF!</definedName>
    <definedName name="_vena_CashFlowS3_CashFlowB7_R_FV_42f34b52efc14701904e2bd69b949ebb_876">#REF!</definedName>
    <definedName name="_vena_CashFlowS3_CashFlowB7_R_FV_42f34b52efc14701904e2bd69b949ebb_877">#REF!</definedName>
    <definedName name="_vena_CashFlowS3_CashFlowB7_R_FV_42f34b52efc14701904e2bd69b949ebb_878">#REF!</definedName>
    <definedName name="_vena_CashFlowS3_CashFlowB7_R_FV_42f34b52efc14701904e2bd69b949ebb_879">#REF!</definedName>
    <definedName name="_vena_CashFlowS3_CashFlowB7_R_FV_42f34b52efc14701904e2bd69b949ebb_880">#REF!</definedName>
    <definedName name="_vena_CashFlowS3_CashFlowB7_R_FV_42f34b52efc14701904e2bd69b949ebb_881">#REF!</definedName>
    <definedName name="_vena_CashFlowS3_CashFlowB7_R_FV_42f34b52efc14701904e2bd69b949ebb_882">#REF!</definedName>
    <definedName name="_vena_CashFlowS3_CashFlowB7_R_FV_42f34b52efc14701904e2bd69b949ebb_883">#REF!</definedName>
    <definedName name="_vena_CashFlowS3_CashFlowB7_R_FV_42f34b52efc14701904e2bd69b949ebb_884">#REF!</definedName>
    <definedName name="_vena_CashFlowS3_CashFlowB7_R_FV_42f34b52efc14701904e2bd69b949ebb_885">#REF!</definedName>
    <definedName name="_vena_CashFlowS3_CashFlowB7_R_FV_42f34b52efc14701904e2bd69b949ebb_886">#REF!</definedName>
    <definedName name="_vena_CashFlowS3_CashFlowB7_R_FV_42f34b52efc14701904e2bd69b949ebb_887">#REF!</definedName>
    <definedName name="_vena_CashFlowS3_CashFlowB7_R_FV_42f34b52efc14701904e2bd69b949ebb_888">#REF!</definedName>
    <definedName name="_vena_CashFlowS3_CashFlowB7_R_FV_42f34b52efc14701904e2bd69b949ebb_889">#REF!</definedName>
    <definedName name="_vena_CashFlowS3_CashFlowB7_R_FV_42f34b52efc14701904e2bd69b949ebb_890">#REF!</definedName>
    <definedName name="_vena_CashFlowS3_CashFlowB7_R_FV_42f34b52efc14701904e2bd69b949ebb_891">#REF!</definedName>
    <definedName name="_vena_CashFlowS3_CashFlowB7_R_FV_42f34b52efc14701904e2bd69b949ebb_892">#REF!</definedName>
    <definedName name="_vena_CashFlowS3_CashFlowB7_R_FV_42f34b52efc14701904e2bd69b949ebb_893">#REF!</definedName>
    <definedName name="_vena_CashFlowS3_CashFlowB7_R_FV_42f34b52efc14701904e2bd69b949ebb_894">#REF!</definedName>
    <definedName name="_vena_CashFlowS3_CashFlowB7_R_FV_42f34b52efc14701904e2bd69b949ebb_895">#REF!</definedName>
    <definedName name="_vena_CashFlowS3_CashFlowB7_R_FV_42f34b52efc14701904e2bd69b949ebb_896">#REF!</definedName>
    <definedName name="_vena_CashFlowS3_CashFlowB7_R_FV_42f34b52efc14701904e2bd69b949ebb_897">#REF!</definedName>
    <definedName name="_vena_CashFlowS3_CashFlowB7_R_FV_42f34b52efc14701904e2bd69b949ebb_898">#REF!</definedName>
    <definedName name="_vena_CashFlowS3_CashFlowB7_R_FV_42f34b52efc14701904e2bd69b949ebb_899">#REF!</definedName>
    <definedName name="_vena_CashFlowS3_CashFlowB7_R_FV_42f34b52efc14701904e2bd69b949ebb_900">#REF!</definedName>
    <definedName name="_vena_CashFlowS3_CashFlowB7_R_FV_42f34b52efc14701904e2bd69b949ebb_901">#REF!</definedName>
    <definedName name="_vena_CashFlowS3_CashFlowB7_R_FV_42f34b52efc14701904e2bd69b949ebb_902">#REF!</definedName>
    <definedName name="_vena_CashFlowS3_CashFlowB7_R_FV_42f34b52efc14701904e2bd69b949ebb_903">#REF!</definedName>
    <definedName name="_vena_CashFlowS3_CashFlowB7_R_FV_42f34b52efc14701904e2bd69b949ebb_904">#REF!</definedName>
    <definedName name="_vena_CashFlowS3_CashFlowB7_R_FV_42f34b52efc14701904e2bd69b949ebb_905">#REF!</definedName>
    <definedName name="_vena_CashFlowS3_CashFlowB7_R_FV_42f34b52efc14701904e2bd69b949ebb_906">#REF!</definedName>
    <definedName name="_vena_CashFlowS3_CashFlowB7_R_FV_42f34b52efc14701904e2bd69b949ebb_907">#REF!</definedName>
    <definedName name="_vena_CashFlowS3_CashFlowB7_R_FV_42f34b52efc14701904e2bd69b949ebb_908">#REF!</definedName>
    <definedName name="_vena_CashFlowS3_CashFlowB7_R_FV_42f34b52efc14701904e2bd69b949ebb_909">#REF!</definedName>
    <definedName name="_vena_CashFlowS3_CashFlowB7_R_FV_42f34b52efc14701904e2bd69b949ebb_910">#REF!</definedName>
    <definedName name="_vena_CashFlowS3_CashFlowB7_R_FV_42f34b52efc14701904e2bd69b949ebb_911">#REF!</definedName>
    <definedName name="_vena_CashFlowS3_CashFlowB7_R_FV_42f34b52efc14701904e2bd69b949ebb_912">#REF!</definedName>
    <definedName name="_vena_CashFlowS3_CashFlowB7_R_FV_42f34b52efc14701904e2bd69b949ebb_913">#REF!</definedName>
    <definedName name="_vena_CashFlowS3_CashFlowB7_R_FV_42f34b52efc14701904e2bd69b949ebb_914">#REF!</definedName>
    <definedName name="_vena_CashFlowS3_CashFlowB7_R_FV_42f34b52efc14701904e2bd69b949ebb_915">#REF!</definedName>
    <definedName name="_vena_CashFlowS3_CashFlowB7_R_FV_42f34b52efc14701904e2bd69b949ebb_916">#REF!</definedName>
    <definedName name="_vena_CashFlowS3_CashFlowB7_R_FV_42f34b52efc14701904e2bd69b949ebb_917">#REF!</definedName>
    <definedName name="_vena_CashFlowS3_CashFlowB7_R_FV_42f34b52efc14701904e2bd69b949ebb_93">#REF!</definedName>
    <definedName name="_vena_CashFlowS3_P_3_431662182406553601" comment="*">#REF!</definedName>
    <definedName name="_vena_CashFlowS3_P_3_551651274421698560" comment="*">#REF!</definedName>
    <definedName name="_vena_CashFlowS3_P_3_632005310022418436" comment="*">#REF!</definedName>
    <definedName name="_vena_CashFlowS3_P_4_451234991058452480" comment="*">#REF!</definedName>
    <definedName name="_vena_CashFlowS3_P_4_551651272932720645" comment="*">#REF!</definedName>
    <definedName name="_vena_CashFlowS3_P_4_632005309959503878" comment="*">#REF!</definedName>
    <definedName name="_vena_CashFlowS3_P_6_431662182054232065" comment="*">#REF!</definedName>
    <definedName name="_vena_CashFlowS3_P_6_551651287818305538" comment="*">#REF!</definedName>
    <definedName name="_vena_CashFlowS3_P_6_632005313063288832" comment="*">#REF!</definedName>
    <definedName name="_vena_CashFlowS3_P_7_431662179290185729" comment="*">#REF!</definedName>
    <definedName name="_vena_CashFlowS3_P_7_551651294977982466" comment="*">#REF!</definedName>
    <definedName name="_vena_CashFlowS3_P_7_632005313256226820" comment="*">#REF!</definedName>
    <definedName name="_vena_CashFlowS3_P_FV_56493ffece784c5db4cd0fd3b40a250d" comment="*">#REF!</definedName>
    <definedName name="_vena_CashFlowS3_P_FV_e3545e3dcc52420a84dcdae3a23a4597" comment="*">#REF!</definedName>
    <definedName name="_vena_CharterCashFlow_P_1_431662135136747520">#REF!</definedName>
    <definedName name="_vena_CharterCashFlow_P_1_431662135191273473">#REF!</definedName>
    <definedName name="_vena_CharterCashFlow_P_1_431662135233216513">#REF!</definedName>
    <definedName name="_vena_CharterCashFlow_P_1_431662135279353857">#REF!</definedName>
    <definedName name="_vena_CharterCashFlow_P_1_431662135354851329">#REF!</definedName>
    <definedName name="_vena_CharterCashFlow_P_1_431662135388405760">#REF!</definedName>
    <definedName name="_vena_CharterCashFlow_P_1_431662135392600065">#REF!</definedName>
    <definedName name="_vena_CharterCashFlow_P_1_431662135958831104">#REF!</definedName>
    <definedName name="_vena_CharterCashFlow_P_1_431662135963025409">#REF!</definedName>
    <definedName name="_vena_CharterCashFlow_P_1_431662135971414017">#REF!</definedName>
    <definedName name="_vena_CharterCashFlow_P_1_431662135975608321">#REF!</definedName>
    <definedName name="_vena_CharterCashFlow_P_1_431662136021745665">#REF!</definedName>
    <definedName name="_vena_CharterCashFlow_P_1_431662136046911489">#REF!</definedName>
    <definedName name="_vena_CharterCashFlow_P_1_431662136067883009">#REF!</definedName>
    <definedName name="_vena_CharterCashFlow_P_1_431662136134991873">#REF!</definedName>
    <definedName name="_vena_CharterCashFlow_P_1_431662136155963393">#REF!</definedName>
    <definedName name="_vena_CharterCashFlow_P_1_431662136176934913">#REF!</definedName>
    <definedName name="_vena_CharterCashFlow_P_1_431662136193712129">#REF!</definedName>
    <definedName name="_vena_CharterCashFlow_P_1_431662136235655169">#REF!</definedName>
    <definedName name="_vena_CharterCashFlow_P_1_431662136252432385">#REF!</definedName>
    <definedName name="_vena_CharterCashFlow_P_1_431662136269209601">#REF!</definedName>
    <definedName name="_vena_CharterCashFlow_P_1_431662136285986816">#REF!</definedName>
    <definedName name="_vena_CharterCashFlow_P_1_431662136290181121">#REF!</definedName>
    <definedName name="_vena_CharterCashFlow_P_1_431662136306958336">#REF!</definedName>
    <definedName name="_vena_CharterCashFlow_P_1_431662136311152641">#REF!</definedName>
    <definedName name="_vena_CharterCashFlow_P_1_431662136365678593">#REF!</definedName>
    <definedName name="_vena_CharterCashFlow_P_1_431662136416010241">#REF!</definedName>
    <definedName name="_vena_CharterCashFlow_P_1_431662136436981760">#REF!</definedName>
    <definedName name="_vena_CharterCashFlow_P_1_431662136470536193">#REF!</definedName>
    <definedName name="_vena_CharterCashFlow_P_1_431662136495702017">#REF!</definedName>
    <definedName name="_vena_CharterCashFlow_P_1_431662136525062145">#REF!</definedName>
    <definedName name="_vena_CharterCashFlow_P_1_431662136533450753">#REF!</definedName>
    <definedName name="_vena_CharterCashFlow_P_1_431662136546033664">#REF!</definedName>
    <definedName name="_vena_CharterCashFlow_P_1_431662136562810881">#REF!</definedName>
    <definedName name="_vena_CharterCashFlow_P_1_431662136600559616">#REF!</definedName>
    <definedName name="_vena_CharterCashFlow_P_1_431662136604753921">#REF!</definedName>
    <definedName name="_vena_CharterCashFlow_P_1_431662136617336832">#REF!</definedName>
    <definedName name="_vena_CharterCashFlow_P_1_431662136625725441">#REF!</definedName>
    <definedName name="_vena_CharterCashFlow_P_1_431662136629919745">#REF!</definedName>
    <definedName name="_vena_CharterCashFlow_P_1_431662136634114049">#REF!</definedName>
    <definedName name="_vena_CharterCashFlow_P_1_431662136638308353">#REF!</definedName>
    <definedName name="_vena_CharterCashFlow_P_1_431662136650891265">#REF!</definedName>
    <definedName name="_vena_CharterCashFlow_P_1_431662136655085569">#REF!</definedName>
    <definedName name="_vena_CharterCashFlow_P_1_431662136671862784">#REF!</definedName>
    <definedName name="_vena_CharterCashFlow_P_1_431662136676057089">#REF!</definedName>
    <definedName name="_vena_CharterCashFlow_P_1_431662136680251393">#REF!</definedName>
    <definedName name="_vena_CharterCashFlow_P_1_431662136684445697">#REF!</definedName>
    <definedName name="_vena_CharterCashFlow_P_1_431662136718000129">#REF!</definedName>
    <definedName name="_vena_CharterCashFlow_P_1_431662136734777344">#REF!</definedName>
    <definedName name="_vena_CharterCashFlow_P_1_431662136738971649">#REF!</definedName>
    <definedName name="_vena_CharterCashFlow_P_1_431662136751554560">#REF!</definedName>
    <definedName name="_vena_CharterCashFlow_P_1_431662136755748865">#REF!</definedName>
    <definedName name="_vena_CharterCashFlow_P_1_431662136764137473">#REF!</definedName>
    <definedName name="_vena_CharterCashFlow_P_1_431662136780914689">#REF!</definedName>
    <definedName name="_vena_CharterCashFlow_P_1_431662136856412161">#REF!</definedName>
    <definedName name="_vena_CharterCashFlow_P_1_431662136889966593">#REF!</definedName>
    <definedName name="_vena_CharterCashFlow_P_1_431662140979412993">#REF!</definedName>
    <definedName name="_vena_CharterCashFlow_P_1_431662141021356033">#REF!</definedName>
    <definedName name="_vena_CharterCashFlow_P_1_431662141113630724">#REF!</definedName>
    <definedName name="_vena_CharterCashFlow_P_1_431662141134602244">#REF!</definedName>
    <definedName name="_vena_CharterCashFlow_P_1_431662141235265543">#REF!</definedName>
    <definedName name="_vena_CharterCashFlow_P_1_431662141260431362">#REF!</definedName>
    <definedName name="_vena_CharterCashFlow_P_1_431662141277208577">#REF!</definedName>
    <definedName name="_vena_CharterCashFlow_P_1_431662141310763008">#REF!</definedName>
    <definedName name="_vena_CharterCashFlow_P_1_431662141323345928">#REF!</definedName>
    <definedName name="_vena_CharterCashFlow_P_1_431662141335928838">#REF!</definedName>
    <definedName name="_vena_CharterCashFlow_P_1_431662141440786435">#REF!</definedName>
    <definedName name="_vena_CharterCashFlow_P_1_431662141507895298">#REF!</definedName>
    <definedName name="_vena_CharterCashFlow_P_1_431662141541449731">#REF!</definedName>
    <definedName name="_vena_CharterCashFlow_P_1_431662141545644037">#REF!</definedName>
    <definedName name="_vena_CharterCashFlow_P_1_431662141558226944">#REF!</definedName>
    <definedName name="_vena_CharterCashFlow_P_1_431662141650501638">#REF!</definedName>
    <definedName name="_vena_CharterCashFlow_P_1_431662141671473155">#REF!</definedName>
    <definedName name="_vena_CharterCashFlow_P_1_431662141692444675">#REF!</definedName>
    <definedName name="_vena_CharterCashFlow_P_1_431662141713416192">#REF!</definedName>
    <definedName name="_vena_CharterCashFlow_P_1_431662141746970624">#REF!</definedName>
    <definedName name="_vena_CharterCashFlow_P_1_431662141780525056">#REF!</definedName>
    <definedName name="_vena_CharterCashFlow_P_1_431662141801496590">#REF!</definedName>
    <definedName name="_vena_CharterCashFlow_P_1_431662141835051008">#REF!</definedName>
    <definedName name="_vena_CharterCashFlow_P_1_431662141856022528">#REF!</definedName>
    <definedName name="_vena_CharterCashFlow_P_1_431662141897965568">#REF!</definedName>
    <definedName name="_vena_CharterCashFlow_P_1_431662141973463040">#REF!</definedName>
    <definedName name="_vena_CharterCashFlow_P_1_431662142002823168">#REF!</definedName>
    <definedName name="_vena_CharterCashFlow_P_1_431662142065737728">#REF!</definedName>
    <definedName name="_vena_CharterCashFlow_P_1_431662142069932033">#REF!</definedName>
    <definedName name="_vena_CharterCashFlow_P_1_431662142086709248">#REF!</definedName>
    <definedName name="_vena_CharterCashFlow_P_1_431662142103486467">#REF!</definedName>
    <definedName name="_vena_CharterCashFlow_P_1_431662142120263683">#REF!</definedName>
    <definedName name="_vena_CharterCashFlow_P_1_431662142141235201">#REF!</definedName>
    <definedName name="_vena_CharterCashFlow_P_1_431662142158012418">#REF!</definedName>
    <definedName name="_vena_CharterCashFlow_P_1_431662142174789632">#REF!</definedName>
    <definedName name="_vena_CharterCashFlow_P_1_431662142187372544">#REF!</definedName>
    <definedName name="_vena_CharterCashFlow_P_1_431662142191566849">#REF!</definedName>
    <definedName name="_vena_CharterCashFlow_P_1_431662142195761158">#REF!</definedName>
    <definedName name="_vena_CharterCashFlow_P_1_431662142199955458">#REF!</definedName>
    <definedName name="_vena_CharterCashFlow_P_1_431662142208344066">#REF!</definedName>
    <definedName name="_vena_CharterCashFlow_P_1_431662142212538369">#REF!</definedName>
    <definedName name="_vena_CharterCashFlow_P_1_431662142271258625">#REF!</definedName>
    <definedName name="_vena_CharterCashFlow_P_1_431662142288035840">#REF!</definedName>
    <definedName name="_vena_CharterCashFlow_P_1_431662142292230145">#REF!</definedName>
    <definedName name="_vena_CharterCashFlow_P_1_431662142304813056">#REF!</definedName>
    <definedName name="_vena_CharterCashFlow_P_1_431662142309007361">#REF!</definedName>
    <definedName name="_vena_CharterCashFlow_P_1_431662142321590272">#REF!</definedName>
    <definedName name="_vena_CharterCashFlow_P_1_431662142329978881">#REF!</definedName>
    <definedName name="_vena_CharterCashFlow_P_1_431662142342561793">#REF!</definedName>
    <definedName name="_vena_CharterCashFlow_P_1_431662142405476353">#REF!</definedName>
    <definedName name="_vena_CharterCashFlow_P_1_431662142468390913">#REF!</definedName>
    <definedName name="_vena_CharterCashFlow_P_1_431662142472585217">#REF!</definedName>
    <definedName name="_vena_CharterCashFlow_P_1_431662142485168128">#REF!</definedName>
    <definedName name="_vena_CharterCashFlow_P_1_431662142489362433">#REF!</definedName>
    <definedName name="_vena_CharterCashFlow_P_1_431662142506139649">#REF!</definedName>
    <definedName name="_vena_CharterCashFlow_P_1_431662142539694081">#REF!</definedName>
    <definedName name="_vena_CharterCashFlow_P_1_431662142556471296">#REF!</definedName>
    <definedName name="_vena_CharterCashFlow_P_1_431662142560665601">#REF!</definedName>
    <definedName name="_vena_CharterCashFlow_P_1_431662142564859905">#REF!</definedName>
    <definedName name="_vena_CharterCashFlow_P_1_431662142577442817">#REF!</definedName>
    <definedName name="_vena_CharterCashFlow_P_1_431662142619385857">#REF!</definedName>
    <definedName name="_vena_CharterCashFlow_P_1_431662142665523201">#REF!</definedName>
    <definedName name="_vena_CharterCashFlow_P_1_431662142669717505">#REF!</definedName>
    <definedName name="_vena_CharterCashFlow_P_1_431662142686494720">#REF!</definedName>
    <definedName name="_vena_CharterCashFlow_P_1_431662142720049154">#REF!</definedName>
    <definedName name="_vena_CharterCashFlow_P_1_431662142866849792">#REF!</definedName>
    <definedName name="_vena_CharterCashFlow_P_1_431662142887821312">#REF!</definedName>
    <definedName name="_vena_CharterCashFlow_P_1_431662142900404225">#REF!</definedName>
    <definedName name="_vena_CharterCashFlow_P_1_431662142904598529">#REF!</definedName>
    <definedName name="_vena_CharterCashFlow_P_1_431662142921375744">#REF!</definedName>
    <definedName name="_vena_CharterCashFlow_P_1_431662142925570049">#REF!</definedName>
    <definedName name="_vena_CharterCashFlow_P_1_431662142929764353">#REF!</definedName>
    <definedName name="_vena_CharterCashFlow_P_1_431662143139479553">#REF!</definedName>
    <definedName name="_vena_CharterCashFlow_P_1_431662143177228289">#REF!</definedName>
    <definedName name="_vena_CharterCashFlow_P_1_431662143189811200">#REF!</definedName>
    <definedName name="_vena_CharterCashFlow_P_1_431662143231754241">#REF!</definedName>
    <definedName name="_vena_CharterCashFlow_P_1_431662143269502977">#REF!</definedName>
    <definedName name="_vena_CharterCashFlow_P_1_431662143286280193">#REF!</definedName>
    <definedName name="_vena_CharterCashFlow_P_1_431662143324028929">#REF!</definedName>
    <definedName name="_vena_CharterCashFlow_P_1_453691236776148992">#REF!</definedName>
    <definedName name="_vena_CharterCashFlow_P_1_453694968021385216">#REF!</definedName>
    <definedName name="_vena_CharterCashFlow_P_1_467159741639163904">#REF!</definedName>
    <definedName name="_vena_CharterCashFlow_P_1_470020033687322624">#REF!</definedName>
    <definedName name="_vena_CharterCashFlow_P_1_492897271836049408">#REF!</definedName>
    <definedName name="_vena_CharterCashFlow_P_1_492897346498592768">#REF!</definedName>
    <definedName name="_vena_CharterCashFlow_P_1_493942572524240896">#REF!</definedName>
    <definedName name="_vena_CharterCashFlow_P_1_493942862094794752">#REF!</definedName>
    <definedName name="_vena_CharterCashFlow_P_1_495050934528638976">#REF!</definedName>
    <definedName name="_vena_CharterCashFlow_P_1_500130517581430784">#REF!</definedName>
    <definedName name="_vena_CharterCashFlow_P_1_504861036735234048">#REF!</definedName>
    <definedName name="_vena_CharterCashFlow_P_1_518248758627401728">#REF!</definedName>
    <definedName name="_vena_CharterCashFlow_P_1_519712496828416002">#REF!</definedName>
    <definedName name="_vena_CharterCashFlow_P_1_533804922894942218">#REF!</definedName>
    <definedName name="_vena_CharterCashFlow_P_1_535590418382061569">#REF!</definedName>
    <definedName name="_vena_CharterCashFlow_P_1_535590595100672000">#REF!</definedName>
    <definedName name="_vena_CharterCashFlow_P_1_535590650901692417">#REF!</definedName>
    <definedName name="_vena_CharterCashFlow_P_1_535590693700370433">#REF!</definedName>
    <definedName name="_vena_CharterCashFlow_P_1_535590761496969216">#REF!</definedName>
    <definedName name="_vena_CharterCashFlow_P_1_535590812872867840">#REF!</definedName>
    <definedName name="_vena_CharterCashFlow_P_1_535590876185886720">#REF!</definedName>
    <definedName name="_vena_CharterCashFlow_P_1_551209808318562304">#REF!</definedName>
    <definedName name="_vena_CharterCashFlow_P_1_551210370715877376">#REF!</definedName>
    <definedName name="_vena_CharterCashFlow_P_1_551278219405426688">#REF!</definedName>
    <definedName name="_vena_CharterCashFlow_P_1_551279453213818880">#REF!</definedName>
    <definedName name="_vena_CharterCashFlow_P_1_551644553481027584">#REF!</definedName>
    <definedName name="_vena_CharterCashFlow_P_1_570729679678341120">#REF!</definedName>
    <definedName name="_vena_CharterCashFlow_P_1_570729819038547968">#REF!</definedName>
    <definedName name="_vena_CharterCashFlow_P_1_571419021648592896">#REF!</definedName>
    <definedName name="_vena_CharterCashFlow_P_1_572948597911191552">#REF!</definedName>
    <definedName name="_vena_CharterCashFlow_P_1_572949004803899392">#REF!</definedName>
    <definedName name="_vena_CharterCashFlow_P_1_574467150631534592">#REF!</definedName>
    <definedName name="_vena_CharterCashFlow_P_1_574467476067188736">#REF!</definedName>
    <definedName name="_vena_CharterCashFlow_P_1_579169137830789120">#REF!</definedName>
    <definedName name="_vena_CharterCashFlow_P_1_579169656083185664">#REF!</definedName>
    <definedName name="_vena_CharterCashFlow_P_1_581718722391572480">#REF!</definedName>
    <definedName name="_vena_CharterCashFlow_P_1_581718851756883968">#REF!</definedName>
    <definedName name="_vena_CharterCashFlow_P_1_583847956316553216">#REF!</definedName>
    <definedName name="_vena_CharterCashFlow_P_1_583848043125407744">#REF!</definedName>
    <definedName name="_vena_CharterCashFlow_P_1_583848178664996864">#REF!</definedName>
    <definedName name="_vena_CharterCashFlow_P_1_583848238748008448">#REF!</definedName>
    <definedName name="_vena_CharterCashFlow_P_1_583848296730329088">#REF!</definedName>
    <definedName name="_vena_CharterCashFlow_P_1_583894609274077184">#REF!</definedName>
    <definedName name="_vena_CharterCashFlow_P_1_583894775809179648">#REF!</definedName>
    <definedName name="_vena_CharterCashFlow_P_1_583895203594502144">#REF!</definedName>
    <definedName name="_vena_CharterCashFlow_P_1_583895247588687872">#REF!</definedName>
    <definedName name="_vena_CharterCashFlow_P_1_583895498231906304">#REF!</definedName>
    <definedName name="_vena_CharterCashFlow_P_1_583895588350853125">#REF!</definedName>
    <definedName name="_vena_CharterCashFlow_P_1_583895741312532480">#REF!</definedName>
    <definedName name="_vena_CharterCashFlow_P_1_583895804780740608">#REF!</definedName>
    <definedName name="_vena_CharterCashFlow_P_1_583895982967619584">#REF!</definedName>
    <definedName name="_vena_CharterCashFlow_P_1_611017372380168192">#REF!</definedName>
    <definedName name="_vena_CharterCashFlow_P_1_626243908754735104">#REF!</definedName>
    <definedName name="_vena_CharterCashFlow_P_1_626244470543876096">#REF!</definedName>
    <definedName name="_vena_CharterCashFlow_P_1_626244599107289088">#REF!</definedName>
    <definedName name="_vena_CharterCashFlow_P_1_626244734076190720">#REF!</definedName>
    <definedName name="_vena_CharterCashFlow_P_1_626244868436525056">#REF!</definedName>
    <definedName name="_vena_CharterCashFlow_P_1_626245000296792064">#REF!</definedName>
    <definedName name="_vena_CharterCashFlow_P_1_626245113752977408">#REF!</definedName>
    <definedName name="_vena_CharterCashFlow_P_1_626245315415375872">#REF!</definedName>
    <definedName name="_vena_CharterCashFlow_P_1_626245435951284224">#REF!</definedName>
    <definedName name="_vena_CharterCashFlow_P_1_626245596248801280">#REF!</definedName>
    <definedName name="_vena_CharterCashFlow_P_1_626245727606145024">#REF!</definedName>
    <definedName name="_vena_CharterCashFlow_P_1_626245836854788096">#REF!</definedName>
    <definedName name="_vena_CharterCashFlow_P_1_626245956681990144">#REF!</definedName>
    <definedName name="_vena_CharterCashFlow_P_1_626246091222679552">#REF!</definedName>
    <definedName name="_vena_CharterCashFlow_P_1_626246236224094208">#REF!</definedName>
    <definedName name="_vena_CharterCashFlow_P_1_626594495413354496">#REF!</definedName>
    <definedName name="_vena_CharterCashFlow_P_1_626594653219717120">#REF!</definedName>
    <definedName name="_vena_CharterCashFlow_P_1_626594817405616128">#REF!</definedName>
    <definedName name="_vena_CharterCashFlow_P_1_626594950985547776">#REF!</definedName>
    <definedName name="_vena_CharterCashFlow_P_1_626595093449277440">#REF!</definedName>
    <definedName name="_vena_CharterCashFlow_P_1_626595210764091392">#REF!</definedName>
    <definedName name="_vena_CharterCashFlow_P_1_626595313575133184">#REF!</definedName>
    <definedName name="_vena_CharterCashFlow_P_1_626595442281152512">#REF!</definedName>
    <definedName name="_vena_CharterCashFlow_P_1_626595642316029952">#REF!</definedName>
    <definedName name="_vena_CharterCashFlow_P_1_626595853805420544">#REF!</definedName>
    <definedName name="_vena_CharterCashFlow_P_1_626596018512068608">#REF!</definedName>
    <definedName name="_vena_CharterCashFlow_P_1_626596199793426432">#REF!</definedName>
    <definedName name="_vena_CharterCashFlow_P_1_626596369977442304">#REF!</definedName>
    <definedName name="_vena_CharterCashFlow_P_1_626596537120325632">#REF!</definedName>
    <definedName name="_vena_CharterCashFlow_P_1_629833394033786880">#REF!</definedName>
    <definedName name="_vena_CharterCashFlow_P_1_632397049157517312">#REF!</definedName>
    <definedName name="_vena_CharterCashFlow_P_1_632461786280755200">#REF!</definedName>
    <definedName name="_vena_CharterCashFlow_P_1_632462253430013952">#REF!</definedName>
    <definedName name="_vena_CharterCashFlow_P_1_632462348078415872">#REF!</definedName>
    <definedName name="_vena_CharterCashFlow_P_1_632462798479294464">#REF!</definedName>
    <definedName name="_vena_CharterCashFlow_P_1_633897391187689472">#REF!</definedName>
    <definedName name="_vena_CharterCashFlow_P_1_633897391707783168">#REF!</definedName>
    <definedName name="_vena_CharterCashFlow_P_1_634536852786774016">#REF!</definedName>
    <definedName name="_vena_CharterCashFlow_P_1_634536853218787555">#REF!</definedName>
    <definedName name="_vena_CharterCashFlow_P_1_637805522226249728">#REF!</definedName>
    <definedName name="_vena_CharterCashFlow_P_1_637805522716983296">#REF!</definedName>
    <definedName name="_vena_CharterCashFlow_P_1_637887079787528192">#REF!</definedName>
    <definedName name="_vena_CharterCashFlow_P_1_640081880603033600">#REF!</definedName>
    <definedName name="_vena_CharterCashFlow_P_1_640083961669746688">#REF!</definedName>
    <definedName name="_vena_CharterCashFlow_P_1_640084245742223360">#REF!</definedName>
    <definedName name="_vena_CharterCashFlow_P_1_646995140799496192">#REF!</definedName>
    <definedName name="_vena_CharterCashFlow2_CashFlowB3_C_3_431662182402359297">#REF!</definedName>
    <definedName name="_vena_CharterCashFlow2_CashFlowB3_C_FV_56493ffece784c5db4cd0fd3b40a250d">#REF!</definedName>
    <definedName name="_vena_CharterCashFlow2_CashFlowB3_R_5_453691236339941376">#REF!</definedName>
    <definedName name="_vena_CharterCashFlow2_P_2_431662182159089665">#REF!</definedName>
    <definedName name="_vena_CharterCashFlow2_P_6_431662179294380035">#REF!</definedName>
    <definedName name="_vena_CharterCashFlow2_P_7_431662176576471041">#REF!</definedName>
    <definedName name="_vena_CharterCashFlow2_P_8_467161758927421440">#REF!</definedName>
    <definedName name="_vena_CharterCashFlow2_P_FV_e1c3a244dc3d4f149ecdf7d748811086">#REF!</definedName>
    <definedName name="_vena_CharterCashFlow3_CashFlowB1_C_3_431662182406553601">#REF!</definedName>
    <definedName name="_vena_CharterCashFlow3_CashFlowB1_C_3_431662182406553601_1">#REF!</definedName>
    <definedName name="_vena_CharterCashFlow3_CashFlowB1_C_3_431662182406553601_2">#REF!</definedName>
    <definedName name="_vena_CharterCashFlow3_CashFlowB1_C_3_431662182406553601_3">#REF!</definedName>
    <definedName name="_vena_CharterCashFlow3_CashFlowB1_C_3_431662182406553601_4">#REF!</definedName>
    <definedName name="_vena_CharterCashFlow3_CashFlowB1_C_3_431662182406553601_5">#REF!</definedName>
    <definedName name="_vena_CharterCashFlow3_CashFlowB1_C_8_431662182280724481">#REF!</definedName>
    <definedName name="_vena_CharterCashFlow3_CashFlowB1_C_8_431662182280724481_1">#REF!</definedName>
    <definedName name="_vena_CharterCashFlow3_CashFlowB1_C_8_431662182280724481_10">#REF!</definedName>
    <definedName name="_vena_CharterCashFlow3_CashFlowB1_C_8_431662182280724481_11">#REF!</definedName>
    <definedName name="_vena_CharterCashFlow3_CashFlowB1_C_8_431662182280724481_12">#REF!</definedName>
    <definedName name="_vena_CharterCashFlow3_CashFlowB1_C_8_431662182280724481_13">#REF!</definedName>
    <definedName name="_vena_CharterCashFlow3_CashFlowB1_C_8_431662182280724481_14">#REF!</definedName>
    <definedName name="_vena_CharterCashFlow3_CashFlowB1_C_8_431662182280724481_15">#REF!</definedName>
    <definedName name="_vena_CharterCashFlow3_CashFlowB1_C_8_431662182280724481_16">#REF!</definedName>
    <definedName name="_vena_CharterCashFlow3_CashFlowB1_C_8_431662182280724481_17">#REF!</definedName>
    <definedName name="_vena_CharterCashFlow3_CashFlowB1_C_8_431662182280724481_18">#REF!</definedName>
    <definedName name="_vena_CharterCashFlow3_CashFlowB1_C_8_431662182280724481_19">#REF!</definedName>
    <definedName name="_vena_CharterCashFlow3_CashFlowB1_C_8_431662182280724481_2">#REF!</definedName>
    <definedName name="_vena_CharterCashFlow3_CashFlowB1_C_8_431662182280724481_20">#REF!</definedName>
    <definedName name="_vena_CharterCashFlow3_CashFlowB1_C_8_431662182280724481_21">#REF!</definedName>
    <definedName name="_vena_CharterCashFlow3_CashFlowB1_C_8_431662182280724481_22">#REF!</definedName>
    <definedName name="_vena_CharterCashFlow3_CashFlowB1_C_8_431662182280724481_23">#REF!</definedName>
    <definedName name="_vena_CharterCashFlow3_CashFlowB1_C_8_431662182280724481_24">#REF!</definedName>
    <definedName name="_vena_CharterCashFlow3_CashFlowB1_C_8_431662182280724481_25">#REF!</definedName>
    <definedName name="_vena_CharterCashFlow3_CashFlowB1_C_8_431662182280724481_26">#REF!</definedName>
    <definedName name="_vena_CharterCashFlow3_CashFlowB1_C_8_431662182280724481_27">#REF!</definedName>
    <definedName name="_vena_CharterCashFlow3_CashFlowB1_C_8_431662182280724481_28">#REF!</definedName>
    <definedName name="_vena_CharterCashFlow3_CashFlowB1_C_8_431662182280724481_29">#REF!</definedName>
    <definedName name="_vena_CharterCashFlow3_CashFlowB1_C_8_431662182280724481_3">#REF!</definedName>
    <definedName name="_vena_CharterCashFlow3_CashFlowB1_C_8_431662182280724481_30">#REF!</definedName>
    <definedName name="_vena_CharterCashFlow3_CashFlowB1_C_8_431662182280724481_31">#REF!</definedName>
    <definedName name="_vena_CharterCashFlow3_CashFlowB1_C_8_431662182280724481_32">#REF!</definedName>
    <definedName name="_vena_CharterCashFlow3_CashFlowB1_C_8_431662182280724481_33">#REF!</definedName>
    <definedName name="_vena_CharterCashFlow3_CashFlowB1_C_8_431662182280724481_34">#REF!</definedName>
    <definedName name="_vena_CharterCashFlow3_CashFlowB1_C_8_431662182280724481_35">#REF!</definedName>
    <definedName name="_vena_CharterCashFlow3_CashFlowB1_C_8_431662182280724481_36">#REF!</definedName>
    <definedName name="_vena_CharterCashFlow3_CashFlowB1_C_8_431662182280724481_37">#REF!</definedName>
    <definedName name="_vena_CharterCashFlow3_CashFlowB1_C_8_431662182280724481_38">#REF!</definedName>
    <definedName name="_vena_CharterCashFlow3_CashFlowB1_C_8_431662182280724481_39">#REF!</definedName>
    <definedName name="_vena_CharterCashFlow3_CashFlowB1_C_8_431662182280724481_4">#REF!</definedName>
    <definedName name="_vena_CharterCashFlow3_CashFlowB1_C_8_431662182280724481_40">#REF!</definedName>
    <definedName name="_vena_CharterCashFlow3_CashFlowB1_C_8_431662182280724481_41">#REF!</definedName>
    <definedName name="_vena_CharterCashFlow3_CashFlowB1_C_8_431662182280724481_42">#REF!</definedName>
    <definedName name="_vena_CharterCashFlow3_CashFlowB1_C_8_431662182280724481_43">#REF!</definedName>
    <definedName name="_vena_CharterCashFlow3_CashFlowB1_C_8_431662182280724481_44">#REF!</definedName>
    <definedName name="_vena_CharterCashFlow3_CashFlowB1_C_8_431662182280724481_45">#REF!</definedName>
    <definedName name="_vena_CharterCashFlow3_CashFlowB1_C_8_431662182280724481_46">#REF!</definedName>
    <definedName name="_vena_CharterCashFlow3_CashFlowB1_C_8_431662182280724481_47">#REF!</definedName>
    <definedName name="_vena_CharterCashFlow3_CashFlowB1_C_8_431662182280724481_48">#REF!</definedName>
    <definedName name="_vena_CharterCashFlow3_CashFlowB1_C_8_431662182280724481_49">#REF!</definedName>
    <definedName name="_vena_CharterCashFlow3_CashFlowB1_C_8_431662182280724481_5">#REF!</definedName>
    <definedName name="_vena_CharterCashFlow3_CashFlowB1_C_8_431662182280724481_50">#REF!</definedName>
    <definedName name="_vena_CharterCashFlow3_CashFlowB1_C_8_431662182280724481_51">#REF!</definedName>
    <definedName name="_vena_CharterCashFlow3_CashFlowB1_C_8_431662182280724481_52">#REF!</definedName>
    <definedName name="_vena_CharterCashFlow3_CashFlowB1_C_8_431662182280724481_53">#REF!</definedName>
    <definedName name="_vena_CharterCashFlow3_CashFlowB1_C_8_431662182280724481_54">#REF!</definedName>
    <definedName name="_vena_CharterCashFlow3_CashFlowB1_C_8_431662182280724481_55">#REF!</definedName>
    <definedName name="_vena_CharterCashFlow3_CashFlowB1_C_8_431662182280724481_56">#REF!</definedName>
    <definedName name="_vena_CharterCashFlow3_CashFlowB1_C_8_431662182280724481_57">#REF!</definedName>
    <definedName name="_vena_CharterCashFlow3_CashFlowB1_C_8_431662182280724481_58">#REF!</definedName>
    <definedName name="_vena_CharterCashFlow3_CashFlowB1_C_8_431662182280724481_59">#REF!</definedName>
    <definedName name="_vena_CharterCashFlow3_CashFlowB1_C_8_431662182280724481_6">#REF!</definedName>
    <definedName name="_vena_CharterCashFlow3_CashFlowB1_C_8_431662182280724481_60">#REF!</definedName>
    <definedName name="_vena_CharterCashFlow3_CashFlowB1_C_8_431662182280724481_61">#REF!</definedName>
    <definedName name="_vena_CharterCashFlow3_CashFlowB1_C_8_431662182280724481_62">#REF!</definedName>
    <definedName name="_vena_CharterCashFlow3_CashFlowB1_C_8_431662182280724481_63">#REF!</definedName>
    <definedName name="_vena_CharterCashFlow3_CashFlowB1_C_8_431662182280724481_64">#REF!</definedName>
    <definedName name="_vena_CharterCashFlow3_CashFlowB1_C_8_431662182280724481_65">#REF!</definedName>
    <definedName name="_vena_CharterCashFlow3_CashFlowB1_C_8_431662182280724481_66">#REF!</definedName>
    <definedName name="_vena_CharterCashFlow3_CashFlowB1_C_8_431662182280724481_67">#REF!</definedName>
    <definedName name="_vena_CharterCashFlow3_CashFlowB1_C_8_431662182280724481_68">#REF!</definedName>
    <definedName name="_vena_CharterCashFlow3_CashFlowB1_C_8_431662182280724481_69">#REF!</definedName>
    <definedName name="_vena_CharterCashFlow3_CashFlowB1_C_8_431662182280724481_7">#REF!</definedName>
    <definedName name="_vena_CharterCashFlow3_CashFlowB1_C_8_431662182280724481_70">#REF!</definedName>
    <definedName name="_vena_CharterCashFlow3_CashFlowB1_C_8_431662182280724481_71">#REF!</definedName>
    <definedName name="_vena_CharterCashFlow3_CashFlowB1_C_8_431662182280724481_72">#REF!</definedName>
    <definedName name="_vena_CharterCashFlow3_CashFlowB1_C_8_431662182280724481_73">#REF!</definedName>
    <definedName name="_vena_CharterCashFlow3_CashFlowB1_C_8_431662182280724481_74">#REF!</definedName>
    <definedName name="_vena_CharterCashFlow3_CashFlowB1_C_8_431662182280724481_75">#REF!</definedName>
    <definedName name="_vena_CharterCashFlow3_CashFlowB1_C_8_431662182280724481_76">#REF!</definedName>
    <definedName name="_vena_CharterCashFlow3_CashFlowB1_C_8_431662182280724481_77">#REF!</definedName>
    <definedName name="_vena_CharterCashFlow3_CashFlowB1_C_8_431662182280724481_8">#REF!</definedName>
    <definedName name="_vena_CharterCashFlow3_CashFlowB1_C_8_431662182280724481_9">#REF!</definedName>
    <definedName name="_vena_CharterCashFlow3_CashFlowB1_C_FV_56493ffece784c5db4cd0fd3b40a250d_13">#REF!</definedName>
    <definedName name="_vena_CharterCashFlow3_CashFlowB1_C_FV_56493ffece784c5db4cd0fd3b40a250d_14">#REF!</definedName>
    <definedName name="_vena_CharterCashFlow3_CashFlowB1_C_FV_56493ffece784c5db4cd0fd3b40a250d_15">#REF!</definedName>
    <definedName name="_vena_CharterCashFlow3_CashFlowB1_C_FV_56493ffece784c5db4cd0fd3b40a250d_16">#REF!</definedName>
    <definedName name="_vena_CharterCashFlow3_CashFlowB1_C_FV_56493ffece784c5db4cd0fd3b40a250d_17">#REF!</definedName>
    <definedName name="_vena_CharterCashFlow3_CashFlowB1_C_FV_56493ffece784c5db4cd0fd3b40a250d_18">#REF!</definedName>
    <definedName name="_vena_CharterCashFlow3_CashFlowB1_C_FV_56493ffece784c5db4cd0fd3b40a250d_19">#REF!</definedName>
    <definedName name="_vena_CharterCashFlow3_CashFlowB1_C_FV_56493ffece784c5db4cd0fd3b40a250d_20">#REF!</definedName>
    <definedName name="_vena_CharterCashFlow3_CashFlowB1_C_FV_56493ffece784c5db4cd0fd3b40a250d_21">#REF!</definedName>
    <definedName name="_vena_CharterCashFlow3_CashFlowB1_C_FV_56493ffece784c5db4cd0fd3b40a250d_22">#REF!</definedName>
    <definedName name="_vena_CharterCashFlow3_CashFlowB1_C_FV_56493ffece784c5db4cd0fd3b40a250d_23">#REF!</definedName>
    <definedName name="_vena_CharterCashFlow3_CashFlowB1_C_FV_56493ffece784c5db4cd0fd3b40a250d_24">#REF!</definedName>
    <definedName name="_vena_CharterCashFlow3_CashFlowB1_C_FV_56493ffece784c5db4cd0fd3b40a250d_25">#REF!</definedName>
    <definedName name="_vena_CharterCashFlow3_CashFlowB1_C_FV_56493ffece784c5db4cd0fd3b40a250d_26">#REF!</definedName>
    <definedName name="_vena_CharterCashFlow3_CashFlowB1_C_FV_56493ffece784c5db4cd0fd3b40a250d_27">#REF!</definedName>
    <definedName name="_vena_CharterCashFlow3_CashFlowB1_C_FV_56493ffece784c5db4cd0fd3b40a250d_28">#REF!</definedName>
    <definedName name="_vena_CharterCashFlow3_CashFlowB1_C_FV_56493ffece784c5db4cd0fd3b40a250d_29">#REF!</definedName>
    <definedName name="_vena_CharterCashFlow3_CashFlowB1_C_FV_56493ffece784c5db4cd0fd3b40a250d_30">#REF!</definedName>
    <definedName name="_vena_CharterCashFlow3_CashFlowB1_C_FV_56493ffece784c5db4cd0fd3b40a250d_31">#REF!</definedName>
    <definedName name="_vena_CharterCashFlow3_CashFlowB1_C_FV_56493ffece784c5db4cd0fd3b40a250d_32">#REF!</definedName>
    <definedName name="_vena_CharterCashFlow3_CashFlowB1_C_FV_56493ffece784c5db4cd0fd3b40a250d_33">#REF!</definedName>
    <definedName name="_vena_CharterCashFlow3_CashFlowB1_C_FV_56493ffece784c5db4cd0fd3b40a250d_34">#REF!</definedName>
    <definedName name="_vena_CharterCashFlow3_CashFlowB1_C_FV_56493ffece784c5db4cd0fd3b40a250d_35">#REF!</definedName>
    <definedName name="_vena_CharterCashFlow3_CashFlowB1_C_FV_56493ffece784c5db4cd0fd3b40a250d_36">#REF!</definedName>
    <definedName name="_vena_CharterCashFlow3_CashFlowB1_C_FV_56493ffece784c5db4cd0fd3b40a250d_37">#REF!</definedName>
    <definedName name="_vena_CharterCashFlow3_CashFlowB1_C_FV_56493ffece784c5db4cd0fd3b40a250d_38">#REF!</definedName>
    <definedName name="_vena_CharterCashFlow3_CashFlowB1_C_FV_56493ffece784c5db4cd0fd3b40a250d_39">#REF!</definedName>
    <definedName name="_vena_CharterCashFlow3_CashFlowB1_C_FV_56493ffece784c5db4cd0fd3b40a250d_40">#REF!</definedName>
    <definedName name="_vena_CharterCashFlow3_CashFlowB1_C_FV_56493ffece784c5db4cd0fd3b40a250d_41">#REF!</definedName>
    <definedName name="_vena_CharterCashFlow3_CashFlowB1_C_FV_56493ffece784c5db4cd0fd3b40a250d_42">#REF!</definedName>
    <definedName name="_vena_CharterCashFlow3_CashFlowB1_C_FV_56493ffece784c5db4cd0fd3b40a250d_43">#REF!</definedName>
    <definedName name="_vena_CharterCashFlow3_CashFlowB1_C_FV_56493ffece784c5db4cd0fd3b40a250d_44">#REF!</definedName>
    <definedName name="_vena_CharterCashFlow3_CashFlowB1_C_FV_56493ffece784c5db4cd0fd3b40a250d_45">#REF!</definedName>
    <definedName name="_vena_CharterCashFlow3_CashFlowB1_C_FV_56493ffece784c5db4cd0fd3b40a250d_46">#REF!</definedName>
    <definedName name="_vena_CharterCashFlow3_CashFlowB1_C_FV_56493ffece784c5db4cd0fd3b40a250d_47">#REF!</definedName>
    <definedName name="_vena_CharterCashFlow3_CashFlowB1_C_FV_56493ffece784c5db4cd0fd3b40a250d_48">#REF!</definedName>
    <definedName name="_vena_CharterCashFlow3_CashFlowB1_C_FV_56493ffece784c5db4cd0fd3b40a250d_49">#REF!</definedName>
    <definedName name="_vena_CharterCashFlow3_CashFlowB1_C_FV_56493ffece784c5db4cd0fd3b40a250d_50">#REF!</definedName>
    <definedName name="_vena_CharterCashFlow3_CashFlowB1_C_FV_56493ffece784c5db4cd0fd3b40a250d_51">#REF!</definedName>
    <definedName name="_vena_CharterCashFlow3_CashFlowB1_C_FV_56493ffece784c5db4cd0fd3b40a250d_52">#REF!</definedName>
    <definedName name="_vena_CharterCashFlow3_CashFlowB1_C_FV_56493ffece784c5db4cd0fd3b40a250d_53">#REF!</definedName>
    <definedName name="_vena_CharterCashFlow3_CashFlowB1_C_FV_56493ffece784c5db4cd0fd3b40a250d_54">#REF!</definedName>
    <definedName name="_vena_CharterCashFlow3_CashFlowB1_C_FV_56493ffece784c5db4cd0fd3b40a250d_55">#REF!</definedName>
    <definedName name="_vena_CharterCashFlow3_CashFlowB1_C_FV_56493ffece784c5db4cd0fd3b40a250d_56">#REF!</definedName>
    <definedName name="_vena_CharterCashFlow3_CashFlowB1_C_FV_56493ffece784c5db4cd0fd3b40a250d_57">#REF!</definedName>
    <definedName name="_vena_CharterCashFlow3_CashFlowB1_C_FV_56493ffece784c5db4cd0fd3b40a250d_58">#REF!</definedName>
    <definedName name="_vena_CharterCashFlow3_CashFlowB1_C_FV_56493ffece784c5db4cd0fd3b40a250d_59">#REF!</definedName>
    <definedName name="_vena_CharterCashFlow3_CashFlowB1_C_FV_56493ffece784c5db4cd0fd3b40a250d_60">#REF!</definedName>
    <definedName name="_vena_CharterCashFlow3_CashFlowB1_C_FV_56493ffece784c5db4cd0fd3b40a250d_61">#REF!</definedName>
    <definedName name="_vena_CharterCashFlow3_CashFlowB1_C_FV_56493ffece784c5db4cd0fd3b40a250d_62">#REF!</definedName>
    <definedName name="_vena_CharterCashFlow3_CashFlowB1_C_FV_56493ffece784c5db4cd0fd3b40a250d_63">#REF!</definedName>
    <definedName name="_vena_CharterCashFlow3_CashFlowB1_C_FV_56493ffece784c5db4cd0fd3b40a250d_64">#REF!</definedName>
    <definedName name="_vena_CharterCashFlow3_CashFlowB1_C_FV_56493ffece784c5db4cd0fd3b40a250d_65">#REF!</definedName>
    <definedName name="_vena_CharterCashFlow3_CashFlowB1_C_FV_56493ffece784c5db4cd0fd3b40a250d_66">#REF!</definedName>
    <definedName name="_vena_CharterCashFlow3_CashFlowB1_C_FV_56493ffece784c5db4cd0fd3b40a250d_67">#REF!</definedName>
    <definedName name="_vena_CharterCashFlow3_CashFlowB1_C_FV_56493ffece784c5db4cd0fd3b40a250d_68">#REF!</definedName>
    <definedName name="_vena_CharterCashFlow3_CashFlowB1_C_FV_56493ffece784c5db4cd0fd3b40a250d_69">#REF!</definedName>
    <definedName name="_vena_CharterCashFlow3_CashFlowB1_C_FV_56493ffece784c5db4cd0fd3b40a250d_70">#REF!</definedName>
    <definedName name="_vena_CharterCashFlow3_CashFlowB1_C_FV_56493ffece784c5db4cd0fd3b40a250d_71">#REF!</definedName>
    <definedName name="_vena_CharterCashFlow3_CashFlowB1_C_FV_56493ffece784c5db4cd0fd3b40a250d_72">#REF!</definedName>
    <definedName name="_vena_CharterCashFlow3_CashFlowB1_C_FV_56493ffece784c5db4cd0fd3b40a250d_73">#REF!</definedName>
    <definedName name="_vena_CharterCashFlow3_CashFlowB1_C_FV_56493ffece784c5db4cd0fd3b40a250d_74">#REF!</definedName>
    <definedName name="_vena_CharterCashFlow3_CashFlowB1_C_FV_56493ffece784c5db4cd0fd3b40a250d_75">#REF!</definedName>
    <definedName name="_vena_CharterCashFlow3_CashFlowB1_C_FV_56493ffece784c5db4cd0fd3b40a250d_76">#REF!</definedName>
    <definedName name="_vena_CharterCashFlow3_CashFlowB1_C_FV_56493ffece784c5db4cd0fd3b40a250d_77">#REF!</definedName>
    <definedName name="_vena_CharterCashFlow3_CashFlowB1_C_FV_56493ffece784c5db4cd0fd3b40a250d_78">#REF!</definedName>
    <definedName name="_vena_CharterCashFlow3_CashFlowB1_C_FV_56493ffece784c5db4cd0fd3b40a250d_79">#REF!</definedName>
    <definedName name="_vena_CharterCashFlow3_CashFlowB1_C_FV_56493ffece784c5db4cd0fd3b40a250d_80">#REF!</definedName>
    <definedName name="_vena_CharterCashFlow3_CashFlowB1_C_FV_56493ffece784c5db4cd0fd3b40a250d_81">#REF!</definedName>
    <definedName name="_vena_CharterCashFlow3_CashFlowB1_C_FV_56493ffece784c5db4cd0fd3b40a250d_82">#REF!</definedName>
    <definedName name="_vena_CharterCashFlow3_CashFlowB1_C_FV_56493ffece784c5db4cd0fd3b40a250d_83">#REF!</definedName>
    <definedName name="_vena_CharterCashFlow3_CashFlowB1_C_FV_56493ffece784c5db4cd0fd3b40a250d_84">#REF!</definedName>
    <definedName name="_vena_CharterCashFlow3_CashFlowB1_C_FV_56493ffece784c5db4cd0fd3b40a250d_85">#REF!</definedName>
    <definedName name="_vena_CharterCashFlow3_CashFlowB1_C_FV_56493ffece784c5db4cd0fd3b40a250d_86">#REF!</definedName>
    <definedName name="_vena_CharterCashFlow3_CashFlowB1_C_FV_56493ffece784c5db4cd0fd3b40a250d_87">#REF!</definedName>
    <definedName name="_vena_CharterCashFlow3_CashFlowB1_C_FV_56493ffece784c5db4cd0fd3b40a250d_88">#REF!</definedName>
    <definedName name="_vena_CharterCashFlow3_CashFlowB1_C_FV_56493ffece784c5db4cd0fd3b40a250d_89">#REF!</definedName>
    <definedName name="_vena_CharterCashFlow3_CashFlowB1_C_FV_56493ffece784c5db4cd0fd3b40a250d_90">#REF!</definedName>
    <definedName name="_vena_CharterCashFlow3_CashFlowB1_C_FV_a398e917565c475b8f0c5e9ebb5e002d_12">#REF!</definedName>
    <definedName name="_vena_CharterCashFlow3_CashFlowB1_C_FV_a398e917565c475b8f0c5e9ebb5e002d_13">#REF!</definedName>
    <definedName name="_vena_CharterCashFlow3_CashFlowB1_C_FV_a398e917565c475b8f0c5e9ebb5e002d_14">#REF!</definedName>
    <definedName name="_vena_CharterCashFlow3_CashFlowB1_C_FV_a398e917565c475b8f0c5e9ebb5e002d_15">#REF!</definedName>
    <definedName name="_vena_CharterCashFlow3_CashFlowB1_C_FV_a398e917565c475b8f0c5e9ebb5e002d_16">#REF!</definedName>
    <definedName name="_vena_CharterCashFlow3_CashFlowB1_C_FV_a398e917565c475b8f0c5e9ebb5e002d_17">#REF!</definedName>
    <definedName name="_vena_CharterCashFlow3_CashFlowB1_C_FV_a398e917565c475b8f0c5e9ebb5e002d_18">#REF!</definedName>
    <definedName name="_vena_CharterCashFlow3_CashFlowB1_C_FV_a398e917565c475b8f0c5e9ebb5e002d_19">#REF!</definedName>
    <definedName name="_vena_CharterCashFlow3_CashFlowB1_C_FV_a398e917565c475b8f0c5e9ebb5e002d_20">#REF!</definedName>
    <definedName name="_vena_CharterCashFlow3_CashFlowB1_C_FV_a398e917565c475b8f0c5e9ebb5e002d_21">#REF!</definedName>
    <definedName name="_vena_CharterCashFlow3_CashFlowB1_C_FV_a398e917565c475b8f0c5e9ebb5e002d_22">#REF!</definedName>
    <definedName name="_vena_CharterCashFlow3_CashFlowB1_C_FV_a398e917565c475b8f0c5e9ebb5e002d_23">#REF!</definedName>
    <definedName name="_vena_CharterCashFlow3_CashFlowB1_C_FV_a398e917565c475b8f0c5e9ebb5e002d_24">#REF!</definedName>
    <definedName name="_vena_CharterCashFlow3_CashFlowB1_C_FV_a398e917565c475b8f0c5e9ebb5e002d_25">#REF!</definedName>
    <definedName name="_vena_CharterCashFlow3_CashFlowB1_C_FV_a398e917565c475b8f0c5e9ebb5e002d_26">#REF!</definedName>
    <definedName name="_vena_CharterCashFlow3_CashFlowB1_C_FV_a398e917565c475b8f0c5e9ebb5e002d_27">#REF!</definedName>
    <definedName name="_vena_CharterCashFlow3_CashFlowB1_C_FV_a398e917565c475b8f0c5e9ebb5e002d_28">#REF!</definedName>
    <definedName name="_vena_CharterCashFlow3_CashFlowB1_C_FV_a398e917565c475b8f0c5e9ebb5e002d_29">#REF!</definedName>
    <definedName name="_vena_CharterCashFlow3_CashFlowB1_C_FV_a398e917565c475b8f0c5e9ebb5e002d_30">#REF!</definedName>
    <definedName name="_vena_CharterCashFlow3_CashFlowB1_C_FV_a398e917565c475b8f0c5e9ebb5e002d_31">#REF!</definedName>
    <definedName name="_vena_CharterCashFlow3_CashFlowB1_C_FV_a398e917565c475b8f0c5e9ebb5e002d_32">#REF!</definedName>
    <definedName name="_vena_CharterCashFlow3_CashFlowB1_C_FV_a398e917565c475b8f0c5e9ebb5e002d_33">#REF!</definedName>
    <definedName name="_vena_CharterCashFlow3_CashFlowB1_C_FV_a398e917565c475b8f0c5e9ebb5e002d_34">#REF!</definedName>
    <definedName name="_vena_CharterCashFlow3_CashFlowB1_C_FV_a398e917565c475b8f0c5e9ebb5e002d_35">#REF!</definedName>
    <definedName name="_vena_CharterCashFlow3_CashFlowB1_C_FV_a398e917565c475b8f0c5e9ebb5e002d_36">#REF!</definedName>
    <definedName name="_vena_CharterCashFlow3_CashFlowB1_C_FV_a398e917565c475b8f0c5e9ebb5e002d_37">#REF!</definedName>
    <definedName name="_vena_CharterCashFlow3_CashFlowB1_C_FV_a398e917565c475b8f0c5e9ebb5e002d_38">#REF!</definedName>
    <definedName name="_vena_CharterCashFlow3_CashFlowB1_C_FV_a398e917565c475b8f0c5e9ebb5e002d_39">#REF!</definedName>
    <definedName name="_vena_CharterCashFlow3_CashFlowB1_C_FV_a398e917565c475b8f0c5e9ebb5e002d_40">#REF!</definedName>
    <definedName name="_vena_CharterCashFlow3_CashFlowB1_C_FV_a398e917565c475b8f0c5e9ebb5e002d_41">#REF!</definedName>
    <definedName name="_vena_CharterCashFlow3_CashFlowB1_C_FV_a398e917565c475b8f0c5e9ebb5e002d_42">#REF!</definedName>
    <definedName name="_vena_CharterCashFlow3_CashFlowB1_C_FV_a398e917565c475b8f0c5e9ebb5e002d_43">#REF!</definedName>
    <definedName name="_vena_CharterCashFlow3_CashFlowB1_C_FV_a398e917565c475b8f0c5e9ebb5e002d_44">#REF!</definedName>
    <definedName name="_vena_CharterCashFlow3_CashFlowB1_C_FV_a398e917565c475b8f0c5e9ebb5e002d_45">#REF!</definedName>
    <definedName name="_vena_CharterCashFlow3_CashFlowB1_C_FV_a398e917565c475b8f0c5e9ebb5e002d_46">#REF!</definedName>
    <definedName name="_vena_CharterCashFlow3_CashFlowB1_C_FV_a398e917565c475b8f0c5e9ebb5e002d_47">#REF!</definedName>
    <definedName name="_vena_CharterCashFlow3_CashFlowB1_C_FV_a398e917565c475b8f0c5e9ebb5e002d_48">#REF!</definedName>
    <definedName name="_vena_CharterCashFlow3_CashFlowB1_C_FV_a398e917565c475b8f0c5e9ebb5e002d_49">#REF!</definedName>
    <definedName name="_vena_CharterCashFlow3_CashFlowB1_C_FV_a398e917565c475b8f0c5e9ebb5e002d_50">#REF!</definedName>
    <definedName name="_vena_CharterCashFlow3_CashFlowB1_C_FV_a398e917565c475b8f0c5e9ebb5e002d_51">#REF!</definedName>
    <definedName name="_vena_CharterCashFlow3_CashFlowB1_C_FV_a398e917565c475b8f0c5e9ebb5e002d_52">#REF!</definedName>
    <definedName name="_vena_CharterCashFlow3_CashFlowB1_C_FV_a398e917565c475b8f0c5e9ebb5e002d_53">#REF!</definedName>
    <definedName name="_vena_CharterCashFlow3_CashFlowB1_C_FV_a398e917565c475b8f0c5e9ebb5e002d_54">#REF!</definedName>
    <definedName name="_vena_CharterCashFlow3_CashFlowB1_C_FV_a398e917565c475b8f0c5e9ebb5e002d_55">#REF!</definedName>
    <definedName name="_vena_CharterCashFlow3_CashFlowB1_C_FV_a398e917565c475b8f0c5e9ebb5e002d_56">#REF!</definedName>
    <definedName name="_vena_CharterCashFlow3_CashFlowB1_C_FV_a398e917565c475b8f0c5e9ebb5e002d_57">#REF!</definedName>
    <definedName name="_vena_CharterCashFlow3_CashFlowB1_C_FV_a398e917565c475b8f0c5e9ebb5e002d_58">#REF!</definedName>
    <definedName name="_vena_CharterCashFlow3_CashFlowB1_C_FV_a398e917565c475b8f0c5e9ebb5e002d_59">#REF!</definedName>
    <definedName name="_vena_CharterCashFlow3_CashFlowB1_C_FV_a398e917565c475b8f0c5e9ebb5e002d_60">#REF!</definedName>
    <definedName name="_vena_CharterCashFlow3_CashFlowB1_C_FV_a398e917565c475b8f0c5e9ebb5e002d_61">#REF!</definedName>
    <definedName name="_vena_CharterCashFlow3_CashFlowB1_C_FV_a398e917565c475b8f0c5e9ebb5e002d_62">#REF!</definedName>
    <definedName name="_vena_CharterCashFlow3_CashFlowB1_C_FV_a398e917565c475b8f0c5e9ebb5e002d_63">#REF!</definedName>
    <definedName name="_vena_CharterCashFlow3_CashFlowB1_C_FV_a398e917565c475b8f0c5e9ebb5e002d_64">#REF!</definedName>
    <definedName name="_vena_CharterCashFlow3_CashFlowB1_C_FV_a398e917565c475b8f0c5e9ebb5e002d_65">#REF!</definedName>
    <definedName name="_vena_CharterCashFlow3_CashFlowB1_C_FV_a398e917565c475b8f0c5e9ebb5e002d_66">#REF!</definedName>
    <definedName name="_vena_CharterCashFlow3_CashFlowB1_C_FV_a398e917565c475b8f0c5e9ebb5e002d_67">#REF!</definedName>
    <definedName name="_vena_CharterCashFlow3_CashFlowB1_C_FV_a398e917565c475b8f0c5e9ebb5e002d_68">#REF!</definedName>
    <definedName name="_vena_CharterCashFlow3_CashFlowB1_C_FV_a398e917565c475b8f0c5e9ebb5e002d_69">#REF!</definedName>
    <definedName name="_vena_CharterCashFlow3_CashFlowB1_C_FV_a398e917565c475b8f0c5e9ebb5e002d_70">#REF!</definedName>
    <definedName name="_vena_CharterCashFlow3_CashFlowB1_C_FV_a398e917565c475b8f0c5e9ebb5e002d_71">#REF!</definedName>
    <definedName name="_vena_CharterCashFlow3_CashFlowB1_C_FV_a398e917565c475b8f0c5e9ebb5e002d_72">#REF!</definedName>
    <definedName name="_vena_CharterCashFlow3_CashFlowB1_C_FV_a398e917565c475b8f0c5e9ebb5e002d_73">#REF!</definedName>
    <definedName name="_vena_CharterCashFlow3_CashFlowB1_C_FV_a398e917565c475b8f0c5e9ebb5e002d_74">#REF!</definedName>
    <definedName name="_vena_CharterCashFlow3_CashFlowB1_C_FV_a398e917565c475b8f0c5e9ebb5e002d_75">#REF!</definedName>
    <definedName name="_vena_CharterCashFlow3_CashFlowB1_C_FV_a398e917565c475b8f0c5e9ebb5e002d_76">#REF!</definedName>
    <definedName name="_vena_CharterCashFlow3_CashFlowB1_C_FV_a398e917565c475b8f0c5e9ebb5e002d_77">#REF!</definedName>
    <definedName name="_vena_CharterCashFlow3_CashFlowB1_C_FV_a398e917565c475b8f0c5e9ebb5e002d_78">#REF!</definedName>
    <definedName name="_vena_CharterCashFlow3_CashFlowB1_C_FV_a398e917565c475b8f0c5e9ebb5e002d_79">#REF!</definedName>
    <definedName name="_vena_CharterCashFlow3_CashFlowB1_C_FV_a398e917565c475b8f0c5e9ebb5e002d_80">#REF!</definedName>
    <definedName name="_vena_CharterCashFlow3_CashFlowB1_C_FV_a398e917565c475b8f0c5e9ebb5e002d_81">#REF!</definedName>
    <definedName name="_vena_CharterCashFlow3_CashFlowB1_C_FV_a398e917565c475b8f0c5e9ebb5e002d_82">#REF!</definedName>
    <definedName name="_vena_CharterCashFlow3_CashFlowB1_C_FV_a398e917565c475b8f0c5e9ebb5e002d_83">#REF!</definedName>
    <definedName name="_vena_CharterCashFlow3_CashFlowB1_C_FV_e1c3a244dc3d4f149ecdf7d748811086">#REF!</definedName>
    <definedName name="_vena_CharterCashFlow3_CashFlowB1_C_FV_e1c3a244dc3d4f149ecdf7d748811086_1">#REF!</definedName>
    <definedName name="_vena_CharterCashFlow3_CashFlowB1_C_FV_e1c3a244dc3d4f149ecdf7d748811086_10">#REF!</definedName>
    <definedName name="_vena_CharterCashFlow3_CashFlowB1_C_FV_e1c3a244dc3d4f149ecdf7d748811086_11">#REF!</definedName>
    <definedName name="_vena_CharterCashFlow3_CashFlowB1_C_FV_e1c3a244dc3d4f149ecdf7d748811086_12">#REF!</definedName>
    <definedName name="_vena_CharterCashFlow3_CashFlowB1_C_FV_e1c3a244dc3d4f149ecdf7d748811086_13">#REF!</definedName>
    <definedName name="_vena_CharterCashFlow3_CashFlowB1_C_FV_e1c3a244dc3d4f149ecdf7d748811086_14">#REF!</definedName>
    <definedName name="_vena_CharterCashFlow3_CashFlowB1_C_FV_e1c3a244dc3d4f149ecdf7d748811086_15">#REF!</definedName>
    <definedName name="_vena_CharterCashFlow3_CashFlowB1_C_FV_e1c3a244dc3d4f149ecdf7d748811086_16">#REF!</definedName>
    <definedName name="_vena_CharterCashFlow3_CashFlowB1_C_FV_e1c3a244dc3d4f149ecdf7d748811086_17">#REF!</definedName>
    <definedName name="_vena_CharterCashFlow3_CashFlowB1_C_FV_e1c3a244dc3d4f149ecdf7d748811086_18">#REF!</definedName>
    <definedName name="_vena_CharterCashFlow3_CashFlowB1_C_FV_e1c3a244dc3d4f149ecdf7d748811086_19">#REF!</definedName>
    <definedName name="_vena_CharterCashFlow3_CashFlowB1_C_FV_e1c3a244dc3d4f149ecdf7d748811086_2">#REF!</definedName>
    <definedName name="_vena_CharterCashFlow3_CashFlowB1_C_FV_e1c3a244dc3d4f149ecdf7d748811086_20">#REF!</definedName>
    <definedName name="_vena_CharterCashFlow3_CashFlowB1_C_FV_e1c3a244dc3d4f149ecdf7d748811086_21">#REF!</definedName>
    <definedName name="_vena_CharterCashFlow3_CashFlowB1_C_FV_e1c3a244dc3d4f149ecdf7d748811086_22">#REF!</definedName>
    <definedName name="_vena_CharterCashFlow3_CashFlowB1_C_FV_e1c3a244dc3d4f149ecdf7d748811086_23">#REF!</definedName>
    <definedName name="_vena_CharterCashFlow3_CashFlowB1_C_FV_e1c3a244dc3d4f149ecdf7d748811086_24">#REF!</definedName>
    <definedName name="_vena_CharterCashFlow3_CashFlowB1_C_FV_e1c3a244dc3d4f149ecdf7d748811086_25">#REF!</definedName>
    <definedName name="_vena_CharterCashFlow3_CashFlowB1_C_FV_e1c3a244dc3d4f149ecdf7d748811086_26">#REF!</definedName>
    <definedName name="_vena_CharterCashFlow3_CashFlowB1_C_FV_e1c3a244dc3d4f149ecdf7d748811086_27">#REF!</definedName>
    <definedName name="_vena_CharterCashFlow3_CashFlowB1_C_FV_e1c3a244dc3d4f149ecdf7d748811086_28">#REF!</definedName>
    <definedName name="_vena_CharterCashFlow3_CashFlowB1_C_FV_e1c3a244dc3d4f149ecdf7d748811086_29">#REF!</definedName>
    <definedName name="_vena_CharterCashFlow3_CashFlowB1_C_FV_e1c3a244dc3d4f149ecdf7d748811086_3">#REF!</definedName>
    <definedName name="_vena_CharterCashFlow3_CashFlowB1_C_FV_e1c3a244dc3d4f149ecdf7d748811086_30">#REF!</definedName>
    <definedName name="_vena_CharterCashFlow3_CashFlowB1_C_FV_e1c3a244dc3d4f149ecdf7d748811086_31">#REF!</definedName>
    <definedName name="_vena_CharterCashFlow3_CashFlowB1_C_FV_e1c3a244dc3d4f149ecdf7d748811086_32">#REF!</definedName>
    <definedName name="_vena_CharterCashFlow3_CashFlowB1_C_FV_e1c3a244dc3d4f149ecdf7d748811086_33">#REF!</definedName>
    <definedName name="_vena_CharterCashFlow3_CashFlowB1_C_FV_e1c3a244dc3d4f149ecdf7d748811086_34">#REF!</definedName>
    <definedName name="_vena_CharterCashFlow3_CashFlowB1_C_FV_e1c3a244dc3d4f149ecdf7d748811086_35">#REF!</definedName>
    <definedName name="_vena_CharterCashFlow3_CashFlowB1_C_FV_e1c3a244dc3d4f149ecdf7d748811086_36">#REF!</definedName>
    <definedName name="_vena_CharterCashFlow3_CashFlowB1_C_FV_e1c3a244dc3d4f149ecdf7d748811086_37">#REF!</definedName>
    <definedName name="_vena_CharterCashFlow3_CashFlowB1_C_FV_e1c3a244dc3d4f149ecdf7d748811086_38">#REF!</definedName>
    <definedName name="_vena_CharterCashFlow3_CashFlowB1_C_FV_e1c3a244dc3d4f149ecdf7d748811086_39">#REF!</definedName>
    <definedName name="_vena_CharterCashFlow3_CashFlowB1_C_FV_e1c3a244dc3d4f149ecdf7d748811086_4">#REF!</definedName>
    <definedName name="_vena_CharterCashFlow3_CashFlowB1_C_FV_e1c3a244dc3d4f149ecdf7d748811086_40">#REF!</definedName>
    <definedName name="_vena_CharterCashFlow3_CashFlowB1_C_FV_e1c3a244dc3d4f149ecdf7d748811086_41">#REF!</definedName>
    <definedName name="_vena_CharterCashFlow3_CashFlowB1_C_FV_e1c3a244dc3d4f149ecdf7d748811086_42">#REF!</definedName>
    <definedName name="_vena_CharterCashFlow3_CashFlowB1_C_FV_e1c3a244dc3d4f149ecdf7d748811086_43">#REF!</definedName>
    <definedName name="_vena_CharterCashFlow3_CashFlowB1_C_FV_e1c3a244dc3d4f149ecdf7d748811086_44">#REF!</definedName>
    <definedName name="_vena_CharterCashFlow3_CashFlowB1_C_FV_e1c3a244dc3d4f149ecdf7d748811086_45">#REF!</definedName>
    <definedName name="_vena_CharterCashFlow3_CashFlowB1_C_FV_e1c3a244dc3d4f149ecdf7d748811086_46">#REF!</definedName>
    <definedName name="_vena_CharterCashFlow3_CashFlowB1_C_FV_e1c3a244dc3d4f149ecdf7d748811086_47">#REF!</definedName>
    <definedName name="_vena_CharterCashFlow3_CashFlowB1_C_FV_e1c3a244dc3d4f149ecdf7d748811086_48">#REF!</definedName>
    <definedName name="_vena_CharterCashFlow3_CashFlowB1_C_FV_e1c3a244dc3d4f149ecdf7d748811086_49">#REF!</definedName>
    <definedName name="_vena_CharterCashFlow3_CashFlowB1_C_FV_e1c3a244dc3d4f149ecdf7d748811086_5">#REF!</definedName>
    <definedName name="_vena_CharterCashFlow3_CashFlowB1_C_FV_e1c3a244dc3d4f149ecdf7d748811086_50">#REF!</definedName>
    <definedName name="_vena_CharterCashFlow3_CashFlowB1_C_FV_e1c3a244dc3d4f149ecdf7d748811086_51">#REF!</definedName>
    <definedName name="_vena_CharterCashFlow3_CashFlowB1_C_FV_e1c3a244dc3d4f149ecdf7d748811086_52">#REF!</definedName>
    <definedName name="_vena_CharterCashFlow3_CashFlowB1_C_FV_e1c3a244dc3d4f149ecdf7d748811086_53">#REF!</definedName>
    <definedName name="_vena_CharterCashFlow3_CashFlowB1_C_FV_e1c3a244dc3d4f149ecdf7d748811086_54">#REF!</definedName>
    <definedName name="_vena_CharterCashFlow3_CashFlowB1_C_FV_e1c3a244dc3d4f149ecdf7d748811086_55">#REF!</definedName>
    <definedName name="_vena_CharterCashFlow3_CashFlowB1_C_FV_e1c3a244dc3d4f149ecdf7d748811086_56">#REF!</definedName>
    <definedName name="_vena_CharterCashFlow3_CashFlowB1_C_FV_e1c3a244dc3d4f149ecdf7d748811086_57">#REF!</definedName>
    <definedName name="_vena_CharterCashFlow3_CashFlowB1_C_FV_e1c3a244dc3d4f149ecdf7d748811086_58">#REF!</definedName>
    <definedName name="_vena_CharterCashFlow3_CashFlowB1_C_FV_e1c3a244dc3d4f149ecdf7d748811086_59">#REF!</definedName>
    <definedName name="_vena_CharterCashFlow3_CashFlowB1_C_FV_e1c3a244dc3d4f149ecdf7d748811086_6">#REF!</definedName>
    <definedName name="_vena_CharterCashFlow3_CashFlowB1_C_FV_e1c3a244dc3d4f149ecdf7d748811086_60">#REF!</definedName>
    <definedName name="_vena_CharterCashFlow3_CashFlowB1_C_FV_e1c3a244dc3d4f149ecdf7d748811086_61">#REF!</definedName>
    <definedName name="_vena_CharterCashFlow3_CashFlowB1_C_FV_e1c3a244dc3d4f149ecdf7d748811086_62">#REF!</definedName>
    <definedName name="_vena_CharterCashFlow3_CashFlowB1_C_FV_e1c3a244dc3d4f149ecdf7d748811086_63">#REF!</definedName>
    <definedName name="_vena_CharterCashFlow3_CashFlowB1_C_FV_e1c3a244dc3d4f149ecdf7d748811086_64">#REF!</definedName>
    <definedName name="_vena_CharterCashFlow3_CashFlowB1_C_FV_e1c3a244dc3d4f149ecdf7d748811086_65">#REF!</definedName>
    <definedName name="_vena_CharterCashFlow3_CashFlowB1_C_FV_e1c3a244dc3d4f149ecdf7d748811086_66">#REF!</definedName>
    <definedName name="_vena_CharterCashFlow3_CashFlowB1_C_FV_e1c3a244dc3d4f149ecdf7d748811086_67">#REF!</definedName>
    <definedName name="_vena_CharterCashFlow3_CashFlowB1_C_FV_e1c3a244dc3d4f149ecdf7d748811086_68">#REF!</definedName>
    <definedName name="_vena_CharterCashFlow3_CashFlowB1_C_FV_e1c3a244dc3d4f149ecdf7d748811086_69">#REF!</definedName>
    <definedName name="_vena_CharterCashFlow3_CashFlowB1_C_FV_e1c3a244dc3d4f149ecdf7d748811086_7">#REF!</definedName>
    <definedName name="_vena_CharterCashFlow3_CashFlowB1_C_FV_e1c3a244dc3d4f149ecdf7d748811086_70">#REF!</definedName>
    <definedName name="_vena_CharterCashFlow3_CashFlowB1_C_FV_e1c3a244dc3d4f149ecdf7d748811086_71">#REF!</definedName>
    <definedName name="_vena_CharterCashFlow3_CashFlowB1_C_FV_e1c3a244dc3d4f149ecdf7d748811086_72">#REF!</definedName>
    <definedName name="_vena_CharterCashFlow3_CashFlowB1_C_FV_e1c3a244dc3d4f149ecdf7d748811086_73">#REF!</definedName>
    <definedName name="_vena_CharterCashFlow3_CashFlowB1_C_FV_e1c3a244dc3d4f149ecdf7d748811086_74">#REF!</definedName>
    <definedName name="_vena_CharterCashFlow3_CashFlowB1_C_FV_e1c3a244dc3d4f149ecdf7d748811086_75">#REF!</definedName>
    <definedName name="_vena_CharterCashFlow3_CashFlowB1_C_FV_e1c3a244dc3d4f149ecdf7d748811086_76">#REF!</definedName>
    <definedName name="_vena_CharterCashFlow3_CashFlowB1_C_FV_e1c3a244dc3d4f149ecdf7d748811086_77">#REF!</definedName>
    <definedName name="_vena_CharterCashFlow3_CashFlowB1_C_FV_e1c3a244dc3d4f149ecdf7d748811086_8">#REF!</definedName>
    <definedName name="_vena_CharterCashFlow3_CashFlowB1_C_FV_e1c3a244dc3d4f149ecdf7d748811086_9">#REF!</definedName>
    <definedName name="_vena_CharterCashFlow3_CashFlowB1_R_5_431662131277987840">#REF!</definedName>
    <definedName name="_vena_CharterCashFlow3_CashFlowB1_R_5_431662131290570752">#REF!</definedName>
    <definedName name="_vena_CharterCashFlow3_CashFlowB1_R_5_431662131294765057">#REF!</definedName>
    <definedName name="_vena_CharterCashFlow3_CashFlowB1_R_5_431662131298959361">#REF!</definedName>
    <definedName name="_vena_CharterCashFlow3_CashFlowB1_R_5_431662131303153665">#REF!</definedName>
    <definedName name="_vena_CharterCashFlow3_CashFlowB1_R_5_431662131311542273">#REF!</definedName>
    <definedName name="_vena_CharterCashFlow3_CashFlowB1_R_5_431662131315736577">#REF!</definedName>
    <definedName name="_vena_CharterCashFlow3_CashFlowB1_R_5_431662131324125185">#REF!</definedName>
    <definedName name="_vena_CharterCashFlow3_CashFlowB1_R_5_431662131328319489">#REF!</definedName>
    <definedName name="_vena_CharterCashFlow3_CashFlowB1_R_5_431662131332513793">#REF!</definedName>
    <definedName name="_vena_CharterCashFlow3_CashFlowB1_R_5_431662131336708097">#REF!</definedName>
    <definedName name="_vena_CharterCashFlow3_CashFlowB1_R_5_431662131340902401">#REF!</definedName>
    <definedName name="_vena_CharterCashFlow3_CashFlowB1_R_5_431662131345096705">#REF!</definedName>
    <definedName name="_vena_CharterCashFlow3_CashFlowB1_R_5_431662131353485313">#REF!</definedName>
    <definedName name="_vena_CharterCashFlow3_CashFlowB1_R_5_431662131378651136">#REF!</definedName>
    <definedName name="_vena_CharterCashFlow3_CashFlowB1_R_5_431662131387039744">#REF!</definedName>
    <definedName name="_vena_CharterCashFlow3_CashFlowB1_R_5_431662131395428353">#REF!</definedName>
    <definedName name="_vena_CharterCashFlow3_CashFlowB1_R_5_431662131399622657">#REF!</definedName>
    <definedName name="_vena_CharterCashFlow3_CashFlowB1_R_5_431662131408011265">#REF!</definedName>
    <definedName name="_vena_CharterCashFlow3_CashFlowB1_R_5_431662131412205569">#REF!</definedName>
    <definedName name="_vena_CharterCashFlow3_CashFlowB1_R_5_431662131420594177">#REF!</definedName>
    <definedName name="_vena_CharterCashFlow3_CashFlowB1_R_5_431662131424788481">#REF!</definedName>
    <definedName name="_vena_CharterCashFlow3_CashFlowB1_R_5_431662131433177088">#REF!</definedName>
    <definedName name="_vena_CharterCashFlow3_CashFlowB1_R_5_431662131437371393">#REF!</definedName>
    <definedName name="_vena_CharterCashFlow3_CashFlowB1_R_5_431662131449954305">#REF!</definedName>
    <definedName name="_vena_CharterCashFlow3_CashFlowB1_R_5_431662131458342913">#REF!</definedName>
    <definedName name="_vena_CharterCashFlow3_CashFlowB1_R_5_431662131462537217">#REF!</definedName>
    <definedName name="_vena_CharterCashFlow3_CashFlowB1_R_5_431662131466731521">#REF!</definedName>
    <definedName name="_vena_CharterCashFlow3_CashFlowB1_R_5_431662131475120129">#REF!</definedName>
    <definedName name="_vena_CharterCashFlow3_CashFlowB1_R_5_431662131487703041">#REF!</definedName>
    <definedName name="_vena_CharterCashFlow3_CashFlowB1_R_5_431662131496091649">#REF!</definedName>
    <definedName name="_vena_CharterCashFlow3_CashFlowB1_R_5_431662131500285953">#REF!</definedName>
    <definedName name="_vena_CharterCashFlow3_CashFlowB1_R_5_431662131504480257">#REF!</definedName>
    <definedName name="_vena_CharterCashFlow3_CashFlowB1_R_5_431662131508674561">#REF!</definedName>
    <definedName name="_vena_CharterCashFlow3_CashFlowB1_R_5_431662131512868865">#REF!</definedName>
    <definedName name="_vena_CharterCashFlow3_CashFlowB1_R_5_431662131517063169">#REF!</definedName>
    <definedName name="_vena_CharterCashFlow3_CashFlowB1_R_5_431662131529646081">#REF!</definedName>
    <definedName name="_vena_CharterCashFlow3_CashFlowB1_R_5_431662131546423296">#REF!</definedName>
    <definedName name="_vena_CharterCashFlow3_CashFlowB1_R_5_431662131550617601">#REF!</definedName>
    <definedName name="_vena_CharterCashFlow3_CashFlowB1_R_5_431662131554811905">#REF!</definedName>
    <definedName name="_vena_CharterCashFlow3_CashFlowB1_R_5_431662131559006209">#REF!</definedName>
    <definedName name="_vena_CharterCashFlow3_CashFlowB1_R_5_431662131567394816">#REF!</definedName>
    <definedName name="_vena_CharterCashFlow3_CashFlowB1_R_5_431662131571589121">#REF!</definedName>
    <definedName name="_vena_CharterCashFlow3_CashFlowB1_R_5_431662131575783425">#REF!</definedName>
    <definedName name="_vena_CharterCashFlow3_CashFlowB1_R_5_431662131579977729">#REF!</definedName>
    <definedName name="_vena_CharterCashFlow3_CashFlowB1_R_5_431662131588366337">#REF!</definedName>
    <definedName name="_vena_CharterCashFlow3_CashFlowB1_R_5_431662131592560641">#REF!</definedName>
    <definedName name="_vena_CharterCashFlow3_CashFlowB1_R_5_431662131596754945">#REF!</definedName>
    <definedName name="_vena_CharterCashFlow3_CashFlowB1_R_5_431662131600949249">#REF!</definedName>
    <definedName name="_vena_CharterCashFlow3_CashFlowB1_R_5_431662131609337857">#REF!</definedName>
    <definedName name="_vena_CharterCashFlow3_CashFlowB1_R_5_431662131613532161">#REF!</definedName>
    <definedName name="_vena_CharterCashFlow3_CashFlowB1_R_5_431662131621920769">#REF!</definedName>
    <definedName name="_vena_CharterCashFlow3_CashFlowB1_R_5_431662131626115073">#REF!</definedName>
    <definedName name="_vena_CharterCashFlow3_CashFlowB1_R_5_431662131630309377">#REF!</definedName>
    <definedName name="_vena_CharterCashFlow3_CashFlowB1_R_5_431662131638697985">#REF!</definedName>
    <definedName name="_vena_CharterCashFlow3_CashFlowB1_R_5_431662131642892289">#REF!</definedName>
    <definedName name="_vena_CharterCashFlow3_CashFlowB1_R_5_431662131647086593">#REF!</definedName>
    <definedName name="_vena_CharterCashFlow3_CashFlowB1_R_5_431662131655475200">#REF!</definedName>
    <definedName name="_vena_CharterCashFlow3_CashFlowB1_R_5_431662131659669505">#REF!</definedName>
    <definedName name="_vena_CharterCashFlow3_CashFlowB1_R_5_431662131663863809">#REF!</definedName>
    <definedName name="_vena_CharterCashFlow3_CashFlowB1_R_5_431662131668058116">#REF!</definedName>
    <definedName name="_vena_CharterCashFlow3_CashFlowB1_R_5_431662131676446721">#REF!</definedName>
    <definedName name="_vena_CharterCashFlow3_CashFlowB1_R_5_431662131680641025">#REF!</definedName>
    <definedName name="_vena_CharterCashFlow3_CashFlowB1_R_5_431662131689029634">#REF!</definedName>
    <definedName name="_vena_CharterCashFlow3_CashFlowB1_R_5_431662131693223939">#REF!</definedName>
    <definedName name="_vena_CharterCashFlow3_CashFlowB1_R_5_431662131697418241">#REF!</definedName>
    <definedName name="_vena_CharterCashFlow3_CashFlowB1_R_5_431662131701612545">#REF!</definedName>
    <definedName name="_vena_CharterCashFlow3_CashFlowB1_R_5_431662131710001152">#REF!</definedName>
    <definedName name="_vena_CharterCashFlow3_CashFlowB1_R_5_431662131714195457">#REF!</definedName>
    <definedName name="_vena_CharterCashFlow3_CashFlowB1_R_5_431662131718389761">#REF!</definedName>
    <definedName name="_vena_CharterCashFlow3_CashFlowB1_R_5_431662131722584065">#REF!</definedName>
    <definedName name="_vena_CharterCashFlow3_CashFlowB1_R_5_431662131726778369">#REF!</definedName>
    <definedName name="_vena_CharterCashFlow3_CashFlowB1_R_5_431662131730972673">#REF!</definedName>
    <definedName name="_vena_CharterCashFlow3_CashFlowB1_R_5_431662131735166977">#REF!</definedName>
    <definedName name="_vena_CharterCashFlow3_CashFlowB1_R_5_431662131743555585">#REF!</definedName>
    <definedName name="_vena_CharterCashFlow3_CashFlowB1_R_5_431662131747749889">#REF!</definedName>
    <definedName name="_vena_CharterCashFlow3_CashFlowB1_R_5_431662131751944193">#REF!</definedName>
    <definedName name="_vena_CharterCashFlow3_CashFlowB1_R_5_431662131756138497">#REF!</definedName>
    <definedName name="_vena_CharterCashFlow3_CashFlowB1_R_5_431662131760332801">#REF!</definedName>
    <definedName name="_vena_CharterCashFlow3_CashFlowB1_R_5_431662131764527105">#REF!</definedName>
    <definedName name="_vena_CharterCashFlow3_CashFlowB1_R_5_431662131768721409">#REF!</definedName>
    <definedName name="_vena_CharterCashFlow3_CashFlowB1_R_5_431662131777110017">#REF!</definedName>
    <definedName name="_vena_CharterCashFlow3_CashFlowB1_R_5_431662131781304321">#REF!</definedName>
    <definedName name="_vena_CharterCashFlow3_CashFlowB1_R_5_431662131785498625">#REF!</definedName>
    <definedName name="_vena_CharterCashFlow3_CashFlowB1_R_5_431662131789692929">#REF!</definedName>
    <definedName name="_vena_CharterCashFlow3_CashFlowB1_R_5_431662131793887233">#REF!</definedName>
    <definedName name="_vena_CharterCashFlow3_CashFlowB1_R_5_431662131802275840">#REF!</definedName>
    <definedName name="_vena_CharterCashFlow3_CashFlowB1_R_5_431662131810664449">#REF!</definedName>
    <definedName name="_vena_CharterCashFlow3_CashFlowB1_R_5_431662131823247360">#REF!</definedName>
    <definedName name="_vena_CharterCashFlow3_CashFlowB1_R_5_431662131831635968">#REF!</definedName>
    <definedName name="_vena_CharterCashFlow3_CashFlowB1_R_5_431662131835830273">#REF!</definedName>
    <definedName name="_vena_CharterCashFlow3_CashFlowB1_R_5_431662131840024577">#REF!</definedName>
    <definedName name="_vena_CharterCashFlow3_CashFlowB1_R_5_431662131848413185">#REF!</definedName>
    <definedName name="_vena_CharterCashFlow3_CashFlowB1_R_5_431662131852607489">#REF!</definedName>
    <definedName name="_vena_CharterCashFlow3_CashFlowB1_R_5_431662131856801793">#REF!</definedName>
    <definedName name="_vena_CharterCashFlow3_CashFlowB1_R_5_431662131860996097">#REF!</definedName>
    <definedName name="_vena_CharterCashFlow3_CashFlowB1_R_5_431662131865190401">#REF!</definedName>
    <definedName name="_vena_CharterCashFlow3_CashFlowB1_R_5_431662131869384705">#REF!</definedName>
    <definedName name="_vena_CharterCashFlow3_CashFlowB1_R_5_431662131877773313">#REF!</definedName>
    <definedName name="_vena_CharterCashFlow3_CashFlowB1_R_5_431662131881967617">#REF!</definedName>
    <definedName name="_vena_CharterCashFlow3_CashFlowB1_R_5_431662131886161921">#REF!</definedName>
    <definedName name="_vena_CharterCashFlow3_CashFlowB1_R_5_431662131890356226">#REF!</definedName>
    <definedName name="_vena_CharterCashFlow3_CashFlowB1_R_5_431662131898744835">#REF!</definedName>
    <definedName name="_vena_CharterCashFlow3_CashFlowB1_R_5_431662131915522048">#REF!</definedName>
    <definedName name="_vena_CharterCashFlow3_CashFlowB1_R_5_431662131919716368">#REF!</definedName>
    <definedName name="_vena_CharterCashFlow3_CashFlowB1_R_5_431662131928104961">#REF!</definedName>
    <definedName name="_vena_CharterCashFlow3_CashFlowB1_R_5_431662131932299265">#REF!</definedName>
    <definedName name="_vena_CharterCashFlow3_CashFlowB1_R_5_431662131978436608">#REF!</definedName>
    <definedName name="_vena_CharterCashFlow3_CashFlowB1_R_5_431662131995213824">#REF!</definedName>
    <definedName name="_vena_CharterCashFlow3_CashFlowB1_R_5_431662131999408129">#REF!</definedName>
    <definedName name="_vena_CharterCashFlow3_CashFlowB1_R_5_431662132007796737">#REF!</definedName>
    <definedName name="_vena_CharterCashFlow3_CashFlowB1_R_5_431662132011991041">#REF!</definedName>
    <definedName name="_vena_CharterCashFlow3_CashFlowB1_R_5_431662132016185345">#REF!</definedName>
    <definedName name="_vena_CharterCashFlow3_CashFlowB1_R_5_431662132020379649">#REF!</definedName>
    <definedName name="_vena_CharterCashFlow3_CashFlowB1_R_5_431662132037156865">#REF!</definedName>
    <definedName name="_vena_CharterCashFlow3_CashFlowB1_R_5_431662132041351169">#REF!</definedName>
    <definedName name="_vena_CharterCashFlow3_CashFlowB1_R_5_431662132049739777">#REF!</definedName>
    <definedName name="_vena_CharterCashFlow3_CashFlowB1_R_5_431662132053934081">#REF!</definedName>
    <definedName name="_vena_CharterCashFlow3_CashFlowB1_R_5_431662132058128385">#REF!</definedName>
    <definedName name="_vena_CharterCashFlow3_CashFlowB1_R_5_431662132066516992">#REF!</definedName>
    <definedName name="_vena_CharterCashFlow3_CashFlowB1_R_5_431662132070711297">#REF!</definedName>
    <definedName name="_vena_CharterCashFlow3_CashFlowB1_R_5_431662132074905601">#REF!</definedName>
    <definedName name="_vena_CharterCashFlow3_CashFlowB1_R_5_431662132079099905">#REF!</definedName>
    <definedName name="_vena_CharterCashFlow3_CashFlowB1_R_5_431662132087488513">#REF!</definedName>
    <definedName name="_vena_CharterCashFlow3_CashFlowB1_R_5_431662132091682817">#REF!</definedName>
    <definedName name="_vena_CharterCashFlow3_CashFlowB1_R_5_431662132095877121">#REF!</definedName>
    <definedName name="_vena_CharterCashFlow3_CashFlowB1_R_5_431662132104265728">#REF!</definedName>
    <definedName name="_vena_CharterCashFlow3_CashFlowB1_R_5_431662132108460033">#REF!</definedName>
    <definedName name="_vena_CharterCashFlow3_CashFlowB1_R_5_431662132112654337">#REF!</definedName>
    <definedName name="_vena_CharterCashFlow3_CashFlowB1_R_5_431662132121042945">#REF!</definedName>
    <definedName name="_vena_CharterCashFlow3_CashFlowB1_R_5_431662132125237249">#REF!</definedName>
    <definedName name="_vena_CharterCashFlow3_CashFlowB1_R_5_431662132133625857">#REF!</definedName>
    <definedName name="_vena_CharterCashFlow3_CashFlowB1_R_5_431662132137820161">#REF!</definedName>
    <definedName name="_vena_CharterCashFlow3_CashFlowB1_R_5_431662132142014465">#REF!</definedName>
    <definedName name="_vena_CharterCashFlow3_CashFlowB1_R_5_431662132150403073">#REF!</definedName>
    <definedName name="_vena_CharterCashFlow3_CashFlowB1_R_5_431662132154597377">#REF!</definedName>
    <definedName name="_vena_CharterCashFlow3_CashFlowB1_R_5_431662132158791681">#REF!</definedName>
    <definedName name="_vena_CharterCashFlow3_CashFlowB1_R_5_431662132175568897">#REF!</definedName>
    <definedName name="_vena_CharterCashFlow3_CashFlowB1_R_5_431662132188151809">#REF!</definedName>
    <definedName name="_vena_CharterCashFlow3_CashFlowB1_R_5_431662132192346113">#REF!</definedName>
    <definedName name="_vena_CharterCashFlow3_CashFlowB1_R_5_431662132200734721">#REF!</definedName>
    <definedName name="_vena_CharterCashFlow3_CashFlowB1_R_5_431662132204929025">#REF!</definedName>
    <definedName name="_vena_CharterCashFlow3_CashFlowB1_R_5_431662132209123329">#REF!</definedName>
    <definedName name="_vena_CharterCashFlow3_CashFlowB1_R_5_431662132217511937">#REF!</definedName>
    <definedName name="_vena_CharterCashFlow3_CashFlowB1_R_5_431662132221706241">#REF!</definedName>
    <definedName name="_vena_CharterCashFlow3_CashFlowB1_R_5_431662132225900545">#REF!</definedName>
    <definedName name="_vena_CharterCashFlow3_CashFlowB1_R_5_431662132234289153">#REF!</definedName>
    <definedName name="_vena_CharterCashFlow3_CashFlowB1_R_5_431662132242677761">#REF!</definedName>
    <definedName name="_vena_CharterCashFlow3_CashFlowB1_R_5_431662132259454976">#REF!</definedName>
    <definedName name="_vena_CharterCashFlow3_CashFlowB1_R_5_431662132267843585">#REF!</definedName>
    <definedName name="_vena_CharterCashFlow3_CashFlowB1_R_5_431662132272037889">#REF!</definedName>
    <definedName name="_vena_CharterCashFlow3_CashFlowB1_R_5_431662132276232193">#REF!</definedName>
    <definedName name="_vena_CharterCashFlow3_CashFlowB1_R_5_431662132284620801">#REF!</definedName>
    <definedName name="_vena_CharterCashFlow3_CashFlowB1_R_5_431662132288815105">#REF!</definedName>
    <definedName name="_vena_CharterCashFlow3_CashFlowB1_R_5_431662132297203713">#REF!</definedName>
    <definedName name="_vena_CharterCashFlow3_CashFlowB1_R_5_431662132301398017">#REF!</definedName>
    <definedName name="_vena_CharterCashFlow3_CashFlowB1_R_5_431662132305592321">#REF!</definedName>
    <definedName name="_vena_CharterCashFlow3_CashFlowB1_R_5_431662132309786625">#REF!</definedName>
    <definedName name="_vena_CharterCashFlow3_CashFlowB1_R_5_431662132318175233">#REF!</definedName>
    <definedName name="_vena_CharterCashFlow3_CashFlowB1_R_5_431662132322369537">#REF!</definedName>
    <definedName name="_vena_CharterCashFlow3_CashFlowB1_R_5_431662132326563841">#REF!</definedName>
    <definedName name="_vena_CharterCashFlow3_CashFlowB1_R_5_431662132334952449">#REF!</definedName>
    <definedName name="_vena_CharterCashFlow3_CashFlowB1_R_5_431662132339146753">#REF!</definedName>
    <definedName name="_vena_CharterCashFlow3_CashFlowB1_R_5_431662132347535361">#REF!</definedName>
    <definedName name="_vena_CharterCashFlow3_CashFlowB1_R_5_431662132351729665">#REF!</definedName>
    <definedName name="_vena_CharterCashFlow3_CashFlowB1_R_5_431662132355923969">#REF!</definedName>
    <definedName name="_vena_CharterCashFlow3_CashFlowB1_R_5_431662132364312576">#REF!</definedName>
    <definedName name="_vena_CharterCashFlow3_CashFlowB1_R_5_431662132368506881">#REF!</definedName>
    <definedName name="_vena_CharterCashFlow3_CashFlowB1_R_5_431662132372701185">#REF!</definedName>
    <definedName name="_vena_CharterCashFlow3_CashFlowB1_R_5_431662132376895489">#REF!</definedName>
    <definedName name="_vena_CharterCashFlow3_CashFlowB1_R_5_431662132385284097">#REF!</definedName>
    <definedName name="_vena_CharterCashFlow3_CashFlowB1_R_5_431662132389478401">#REF!</definedName>
    <definedName name="_vena_CharterCashFlow3_CashFlowB1_R_5_431662132393672705">#REF!</definedName>
    <definedName name="_vena_CharterCashFlow3_CashFlowB1_R_5_431662132397867009">#REF!</definedName>
    <definedName name="_vena_CharterCashFlow3_CashFlowB1_R_5_431662132406255617">#REF!</definedName>
    <definedName name="_vena_CharterCashFlow3_CashFlowB1_R_5_431662132410449921">#REF!</definedName>
    <definedName name="_vena_CharterCashFlow3_CashFlowB1_R_5_431662132414644225">#REF!</definedName>
    <definedName name="_vena_CharterCashFlow3_CashFlowB1_R_5_431662132423032833">#REF!</definedName>
    <definedName name="_vena_CharterCashFlow3_CashFlowB1_R_5_431662132427227137">#REF!</definedName>
    <definedName name="_vena_CharterCashFlow3_CashFlowB1_R_5_431662132431421441">#REF!</definedName>
    <definedName name="_vena_CharterCashFlow3_CashFlowB1_R_5_431662132435615745">#REF!</definedName>
    <definedName name="_vena_CharterCashFlow3_CashFlowB1_R_5_431662132444004353">#REF!</definedName>
    <definedName name="_vena_CharterCashFlow3_CashFlowB1_R_5_431662132448198657">#REF!</definedName>
    <definedName name="_vena_CharterCashFlow3_CashFlowB1_R_5_431662132452392961">#REF!</definedName>
    <definedName name="_vena_CharterCashFlow3_CashFlowB1_R_5_431662132460781568">#REF!</definedName>
    <definedName name="_vena_CharterCashFlow3_CashFlowB1_R_5_431662132464975873">#REF!</definedName>
    <definedName name="_vena_CharterCashFlow3_CashFlowB1_R_5_431662132469170177">#REF!</definedName>
    <definedName name="_vena_CharterCashFlow3_CashFlowB1_R_5_431662132477558784">#REF!</definedName>
    <definedName name="_vena_CharterCashFlow3_CashFlowB1_R_5_431662132481753089">#REF!</definedName>
    <definedName name="_vena_CharterCashFlow3_CashFlowB1_R_5_431662132485947393">#REF!</definedName>
    <definedName name="_vena_CharterCashFlow3_CashFlowB1_R_5_431662132494336001">#REF!</definedName>
    <definedName name="_vena_CharterCashFlow3_CashFlowB1_R_5_431662132498530305">#REF!</definedName>
    <definedName name="_vena_CharterCashFlow3_CashFlowB1_R_5_431662132502724609">#REF!</definedName>
    <definedName name="_vena_CharterCashFlow3_CashFlowB1_R_5_431662132506918913">#REF!</definedName>
    <definedName name="_vena_CharterCashFlow3_CashFlowB1_R_5_431662132511113217">#REF!</definedName>
    <definedName name="_vena_CharterCashFlow3_CashFlowB1_R_5_431662132515307521">#REF!</definedName>
    <definedName name="_vena_CharterCashFlow3_CashFlowB1_R_5_431662132527890433">#REF!</definedName>
    <definedName name="_vena_CharterCashFlow3_CashFlowB1_R_5_431662132544667648">#REF!</definedName>
    <definedName name="_vena_CharterCashFlow3_CashFlowB1_R_5_431662132548861953">#REF!</definedName>
    <definedName name="_vena_CharterCashFlow3_CashFlowB1_R_5_431662132553056257">#REF!</definedName>
    <definedName name="_vena_CharterCashFlow3_CashFlowB1_R_5_431662132557250561">#REF!</definedName>
    <definedName name="_vena_CharterCashFlow3_CashFlowB1_R_5_431662132561444865">#REF!</definedName>
    <definedName name="_vena_CharterCashFlow3_CashFlowB1_R_5_431662132565639169">#REF!</definedName>
    <definedName name="_vena_CharterCashFlow3_CashFlowB1_R_5_431662132574027777">#REF!</definedName>
    <definedName name="_vena_CharterCashFlow3_CashFlowB1_R_5_431662132578222081">#REF!</definedName>
    <definedName name="_vena_CharterCashFlow3_CashFlowB1_R_5_431662132582416385">#REF!</definedName>
    <definedName name="_vena_CharterCashFlow3_CashFlowB1_R_5_431662132590804992">#REF!</definedName>
    <definedName name="_vena_CharterCashFlow3_CashFlowB1_R_5_431662132594999297">#REF!</definedName>
    <definedName name="_vena_CharterCashFlow3_CashFlowB1_R_5_431662132599193601">#REF!</definedName>
    <definedName name="_vena_CharterCashFlow3_CashFlowB1_R_5_431662132603387905">#REF!</definedName>
    <definedName name="_vena_CharterCashFlow3_CashFlowB1_R_5_431662132607582211">#REF!</definedName>
    <definedName name="_vena_CharterCashFlow3_CashFlowB1_R_5_431662132615970817">#REF!</definedName>
    <definedName name="_vena_CharterCashFlow3_CashFlowB1_R_5_431662132620165121">#REF!</definedName>
    <definedName name="_vena_CharterCashFlow3_CashFlowB1_R_5_431662132624359425">#REF!</definedName>
    <definedName name="_vena_CharterCashFlow3_CashFlowB1_R_5_431662132628553729">#REF!</definedName>
    <definedName name="_vena_CharterCashFlow3_CashFlowB1_R_5_431662132632748035">#REF!</definedName>
    <definedName name="_vena_CharterCashFlow3_CashFlowB1_R_5_431662132641136641">#REF!</definedName>
    <definedName name="_vena_CharterCashFlow3_CashFlowB1_R_5_431662132645330945">#REF!</definedName>
    <definedName name="_vena_CharterCashFlow3_CashFlowB1_R_5_431662132649525249">#REF!</definedName>
    <definedName name="_vena_CharterCashFlow3_CashFlowB1_R_5_431662132653719553">#REF!</definedName>
    <definedName name="_vena_CharterCashFlow3_CashFlowB1_R_5_431662132657913857">#REF!</definedName>
    <definedName name="_vena_CharterCashFlow3_CashFlowB1_R_5_431662132662108163">#REF!</definedName>
    <definedName name="_vena_CharterCashFlow3_CashFlowB1_R_5_431662132666302467">#REF!</definedName>
    <definedName name="_vena_CharterCashFlow3_CashFlowB1_R_5_431662132674691073">#REF!</definedName>
    <definedName name="_vena_CharterCashFlow3_CashFlowB1_R_5_431662132678885377">#REF!</definedName>
    <definedName name="_vena_CharterCashFlow3_CashFlowB1_R_5_431662132683079681">#REF!</definedName>
    <definedName name="_vena_CharterCashFlow3_CashFlowB1_R_5_431662132687273985">#REF!</definedName>
    <definedName name="_vena_CharterCashFlow3_CashFlowB1_R_5_431662132691468289">#REF!</definedName>
    <definedName name="_vena_CharterCashFlow3_CashFlowB1_R_5_431662132695662593">#REF!</definedName>
    <definedName name="_vena_CharterCashFlow3_CashFlowB1_R_5_431662132708245505">#REF!</definedName>
    <definedName name="_vena_CharterCashFlow3_CashFlowB1_R_5_431662132720828416">#REF!</definedName>
    <definedName name="_vena_CharterCashFlow3_CashFlowB1_R_5_431662132725022721">#REF!</definedName>
    <definedName name="_vena_CharterCashFlow3_CashFlowB1_R_5_431662132729217025">#REF!</definedName>
    <definedName name="_vena_CharterCashFlow3_CashFlowB1_R_5_431662132737605633">#REF!</definedName>
    <definedName name="_vena_CharterCashFlow3_CashFlowB1_R_5_431662132741799937">#REF!</definedName>
    <definedName name="_vena_CharterCashFlow3_CashFlowB1_R_5_431662132745994241">#REF!</definedName>
    <definedName name="_vena_CharterCashFlow3_CashFlowB1_R_5_431662132754382849">#REF!</definedName>
    <definedName name="_vena_CharterCashFlow3_CashFlowB1_R_5_431662132758577153">#REF!</definedName>
    <definedName name="_vena_CharterCashFlow3_CashFlowB1_R_5_431662132762771457">#REF!</definedName>
    <definedName name="_vena_CharterCashFlow3_CashFlowB1_R_5_431662132766965761">#REF!</definedName>
    <definedName name="_vena_CharterCashFlow3_CashFlowB1_R_5_431662132771160065">#REF!</definedName>
    <definedName name="_vena_CharterCashFlow3_CashFlowB1_R_5_431662132775354369">#REF!</definedName>
    <definedName name="_vena_CharterCashFlow3_CashFlowB1_R_5_431662132783742977">#REF!</definedName>
    <definedName name="_vena_CharterCashFlow3_CashFlowB1_R_5_431662132787937281">#REF!</definedName>
    <definedName name="_vena_CharterCashFlow3_CashFlowB1_R_5_431662132792131585">#REF!</definedName>
    <definedName name="_vena_CharterCashFlow3_CashFlowB1_R_5_431662132796325889">#REF!</definedName>
    <definedName name="_vena_CharterCashFlow3_CashFlowB1_R_5_431662132800520193">#REF!</definedName>
    <definedName name="_vena_CharterCashFlow3_CashFlowB1_R_5_431662132804714497">#REF!</definedName>
    <definedName name="_vena_CharterCashFlow3_CashFlowB1_R_5_431662132813103104">#REF!</definedName>
    <definedName name="_vena_CharterCashFlow3_CashFlowB1_R_5_431662132817297409">#REF!</definedName>
    <definedName name="_vena_CharterCashFlow3_CashFlowB1_R_5_431662132821491713">#REF!</definedName>
    <definedName name="_vena_CharterCashFlow3_CashFlowB1_R_5_431662132825686017">#REF!</definedName>
    <definedName name="_vena_CharterCashFlow3_CashFlowB1_R_5_431662132829880321">#REF!</definedName>
    <definedName name="_vena_CharterCashFlow3_CashFlowB1_R_5_431662132834074625">#REF!</definedName>
    <definedName name="_vena_CharterCashFlow3_CashFlowB1_R_5_431662132838268929">#REF!</definedName>
    <definedName name="_vena_CharterCashFlow3_CashFlowB1_R_5_431662132846657537">#REF!</definedName>
    <definedName name="_vena_CharterCashFlow3_CashFlowB1_R_5_431662132850851841">#REF!</definedName>
    <definedName name="_vena_CharterCashFlow3_CashFlowB1_R_5_431662132855046145">#REF!</definedName>
    <definedName name="_vena_CharterCashFlow3_CashFlowB1_R_5_431662132859240449">#REF!</definedName>
    <definedName name="_vena_CharterCashFlow3_CashFlowB1_R_5_431662132863434753">#REF!</definedName>
    <definedName name="_vena_CharterCashFlow3_CashFlowB1_R_5_431662132871823361">#REF!</definedName>
    <definedName name="_vena_CharterCashFlow3_CashFlowB1_R_5_431662132876017665">#REF!</definedName>
    <definedName name="_vena_CharterCashFlow3_CashFlowB1_R_5_431662132880211969">#REF!</definedName>
    <definedName name="_vena_CharterCashFlow3_CashFlowB1_R_5_431662132884406273">#REF!</definedName>
    <definedName name="_vena_CharterCashFlow3_CashFlowB1_R_5_431662132888600577">#REF!</definedName>
    <definedName name="_vena_CharterCashFlow3_CashFlowB1_R_5_431662132892794881">#REF!</definedName>
    <definedName name="_vena_CharterCashFlow3_CashFlowB1_R_5_431662132901183489">#REF!</definedName>
    <definedName name="_vena_CharterCashFlow3_CashFlowB1_R_5_431662132905377793">#REF!</definedName>
    <definedName name="_vena_CharterCashFlow3_CashFlowB1_R_5_431662132909572097">#REF!</definedName>
    <definedName name="_vena_CharterCashFlow3_CashFlowB1_R_5_431662132913766401">#REF!</definedName>
    <definedName name="_vena_CharterCashFlow3_CashFlowB1_R_5_431662132922155008">#REF!</definedName>
    <definedName name="_vena_CharterCashFlow3_CashFlowB1_R_5_431662132926349313">#REF!</definedName>
    <definedName name="_vena_CharterCashFlow3_CashFlowB1_R_5_431662132930543617">#REF!</definedName>
    <definedName name="_vena_CharterCashFlow3_CashFlowB1_R_5_431662132934737921">#REF!</definedName>
    <definedName name="_vena_CharterCashFlow3_CashFlowB1_R_5_431662132938932225">#REF!</definedName>
    <definedName name="_vena_CharterCashFlow3_CashFlowB1_R_5_431662132947320833">#REF!</definedName>
    <definedName name="_vena_CharterCashFlow3_CashFlowB1_R_5_431662132951515137">#REF!</definedName>
    <definedName name="_vena_CharterCashFlow3_CashFlowB1_R_5_431662132955709441">#REF!</definedName>
    <definedName name="_vena_CharterCashFlow3_CashFlowB1_R_5_431662132959903745">#REF!</definedName>
    <definedName name="_vena_CharterCashFlow3_CashFlowB1_R_5_431662132968292353">#REF!</definedName>
    <definedName name="_vena_CharterCashFlow3_CashFlowB1_R_5_431662132976680961">#REF!</definedName>
    <definedName name="_vena_CharterCashFlow3_CashFlowB1_R_5_431662132985069569">#REF!</definedName>
    <definedName name="_vena_CharterCashFlow3_CashFlowB1_R_5_431662133001846784">#REF!</definedName>
    <definedName name="_vena_CharterCashFlow3_CashFlowB1_R_5_431662133006041089">#REF!</definedName>
    <definedName name="_vena_CharterCashFlow3_CashFlowB1_R_5_431662133014429697">#REF!</definedName>
    <definedName name="_vena_CharterCashFlow3_CashFlowB1_R_5_431662133018624001">#REF!</definedName>
    <definedName name="_vena_CharterCashFlow3_CashFlowB1_R_5_431662133022818305">#REF!</definedName>
    <definedName name="_vena_CharterCashFlow3_CashFlowB1_R_5_431662133031206913">#REF!</definedName>
    <definedName name="_vena_CharterCashFlow3_CashFlowB1_R_5_431662133035401217">#REF!</definedName>
    <definedName name="_vena_CharterCashFlow3_CashFlowB1_R_5_431662133039595521">#REF!</definedName>
    <definedName name="_vena_CharterCashFlow3_CashFlowB1_R_5_431662133043789825">#REF!</definedName>
    <definedName name="_vena_CharterCashFlow3_CashFlowB1_R_5_431662133047984129">#REF!</definedName>
    <definedName name="_vena_CharterCashFlow3_CashFlowB1_R_5_431662133052178433">#REF!</definedName>
    <definedName name="_vena_CharterCashFlow3_CashFlowB1_R_5_431662133056372737">#REF!</definedName>
    <definedName name="_vena_CharterCashFlow3_CashFlowB1_R_5_431662133064761344">#REF!</definedName>
    <definedName name="_vena_CharterCashFlow3_CashFlowB1_R_5_431662133068955649">#REF!</definedName>
    <definedName name="_vena_CharterCashFlow3_CashFlowB1_R_5_431662133073149953">#REF!</definedName>
    <definedName name="_vena_CharterCashFlow3_CashFlowB1_R_5_431662133077344257">#REF!</definedName>
    <definedName name="_vena_CharterCashFlow3_CashFlowB1_R_5_431662133081538561">#REF!</definedName>
    <definedName name="_vena_CharterCashFlow3_CashFlowB1_R_5_431662133085732865">#REF!</definedName>
    <definedName name="_vena_CharterCashFlow3_CashFlowB1_R_5_431662133089927169">#REF!</definedName>
    <definedName name="_vena_CharterCashFlow3_CashFlowB1_R_5_431662133098315777">#REF!</definedName>
    <definedName name="_vena_CharterCashFlow3_CashFlowB1_R_5_431662133102510081">#REF!</definedName>
    <definedName name="_vena_CharterCashFlow3_CashFlowB1_R_5_431662133106704385">#REF!</definedName>
    <definedName name="_vena_CharterCashFlow3_CashFlowB1_R_5_431662133110898689">#REF!</definedName>
    <definedName name="_vena_CharterCashFlow3_CashFlowB1_R_5_431662133115092993">#REF!</definedName>
    <definedName name="_vena_CharterCashFlow3_CashFlowB1_R_5_431662133119287297">#REF!</definedName>
    <definedName name="_vena_CharterCashFlow3_CashFlowB1_R_5_431662133123481601">#REF!</definedName>
    <definedName name="_vena_CharterCashFlow3_CashFlowB1_R_5_431662133131870208">#REF!</definedName>
    <definedName name="_vena_CharterCashFlow3_CashFlowB1_R_5_431662133136064513">#REF!</definedName>
    <definedName name="_vena_CharterCashFlow3_CashFlowB1_R_5_431662133140258817">#REF!</definedName>
    <definedName name="_vena_CharterCashFlow3_CashFlowB1_R_5_431662133144453121">#REF!</definedName>
    <definedName name="_vena_CharterCashFlow3_CashFlowB1_R_5_431662133148647425">#REF!</definedName>
    <definedName name="_vena_CharterCashFlow3_CashFlowB1_R_5_431662133152841729">#REF!</definedName>
    <definedName name="_vena_CharterCashFlow3_CashFlowB1_R_5_431662133157036033">#REF!</definedName>
    <definedName name="_vena_CharterCashFlow3_CashFlowB1_R_5_431662133165424641">#REF!</definedName>
    <definedName name="_vena_CharterCashFlow3_CashFlowB1_R_5_431662133169618945">#REF!</definedName>
    <definedName name="_vena_CharterCashFlow3_CashFlowB1_R_5_431662133173813249">#REF!</definedName>
    <definedName name="_vena_CharterCashFlow3_CashFlowB1_R_5_431662133178007553">#REF!</definedName>
    <definedName name="_vena_CharterCashFlow3_CashFlowB1_R_5_431662133182201857">#REF!</definedName>
    <definedName name="_vena_CharterCashFlow3_CashFlowB1_R_5_431662133186396161">#REF!</definedName>
    <definedName name="_vena_CharterCashFlow3_CashFlowB1_R_5_431662133194784769">#REF!</definedName>
    <definedName name="_vena_CharterCashFlow3_CashFlowB1_R_5_431662133198979073">#REF!</definedName>
    <definedName name="_vena_CharterCashFlow3_CashFlowB1_R_5_431662133203173377">#REF!</definedName>
    <definedName name="_vena_CharterCashFlow3_CashFlowB1_R_5_431662133207367681">#REF!</definedName>
    <definedName name="_vena_CharterCashFlow3_CashFlowB1_R_5_431662133211561985">#REF!</definedName>
    <definedName name="_vena_CharterCashFlow3_CashFlowB1_R_5_431662133219950592">#REF!</definedName>
    <definedName name="_vena_CharterCashFlow3_CashFlowB1_R_5_431662133224144897">#REF!</definedName>
    <definedName name="_vena_CharterCashFlow3_CashFlowB1_R_5_431662133228339201">#REF!</definedName>
    <definedName name="_vena_CharterCashFlow3_CashFlowB1_R_5_431662133232533505">#REF!</definedName>
    <definedName name="_vena_CharterCashFlow3_CashFlowB1_R_5_431662133236727809">#REF!</definedName>
    <definedName name="_vena_CharterCashFlow3_CashFlowB1_R_5_431662133240922113">#REF!</definedName>
    <definedName name="_vena_CharterCashFlow3_CashFlowB1_R_5_431662133245116417">#REF!</definedName>
    <definedName name="_vena_CharterCashFlow3_CashFlowB1_R_5_431662133249310721">#REF!</definedName>
    <definedName name="_vena_CharterCashFlow3_CashFlowB1_R_5_431662133257699328">#REF!</definedName>
    <definedName name="_vena_CharterCashFlow3_CashFlowB1_R_5_431662133261893633">#REF!</definedName>
    <definedName name="_vena_CharterCashFlow3_CashFlowB1_R_5_431662133266087937">#REF!</definedName>
    <definedName name="_vena_CharterCashFlow3_CashFlowB1_R_5_431662133270282241">#REF!</definedName>
    <definedName name="_vena_CharterCashFlow3_CashFlowB1_R_5_431662133274476545">#REF!</definedName>
    <definedName name="_vena_CharterCashFlow3_CashFlowB1_R_5_431662133282865153">#REF!</definedName>
    <definedName name="_vena_CharterCashFlow3_CashFlowB1_R_5_431662133291253761">#REF!</definedName>
    <definedName name="_vena_CharterCashFlow3_CashFlowB1_R_5_431662133299642369">#REF!</definedName>
    <definedName name="_vena_CharterCashFlow3_CashFlowB1_R_5_431662133308030977">#REF!</definedName>
    <definedName name="_vena_CharterCashFlow3_CashFlowB1_R_5_431662133312225281">#REF!</definedName>
    <definedName name="_vena_CharterCashFlow3_CashFlowB1_R_5_431662133316419585">#REF!</definedName>
    <definedName name="_vena_CharterCashFlow3_CashFlowB1_R_5_431662133320613889">#REF!</definedName>
    <definedName name="_vena_CharterCashFlow3_CashFlowB1_R_5_431662133329002497">#REF!</definedName>
    <definedName name="_vena_CharterCashFlow3_CashFlowB1_R_5_431662133333196801">#REF!</definedName>
    <definedName name="_vena_CharterCashFlow3_CashFlowB1_R_5_431662133337391105">#REF!</definedName>
    <definedName name="_vena_CharterCashFlow3_CashFlowB1_R_5_431662133341585409">#REF!</definedName>
    <definedName name="_vena_CharterCashFlow3_CashFlowB1_R_5_431662133345779713">#REF!</definedName>
    <definedName name="_vena_CharterCashFlow3_CashFlowB1_R_5_431662133349974017">#REF!</definedName>
    <definedName name="_vena_CharterCashFlow3_CashFlowB1_R_5_431662133358362624">#REF!</definedName>
    <definedName name="_vena_CharterCashFlow3_CashFlowB1_R_5_431662133362556929">#REF!</definedName>
    <definedName name="_vena_CharterCashFlow3_CashFlowB1_R_5_431662133366751233">#REF!</definedName>
    <definedName name="_vena_CharterCashFlow3_CashFlowB1_R_5_431662133370945537">#REF!</definedName>
    <definedName name="_vena_CharterCashFlow3_CashFlowB1_R_5_431662133375139841">#REF!</definedName>
    <definedName name="_vena_CharterCashFlow3_CashFlowB1_R_5_431662133383528449">#REF!</definedName>
    <definedName name="_vena_CharterCashFlow3_CashFlowB1_R_5_431662133387722753">#REF!</definedName>
    <definedName name="_vena_CharterCashFlow3_CashFlowB1_R_5_431662133391917057">#REF!</definedName>
    <definedName name="_vena_CharterCashFlow3_CashFlowB1_R_5_431662133396111361">#REF!</definedName>
    <definedName name="_vena_CharterCashFlow3_CashFlowB1_R_5_431662133400305665">#REF!</definedName>
    <definedName name="_vena_CharterCashFlow3_CashFlowB1_R_5_431662133404499969">#REF!</definedName>
    <definedName name="_vena_CharterCashFlow3_CashFlowB1_R_5_431662133408694273">#REF!</definedName>
    <definedName name="_vena_CharterCashFlow3_CashFlowB1_R_5_431662133417082881">#REF!</definedName>
    <definedName name="_vena_CharterCashFlow3_CashFlowB1_R_5_431662133421277185">#REF!</definedName>
    <definedName name="_vena_CharterCashFlow3_CashFlowB1_R_5_431662133425471489">#REF!</definedName>
    <definedName name="_vena_CharterCashFlow3_CashFlowB1_R_5_431662133429665793">#REF!</definedName>
    <definedName name="_vena_CharterCashFlow3_CashFlowB1_R_5_431662133433860097">#REF!</definedName>
    <definedName name="_vena_CharterCashFlow3_CashFlowB1_R_5_431662133438054401">#REF!</definedName>
    <definedName name="_vena_CharterCashFlow3_CashFlowB1_R_5_431662133442248705">#REF!</definedName>
    <definedName name="_vena_CharterCashFlow3_CashFlowB1_R_5_431662133450637313">#REF!</definedName>
    <definedName name="_vena_CharterCashFlow3_CashFlowB1_R_5_431662133454831617">#REF!</definedName>
    <definedName name="_vena_CharterCashFlow3_CashFlowB1_R_5_431662133459025921">#REF!</definedName>
    <definedName name="_vena_CharterCashFlow3_CashFlowB1_R_5_431662133463220225">#REF!</definedName>
    <definedName name="_vena_CharterCashFlow3_CashFlowB1_R_5_431662133467414529">#REF!</definedName>
    <definedName name="_vena_CharterCashFlow3_CashFlowB1_R_5_431662133479997441">#REF!</definedName>
    <definedName name="_vena_CharterCashFlow3_CashFlowB1_R_5_431662133484191745">#REF!</definedName>
    <definedName name="_vena_CharterCashFlow3_CashFlowB1_R_5_431662133488386049">#REF!</definedName>
    <definedName name="_vena_CharterCashFlow3_CashFlowB1_R_5_431662133492580353">#REF!</definedName>
    <definedName name="_vena_CharterCashFlow3_CashFlowB1_R_5_431662133500968961">#REF!</definedName>
    <definedName name="_vena_CharterCashFlow3_CashFlowB1_R_5_431662133505163265">#REF!</definedName>
    <definedName name="_vena_CharterCashFlow3_CashFlowB1_R_5_431662133509357569">#REF!</definedName>
    <definedName name="_vena_CharterCashFlow3_CashFlowB1_R_5_431662133513551873">#REF!</definedName>
    <definedName name="_vena_CharterCashFlow3_CashFlowB1_R_5_431662133517746177">#REF!</definedName>
    <definedName name="_vena_CharterCashFlow3_CashFlowB1_R_5_431662133521940481">#REF!</definedName>
    <definedName name="_vena_CharterCashFlow3_CashFlowB1_R_5_431662133530329089">#REF!</definedName>
    <definedName name="_vena_CharterCashFlow3_CashFlowB1_R_5_431662133534523393">#REF!</definedName>
    <definedName name="_vena_CharterCashFlow3_CashFlowB1_R_5_431662133538717697">#REF!</definedName>
    <definedName name="_vena_CharterCashFlow3_CashFlowB1_R_5_431662133547106305">#REF!</definedName>
    <definedName name="_vena_CharterCashFlow3_CashFlowB1_R_5_431662133551300609">#REF!</definedName>
    <definedName name="_vena_CharterCashFlow3_CashFlowB1_R_5_431662133555494913">#REF!</definedName>
    <definedName name="_vena_CharterCashFlow3_CashFlowB1_R_5_431662133559689217">#REF!</definedName>
    <definedName name="_vena_CharterCashFlow3_CashFlowB1_R_5_431662133568077825">#REF!</definedName>
    <definedName name="_vena_CharterCashFlow3_CashFlowB1_R_5_431662133572272129">#REF!</definedName>
    <definedName name="_vena_CharterCashFlow3_CashFlowB1_R_5_431662133580660736">#REF!</definedName>
    <definedName name="_vena_CharterCashFlow3_CashFlowB1_R_5_431662133584855041">#REF!</definedName>
    <definedName name="_vena_CharterCashFlow3_CashFlowB1_R_5_431662133589049345">#REF!</definedName>
    <definedName name="_vena_CharterCashFlow3_CashFlowB1_R_5_431662133593243649">#REF!</definedName>
    <definedName name="_vena_CharterCashFlow3_CashFlowB1_R_5_431662133605826561">#REF!</definedName>
    <definedName name="_vena_CharterCashFlow3_CashFlowB1_R_5_431662133622603776">#REF!</definedName>
    <definedName name="_vena_CharterCashFlow3_CashFlowB1_R_5_431662133626798081">#REF!</definedName>
    <definedName name="_vena_CharterCashFlow3_CashFlowB1_R_5_431662133635186689">#REF!</definedName>
    <definedName name="_vena_CharterCashFlow3_CashFlowB1_R_5_431662133643575297">#REF!</definedName>
    <definedName name="_vena_CharterCashFlow3_CashFlowB1_R_5_431662133647769601">#REF!</definedName>
    <definedName name="_vena_CharterCashFlow3_CashFlowB1_R_5_431662133651963905">#REF!</definedName>
    <definedName name="_vena_CharterCashFlow3_CashFlowB1_R_5_431662133656158209">#REF!</definedName>
    <definedName name="_vena_CharterCashFlow3_CashFlowB1_R_5_431662133660352513">#REF!</definedName>
    <definedName name="_vena_CharterCashFlow3_CashFlowB1_R_5_431662133664546817">#REF!</definedName>
    <definedName name="_vena_CharterCashFlow3_CashFlowB1_R_5_431662133677129729">#REF!</definedName>
    <definedName name="_vena_CharterCashFlow3_CashFlowB1_R_5_431662133693906944">#REF!</definedName>
    <definedName name="_vena_CharterCashFlow3_CashFlowB1_R_5_431662133698101249">#REF!</definedName>
    <definedName name="_vena_CharterCashFlow3_CashFlowB1_R_5_431662133706489857">#REF!</definedName>
    <definedName name="_vena_CharterCashFlow3_CashFlowB1_R_5_431662133710684161">#REF!</definedName>
    <definedName name="_vena_CharterCashFlow3_CashFlowB1_R_5_431662133714878465">#REF!</definedName>
    <definedName name="_vena_CharterCashFlow3_CashFlowB1_R_5_431662133723267073">#REF!</definedName>
    <definedName name="_vena_CharterCashFlow3_CashFlowB1_R_5_431662133727461377">#REF!</definedName>
    <definedName name="_vena_CharterCashFlow3_CashFlowB1_R_5_431662133731655681">#REF!</definedName>
    <definedName name="_vena_CharterCashFlow3_CashFlowB1_R_5_431662133735849985">#REF!</definedName>
    <definedName name="_vena_CharterCashFlow3_CashFlowB1_R_5_431662133740044289">#REF!</definedName>
    <definedName name="_vena_CharterCashFlow3_CashFlowB1_R_5_463496996411277312">#REF!</definedName>
    <definedName name="_vena_CharterCashFlow3_CashFlowB1_R_5_463655054341046272">#REF!</definedName>
    <definedName name="_vena_CharterCashFlow3_CashFlowB1_R_5_463655972880908288">#REF!</definedName>
    <definedName name="_vena_CharterCashFlow3_CashFlowB1_R_5_463656071409303552">#REF!</definedName>
    <definedName name="_vena_CharterCashFlow3_CashFlowB1_R_5_463656270143684608">#REF!</definedName>
    <definedName name="_vena_CharterCashFlow3_CashFlowB1_R_5_464657397114470400">#REF!</definedName>
    <definedName name="_vena_CharterCashFlow3_CashFlowB1_R_5_464751028991033344">#REF!</definedName>
    <definedName name="_vena_CharterCashFlow3_CashFlowB1_R_5_464751063678189568">#REF!</definedName>
    <definedName name="_vena_CharterCashFlow3_CashFlowB1_R_5_465834870527885312">#REF!</definedName>
    <definedName name="_vena_CharterCashFlow3_CashFlowB1_R_5_480282866560532480">#REF!</definedName>
    <definedName name="_vena_CharterCashFlow3_CashFlowB1_R_5_484175100812591104">#REF!</definedName>
    <definedName name="_vena_CharterCashFlow3_CashFlowB1_R_5_484175225560367104">#REF!</definedName>
    <definedName name="_vena_CharterCashFlow3_CashFlowB1_R_5_495736496901324800">#REF!</definedName>
    <definedName name="_vena_CharterCashFlow3_CashFlowB1_R_5_495736637918674944">#REF!</definedName>
    <definedName name="_vena_CharterCashFlow3_CashFlowB1_R_5_495736795930689536">#REF!</definedName>
    <definedName name="_vena_CharterCashFlow3_CashFlowB1_R_5_495736973987151921">#REF!</definedName>
    <definedName name="_vena_CharterCashFlow3_CashFlowB1_R_5_495737043323191296">#REF!</definedName>
    <definedName name="_vena_CharterCashFlow3_CashFlowB1_R_5_495737181823827968">#REF!</definedName>
    <definedName name="_vena_CharterCashFlow3_CashFlowB2_C_8_431662182280724481">#REF!</definedName>
    <definedName name="_vena_CharterCashFlow3_CashFlowB2_C_8_431662182280724481_1">#REF!</definedName>
    <definedName name="_vena_CharterCashFlow3_CashFlowB2_C_8_431662182280724481_10">#REF!</definedName>
    <definedName name="_vena_CharterCashFlow3_CashFlowB2_C_8_431662182280724481_11">#REF!</definedName>
    <definedName name="_vena_CharterCashFlow3_CashFlowB2_C_8_431662182280724481_12">#REF!</definedName>
    <definedName name="_vena_CharterCashFlow3_CashFlowB2_C_8_431662182280724481_13">#REF!</definedName>
    <definedName name="_vena_CharterCashFlow3_CashFlowB2_C_8_431662182280724481_14">#REF!</definedName>
    <definedName name="_vena_CharterCashFlow3_CashFlowB2_C_8_431662182280724481_15">#REF!</definedName>
    <definedName name="_vena_CharterCashFlow3_CashFlowB2_C_8_431662182280724481_16">#REF!</definedName>
    <definedName name="_vena_CharterCashFlow3_CashFlowB2_C_8_431662182280724481_17">#REF!</definedName>
    <definedName name="_vena_CharterCashFlow3_CashFlowB2_C_8_431662182280724481_18">#REF!</definedName>
    <definedName name="_vena_CharterCashFlow3_CashFlowB2_C_8_431662182280724481_19">#REF!</definedName>
    <definedName name="_vena_CharterCashFlow3_CashFlowB2_C_8_431662182280724481_2">#REF!</definedName>
    <definedName name="_vena_CharterCashFlow3_CashFlowB2_C_8_431662182280724481_20">#REF!</definedName>
    <definedName name="_vena_CharterCashFlow3_CashFlowB2_C_8_431662182280724481_21">#REF!</definedName>
    <definedName name="_vena_CharterCashFlow3_CashFlowB2_C_8_431662182280724481_22">#REF!</definedName>
    <definedName name="_vena_CharterCashFlow3_CashFlowB2_C_8_431662182280724481_23">#REF!</definedName>
    <definedName name="_vena_CharterCashFlow3_CashFlowB2_C_8_431662182280724481_24">#REF!</definedName>
    <definedName name="_vena_CharterCashFlow3_CashFlowB2_C_8_431662182280724481_25">#REF!</definedName>
    <definedName name="_vena_CharterCashFlow3_CashFlowB2_C_8_431662182280724481_26">#REF!</definedName>
    <definedName name="_vena_CharterCashFlow3_CashFlowB2_C_8_431662182280724481_27">#REF!</definedName>
    <definedName name="_vena_CharterCashFlow3_CashFlowB2_C_8_431662182280724481_28">#REF!</definedName>
    <definedName name="_vena_CharterCashFlow3_CashFlowB2_C_8_431662182280724481_29">#REF!</definedName>
    <definedName name="_vena_CharterCashFlow3_CashFlowB2_C_8_431662182280724481_3">#REF!</definedName>
    <definedName name="_vena_CharterCashFlow3_CashFlowB2_C_8_431662182280724481_30">#REF!</definedName>
    <definedName name="_vena_CharterCashFlow3_CashFlowB2_C_8_431662182280724481_31">#REF!</definedName>
    <definedName name="_vena_CharterCashFlow3_CashFlowB2_C_8_431662182280724481_32">#REF!</definedName>
    <definedName name="_vena_CharterCashFlow3_CashFlowB2_C_8_431662182280724481_33">#REF!</definedName>
    <definedName name="_vena_CharterCashFlow3_CashFlowB2_C_8_431662182280724481_34">#REF!</definedName>
    <definedName name="_vena_CharterCashFlow3_CashFlowB2_C_8_431662182280724481_35">#REF!</definedName>
    <definedName name="_vena_CharterCashFlow3_CashFlowB2_C_8_431662182280724481_36">#REF!</definedName>
    <definedName name="_vena_CharterCashFlow3_CashFlowB2_C_8_431662182280724481_37">#REF!</definedName>
    <definedName name="_vena_CharterCashFlow3_CashFlowB2_C_8_431662182280724481_38">#REF!</definedName>
    <definedName name="_vena_CharterCashFlow3_CashFlowB2_C_8_431662182280724481_39">#REF!</definedName>
    <definedName name="_vena_CharterCashFlow3_CashFlowB2_C_8_431662182280724481_4">#REF!</definedName>
    <definedName name="_vena_CharterCashFlow3_CashFlowB2_C_8_431662182280724481_40">#REF!</definedName>
    <definedName name="_vena_CharterCashFlow3_CashFlowB2_C_8_431662182280724481_41">#REF!</definedName>
    <definedName name="_vena_CharterCashFlow3_CashFlowB2_C_8_431662182280724481_42">#REF!</definedName>
    <definedName name="_vena_CharterCashFlow3_CashFlowB2_C_8_431662182280724481_43">#REF!</definedName>
    <definedName name="_vena_CharterCashFlow3_CashFlowB2_C_8_431662182280724481_44">#REF!</definedName>
    <definedName name="_vena_CharterCashFlow3_CashFlowB2_C_8_431662182280724481_45">#REF!</definedName>
    <definedName name="_vena_CharterCashFlow3_CashFlowB2_C_8_431662182280724481_46">#REF!</definedName>
    <definedName name="_vena_CharterCashFlow3_CashFlowB2_C_8_431662182280724481_47">#REF!</definedName>
    <definedName name="_vena_CharterCashFlow3_CashFlowB2_C_8_431662182280724481_48">#REF!</definedName>
    <definedName name="_vena_CharterCashFlow3_CashFlowB2_C_8_431662182280724481_49">#REF!</definedName>
    <definedName name="_vena_CharterCashFlow3_CashFlowB2_C_8_431662182280724481_5">#REF!</definedName>
    <definedName name="_vena_CharterCashFlow3_CashFlowB2_C_8_431662182280724481_50">#REF!</definedName>
    <definedName name="_vena_CharterCashFlow3_CashFlowB2_C_8_431662182280724481_51">#REF!</definedName>
    <definedName name="_vena_CharterCashFlow3_CashFlowB2_C_8_431662182280724481_52">#REF!</definedName>
    <definedName name="_vena_CharterCashFlow3_CashFlowB2_C_8_431662182280724481_53">#REF!</definedName>
    <definedName name="_vena_CharterCashFlow3_CashFlowB2_C_8_431662182280724481_54">#REF!</definedName>
    <definedName name="_vena_CharterCashFlow3_CashFlowB2_C_8_431662182280724481_55">#REF!</definedName>
    <definedName name="_vena_CharterCashFlow3_CashFlowB2_C_8_431662182280724481_56">#REF!</definedName>
    <definedName name="_vena_CharterCashFlow3_CashFlowB2_C_8_431662182280724481_57">#REF!</definedName>
    <definedName name="_vena_CharterCashFlow3_CashFlowB2_C_8_431662182280724481_58">#REF!</definedName>
    <definedName name="_vena_CharterCashFlow3_CashFlowB2_C_8_431662182280724481_59">#REF!</definedName>
    <definedName name="_vena_CharterCashFlow3_CashFlowB2_C_8_431662182280724481_6">#REF!</definedName>
    <definedName name="_vena_CharterCashFlow3_CashFlowB2_C_8_431662182280724481_60">#REF!</definedName>
    <definedName name="_vena_CharterCashFlow3_CashFlowB2_C_8_431662182280724481_61">#REF!</definedName>
    <definedName name="_vena_CharterCashFlow3_CashFlowB2_C_8_431662182280724481_62">#REF!</definedName>
    <definedName name="_vena_CharterCashFlow3_CashFlowB2_C_8_431662182280724481_63">#REF!</definedName>
    <definedName name="_vena_CharterCashFlow3_CashFlowB2_C_8_431662182280724481_64">#REF!</definedName>
    <definedName name="_vena_CharterCashFlow3_CashFlowB2_C_8_431662182280724481_65">#REF!</definedName>
    <definedName name="_vena_CharterCashFlow3_CashFlowB2_C_8_431662182280724481_66">#REF!</definedName>
    <definedName name="_vena_CharterCashFlow3_CashFlowB2_C_8_431662182280724481_67">#REF!</definedName>
    <definedName name="_vena_CharterCashFlow3_CashFlowB2_C_8_431662182280724481_68">#REF!</definedName>
    <definedName name="_vena_CharterCashFlow3_CashFlowB2_C_8_431662182280724481_69">#REF!</definedName>
    <definedName name="_vena_CharterCashFlow3_CashFlowB2_C_8_431662182280724481_7">#REF!</definedName>
    <definedName name="_vena_CharterCashFlow3_CashFlowB2_C_8_431662182280724481_70">#REF!</definedName>
    <definedName name="_vena_CharterCashFlow3_CashFlowB2_C_8_431662182280724481_71">#REF!</definedName>
    <definedName name="_vena_CharterCashFlow3_CashFlowB2_C_8_431662182280724481_8">#REF!</definedName>
    <definedName name="_vena_CharterCashFlow3_CashFlowB2_C_8_431662182280724481_9">#REF!</definedName>
    <definedName name="_vena_CharterCashFlow3_CashFlowB2_C_FV_56493ffece784c5db4cd0fd3b40a250d_12">#REF!</definedName>
    <definedName name="_vena_CharterCashFlow3_CashFlowB2_C_FV_56493ffece784c5db4cd0fd3b40a250d_13">#REF!</definedName>
    <definedName name="_vena_CharterCashFlow3_CashFlowB2_C_FV_56493ffece784c5db4cd0fd3b40a250d_14">#REF!</definedName>
    <definedName name="_vena_CharterCashFlow3_CashFlowB2_C_FV_56493ffece784c5db4cd0fd3b40a250d_15">#REF!</definedName>
    <definedName name="_vena_CharterCashFlow3_CashFlowB2_C_FV_56493ffece784c5db4cd0fd3b40a250d_16">#REF!</definedName>
    <definedName name="_vena_CharterCashFlow3_CashFlowB2_C_FV_56493ffece784c5db4cd0fd3b40a250d_17">#REF!</definedName>
    <definedName name="_vena_CharterCashFlow3_CashFlowB2_C_FV_56493ffece784c5db4cd0fd3b40a250d_18">#REF!</definedName>
    <definedName name="_vena_CharterCashFlow3_CashFlowB2_C_FV_56493ffece784c5db4cd0fd3b40a250d_19">#REF!</definedName>
    <definedName name="_vena_CharterCashFlow3_CashFlowB2_C_FV_56493ffece784c5db4cd0fd3b40a250d_20">#REF!</definedName>
    <definedName name="_vena_CharterCashFlow3_CashFlowB2_C_FV_56493ffece784c5db4cd0fd3b40a250d_21">#REF!</definedName>
    <definedName name="_vena_CharterCashFlow3_CashFlowB2_C_FV_56493ffece784c5db4cd0fd3b40a250d_22">#REF!</definedName>
    <definedName name="_vena_CharterCashFlow3_CashFlowB2_C_FV_56493ffece784c5db4cd0fd3b40a250d_23">#REF!</definedName>
    <definedName name="_vena_CharterCashFlow3_CashFlowB2_C_FV_56493ffece784c5db4cd0fd3b40a250d_24">#REF!</definedName>
    <definedName name="_vena_CharterCashFlow3_CashFlowB2_C_FV_56493ffece784c5db4cd0fd3b40a250d_25">#REF!</definedName>
    <definedName name="_vena_CharterCashFlow3_CashFlowB2_C_FV_56493ffece784c5db4cd0fd3b40a250d_26">#REF!</definedName>
    <definedName name="_vena_CharterCashFlow3_CashFlowB2_C_FV_56493ffece784c5db4cd0fd3b40a250d_27">#REF!</definedName>
    <definedName name="_vena_CharterCashFlow3_CashFlowB2_C_FV_56493ffece784c5db4cd0fd3b40a250d_28">#REF!</definedName>
    <definedName name="_vena_CharterCashFlow3_CashFlowB2_C_FV_56493ffece784c5db4cd0fd3b40a250d_29">#REF!</definedName>
    <definedName name="_vena_CharterCashFlow3_CashFlowB2_C_FV_56493ffece784c5db4cd0fd3b40a250d_30">#REF!</definedName>
    <definedName name="_vena_CharterCashFlow3_CashFlowB2_C_FV_56493ffece784c5db4cd0fd3b40a250d_31">#REF!</definedName>
    <definedName name="_vena_CharterCashFlow3_CashFlowB2_C_FV_56493ffece784c5db4cd0fd3b40a250d_32">#REF!</definedName>
    <definedName name="_vena_CharterCashFlow3_CashFlowB2_C_FV_56493ffece784c5db4cd0fd3b40a250d_33">#REF!</definedName>
    <definedName name="_vena_CharterCashFlow3_CashFlowB2_C_FV_56493ffece784c5db4cd0fd3b40a250d_34">#REF!</definedName>
    <definedName name="_vena_CharterCashFlow3_CashFlowB2_C_FV_56493ffece784c5db4cd0fd3b40a250d_35">#REF!</definedName>
    <definedName name="_vena_CharterCashFlow3_CashFlowB2_C_FV_56493ffece784c5db4cd0fd3b40a250d_36">#REF!</definedName>
    <definedName name="_vena_CharterCashFlow3_CashFlowB2_C_FV_56493ffece784c5db4cd0fd3b40a250d_37">#REF!</definedName>
    <definedName name="_vena_CharterCashFlow3_CashFlowB2_C_FV_56493ffece784c5db4cd0fd3b40a250d_38">#REF!</definedName>
    <definedName name="_vena_CharterCashFlow3_CashFlowB2_C_FV_56493ffece784c5db4cd0fd3b40a250d_39">#REF!</definedName>
    <definedName name="_vena_CharterCashFlow3_CashFlowB2_C_FV_56493ffece784c5db4cd0fd3b40a250d_40">#REF!</definedName>
    <definedName name="_vena_CharterCashFlow3_CashFlowB2_C_FV_56493ffece784c5db4cd0fd3b40a250d_41">#REF!</definedName>
    <definedName name="_vena_CharterCashFlow3_CashFlowB2_C_FV_56493ffece784c5db4cd0fd3b40a250d_42">#REF!</definedName>
    <definedName name="_vena_CharterCashFlow3_CashFlowB2_C_FV_56493ffece784c5db4cd0fd3b40a250d_43">#REF!</definedName>
    <definedName name="_vena_CharterCashFlow3_CashFlowB2_C_FV_56493ffece784c5db4cd0fd3b40a250d_44">#REF!</definedName>
    <definedName name="_vena_CharterCashFlow3_CashFlowB2_C_FV_56493ffece784c5db4cd0fd3b40a250d_45">#REF!</definedName>
    <definedName name="_vena_CharterCashFlow3_CashFlowB2_C_FV_56493ffece784c5db4cd0fd3b40a250d_46">#REF!</definedName>
    <definedName name="_vena_CharterCashFlow3_CashFlowB2_C_FV_56493ffece784c5db4cd0fd3b40a250d_47">#REF!</definedName>
    <definedName name="_vena_CharterCashFlow3_CashFlowB2_C_FV_56493ffece784c5db4cd0fd3b40a250d_48">#REF!</definedName>
    <definedName name="_vena_CharterCashFlow3_CashFlowB2_C_FV_56493ffece784c5db4cd0fd3b40a250d_49">#REF!</definedName>
    <definedName name="_vena_CharterCashFlow3_CashFlowB2_C_FV_56493ffece784c5db4cd0fd3b40a250d_50">#REF!</definedName>
    <definedName name="_vena_CharterCashFlow3_CashFlowB2_C_FV_56493ffece784c5db4cd0fd3b40a250d_51">#REF!</definedName>
    <definedName name="_vena_CharterCashFlow3_CashFlowB2_C_FV_56493ffece784c5db4cd0fd3b40a250d_52">#REF!</definedName>
    <definedName name="_vena_CharterCashFlow3_CashFlowB2_C_FV_56493ffece784c5db4cd0fd3b40a250d_53">#REF!</definedName>
    <definedName name="_vena_CharterCashFlow3_CashFlowB2_C_FV_56493ffece784c5db4cd0fd3b40a250d_54">#REF!</definedName>
    <definedName name="_vena_CharterCashFlow3_CashFlowB2_C_FV_56493ffece784c5db4cd0fd3b40a250d_55">#REF!</definedName>
    <definedName name="_vena_CharterCashFlow3_CashFlowB2_C_FV_56493ffece784c5db4cd0fd3b40a250d_56">#REF!</definedName>
    <definedName name="_vena_CharterCashFlow3_CashFlowB2_C_FV_56493ffece784c5db4cd0fd3b40a250d_57">#REF!</definedName>
    <definedName name="_vena_CharterCashFlow3_CashFlowB2_C_FV_56493ffece784c5db4cd0fd3b40a250d_58">#REF!</definedName>
    <definedName name="_vena_CharterCashFlow3_CashFlowB2_C_FV_56493ffece784c5db4cd0fd3b40a250d_59">#REF!</definedName>
    <definedName name="_vena_CharterCashFlow3_CashFlowB2_C_FV_56493ffece784c5db4cd0fd3b40a250d_60">#REF!</definedName>
    <definedName name="_vena_CharterCashFlow3_CashFlowB2_C_FV_56493ffece784c5db4cd0fd3b40a250d_61">#REF!</definedName>
    <definedName name="_vena_CharterCashFlow3_CashFlowB2_C_FV_56493ffece784c5db4cd0fd3b40a250d_62">#REF!</definedName>
    <definedName name="_vena_CharterCashFlow3_CashFlowB2_C_FV_56493ffece784c5db4cd0fd3b40a250d_63">#REF!</definedName>
    <definedName name="_vena_CharterCashFlow3_CashFlowB2_C_FV_56493ffece784c5db4cd0fd3b40a250d_64">#REF!</definedName>
    <definedName name="_vena_CharterCashFlow3_CashFlowB2_C_FV_56493ffece784c5db4cd0fd3b40a250d_65">#REF!</definedName>
    <definedName name="_vena_CharterCashFlow3_CashFlowB2_C_FV_56493ffece784c5db4cd0fd3b40a250d_66">#REF!</definedName>
    <definedName name="_vena_CharterCashFlow3_CashFlowB2_C_FV_56493ffece784c5db4cd0fd3b40a250d_67">#REF!</definedName>
    <definedName name="_vena_CharterCashFlow3_CashFlowB2_C_FV_56493ffece784c5db4cd0fd3b40a250d_68">#REF!</definedName>
    <definedName name="_vena_CharterCashFlow3_CashFlowB2_C_FV_56493ffece784c5db4cd0fd3b40a250d_69">#REF!</definedName>
    <definedName name="_vena_CharterCashFlow3_CashFlowB2_C_FV_56493ffece784c5db4cd0fd3b40a250d_70">#REF!</definedName>
    <definedName name="_vena_CharterCashFlow3_CashFlowB2_C_FV_56493ffece784c5db4cd0fd3b40a250d_71">#REF!</definedName>
    <definedName name="_vena_CharterCashFlow3_CashFlowB2_C_FV_56493ffece784c5db4cd0fd3b40a250d_72">#REF!</definedName>
    <definedName name="_vena_CharterCashFlow3_CashFlowB2_C_FV_56493ffece784c5db4cd0fd3b40a250d_73">#REF!</definedName>
    <definedName name="_vena_CharterCashFlow3_CashFlowB2_C_FV_56493ffece784c5db4cd0fd3b40a250d_74">#REF!</definedName>
    <definedName name="_vena_CharterCashFlow3_CashFlowB2_C_FV_56493ffece784c5db4cd0fd3b40a250d_75">#REF!</definedName>
    <definedName name="_vena_CharterCashFlow3_CashFlowB2_C_FV_56493ffece784c5db4cd0fd3b40a250d_76">#REF!</definedName>
    <definedName name="_vena_CharterCashFlow3_CashFlowB2_C_FV_56493ffece784c5db4cd0fd3b40a250d_77">#REF!</definedName>
    <definedName name="_vena_CharterCashFlow3_CashFlowB2_C_FV_56493ffece784c5db4cd0fd3b40a250d_78">#REF!</definedName>
    <definedName name="_vena_CharterCashFlow3_CashFlowB2_C_FV_56493ffece784c5db4cd0fd3b40a250d_79">#REF!</definedName>
    <definedName name="_vena_CharterCashFlow3_CashFlowB2_C_FV_56493ffece784c5db4cd0fd3b40a250d_80">#REF!</definedName>
    <definedName name="_vena_CharterCashFlow3_CashFlowB2_C_FV_56493ffece784c5db4cd0fd3b40a250d_81">#REF!</definedName>
    <definedName name="_vena_CharterCashFlow3_CashFlowB2_C_FV_56493ffece784c5db4cd0fd3b40a250d_82">#REF!</definedName>
    <definedName name="_vena_CharterCashFlow3_CashFlowB2_C_FV_56493ffece784c5db4cd0fd3b40a250d_83">#REF!</definedName>
    <definedName name="_vena_CharterCashFlow3_CashFlowB2_C_FV_a398e917565c475b8f0c5e9ebb5e002d_12">#REF!</definedName>
    <definedName name="_vena_CharterCashFlow3_CashFlowB2_C_FV_a398e917565c475b8f0c5e9ebb5e002d_13">#REF!</definedName>
    <definedName name="_vena_CharterCashFlow3_CashFlowB2_C_FV_a398e917565c475b8f0c5e9ebb5e002d_14">#REF!</definedName>
    <definedName name="_vena_CharterCashFlow3_CashFlowB2_C_FV_a398e917565c475b8f0c5e9ebb5e002d_15">#REF!</definedName>
    <definedName name="_vena_CharterCashFlow3_CashFlowB2_C_FV_a398e917565c475b8f0c5e9ebb5e002d_16">#REF!</definedName>
    <definedName name="_vena_CharterCashFlow3_CashFlowB2_C_FV_a398e917565c475b8f0c5e9ebb5e002d_17">#REF!</definedName>
    <definedName name="_vena_CharterCashFlow3_CashFlowB2_C_FV_a398e917565c475b8f0c5e9ebb5e002d_18">#REF!</definedName>
    <definedName name="_vena_CharterCashFlow3_CashFlowB2_C_FV_a398e917565c475b8f0c5e9ebb5e002d_19">#REF!</definedName>
    <definedName name="_vena_CharterCashFlow3_CashFlowB2_C_FV_a398e917565c475b8f0c5e9ebb5e002d_20">#REF!</definedName>
    <definedName name="_vena_CharterCashFlow3_CashFlowB2_C_FV_a398e917565c475b8f0c5e9ebb5e002d_21">#REF!</definedName>
    <definedName name="_vena_CharterCashFlow3_CashFlowB2_C_FV_a398e917565c475b8f0c5e9ebb5e002d_22">#REF!</definedName>
    <definedName name="_vena_CharterCashFlow3_CashFlowB2_C_FV_a398e917565c475b8f0c5e9ebb5e002d_23">#REF!</definedName>
    <definedName name="_vena_CharterCashFlow3_CashFlowB2_C_FV_a398e917565c475b8f0c5e9ebb5e002d_24">#REF!</definedName>
    <definedName name="_vena_CharterCashFlow3_CashFlowB2_C_FV_a398e917565c475b8f0c5e9ebb5e002d_25">#REF!</definedName>
    <definedName name="_vena_CharterCashFlow3_CashFlowB2_C_FV_a398e917565c475b8f0c5e9ebb5e002d_26">#REF!</definedName>
    <definedName name="_vena_CharterCashFlow3_CashFlowB2_C_FV_a398e917565c475b8f0c5e9ebb5e002d_27">#REF!</definedName>
    <definedName name="_vena_CharterCashFlow3_CashFlowB2_C_FV_a398e917565c475b8f0c5e9ebb5e002d_28">#REF!</definedName>
    <definedName name="_vena_CharterCashFlow3_CashFlowB2_C_FV_a398e917565c475b8f0c5e9ebb5e002d_29">#REF!</definedName>
    <definedName name="_vena_CharterCashFlow3_CashFlowB2_C_FV_a398e917565c475b8f0c5e9ebb5e002d_30">#REF!</definedName>
    <definedName name="_vena_CharterCashFlow3_CashFlowB2_C_FV_a398e917565c475b8f0c5e9ebb5e002d_31">#REF!</definedName>
    <definedName name="_vena_CharterCashFlow3_CashFlowB2_C_FV_a398e917565c475b8f0c5e9ebb5e002d_32">#REF!</definedName>
    <definedName name="_vena_CharterCashFlow3_CashFlowB2_C_FV_a398e917565c475b8f0c5e9ebb5e002d_33">#REF!</definedName>
    <definedName name="_vena_CharterCashFlow3_CashFlowB2_C_FV_a398e917565c475b8f0c5e9ebb5e002d_34">#REF!</definedName>
    <definedName name="_vena_CharterCashFlow3_CashFlowB2_C_FV_a398e917565c475b8f0c5e9ebb5e002d_35">#REF!</definedName>
    <definedName name="_vena_CharterCashFlow3_CashFlowB2_C_FV_a398e917565c475b8f0c5e9ebb5e002d_36">#REF!</definedName>
    <definedName name="_vena_CharterCashFlow3_CashFlowB2_C_FV_a398e917565c475b8f0c5e9ebb5e002d_37">#REF!</definedName>
    <definedName name="_vena_CharterCashFlow3_CashFlowB2_C_FV_a398e917565c475b8f0c5e9ebb5e002d_38">#REF!</definedName>
    <definedName name="_vena_CharterCashFlow3_CashFlowB2_C_FV_a398e917565c475b8f0c5e9ebb5e002d_39">#REF!</definedName>
    <definedName name="_vena_CharterCashFlow3_CashFlowB2_C_FV_a398e917565c475b8f0c5e9ebb5e002d_40">#REF!</definedName>
    <definedName name="_vena_CharterCashFlow3_CashFlowB2_C_FV_a398e917565c475b8f0c5e9ebb5e002d_41">#REF!</definedName>
    <definedName name="_vena_CharterCashFlow3_CashFlowB2_C_FV_a398e917565c475b8f0c5e9ebb5e002d_42">#REF!</definedName>
    <definedName name="_vena_CharterCashFlow3_CashFlowB2_C_FV_a398e917565c475b8f0c5e9ebb5e002d_43">#REF!</definedName>
    <definedName name="_vena_CharterCashFlow3_CashFlowB2_C_FV_a398e917565c475b8f0c5e9ebb5e002d_44">#REF!</definedName>
    <definedName name="_vena_CharterCashFlow3_CashFlowB2_C_FV_a398e917565c475b8f0c5e9ebb5e002d_45">#REF!</definedName>
    <definedName name="_vena_CharterCashFlow3_CashFlowB2_C_FV_a398e917565c475b8f0c5e9ebb5e002d_46">#REF!</definedName>
    <definedName name="_vena_CharterCashFlow3_CashFlowB2_C_FV_a398e917565c475b8f0c5e9ebb5e002d_47">#REF!</definedName>
    <definedName name="_vena_CharterCashFlow3_CashFlowB2_C_FV_a398e917565c475b8f0c5e9ebb5e002d_48">#REF!</definedName>
    <definedName name="_vena_CharterCashFlow3_CashFlowB2_C_FV_a398e917565c475b8f0c5e9ebb5e002d_49">#REF!</definedName>
    <definedName name="_vena_CharterCashFlow3_CashFlowB2_C_FV_a398e917565c475b8f0c5e9ebb5e002d_50">#REF!</definedName>
    <definedName name="_vena_CharterCashFlow3_CashFlowB2_C_FV_a398e917565c475b8f0c5e9ebb5e002d_51">#REF!</definedName>
    <definedName name="_vena_CharterCashFlow3_CashFlowB2_C_FV_a398e917565c475b8f0c5e9ebb5e002d_52">#REF!</definedName>
    <definedName name="_vena_CharterCashFlow3_CashFlowB2_C_FV_a398e917565c475b8f0c5e9ebb5e002d_53">#REF!</definedName>
    <definedName name="_vena_CharterCashFlow3_CashFlowB2_C_FV_a398e917565c475b8f0c5e9ebb5e002d_54">#REF!</definedName>
    <definedName name="_vena_CharterCashFlow3_CashFlowB2_C_FV_a398e917565c475b8f0c5e9ebb5e002d_55">#REF!</definedName>
    <definedName name="_vena_CharterCashFlow3_CashFlowB2_C_FV_a398e917565c475b8f0c5e9ebb5e002d_56">#REF!</definedName>
    <definedName name="_vena_CharterCashFlow3_CashFlowB2_C_FV_a398e917565c475b8f0c5e9ebb5e002d_57">#REF!</definedName>
    <definedName name="_vena_CharterCashFlow3_CashFlowB2_C_FV_a398e917565c475b8f0c5e9ebb5e002d_58">#REF!</definedName>
    <definedName name="_vena_CharterCashFlow3_CashFlowB2_C_FV_a398e917565c475b8f0c5e9ebb5e002d_59">#REF!</definedName>
    <definedName name="_vena_CharterCashFlow3_CashFlowB2_C_FV_a398e917565c475b8f0c5e9ebb5e002d_60">#REF!</definedName>
    <definedName name="_vena_CharterCashFlow3_CashFlowB2_C_FV_a398e917565c475b8f0c5e9ebb5e002d_61">#REF!</definedName>
    <definedName name="_vena_CharterCashFlow3_CashFlowB2_C_FV_a398e917565c475b8f0c5e9ebb5e002d_62">#REF!</definedName>
    <definedName name="_vena_CharterCashFlow3_CashFlowB2_C_FV_a398e917565c475b8f0c5e9ebb5e002d_63">#REF!</definedName>
    <definedName name="_vena_CharterCashFlow3_CashFlowB2_C_FV_a398e917565c475b8f0c5e9ebb5e002d_64">#REF!</definedName>
    <definedName name="_vena_CharterCashFlow3_CashFlowB2_C_FV_a398e917565c475b8f0c5e9ebb5e002d_65">#REF!</definedName>
    <definedName name="_vena_CharterCashFlow3_CashFlowB2_C_FV_a398e917565c475b8f0c5e9ebb5e002d_66">#REF!</definedName>
    <definedName name="_vena_CharterCashFlow3_CashFlowB2_C_FV_a398e917565c475b8f0c5e9ebb5e002d_67">#REF!</definedName>
    <definedName name="_vena_CharterCashFlow3_CashFlowB2_C_FV_a398e917565c475b8f0c5e9ebb5e002d_68">#REF!</definedName>
    <definedName name="_vena_CharterCashFlow3_CashFlowB2_C_FV_a398e917565c475b8f0c5e9ebb5e002d_69">#REF!</definedName>
    <definedName name="_vena_CharterCashFlow3_CashFlowB2_C_FV_a398e917565c475b8f0c5e9ebb5e002d_70">#REF!</definedName>
    <definedName name="_vena_CharterCashFlow3_CashFlowB2_C_FV_a398e917565c475b8f0c5e9ebb5e002d_71">#REF!</definedName>
    <definedName name="_vena_CharterCashFlow3_CashFlowB2_C_FV_a398e917565c475b8f0c5e9ebb5e002d_72">#REF!</definedName>
    <definedName name="_vena_CharterCashFlow3_CashFlowB2_C_FV_a398e917565c475b8f0c5e9ebb5e002d_73">#REF!</definedName>
    <definedName name="_vena_CharterCashFlow3_CashFlowB2_C_FV_a398e917565c475b8f0c5e9ebb5e002d_74">#REF!</definedName>
    <definedName name="_vena_CharterCashFlow3_CashFlowB2_C_FV_a398e917565c475b8f0c5e9ebb5e002d_75">#REF!</definedName>
    <definedName name="_vena_CharterCashFlow3_CashFlowB2_C_FV_a398e917565c475b8f0c5e9ebb5e002d_76">#REF!</definedName>
    <definedName name="_vena_CharterCashFlow3_CashFlowB2_C_FV_a398e917565c475b8f0c5e9ebb5e002d_77">#REF!</definedName>
    <definedName name="_vena_CharterCashFlow3_CashFlowB2_C_FV_a398e917565c475b8f0c5e9ebb5e002d_78">#REF!</definedName>
    <definedName name="_vena_CharterCashFlow3_CashFlowB2_C_FV_a398e917565c475b8f0c5e9ebb5e002d_79">#REF!</definedName>
    <definedName name="_vena_CharterCashFlow3_CashFlowB2_C_FV_a398e917565c475b8f0c5e9ebb5e002d_80">#REF!</definedName>
    <definedName name="_vena_CharterCashFlow3_CashFlowB2_C_FV_a398e917565c475b8f0c5e9ebb5e002d_81">#REF!</definedName>
    <definedName name="_vena_CharterCashFlow3_CashFlowB2_C_FV_a398e917565c475b8f0c5e9ebb5e002d_82">#REF!</definedName>
    <definedName name="_vena_CharterCashFlow3_CashFlowB2_C_FV_a398e917565c475b8f0c5e9ebb5e002d_83">#REF!</definedName>
    <definedName name="_vena_CharterCashFlow3_CashFlowB2_C_FV_e1c3a244dc3d4f149ecdf7d748811086">#REF!</definedName>
    <definedName name="_vena_CharterCashFlow3_CashFlowB2_C_FV_e1c3a244dc3d4f149ecdf7d748811086_1">#REF!</definedName>
    <definedName name="_vena_CharterCashFlow3_CashFlowB2_C_FV_e1c3a244dc3d4f149ecdf7d748811086_10">#REF!</definedName>
    <definedName name="_vena_CharterCashFlow3_CashFlowB2_C_FV_e1c3a244dc3d4f149ecdf7d748811086_11">#REF!</definedName>
    <definedName name="_vena_CharterCashFlow3_CashFlowB2_C_FV_e1c3a244dc3d4f149ecdf7d748811086_12">#REF!</definedName>
    <definedName name="_vena_CharterCashFlow3_CashFlowB2_C_FV_e1c3a244dc3d4f149ecdf7d748811086_13">#REF!</definedName>
    <definedName name="_vena_CharterCashFlow3_CashFlowB2_C_FV_e1c3a244dc3d4f149ecdf7d748811086_14">#REF!</definedName>
    <definedName name="_vena_CharterCashFlow3_CashFlowB2_C_FV_e1c3a244dc3d4f149ecdf7d748811086_15">#REF!</definedName>
    <definedName name="_vena_CharterCashFlow3_CashFlowB2_C_FV_e1c3a244dc3d4f149ecdf7d748811086_16">#REF!</definedName>
    <definedName name="_vena_CharterCashFlow3_CashFlowB2_C_FV_e1c3a244dc3d4f149ecdf7d748811086_17">#REF!</definedName>
    <definedName name="_vena_CharterCashFlow3_CashFlowB2_C_FV_e1c3a244dc3d4f149ecdf7d748811086_18">#REF!</definedName>
    <definedName name="_vena_CharterCashFlow3_CashFlowB2_C_FV_e1c3a244dc3d4f149ecdf7d748811086_19">#REF!</definedName>
    <definedName name="_vena_CharterCashFlow3_CashFlowB2_C_FV_e1c3a244dc3d4f149ecdf7d748811086_2">#REF!</definedName>
    <definedName name="_vena_CharterCashFlow3_CashFlowB2_C_FV_e1c3a244dc3d4f149ecdf7d748811086_20">#REF!</definedName>
    <definedName name="_vena_CharterCashFlow3_CashFlowB2_C_FV_e1c3a244dc3d4f149ecdf7d748811086_21">#REF!</definedName>
    <definedName name="_vena_CharterCashFlow3_CashFlowB2_C_FV_e1c3a244dc3d4f149ecdf7d748811086_22">#REF!</definedName>
    <definedName name="_vena_CharterCashFlow3_CashFlowB2_C_FV_e1c3a244dc3d4f149ecdf7d748811086_23">#REF!</definedName>
    <definedName name="_vena_CharterCashFlow3_CashFlowB2_C_FV_e1c3a244dc3d4f149ecdf7d748811086_24">#REF!</definedName>
    <definedName name="_vena_CharterCashFlow3_CashFlowB2_C_FV_e1c3a244dc3d4f149ecdf7d748811086_25">#REF!</definedName>
    <definedName name="_vena_CharterCashFlow3_CashFlowB2_C_FV_e1c3a244dc3d4f149ecdf7d748811086_26">#REF!</definedName>
    <definedName name="_vena_CharterCashFlow3_CashFlowB2_C_FV_e1c3a244dc3d4f149ecdf7d748811086_27">#REF!</definedName>
    <definedName name="_vena_CharterCashFlow3_CashFlowB2_C_FV_e1c3a244dc3d4f149ecdf7d748811086_28">#REF!</definedName>
    <definedName name="_vena_CharterCashFlow3_CashFlowB2_C_FV_e1c3a244dc3d4f149ecdf7d748811086_29">#REF!</definedName>
    <definedName name="_vena_CharterCashFlow3_CashFlowB2_C_FV_e1c3a244dc3d4f149ecdf7d748811086_3">#REF!</definedName>
    <definedName name="_vena_CharterCashFlow3_CashFlowB2_C_FV_e1c3a244dc3d4f149ecdf7d748811086_30">#REF!</definedName>
    <definedName name="_vena_CharterCashFlow3_CashFlowB2_C_FV_e1c3a244dc3d4f149ecdf7d748811086_31">#REF!</definedName>
    <definedName name="_vena_CharterCashFlow3_CashFlowB2_C_FV_e1c3a244dc3d4f149ecdf7d748811086_32">#REF!</definedName>
    <definedName name="_vena_CharterCashFlow3_CashFlowB2_C_FV_e1c3a244dc3d4f149ecdf7d748811086_33">#REF!</definedName>
    <definedName name="_vena_CharterCashFlow3_CashFlowB2_C_FV_e1c3a244dc3d4f149ecdf7d748811086_34">#REF!</definedName>
    <definedName name="_vena_CharterCashFlow3_CashFlowB2_C_FV_e1c3a244dc3d4f149ecdf7d748811086_35">#REF!</definedName>
    <definedName name="_vena_CharterCashFlow3_CashFlowB2_C_FV_e1c3a244dc3d4f149ecdf7d748811086_36">#REF!</definedName>
    <definedName name="_vena_CharterCashFlow3_CashFlowB2_C_FV_e1c3a244dc3d4f149ecdf7d748811086_37">#REF!</definedName>
    <definedName name="_vena_CharterCashFlow3_CashFlowB2_C_FV_e1c3a244dc3d4f149ecdf7d748811086_38">#REF!</definedName>
    <definedName name="_vena_CharterCashFlow3_CashFlowB2_C_FV_e1c3a244dc3d4f149ecdf7d748811086_39">#REF!</definedName>
    <definedName name="_vena_CharterCashFlow3_CashFlowB2_C_FV_e1c3a244dc3d4f149ecdf7d748811086_4">#REF!</definedName>
    <definedName name="_vena_CharterCashFlow3_CashFlowB2_C_FV_e1c3a244dc3d4f149ecdf7d748811086_40">#REF!</definedName>
    <definedName name="_vena_CharterCashFlow3_CashFlowB2_C_FV_e1c3a244dc3d4f149ecdf7d748811086_41">#REF!</definedName>
    <definedName name="_vena_CharterCashFlow3_CashFlowB2_C_FV_e1c3a244dc3d4f149ecdf7d748811086_42">#REF!</definedName>
    <definedName name="_vena_CharterCashFlow3_CashFlowB2_C_FV_e1c3a244dc3d4f149ecdf7d748811086_43">#REF!</definedName>
    <definedName name="_vena_CharterCashFlow3_CashFlowB2_C_FV_e1c3a244dc3d4f149ecdf7d748811086_44">#REF!</definedName>
    <definedName name="_vena_CharterCashFlow3_CashFlowB2_C_FV_e1c3a244dc3d4f149ecdf7d748811086_45">#REF!</definedName>
    <definedName name="_vena_CharterCashFlow3_CashFlowB2_C_FV_e1c3a244dc3d4f149ecdf7d748811086_46">#REF!</definedName>
    <definedName name="_vena_CharterCashFlow3_CashFlowB2_C_FV_e1c3a244dc3d4f149ecdf7d748811086_47">#REF!</definedName>
    <definedName name="_vena_CharterCashFlow3_CashFlowB2_C_FV_e1c3a244dc3d4f149ecdf7d748811086_48">#REF!</definedName>
    <definedName name="_vena_CharterCashFlow3_CashFlowB2_C_FV_e1c3a244dc3d4f149ecdf7d748811086_49">#REF!</definedName>
    <definedName name="_vena_CharterCashFlow3_CashFlowB2_C_FV_e1c3a244dc3d4f149ecdf7d748811086_5">#REF!</definedName>
    <definedName name="_vena_CharterCashFlow3_CashFlowB2_C_FV_e1c3a244dc3d4f149ecdf7d748811086_50">#REF!</definedName>
    <definedName name="_vena_CharterCashFlow3_CashFlowB2_C_FV_e1c3a244dc3d4f149ecdf7d748811086_51">#REF!</definedName>
    <definedName name="_vena_CharterCashFlow3_CashFlowB2_C_FV_e1c3a244dc3d4f149ecdf7d748811086_52">#REF!</definedName>
    <definedName name="_vena_CharterCashFlow3_CashFlowB2_C_FV_e1c3a244dc3d4f149ecdf7d748811086_53">#REF!</definedName>
    <definedName name="_vena_CharterCashFlow3_CashFlowB2_C_FV_e1c3a244dc3d4f149ecdf7d748811086_54">#REF!</definedName>
    <definedName name="_vena_CharterCashFlow3_CashFlowB2_C_FV_e1c3a244dc3d4f149ecdf7d748811086_55">#REF!</definedName>
    <definedName name="_vena_CharterCashFlow3_CashFlowB2_C_FV_e1c3a244dc3d4f149ecdf7d748811086_56">#REF!</definedName>
    <definedName name="_vena_CharterCashFlow3_CashFlowB2_C_FV_e1c3a244dc3d4f149ecdf7d748811086_57">#REF!</definedName>
    <definedName name="_vena_CharterCashFlow3_CashFlowB2_C_FV_e1c3a244dc3d4f149ecdf7d748811086_58">#REF!</definedName>
    <definedName name="_vena_CharterCashFlow3_CashFlowB2_C_FV_e1c3a244dc3d4f149ecdf7d748811086_59">#REF!</definedName>
    <definedName name="_vena_CharterCashFlow3_CashFlowB2_C_FV_e1c3a244dc3d4f149ecdf7d748811086_6">#REF!</definedName>
    <definedName name="_vena_CharterCashFlow3_CashFlowB2_C_FV_e1c3a244dc3d4f149ecdf7d748811086_60">#REF!</definedName>
    <definedName name="_vena_CharterCashFlow3_CashFlowB2_C_FV_e1c3a244dc3d4f149ecdf7d748811086_61">#REF!</definedName>
    <definedName name="_vena_CharterCashFlow3_CashFlowB2_C_FV_e1c3a244dc3d4f149ecdf7d748811086_62">#REF!</definedName>
    <definedName name="_vena_CharterCashFlow3_CashFlowB2_C_FV_e1c3a244dc3d4f149ecdf7d748811086_63">#REF!</definedName>
    <definedName name="_vena_CharterCashFlow3_CashFlowB2_C_FV_e1c3a244dc3d4f149ecdf7d748811086_64">#REF!</definedName>
    <definedName name="_vena_CharterCashFlow3_CashFlowB2_C_FV_e1c3a244dc3d4f149ecdf7d748811086_65">#REF!</definedName>
    <definedName name="_vena_CharterCashFlow3_CashFlowB2_C_FV_e1c3a244dc3d4f149ecdf7d748811086_66">#REF!</definedName>
    <definedName name="_vena_CharterCashFlow3_CashFlowB2_C_FV_e1c3a244dc3d4f149ecdf7d748811086_67">#REF!</definedName>
    <definedName name="_vena_CharterCashFlow3_CashFlowB2_C_FV_e1c3a244dc3d4f149ecdf7d748811086_68">#REF!</definedName>
    <definedName name="_vena_CharterCashFlow3_CashFlowB2_C_FV_e1c3a244dc3d4f149ecdf7d748811086_69">#REF!</definedName>
    <definedName name="_vena_CharterCashFlow3_CashFlowB2_C_FV_e1c3a244dc3d4f149ecdf7d748811086_7">#REF!</definedName>
    <definedName name="_vena_CharterCashFlow3_CashFlowB2_C_FV_e1c3a244dc3d4f149ecdf7d748811086_70">#REF!</definedName>
    <definedName name="_vena_CharterCashFlow3_CashFlowB2_C_FV_e1c3a244dc3d4f149ecdf7d748811086_71">#REF!</definedName>
    <definedName name="_vena_CharterCashFlow3_CashFlowB2_C_FV_e1c3a244dc3d4f149ecdf7d748811086_8">#REF!</definedName>
    <definedName name="_vena_CharterCashFlow3_CashFlowB2_C_FV_e1c3a244dc3d4f149ecdf7d748811086_9">#REF!</definedName>
    <definedName name="_vena_CharterCashFlow3_CashFlowB2_R_5_463656169434644480">#REF!</definedName>
    <definedName name="_vena_CharterCashFlow3_CashFlowB5_C_8_431662182280724481">#REF!</definedName>
    <definedName name="_vena_CharterCashFlow3_CashFlowB5_C_8_431662182280724481_1">#REF!</definedName>
    <definedName name="_vena_CharterCashFlow3_CashFlowB5_C_8_431662182280724481_10">#REF!</definedName>
    <definedName name="_vena_CharterCashFlow3_CashFlowB5_C_8_431662182280724481_11">#REF!</definedName>
    <definedName name="_vena_CharterCashFlow3_CashFlowB5_C_8_431662182280724481_2">#REF!</definedName>
    <definedName name="_vena_CharterCashFlow3_CashFlowB5_C_8_431662182280724481_3">#REF!</definedName>
    <definedName name="_vena_CharterCashFlow3_CashFlowB5_C_8_431662182280724481_4">#REF!</definedName>
    <definedName name="_vena_CharterCashFlow3_CashFlowB5_C_8_431662182280724481_5">#REF!</definedName>
    <definedName name="_vena_CharterCashFlow3_CashFlowB5_C_8_431662182280724481_6">#REF!</definedName>
    <definedName name="_vena_CharterCashFlow3_CashFlowB5_C_8_431662182280724481_7">#REF!</definedName>
    <definedName name="_vena_CharterCashFlow3_CashFlowB5_C_8_431662182280724481_8">#REF!</definedName>
    <definedName name="_vena_CharterCashFlow3_CashFlowB5_C_8_431662182280724481_9">#REF!</definedName>
    <definedName name="_vena_CharterCashFlow3_CashFlowB5_C_FV_56493ffece784c5db4cd0fd3b40a250d">#REF!</definedName>
    <definedName name="_vena_CharterCashFlow3_CashFlowB5_C_FV_56493ffece784c5db4cd0fd3b40a250d_1">#REF!</definedName>
    <definedName name="_vena_CharterCashFlow3_CashFlowB5_C_FV_56493ffece784c5db4cd0fd3b40a250d_10">#REF!</definedName>
    <definedName name="_vena_CharterCashFlow3_CashFlowB5_C_FV_56493ffece784c5db4cd0fd3b40a250d_11">#REF!</definedName>
    <definedName name="_vena_CharterCashFlow3_CashFlowB5_C_FV_56493ffece784c5db4cd0fd3b40a250d_2">#REF!</definedName>
    <definedName name="_vena_CharterCashFlow3_CashFlowB5_C_FV_56493ffece784c5db4cd0fd3b40a250d_3">#REF!</definedName>
    <definedName name="_vena_CharterCashFlow3_CashFlowB5_C_FV_56493ffece784c5db4cd0fd3b40a250d_4">#REF!</definedName>
    <definedName name="_vena_CharterCashFlow3_CashFlowB5_C_FV_56493ffece784c5db4cd0fd3b40a250d_5">#REF!</definedName>
    <definedName name="_vena_CharterCashFlow3_CashFlowB5_C_FV_56493ffece784c5db4cd0fd3b40a250d_6">#REF!</definedName>
    <definedName name="_vena_CharterCashFlow3_CashFlowB5_C_FV_56493ffece784c5db4cd0fd3b40a250d_7">#REF!</definedName>
    <definedName name="_vena_CharterCashFlow3_CashFlowB5_C_FV_56493ffece784c5db4cd0fd3b40a250d_8">#REF!</definedName>
    <definedName name="_vena_CharterCashFlow3_CashFlowB5_C_FV_56493ffece784c5db4cd0fd3b40a250d_9">#REF!</definedName>
    <definedName name="_vena_CharterCashFlow3_CashFlowB5_C_FV_a398e917565c475b8f0c5e9ebb5e002d">#REF!</definedName>
    <definedName name="_vena_CharterCashFlow3_CashFlowB5_C_FV_a398e917565c475b8f0c5e9ebb5e002d_1">#REF!</definedName>
    <definedName name="_vena_CharterCashFlow3_CashFlowB5_C_FV_a398e917565c475b8f0c5e9ebb5e002d_10">#REF!</definedName>
    <definedName name="_vena_CharterCashFlow3_CashFlowB5_C_FV_a398e917565c475b8f0c5e9ebb5e002d_11">#REF!</definedName>
    <definedName name="_vena_CharterCashFlow3_CashFlowB5_C_FV_a398e917565c475b8f0c5e9ebb5e002d_2">#REF!</definedName>
    <definedName name="_vena_CharterCashFlow3_CashFlowB5_C_FV_a398e917565c475b8f0c5e9ebb5e002d_3">#REF!</definedName>
    <definedName name="_vena_CharterCashFlow3_CashFlowB5_C_FV_a398e917565c475b8f0c5e9ebb5e002d_4">#REF!</definedName>
    <definedName name="_vena_CharterCashFlow3_CashFlowB5_C_FV_a398e917565c475b8f0c5e9ebb5e002d_5">#REF!</definedName>
    <definedName name="_vena_CharterCashFlow3_CashFlowB5_C_FV_a398e917565c475b8f0c5e9ebb5e002d_6">#REF!</definedName>
    <definedName name="_vena_CharterCashFlow3_CashFlowB5_C_FV_a398e917565c475b8f0c5e9ebb5e002d_7">#REF!</definedName>
    <definedName name="_vena_CharterCashFlow3_CashFlowB5_C_FV_a398e917565c475b8f0c5e9ebb5e002d_8">#REF!</definedName>
    <definedName name="_vena_CharterCashFlow3_CashFlowB5_C_FV_a398e917565c475b8f0c5e9ebb5e002d_9">#REF!</definedName>
    <definedName name="_vena_CharterCashFlow3_CashFlowB5_C_FV_e1c3a244dc3d4f149ecdf7d748811086">#REF!</definedName>
    <definedName name="_vena_CharterCashFlow3_CashFlowB5_C_FV_e1c3a244dc3d4f149ecdf7d748811086_1">#REF!</definedName>
    <definedName name="_vena_CharterCashFlow3_CashFlowB5_C_FV_e1c3a244dc3d4f149ecdf7d748811086_10">#REF!</definedName>
    <definedName name="_vena_CharterCashFlow3_CashFlowB5_C_FV_e1c3a244dc3d4f149ecdf7d748811086_11">#REF!</definedName>
    <definedName name="_vena_CharterCashFlow3_CashFlowB5_C_FV_e1c3a244dc3d4f149ecdf7d748811086_2">#REF!</definedName>
    <definedName name="_vena_CharterCashFlow3_CashFlowB5_C_FV_e1c3a244dc3d4f149ecdf7d748811086_3">#REF!</definedName>
    <definedName name="_vena_CharterCashFlow3_CashFlowB5_C_FV_e1c3a244dc3d4f149ecdf7d748811086_4">#REF!</definedName>
    <definedName name="_vena_CharterCashFlow3_CashFlowB5_C_FV_e1c3a244dc3d4f149ecdf7d748811086_5">#REF!</definedName>
    <definedName name="_vena_CharterCashFlow3_CashFlowB5_C_FV_e1c3a244dc3d4f149ecdf7d748811086_6">#REF!</definedName>
    <definedName name="_vena_CharterCashFlow3_CashFlowB5_C_FV_e1c3a244dc3d4f149ecdf7d748811086_7">#REF!</definedName>
    <definedName name="_vena_CharterCashFlow3_CashFlowB5_C_FV_e1c3a244dc3d4f149ecdf7d748811086_8">#REF!</definedName>
    <definedName name="_vena_CharterCashFlow3_CashFlowB5_C_FV_e1c3a244dc3d4f149ecdf7d748811086_9">#REF!</definedName>
    <definedName name="_vena_CharterCashFlow3_CashFlowB5_R_5_507518001978146816">#REF!</definedName>
    <definedName name="_vena_CharterCashFlow3_CashFlowB6_C_8_431662182280724481">#REF!</definedName>
    <definedName name="_vena_CharterCashFlow3_CashFlowB6_C_8_431662182280724481_1">#REF!</definedName>
    <definedName name="_vena_CharterCashFlow3_CashFlowB6_C_8_431662182280724481_10">#REF!</definedName>
    <definedName name="_vena_CharterCashFlow3_CashFlowB6_C_8_431662182280724481_11">#REF!</definedName>
    <definedName name="_vena_CharterCashFlow3_CashFlowB6_C_8_431662182280724481_12">#REF!</definedName>
    <definedName name="_vena_CharterCashFlow3_CashFlowB6_C_8_431662182280724481_13">#REF!</definedName>
    <definedName name="_vena_CharterCashFlow3_CashFlowB6_C_8_431662182280724481_14">#REF!</definedName>
    <definedName name="_vena_CharterCashFlow3_CashFlowB6_C_8_431662182280724481_15">#REF!</definedName>
    <definedName name="_vena_CharterCashFlow3_CashFlowB6_C_8_431662182280724481_16">#REF!</definedName>
    <definedName name="_vena_CharterCashFlow3_CashFlowB6_C_8_431662182280724481_17">#REF!</definedName>
    <definedName name="_vena_CharterCashFlow3_CashFlowB6_C_8_431662182280724481_18">#REF!</definedName>
    <definedName name="_vena_CharterCashFlow3_CashFlowB6_C_8_431662182280724481_19">#REF!</definedName>
    <definedName name="_vena_CharterCashFlow3_CashFlowB6_C_8_431662182280724481_2">#REF!</definedName>
    <definedName name="_vena_CharterCashFlow3_CashFlowB6_C_8_431662182280724481_20">#REF!</definedName>
    <definedName name="_vena_CharterCashFlow3_CashFlowB6_C_8_431662182280724481_21">#REF!</definedName>
    <definedName name="_vena_CharterCashFlow3_CashFlowB6_C_8_431662182280724481_22">#REF!</definedName>
    <definedName name="_vena_CharterCashFlow3_CashFlowB6_C_8_431662182280724481_23">#REF!</definedName>
    <definedName name="_vena_CharterCashFlow3_CashFlowB6_C_8_431662182280724481_3">#REF!</definedName>
    <definedName name="_vena_CharterCashFlow3_CashFlowB6_C_8_431662182280724481_4">#REF!</definedName>
    <definedName name="_vena_CharterCashFlow3_CashFlowB6_C_8_431662182280724481_5">#REF!</definedName>
    <definedName name="_vena_CharterCashFlow3_CashFlowB6_C_8_431662182280724481_6">#REF!</definedName>
    <definedName name="_vena_CharterCashFlow3_CashFlowB6_C_8_431662182280724481_7">#REF!</definedName>
    <definedName name="_vena_CharterCashFlow3_CashFlowB6_C_8_431662182280724481_8">#REF!</definedName>
    <definedName name="_vena_CharterCashFlow3_CashFlowB6_C_8_431662182280724481_9">#REF!</definedName>
    <definedName name="_vena_CharterCashFlow3_CashFlowB6_C_8_443914069322235904">#REF!</definedName>
    <definedName name="_vena_CharterCashFlow3_CashFlowB6_C_8_443914069322235904_1">#REF!</definedName>
    <definedName name="_vena_CharterCashFlow3_CashFlowB6_C_8_443914069322235904_10">#REF!</definedName>
    <definedName name="_vena_CharterCashFlow3_CashFlowB6_C_8_443914069322235904_11">#REF!</definedName>
    <definedName name="_vena_CharterCashFlow3_CashFlowB6_C_8_443914069322235904_12">#REF!</definedName>
    <definedName name="_vena_CharterCashFlow3_CashFlowB6_C_8_443914069322235904_13">#REF!</definedName>
    <definedName name="_vena_CharterCashFlow3_CashFlowB6_C_8_443914069322235904_14">#REF!</definedName>
    <definedName name="_vena_CharterCashFlow3_CashFlowB6_C_8_443914069322235904_15">#REF!</definedName>
    <definedName name="_vena_CharterCashFlow3_CashFlowB6_C_8_443914069322235904_16">#REF!</definedName>
    <definedName name="_vena_CharterCashFlow3_CashFlowB6_C_8_443914069322235904_17">#REF!</definedName>
    <definedName name="_vena_CharterCashFlow3_CashFlowB6_C_8_443914069322235904_18">#REF!</definedName>
    <definedName name="_vena_CharterCashFlow3_CashFlowB6_C_8_443914069322235904_19">#REF!</definedName>
    <definedName name="_vena_CharterCashFlow3_CashFlowB6_C_8_443914069322235904_2">#REF!</definedName>
    <definedName name="_vena_CharterCashFlow3_CashFlowB6_C_8_443914069322235904_20">#REF!</definedName>
    <definedName name="_vena_CharterCashFlow3_CashFlowB6_C_8_443914069322235904_21">#REF!</definedName>
    <definedName name="_vena_CharterCashFlow3_CashFlowB6_C_8_443914069322235904_22">#REF!</definedName>
    <definedName name="_vena_CharterCashFlow3_CashFlowB6_C_8_443914069322235904_23">#REF!</definedName>
    <definedName name="_vena_CharterCashFlow3_CashFlowB6_C_8_443914069322235904_24">#REF!</definedName>
    <definedName name="_vena_CharterCashFlow3_CashFlowB6_C_8_443914069322235904_25">#REF!</definedName>
    <definedName name="_vena_CharterCashFlow3_CashFlowB6_C_8_443914069322235904_26">#REF!</definedName>
    <definedName name="_vena_CharterCashFlow3_CashFlowB6_C_8_443914069322235904_27">#REF!</definedName>
    <definedName name="_vena_CharterCashFlow3_CashFlowB6_C_8_443914069322235904_28">#REF!</definedName>
    <definedName name="_vena_CharterCashFlow3_CashFlowB6_C_8_443914069322235904_29">#REF!</definedName>
    <definedName name="_vena_CharterCashFlow3_CashFlowB6_C_8_443914069322235904_3">#REF!</definedName>
    <definedName name="_vena_CharterCashFlow3_CashFlowB6_C_8_443914069322235904_30">#REF!</definedName>
    <definedName name="_vena_CharterCashFlow3_CashFlowB6_C_8_443914069322235904_31">#REF!</definedName>
    <definedName name="_vena_CharterCashFlow3_CashFlowB6_C_8_443914069322235904_32">#REF!</definedName>
    <definedName name="_vena_CharterCashFlow3_CashFlowB6_C_8_443914069322235904_33">#REF!</definedName>
    <definedName name="_vena_CharterCashFlow3_CashFlowB6_C_8_443914069322235904_34">#REF!</definedName>
    <definedName name="_vena_CharterCashFlow3_CashFlowB6_C_8_443914069322235904_35">#REF!</definedName>
    <definedName name="_vena_CharterCashFlow3_CashFlowB6_C_8_443914069322235904_36">#REF!</definedName>
    <definedName name="_vena_CharterCashFlow3_CashFlowB6_C_8_443914069322235904_37">#REF!</definedName>
    <definedName name="_vena_CharterCashFlow3_CashFlowB6_C_8_443914069322235904_38">#REF!</definedName>
    <definedName name="_vena_CharterCashFlow3_CashFlowB6_C_8_443914069322235904_39">#REF!</definedName>
    <definedName name="_vena_CharterCashFlow3_CashFlowB6_C_8_443914069322235904_4">#REF!</definedName>
    <definedName name="_vena_CharterCashFlow3_CashFlowB6_C_8_443914069322235904_40">#REF!</definedName>
    <definedName name="_vena_CharterCashFlow3_CashFlowB6_C_8_443914069322235904_41">#REF!</definedName>
    <definedName name="_vena_CharterCashFlow3_CashFlowB6_C_8_443914069322235904_42">#REF!</definedName>
    <definedName name="_vena_CharterCashFlow3_CashFlowB6_C_8_443914069322235904_43">#REF!</definedName>
    <definedName name="_vena_CharterCashFlow3_CashFlowB6_C_8_443914069322235904_44">#REF!</definedName>
    <definedName name="_vena_CharterCashFlow3_CashFlowB6_C_8_443914069322235904_45">#REF!</definedName>
    <definedName name="_vena_CharterCashFlow3_CashFlowB6_C_8_443914069322235904_46">#REF!</definedName>
    <definedName name="_vena_CharterCashFlow3_CashFlowB6_C_8_443914069322235904_47">#REF!</definedName>
    <definedName name="_vena_CharterCashFlow3_CashFlowB6_C_8_443914069322235904_5">#REF!</definedName>
    <definedName name="_vena_CharterCashFlow3_CashFlowB6_C_8_443914069322235904_6">#REF!</definedName>
    <definedName name="_vena_CharterCashFlow3_CashFlowB6_C_8_443914069322235904_7">#REF!</definedName>
    <definedName name="_vena_CharterCashFlow3_CashFlowB6_C_8_443914069322235904_8">#REF!</definedName>
    <definedName name="_vena_CharterCashFlow3_CashFlowB6_C_8_443914069322235904_9">#REF!</definedName>
    <definedName name="_vena_CharterCashFlow3_CashFlowB6_C_FV_56493ffece784c5db4cd0fd3b40a250d">#REF!</definedName>
    <definedName name="_vena_CharterCashFlow3_CashFlowB6_C_FV_56493ffece784c5db4cd0fd3b40a250d_1">#REF!</definedName>
    <definedName name="_vena_CharterCashFlow3_CashFlowB6_C_FV_56493ffece784c5db4cd0fd3b40a250d_10">#REF!</definedName>
    <definedName name="_vena_CharterCashFlow3_CashFlowB6_C_FV_56493ffece784c5db4cd0fd3b40a250d_11">#REF!</definedName>
    <definedName name="_vena_CharterCashFlow3_CashFlowB6_C_FV_56493ffece784c5db4cd0fd3b40a250d_12">#REF!</definedName>
    <definedName name="_vena_CharterCashFlow3_CashFlowB6_C_FV_56493ffece784c5db4cd0fd3b40a250d_13">#REF!</definedName>
    <definedName name="_vena_CharterCashFlow3_CashFlowB6_C_FV_56493ffece784c5db4cd0fd3b40a250d_14">#REF!</definedName>
    <definedName name="_vena_CharterCashFlow3_CashFlowB6_C_FV_56493ffece784c5db4cd0fd3b40a250d_15">#REF!</definedName>
    <definedName name="_vena_CharterCashFlow3_CashFlowB6_C_FV_56493ffece784c5db4cd0fd3b40a250d_16">#REF!</definedName>
    <definedName name="_vena_CharterCashFlow3_CashFlowB6_C_FV_56493ffece784c5db4cd0fd3b40a250d_17">#REF!</definedName>
    <definedName name="_vena_CharterCashFlow3_CashFlowB6_C_FV_56493ffece784c5db4cd0fd3b40a250d_18">#REF!</definedName>
    <definedName name="_vena_CharterCashFlow3_CashFlowB6_C_FV_56493ffece784c5db4cd0fd3b40a250d_19">#REF!</definedName>
    <definedName name="_vena_CharterCashFlow3_CashFlowB6_C_FV_56493ffece784c5db4cd0fd3b40a250d_2">#REF!</definedName>
    <definedName name="_vena_CharterCashFlow3_CashFlowB6_C_FV_56493ffece784c5db4cd0fd3b40a250d_20">#REF!</definedName>
    <definedName name="_vena_CharterCashFlow3_CashFlowB6_C_FV_56493ffece784c5db4cd0fd3b40a250d_21">#REF!</definedName>
    <definedName name="_vena_CharterCashFlow3_CashFlowB6_C_FV_56493ffece784c5db4cd0fd3b40a250d_22">#REF!</definedName>
    <definedName name="_vena_CharterCashFlow3_CashFlowB6_C_FV_56493ffece784c5db4cd0fd3b40a250d_23">#REF!</definedName>
    <definedName name="_vena_CharterCashFlow3_CashFlowB6_C_FV_56493ffece784c5db4cd0fd3b40a250d_24">#REF!</definedName>
    <definedName name="_vena_CharterCashFlow3_CashFlowB6_C_FV_56493ffece784c5db4cd0fd3b40a250d_25">#REF!</definedName>
    <definedName name="_vena_CharterCashFlow3_CashFlowB6_C_FV_56493ffece784c5db4cd0fd3b40a250d_26">#REF!</definedName>
    <definedName name="_vena_CharterCashFlow3_CashFlowB6_C_FV_56493ffece784c5db4cd0fd3b40a250d_27">#REF!</definedName>
    <definedName name="_vena_CharterCashFlow3_CashFlowB6_C_FV_56493ffece784c5db4cd0fd3b40a250d_28">#REF!</definedName>
    <definedName name="_vena_CharterCashFlow3_CashFlowB6_C_FV_56493ffece784c5db4cd0fd3b40a250d_29">#REF!</definedName>
    <definedName name="_vena_CharterCashFlow3_CashFlowB6_C_FV_56493ffece784c5db4cd0fd3b40a250d_3">#REF!</definedName>
    <definedName name="_vena_CharterCashFlow3_CashFlowB6_C_FV_56493ffece784c5db4cd0fd3b40a250d_30">#REF!</definedName>
    <definedName name="_vena_CharterCashFlow3_CashFlowB6_C_FV_56493ffece784c5db4cd0fd3b40a250d_31">#REF!</definedName>
    <definedName name="_vena_CharterCashFlow3_CashFlowB6_C_FV_56493ffece784c5db4cd0fd3b40a250d_32">#REF!</definedName>
    <definedName name="_vena_CharterCashFlow3_CashFlowB6_C_FV_56493ffece784c5db4cd0fd3b40a250d_33">#REF!</definedName>
    <definedName name="_vena_CharterCashFlow3_CashFlowB6_C_FV_56493ffece784c5db4cd0fd3b40a250d_34">#REF!</definedName>
    <definedName name="_vena_CharterCashFlow3_CashFlowB6_C_FV_56493ffece784c5db4cd0fd3b40a250d_35">#REF!</definedName>
    <definedName name="_vena_CharterCashFlow3_CashFlowB6_C_FV_56493ffece784c5db4cd0fd3b40a250d_36">#REF!</definedName>
    <definedName name="_vena_CharterCashFlow3_CashFlowB6_C_FV_56493ffece784c5db4cd0fd3b40a250d_37">#REF!</definedName>
    <definedName name="_vena_CharterCashFlow3_CashFlowB6_C_FV_56493ffece784c5db4cd0fd3b40a250d_38">#REF!</definedName>
    <definedName name="_vena_CharterCashFlow3_CashFlowB6_C_FV_56493ffece784c5db4cd0fd3b40a250d_39">#REF!</definedName>
    <definedName name="_vena_CharterCashFlow3_CashFlowB6_C_FV_56493ffece784c5db4cd0fd3b40a250d_4">#REF!</definedName>
    <definedName name="_vena_CharterCashFlow3_CashFlowB6_C_FV_56493ffece784c5db4cd0fd3b40a250d_40">#REF!</definedName>
    <definedName name="_vena_CharterCashFlow3_CashFlowB6_C_FV_56493ffece784c5db4cd0fd3b40a250d_41">#REF!</definedName>
    <definedName name="_vena_CharterCashFlow3_CashFlowB6_C_FV_56493ffece784c5db4cd0fd3b40a250d_42">#REF!</definedName>
    <definedName name="_vena_CharterCashFlow3_CashFlowB6_C_FV_56493ffece784c5db4cd0fd3b40a250d_43">#REF!</definedName>
    <definedName name="_vena_CharterCashFlow3_CashFlowB6_C_FV_56493ffece784c5db4cd0fd3b40a250d_44">#REF!</definedName>
    <definedName name="_vena_CharterCashFlow3_CashFlowB6_C_FV_56493ffece784c5db4cd0fd3b40a250d_45">#REF!</definedName>
    <definedName name="_vena_CharterCashFlow3_CashFlowB6_C_FV_56493ffece784c5db4cd0fd3b40a250d_46">#REF!</definedName>
    <definedName name="_vena_CharterCashFlow3_CashFlowB6_C_FV_56493ffece784c5db4cd0fd3b40a250d_47">#REF!</definedName>
    <definedName name="_vena_CharterCashFlow3_CashFlowB6_C_FV_56493ffece784c5db4cd0fd3b40a250d_48">#REF!</definedName>
    <definedName name="_vena_CharterCashFlow3_CashFlowB6_C_FV_56493ffece784c5db4cd0fd3b40a250d_49">#REF!</definedName>
    <definedName name="_vena_CharterCashFlow3_CashFlowB6_C_FV_56493ffece784c5db4cd0fd3b40a250d_5">#REF!</definedName>
    <definedName name="_vena_CharterCashFlow3_CashFlowB6_C_FV_56493ffece784c5db4cd0fd3b40a250d_50">#REF!</definedName>
    <definedName name="_vena_CharterCashFlow3_CashFlowB6_C_FV_56493ffece784c5db4cd0fd3b40a250d_51">#REF!</definedName>
    <definedName name="_vena_CharterCashFlow3_CashFlowB6_C_FV_56493ffece784c5db4cd0fd3b40a250d_52">#REF!</definedName>
    <definedName name="_vena_CharterCashFlow3_CashFlowB6_C_FV_56493ffece784c5db4cd0fd3b40a250d_53">#REF!</definedName>
    <definedName name="_vena_CharterCashFlow3_CashFlowB6_C_FV_56493ffece784c5db4cd0fd3b40a250d_54">#REF!</definedName>
    <definedName name="_vena_CharterCashFlow3_CashFlowB6_C_FV_56493ffece784c5db4cd0fd3b40a250d_55">#REF!</definedName>
    <definedName name="_vena_CharterCashFlow3_CashFlowB6_C_FV_56493ffece784c5db4cd0fd3b40a250d_56">#REF!</definedName>
    <definedName name="_vena_CharterCashFlow3_CashFlowB6_C_FV_56493ffece784c5db4cd0fd3b40a250d_57">#REF!</definedName>
    <definedName name="_vena_CharterCashFlow3_CashFlowB6_C_FV_56493ffece784c5db4cd0fd3b40a250d_58">#REF!</definedName>
    <definedName name="_vena_CharterCashFlow3_CashFlowB6_C_FV_56493ffece784c5db4cd0fd3b40a250d_59">#REF!</definedName>
    <definedName name="_vena_CharterCashFlow3_CashFlowB6_C_FV_56493ffece784c5db4cd0fd3b40a250d_6">#REF!</definedName>
    <definedName name="_vena_CharterCashFlow3_CashFlowB6_C_FV_56493ffece784c5db4cd0fd3b40a250d_60">#REF!</definedName>
    <definedName name="_vena_CharterCashFlow3_CashFlowB6_C_FV_56493ffece784c5db4cd0fd3b40a250d_61">#REF!</definedName>
    <definedName name="_vena_CharterCashFlow3_CashFlowB6_C_FV_56493ffece784c5db4cd0fd3b40a250d_62">#REF!</definedName>
    <definedName name="_vena_CharterCashFlow3_CashFlowB6_C_FV_56493ffece784c5db4cd0fd3b40a250d_63">#REF!</definedName>
    <definedName name="_vena_CharterCashFlow3_CashFlowB6_C_FV_56493ffece784c5db4cd0fd3b40a250d_64">#REF!</definedName>
    <definedName name="_vena_CharterCashFlow3_CashFlowB6_C_FV_56493ffece784c5db4cd0fd3b40a250d_65">#REF!</definedName>
    <definedName name="_vena_CharterCashFlow3_CashFlowB6_C_FV_56493ffece784c5db4cd0fd3b40a250d_66">#REF!</definedName>
    <definedName name="_vena_CharterCashFlow3_CashFlowB6_C_FV_56493ffece784c5db4cd0fd3b40a250d_67">#REF!</definedName>
    <definedName name="_vena_CharterCashFlow3_CashFlowB6_C_FV_56493ffece784c5db4cd0fd3b40a250d_68">#REF!</definedName>
    <definedName name="_vena_CharterCashFlow3_CashFlowB6_C_FV_56493ffece784c5db4cd0fd3b40a250d_69">#REF!</definedName>
    <definedName name="_vena_CharterCashFlow3_CashFlowB6_C_FV_56493ffece784c5db4cd0fd3b40a250d_7">#REF!</definedName>
    <definedName name="_vena_CharterCashFlow3_CashFlowB6_C_FV_56493ffece784c5db4cd0fd3b40a250d_70">#REF!</definedName>
    <definedName name="_vena_CharterCashFlow3_CashFlowB6_C_FV_56493ffece784c5db4cd0fd3b40a250d_71">#REF!</definedName>
    <definedName name="_vena_CharterCashFlow3_CashFlowB6_C_FV_56493ffece784c5db4cd0fd3b40a250d_8">#REF!</definedName>
    <definedName name="_vena_CharterCashFlow3_CashFlowB6_C_FV_56493ffece784c5db4cd0fd3b40a250d_9">#REF!</definedName>
    <definedName name="_vena_CharterCashFlow3_CashFlowB6_C_FV_a398e917565c475b8f0c5e9ebb5e002d">#REF!</definedName>
    <definedName name="_vena_CharterCashFlow3_CashFlowB6_C_FV_a398e917565c475b8f0c5e9ebb5e002d_1">#REF!</definedName>
    <definedName name="_vena_CharterCashFlow3_CashFlowB6_C_FV_a398e917565c475b8f0c5e9ebb5e002d_10">#REF!</definedName>
    <definedName name="_vena_CharterCashFlow3_CashFlowB6_C_FV_a398e917565c475b8f0c5e9ebb5e002d_11">#REF!</definedName>
    <definedName name="_vena_CharterCashFlow3_CashFlowB6_C_FV_a398e917565c475b8f0c5e9ebb5e002d_12">#REF!</definedName>
    <definedName name="_vena_CharterCashFlow3_CashFlowB6_C_FV_a398e917565c475b8f0c5e9ebb5e002d_13">#REF!</definedName>
    <definedName name="_vena_CharterCashFlow3_CashFlowB6_C_FV_a398e917565c475b8f0c5e9ebb5e002d_14">#REF!</definedName>
    <definedName name="_vena_CharterCashFlow3_CashFlowB6_C_FV_a398e917565c475b8f0c5e9ebb5e002d_15">#REF!</definedName>
    <definedName name="_vena_CharterCashFlow3_CashFlowB6_C_FV_a398e917565c475b8f0c5e9ebb5e002d_16">#REF!</definedName>
    <definedName name="_vena_CharterCashFlow3_CashFlowB6_C_FV_a398e917565c475b8f0c5e9ebb5e002d_17">#REF!</definedName>
    <definedName name="_vena_CharterCashFlow3_CashFlowB6_C_FV_a398e917565c475b8f0c5e9ebb5e002d_18">#REF!</definedName>
    <definedName name="_vena_CharterCashFlow3_CashFlowB6_C_FV_a398e917565c475b8f0c5e9ebb5e002d_19">#REF!</definedName>
    <definedName name="_vena_CharterCashFlow3_CashFlowB6_C_FV_a398e917565c475b8f0c5e9ebb5e002d_2">#REF!</definedName>
    <definedName name="_vena_CharterCashFlow3_CashFlowB6_C_FV_a398e917565c475b8f0c5e9ebb5e002d_20">#REF!</definedName>
    <definedName name="_vena_CharterCashFlow3_CashFlowB6_C_FV_a398e917565c475b8f0c5e9ebb5e002d_21">#REF!</definedName>
    <definedName name="_vena_CharterCashFlow3_CashFlowB6_C_FV_a398e917565c475b8f0c5e9ebb5e002d_22">#REF!</definedName>
    <definedName name="_vena_CharterCashFlow3_CashFlowB6_C_FV_a398e917565c475b8f0c5e9ebb5e002d_23">#REF!</definedName>
    <definedName name="_vena_CharterCashFlow3_CashFlowB6_C_FV_a398e917565c475b8f0c5e9ebb5e002d_24">#REF!</definedName>
    <definedName name="_vena_CharterCashFlow3_CashFlowB6_C_FV_a398e917565c475b8f0c5e9ebb5e002d_25">#REF!</definedName>
    <definedName name="_vena_CharterCashFlow3_CashFlowB6_C_FV_a398e917565c475b8f0c5e9ebb5e002d_26">#REF!</definedName>
    <definedName name="_vena_CharterCashFlow3_CashFlowB6_C_FV_a398e917565c475b8f0c5e9ebb5e002d_27">#REF!</definedName>
    <definedName name="_vena_CharterCashFlow3_CashFlowB6_C_FV_a398e917565c475b8f0c5e9ebb5e002d_28">#REF!</definedName>
    <definedName name="_vena_CharterCashFlow3_CashFlowB6_C_FV_a398e917565c475b8f0c5e9ebb5e002d_29">#REF!</definedName>
    <definedName name="_vena_CharterCashFlow3_CashFlowB6_C_FV_a398e917565c475b8f0c5e9ebb5e002d_3">#REF!</definedName>
    <definedName name="_vena_CharterCashFlow3_CashFlowB6_C_FV_a398e917565c475b8f0c5e9ebb5e002d_30">#REF!</definedName>
    <definedName name="_vena_CharterCashFlow3_CashFlowB6_C_FV_a398e917565c475b8f0c5e9ebb5e002d_31">#REF!</definedName>
    <definedName name="_vena_CharterCashFlow3_CashFlowB6_C_FV_a398e917565c475b8f0c5e9ebb5e002d_32">#REF!</definedName>
    <definedName name="_vena_CharterCashFlow3_CashFlowB6_C_FV_a398e917565c475b8f0c5e9ebb5e002d_33">#REF!</definedName>
    <definedName name="_vena_CharterCashFlow3_CashFlowB6_C_FV_a398e917565c475b8f0c5e9ebb5e002d_34">#REF!</definedName>
    <definedName name="_vena_CharterCashFlow3_CashFlowB6_C_FV_a398e917565c475b8f0c5e9ebb5e002d_35">#REF!</definedName>
    <definedName name="_vena_CharterCashFlow3_CashFlowB6_C_FV_a398e917565c475b8f0c5e9ebb5e002d_36">#REF!</definedName>
    <definedName name="_vena_CharterCashFlow3_CashFlowB6_C_FV_a398e917565c475b8f0c5e9ebb5e002d_37">#REF!</definedName>
    <definedName name="_vena_CharterCashFlow3_CashFlowB6_C_FV_a398e917565c475b8f0c5e9ebb5e002d_38">#REF!</definedName>
    <definedName name="_vena_CharterCashFlow3_CashFlowB6_C_FV_a398e917565c475b8f0c5e9ebb5e002d_39">#REF!</definedName>
    <definedName name="_vena_CharterCashFlow3_CashFlowB6_C_FV_a398e917565c475b8f0c5e9ebb5e002d_4">#REF!</definedName>
    <definedName name="_vena_CharterCashFlow3_CashFlowB6_C_FV_a398e917565c475b8f0c5e9ebb5e002d_40">#REF!</definedName>
    <definedName name="_vena_CharterCashFlow3_CashFlowB6_C_FV_a398e917565c475b8f0c5e9ebb5e002d_41">#REF!</definedName>
    <definedName name="_vena_CharterCashFlow3_CashFlowB6_C_FV_a398e917565c475b8f0c5e9ebb5e002d_42">#REF!</definedName>
    <definedName name="_vena_CharterCashFlow3_CashFlowB6_C_FV_a398e917565c475b8f0c5e9ebb5e002d_43">#REF!</definedName>
    <definedName name="_vena_CharterCashFlow3_CashFlowB6_C_FV_a398e917565c475b8f0c5e9ebb5e002d_44">#REF!</definedName>
    <definedName name="_vena_CharterCashFlow3_CashFlowB6_C_FV_a398e917565c475b8f0c5e9ebb5e002d_45">#REF!</definedName>
    <definedName name="_vena_CharterCashFlow3_CashFlowB6_C_FV_a398e917565c475b8f0c5e9ebb5e002d_46">#REF!</definedName>
    <definedName name="_vena_CharterCashFlow3_CashFlowB6_C_FV_a398e917565c475b8f0c5e9ebb5e002d_47">#REF!</definedName>
    <definedName name="_vena_CharterCashFlow3_CashFlowB6_C_FV_a398e917565c475b8f0c5e9ebb5e002d_48">#REF!</definedName>
    <definedName name="_vena_CharterCashFlow3_CashFlowB6_C_FV_a398e917565c475b8f0c5e9ebb5e002d_49">#REF!</definedName>
    <definedName name="_vena_CharterCashFlow3_CashFlowB6_C_FV_a398e917565c475b8f0c5e9ebb5e002d_5">#REF!</definedName>
    <definedName name="_vena_CharterCashFlow3_CashFlowB6_C_FV_a398e917565c475b8f0c5e9ebb5e002d_50">#REF!</definedName>
    <definedName name="_vena_CharterCashFlow3_CashFlowB6_C_FV_a398e917565c475b8f0c5e9ebb5e002d_51">#REF!</definedName>
    <definedName name="_vena_CharterCashFlow3_CashFlowB6_C_FV_a398e917565c475b8f0c5e9ebb5e002d_52">#REF!</definedName>
    <definedName name="_vena_CharterCashFlow3_CashFlowB6_C_FV_a398e917565c475b8f0c5e9ebb5e002d_53">#REF!</definedName>
    <definedName name="_vena_CharterCashFlow3_CashFlowB6_C_FV_a398e917565c475b8f0c5e9ebb5e002d_54">#REF!</definedName>
    <definedName name="_vena_CharterCashFlow3_CashFlowB6_C_FV_a398e917565c475b8f0c5e9ebb5e002d_55">#REF!</definedName>
    <definedName name="_vena_CharterCashFlow3_CashFlowB6_C_FV_a398e917565c475b8f0c5e9ebb5e002d_56">#REF!</definedName>
    <definedName name="_vena_CharterCashFlow3_CashFlowB6_C_FV_a398e917565c475b8f0c5e9ebb5e002d_57">#REF!</definedName>
    <definedName name="_vena_CharterCashFlow3_CashFlowB6_C_FV_a398e917565c475b8f0c5e9ebb5e002d_58">#REF!</definedName>
    <definedName name="_vena_CharterCashFlow3_CashFlowB6_C_FV_a398e917565c475b8f0c5e9ebb5e002d_59">#REF!</definedName>
    <definedName name="_vena_CharterCashFlow3_CashFlowB6_C_FV_a398e917565c475b8f0c5e9ebb5e002d_6">#REF!</definedName>
    <definedName name="_vena_CharterCashFlow3_CashFlowB6_C_FV_a398e917565c475b8f0c5e9ebb5e002d_60">#REF!</definedName>
    <definedName name="_vena_CharterCashFlow3_CashFlowB6_C_FV_a398e917565c475b8f0c5e9ebb5e002d_61">#REF!</definedName>
    <definedName name="_vena_CharterCashFlow3_CashFlowB6_C_FV_a398e917565c475b8f0c5e9ebb5e002d_62">#REF!</definedName>
    <definedName name="_vena_CharterCashFlow3_CashFlowB6_C_FV_a398e917565c475b8f0c5e9ebb5e002d_63">#REF!</definedName>
    <definedName name="_vena_CharterCashFlow3_CashFlowB6_C_FV_a398e917565c475b8f0c5e9ebb5e002d_64">#REF!</definedName>
    <definedName name="_vena_CharterCashFlow3_CashFlowB6_C_FV_a398e917565c475b8f0c5e9ebb5e002d_65">#REF!</definedName>
    <definedName name="_vena_CharterCashFlow3_CashFlowB6_C_FV_a398e917565c475b8f0c5e9ebb5e002d_66">#REF!</definedName>
    <definedName name="_vena_CharterCashFlow3_CashFlowB6_C_FV_a398e917565c475b8f0c5e9ebb5e002d_67">#REF!</definedName>
    <definedName name="_vena_CharterCashFlow3_CashFlowB6_C_FV_a398e917565c475b8f0c5e9ebb5e002d_68">#REF!</definedName>
    <definedName name="_vena_CharterCashFlow3_CashFlowB6_C_FV_a398e917565c475b8f0c5e9ebb5e002d_69">#REF!</definedName>
    <definedName name="_vena_CharterCashFlow3_CashFlowB6_C_FV_a398e917565c475b8f0c5e9ebb5e002d_7">#REF!</definedName>
    <definedName name="_vena_CharterCashFlow3_CashFlowB6_C_FV_a398e917565c475b8f0c5e9ebb5e002d_70">#REF!</definedName>
    <definedName name="_vena_CharterCashFlow3_CashFlowB6_C_FV_a398e917565c475b8f0c5e9ebb5e002d_71">#REF!</definedName>
    <definedName name="_vena_CharterCashFlow3_CashFlowB6_C_FV_a398e917565c475b8f0c5e9ebb5e002d_8">#REF!</definedName>
    <definedName name="_vena_CharterCashFlow3_CashFlowB6_C_FV_a398e917565c475b8f0c5e9ebb5e002d_9">#REF!</definedName>
    <definedName name="_vena_CharterCashFlow3_CashFlowB6_C_FV_e1c3a244dc3d4f149ecdf7d748811086">#REF!</definedName>
    <definedName name="_vena_CharterCashFlow3_CashFlowB6_C_FV_e1c3a244dc3d4f149ecdf7d748811086_1">#REF!</definedName>
    <definedName name="_vena_CharterCashFlow3_CashFlowB6_C_FV_e1c3a244dc3d4f149ecdf7d748811086_10">#REF!</definedName>
    <definedName name="_vena_CharterCashFlow3_CashFlowB6_C_FV_e1c3a244dc3d4f149ecdf7d748811086_11">#REF!</definedName>
    <definedName name="_vena_CharterCashFlow3_CashFlowB6_C_FV_e1c3a244dc3d4f149ecdf7d748811086_12">#REF!</definedName>
    <definedName name="_vena_CharterCashFlow3_CashFlowB6_C_FV_e1c3a244dc3d4f149ecdf7d748811086_13">#REF!</definedName>
    <definedName name="_vena_CharterCashFlow3_CashFlowB6_C_FV_e1c3a244dc3d4f149ecdf7d748811086_14">#REF!</definedName>
    <definedName name="_vena_CharterCashFlow3_CashFlowB6_C_FV_e1c3a244dc3d4f149ecdf7d748811086_15">#REF!</definedName>
    <definedName name="_vena_CharterCashFlow3_CashFlowB6_C_FV_e1c3a244dc3d4f149ecdf7d748811086_16">#REF!</definedName>
    <definedName name="_vena_CharterCashFlow3_CashFlowB6_C_FV_e1c3a244dc3d4f149ecdf7d748811086_17">#REF!</definedName>
    <definedName name="_vena_CharterCashFlow3_CashFlowB6_C_FV_e1c3a244dc3d4f149ecdf7d748811086_18">#REF!</definedName>
    <definedName name="_vena_CharterCashFlow3_CashFlowB6_C_FV_e1c3a244dc3d4f149ecdf7d748811086_19">#REF!</definedName>
    <definedName name="_vena_CharterCashFlow3_CashFlowB6_C_FV_e1c3a244dc3d4f149ecdf7d748811086_2">#REF!</definedName>
    <definedName name="_vena_CharterCashFlow3_CashFlowB6_C_FV_e1c3a244dc3d4f149ecdf7d748811086_20">#REF!</definedName>
    <definedName name="_vena_CharterCashFlow3_CashFlowB6_C_FV_e1c3a244dc3d4f149ecdf7d748811086_21">#REF!</definedName>
    <definedName name="_vena_CharterCashFlow3_CashFlowB6_C_FV_e1c3a244dc3d4f149ecdf7d748811086_22">#REF!</definedName>
    <definedName name="_vena_CharterCashFlow3_CashFlowB6_C_FV_e1c3a244dc3d4f149ecdf7d748811086_23">#REF!</definedName>
    <definedName name="_vena_CharterCashFlow3_CashFlowB6_C_FV_e1c3a244dc3d4f149ecdf7d748811086_24">#REF!</definedName>
    <definedName name="_vena_CharterCashFlow3_CashFlowB6_C_FV_e1c3a244dc3d4f149ecdf7d748811086_25">#REF!</definedName>
    <definedName name="_vena_CharterCashFlow3_CashFlowB6_C_FV_e1c3a244dc3d4f149ecdf7d748811086_26">#REF!</definedName>
    <definedName name="_vena_CharterCashFlow3_CashFlowB6_C_FV_e1c3a244dc3d4f149ecdf7d748811086_27">#REF!</definedName>
    <definedName name="_vena_CharterCashFlow3_CashFlowB6_C_FV_e1c3a244dc3d4f149ecdf7d748811086_28">#REF!</definedName>
    <definedName name="_vena_CharterCashFlow3_CashFlowB6_C_FV_e1c3a244dc3d4f149ecdf7d748811086_29">#REF!</definedName>
    <definedName name="_vena_CharterCashFlow3_CashFlowB6_C_FV_e1c3a244dc3d4f149ecdf7d748811086_3">#REF!</definedName>
    <definedName name="_vena_CharterCashFlow3_CashFlowB6_C_FV_e1c3a244dc3d4f149ecdf7d748811086_30">#REF!</definedName>
    <definedName name="_vena_CharterCashFlow3_CashFlowB6_C_FV_e1c3a244dc3d4f149ecdf7d748811086_31">#REF!</definedName>
    <definedName name="_vena_CharterCashFlow3_CashFlowB6_C_FV_e1c3a244dc3d4f149ecdf7d748811086_32">#REF!</definedName>
    <definedName name="_vena_CharterCashFlow3_CashFlowB6_C_FV_e1c3a244dc3d4f149ecdf7d748811086_33">#REF!</definedName>
    <definedName name="_vena_CharterCashFlow3_CashFlowB6_C_FV_e1c3a244dc3d4f149ecdf7d748811086_34">#REF!</definedName>
    <definedName name="_vena_CharterCashFlow3_CashFlowB6_C_FV_e1c3a244dc3d4f149ecdf7d748811086_35">#REF!</definedName>
    <definedName name="_vena_CharterCashFlow3_CashFlowB6_C_FV_e1c3a244dc3d4f149ecdf7d748811086_36">#REF!</definedName>
    <definedName name="_vena_CharterCashFlow3_CashFlowB6_C_FV_e1c3a244dc3d4f149ecdf7d748811086_37">#REF!</definedName>
    <definedName name="_vena_CharterCashFlow3_CashFlowB6_C_FV_e1c3a244dc3d4f149ecdf7d748811086_38">#REF!</definedName>
    <definedName name="_vena_CharterCashFlow3_CashFlowB6_C_FV_e1c3a244dc3d4f149ecdf7d748811086_39">#REF!</definedName>
    <definedName name="_vena_CharterCashFlow3_CashFlowB6_C_FV_e1c3a244dc3d4f149ecdf7d748811086_4">#REF!</definedName>
    <definedName name="_vena_CharterCashFlow3_CashFlowB6_C_FV_e1c3a244dc3d4f149ecdf7d748811086_40">#REF!</definedName>
    <definedName name="_vena_CharterCashFlow3_CashFlowB6_C_FV_e1c3a244dc3d4f149ecdf7d748811086_41">#REF!</definedName>
    <definedName name="_vena_CharterCashFlow3_CashFlowB6_C_FV_e1c3a244dc3d4f149ecdf7d748811086_42">#REF!</definedName>
    <definedName name="_vena_CharterCashFlow3_CashFlowB6_C_FV_e1c3a244dc3d4f149ecdf7d748811086_43">#REF!</definedName>
    <definedName name="_vena_CharterCashFlow3_CashFlowB6_C_FV_e1c3a244dc3d4f149ecdf7d748811086_44">#REF!</definedName>
    <definedName name="_vena_CharterCashFlow3_CashFlowB6_C_FV_e1c3a244dc3d4f149ecdf7d748811086_45">#REF!</definedName>
    <definedName name="_vena_CharterCashFlow3_CashFlowB6_C_FV_e1c3a244dc3d4f149ecdf7d748811086_46">#REF!</definedName>
    <definedName name="_vena_CharterCashFlow3_CashFlowB6_C_FV_e1c3a244dc3d4f149ecdf7d748811086_47">#REF!</definedName>
    <definedName name="_vena_CharterCashFlow3_CashFlowB6_C_FV_e1c3a244dc3d4f149ecdf7d748811086_48">#REF!</definedName>
    <definedName name="_vena_CharterCashFlow3_CashFlowB6_C_FV_e1c3a244dc3d4f149ecdf7d748811086_49">#REF!</definedName>
    <definedName name="_vena_CharterCashFlow3_CashFlowB6_C_FV_e1c3a244dc3d4f149ecdf7d748811086_5">#REF!</definedName>
    <definedName name="_vena_CharterCashFlow3_CashFlowB6_C_FV_e1c3a244dc3d4f149ecdf7d748811086_50">#REF!</definedName>
    <definedName name="_vena_CharterCashFlow3_CashFlowB6_C_FV_e1c3a244dc3d4f149ecdf7d748811086_51">#REF!</definedName>
    <definedName name="_vena_CharterCashFlow3_CashFlowB6_C_FV_e1c3a244dc3d4f149ecdf7d748811086_52">#REF!</definedName>
    <definedName name="_vena_CharterCashFlow3_CashFlowB6_C_FV_e1c3a244dc3d4f149ecdf7d748811086_53">#REF!</definedName>
    <definedName name="_vena_CharterCashFlow3_CashFlowB6_C_FV_e1c3a244dc3d4f149ecdf7d748811086_54">#REF!</definedName>
    <definedName name="_vena_CharterCashFlow3_CashFlowB6_C_FV_e1c3a244dc3d4f149ecdf7d748811086_55">#REF!</definedName>
    <definedName name="_vena_CharterCashFlow3_CashFlowB6_C_FV_e1c3a244dc3d4f149ecdf7d748811086_56">#REF!</definedName>
    <definedName name="_vena_CharterCashFlow3_CashFlowB6_C_FV_e1c3a244dc3d4f149ecdf7d748811086_57">#REF!</definedName>
    <definedName name="_vena_CharterCashFlow3_CashFlowB6_C_FV_e1c3a244dc3d4f149ecdf7d748811086_58">#REF!</definedName>
    <definedName name="_vena_CharterCashFlow3_CashFlowB6_C_FV_e1c3a244dc3d4f149ecdf7d748811086_59">#REF!</definedName>
    <definedName name="_vena_CharterCashFlow3_CashFlowB6_C_FV_e1c3a244dc3d4f149ecdf7d748811086_6">#REF!</definedName>
    <definedName name="_vena_CharterCashFlow3_CashFlowB6_C_FV_e1c3a244dc3d4f149ecdf7d748811086_60">#REF!</definedName>
    <definedName name="_vena_CharterCashFlow3_CashFlowB6_C_FV_e1c3a244dc3d4f149ecdf7d748811086_61">#REF!</definedName>
    <definedName name="_vena_CharterCashFlow3_CashFlowB6_C_FV_e1c3a244dc3d4f149ecdf7d748811086_62">#REF!</definedName>
    <definedName name="_vena_CharterCashFlow3_CashFlowB6_C_FV_e1c3a244dc3d4f149ecdf7d748811086_63">#REF!</definedName>
    <definedName name="_vena_CharterCashFlow3_CashFlowB6_C_FV_e1c3a244dc3d4f149ecdf7d748811086_64">#REF!</definedName>
    <definedName name="_vena_CharterCashFlow3_CashFlowB6_C_FV_e1c3a244dc3d4f149ecdf7d748811086_65">#REF!</definedName>
    <definedName name="_vena_CharterCashFlow3_CashFlowB6_C_FV_e1c3a244dc3d4f149ecdf7d748811086_66">#REF!</definedName>
    <definedName name="_vena_CharterCashFlow3_CashFlowB6_C_FV_e1c3a244dc3d4f149ecdf7d748811086_67">#REF!</definedName>
    <definedName name="_vena_CharterCashFlow3_CashFlowB6_C_FV_e1c3a244dc3d4f149ecdf7d748811086_68">#REF!</definedName>
    <definedName name="_vena_CharterCashFlow3_CashFlowB6_C_FV_e1c3a244dc3d4f149ecdf7d748811086_69">#REF!</definedName>
    <definedName name="_vena_CharterCashFlow3_CashFlowB6_C_FV_e1c3a244dc3d4f149ecdf7d748811086_7">#REF!</definedName>
    <definedName name="_vena_CharterCashFlow3_CashFlowB6_C_FV_e1c3a244dc3d4f149ecdf7d748811086_70">#REF!</definedName>
    <definedName name="_vena_CharterCashFlow3_CashFlowB6_C_FV_e1c3a244dc3d4f149ecdf7d748811086_71">#REF!</definedName>
    <definedName name="_vena_CharterCashFlow3_CashFlowB6_C_FV_e1c3a244dc3d4f149ecdf7d748811086_8">#REF!</definedName>
    <definedName name="_vena_CharterCashFlow3_CashFlowB6_C_FV_e1c3a244dc3d4f149ecdf7d748811086_9">#REF!</definedName>
    <definedName name="_vena_CharterCashFlow3_CashFlowB6_R_5_465834827804835840">#REF!</definedName>
    <definedName name="_vena_CharterCashFlow3_CashFlowB7_C_3_431662182406553601">#REF!</definedName>
    <definedName name="_vena_CharterCashFlow3_CashFlowB7_C_8_431662182280724481">#REF!</definedName>
    <definedName name="_vena_CharterCashFlow3_CashFlowB7_C_FV_56493ffece784c5db4cd0fd3b40a250d">#REF!</definedName>
    <definedName name="_vena_CharterCashFlow3_CashFlowB7_C_FV_e1c3a244dc3d4f149ecdf7d748811086">#REF!</definedName>
    <definedName name="_vena_CharterCashFlow3_CashFlowB7_R_5_489561548411502592">#REF!</definedName>
    <definedName name="_vena_CharterCashFlow3_P_6_431662182054232065">#REF!</definedName>
    <definedName name="_vena_CharterCashFlow3_P_7_431662179290185729">#REF!</definedName>
    <definedName name="_vena_CharterCashFlow3_P_FV_e3545e3dcc52420a84dcdae3a23a4597">#REF!</definedName>
    <definedName name="_vena_CharterCashFlow4_CashFlowB4_C_8_431662182314278912">#REF!</definedName>
    <definedName name="_vena_CharterCashFlow4_CashFlowB4_C_FV_56493ffece784c5db4cd0fd3b40a250d">#REF!</definedName>
    <definedName name="_vena_CharterCashFlow4_CashFlowB4_R_FV_42f34b52efc14701904e2bd69b949ebb">#REF!</definedName>
    <definedName name="_vena_CharterCashFlow4_CashFlowB4_R_FV_42f34b52efc14701904e2bd69b949ebb_1">#REF!</definedName>
    <definedName name="_vena_CharterCashFlow4_CashFlowB4_R_FV_42f34b52efc14701904e2bd69b949ebb_10">#REF!</definedName>
    <definedName name="_vena_CharterCashFlow4_CashFlowB4_R_FV_42f34b52efc14701904e2bd69b949ebb_100">#REF!</definedName>
    <definedName name="_vena_CharterCashFlow4_CashFlowB4_R_FV_42f34b52efc14701904e2bd69b949ebb_101">#REF!</definedName>
    <definedName name="_vena_CharterCashFlow4_CashFlowB4_R_FV_42f34b52efc14701904e2bd69b949ebb_102">#REF!</definedName>
    <definedName name="_vena_CharterCashFlow4_CashFlowB4_R_FV_42f34b52efc14701904e2bd69b949ebb_103">#REF!</definedName>
    <definedName name="_vena_CharterCashFlow4_CashFlowB4_R_FV_42f34b52efc14701904e2bd69b949ebb_104">#REF!</definedName>
    <definedName name="_vena_CharterCashFlow4_CashFlowB4_R_FV_42f34b52efc14701904e2bd69b949ebb_105">#REF!</definedName>
    <definedName name="_vena_CharterCashFlow4_CashFlowB4_R_FV_42f34b52efc14701904e2bd69b949ebb_106">#REF!</definedName>
    <definedName name="_vena_CharterCashFlow4_CashFlowB4_R_FV_42f34b52efc14701904e2bd69b949ebb_107">#REF!</definedName>
    <definedName name="_vena_CharterCashFlow4_CashFlowB4_R_FV_42f34b52efc14701904e2bd69b949ebb_108">#REF!</definedName>
    <definedName name="_vena_CharterCashFlow4_CashFlowB4_R_FV_42f34b52efc14701904e2bd69b949ebb_109">#REF!</definedName>
    <definedName name="_vena_CharterCashFlow4_CashFlowB4_R_FV_42f34b52efc14701904e2bd69b949ebb_11">#REF!</definedName>
    <definedName name="_vena_CharterCashFlow4_CashFlowB4_R_FV_42f34b52efc14701904e2bd69b949ebb_110">#REF!</definedName>
    <definedName name="_vena_CharterCashFlow4_CashFlowB4_R_FV_42f34b52efc14701904e2bd69b949ebb_111">#REF!</definedName>
    <definedName name="_vena_CharterCashFlow4_CashFlowB4_R_FV_42f34b52efc14701904e2bd69b949ebb_112">#REF!</definedName>
    <definedName name="_vena_CharterCashFlow4_CashFlowB4_R_FV_42f34b52efc14701904e2bd69b949ebb_113">#REF!</definedName>
    <definedName name="_vena_CharterCashFlow4_CashFlowB4_R_FV_42f34b52efc14701904e2bd69b949ebb_114">#REF!</definedName>
    <definedName name="_vena_CharterCashFlow4_CashFlowB4_R_FV_42f34b52efc14701904e2bd69b949ebb_115">#REF!</definedName>
    <definedName name="_vena_CharterCashFlow4_CashFlowB4_R_FV_42f34b52efc14701904e2bd69b949ebb_116">#REF!</definedName>
    <definedName name="_vena_CharterCashFlow4_CashFlowB4_R_FV_42f34b52efc14701904e2bd69b949ebb_117">#REF!</definedName>
    <definedName name="_vena_CharterCashFlow4_CashFlowB4_R_FV_42f34b52efc14701904e2bd69b949ebb_118">#REF!</definedName>
    <definedName name="_vena_CharterCashFlow4_CashFlowB4_R_FV_42f34b52efc14701904e2bd69b949ebb_119">#REF!</definedName>
    <definedName name="_vena_CharterCashFlow4_CashFlowB4_R_FV_42f34b52efc14701904e2bd69b949ebb_12">#REF!</definedName>
    <definedName name="_vena_CharterCashFlow4_CashFlowB4_R_FV_42f34b52efc14701904e2bd69b949ebb_120">#REF!</definedName>
    <definedName name="_vena_CharterCashFlow4_CashFlowB4_R_FV_42f34b52efc14701904e2bd69b949ebb_121">#REF!</definedName>
    <definedName name="_vena_CharterCashFlow4_CashFlowB4_R_FV_42f34b52efc14701904e2bd69b949ebb_122">#REF!</definedName>
    <definedName name="_vena_CharterCashFlow4_CashFlowB4_R_FV_42f34b52efc14701904e2bd69b949ebb_123">#REF!</definedName>
    <definedName name="_vena_CharterCashFlow4_CashFlowB4_R_FV_42f34b52efc14701904e2bd69b949ebb_124">#REF!</definedName>
    <definedName name="_vena_CharterCashFlow4_CashFlowB4_R_FV_42f34b52efc14701904e2bd69b949ebb_125">#REF!</definedName>
    <definedName name="_vena_CharterCashFlow4_CashFlowB4_R_FV_42f34b52efc14701904e2bd69b949ebb_126">#REF!</definedName>
    <definedName name="_vena_CharterCashFlow4_CashFlowB4_R_FV_42f34b52efc14701904e2bd69b949ebb_127">#REF!</definedName>
    <definedName name="_vena_CharterCashFlow4_CashFlowB4_R_FV_42f34b52efc14701904e2bd69b949ebb_128">#REF!</definedName>
    <definedName name="_vena_CharterCashFlow4_CashFlowB4_R_FV_42f34b52efc14701904e2bd69b949ebb_129">#REF!</definedName>
    <definedName name="_vena_CharterCashFlow4_CashFlowB4_R_FV_42f34b52efc14701904e2bd69b949ebb_13">#REF!</definedName>
    <definedName name="_vena_CharterCashFlow4_CashFlowB4_R_FV_42f34b52efc14701904e2bd69b949ebb_130">#REF!</definedName>
    <definedName name="_vena_CharterCashFlow4_CashFlowB4_R_FV_42f34b52efc14701904e2bd69b949ebb_131">#REF!</definedName>
    <definedName name="_vena_CharterCashFlow4_CashFlowB4_R_FV_42f34b52efc14701904e2bd69b949ebb_132">#REF!</definedName>
    <definedName name="_vena_CharterCashFlow4_CashFlowB4_R_FV_42f34b52efc14701904e2bd69b949ebb_133">#REF!</definedName>
    <definedName name="_vena_CharterCashFlow4_CashFlowB4_R_FV_42f34b52efc14701904e2bd69b949ebb_134">#REF!</definedName>
    <definedName name="_vena_CharterCashFlow4_CashFlowB4_R_FV_42f34b52efc14701904e2bd69b949ebb_135">#REF!</definedName>
    <definedName name="_vena_CharterCashFlow4_CashFlowB4_R_FV_42f34b52efc14701904e2bd69b949ebb_136">#REF!</definedName>
    <definedName name="_vena_CharterCashFlow4_CashFlowB4_R_FV_42f34b52efc14701904e2bd69b949ebb_137">#REF!</definedName>
    <definedName name="_vena_CharterCashFlow4_CashFlowB4_R_FV_42f34b52efc14701904e2bd69b949ebb_138">#REF!</definedName>
    <definedName name="_vena_CharterCashFlow4_CashFlowB4_R_FV_42f34b52efc14701904e2bd69b949ebb_139">#REF!</definedName>
    <definedName name="_vena_CharterCashFlow4_CashFlowB4_R_FV_42f34b52efc14701904e2bd69b949ebb_14">#REF!</definedName>
    <definedName name="_vena_CharterCashFlow4_CashFlowB4_R_FV_42f34b52efc14701904e2bd69b949ebb_140">#REF!</definedName>
    <definedName name="_vena_CharterCashFlow4_CashFlowB4_R_FV_42f34b52efc14701904e2bd69b949ebb_141">#REF!</definedName>
    <definedName name="_vena_CharterCashFlow4_CashFlowB4_R_FV_42f34b52efc14701904e2bd69b949ebb_142">#REF!</definedName>
    <definedName name="_vena_CharterCashFlow4_CashFlowB4_R_FV_42f34b52efc14701904e2bd69b949ebb_143">#REF!</definedName>
    <definedName name="_vena_CharterCashFlow4_CashFlowB4_R_FV_42f34b52efc14701904e2bd69b949ebb_144">#REF!</definedName>
    <definedName name="_vena_CharterCashFlow4_CashFlowB4_R_FV_42f34b52efc14701904e2bd69b949ebb_145">#REF!</definedName>
    <definedName name="_vena_CharterCashFlow4_CashFlowB4_R_FV_42f34b52efc14701904e2bd69b949ebb_146">#REF!</definedName>
    <definedName name="_vena_CharterCashFlow4_CashFlowB4_R_FV_42f34b52efc14701904e2bd69b949ebb_147">#REF!</definedName>
    <definedName name="_vena_CharterCashFlow4_CashFlowB4_R_FV_42f34b52efc14701904e2bd69b949ebb_148">#REF!</definedName>
    <definedName name="_vena_CharterCashFlow4_CashFlowB4_R_FV_42f34b52efc14701904e2bd69b949ebb_149">#REF!</definedName>
    <definedName name="_vena_CharterCashFlow4_CashFlowB4_R_FV_42f34b52efc14701904e2bd69b949ebb_15">#REF!</definedName>
    <definedName name="_vena_CharterCashFlow4_CashFlowB4_R_FV_42f34b52efc14701904e2bd69b949ebb_150">#REF!</definedName>
    <definedName name="_vena_CharterCashFlow4_CashFlowB4_R_FV_42f34b52efc14701904e2bd69b949ebb_151">#REF!</definedName>
    <definedName name="_vena_CharterCashFlow4_CashFlowB4_R_FV_42f34b52efc14701904e2bd69b949ebb_152">#REF!</definedName>
    <definedName name="_vena_CharterCashFlow4_CashFlowB4_R_FV_42f34b52efc14701904e2bd69b949ebb_153">#REF!</definedName>
    <definedName name="_vena_CharterCashFlow4_CashFlowB4_R_FV_42f34b52efc14701904e2bd69b949ebb_154">#REF!</definedName>
    <definedName name="_vena_CharterCashFlow4_CashFlowB4_R_FV_42f34b52efc14701904e2bd69b949ebb_155">#REF!</definedName>
    <definedName name="_vena_CharterCashFlow4_CashFlowB4_R_FV_42f34b52efc14701904e2bd69b949ebb_156">#REF!</definedName>
    <definedName name="_vena_CharterCashFlow4_CashFlowB4_R_FV_42f34b52efc14701904e2bd69b949ebb_157">#REF!</definedName>
    <definedName name="_vena_CharterCashFlow4_CashFlowB4_R_FV_42f34b52efc14701904e2bd69b949ebb_158">#REF!</definedName>
    <definedName name="_vena_CharterCashFlow4_CashFlowB4_R_FV_42f34b52efc14701904e2bd69b949ebb_159">#REF!</definedName>
    <definedName name="_vena_CharterCashFlow4_CashFlowB4_R_FV_42f34b52efc14701904e2bd69b949ebb_16">#REF!</definedName>
    <definedName name="_vena_CharterCashFlow4_CashFlowB4_R_FV_42f34b52efc14701904e2bd69b949ebb_160">#REF!</definedName>
    <definedName name="_vena_CharterCashFlow4_CashFlowB4_R_FV_42f34b52efc14701904e2bd69b949ebb_161">#REF!</definedName>
    <definedName name="_vena_CharterCashFlow4_CashFlowB4_R_FV_42f34b52efc14701904e2bd69b949ebb_162">#REF!</definedName>
    <definedName name="_vena_CharterCashFlow4_CashFlowB4_R_FV_42f34b52efc14701904e2bd69b949ebb_163">#REF!</definedName>
    <definedName name="_vena_CharterCashFlow4_CashFlowB4_R_FV_42f34b52efc14701904e2bd69b949ebb_164">#REF!</definedName>
    <definedName name="_vena_CharterCashFlow4_CashFlowB4_R_FV_42f34b52efc14701904e2bd69b949ebb_165">#REF!</definedName>
    <definedName name="_vena_CharterCashFlow4_CashFlowB4_R_FV_42f34b52efc14701904e2bd69b949ebb_166">#REF!</definedName>
    <definedName name="_vena_CharterCashFlow4_CashFlowB4_R_FV_42f34b52efc14701904e2bd69b949ebb_167">#REF!</definedName>
    <definedName name="_vena_CharterCashFlow4_CashFlowB4_R_FV_42f34b52efc14701904e2bd69b949ebb_168">#REF!</definedName>
    <definedName name="_vena_CharterCashFlow4_CashFlowB4_R_FV_42f34b52efc14701904e2bd69b949ebb_169">#REF!</definedName>
    <definedName name="_vena_CharterCashFlow4_CashFlowB4_R_FV_42f34b52efc14701904e2bd69b949ebb_17">#REF!</definedName>
    <definedName name="_vena_CharterCashFlow4_CashFlowB4_R_FV_42f34b52efc14701904e2bd69b949ebb_170">#REF!</definedName>
    <definedName name="_vena_CharterCashFlow4_CashFlowB4_R_FV_42f34b52efc14701904e2bd69b949ebb_171">#REF!</definedName>
    <definedName name="_vena_CharterCashFlow4_CashFlowB4_R_FV_42f34b52efc14701904e2bd69b949ebb_172">#REF!</definedName>
    <definedName name="_vena_CharterCashFlow4_CashFlowB4_R_FV_42f34b52efc14701904e2bd69b949ebb_173">#REF!</definedName>
    <definedName name="_vena_CharterCashFlow4_CashFlowB4_R_FV_42f34b52efc14701904e2bd69b949ebb_174">#REF!</definedName>
    <definedName name="_vena_CharterCashFlow4_CashFlowB4_R_FV_42f34b52efc14701904e2bd69b949ebb_175">#REF!</definedName>
    <definedName name="_vena_CharterCashFlow4_CashFlowB4_R_FV_42f34b52efc14701904e2bd69b949ebb_176">#REF!</definedName>
    <definedName name="_vena_CharterCashFlow4_CashFlowB4_R_FV_42f34b52efc14701904e2bd69b949ebb_177">#REF!</definedName>
    <definedName name="_vena_CharterCashFlow4_CashFlowB4_R_FV_42f34b52efc14701904e2bd69b949ebb_178">#REF!</definedName>
    <definedName name="_vena_CharterCashFlow4_CashFlowB4_R_FV_42f34b52efc14701904e2bd69b949ebb_179">#REF!</definedName>
    <definedName name="_vena_CharterCashFlow4_CashFlowB4_R_FV_42f34b52efc14701904e2bd69b949ebb_18">#REF!</definedName>
    <definedName name="_vena_CharterCashFlow4_CashFlowB4_R_FV_42f34b52efc14701904e2bd69b949ebb_180">#REF!</definedName>
    <definedName name="_vena_CharterCashFlow4_CashFlowB4_R_FV_42f34b52efc14701904e2bd69b949ebb_181">#REF!</definedName>
    <definedName name="_vena_CharterCashFlow4_CashFlowB4_R_FV_42f34b52efc14701904e2bd69b949ebb_182">#REF!</definedName>
    <definedName name="_vena_CharterCashFlow4_CashFlowB4_R_FV_42f34b52efc14701904e2bd69b949ebb_183">#REF!</definedName>
    <definedName name="_vena_CharterCashFlow4_CashFlowB4_R_FV_42f34b52efc14701904e2bd69b949ebb_184">#REF!</definedName>
    <definedName name="_vena_CharterCashFlow4_CashFlowB4_R_FV_42f34b52efc14701904e2bd69b949ebb_185">#REF!</definedName>
    <definedName name="_vena_CharterCashFlow4_CashFlowB4_R_FV_42f34b52efc14701904e2bd69b949ebb_186">#REF!</definedName>
    <definedName name="_vena_CharterCashFlow4_CashFlowB4_R_FV_42f34b52efc14701904e2bd69b949ebb_187">#REF!</definedName>
    <definedName name="_vena_CharterCashFlow4_CashFlowB4_R_FV_42f34b52efc14701904e2bd69b949ebb_188">#REF!</definedName>
    <definedName name="_vena_CharterCashFlow4_CashFlowB4_R_FV_42f34b52efc14701904e2bd69b949ebb_189">#REF!</definedName>
    <definedName name="_vena_CharterCashFlow4_CashFlowB4_R_FV_42f34b52efc14701904e2bd69b949ebb_19">#REF!</definedName>
    <definedName name="_vena_CharterCashFlow4_CashFlowB4_R_FV_42f34b52efc14701904e2bd69b949ebb_190">#REF!</definedName>
    <definedName name="_vena_CharterCashFlow4_CashFlowB4_R_FV_42f34b52efc14701904e2bd69b949ebb_191">#REF!</definedName>
    <definedName name="_vena_CharterCashFlow4_CashFlowB4_R_FV_42f34b52efc14701904e2bd69b949ebb_192">#REF!</definedName>
    <definedName name="_vena_CharterCashFlow4_CashFlowB4_R_FV_42f34b52efc14701904e2bd69b949ebb_193">#REF!</definedName>
    <definedName name="_vena_CharterCashFlow4_CashFlowB4_R_FV_42f34b52efc14701904e2bd69b949ebb_194">#REF!</definedName>
    <definedName name="_vena_CharterCashFlow4_CashFlowB4_R_FV_42f34b52efc14701904e2bd69b949ebb_195">#REF!</definedName>
    <definedName name="_vena_CharterCashFlow4_CashFlowB4_R_FV_42f34b52efc14701904e2bd69b949ebb_196">#REF!</definedName>
    <definedName name="_vena_CharterCashFlow4_CashFlowB4_R_FV_42f34b52efc14701904e2bd69b949ebb_197">#REF!</definedName>
    <definedName name="_vena_CharterCashFlow4_CashFlowB4_R_FV_42f34b52efc14701904e2bd69b949ebb_198">#REF!</definedName>
    <definedName name="_vena_CharterCashFlow4_CashFlowB4_R_FV_42f34b52efc14701904e2bd69b949ebb_199">#REF!</definedName>
    <definedName name="_vena_CharterCashFlow4_CashFlowB4_R_FV_42f34b52efc14701904e2bd69b949ebb_2">#REF!</definedName>
    <definedName name="_vena_CharterCashFlow4_CashFlowB4_R_FV_42f34b52efc14701904e2bd69b949ebb_20">#REF!</definedName>
    <definedName name="_vena_CharterCashFlow4_CashFlowB4_R_FV_42f34b52efc14701904e2bd69b949ebb_200">#REF!</definedName>
    <definedName name="_vena_CharterCashFlow4_CashFlowB4_R_FV_42f34b52efc14701904e2bd69b949ebb_201">#REF!</definedName>
    <definedName name="_vena_CharterCashFlow4_CashFlowB4_R_FV_42f34b52efc14701904e2bd69b949ebb_202">#REF!</definedName>
    <definedName name="_vena_CharterCashFlow4_CashFlowB4_R_FV_42f34b52efc14701904e2bd69b949ebb_203">#REF!</definedName>
    <definedName name="_vena_CharterCashFlow4_CashFlowB4_R_FV_42f34b52efc14701904e2bd69b949ebb_204">#REF!</definedName>
    <definedName name="_vena_CharterCashFlow4_CashFlowB4_R_FV_42f34b52efc14701904e2bd69b949ebb_205">#REF!</definedName>
    <definedName name="_vena_CharterCashFlow4_CashFlowB4_R_FV_42f34b52efc14701904e2bd69b949ebb_206">#REF!</definedName>
    <definedName name="_vena_CharterCashFlow4_CashFlowB4_R_FV_42f34b52efc14701904e2bd69b949ebb_207">#REF!</definedName>
    <definedName name="_vena_CharterCashFlow4_CashFlowB4_R_FV_42f34b52efc14701904e2bd69b949ebb_208">#REF!</definedName>
    <definedName name="_vena_CharterCashFlow4_CashFlowB4_R_FV_42f34b52efc14701904e2bd69b949ebb_209">#REF!</definedName>
    <definedName name="_vena_CharterCashFlow4_CashFlowB4_R_FV_42f34b52efc14701904e2bd69b949ebb_21">#REF!</definedName>
    <definedName name="_vena_CharterCashFlow4_CashFlowB4_R_FV_42f34b52efc14701904e2bd69b949ebb_210">#REF!</definedName>
    <definedName name="_vena_CharterCashFlow4_CashFlowB4_R_FV_42f34b52efc14701904e2bd69b949ebb_211">#REF!</definedName>
    <definedName name="_vena_CharterCashFlow4_CashFlowB4_R_FV_42f34b52efc14701904e2bd69b949ebb_212">#REF!</definedName>
    <definedName name="_vena_CharterCashFlow4_CashFlowB4_R_FV_42f34b52efc14701904e2bd69b949ebb_213">#REF!</definedName>
    <definedName name="_vena_CharterCashFlow4_CashFlowB4_R_FV_42f34b52efc14701904e2bd69b949ebb_214">#REF!</definedName>
    <definedName name="_vena_CharterCashFlow4_CashFlowB4_R_FV_42f34b52efc14701904e2bd69b949ebb_215">#REF!</definedName>
    <definedName name="_vena_CharterCashFlow4_CashFlowB4_R_FV_42f34b52efc14701904e2bd69b949ebb_216">#REF!</definedName>
    <definedName name="_vena_CharterCashFlow4_CashFlowB4_R_FV_42f34b52efc14701904e2bd69b949ebb_217">#REF!</definedName>
    <definedName name="_vena_CharterCashFlow4_CashFlowB4_R_FV_42f34b52efc14701904e2bd69b949ebb_218">#REF!</definedName>
    <definedName name="_vena_CharterCashFlow4_CashFlowB4_R_FV_42f34b52efc14701904e2bd69b949ebb_219">#REF!</definedName>
    <definedName name="_vena_CharterCashFlow4_CashFlowB4_R_FV_42f34b52efc14701904e2bd69b949ebb_22">#REF!</definedName>
    <definedName name="_vena_CharterCashFlow4_CashFlowB4_R_FV_42f34b52efc14701904e2bd69b949ebb_220">#REF!</definedName>
    <definedName name="_vena_CharterCashFlow4_CashFlowB4_R_FV_42f34b52efc14701904e2bd69b949ebb_221">#REF!</definedName>
    <definedName name="_vena_CharterCashFlow4_CashFlowB4_R_FV_42f34b52efc14701904e2bd69b949ebb_222">#REF!</definedName>
    <definedName name="_vena_CharterCashFlow4_CashFlowB4_R_FV_42f34b52efc14701904e2bd69b949ebb_223">#REF!</definedName>
    <definedName name="_vena_CharterCashFlow4_CashFlowB4_R_FV_42f34b52efc14701904e2bd69b949ebb_224">#REF!</definedName>
    <definedName name="_vena_CharterCashFlow4_CashFlowB4_R_FV_42f34b52efc14701904e2bd69b949ebb_225">#REF!</definedName>
    <definedName name="_vena_CharterCashFlow4_CashFlowB4_R_FV_42f34b52efc14701904e2bd69b949ebb_226">#REF!</definedName>
    <definedName name="_vena_CharterCashFlow4_CashFlowB4_R_FV_42f34b52efc14701904e2bd69b949ebb_227">#REF!</definedName>
    <definedName name="_vena_CharterCashFlow4_CashFlowB4_R_FV_42f34b52efc14701904e2bd69b949ebb_228">#REF!</definedName>
    <definedName name="_vena_CharterCashFlow4_CashFlowB4_R_FV_42f34b52efc14701904e2bd69b949ebb_229">#REF!</definedName>
    <definedName name="_vena_CharterCashFlow4_CashFlowB4_R_FV_42f34b52efc14701904e2bd69b949ebb_23">#REF!</definedName>
    <definedName name="_vena_CharterCashFlow4_CashFlowB4_R_FV_42f34b52efc14701904e2bd69b949ebb_230">#REF!</definedName>
    <definedName name="_vena_CharterCashFlow4_CashFlowB4_R_FV_42f34b52efc14701904e2bd69b949ebb_231">#REF!</definedName>
    <definedName name="_vena_CharterCashFlow4_CashFlowB4_R_FV_42f34b52efc14701904e2bd69b949ebb_232">#REF!</definedName>
    <definedName name="_vena_CharterCashFlow4_CashFlowB4_R_FV_42f34b52efc14701904e2bd69b949ebb_233">#REF!</definedName>
    <definedName name="_vena_CharterCashFlow4_CashFlowB4_R_FV_42f34b52efc14701904e2bd69b949ebb_234">#REF!</definedName>
    <definedName name="_vena_CharterCashFlow4_CashFlowB4_R_FV_42f34b52efc14701904e2bd69b949ebb_235">#REF!</definedName>
    <definedName name="_vena_CharterCashFlow4_CashFlowB4_R_FV_42f34b52efc14701904e2bd69b949ebb_236">#REF!</definedName>
    <definedName name="_vena_CharterCashFlow4_CashFlowB4_R_FV_42f34b52efc14701904e2bd69b949ebb_237">#REF!</definedName>
    <definedName name="_vena_CharterCashFlow4_CashFlowB4_R_FV_42f34b52efc14701904e2bd69b949ebb_238">#REF!</definedName>
    <definedName name="_vena_CharterCashFlow4_CashFlowB4_R_FV_42f34b52efc14701904e2bd69b949ebb_239">#REF!</definedName>
    <definedName name="_vena_CharterCashFlow4_CashFlowB4_R_FV_42f34b52efc14701904e2bd69b949ebb_24">#REF!</definedName>
    <definedName name="_vena_CharterCashFlow4_CashFlowB4_R_FV_42f34b52efc14701904e2bd69b949ebb_240">#REF!</definedName>
    <definedName name="_vena_CharterCashFlow4_CashFlowB4_R_FV_42f34b52efc14701904e2bd69b949ebb_241">#REF!</definedName>
    <definedName name="_vena_CharterCashFlow4_CashFlowB4_R_FV_42f34b52efc14701904e2bd69b949ebb_242">#REF!</definedName>
    <definedName name="_vena_CharterCashFlow4_CashFlowB4_R_FV_42f34b52efc14701904e2bd69b949ebb_243">#REF!</definedName>
    <definedName name="_vena_CharterCashFlow4_CashFlowB4_R_FV_42f34b52efc14701904e2bd69b949ebb_244">#REF!</definedName>
    <definedName name="_vena_CharterCashFlow4_CashFlowB4_R_FV_42f34b52efc14701904e2bd69b949ebb_245">#REF!</definedName>
    <definedName name="_vena_CharterCashFlow4_CashFlowB4_R_FV_42f34b52efc14701904e2bd69b949ebb_246">#REF!</definedName>
    <definedName name="_vena_CharterCashFlow4_CashFlowB4_R_FV_42f34b52efc14701904e2bd69b949ebb_247">#REF!</definedName>
    <definedName name="_vena_CharterCashFlow4_CashFlowB4_R_FV_42f34b52efc14701904e2bd69b949ebb_248">#REF!</definedName>
    <definedName name="_vena_CharterCashFlow4_CashFlowB4_R_FV_42f34b52efc14701904e2bd69b949ebb_249">#REF!</definedName>
    <definedName name="_vena_CharterCashFlow4_CashFlowB4_R_FV_42f34b52efc14701904e2bd69b949ebb_25">#REF!</definedName>
    <definedName name="_vena_CharterCashFlow4_CashFlowB4_R_FV_42f34b52efc14701904e2bd69b949ebb_250">#REF!</definedName>
    <definedName name="_vena_CharterCashFlow4_CashFlowB4_R_FV_42f34b52efc14701904e2bd69b949ebb_251">#REF!</definedName>
    <definedName name="_vena_CharterCashFlow4_CashFlowB4_R_FV_42f34b52efc14701904e2bd69b949ebb_252">#REF!</definedName>
    <definedName name="_vena_CharterCashFlow4_CashFlowB4_R_FV_42f34b52efc14701904e2bd69b949ebb_253">#REF!</definedName>
    <definedName name="_vena_CharterCashFlow4_CashFlowB4_R_FV_42f34b52efc14701904e2bd69b949ebb_254">#REF!</definedName>
    <definedName name="_vena_CharterCashFlow4_CashFlowB4_R_FV_42f34b52efc14701904e2bd69b949ebb_255">#REF!</definedName>
    <definedName name="_vena_CharterCashFlow4_CashFlowB4_R_FV_42f34b52efc14701904e2bd69b949ebb_256">#REF!</definedName>
    <definedName name="_vena_CharterCashFlow4_CashFlowB4_R_FV_42f34b52efc14701904e2bd69b949ebb_257">#REF!</definedName>
    <definedName name="_vena_CharterCashFlow4_CashFlowB4_R_FV_42f34b52efc14701904e2bd69b949ebb_258">#REF!</definedName>
    <definedName name="_vena_CharterCashFlow4_CashFlowB4_R_FV_42f34b52efc14701904e2bd69b949ebb_259">#REF!</definedName>
    <definedName name="_vena_CharterCashFlow4_CashFlowB4_R_FV_42f34b52efc14701904e2bd69b949ebb_26">#REF!</definedName>
    <definedName name="_vena_CharterCashFlow4_CashFlowB4_R_FV_42f34b52efc14701904e2bd69b949ebb_260">#REF!</definedName>
    <definedName name="_vena_CharterCashFlow4_CashFlowB4_R_FV_42f34b52efc14701904e2bd69b949ebb_261">#REF!</definedName>
    <definedName name="_vena_CharterCashFlow4_CashFlowB4_R_FV_42f34b52efc14701904e2bd69b949ebb_262">#REF!</definedName>
    <definedName name="_vena_CharterCashFlow4_CashFlowB4_R_FV_42f34b52efc14701904e2bd69b949ebb_263">#REF!</definedName>
    <definedName name="_vena_CharterCashFlow4_CashFlowB4_R_FV_42f34b52efc14701904e2bd69b949ebb_264">#REF!</definedName>
    <definedName name="_vena_CharterCashFlow4_CashFlowB4_R_FV_42f34b52efc14701904e2bd69b949ebb_265">#REF!</definedName>
    <definedName name="_vena_CharterCashFlow4_CashFlowB4_R_FV_42f34b52efc14701904e2bd69b949ebb_266">#REF!</definedName>
    <definedName name="_vena_CharterCashFlow4_CashFlowB4_R_FV_42f34b52efc14701904e2bd69b949ebb_267">#REF!</definedName>
    <definedName name="_vena_CharterCashFlow4_CashFlowB4_R_FV_42f34b52efc14701904e2bd69b949ebb_268">#REF!</definedName>
    <definedName name="_vena_CharterCashFlow4_CashFlowB4_R_FV_42f34b52efc14701904e2bd69b949ebb_269">#REF!</definedName>
    <definedName name="_vena_CharterCashFlow4_CashFlowB4_R_FV_42f34b52efc14701904e2bd69b949ebb_27">#REF!</definedName>
    <definedName name="_vena_CharterCashFlow4_CashFlowB4_R_FV_42f34b52efc14701904e2bd69b949ebb_270">#REF!</definedName>
    <definedName name="_vena_CharterCashFlow4_CashFlowB4_R_FV_42f34b52efc14701904e2bd69b949ebb_271">#REF!</definedName>
    <definedName name="_vena_CharterCashFlow4_CashFlowB4_R_FV_42f34b52efc14701904e2bd69b949ebb_272">#REF!</definedName>
    <definedName name="_vena_CharterCashFlow4_CashFlowB4_R_FV_42f34b52efc14701904e2bd69b949ebb_273">#REF!</definedName>
    <definedName name="_vena_CharterCashFlow4_CashFlowB4_R_FV_42f34b52efc14701904e2bd69b949ebb_274">#REF!</definedName>
    <definedName name="_vena_CharterCashFlow4_CashFlowB4_R_FV_42f34b52efc14701904e2bd69b949ebb_275">#REF!</definedName>
    <definedName name="_vena_CharterCashFlow4_CashFlowB4_R_FV_42f34b52efc14701904e2bd69b949ebb_276">#REF!</definedName>
    <definedName name="_vena_CharterCashFlow4_CashFlowB4_R_FV_42f34b52efc14701904e2bd69b949ebb_277">#REF!</definedName>
    <definedName name="_vena_CharterCashFlow4_CashFlowB4_R_FV_42f34b52efc14701904e2bd69b949ebb_278">#REF!</definedName>
    <definedName name="_vena_CharterCashFlow4_CashFlowB4_R_FV_42f34b52efc14701904e2bd69b949ebb_279">#REF!</definedName>
    <definedName name="_vena_CharterCashFlow4_CashFlowB4_R_FV_42f34b52efc14701904e2bd69b949ebb_28">#REF!</definedName>
    <definedName name="_vena_CharterCashFlow4_CashFlowB4_R_FV_42f34b52efc14701904e2bd69b949ebb_280">#REF!</definedName>
    <definedName name="_vena_CharterCashFlow4_CashFlowB4_R_FV_42f34b52efc14701904e2bd69b949ebb_281">#REF!</definedName>
    <definedName name="_vena_CharterCashFlow4_CashFlowB4_R_FV_42f34b52efc14701904e2bd69b949ebb_282">#REF!</definedName>
    <definedName name="_vena_CharterCashFlow4_CashFlowB4_R_FV_42f34b52efc14701904e2bd69b949ebb_283">#REF!</definedName>
    <definedName name="_vena_CharterCashFlow4_CashFlowB4_R_FV_42f34b52efc14701904e2bd69b949ebb_284">#REF!</definedName>
    <definedName name="_vena_CharterCashFlow4_CashFlowB4_R_FV_42f34b52efc14701904e2bd69b949ebb_285">#REF!</definedName>
    <definedName name="_vena_CharterCashFlow4_CashFlowB4_R_FV_42f34b52efc14701904e2bd69b949ebb_286">#REF!</definedName>
    <definedName name="_vena_CharterCashFlow4_CashFlowB4_R_FV_42f34b52efc14701904e2bd69b949ebb_287">#REF!</definedName>
    <definedName name="_vena_CharterCashFlow4_CashFlowB4_R_FV_42f34b52efc14701904e2bd69b949ebb_288">#REF!</definedName>
    <definedName name="_vena_CharterCashFlow4_CashFlowB4_R_FV_42f34b52efc14701904e2bd69b949ebb_289">#REF!</definedName>
    <definedName name="_vena_CharterCashFlow4_CashFlowB4_R_FV_42f34b52efc14701904e2bd69b949ebb_29">#REF!</definedName>
    <definedName name="_vena_CharterCashFlow4_CashFlowB4_R_FV_42f34b52efc14701904e2bd69b949ebb_290">#REF!</definedName>
    <definedName name="_vena_CharterCashFlow4_CashFlowB4_R_FV_42f34b52efc14701904e2bd69b949ebb_291">#REF!</definedName>
    <definedName name="_vena_CharterCashFlow4_CashFlowB4_R_FV_42f34b52efc14701904e2bd69b949ebb_292">#REF!</definedName>
    <definedName name="_vena_CharterCashFlow4_CashFlowB4_R_FV_42f34b52efc14701904e2bd69b949ebb_293">#REF!</definedName>
    <definedName name="_vena_CharterCashFlow4_CashFlowB4_R_FV_42f34b52efc14701904e2bd69b949ebb_294">#REF!</definedName>
    <definedName name="_vena_CharterCashFlow4_CashFlowB4_R_FV_42f34b52efc14701904e2bd69b949ebb_295">#REF!</definedName>
    <definedName name="_vena_CharterCashFlow4_CashFlowB4_R_FV_42f34b52efc14701904e2bd69b949ebb_296">#REF!</definedName>
    <definedName name="_vena_CharterCashFlow4_CashFlowB4_R_FV_42f34b52efc14701904e2bd69b949ebb_297">#REF!</definedName>
    <definedName name="_vena_CharterCashFlow4_CashFlowB4_R_FV_42f34b52efc14701904e2bd69b949ebb_298">#REF!</definedName>
    <definedName name="_vena_CharterCashFlow4_CashFlowB4_R_FV_42f34b52efc14701904e2bd69b949ebb_299">#REF!</definedName>
    <definedName name="_vena_CharterCashFlow4_CashFlowB4_R_FV_42f34b52efc14701904e2bd69b949ebb_3">#REF!</definedName>
    <definedName name="_vena_CharterCashFlow4_CashFlowB4_R_FV_42f34b52efc14701904e2bd69b949ebb_30">#REF!</definedName>
    <definedName name="_vena_CharterCashFlow4_CashFlowB4_R_FV_42f34b52efc14701904e2bd69b949ebb_300">#REF!</definedName>
    <definedName name="_vena_CharterCashFlow4_CashFlowB4_R_FV_42f34b52efc14701904e2bd69b949ebb_301">#REF!</definedName>
    <definedName name="_vena_CharterCashFlow4_CashFlowB4_R_FV_42f34b52efc14701904e2bd69b949ebb_302">#REF!</definedName>
    <definedName name="_vena_CharterCashFlow4_CashFlowB4_R_FV_42f34b52efc14701904e2bd69b949ebb_303">#REF!</definedName>
    <definedName name="_vena_CharterCashFlow4_CashFlowB4_R_FV_42f34b52efc14701904e2bd69b949ebb_304">#REF!</definedName>
    <definedName name="_vena_CharterCashFlow4_CashFlowB4_R_FV_42f34b52efc14701904e2bd69b949ebb_305">#REF!</definedName>
    <definedName name="_vena_CharterCashFlow4_CashFlowB4_R_FV_42f34b52efc14701904e2bd69b949ebb_306">#REF!</definedName>
    <definedName name="_vena_CharterCashFlow4_CashFlowB4_R_FV_42f34b52efc14701904e2bd69b949ebb_307">#REF!</definedName>
    <definedName name="_vena_CharterCashFlow4_CashFlowB4_R_FV_42f34b52efc14701904e2bd69b949ebb_308">#REF!</definedName>
    <definedName name="_vena_CharterCashFlow4_CashFlowB4_R_FV_42f34b52efc14701904e2bd69b949ebb_309">#REF!</definedName>
    <definedName name="_vena_CharterCashFlow4_CashFlowB4_R_FV_42f34b52efc14701904e2bd69b949ebb_31">#REF!</definedName>
    <definedName name="_vena_CharterCashFlow4_CashFlowB4_R_FV_42f34b52efc14701904e2bd69b949ebb_310">#REF!</definedName>
    <definedName name="_vena_CharterCashFlow4_CashFlowB4_R_FV_42f34b52efc14701904e2bd69b949ebb_311">#REF!</definedName>
    <definedName name="_vena_CharterCashFlow4_CashFlowB4_R_FV_42f34b52efc14701904e2bd69b949ebb_312">#REF!</definedName>
    <definedName name="_vena_CharterCashFlow4_CashFlowB4_R_FV_42f34b52efc14701904e2bd69b949ebb_313">#REF!</definedName>
    <definedName name="_vena_CharterCashFlow4_CashFlowB4_R_FV_42f34b52efc14701904e2bd69b949ebb_314">#REF!</definedName>
    <definedName name="_vena_CharterCashFlow4_CashFlowB4_R_FV_42f34b52efc14701904e2bd69b949ebb_315">#REF!</definedName>
    <definedName name="_vena_CharterCashFlow4_CashFlowB4_R_FV_42f34b52efc14701904e2bd69b949ebb_316">#REF!</definedName>
    <definedName name="_vena_CharterCashFlow4_CashFlowB4_R_FV_42f34b52efc14701904e2bd69b949ebb_317">#REF!</definedName>
    <definedName name="_vena_CharterCashFlow4_CashFlowB4_R_FV_42f34b52efc14701904e2bd69b949ebb_318">#REF!</definedName>
    <definedName name="_vena_CharterCashFlow4_CashFlowB4_R_FV_42f34b52efc14701904e2bd69b949ebb_319">#REF!</definedName>
    <definedName name="_vena_CharterCashFlow4_CashFlowB4_R_FV_42f34b52efc14701904e2bd69b949ebb_32">#REF!</definedName>
    <definedName name="_vena_CharterCashFlow4_CashFlowB4_R_FV_42f34b52efc14701904e2bd69b949ebb_320">#REF!</definedName>
    <definedName name="_vena_CharterCashFlow4_CashFlowB4_R_FV_42f34b52efc14701904e2bd69b949ebb_321">#REF!</definedName>
    <definedName name="_vena_CharterCashFlow4_CashFlowB4_R_FV_42f34b52efc14701904e2bd69b949ebb_322">#REF!</definedName>
    <definedName name="_vena_CharterCashFlow4_CashFlowB4_R_FV_42f34b52efc14701904e2bd69b949ebb_323">#REF!</definedName>
    <definedName name="_vena_CharterCashFlow4_CashFlowB4_R_FV_42f34b52efc14701904e2bd69b949ebb_324">#REF!</definedName>
    <definedName name="_vena_CharterCashFlow4_CashFlowB4_R_FV_42f34b52efc14701904e2bd69b949ebb_325">#REF!</definedName>
    <definedName name="_vena_CharterCashFlow4_CashFlowB4_R_FV_42f34b52efc14701904e2bd69b949ebb_326">#REF!</definedName>
    <definedName name="_vena_CharterCashFlow4_CashFlowB4_R_FV_42f34b52efc14701904e2bd69b949ebb_327">#REF!</definedName>
    <definedName name="_vena_CharterCashFlow4_CashFlowB4_R_FV_42f34b52efc14701904e2bd69b949ebb_328">#REF!</definedName>
    <definedName name="_vena_CharterCashFlow4_CashFlowB4_R_FV_42f34b52efc14701904e2bd69b949ebb_329">#REF!</definedName>
    <definedName name="_vena_CharterCashFlow4_CashFlowB4_R_FV_42f34b52efc14701904e2bd69b949ebb_33">#REF!</definedName>
    <definedName name="_vena_CharterCashFlow4_CashFlowB4_R_FV_42f34b52efc14701904e2bd69b949ebb_330">#REF!</definedName>
    <definedName name="_vena_CharterCashFlow4_CashFlowB4_R_FV_42f34b52efc14701904e2bd69b949ebb_331">#REF!</definedName>
    <definedName name="_vena_CharterCashFlow4_CashFlowB4_R_FV_42f34b52efc14701904e2bd69b949ebb_332">#REF!</definedName>
    <definedName name="_vena_CharterCashFlow4_CashFlowB4_R_FV_42f34b52efc14701904e2bd69b949ebb_333">#REF!</definedName>
    <definedName name="_vena_CharterCashFlow4_CashFlowB4_R_FV_42f34b52efc14701904e2bd69b949ebb_334">#REF!</definedName>
    <definedName name="_vena_CharterCashFlow4_CashFlowB4_R_FV_42f34b52efc14701904e2bd69b949ebb_335">#REF!</definedName>
    <definedName name="_vena_CharterCashFlow4_CashFlowB4_R_FV_42f34b52efc14701904e2bd69b949ebb_336">#REF!</definedName>
    <definedName name="_vena_CharterCashFlow4_CashFlowB4_R_FV_42f34b52efc14701904e2bd69b949ebb_337">#REF!</definedName>
    <definedName name="_vena_CharterCashFlow4_CashFlowB4_R_FV_42f34b52efc14701904e2bd69b949ebb_338">#REF!</definedName>
    <definedName name="_vena_CharterCashFlow4_CashFlowB4_R_FV_42f34b52efc14701904e2bd69b949ebb_339">#REF!</definedName>
    <definedName name="_vena_CharterCashFlow4_CashFlowB4_R_FV_42f34b52efc14701904e2bd69b949ebb_34">#REF!</definedName>
    <definedName name="_vena_CharterCashFlow4_CashFlowB4_R_FV_42f34b52efc14701904e2bd69b949ebb_340">#REF!</definedName>
    <definedName name="_vena_CharterCashFlow4_CashFlowB4_R_FV_42f34b52efc14701904e2bd69b949ebb_341">#REF!</definedName>
    <definedName name="_vena_CharterCashFlow4_CashFlowB4_R_FV_42f34b52efc14701904e2bd69b949ebb_342">#REF!</definedName>
    <definedName name="_vena_CharterCashFlow4_CashFlowB4_R_FV_42f34b52efc14701904e2bd69b949ebb_343">#REF!</definedName>
    <definedName name="_vena_CharterCashFlow4_CashFlowB4_R_FV_42f34b52efc14701904e2bd69b949ebb_344">#REF!</definedName>
    <definedName name="_vena_CharterCashFlow4_CashFlowB4_R_FV_42f34b52efc14701904e2bd69b949ebb_345">#REF!</definedName>
    <definedName name="_vena_CharterCashFlow4_CashFlowB4_R_FV_42f34b52efc14701904e2bd69b949ebb_346">#REF!</definedName>
    <definedName name="_vena_CharterCashFlow4_CashFlowB4_R_FV_42f34b52efc14701904e2bd69b949ebb_347">#REF!</definedName>
    <definedName name="_vena_CharterCashFlow4_CashFlowB4_R_FV_42f34b52efc14701904e2bd69b949ebb_348">#REF!</definedName>
    <definedName name="_vena_CharterCashFlow4_CashFlowB4_R_FV_42f34b52efc14701904e2bd69b949ebb_349">#REF!</definedName>
    <definedName name="_vena_CharterCashFlow4_CashFlowB4_R_FV_42f34b52efc14701904e2bd69b949ebb_35">#REF!</definedName>
    <definedName name="_vena_CharterCashFlow4_CashFlowB4_R_FV_42f34b52efc14701904e2bd69b949ebb_350">#REF!</definedName>
    <definedName name="_vena_CharterCashFlow4_CashFlowB4_R_FV_42f34b52efc14701904e2bd69b949ebb_351">#REF!</definedName>
    <definedName name="_vena_CharterCashFlow4_CashFlowB4_R_FV_42f34b52efc14701904e2bd69b949ebb_352">#REF!</definedName>
    <definedName name="_vena_CharterCashFlow4_CashFlowB4_R_FV_42f34b52efc14701904e2bd69b949ebb_353">#REF!</definedName>
    <definedName name="_vena_CharterCashFlow4_CashFlowB4_R_FV_42f34b52efc14701904e2bd69b949ebb_354">#REF!</definedName>
    <definedName name="_vena_CharterCashFlow4_CashFlowB4_R_FV_42f34b52efc14701904e2bd69b949ebb_355">#REF!</definedName>
    <definedName name="_vena_CharterCashFlow4_CashFlowB4_R_FV_42f34b52efc14701904e2bd69b949ebb_356">#REF!</definedName>
    <definedName name="_vena_CharterCashFlow4_CashFlowB4_R_FV_42f34b52efc14701904e2bd69b949ebb_357">#REF!</definedName>
    <definedName name="_vena_CharterCashFlow4_CashFlowB4_R_FV_42f34b52efc14701904e2bd69b949ebb_358">#REF!</definedName>
    <definedName name="_vena_CharterCashFlow4_CashFlowB4_R_FV_42f34b52efc14701904e2bd69b949ebb_359">#REF!</definedName>
    <definedName name="_vena_CharterCashFlow4_CashFlowB4_R_FV_42f34b52efc14701904e2bd69b949ebb_36">#REF!</definedName>
    <definedName name="_vena_CharterCashFlow4_CashFlowB4_R_FV_42f34b52efc14701904e2bd69b949ebb_360">#REF!</definedName>
    <definedName name="_vena_CharterCashFlow4_CashFlowB4_R_FV_42f34b52efc14701904e2bd69b949ebb_361">#REF!</definedName>
    <definedName name="_vena_CharterCashFlow4_CashFlowB4_R_FV_42f34b52efc14701904e2bd69b949ebb_362">#REF!</definedName>
    <definedName name="_vena_CharterCashFlow4_CashFlowB4_R_FV_42f34b52efc14701904e2bd69b949ebb_363">#REF!</definedName>
    <definedName name="_vena_CharterCashFlow4_CashFlowB4_R_FV_42f34b52efc14701904e2bd69b949ebb_364">#REF!</definedName>
    <definedName name="_vena_CharterCashFlow4_CashFlowB4_R_FV_42f34b52efc14701904e2bd69b949ebb_365">#REF!</definedName>
    <definedName name="_vena_CharterCashFlow4_CashFlowB4_R_FV_42f34b52efc14701904e2bd69b949ebb_366">#REF!</definedName>
    <definedName name="_vena_CharterCashFlow4_CashFlowB4_R_FV_42f34b52efc14701904e2bd69b949ebb_367">#REF!</definedName>
    <definedName name="_vena_CharterCashFlow4_CashFlowB4_R_FV_42f34b52efc14701904e2bd69b949ebb_368">#REF!</definedName>
    <definedName name="_vena_CharterCashFlow4_CashFlowB4_R_FV_42f34b52efc14701904e2bd69b949ebb_369">#REF!</definedName>
    <definedName name="_vena_CharterCashFlow4_CashFlowB4_R_FV_42f34b52efc14701904e2bd69b949ebb_37">#REF!</definedName>
    <definedName name="_vena_CharterCashFlow4_CashFlowB4_R_FV_42f34b52efc14701904e2bd69b949ebb_370">#REF!</definedName>
    <definedName name="_vena_CharterCashFlow4_CashFlowB4_R_FV_42f34b52efc14701904e2bd69b949ebb_371">#REF!</definedName>
    <definedName name="_vena_CharterCashFlow4_CashFlowB4_R_FV_42f34b52efc14701904e2bd69b949ebb_372">#REF!</definedName>
    <definedName name="_vena_CharterCashFlow4_CashFlowB4_R_FV_42f34b52efc14701904e2bd69b949ebb_373">#REF!</definedName>
    <definedName name="_vena_CharterCashFlow4_CashFlowB4_R_FV_42f34b52efc14701904e2bd69b949ebb_374">#REF!</definedName>
    <definedName name="_vena_CharterCashFlow4_CashFlowB4_R_FV_42f34b52efc14701904e2bd69b949ebb_375">#REF!</definedName>
    <definedName name="_vena_CharterCashFlow4_CashFlowB4_R_FV_42f34b52efc14701904e2bd69b949ebb_376">#REF!</definedName>
    <definedName name="_vena_CharterCashFlow4_CashFlowB4_R_FV_42f34b52efc14701904e2bd69b949ebb_377">#REF!</definedName>
    <definedName name="_vena_CharterCashFlow4_CashFlowB4_R_FV_42f34b52efc14701904e2bd69b949ebb_378">#REF!</definedName>
    <definedName name="_vena_CharterCashFlow4_CashFlowB4_R_FV_42f34b52efc14701904e2bd69b949ebb_379">#REF!</definedName>
    <definedName name="_vena_CharterCashFlow4_CashFlowB4_R_FV_42f34b52efc14701904e2bd69b949ebb_38">#REF!</definedName>
    <definedName name="_vena_CharterCashFlow4_CashFlowB4_R_FV_42f34b52efc14701904e2bd69b949ebb_380">#REF!</definedName>
    <definedName name="_vena_CharterCashFlow4_CashFlowB4_R_FV_42f34b52efc14701904e2bd69b949ebb_381">#REF!</definedName>
    <definedName name="_vena_CharterCashFlow4_CashFlowB4_R_FV_42f34b52efc14701904e2bd69b949ebb_382">#REF!</definedName>
    <definedName name="_vena_CharterCashFlow4_CashFlowB4_R_FV_42f34b52efc14701904e2bd69b949ebb_383">#REF!</definedName>
    <definedName name="_vena_CharterCashFlow4_CashFlowB4_R_FV_42f34b52efc14701904e2bd69b949ebb_384">#REF!</definedName>
    <definedName name="_vena_CharterCashFlow4_CashFlowB4_R_FV_42f34b52efc14701904e2bd69b949ebb_385">#REF!</definedName>
    <definedName name="_vena_CharterCashFlow4_CashFlowB4_R_FV_42f34b52efc14701904e2bd69b949ebb_386">#REF!</definedName>
    <definedName name="_vena_CharterCashFlow4_CashFlowB4_R_FV_42f34b52efc14701904e2bd69b949ebb_387">#REF!</definedName>
    <definedName name="_vena_CharterCashFlow4_CashFlowB4_R_FV_42f34b52efc14701904e2bd69b949ebb_388">#REF!</definedName>
    <definedName name="_vena_CharterCashFlow4_CashFlowB4_R_FV_42f34b52efc14701904e2bd69b949ebb_389">#REF!</definedName>
    <definedName name="_vena_CharterCashFlow4_CashFlowB4_R_FV_42f34b52efc14701904e2bd69b949ebb_39">#REF!</definedName>
    <definedName name="_vena_CharterCashFlow4_CashFlowB4_R_FV_42f34b52efc14701904e2bd69b949ebb_390">#REF!</definedName>
    <definedName name="_vena_CharterCashFlow4_CashFlowB4_R_FV_42f34b52efc14701904e2bd69b949ebb_391">#REF!</definedName>
    <definedName name="_vena_CharterCashFlow4_CashFlowB4_R_FV_42f34b52efc14701904e2bd69b949ebb_392">#REF!</definedName>
    <definedName name="_vena_CharterCashFlow4_CashFlowB4_R_FV_42f34b52efc14701904e2bd69b949ebb_393">#REF!</definedName>
    <definedName name="_vena_CharterCashFlow4_CashFlowB4_R_FV_42f34b52efc14701904e2bd69b949ebb_394">#REF!</definedName>
    <definedName name="_vena_CharterCashFlow4_CashFlowB4_R_FV_42f34b52efc14701904e2bd69b949ebb_395">#REF!</definedName>
    <definedName name="_vena_CharterCashFlow4_CashFlowB4_R_FV_42f34b52efc14701904e2bd69b949ebb_396">#REF!</definedName>
    <definedName name="_vena_CharterCashFlow4_CashFlowB4_R_FV_42f34b52efc14701904e2bd69b949ebb_397">#REF!</definedName>
    <definedName name="_vena_CharterCashFlow4_CashFlowB4_R_FV_42f34b52efc14701904e2bd69b949ebb_398">#REF!</definedName>
    <definedName name="_vena_CharterCashFlow4_CashFlowB4_R_FV_42f34b52efc14701904e2bd69b949ebb_399">#REF!</definedName>
    <definedName name="_vena_CharterCashFlow4_CashFlowB4_R_FV_42f34b52efc14701904e2bd69b949ebb_4">#REF!</definedName>
    <definedName name="_vena_CharterCashFlow4_CashFlowB4_R_FV_42f34b52efc14701904e2bd69b949ebb_40">#REF!</definedName>
    <definedName name="_vena_CharterCashFlow4_CashFlowB4_R_FV_42f34b52efc14701904e2bd69b949ebb_400">#REF!</definedName>
    <definedName name="_vena_CharterCashFlow4_CashFlowB4_R_FV_42f34b52efc14701904e2bd69b949ebb_401">#REF!</definedName>
    <definedName name="_vena_CharterCashFlow4_CashFlowB4_R_FV_42f34b52efc14701904e2bd69b949ebb_402">#REF!</definedName>
    <definedName name="_vena_CharterCashFlow4_CashFlowB4_R_FV_42f34b52efc14701904e2bd69b949ebb_403">#REF!</definedName>
    <definedName name="_vena_CharterCashFlow4_CashFlowB4_R_FV_42f34b52efc14701904e2bd69b949ebb_404">#REF!</definedName>
    <definedName name="_vena_CharterCashFlow4_CashFlowB4_R_FV_42f34b52efc14701904e2bd69b949ebb_405">#REF!</definedName>
    <definedName name="_vena_CharterCashFlow4_CashFlowB4_R_FV_42f34b52efc14701904e2bd69b949ebb_406">#REF!</definedName>
    <definedName name="_vena_CharterCashFlow4_CashFlowB4_R_FV_42f34b52efc14701904e2bd69b949ebb_407">#REF!</definedName>
    <definedName name="_vena_CharterCashFlow4_CashFlowB4_R_FV_42f34b52efc14701904e2bd69b949ebb_408">#REF!</definedName>
    <definedName name="_vena_CharterCashFlow4_CashFlowB4_R_FV_42f34b52efc14701904e2bd69b949ebb_409">#REF!</definedName>
    <definedName name="_vena_CharterCashFlow4_CashFlowB4_R_FV_42f34b52efc14701904e2bd69b949ebb_41">#REF!</definedName>
    <definedName name="_vena_CharterCashFlow4_CashFlowB4_R_FV_42f34b52efc14701904e2bd69b949ebb_410">#REF!</definedName>
    <definedName name="_vena_CharterCashFlow4_CashFlowB4_R_FV_42f34b52efc14701904e2bd69b949ebb_411">#REF!</definedName>
    <definedName name="_vena_CharterCashFlow4_CashFlowB4_R_FV_42f34b52efc14701904e2bd69b949ebb_412">#REF!</definedName>
    <definedName name="_vena_CharterCashFlow4_CashFlowB4_R_FV_42f34b52efc14701904e2bd69b949ebb_413">#REF!</definedName>
    <definedName name="_vena_CharterCashFlow4_CashFlowB4_R_FV_42f34b52efc14701904e2bd69b949ebb_414">#REF!</definedName>
    <definedName name="_vena_CharterCashFlow4_CashFlowB4_R_FV_42f34b52efc14701904e2bd69b949ebb_415">#REF!</definedName>
    <definedName name="_vena_CharterCashFlow4_CashFlowB4_R_FV_42f34b52efc14701904e2bd69b949ebb_416">#REF!</definedName>
    <definedName name="_vena_CharterCashFlow4_CashFlowB4_R_FV_42f34b52efc14701904e2bd69b949ebb_417">#REF!</definedName>
    <definedName name="_vena_CharterCashFlow4_CashFlowB4_R_FV_42f34b52efc14701904e2bd69b949ebb_418">#REF!</definedName>
    <definedName name="_vena_CharterCashFlow4_CashFlowB4_R_FV_42f34b52efc14701904e2bd69b949ebb_419">#REF!</definedName>
    <definedName name="_vena_CharterCashFlow4_CashFlowB4_R_FV_42f34b52efc14701904e2bd69b949ebb_42">#REF!</definedName>
    <definedName name="_vena_CharterCashFlow4_CashFlowB4_R_FV_42f34b52efc14701904e2bd69b949ebb_420">#REF!</definedName>
    <definedName name="_vena_CharterCashFlow4_CashFlowB4_R_FV_42f34b52efc14701904e2bd69b949ebb_421">#REF!</definedName>
    <definedName name="_vena_CharterCashFlow4_CashFlowB4_R_FV_42f34b52efc14701904e2bd69b949ebb_422">#REF!</definedName>
    <definedName name="_vena_CharterCashFlow4_CashFlowB4_R_FV_42f34b52efc14701904e2bd69b949ebb_423">#REF!</definedName>
    <definedName name="_vena_CharterCashFlow4_CashFlowB4_R_FV_42f34b52efc14701904e2bd69b949ebb_424">#REF!</definedName>
    <definedName name="_vena_CharterCashFlow4_CashFlowB4_R_FV_42f34b52efc14701904e2bd69b949ebb_425">#REF!</definedName>
    <definedName name="_vena_CharterCashFlow4_CashFlowB4_R_FV_42f34b52efc14701904e2bd69b949ebb_426">#REF!</definedName>
    <definedName name="_vena_CharterCashFlow4_CashFlowB4_R_FV_42f34b52efc14701904e2bd69b949ebb_427">#REF!</definedName>
    <definedName name="_vena_CharterCashFlow4_CashFlowB4_R_FV_42f34b52efc14701904e2bd69b949ebb_428">#REF!</definedName>
    <definedName name="_vena_CharterCashFlow4_CashFlowB4_R_FV_42f34b52efc14701904e2bd69b949ebb_43">#REF!</definedName>
    <definedName name="_vena_CharterCashFlow4_CashFlowB4_R_FV_42f34b52efc14701904e2bd69b949ebb_44">#REF!</definedName>
    <definedName name="_vena_CharterCashFlow4_CashFlowB4_R_FV_42f34b52efc14701904e2bd69b949ebb_45">#REF!</definedName>
    <definedName name="_vena_CharterCashFlow4_CashFlowB4_R_FV_42f34b52efc14701904e2bd69b949ebb_46">#REF!</definedName>
    <definedName name="_vena_CharterCashFlow4_CashFlowB4_R_FV_42f34b52efc14701904e2bd69b949ebb_47">#REF!</definedName>
    <definedName name="_vena_CharterCashFlow4_CashFlowB4_R_FV_42f34b52efc14701904e2bd69b949ebb_48">#REF!</definedName>
    <definedName name="_vena_CharterCashFlow4_CashFlowB4_R_FV_42f34b52efc14701904e2bd69b949ebb_49">#REF!</definedName>
    <definedName name="_vena_CharterCashFlow4_CashFlowB4_R_FV_42f34b52efc14701904e2bd69b949ebb_5">#REF!</definedName>
    <definedName name="_vena_CharterCashFlow4_CashFlowB4_R_FV_42f34b52efc14701904e2bd69b949ebb_50">#REF!</definedName>
    <definedName name="_vena_CharterCashFlow4_CashFlowB4_R_FV_42f34b52efc14701904e2bd69b949ebb_51">#REF!</definedName>
    <definedName name="_vena_CharterCashFlow4_CashFlowB4_R_FV_42f34b52efc14701904e2bd69b949ebb_52">#REF!</definedName>
    <definedName name="_vena_CharterCashFlow4_CashFlowB4_R_FV_42f34b52efc14701904e2bd69b949ebb_53">#REF!</definedName>
    <definedName name="_vena_CharterCashFlow4_CashFlowB4_R_FV_42f34b52efc14701904e2bd69b949ebb_54">#REF!</definedName>
    <definedName name="_vena_CharterCashFlow4_CashFlowB4_R_FV_42f34b52efc14701904e2bd69b949ebb_55">#REF!</definedName>
    <definedName name="_vena_CharterCashFlow4_CashFlowB4_R_FV_42f34b52efc14701904e2bd69b949ebb_56">#REF!</definedName>
    <definedName name="_vena_CharterCashFlow4_CashFlowB4_R_FV_42f34b52efc14701904e2bd69b949ebb_57">#REF!</definedName>
    <definedName name="_vena_CharterCashFlow4_CashFlowB4_R_FV_42f34b52efc14701904e2bd69b949ebb_58">#REF!</definedName>
    <definedName name="_vena_CharterCashFlow4_CashFlowB4_R_FV_42f34b52efc14701904e2bd69b949ebb_59">#REF!</definedName>
    <definedName name="_vena_CharterCashFlow4_CashFlowB4_R_FV_42f34b52efc14701904e2bd69b949ebb_6">#REF!</definedName>
    <definedName name="_vena_CharterCashFlow4_CashFlowB4_R_FV_42f34b52efc14701904e2bd69b949ebb_60">#REF!</definedName>
    <definedName name="_vena_CharterCashFlow4_CashFlowB4_R_FV_42f34b52efc14701904e2bd69b949ebb_61">#REF!</definedName>
    <definedName name="_vena_CharterCashFlow4_CashFlowB4_R_FV_42f34b52efc14701904e2bd69b949ebb_62">#REF!</definedName>
    <definedName name="_vena_CharterCashFlow4_CashFlowB4_R_FV_42f34b52efc14701904e2bd69b949ebb_63">#REF!</definedName>
    <definedName name="_vena_CharterCashFlow4_CashFlowB4_R_FV_42f34b52efc14701904e2bd69b949ebb_64">#REF!</definedName>
    <definedName name="_vena_CharterCashFlow4_CashFlowB4_R_FV_42f34b52efc14701904e2bd69b949ebb_65">#REF!</definedName>
    <definedName name="_vena_CharterCashFlow4_CashFlowB4_R_FV_42f34b52efc14701904e2bd69b949ebb_66">#REF!</definedName>
    <definedName name="_vena_CharterCashFlow4_CashFlowB4_R_FV_42f34b52efc14701904e2bd69b949ebb_67">#REF!</definedName>
    <definedName name="_vena_CharterCashFlow4_CashFlowB4_R_FV_42f34b52efc14701904e2bd69b949ebb_68">#REF!</definedName>
    <definedName name="_vena_CharterCashFlow4_CashFlowB4_R_FV_42f34b52efc14701904e2bd69b949ebb_69">#REF!</definedName>
    <definedName name="_vena_CharterCashFlow4_CashFlowB4_R_FV_42f34b52efc14701904e2bd69b949ebb_7">#REF!</definedName>
    <definedName name="_vena_CharterCashFlow4_CashFlowB4_R_FV_42f34b52efc14701904e2bd69b949ebb_70">#REF!</definedName>
    <definedName name="_vena_CharterCashFlow4_CashFlowB4_R_FV_42f34b52efc14701904e2bd69b949ebb_71">#REF!</definedName>
    <definedName name="_vena_CharterCashFlow4_CashFlowB4_R_FV_42f34b52efc14701904e2bd69b949ebb_72">#REF!</definedName>
    <definedName name="_vena_CharterCashFlow4_CashFlowB4_R_FV_42f34b52efc14701904e2bd69b949ebb_73">#REF!</definedName>
    <definedName name="_vena_CharterCashFlow4_CashFlowB4_R_FV_42f34b52efc14701904e2bd69b949ebb_74">#REF!</definedName>
    <definedName name="_vena_CharterCashFlow4_CashFlowB4_R_FV_42f34b52efc14701904e2bd69b949ebb_75">#REF!</definedName>
    <definedName name="_vena_CharterCashFlow4_CashFlowB4_R_FV_42f34b52efc14701904e2bd69b949ebb_76">#REF!</definedName>
    <definedName name="_vena_CharterCashFlow4_CashFlowB4_R_FV_42f34b52efc14701904e2bd69b949ebb_77">#REF!</definedName>
    <definedName name="_vena_CharterCashFlow4_CashFlowB4_R_FV_42f34b52efc14701904e2bd69b949ebb_78">#REF!</definedName>
    <definedName name="_vena_CharterCashFlow4_CashFlowB4_R_FV_42f34b52efc14701904e2bd69b949ebb_79">#REF!</definedName>
    <definedName name="_vena_CharterCashFlow4_CashFlowB4_R_FV_42f34b52efc14701904e2bd69b949ebb_8">#REF!</definedName>
    <definedName name="_vena_CharterCashFlow4_CashFlowB4_R_FV_42f34b52efc14701904e2bd69b949ebb_80">#REF!</definedName>
    <definedName name="_vena_CharterCashFlow4_CashFlowB4_R_FV_42f34b52efc14701904e2bd69b949ebb_81">#REF!</definedName>
    <definedName name="_vena_CharterCashFlow4_CashFlowB4_R_FV_42f34b52efc14701904e2bd69b949ebb_82">#REF!</definedName>
    <definedName name="_vena_CharterCashFlow4_CashFlowB4_R_FV_42f34b52efc14701904e2bd69b949ebb_83">#REF!</definedName>
    <definedName name="_vena_CharterCashFlow4_CashFlowB4_R_FV_42f34b52efc14701904e2bd69b949ebb_84">#REF!</definedName>
    <definedName name="_vena_CharterCashFlow4_CashFlowB4_R_FV_42f34b52efc14701904e2bd69b949ebb_85">#REF!</definedName>
    <definedName name="_vena_CharterCashFlow4_CashFlowB4_R_FV_42f34b52efc14701904e2bd69b949ebb_86">#REF!</definedName>
    <definedName name="_vena_CharterCashFlow4_CashFlowB4_R_FV_42f34b52efc14701904e2bd69b949ebb_87">#REF!</definedName>
    <definedName name="_vena_CharterCashFlow4_CashFlowB4_R_FV_42f34b52efc14701904e2bd69b949ebb_88">#REF!</definedName>
    <definedName name="_vena_CharterCashFlow4_CashFlowB4_R_FV_42f34b52efc14701904e2bd69b949ebb_89">#REF!</definedName>
    <definedName name="_vena_CharterCashFlow4_CashFlowB4_R_FV_42f34b52efc14701904e2bd69b949ebb_9">#REF!</definedName>
    <definedName name="_vena_CharterCashFlow4_CashFlowB4_R_FV_42f34b52efc14701904e2bd69b949ebb_90">#REF!</definedName>
    <definedName name="_vena_CharterCashFlow4_CashFlowB4_R_FV_42f34b52efc14701904e2bd69b949ebb_91">#REF!</definedName>
    <definedName name="_vena_CharterCashFlow4_CashFlowB4_R_FV_42f34b52efc14701904e2bd69b949ebb_92">#REF!</definedName>
    <definedName name="_vena_CharterCashFlow4_CashFlowB4_R_FV_42f34b52efc14701904e2bd69b949ebb_93">#REF!</definedName>
    <definedName name="_vena_CharterCashFlow4_CashFlowB4_R_FV_42f34b52efc14701904e2bd69b949ebb_94">#REF!</definedName>
    <definedName name="_vena_CharterCashFlow4_CashFlowB4_R_FV_42f34b52efc14701904e2bd69b949ebb_95">#REF!</definedName>
    <definedName name="_vena_CharterCashFlow4_CashFlowB4_R_FV_42f34b52efc14701904e2bd69b949ebb_96">#REF!</definedName>
    <definedName name="_vena_CharterCashFlow4_CashFlowB4_R_FV_42f34b52efc14701904e2bd69b949ebb_97">#REF!</definedName>
    <definedName name="_vena_CharterCashFlow4_CashFlowB4_R_FV_42f34b52efc14701904e2bd69b949ebb_98">#REF!</definedName>
    <definedName name="_vena_CharterCashFlow4_CashFlowB4_R_FV_42f34b52efc14701904e2bd69b949ebb_99">#REF!</definedName>
    <definedName name="_vena_CharterCashFlow4_P_3_431662182406553601">#REF!</definedName>
    <definedName name="_vena_CharterCashFlow4_P_4_451234991058452480">#REF!</definedName>
    <definedName name="_vena_CharterCashFlow4_P_6_431662182054232065">#REF!</definedName>
    <definedName name="_vena_CharterCashFlow4_P_7_431662179290185729">#REF!</definedName>
    <definedName name="_vena_CharterCashFlow4_P_FV_e3545e3dcc52420a84dcdae3a23a4597">#REF!</definedName>
    <definedName name="_vena_ClosedMonthS1_ClosedMonthB1_C_8_431662182280724481">#REF!</definedName>
    <definedName name="_vena_ClosedMonthS1_ClosedMonthB1_C_8_632005313629519872">#REF!</definedName>
    <definedName name="_vena_ClosedMonthS1_ClosedMonthB1_R_5_463252811166777344">#REF!</definedName>
    <definedName name="_vena_ClosedMonthS1_ClosedMonthB1_R_5_632005311465259019">#REF!</definedName>
    <definedName name="_vena_ClosedMonthS1_P_3_431662182406553601" comment="*">#REF!</definedName>
    <definedName name="_vena_ClosedMonthS1_P_3_632005310022418436" comment="*">#REF!</definedName>
    <definedName name="_vena_ClosedMonthS1_P_6_431662182054232065" comment="*">#REF!</definedName>
    <definedName name="_vena_ClosedMonthS1_P_6_632005313063288832" comment="*">#REF!</definedName>
    <definedName name="_vena_ClosedMonthS1_P_7_431662179290185729" comment="*">#REF!</definedName>
    <definedName name="_vena_ClosedMonthS1_P_7_632005313256226820" comment="*">#REF!</definedName>
    <definedName name="_vena_ClosedMonthS1_P_FV_56493ffece784c5db4cd0fd3b40a250d" comment="*">#REF!</definedName>
    <definedName name="_vena_ClosedMonthS1_P_FV_9b0abd7578fb42018b1ba18b8b26d3ae" comment="*">#REF!</definedName>
    <definedName name="_vena_ClosedMonthS1_P_FV_e1c3a244dc3d4f149ecdf7d748811086" comment="*">#REF!</definedName>
    <definedName name="_vena_ClosedMonthS1_P_FV_e3545e3dcc52420a84dcdae3a23a4597" comment="*">#REF!</definedName>
    <definedName name="_vena_ComparisonScenario_P_2_1133913492308492298">#REF!</definedName>
    <definedName name="_vena_ComparisonScenario_P_2_1273061850812907530">#REF!</definedName>
    <definedName name="_vena_ComparisonScenario_P_2_1273064267402313738">#REF!</definedName>
    <definedName name="_vena_ComparisonScenario_P_2_1273064267402313744">#REF!</definedName>
    <definedName name="_vena_ComparisonScenario_P_2_1273064267402313746" comment="*">#REF!</definedName>
    <definedName name="_vena_ComparisonScenario_P_2_1400381310520655884">#REF!</definedName>
    <definedName name="_vena_ComparisonScenario_P_2_1400381310520655888">#REF!</definedName>
    <definedName name="_vena_ComparisonScenario_P_2_1400381310533238794">#REF!</definedName>
    <definedName name="_vena_ComparisonScenario_P_2_1535057470389878786" comment="*">#REF!</definedName>
    <definedName name="_vena_ComparisonScenario_P_2_1535057470394073098">#REF!</definedName>
    <definedName name="_vena_ComparisonScenario_P_2_431662182272335873">#REF!</definedName>
    <definedName name="_vena_ComparisonScenario_P_2_632005310785781764">#REF!</definedName>
    <definedName name="_vena_CurrentForecast_P_1_431662135119970305">#REF!</definedName>
    <definedName name="_vena_CurrentForecast_P_1_431662135388405760">#REF!</definedName>
    <definedName name="_vena_CurrentForecast_P_1_431662136021745665">#REF!</definedName>
    <definedName name="_vena_CurrentForecast_P_1_431662136252432385">#REF!</definedName>
    <definedName name="_vena_CurrentForecast_P_1_431662136265015296">#REF!</definedName>
    <definedName name="_vena_CurrentForecast_P_1_431662136285986816">#REF!</definedName>
    <definedName name="_vena_CurrentForecast_P_1_431662136416010241">#REF!</definedName>
    <definedName name="_vena_CurrentForecast_P_1_431662136525062145">#REF!</definedName>
    <definedName name="_vena_CurrentForecast_P_1_431662136600559616">#REF!</definedName>
    <definedName name="_vena_CurrentForecast_P_1_431662136650891265">#REF!</definedName>
    <definedName name="_vena_CurrentForecast_P_1_431662136734777344">#REF!</definedName>
    <definedName name="_vena_CurrentForecast_P_1_431662141021356033">#REF!</definedName>
    <definedName name="_vena_CurrentForecast_P_1_431662141507895298">#REF!</definedName>
    <definedName name="_vena_CurrentForecast_P_1_431662141528866821">#REF!</definedName>
    <definedName name="_vena_CurrentForecast_P_1_431662141533061128">#REF!</definedName>
    <definedName name="_vena_CurrentForecast_P_1_431662141541449731">#REF!</definedName>
    <definedName name="_vena_CurrentForecast_P_1_431662141545644037">#REF!</definedName>
    <definedName name="_vena_CurrentForecast_P_1_431662142065737728">#REF!</definedName>
    <definedName name="_vena_CurrentForecast_P_1_431662142099292162">#REF!</definedName>
    <definedName name="_vena_CurrentForecast_P_1_431662142158012418">#REF!</definedName>
    <definedName name="_vena_CurrentForecast_P_1_431662142288035840">#REF!</definedName>
    <definedName name="_vena_CurrentForecast_P_1_431662142304813056">#REF!</definedName>
    <definedName name="_vena_CurrentForecast_P_1_431662142468390913">#REF!</definedName>
    <definedName name="_vena_CurrentForecast_P_1_431662142501945345">#REF!</definedName>
    <definedName name="_vena_CurrentForecast_P_1_431662142665523201">#REF!</definedName>
    <definedName name="_vena_CurrentForecast_P_1_431662142866849792">#REF!</definedName>
    <definedName name="_vena_CurrentForecast_P_1_431662142900404225">#REF!</definedName>
    <definedName name="_vena_CurrentForecast_P_1_431662143189811200">#REF!</definedName>
    <definedName name="_vena_CurrentForecast_P_1_431662143194005505">#REF!</definedName>
    <definedName name="_vena_CurrentForecast_P_1_431662143206588416">#REF!</definedName>
    <definedName name="_vena_CurrentForecast_P_1_467159741639163904">#REF!</definedName>
    <definedName name="_vena_CurrentForecast_P_1_533803775723307008">#REF!</definedName>
    <definedName name="_vena_CurrentForecast_P_1_535590418382061569">#REF!</definedName>
    <definedName name="_vena_CurrentForecast_P_1_551278219405426688">#REF!</definedName>
    <definedName name="_vena_CurrentForecast_P_1_626244944948887552">#REF!</definedName>
    <definedName name="_vena_CurrentForecast_P_1_626245205884796928">#REF!</definedName>
    <definedName name="_vena_CurrentForecast_P_1_626245786170949632">#REF!</definedName>
    <definedName name="_vena_CurrentForecast_P_1_632005310110498820">#REF!</definedName>
    <definedName name="_vena_CurrentForecast_P_1_632005310240522246">#REF!</definedName>
    <definedName name="_vena_CurrentForecast_P_1_632005310370545664">#REF!</definedName>
    <definedName name="_vena_CurrentForecast_P_1_632382508893863937">#REF!</definedName>
    <definedName name="_vena_CurrentForecast_P_1_632382508919029761">#REF!</definedName>
    <definedName name="_vena_CurrentForecast_P_1_632382508927418369">#REF!</definedName>
    <definedName name="_vena_CurrentForecast_P_1_632382508931612673">#REF!</definedName>
    <definedName name="_vena_CurrentForecast_P_1_632382508960972801">#REF!</definedName>
    <definedName name="_vena_CurrentForecast_P_1_632382509032275968">#REF!</definedName>
    <definedName name="_vena_CurrentForecast_P_1_632382509074219008">#REF!</definedName>
    <definedName name="_vena_CurrentForecast_P_1_637887079787528192">#REF!</definedName>
    <definedName name="_vena_CurrentForecast_P_1_640083961669746688">#REF!</definedName>
    <definedName name="_vena_CurrentForecast_P_1_662882583268425730" comment="*">#REF!</definedName>
    <definedName name="_vena_CurrentForecast_P_1_694519128706514944">#REF!</definedName>
    <definedName name="_vena_CurrentForecast_P_1_794807416780750848">#REF!</definedName>
    <definedName name="_vena_CurrentForecast_P_1_807441486090731520">#REF!</definedName>
    <definedName name="_vena_CurrentForecast_P_1_913318598898221056">#REF!</definedName>
    <definedName name="_vena_CurrentForecast_P_1_913318598973718528">#REF!</definedName>
    <definedName name="_vena_CurrentForecast_P_1_913318598990495744">#REF!</definedName>
    <definedName name="_vena_CurrentForecast_P_1_913318599074381824">#REF!</definedName>
    <definedName name="_vena_CurrentForecast_P_1_913318599141490688" comment="*">#REF!</definedName>
    <definedName name="_vena_CurrentForecast_P_1_987128849325490177">#REF!</definedName>
    <definedName name="_vena_CurrentForecast_P_1_990031655673528321">#REF!</definedName>
    <definedName name="_vena_CurrentForecast_P_1_990031703077945345">#REF!</definedName>
    <definedName name="_vena_CurrentForecast_P_1_990031739471659008">#REF!</definedName>
    <definedName name="_vena_CurrentForecast_P_2_1133913492308492300">#REF!</definedName>
    <definedName name="_vena_CurrentForecast_P_2_1273061850808713226">#REF!</definedName>
    <definedName name="_vena_CurrentForecast_P_2_1273061850808713228">#REF!</definedName>
    <definedName name="_vena_CurrentForecast_P_2_1273061850808713234">#REF!</definedName>
    <definedName name="_vena_CurrentForecast_P_2_1273061850808713236">#REF!</definedName>
    <definedName name="_vena_CurrentForecast_P_2_1273064267402313740">#REF!</definedName>
    <definedName name="_vena_CurrentForecast_P_2_1273064267402313744">#REF!</definedName>
    <definedName name="_vena_CurrentForecast_P_2_1273064267402313746">#REF!</definedName>
    <definedName name="_vena_CurrentForecast_P_2_1273064267402313748" comment="*">#REF!</definedName>
    <definedName name="_vena_CurrentForecast_P_2_1273064267402313750" comment="*">#REF!</definedName>
    <definedName name="_vena_CurrentForecast_P_2_1400381310520655876">#REF!</definedName>
    <definedName name="_vena_CurrentForecast_P_2_1400381310520655882">#REF!</definedName>
    <definedName name="_vena_CurrentForecast_P_2_1400381310520655884">#REF!</definedName>
    <definedName name="_vena_CurrentForecast_P_2_1400381310520655886">#REF!</definedName>
    <definedName name="_vena_CurrentForecast_P_2_1400381310520655888">#REF!</definedName>
    <definedName name="_vena_CurrentForecast_P_2_1400381310520655890">#REF!</definedName>
    <definedName name="_vena_CurrentForecast_P_2_1400381310520655892" comment="*">#REF!</definedName>
    <definedName name="_vena_CurrentForecast_P_2_1400381310520655894">#REF!</definedName>
    <definedName name="_vena_CurrentForecast_P_2_1400381491887865858">#REF!</definedName>
    <definedName name="_vena_CurrentForecast_P_2_1400381491887865860" comment="*">#REF!</definedName>
    <definedName name="_vena_CurrentForecast_P_2_1535057470389878790" comment="*">#REF!</definedName>
    <definedName name="_vena_CurrentForecast_P_2_1535119409840652288">#REF!</definedName>
    <definedName name="_vena_CurrentForecast_P_2_632005310802558978">#REF!</definedName>
    <definedName name="_vena_CurrentForecast_P_4_431662182121340929">#REF!</definedName>
    <definedName name="_vena_CurrentForecast_P_4_431662182125535233">#REF!</definedName>
    <definedName name="_vena_CurrentForecast_P_4_431662182129729537" comment="*">#REF!</definedName>
    <definedName name="_vena_CurrentForecast_P_4_632005309963698180">#REF!</definedName>
    <definedName name="_vena_CurrentForecast_P_4_632005309967892482" comment="*">#REF!</definedName>
    <definedName name="_vena_CurrentForecast_P_4_632005309976281088" comment="*">#REF!</definedName>
    <definedName name="_vena_CurrentForecast_P_6_632005313059094533" comment="*">#REF!</definedName>
    <definedName name="_vena_DetailS1_DetailB1_C_4_632005309959503878">#REF!</definedName>
    <definedName name="_vena_DetailS1_DetailB1_C_4_632005309959503878_1">#REF!</definedName>
    <definedName name="_vena_DetailS1_DetailB1_C_6_632005313063288832">#REF!</definedName>
    <definedName name="_vena_DetailS1_DetailB1_C_6_632005313063288832_1">#REF!</definedName>
    <definedName name="_vena_DetailS1_DetailB1_C_8_632005313608548359">#REF!</definedName>
    <definedName name="_vena_DetailS1_DetailB1_C_8_632005313642102786">#REF!</definedName>
    <definedName name="_vena_DetailS1_DetailB1_C_FV_a7015286194d4cc6a0af6b4fcbd8ce6b">#REF!</definedName>
    <definedName name="_vena_DetailS1_DetailB1_C_FV_e1c3a244dc3d4f149ecdf7d748811086">#REF!</definedName>
    <definedName name="_vena_DetailS1_DetailB1_C_FV_ef23d2b39fcb45a79097ef2da4b3400e">#REF!</definedName>
    <definedName name="_vena_DetailS1_DetailB1_R_5_1111159204226662400">#REF!</definedName>
    <definedName name="_vena_DetailS1_DetailB1_R_5_1167674209943552000">#REF!</definedName>
    <definedName name="_vena_DetailS1_DetailB1_R_5_1170595977436463104">#REF!</definedName>
    <definedName name="_vena_DetailS1_DetailB1_R_5_1170596113696817152">#REF!</definedName>
    <definedName name="_vena_DetailS1_DetailB1_R_5_1185377430419013632">#REF!</definedName>
    <definedName name="_vena_DetailS1_DetailB1_R_5_1185377508101718016">#REF!</definedName>
    <definedName name="_vena_DetailS1_DetailB1_R_5_1202087927775100928">#REF!</definedName>
    <definedName name="_vena_DetailS1_DetailB1_R_5_1235034379672354816">#REF!</definedName>
    <definedName name="_vena_DetailS1_DetailB1_R_5_1251394851461267456">#REF!</definedName>
    <definedName name="_vena_DetailS1_DetailB1_R_5_1280678120106754048">#REF!</definedName>
    <definedName name="_vena_DetailS1_DetailB1_R_5_1314840998504824832">#REF!</definedName>
    <definedName name="_vena_DetailS1_DetailB1_R_5_1443625441048920064">#REF!</definedName>
    <definedName name="_vena_DetailS1_DetailB1_R_5_632005310831919105">#REF!</definedName>
    <definedName name="_vena_DetailS1_DetailB1_R_5_632005310831919111">#REF!</definedName>
    <definedName name="_vena_DetailS1_DetailB1_R_5_632005310831919113">#REF!</definedName>
    <definedName name="_vena_DetailS1_DetailB1_R_5_632005310836113408">#REF!</definedName>
    <definedName name="_vena_DetailS1_DetailB1_R_5_632005310836113410">#REF!</definedName>
    <definedName name="_vena_DetailS1_DetailB1_R_5_632005310840307712">#REF!</definedName>
    <definedName name="_vena_DetailS1_DetailB1_R_5_632005310852890628">#REF!</definedName>
    <definedName name="_vena_DetailS1_DetailB1_R_5_632005310857084934">#REF!</definedName>
    <definedName name="_vena_DetailS1_DetailB1_R_5_632005310857084936">#REF!</definedName>
    <definedName name="_vena_DetailS1_DetailB1_R_5_632005310861279232">#REF!</definedName>
    <definedName name="_vena_DetailS1_DetailB1_R_5_632005310861279234">#REF!</definedName>
    <definedName name="_vena_DetailS1_DetailB1_R_5_632005310861279238">#REF!</definedName>
    <definedName name="_vena_DetailS1_DetailB1_R_5_632005310882250754">#REF!</definedName>
    <definedName name="_vena_DetailS1_DetailB1_R_5_632005310882250756">#REF!</definedName>
    <definedName name="_vena_DetailS1_DetailB1_R_5_632005310890639362">#REF!</definedName>
    <definedName name="_vena_DetailS1_DetailB1_R_5_632005310890639364">#REF!</definedName>
    <definedName name="_vena_DetailS1_DetailB1_R_5_632005310890639366">#REF!</definedName>
    <definedName name="_vena_DetailS1_DetailB1_R_5_632005310894833664">#REF!</definedName>
    <definedName name="_vena_DetailS1_DetailB1_R_5_632005310894833672">#REF!</definedName>
    <definedName name="_vena_DetailS1_DetailB1_R_5_632005310915805190">#REF!</definedName>
    <definedName name="_vena_DetailS1_DetailB1_R_5_632005310919999492">#REF!</definedName>
    <definedName name="_vena_DetailS1_DetailB1_R_5_632005310919999494">#REF!</definedName>
    <definedName name="_vena_DetailS1_DetailB1_R_5_632005310919999496">#REF!</definedName>
    <definedName name="_vena_DetailS1_DetailB1_R_5_632005310924193792">#REF!</definedName>
    <definedName name="_vena_DetailS1_DetailB1_R_5_632005310924193798">#REF!</definedName>
    <definedName name="_vena_DetailS1_DetailB1_R_5_632005310940971013">#REF!</definedName>
    <definedName name="_vena_DetailS1_DetailB1_R_5_632005310945165316">#REF!</definedName>
    <definedName name="_vena_DetailS1_DetailB1_R_5_632005310949359624">#REF!</definedName>
    <definedName name="_vena_DetailS1_DetailB1_R_5_632005310953553920">#REF!</definedName>
    <definedName name="_vena_DetailS1_DetailB1_R_5_632005310953553922">#REF!</definedName>
    <definedName name="_vena_DetailS1_DetailB1_R_5_632005310953553924">#REF!</definedName>
    <definedName name="_vena_DetailS1_DetailB1_R_5_632005310957748224">#REF!</definedName>
    <definedName name="_vena_DetailS1_DetailB1_R_5_632005310957748226">#REF!</definedName>
    <definedName name="_vena_DetailS1_DetailB1_R_5_632005310974525442">#REF!</definedName>
    <definedName name="_vena_DetailS1_DetailB1_R_5_632005310974525444">#REF!</definedName>
    <definedName name="_vena_DetailS1_DetailB1_R_5_632005310978719744">#REF!</definedName>
    <definedName name="_vena_DetailS1_DetailB1_R_5_632005310982914050">#REF!</definedName>
    <definedName name="_vena_DetailS1_DetailB1_R_5_632005310982914052">#REF!</definedName>
    <definedName name="_vena_DetailS1_DetailB1_R_5_632005310982914054">#REF!</definedName>
    <definedName name="_vena_DetailS1_DetailB1_R_5_632005310982914056">#REF!</definedName>
    <definedName name="_vena_DetailS1_DetailB1_R_5_632005310987108357">#REF!</definedName>
    <definedName name="_vena_DetailS1_DetailB1_R_5_632005310995496960">#REF!</definedName>
    <definedName name="_vena_DetailS1_DetailB1_R_5_632005310995496962">#REF!</definedName>
    <definedName name="_vena_DetailS1_DetailB1_R_5_632005310995496966">#REF!</definedName>
    <definedName name="_vena_DetailS1_DetailB1_R_5_632005311008079873">#REF!</definedName>
    <definedName name="_vena_DetailS1_DetailB1_R_5_632005311012274180">#REF!</definedName>
    <definedName name="_vena_DetailS1_DetailB1_R_5_632005311012274184">#REF!</definedName>
    <definedName name="_vena_DetailS1_DetailB1_R_5_632005311016468480">#REF!</definedName>
    <definedName name="_vena_DetailS1_DetailB1_R_5_632005311016468486">#REF!</definedName>
    <definedName name="_vena_DetailS1_DetailB1_R_5_632005311033245699">#REF!</definedName>
    <definedName name="_vena_DetailS1_DetailB1_R_5_632005311033245703">#REF!</definedName>
    <definedName name="_vena_DetailS1_DetailB1_R_5_632005311037440008">#REF!</definedName>
    <definedName name="_vena_DetailS1_DetailB1_R_5_632005311041634304">#REF!</definedName>
    <definedName name="_vena_DetailS1_DetailB1_R_5_632005311041634306">#REF!</definedName>
    <definedName name="_vena_DetailS1_DetailB1_R_5_632005311041634308">#REF!</definedName>
    <definedName name="_vena_DetailS1_DetailB1_R_5_632005311062605830">#REF!</definedName>
    <definedName name="_vena_DetailS1_DetailB1_R_5_632005311070994432">#REF!</definedName>
    <definedName name="_vena_DetailS1_DetailB1_R_5_632005311070994434">#REF!</definedName>
    <definedName name="_vena_DetailS1_DetailB1_R_5_632005311070994436">#REF!</definedName>
    <definedName name="_vena_DetailS1_DetailB1_R_5_632005311070994438">#REF!</definedName>
    <definedName name="_vena_DetailS1_DetailB1_R_5_632005311083577348">#REF!</definedName>
    <definedName name="_vena_DetailS1_DetailB1_R_5_632005311096160258">#REF!</definedName>
    <definedName name="_vena_DetailS1_DetailB1_R_5_632005311096160260">#REF!</definedName>
    <definedName name="_vena_DetailS1_DetailB1_R_5_632005311096160262">#REF!</definedName>
    <definedName name="_vena_DetailS1_DetailB1_R_5_632005311096160264">#REF!</definedName>
    <definedName name="_vena_DetailS1_DetailB1_R_5_632005311100354567">#REF!</definedName>
    <definedName name="_vena_DetailS1_DetailB1_R_5_632005311121326082">#REF!</definedName>
    <definedName name="_vena_DetailS1_DetailB1_R_5_632005311121326086">#REF!</definedName>
    <definedName name="_vena_DetailS1_DetailB1_R_5_632005311125520384">#REF!</definedName>
    <definedName name="_vena_DetailS1_DetailB1_R_5_632005311125520386">#REF!</definedName>
    <definedName name="_vena_DetailS1_DetailB1_R_5_632005311125520392">#REF!</definedName>
    <definedName name="_vena_DetailS1_DetailB1_R_5_632005311146491912">#REF!</definedName>
    <definedName name="_vena_DetailS1_DetailB1_R_5_632005311150686208">#REF!</definedName>
    <definedName name="_vena_DetailS1_DetailB1_R_5_632005311154880512">#REF!</definedName>
    <definedName name="_vena_DetailS1_DetailB1_R_5_632005311154880514">#REF!</definedName>
    <definedName name="_vena_DetailS1_DetailB1_R_5_632005311154880516">#REF!</definedName>
    <definedName name="_vena_DetailS1_DetailB1_R_5_632005311159074816">#REF!</definedName>
    <definedName name="_vena_DetailS1_DetailB1_R_5_632005311175852035">#REF!</definedName>
    <definedName name="_vena_DetailS1_DetailB1_R_5_632005311175852039">#REF!</definedName>
    <definedName name="_vena_DetailS1_DetailB1_R_5_632005311184240640">#REF!</definedName>
    <definedName name="_vena_DetailS1_DetailB1_R_5_632005311184240642">#REF!</definedName>
    <definedName name="_vena_DetailS1_DetailB1_R_5_632005311184240644">#REF!</definedName>
    <definedName name="_vena_DetailS1_DetailB1_R_5_632005311188434945">#REF!</definedName>
    <definedName name="_vena_DetailS1_DetailB1_R_5_632005311209406470">#REF!</definedName>
    <definedName name="_vena_DetailS1_DetailB1_R_5_632005311209406472">#REF!</definedName>
    <definedName name="_vena_DetailS1_DetailB1_R_5_632005311213600768">#REF!</definedName>
    <definedName name="_vena_DetailS1_DetailB1_R_5_632005311213600770">#REF!</definedName>
    <definedName name="_vena_DetailS1_DetailB1_R_5_632005311230377986">#REF!</definedName>
    <definedName name="_vena_DetailS1_DetailB1_R_5_632005311234572292">#REF!</definedName>
    <definedName name="_vena_DetailS1_DetailB1_R_5_632005311234572294">#REF!</definedName>
    <definedName name="_vena_DetailS1_DetailB1_R_5_632005311238766592">#REF!</definedName>
    <definedName name="_vena_DetailS1_DetailB1_R_5_632005311238766596">#REF!</definedName>
    <definedName name="_vena_DetailS1_DetailB1_R_5_632005311238766600">#REF!</definedName>
    <definedName name="_vena_DetailS1_DetailB1_R_5_632005311255543815">#REF!</definedName>
    <definedName name="_vena_DetailS1_DetailB1_R_5_632005311259738112">#REF!</definedName>
    <definedName name="_vena_DetailS1_DetailB1_R_5_632005311259738114">#REF!</definedName>
    <definedName name="_vena_DetailS1_DetailB1_R_5_632005311263932420">#REF!</definedName>
    <definedName name="_vena_DetailS1_DetailB1_R_5_632005311263932422">#REF!</definedName>
    <definedName name="_vena_DetailS1_DetailB1_R_5_632005311268126720">#REF!</definedName>
    <definedName name="_vena_DetailS1_DetailB1_R_5_632005311268126726">#REF!</definedName>
    <definedName name="_vena_DetailS1_DetailB1_R_5_632005311268126728">#REF!</definedName>
    <definedName name="_vena_DetailS1_DetailB1_R_5_632005311284903938">#REF!</definedName>
    <definedName name="_vena_DetailS1_DetailB1_R_5_632005311284903942">#REF!</definedName>
    <definedName name="_vena_DetailS1_DetailB1_R_5_632005311289098249">#REF!</definedName>
    <definedName name="_vena_DetailS1_DetailB1_R_5_632005311293292544">#REF!</definedName>
    <definedName name="_vena_DetailS1_DetailB1_R_5_632005311293292546">#REF!</definedName>
    <definedName name="_vena_DetailS1_DetailB1_R_5_632005311293292548">#REF!</definedName>
    <definedName name="_vena_DetailS1_DetailB1_R_5_632005311297486850">#REF!</definedName>
    <definedName name="_vena_DetailS1_DetailB1_R_5_632005311297486852">#REF!</definedName>
    <definedName name="_vena_DetailS1_DetailB1_R_5_632005311318458370">#REF!</definedName>
    <definedName name="_vena_DetailS1_DetailB1_R_5_632005311318458372">#REF!</definedName>
    <definedName name="_vena_DetailS1_DetailB1_R_5_632005311318458374">#REF!</definedName>
    <definedName name="_vena_DetailS1_DetailB1_R_5_632005311318458376">#REF!</definedName>
    <definedName name="_vena_DetailS1_DetailB1_R_5_632005311322652677">#REF!</definedName>
    <definedName name="_vena_DetailS1_DetailB1_R_5_632005311322652679">#REF!</definedName>
    <definedName name="_vena_DetailS1_DetailB1_R_5_632005311335235592">#REF!</definedName>
    <definedName name="_vena_DetailS1_DetailB1_R_5_632005311339429888">#REF!</definedName>
    <definedName name="_vena_DetailS1_DetailB1_R_5_632005311339429890">#REF!</definedName>
    <definedName name="_vena_DetailS1_DetailB1_R_5_632005311339429892">#REF!</definedName>
    <definedName name="_vena_DetailS1_DetailB1_R_5_632005311339429894">#REF!</definedName>
    <definedName name="_vena_DetailS1_DetailB1_R_5_632005311343624200">#REF!</definedName>
    <definedName name="_vena_DetailS1_DetailB1_R_5_632005311347818496">#REF!</definedName>
    <definedName name="_vena_DetailS1_DetailB1_R_5_632005311347818498">#REF!</definedName>
    <definedName name="_vena_DetailS1_DetailB1_R_5_632005311347818500">#REF!</definedName>
    <definedName name="_vena_DetailS1_DetailB1_R_5_632005311352012802">#REF!</definedName>
    <definedName name="_vena_DetailS1_DetailB1_R_5_632005311352012804">#REF!</definedName>
    <definedName name="_vena_DetailS1_DetailB1_R_5_632005311377178626">#REF!</definedName>
    <definedName name="_vena_DetailS1_DetailB1_R_5_632005311377178628">#REF!</definedName>
    <definedName name="_vena_DetailS1_DetailB1_R_5_632005311377178630">#REF!</definedName>
    <definedName name="_vena_DetailS1_DetailB1_R_5_632005311377178632">#REF!</definedName>
    <definedName name="_vena_DetailS1_DetailB1_R_5_632005311381372931">#REF!</definedName>
    <definedName name="_vena_DetailS1_DetailB1_R_5_632005311381372933">#REF!</definedName>
    <definedName name="_vena_DetailS1_DetailB1_R_5_632005311398150152">#REF!</definedName>
    <definedName name="_vena_DetailS1_DetailB1_R_5_632005311402344448">#REF!</definedName>
    <definedName name="_vena_DetailS1_DetailB1_R_5_632005311402344450">#REF!</definedName>
    <definedName name="_vena_DetailS1_DetailB1_R_5_632005311402344452">#REF!</definedName>
    <definedName name="_vena_DetailS1_DetailB1_R_5_632005311406538754">#REF!</definedName>
    <definedName name="_vena_DetailS1_DetailB1_R_5_632005311406538756">#REF!</definedName>
    <definedName name="_vena_DetailS1_DetailB1_R_5_632005311406538758">#REF!</definedName>
    <definedName name="_vena_DetailS1_DetailB1_R_5_632005311423315976">#REF!</definedName>
    <definedName name="_vena_DetailS1_DetailB1_R_5_632005311427510272">#REF!</definedName>
    <definedName name="_vena_DetailS1_DetailB1_R_5_632005311427510274">#REF!</definedName>
    <definedName name="_vena_DetailS1_DetailB1_R_5_632005311431704581">#REF!</definedName>
    <definedName name="_vena_DetailS1_DetailB1_R_5_632005311431704583">#REF!</definedName>
    <definedName name="_vena_DetailS1_DetailB1_R_5_632005311435898880">#REF!</definedName>
    <definedName name="_vena_DetailS1_DetailB1_R_5_632005311435898882">#REF!</definedName>
    <definedName name="_vena_DetailS1_DetailB1_R_5_632005311440093184">#REF!</definedName>
    <definedName name="_vena_DetailS1_DetailB1_R_5_632005311452676096">#REF!</definedName>
    <definedName name="_vena_DetailS1_DetailB1_R_5_632005311452676098">#REF!</definedName>
    <definedName name="_vena_DetailS1_DetailB1_R_5_632005311452676100">#REF!</definedName>
    <definedName name="_vena_DetailS1_DetailB1_R_5_632005311452676102">#REF!</definedName>
    <definedName name="_vena_DetailS1_DetailB1_R_5_632005311456870402">#REF!</definedName>
    <definedName name="_vena_DetailS1_DetailB1_R_5_632005311473647616">#REF!</definedName>
    <definedName name="_vena_DetailS1_DetailB1_R_5_632005311477841923">#REF!</definedName>
    <definedName name="_vena_DetailS1_DetailB1_R_5_632005311477841925">#REF!</definedName>
    <definedName name="_vena_DetailS1_DetailB1_R_5_632005311477841927">#REF!</definedName>
    <definedName name="_vena_DetailS1_DetailB1_R_5_632005311482036224">#REF!</definedName>
    <definedName name="_vena_DetailS1_DetailB1_R_5_632005311482036226">#REF!</definedName>
    <definedName name="_vena_DetailS1_DetailB1_R_5_632005311486230528">#REF!</definedName>
    <definedName name="_vena_DetailS1_DetailB1_R_5_632005311486230530">#REF!</definedName>
    <definedName name="_vena_DetailS1_DetailB1_R_5_632005311503007752">#REF!</definedName>
    <definedName name="_vena_DetailS1_DetailB1_R_5_632005311507202050">#REF!</definedName>
    <definedName name="_vena_DetailS1_DetailB1_R_5_632005311507202054">#REF!</definedName>
    <definedName name="_vena_DetailS1_DetailB1_R_5_632005311507202056">#REF!</definedName>
    <definedName name="_vena_DetailS1_DetailB1_R_5_632005311511396352">#REF!</definedName>
    <definedName name="_vena_DetailS1_DetailB1_R_5_632005311511396358">#REF!</definedName>
    <definedName name="_vena_DetailS1_DetailB1_R_5_632005311515590656">#REF!</definedName>
    <definedName name="_vena_DetailS1_DetailB1_R_5_632005311515590658">#REF!</definedName>
    <definedName name="_vena_DetailS1_DetailB1_R_5_632005311523979268">#REF!</definedName>
    <definedName name="_vena_DetailS1_DetailB1_R_5_632005311532367880">#REF!</definedName>
    <definedName name="_vena_DetailS1_DetailB1_R_5_632005311536562178">#REF!</definedName>
    <definedName name="_vena_DetailS1_DetailB1_R_5_632005311536562180">#REF!</definedName>
    <definedName name="_vena_DetailS1_DetailB1_R_5_632005311540756486">#REF!</definedName>
    <definedName name="_vena_DetailS1_DetailB1_R_5_632005311540756488">#REF!</definedName>
    <definedName name="_vena_DetailS1_DetailB1_R_5_632005311544950784">#REF!</definedName>
    <definedName name="_vena_DetailS1_DetailB1_R_5_632005311549145088">#REF!</definedName>
    <definedName name="_vena_DetailS1_DetailB1_R_5_632005311549145090">#REF!</definedName>
    <definedName name="_vena_DetailS1_DetailB1_R_5_632005311549145096">#REF!</definedName>
    <definedName name="_vena_DetailS1_DetailB1_R_5_632005311565922304">#REF!</definedName>
    <definedName name="_vena_DetailS1_DetailB1_R_5_632005311570116610">#REF!</definedName>
    <definedName name="_vena_DetailS1_DetailB1_R_5_632005311570116612">#REF!</definedName>
    <definedName name="_vena_DetailS1_DetailB1_R_5_632005311570116614">#REF!</definedName>
    <definedName name="_vena_DetailS1_DetailB1_R_5_632005311574310912">#REF!</definedName>
    <definedName name="_vena_DetailS1_DetailB1_R_5_632005311574310916">#REF!</definedName>
    <definedName name="_vena_DetailS1_DetailB1_R_5_632005311574310918">#REF!</definedName>
    <definedName name="_vena_DetailS1_DetailB1_R_5_632005311599476737">#REF!</definedName>
    <definedName name="_vena_DetailS1_DetailB1_R_5_632005311603671046">#REF!</definedName>
    <definedName name="_vena_DetailS1_DetailB1_R_5_632005311603671049">#REF!</definedName>
    <definedName name="_vena_DetailS1_DetailB1_R_5_632005311607865344">#REF!</definedName>
    <definedName name="_vena_DetailS1_DetailB1_R_5_632005311607865346">#REF!</definedName>
    <definedName name="_vena_DetailS1_DetailB1_R_5_632005311612059648">#REF!</definedName>
    <definedName name="_vena_DetailS1_DetailB1_R_5_632005311612059650">#REF!</definedName>
    <definedName name="_vena_DetailS1_DetailB1_R_5_632005311628836870">#REF!</definedName>
    <definedName name="_vena_DetailS1_DetailB1_R_5_632005311641419782">#REF!</definedName>
    <definedName name="_vena_DetailS1_DetailB1_R_5_632005311645614080">#REF!</definedName>
    <definedName name="_vena_DetailS1_DetailB1_R_5_632005311645614082">#REF!</definedName>
    <definedName name="_vena_DetailS1_DetailB1_R_5_632005311649808390">#REF!</definedName>
    <definedName name="_vena_DetailS1_DetailB1_R_5_632005311649808392">#REF!</definedName>
    <definedName name="_vena_DetailS1_DetailB1_R_5_632005311654002688">#REF!</definedName>
    <definedName name="_vena_DetailS1_DetailB1_R_5_632005311654002690">#REF!</definedName>
    <definedName name="_vena_DetailS1_DetailB1_R_5_632005311654002694">#REF!</definedName>
    <definedName name="_vena_DetailS1_DetailB1_R_5_632005311654002696">#REF!</definedName>
    <definedName name="_vena_DetailS1_DetailB1_R_5_632005311674974208">#REF!</definedName>
    <definedName name="_vena_DetailS1_DetailB1_R_5_632005311674974217">#REF!</definedName>
    <definedName name="_vena_DetailS1_DetailB1_R_5_632005311679168512">#REF!</definedName>
    <definedName name="_vena_DetailS1_DetailB1_R_5_632005311679168514">#REF!</definedName>
    <definedName name="_vena_DetailS1_DetailB1_R_5_632005311679168516">#REF!</definedName>
    <definedName name="_vena_DetailS1_DetailB1_R_5_632005311683362816">#REF!</definedName>
    <definedName name="_vena_DetailS1_DetailB1_R_5_632005311683362818">#REF!</definedName>
    <definedName name="_vena_DetailS1_DetailB1_R_5_632005311691751424">#REF!</definedName>
    <definedName name="_vena_DetailS1_DetailB1_R_5_632005311700140038">#REF!</definedName>
    <definedName name="_vena_DetailS1_DetailB1_R_5_632005311704334340">#REF!</definedName>
    <definedName name="_vena_DetailS1_DetailB1_R_5_632005311704334342">#REF!</definedName>
    <definedName name="_vena_DetailS1_DetailB1_R_5_632005311704334344">#REF!</definedName>
    <definedName name="_vena_DetailS1_DetailB1_R_5_632005311704334346">#REF!</definedName>
    <definedName name="_vena_DetailS1_DetailB1_R_5_632005311708528643">#REF!</definedName>
    <definedName name="_vena_DetailS1_DetailB1_R_5_632005311725305856">#REF!</definedName>
    <definedName name="_vena_DetailS1_DetailB1_R_5_632005311729500162">#REF!</definedName>
    <definedName name="_vena_DetailS1_DetailB1_R_5_632005311729500164">#REF!</definedName>
    <definedName name="_vena_DetailS1_DetailB1_R_5_632005311729500168">#REF!</definedName>
    <definedName name="_vena_DetailS1_DetailB1_R_5_632005311733694472">#REF!</definedName>
    <definedName name="_vena_DetailS1_DetailB1_R_5_632005311737888768">#REF!</definedName>
    <definedName name="_vena_DetailS1_DetailB1_R_5_632005311737888770">#REF!</definedName>
    <definedName name="_vena_DetailS1_DetailB1_R_5_632005311737888772">#REF!</definedName>
    <definedName name="_vena_DetailS1_DetailB1_R_5_632005311758860291">#REF!</definedName>
    <definedName name="_vena_DetailS1_DetailB1_R_5_632005311758860295">#REF!</definedName>
    <definedName name="_vena_DetailS1_DetailB1_R_5_632005311758860297">#REF!</definedName>
    <definedName name="_vena_DetailS1_DetailB1_R_5_632005311763054592">#REF!</definedName>
    <definedName name="_vena_DetailS1_DetailB1_R_5_632005311763054594">#REF!</definedName>
    <definedName name="_vena_DetailS1_DetailB1_R_5_632005311763054596">#REF!</definedName>
    <definedName name="_vena_DetailS1_DetailB1_R_5_632005311763054598">#REF!</definedName>
    <definedName name="_vena_DetailS1_DetailB1_R_5_632005311771443204">#REF!</definedName>
    <definedName name="_vena_DetailS1_DetailB1_R_5_632005311784026112">#REF!</definedName>
    <definedName name="_vena_DetailS1_DetailB1_R_5_632005311784026114">#REF!</definedName>
    <definedName name="_vena_DetailS1_DetailB1_R_5_632005311784026116">#REF!</definedName>
    <definedName name="_vena_DetailS1_DetailB1_R_5_632005311788220419">#REF!</definedName>
    <definedName name="_vena_DetailS1_DetailB1_R_5_632005311788220421">#REF!</definedName>
    <definedName name="_vena_DetailS1_DetailB1_R_5_632005311788220425">#REF!</definedName>
    <definedName name="_vena_DetailS1_DetailB1_R_5_632005311792414722">#REF!</definedName>
    <definedName name="_vena_DetailS1_DetailB1_R_5_632005311792414724">#REF!</definedName>
    <definedName name="_vena_DetailS1_DetailB1_R_5_632005311792414726">#REF!</definedName>
    <definedName name="_vena_DetailS1_DetailB1_R_5_632005311809191946">#REF!</definedName>
    <definedName name="_vena_DetailS1_DetailB1_R_5_632005311817580544">#REF!</definedName>
    <definedName name="_vena_DetailS1_DetailB1_R_5_632005311817580546">#REF!</definedName>
    <definedName name="_vena_DetailS1_DetailB1_R_5_632005311817580548">#REF!</definedName>
    <definedName name="_vena_DetailS1_DetailB1_R_5_632005311817580550">#REF!</definedName>
    <definedName name="_vena_DetailS1_DetailB1_R_5_632005311817580552">#REF!</definedName>
    <definedName name="_vena_DetailS1_DetailB1_R_5_632005311821774848">#REF!</definedName>
    <definedName name="_vena_DetailS1_DetailB1_R_5_632005311838552072">#REF!</definedName>
    <definedName name="_vena_DetailS1_DetailB1_R_5_632005311842746368">#REF!</definedName>
    <definedName name="_vena_DetailS1_DetailB1_R_5_632005311842746370">#REF!</definedName>
    <definedName name="_vena_DetailS1_DetailB1_R_5_632005311842746372">#REF!</definedName>
    <definedName name="_vena_DetailS1_DetailB1_R_5_632005311846940672">#REF!</definedName>
    <definedName name="_vena_DetailS1_DetailB1_R_5_632005311846940674">#REF!</definedName>
    <definedName name="_vena_DetailS1_DetailB1_R_5_632005311859523594">#REF!</definedName>
    <definedName name="_vena_DetailS1_DetailB1_R_5_632005311863717888">#REF!</definedName>
    <definedName name="_vena_DetailS1_DetailB1_R_5_632005311867912192">#REF!</definedName>
    <definedName name="_vena_DetailS1_DetailB1_R_5_632005311867912194">#REF!</definedName>
    <definedName name="_vena_DetailS1_DetailB1_R_5_632005311867912196">#REF!</definedName>
    <definedName name="_vena_DetailS1_DetailB1_R_5_632005311867912198">#REF!</definedName>
    <definedName name="_vena_DetailS1_DetailB1_R_5_632005311872106499">#REF!</definedName>
    <definedName name="_vena_DetailS1_DetailB1_R_5_632005311888883714">#REF!</definedName>
    <definedName name="_vena_DetailS1_DetailB1_R_5_632005311888883718">#REF!</definedName>
    <definedName name="_vena_DetailS1_DetailB1_R_5_632005311893078018">#REF!</definedName>
    <definedName name="_vena_DetailS1_DetailB1_R_5_632005311893078020">#REF!</definedName>
    <definedName name="_vena_DetailS1_DetailB1_R_5_632005311893078022">#REF!</definedName>
    <definedName name="_vena_DetailS1_DetailB1_R_5_632005311897272322">#REF!</definedName>
    <definedName name="_vena_DetailS1_DetailB1_R_5_632005311897272324">#REF!</definedName>
    <definedName name="_vena_DetailS1_DetailB1_R_5_632005311914049538">#REF!</definedName>
    <definedName name="_vena_DetailS1_DetailB1_R_5_632005311918243845">#REF!</definedName>
    <definedName name="_vena_DetailS1_DetailB1_R_5_632005311918243847">#REF!</definedName>
    <definedName name="_vena_DetailS1_DetailB1_R_5_632005311918243849">#REF!</definedName>
    <definedName name="_vena_DetailS1_DetailB1_R_5_632005311922438144">#REF!</definedName>
    <definedName name="_vena_DetailS1_DetailB1_R_5_632005311922438150">#REF!</definedName>
    <definedName name="_vena_DetailS1_DetailB1_R_5_632005311939215368">#REF!</definedName>
    <definedName name="_vena_DetailS1_DetailB1_R_5_632005311943409668">#REF!</definedName>
    <definedName name="_vena_DetailS1_DetailB1_R_5_632005311943409670">#REF!</definedName>
    <definedName name="_vena_DetailS1_DetailB1_R_5_632005311943409672">#REF!</definedName>
    <definedName name="_vena_DetailS1_DetailB1_R_5_632005311943409674">#REF!</definedName>
    <definedName name="_vena_DetailS1_DetailB1_R_5_632005311947603973">#REF!</definedName>
    <definedName name="_vena_DetailS1_DetailB1_R_5_632005311947603975">#REF!</definedName>
    <definedName name="_vena_DetailS1_DetailB1_R_5_632005311960186888">#REF!</definedName>
    <definedName name="_vena_DetailS1_DetailB1_R_5_632005311964381184">#REF!</definedName>
    <definedName name="_vena_DetailS1_DetailB1_R_5_632005311964381192">#REF!</definedName>
    <definedName name="_vena_DetailS1_DetailB1_R_5_632005311968575488">#REF!</definedName>
    <definedName name="_vena_DetailS1_DetailB1_R_5_632005311972769793">#REF!</definedName>
    <definedName name="_vena_DetailS1_DetailB1_R_5_632005311972769795">#REF!</definedName>
    <definedName name="_vena_DetailS1_DetailB1_R_5_632005311972769797">#REF!</definedName>
    <definedName name="_vena_DetailS1_DetailB1_R_5_632005311972769805">#REF!</definedName>
    <definedName name="_vena_DetailS1_DetailB1_R_5_632005311976964096">#REF!</definedName>
    <definedName name="_vena_DetailS1_DetailB1_R_5_632005311976964121">#REF!</definedName>
    <definedName name="_vena_DetailS1_DetailB1_R_5_632005311997935642">#REF!</definedName>
    <definedName name="_vena_DetailS1_DetailB1_R_5_632005312002129944">#REF!</definedName>
    <definedName name="_vena_DetailS1_DetailB1_R_5_632005312002129952">#REF!</definedName>
    <definedName name="_vena_DetailS1_DetailB1_R_5_632005312002129961">#REF!</definedName>
    <definedName name="_vena_DetailS1_DetailB1_R_5_632005312006324232">#REF!</definedName>
    <definedName name="_vena_DetailS1_DetailB1_R_5_632005312006324257">#REF!</definedName>
    <definedName name="_vena_DetailS1_DetailB1_R_5_632005312027295755">#REF!</definedName>
    <definedName name="_vena_DetailS1_DetailB1_R_5_632005312031490051">#REF!</definedName>
    <definedName name="_vena_DetailS1_DetailB1_R_5_632005312031490058">#REF!</definedName>
    <definedName name="_vena_DetailS1_DetailB1_R_5_632005312031490068">#REF!</definedName>
    <definedName name="_vena_DetailS1_DetailB1_R_5_632005312031490077">#REF!</definedName>
    <definedName name="_vena_DetailS1_DetailB1_R_5_632005312035684364">#REF!</definedName>
    <definedName name="_vena_DetailS1_DetailB1_R_5_632005312048267270">#REF!</definedName>
    <definedName name="_vena_DetailS1_DetailB1_R_5_632005312048267272">#REF!</definedName>
    <definedName name="_vena_DetailS1_DetailB1_R_5_632005312048267274">#REF!</definedName>
    <definedName name="_vena_DetailS1_DetailB1_R_5_632005312052461569">#REF!</definedName>
    <definedName name="_vena_DetailS1_DetailB1_R_5_632005312052461577">#REF!</definedName>
    <definedName name="_vena_DetailS1_DetailB1_R_5_632005312056655872">#REF!</definedName>
    <definedName name="_vena_DetailS1_DetailB1_R_5_632005312056655874">#REF!</definedName>
    <definedName name="_vena_DetailS1_DetailB1_R_5_632005312056655876">#REF!</definedName>
    <definedName name="_vena_DetailS1_DetailB1_R_5_632005312060850179">#REF!</definedName>
    <definedName name="_vena_DetailS1_DetailB1_R_5_632005312077627400">#REF!</definedName>
    <definedName name="_vena_DetailS1_DetailB1_R_5_632005312077627402">#REF!</definedName>
    <definedName name="_vena_DetailS1_DetailB1_R_5_632005312081821697">#REF!</definedName>
    <definedName name="_vena_DetailS1_DetailB1_R_5_632005312081821699">#REF!</definedName>
    <definedName name="_vena_DetailS1_DetailB1_R_5_632005312086016000">#REF!</definedName>
    <definedName name="_vena_DetailS1_DetailB1_R_5_632005312086016002">#REF!</definedName>
    <definedName name="_vena_DetailS1_DetailB1_R_5_632005312098598914">#REF!</definedName>
    <definedName name="_vena_DetailS1_DetailB1_R_5_632005312098598918">#REF!</definedName>
    <definedName name="_vena_DetailS1_DetailB1_R_5_632005312102793222">#REF!</definedName>
    <definedName name="_vena_DetailS1_DetailB1_R_5_632005312102793224">#REF!</definedName>
    <definedName name="_vena_DetailS1_DetailB1_R_5_632005312106987520">#REF!</definedName>
    <definedName name="_vena_DetailS1_DetailB1_R_5_632005312106987522">#REF!</definedName>
    <definedName name="_vena_DetailS1_DetailB1_R_5_632005312111181824">#REF!</definedName>
    <definedName name="_vena_DetailS1_DetailB1_R_5_632005312111181826">#REF!</definedName>
    <definedName name="_vena_DetailS1_DetailB1_R_5_632005312111181828">#REF!</definedName>
    <definedName name="_vena_DetailS1_DetailB1_R_5_632005312127959044">#REF!</definedName>
    <definedName name="_vena_DetailS1_DetailB1_R_5_632005312127959056">#REF!</definedName>
    <definedName name="_vena_DetailS1_DetailB1_R_5_632005312127959058">#REF!</definedName>
    <definedName name="_vena_DetailS1_DetailB1_R_5_632005312132153347">#REF!</definedName>
    <definedName name="_vena_DetailS1_DetailB1_R_5_632005312132153349">#REF!</definedName>
    <definedName name="_vena_DetailS1_DetailB1_R_5_632005312148930564">#REF!</definedName>
    <definedName name="_vena_DetailS1_DetailB1_R_5_632005312148930568">#REF!</definedName>
    <definedName name="_vena_DetailS1_DetailB1_R_5_632005312153124870">#REF!</definedName>
    <definedName name="_vena_DetailS1_DetailB1_R_5_632005312153124872">#REF!</definedName>
    <definedName name="_vena_DetailS1_DetailB1_R_5_632005312157319168">#REF!</definedName>
    <definedName name="_vena_DetailS1_DetailB1_R_5_632005312157319170">#REF!</definedName>
    <definedName name="_vena_DetailS1_DetailB1_R_5_632005312157319176">#REF!</definedName>
    <definedName name="_vena_DetailS1_DetailB1_R_5_632005312161513472">#REF!</definedName>
    <definedName name="_vena_DetailS1_DetailB1_R_5_632005312161513474">#REF!</definedName>
    <definedName name="_vena_DetailS1_DetailB1_R_5_632005312161513476">#REF!</definedName>
    <definedName name="_vena_DetailS1_DetailB1_R_5_632005312178290696">#REF!</definedName>
    <definedName name="_vena_DetailS1_DetailB1_R_5_632005312182484998">#REF!</definedName>
    <definedName name="_vena_DetailS1_DetailB1_R_5_632005312182485000">#REF!</definedName>
    <definedName name="_vena_DetailS1_DetailB1_R_5_632005312186679296">#REF!</definedName>
    <definedName name="_vena_DetailS1_DetailB1_R_5_632005312186679302">#REF!</definedName>
    <definedName name="_vena_DetailS1_DetailB1_R_5_632005312186679304">#REF!</definedName>
    <definedName name="_vena_DetailS1_DetailB1_R_5_632005312199262218">#REF!</definedName>
    <definedName name="_vena_DetailS1_DetailB1_R_5_632005312211845122">#REF!</definedName>
    <definedName name="_vena_DetailS1_DetailB1_R_5_632005312211845124">#REF!</definedName>
    <definedName name="_vena_DetailS1_DetailB1_R_5_632005312211845127">#REF!</definedName>
    <definedName name="_vena_DetailS1_DetailB1_R_5_632005312216039426">#REF!</definedName>
    <definedName name="_vena_DetailS1_DetailB1_R_5_632005312216039428">#REF!</definedName>
    <definedName name="_vena_DetailS1_DetailB1_R_5_632005312228622346">#REF!</definedName>
    <definedName name="_vena_DetailS1_DetailB1_R_5_632005312232816640">#REF!</definedName>
    <definedName name="_vena_DetailS1_DetailB1_R_5_632005312232816642">#REF!</definedName>
    <definedName name="_vena_DetailS1_DetailB1_R_5_632005312237010952">#REF!</definedName>
    <definedName name="_vena_DetailS1_DetailB1_R_5_632005312241205248">#REF!</definedName>
    <definedName name="_vena_DetailS1_DetailB1_R_5_632005312241205254">#REF!</definedName>
    <definedName name="_vena_DetailS1_DetailB1_R_5_632005312262176775">#REF!</definedName>
    <definedName name="_vena_DetailS1_DetailB1_R_5_632005312266371080">#REF!</definedName>
    <definedName name="_vena_DetailS1_DetailB1_R_5_632005312270565376">#REF!</definedName>
    <definedName name="_vena_DetailS1_DetailB1_R_5_632005312270565382">#REF!</definedName>
    <definedName name="_vena_DetailS1_DetailB1_R_5_632005312270565384">#REF!</definedName>
    <definedName name="_vena_DetailS1_DetailB1_R_5_632005312291536902">#REF!</definedName>
    <definedName name="_vena_DetailS1_DetailB1_R_5_632005312295731208">#REF!</definedName>
    <definedName name="_vena_DetailS1_DetailB1_R_5_632005312295731210">#REF!</definedName>
    <definedName name="_vena_DetailS1_DetailB1_R_5_632005312299925505">#REF!</definedName>
    <definedName name="_vena_DetailS1_DetailB1_R_5_632005312299925511">#REF!</definedName>
    <definedName name="_vena_DetailS1_DetailB1_R_5_632005312304119808">#REF!</definedName>
    <definedName name="_vena_DetailS1_DetailB1_R_5_632005312304119810">#REF!</definedName>
    <definedName name="_vena_DetailS1_DetailB1_R_5_632005312304119814">#REF!</definedName>
    <definedName name="_vena_DetailS1_DetailB1_R_5_632005312308314114">#REF!</definedName>
    <definedName name="_vena_DetailS1_DetailB1_R_5_632005312325091332">#REF!</definedName>
    <definedName name="_vena_DetailS1_DetailB1_R_5_632005312325091334">#REF!</definedName>
    <definedName name="_vena_DetailS1_DetailB1_R_5_632005312325091336">#REF!</definedName>
    <definedName name="_vena_DetailS1_DetailB1_R_5_632005312329285634">#REF!</definedName>
    <definedName name="_vena_DetailS1_DetailB1_R_5_632005312329285636">#REF!</definedName>
    <definedName name="_vena_DetailS1_DetailB1_R_5_632005312350257152">#REF!</definedName>
    <definedName name="_vena_DetailS1_DetailB1_R_5_632005312350257154">#REF!</definedName>
    <definedName name="_vena_DetailS1_DetailB1_R_5_632005312354451456">#REF!</definedName>
    <definedName name="_vena_DetailS1_DetailB1_R_5_632005312358645762">#REF!</definedName>
    <definedName name="_vena_DetailS1_DetailB1_R_5_632005312358645764">#REF!</definedName>
    <definedName name="_vena_DetailS1_DetailB1_R_5_632005312358645768">#REF!</definedName>
    <definedName name="_vena_DetailS1_DetailB1_R_5_632005312362840065">#REF!</definedName>
    <definedName name="_vena_DetailS1_DetailB1_R_5_632005312362840067">#REF!</definedName>
    <definedName name="_vena_DetailS1_DetailB1_R_5_632005312379617286">#REF!</definedName>
    <definedName name="_vena_DetailS1_DetailB1_R_5_632005312388005890">#REF!</definedName>
    <definedName name="_vena_DetailS1_DetailB1_R_5_632005312388005892">#REF!</definedName>
    <definedName name="_vena_DetailS1_DetailB1_R_5_632005312388005894">#REF!</definedName>
    <definedName name="_vena_DetailS1_DetailB1_R_5_632005312392200194">#REF!</definedName>
    <definedName name="_vena_DetailS1_DetailB1_R_5_632005312392200196">#REF!</definedName>
    <definedName name="_vena_DetailS1_DetailB1_R_5_632005312417366022">#REF!</definedName>
    <definedName name="_vena_DetailS1_DetailB1_R_5_632005312417366024">#REF!</definedName>
    <definedName name="_vena_DetailS1_DetailB1_R_5_632005312417366026">#REF!</definedName>
    <definedName name="_vena_DetailS1_DetailB1_R_5_632005312421560325">#REF!</definedName>
    <definedName name="_vena_DetailS1_DetailB1_R_5_632005312421560327">#REF!</definedName>
    <definedName name="_vena_DetailS1_DetailB1_R_5_632005312429948928">#REF!</definedName>
    <definedName name="_vena_DetailS1_DetailB1_R_5_632005312438337544">#REF!</definedName>
    <definedName name="_vena_DetailS1_DetailB1_R_5_632005312442531848">#REF!</definedName>
    <definedName name="_vena_DetailS1_DetailB1_R_5_632005312446726145">#REF!</definedName>
    <definedName name="_vena_DetailS1_DetailB1_R_5_632005312450920456">#REF!</definedName>
    <definedName name="_vena_DetailS1_DetailB1_R_5_632005312455114752">#REF!</definedName>
    <definedName name="_vena_DetailS1_DetailB1_R_5_632005312455114754">#REF!</definedName>
    <definedName name="_vena_DetailS1_DetailB1_R_5_632005312455114760">#REF!</definedName>
    <definedName name="_vena_DetailS1_DetailB1_R_5_632005312459309056">#REF!</definedName>
    <definedName name="_vena_DetailS1_DetailB1_R_5_632005312471891978">#REF!</definedName>
    <definedName name="_vena_DetailS1_DetailB1_R_5_632005312476086273">#REF!</definedName>
    <definedName name="_vena_DetailS1_DetailB1_R_5_632005312476086275">#REF!</definedName>
    <definedName name="_vena_DetailS1_DetailB1_R_5_632005312480280576">#REF!</definedName>
    <definedName name="_vena_DetailS1_DetailB1_R_5_632005312480280578">#REF!</definedName>
    <definedName name="_vena_DetailS1_DetailB1_R_5_632005312484474880">#REF!</definedName>
    <definedName name="_vena_DetailS1_DetailB1_R_5_632005312492863495">#REF!</definedName>
    <definedName name="_vena_DetailS1_DetailB1_R_5_632005312497057796">#REF!</definedName>
    <definedName name="_vena_DetailS1_DetailB1_R_5_632005312497057798">#REF!</definedName>
    <definedName name="_vena_DetailS1_DetailB1_R_5_632005312497057800">#REF!</definedName>
    <definedName name="_vena_DetailS1_DetailB1_R_5_632005312501252100">#REF!</definedName>
    <definedName name="_vena_DetailS1_DetailB1_R_5_632005312501252102">#REF!</definedName>
    <definedName name="_vena_DetailS1_DetailB1_R_5_632005312501252104">#REF!</definedName>
    <definedName name="_vena_DetailS1_DetailB1_R_5_632005312522223616">#REF!</definedName>
    <definedName name="_vena_DetailS1_DetailB1_R_5_632005312522223618">#REF!</definedName>
    <definedName name="_vena_DetailS1_DetailB1_R_5_632005312526417958">#REF!</definedName>
    <definedName name="_vena_DetailS1_DetailB1_R_5_632005312530612224">#REF!</definedName>
    <definedName name="_vena_DetailS1_DetailB1_R_5_632005312530612226">#REF!</definedName>
    <definedName name="_vena_DetailS1_DetailB1_R_5_632005312530612232">#REF!</definedName>
    <definedName name="_vena_DetailS1_DetailB1_R_5_632005312534806528">#REF!</definedName>
    <definedName name="_vena_DetailS1_DetailB1_R_5_632005312547389446">#REF!</definedName>
    <definedName name="_vena_DetailS1_DetailB1_R_5_632005312547389448">#REF!</definedName>
    <definedName name="_vena_DetailS1_DetailB1_R_5_632005312551583744">#REF!</definedName>
    <definedName name="_vena_DetailS1_DetailB1_R_5_632005312551583750">#REF!</definedName>
    <definedName name="_vena_DetailS1_DetailB1_R_5_632005312555778048">#REF!</definedName>
    <definedName name="_vena_DetailS1_DetailB1_R_5_632005312564166664">#REF!</definedName>
    <definedName name="_vena_DetailS1_DetailB1_R_5_632005312568360964">#REF!</definedName>
    <definedName name="_vena_DetailS1_DetailB1_R_5_632005312568360968">#REF!</definedName>
    <definedName name="_vena_DetailS1_DetailB1_R_5_632005312572555270">#REF!</definedName>
    <definedName name="_vena_DetailS1_DetailB1_R_5_632005312572555272">#REF!</definedName>
    <definedName name="_vena_DetailS1_DetailB1_R_5_632005312576749568">#REF!</definedName>
    <definedName name="_vena_DetailS1_DetailB1_R_5_632005312576749570">#REF!</definedName>
    <definedName name="_vena_DetailS1_DetailB1_R_5_632005312576749576">#REF!</definedName>
    <definedName name="_vena_DetailS1_DetailB1_R_5_632005312580943872">#REF!</definedName>
    <definedName name="_vena_DetailS1_DetailB1_R_5_632005312585138180">#REF!</definedName>
    <definedName name="_vena_DetailS1_DetailB1_R_5_632005312597721093">#REF!</definedName>
    <definedName name="_vena_DetailS1_DetailB1_R_5_632005312597721095">#REF!</definedName>
    <definedName name="_vena_DetailS1_DetailB1_R_5_632005312597721097">#REF!</definedName>
    <definedName name="_vena_DetailS1_DetailB1_R_5_632005312601915392">#REF!</definedName>
    <definedName name="_vena_DetailS1_DetailB1_R_5_632005312601915396">#REF!</definedName>
    <definedName name="_vena_DetailS1_DetailB1_R_5_632005312601915398">#REF!</definedName>
    <definedName name="_vena_DetailS1_DetailB1_R_5_632802684999303168">#REF!</definedName>
    <definedName name="_vena_DetailS1_DetailB1_R_5_632802806714466304">#REF!</definedName>
    <definedName name="_vena_DetailS1_DetailB1_R_5_640425049593872384">#REF!</definedName>
    <definedName name="_vena_DetailS1_DetailB1_R_5_640425049946193920">#REF!</definedName>
    <definedName name="_vena_DetailS1_DetailB1_R_5_640425050315292672">#REF!</definedName>
    <definedName name="_vena_DetailS1_DetailB1_R_5_672280564707885073">#REF!</definedName>
    <definedName name="_vena_DetailS1_DetailB1_R_5_820620957949886465">#REF!</definedName>
    <definedName name="_vena_DetailS1_DetailB1_R_5_969124762453147649">#REF!</definedName>
    <definedName name="_vena_DetailS1_DetailB1_R_5_969124837275336705">#REF!</definedName>
    <definedName name="_vena_DetailS1_DetailB1_R_5_969124902391644161">#REF!</definedName>
    <definedName name="_vena_DetailS1_DetailB1_R_5_969124968162525249">#REF!</definedName>
    <definedName name="_vena_DetailS1_P_3_632005310022418436" comment="*">#REF!</definedName>
    <definedName name="_vena_DetailS1_P_7_632005313256226820" comment="*">#REF!</definedName>
    <definedName name="_vena_DetailS1_P_FV_9b0abd7578fb42018b1ba18b8b26d3ae" comment="*">#REF!</definedName>
    <definedName name="_vena_DetailS1_P_FV_e3545e3dcc52420a84dcdae3a23a4597" comment="*">#REF!</definedName>
    <definedName name="_vena_DYNC_SBalanceSheetS1_BBalanceSheetB1_23bcc667">#REF!</definedName>
    <definedName name="_vena_DYNC_SBalanceSheetS1_BBalanceSheetB1_23bcc667_1fdd93c">#REF!</definedName>
    <definedName name="_vena_DYNC_SBalanceSheetS1_BBalanceSheetB1_23bcc667_80ab01b2">#REF!</definedName>
    <definedName name="_vena_DYNC_SBalanceSheetS1_BBalanceSheetB1_a3be3c09">#REF!</definedName>
    <definedName name="_vena_DYNC_SBalanceSheetS1_BBalanceSheetB1_a3be3c09_9ac8484f">#REF!</definedName>
    <definedName name="_vena_DYNC_SBalanceSheetS1_BBalanceSheetB1_a3be3c09_e9cec58d">#REF!</definedName>
    <definedName name="_vena_DYNC_SBalanceSheetS2_BBalanceSheetB2_4303609">#REF!</definedName>
    <definedName name="_vena_DYNC_SBalanceSheetS2_BBalanceSheetB2_4303609_7f57a04f">#REF!</definedName>
    <definedName name="_vena_DYNC_SBalanceSheetS2_BBalanceSheetB2_4303609_a8fcd678">#REF!</definedName>
    <definedName name="_vena_DYNC_SMultiSiteS1_BMultiSiteB1_168c83dd">#REF!</definedName>
    <definedName name="_vena_DYNC_SMultiSiteS1_BMultiSiteB1_168c83dd_ae9ff4fd">#REF!</definedName>
    <definedName name="_vena_DYNC_SMultiSiteS1_BMultiSiteB1_1e982f42">#REF!</definedName>
    <definedName name="_vena_DYNC_SMultiSiteS1_BMultiSiteB1_1e982f42_704e7fe4">#REF!</definedName>
    <definedName name="_vena_DYNC_SMultiSiteS1_BMultiSiteB1_1e982f42_7573ecb7">#REF!</definedName>
    <definedName name="_vena_DYNC_SMultiSiteS1_BMultiSiteB1_2c9a16ff">#REF!</definedName>
    <definedName name="_vena_DYNC_SMultiSiteS1_BMultiSiteB1_2c9a16ff_ab4bd304">#REF!</definedName>
    <definedName name="_vena_DYNC_SMultiSiteS1_BMultiSiteB1_2c9a16ff_dbfd0727">#REF!</definedName>
    <definedName name="_vena_DYNC_SMultiSiteS1_BMultiSiteB1_323ef208" localSheetId="4">#REF!</definedName>
    <definedName name="_vena_DYNC_SMultiSiteS1_BMultiSiteB1_323ef208" localSheetId="5">#REF!</definedName>
    <definedName name="_vena_DYNC_SMultiSiteS1_BMultiSiteB1_323ef208" localSheetId="8">'[1]FY26 MYP-Multisite'!#REF!</definedName>
    <definedName name="_vena_DYNC_SMultiSiteS1_BMultiSiteB1_323ef208" localSheetId="3">#REF!</definedName>
    <definedName name="_vena_DYNC_SMultiSiteS1_BMultiSiteB1_323ef208">#REF!</definedName>
    <definedName name="_vena_DYNC_SMultiSiteS1_BMultiSiteB1_323ef208_1eadefa7" localSheetId="4">#REF!</definedName>
    <definedName name="_vena_DYNC_SMultiSiteS1_BMultiSiteB1_323ef208_1eadefa7" localSheetId="5">#REF!</definedName>
    <definedName name="_vena_DYNC_SMultiSiteS1_BMultiSiteB1_323ef208_1eadefa7" localSheetId="8">'[1]FY26 MYP-Multisite'!#REF!</definedName>
    <definedName name="_vena_DYNC_SMultiSiteS1_BMultiSiteB1_323ef208_1eadefa7" localSheetId="3">#REF!</definedName>
    <definedName name="_vena_DYNC_SMultiSiteS1_BMultiSiteB1_323ef208_1eadefa7">#REF!</definedName>
    <definedName name="_vena_DYNC_SMultiSiteS1_BMultiSiteB1_323ef208_379d814" localSheetId="4">#REF!</definedName>
    <definedName name="_vena_DYNC_SMultiSiteS1_BMultiSiteB1_323ef208_379d814" localSheetId="5">#REF!</definedName>
    <definedName name="_vena_DYNC_SMultiSiteS1_BMultiSiteB1_323ef208_379d814" localSheetId="8">'[1]FY26 MYP-Multisite'!#REF!</definedName>
    <definedName name="_vena_DYNC_SMultiSiteS1_BMultiSiteB1_323ef208_379d814" localSheetId="3">#REF!</definedName>
    <definedName name="_vena_DYNC_SMultiSiteS1_BMultiSiteB1_323ef208_379d814">#REF!</definedName>
    <definedName name="_vena_DYNC_SMultiSiteS1_BMultiSiteB1_323ef208_5bb5bd40" localSheetId="4">#REF!</definedName>
    <definedName name="_vena_DYNC_SMultiSiteS1_BMultiSiteB1_323ef208_5bb5bd40" localSheetId="5">#REF!</definedName>
    <definedName name="_vena_DYNC_SMultiSiteS1_BMultiSiteB1_323ef208_5bb5bd40" localSheetId="8">'[1]FY26 MYP-Multisite'!#REF!</definedName>
    <definedName name="_vena_DYNC_SMultiSiteS1_BMultiSiteB1_323ef208_5bb5bd40" localSheetId="3">#REF!</definedName>
    <definedName name="_vena_DYNC_SMultiSiteS1_BMultiSiteB1_323ef208_5bb5bd40">#REF!</definedName>
    <definedName name="_vena_DYNC_SMultiSiteS1_BMultiSiteB1_323ef208_73c0dc73" localSheetId="4">#REF!</definedName>
    <definedName name="_vena_DYNC_SMultiSiteS1_BMultiSiteB1_323ef208_73c0dc73" localSheetId="5">#REF!</definedName>
    <definedName name="_vena_DYNC_SMultiSiteS1_BMultiSiteB1_323ef208_73c0dc73" localSheetId="8">'[1]FY26 MYP-Multisite'!#REF!</definedName>
    <definedName name="_vena_DYNC_SMultiSiteS1_BMultiSiteB1_323ef208_73c0dc73" localSheetId="3">#REF!</definedName>
    <definedName name="_vena_DYNC_SMultiSiteS1_BMultiSiteB1_323ef208_73c0dc73">#REF!</definedName>
    <definedName name="_vena_DYNC_SMultiSiteS1_BMultiSiteB1_323ef208_7477c152" localSheetId="4">#REF!</definedName>
    <definedName name="_vena_DYNC_SMultiSiteS1_BMultiSiteB1_323ef208_7477c152" localSheetId="8">'[1]FY25 MYP-Multisite'!#REF!</definedName>
    <definedName name="_vena_DYNC_SMultiSiteS1_BMultiSiteB1_323ef208_7477c152">#REF!</definedName>
    <definedName name="_vena_DYNC_SMultiSiteS1_BMultiSiteB1_323ef208_7ce615d4" localSheetId="4">#REF!</definedName>
    <definedName name="_vena_DYNC_SMultiSiteS1_BMultiSiteB1_323ef208_7ce615d4" localSheetId="8">'[1]FY25 MYP-Multisite'!#REF!</definedName>
    <definedName name="_vena_DYNC_SMultiSiteS1_BMultiSiteB1_323ef208_7ce615d4">#REF!</definedName>
    <definedName name="_vena_DYNC_SMultiSiteS1_BMultiSiteB1_323ef208_8211ecf" localSheetId="4">#REF!</definedName>
    <definedName name="_vena_DYNC_SMultiSiteS1_BMultiSiteB1_323ef208_8211ecf" localSheetId="5">#REF!</definedName>
    <definedName name="_vena_DYNC_SMultiSiteS1_BMultiSiteB1_323ef208_8211ecf" localSheetId="8">'[1]FY26 MYP-Multisite'!#REF!</definedName>
    <definedName name="_vena_DYNC_SMultiSiteS1_BMultiSiteB1_323ef208_8211ecf" localSheetId="3">#REF!</definedName>
    <definedName name="_vena_DYNC_SMultiSiteS1_BMultiSiteB1_323ef208_8211ecf">#REF!</definedName>
    <definedName name="_vena_DYNC_SMultiSiteS1_BMultiSiteB1_323ef208_8671b3d3" localSheetId="4">#REF!</definedName>
    <definedName name="_vena_DYNC_SMultiSiteS1_BMultiSiteB1_323ef208_8671b3d3" localSheetId="8">'[1]FY25 MYP-Multisite'!#REF!</definedName>
    <definedName name="_vena_DYNC_SMultiSiteS1_BMultiSiteB1_323ef208_8671b3d3">#REF!</definedName>
    <definedName name="_vena_DYNC_SMultiSiteS1_BMultiSiteB1_323ef208_a38f35f2" localSheetId="4">#REF!</definedName>
    <definedName name="_vena_DYNC_SMultiSiteS1_BMultiSiteB1_323ef208_a38f35f2" localSheetId="8">'[1]FY25 MYP-Multisite'!#REF!</definedName>
    <definedName name="_vena_DYNC_SMultiSiteS1_BMultiSiteB1_323ef208_a38f35f2">#REF!</definedName>
    <definedName name="_vena_DYNC_SMultiSiteS1_BMultiSiteB1_323ef208_b719a17c" localSheetId="4">#REF!</definedName>
    <definedName name="_vena_DYNC_SMultiSiteS1_BMultiSiteB1_323ef208_b719a17c" localSheetId="8">'[1]FY25 MYP-Multisite'!#REF!</definedName>
    <definedName name="_vena_DYNC_SMultiSiteS1_BMultiSiteB1_323ef208_b719a17c">#REF!</definedName>
    <definedName name="_vena_DYNC_SMultiSiteS1_BMultiSiteB1_323ef208_c67ad2a" localSheetId="4">#REF!</definedName>
    <definedName name="_vena_DYNC_SMultiSiteS1_BMultiSiteB1_323ef208_c67ad2a" localSheetId="8">'[1]FY25 MYP-Multisite'!#REF!</definedName>
    <definedName name="_vena_DYNC_SMultiSiteS1_BMultiSiteB1_323ef208_c67ad2a">#REF!</definedName>
    <definedName name="_vena_DYNC_SMultiSiteS1_BMultiSiteB1_323ef208_e40b672a" localSheetId="4">#REF!</definedName>
    <definedName name="_vena_DYNC_SMultiSiteS1_BMultiSiteB1_323ef208_e40b672a" localSheetId="5">#REF!</definedName>
    <definedName name="_vena_DYNC_SMultiSiteS1_BMultiSiteB1_323ef208_e40b672a" localSheetId="8">'[1]FY26 MYP-Multisite'!#REF!</definedName>
    <definedName name="_vena_DYNC_SMultiSiteS1_BMultiSiteB1_323ef208_e40b672a" localSheetId="3">#REF!</definedName>
    <definedName name="_vena_DYNC_SMultiSiteS1_BMultiSiteB1_323ef208_e40b672a">#REF!</definedName>
    <definedName name="_vena_DYNC_SMultiSiteS1_BMultiSiteB1_323ef208_e5e45fbb" localSheetId="4">#REF!</definedName>
    <definedName name="_vena_DYNC_SMultiSiteS1_BMultiSiteB1_323ef208_e5e45fbb" localSheetId="5">#REF!</definedName>
    <definedName name="_vena_DYNC_SMultiSiteS1_BMultiSiteB1_323ef208_e5e45fbb" localSheetId="8">'[1]FY26 MYP-Multisite'!#REF!</definedName>
    <definedName name="_vena_DYNC_SMultiSiteS1_BMultiSiteB1_323ef208_e5e45fbb" localSheetId="3">#REF!</definedName>
    <definedName name="_vena_DYNC_SMultiSiteS1_BMultiSiteB1_323ef208_e5e45fbb">#REF!</definedName>
    <definedName name="_vena_DYNC_SMultiSiteS1_BMultiSiteB1_323ef208_f2e5aea7" localSheetId="4">#REF!</definedName>
    <definedName name="_vena_DYNC_SMultiSiteS1_BMultiSiteB1_323ef208_f2e5aea7" localSheetId="8">'[1]FY25 MYP-Multisite'!#REF!</definedName>
    <definedName name="_vena_DYNC_SMultiSiteS1_BMultiSiteB1_323ef208_f2e5aea7">#REF!</definedName>
    <definedName name="_vena_DYNC_SMultiSiteS1_BMultiSiteB1_355cbf47">#REF!</definedName>
    <definedName name="_vena_DYNC_SMultiSiteS1_BMultiSiteB1_355cbf47_c2089128">#REF!</definedName>
    <definedName name="_vena_DYNC_SMultiSiteS1_BMultiSiteB1_38242e1">#REF!</definedName>
    <definedName name="_vena_DYNC_SMultiSiteS1_BMultiSiteB1_38242e1_50b46c53">#REF!</definedName>
    <definedName name="_vena_DYNC_SMultiSiteS1_BMultiSiteB1_4fe7dca5" localSheetId="4">#REF!</definedName>
    <definedName name="_vena_DYNC_SMultiSiteS1_BMultiSiteB1_4fe7dca5" localSheetId="5">#REF!</definedName>
    <definedName name="_vena_DYNC_SMultiSiteS1_BMultiSiteB1_4fe7dca5" localSheetId="8">'[1]FY26 MYP-Multisite'!#REF!</definedName>
    <definedName name="_vena_DYNC_SMultiSiteS1_BMultiSiteB1_4fe7dca5" localSheetId="3">#REF!</definedName>
    <definedName name="_vena_DYNC_SMultiSiteS1_BMultiSiteB1_4fe7dca5">#REF!</definedName>
    <definedName name="_vena_DYNC_SMultiSiteS1_BMultiSiteB1_4fe7dca5_151b979d" localSheetId="4">#REF!</definedName>
    <definedName name="_vena_DYNC_SMultiSiteS1_BMultiSiteB1_4fe7dca5_151b979d" localSheetId="8">'[1]FY25 MYP-Multisite'!#REF!</definedName>
    <definedName name="_vena_DYNC_SMultiSiteS1_BMultiSiteB1_4fe7dca5_151b979d">#REF!</definedName>
    <definedName name="_vena_DYNC_SMultiSiteS1_BMultiSiteB1_4fe7dca5_38c1b6ef" localSheetId="4">#REF!</definedName>
    <definedName name="_vena_DYNC_SMultiSiteS1_BMultiSiteB1_4fe7dca5_38c1b6ef" localSheetId="5">#REF!</definedName>
    <definedName name="_vena_DYNC_SMultiSiteS1_BMultiSiteB1_4fe7dca5_38c1b6ef" localSheetId="8">'[1]FY26 MYP-Multisite'!#REF!</definedName>
    <definedName name="_vena_DYNC_SMultiSiteS1_BMultiSiteB1_4fe7dca5_38c1b6ef" localSheetId="3">#REF!</definedName>
    <definedName name="_vena_DYNC_SMultiSiteS1_BMultiSiteB1_4fe7dca5_38c1b6ef">#REF!</definedName>
    <definedName name="_vena_DYNC_SMultiSiteS1_BMultiSiteB1_4fe7dca5_3d0a174a" localSheetId="4">#REF!</definedName>
    <definedName name="_vena_DYNC_SMultiSiteS1_BMultiSiteB1_4fe7dca5_3d0a174a" localSheetId="8">'[1]FY25 MYP-Multisite'!#REF!</definedName>
    <definedName name="_vena_DYNC_SMultiSiteS1_BMultiSiteB1_4fe7dca5_3d0a174a">#REF!</definedName>
    <definedName name="_vena_DYNC_SMultiSiteS1_BMultiSiteB1_4fe7dca5_3d218713" localSheetId="4">#REF!</definedName>
    <definedName name="_vena_DYNC_SMultiSiteS1_BMultiSiteB1_4fe7dca5_3d218713" localSheetId="5">#REF!</definedName>
    <definedName name="_vena_DYNC_SMultiSiteS1_BMultiSiteB1_4fe7dca5_3d218713" localSheetId="8">'[1]FY26 MYP-Multisite'!#REF!</definedName>
    <definedName name="_vena_DYNC_SMultiSiteS1_BMultiSiteB1_4fe7dca5_3d218713" localSheetId="3">#REF!</definedName>
    <definedName name="_vena_DYNC_SMultiSiteS1_BMultiSiteB1_4fe7dca5_3d218713">#REF!</definedName>
    <definedName name="_vena_DYNC_SMultiSiteS1_BMultiSiteB1_4fe7dca5_4702ef35" localSheetId="4">#REF!</definedName>
    <definedName name="_vena_DYNC_SMultiSiteS1_BMultiSiteB1_4fe7dca5_4702ef35" localSheetId="8">'[1]FY25 MYP-Multisite'!#REF!</definedName>
    <definedName name="_vena_DYNC_SMultiSiteS1_BMultiSiteB1_4fe7dca5_4702ef35">#REF!</definedName>
    <definedName name="_vena_DYNC_SMultiSiteS1_BMultiSiteB1_4fe7dca5_5a04d663" localSheetId="4">#REF!</definedName>
    <definedName name="_vena_DYNC_SMultiSiteS1_BMultiSiteB1_4fe7dca5_5a04d663" localSheetId="5">#REF!</definedName>
    <definedName name="_vena_DYNC_SMultiSiteS1_BMultiSiteB1_4fe7dca5_5a04d663" localSheetId="8">'[1]FY26 MYP-Multisite'!#REF!</definedName>
    <definedName name="_vena_DYNC_SMultiSiteS1_BMultiSiteB1_4fe7dca5_5a04d663" localSheetId="3">#REF!</definedName>
    <definedName name="_vena_DYNC_SMultiSiteS1_BMultiSiteB1_4fe7dca5_5a04d663">#REF!</definedName>
    <definedName name="_vena_DYNC_SMultiSiteS1_BMultiSiteB1_4fe7dca5_8a9f1bbb" localSheetId="4">#REF!</definedName>
    <definedName name="_vena_DYNC_SMultiSiteS1_BMultiSiteB1_4fe7dca5_8a9f1bbb" localSheetId="5">#REF!</definedName>
    <definedName name="_vena_DYNC_SMultiSiteS1_BMultiSiteB1_4fe7dca5_8a9f1bbb" localSheetId="8">'[1]FY26 MYP-Multisite'!#REF!</definedName>
    <definedName name="_vena_DYNC_SMultiSiteS1_BMultiSiteB1_4fe7dca5_8a9f1bbb" localSheetId="3">#REF!</definedName>
    <definedName name="_vena_DYNC_SMultiSiteS1_BMultiSiteB1_4fe7dca5_8a9f1bbb">#REF!</definedName>
    <definedName name="_vena_DYNC_SMultiSiteS1_BMultiSiteB1_4fe7dca5_943d4420" localSheetId="4">#REF!</definedName>
    <definedName name="_vena_DYNC_SMultiSiteS1_BMultiSiteB1_4fe7dca5_943d4420" localSheetId="8">'[1]FY25 MYP-Multisite'!#REF!</definedName>
    <definedName name="_vena_DYNC_SMultiSiteS1_BMultiSiteB1_4fe7dca5_943d4420">#REF!</definedName>
    <definedName name="_vena_DYNC_SMultiSiteS1_BMultiSiteB1_4fe7dca5_a0d7c7b8" localSheetId="4">#REF!</definedName>
    <definedName name="_vena_DYNC_SMultiSiteS1_BMultiSiteB1_4fe7dca5_a0d7c7b8" localSheetId="5">#REF!</definedName>
    <definedName name="_vena_DYNC_SMultiSiteS1_BMultiSiteB1_4fe7dca5_a0d7c7b8" localSheetId="8">'[1]FY26 MYP-Multisite'!#REF!</definedName>
    <definedName name="_vena_DYNC_SMultiSiteS1_BMultiSiteB1_4fe7dca5_a0d7c7b8" localSheetId="3">#REF!</definedName>
    <definedName name="_vena_DYNC_SMultiSiteS1_BMultiSiteB1_4fe7dca5_a0d7c7b8">#REF!</definedName>
    <definedName name="_vena_DYNC_SMultiSiteS1_BMultiSiteB1_4fe7dca5_ab36a5fa" localSheetId="4">#REF!</definedName>
    <definedName name="_vena_DYNC_SMultiSiteS1_BMultiSiteB1_4fe7dca5_ab36a5fa" localSheetId="8">'[1]FY25 MYP-Multisite'!#REF!</definedName>
    <definedName name="_vena_DYNC_SMultiSiteS1_BMultiSiteB1_4fe7dca5_ab36a5fa">#REF!</definedName>
    <definedName name="_vena_DYNC_SMultiSiteS1_BMultiSiteB1_4fe7dca5_c379e38f" localSheetId="4">#REF!</definedName>
    <definedName name="_vena_DYNC_SMultiSiteS1_BMultiSiteB1_4fe7dca5_c379e38f" localSheetId="5">#REF!</definedName>
    <definedName name="_vena_DYNC_SMultiSiteS1_BMultiSiteB1_4fe7dca5_c379e38f" localSheetId="8">'[1]FY26 MYP-Multisite'!#REF!</definedName>
    <definedName name="_vena_DYNC_SMultiSiteS1_BMultiSiteB1_4fe7dca5_c379e38f" localSheetId="3">#REF!</definedName>
    <definedName name="_vena_DYNC_SMultiSiteS1_BMultiSiteB1_4fe7dca5_c379e38f">#REF!</definedName>
    <definedName name="_vena_DYNC_SMultiSiteS1_BMultiSiteB1_4fe7dca5_cdfaf83e" localSheetId="4">#REF!</definedName>
    <definedName name="_vena_DYNC_SMultiSiteS1_BMultiSiteB1_4fe7dca5_cdfaf83e" localSheetId="5">#REF!</definedName>
    <definedName name="_vena_DYNC_SMultiSiteS1_BMultiSiteB1_4fe7dca5_cdfaf83e" localSheetId="8">'[1]FY26 MYP-Multisite'!#REF!</definedName>
    <definedName name="_vena_DYNC_SMultiSiteS1_BMultiSiteB1_4fe7dca5_cdfaf83e" localSheetId="3">#REF!</definedName>
    <definedName name="_vena_DYNC_SMultiSiteS1_BMultiSiteB1_4fe7dca5_cdfaf83e">#REF!</definedName>
    <definedName name="_vena_DYNC_SMultiSiteS1_BMultiSiteB1_4fe7dca5_d33ee681" localSheetId="4">#REF!</definedName>
    <definedName name="_vena_DYNC_SMultiSiteS1_BMultiSiteB1_4fe7dca5_d33ee681" localSheetId="8">'[1]FY25 MYP-Multisite'!#REF!</definedName>
    <definedName name="_vena_DYNC_SMultiSiteS1_BMultiSiteB1_4fe7dca5_d33ee681">#REF!</definedName>
    <definedName name="_vena_DYNC_SMultiSiteS1_BMultiSiteB1_4fe7dca5_f9b5723b" localSheetId="4">#REF!</definedName>
    <definedName name="_vena_DYNC_SMultiSiteS1_BMultiSiteB1_4fe7dca5_f9b5723b" localSheetId="8">'[1]FY25 MYP-Multisite'!#REF!</definedName>
    <definedName name="_vena_DYNC_SMultiSiteS1_BMultiSiteB1_4fe7dca5_f9b5723b">#REF!</definedName>
    <definedName name="_vena_DYNC_SMultiSiteS1_BMultiSiteB1_543559ce">#REF!</definedName>
    <definedName name="_vena_DYNC_SMultiSiteS1_BMultiSiteB1_543559ce_461d25b1">#REF!</definedName>
    <definedName name="_vena_DYNC_SMultiSiteS1_BMultiSiteB1_5f0cc338">#REF!</definedName>
    <definedName name="_vena_DYNC_SMultiSiteS1_BMultiSiteB1_5f0cc338_d61de73d">#REF!</definedName>
    <definedName name="_vena_DYNC_SMultiSiteS1_BMultiSiteB1_6652f43e" localSheetId="4">#REF!</definedName>
    <definedName name="_vena_DYNC_SMultiSiteS1_BMultiSiteB1_6652f43e" localSheetId="5">#REF!</definedName>
    <definedName name="_vena_DYNC_SMultiSiteS1_BMultiSiteB1_6652f43e" localSheetId="8">'[1]FY26 MYP-Multisite'!#REF!</definedName>
    <definedName name="_vena_DYNC_SMultiSiteS1_BMultiSiteB1_6652f43e" localSheetId="3">#REF!</definedName>
    <definedName name="_vena_DYNC_SMultiSiteS1_BMultiSiteB1_6652f43e">#REF!</definedName>
    <definedName name="_vena_DYNC_SMultiSiteS1_BMultiSiteB1_6652f43e_2de6d285" localSheetId="4">#REF!</definedName>
    <definedName name="_vena_DYNC_SMultiSiteS1_BMultiSiteB1_6652f43e_2de6d285" localSheetId="8">'[1]FY25 MYP-Multisite'!#REF!</definedName>
    <definedName name="_vena_DYNC_SMultiSiteS1_BMultiSiteB1_6652f43e_2de6d285">#REF!</definedName>
    <definedName name="_vena_DYNC_SMultiSiteS1_BMultiSiteB1_6652f43e_35dbd786" localSheetId="4">#REF!</definedName>
    <definedName name="_vena_DYNC_SMultiSiteS1_BMultiSiteB1_6652f43e_35dbd786" localSheetId="8">'[1]FY25 MYP-Multisite'!#REF!</definedName>
    <definedName name="_vena_DYNC_SMultiSiteS1_BMultiSiteB1_6652f43e_35dbd786">#REF!</definedName>
    <definedName name="_vena_DYNC_SMultiSiteS1_BMultiSiteB1_6652f43e_4e70ae28" localSheetId="4">#REF!</definedName>
    <definedName name="_vena_DYNC_SMultiSiteS1_BMultiSiteB1_6652f43e_4e70ae28" localSheetId="5">#REF!</definedName>
    <definedName name="_vena_DYNC_SMultiSiteS1_BMultiSiteB1_6652f43e_4e70ae28" localSheetId="8">'[1]FY26 MYP-Multisite'!#REF!</definedName>
    <definedName name="_vena_DYNC_SMultiSiteS1_BMultiSiteB1_6652f43e_4e70ae28" localSheetId="3">#REF!</definedName>
    <definedName name="_vena_DYNC_SMultiSiteS1_BMultiSiteB1_6652f43e_4e70ae28">#REF!</definedName>
    <definedName name="_vena_DYNC_SMultiSiteS1_BMultiSiteB1_6652f43e_607af483" localSheetId="4">#REF!</definedName>
    <definedName name="_vena_DYNC_SMultiSiteS1_BMultiSiteB1_6652f43e_607af483" localSheetId="8">'[1]FY25 MYP-Multisite'!#REF!</definedName>
    <definedName name="_vena_DYNC_SMultiSiteS1_BMultiSiteB1_6652f43e_607af483">#REF!</definedName>
    <definedName name="_vena_DYNC_SMultiSiteS1_BMultiSiteB1_6652f43e_6722558a" localSheetId="4">#REF!</definedName>
    <definedName name="_vena_DYNC_SMultiSiteS1_BMultiSiteB1_6652f43e_6722558a" localSheetId="8">'[1]FY25 MYP-Multisite'!#REF!</definedName>
    <definedName name="_vena_DYNC_SMultiSiteS1_BMultiSiteB1_6652f43e_6722558a">#REF!</definedName>
    <definedName name="_vena_DYNC_SMultiSiteS1_BMultiSiteB1_6652f43e_682aedd1" localSheetId="4">#REF!</definedName>
    <definedName name="_vena_DYNC_SMultiSiteS1_BMultiSiteB1_6652f43e_682aedd1" localSheetId="8">'[1]FY25 MYP-Multisite'!#REF!</definedName>
    <definedName name="_vena_DYNC_SMultiSiteS1_BMultiSiteB1_6652f43e_682aedd1">#REF!</definedName>
    <definedName name="_vena_DYNC_SMultiSiteS1_BMultiSiteB1_6652f43e_8b82ae88" localSheetId="4">#REF!</definedName>
    <definedName name="_vena_DYNC_SMultiSiteS1_BMultiSiteB1_6652f43e_8b82ae88" localSheetId="5">#REF!</definedName>
    <definedName name="_vena_DYNC_SMultiSiteS1_BMultiSiteB1_6652f43e_8b82ae88" localSheetId="8">'[1]FY26 MYP-Multisite'!#REF!</definedName>
    <definedName name="_vena_DYNC_SMultiSiteS1_BMultiSiteB1_6652f43e_8b82ae88" localSheetId="3">#REF!</definedName>
    <definedName name="_vena_DYNC_SMultiSiteS1_BMultiSiteB1_6652f43e_8b82ae88">#REF!</definedName>
    <definedName name="_vena_DYNC_SMultiSiteS1_BMultiSiteB1_6652f43e_ca695f7b" localSheetId="4">#REF!</definedName>
    <definedName name="_vena_DYNC_SMultiSiteS1_BMultiSiteB1_6652f43e_ca695f7b" localSheetId="5">#REF!</definedName>
    <definedName name="_vena_DYNC_SMultiSiteS1_BMultiSiteB1_6652f43e_ca695f7b" localSheetId="8">'[1]FY26 MYP-Multisite'!#REF!</definedName>
    <definedName name="_vena_DYNC_SMultiSiteS1_BMultiSiteB1_6652f43e_ca695f7b" localSheetId="3">#REF!</definedName>
    <definedName name="_vena_DYNC_SMultiSiteS1_BMultiSiteB1_6652f43e_ca695f7b">#REF!</definedName>
    <definedName name="_vena_DYNC_SMultiSiteS1_BMultiSiteB1_6652f43e_ccc791df" localSheetId="4">#REF!</definedName>
    <definedName name="_vena_DYNC_SMultiSiteS1_BMultiSiteB1_6652f43e_ccc791df" localSheetId="5">#REF!</definedName>
    <definedName name="_vena_DYNC_SMultiSiteS1_BMultiSiteB1_6652f43e_ccc791df" localSheetId="8">'[1]FY26 MYP-Multisite'!#REF!</definedName>
    <definedName name="_vena_DYNC_SMultiSiteS1_BMultiSiteB1_6652f43e_ccc791df" localSheetId="3">#REF!</definedName>
    <definedName name="_vena_DYNC_SMultiSiteS1_BMultiSiteB1_6652f43e_ccc791df">#REF!</definedName>
    <definedName name="_vena_DYNC_SMultiSiteS1_BMultiSiteB1_6652f43e_ce9a20b2" localSheetId="4">#REF!</definedName>
    <definedName name="_vena_DYNC_SMultiSiteS1_BMultiSiteB1_6652f43e_ce9a20b2" localSheetId="8">'[1]FY25 MYP-Multisite'!#REF!</definedName>
    <definedName name="_vena_DYNC_SMultiSiteS1_BMultiSiteB1_6652f43e_ce9a20b2">#REF!</definedName>
    <definedName name="_vena_DYNC_SMultiSiteS1_BMultiSiteB1_6652f43e_db0d23e4" localSheetId="4">#REF!</definedName>
    <definedName name="_vena_DYNC_SMultiSiteS1_BMultiSiteB1_6652f43e_db0d23e4" localSheetId="8">'[1]FY25 MYP-Multisite'!#REF!</definedName>
    <definedName name="_vena_DYNC_SMultiSiteS1_BMultiSiteB1_6652f43e_db0d23e4">#REF!</definedName>
    <definedName name="_vena_DYNC_SMultiSiteS1_BMultiSiteB1_6652f43e_e91d0e8a" localSheetId="4">#REF!</definedName>
    <definedName name="_vena_DYNC_SMultiSiteS1_BMultiSiteB1_6652f43e_e91d0e8a" localSheetId="5">#REF!</definedName>
    <definedName name="_vena_DYNC_SMultiSiteS1_BMultiSiteB1_6652f43e_e91d0e8a" localSheetId="8">'[1]FY26 MYP-Multisite'!#REF!</definedName>
    <definedName name="_vena_DYNC_SMultiSiteS1_BMultiSiteB1_6652f43e_e91d0e8a" localSheetId="3">#REF!</definedName>
    <definedName name="_vena_DYNC_SMultiSiteS1_BMultiSiteB1_6652f43e_e91d0e8a">#REF!</definedName>
    <definedName name="_vena_DYNC_SMultiSiteS1_BMultiSiteB1_6652f43e_f969fd78" localSheetId="4">#REF!</definedName>
    <definedName name="_vena_DYNC_SMultiSiteS1_BMultiSiteB1_6652f43e_f969fd78" localSheetId="5">#REF!</definedName>
    <definedName name="_vena_DYNC_SMultiSiteS1_BMultiSiteB1_6652f43e_f969fd78" localSheetId="8">'[1]FY26 MYP-Multisite'!#REF!</definedName>
    <definedName name="_vena_DYNC_SMultiSiteS1_BMultiSiteB1_6652f43e_f969fd78" localSheetId="3">#REF!</definedName>
    <definedName name="_vena_DYNC_SMultiSiteS1_BMultiSiteB1_6652f43e_f969fd78">#REF!</definedName>
    <definedName name="_vena_DYNC_SMultiSiteS1_BMultiSiteB1_6652f43e_fa78a916" localSheetId="4">#REF!</definedName>
    <definedName name="_vena_DYNC_SMultiSiteS1_BMultiSiteB1_6652f43e_fa78a916" localSheetId="5">#REF!</definedName>
    <definedName name="_vena_DYNC_SMultiSiteS1_BMultiSiteB1_6652f43e_fa78a916" localSheetId="8">'[1]FY26 MYP-Multisite'!#REF!</definedName>
    <definedName name="_vena_DYNC_SMultiSiteS1_BMultiSiteB1_6652f43e_fa78a916" localSheetId="3">#REF!</definedName>
    <definedName name="_vena_DYNC_SMultiSiteS1_BMultiSiteB1_6652f43e_fa78a916">#REF!</definedName>
    <definedName name="_vena_DYNC_SMultiSiteS1_BMultiSiteB1_69d5d35b">#REF!</definedName>
    <definedName name="_vena_DYNC_SMultiSiteS1_BMultiSiteB1_69d5d35b_8529b1dd">#REF!</definedName>
    <definedName name="_vena_DYNC_SMultiSiteS1_BMultiSiteB1_69d5d35b_c4d840a2">#REF!</definedName>
    <definedName name="_vena_DYNC_SMultiSiteS1_BMultiSiteB1_6ed2531b" localSheetId="4">#REF!</definedName>
    <definedName name="_vena_DYNC_SMultiSiteS1_BMultiSiteB1_6ed2531b" localSheetId="5">#REF!</definedName>
    <definedName name="_vena_DYNC_SMultiSiteS1_BMultiSiteB1_6ed2531b" localSheetId="8">'[1]FY26 MYP-Multisite'!#REF!</definedName>
    <definedName name="_vena_DYNC_SMultiSiteS1_BMultiSiteB1_6ed2531b" localSheetId="3">#REF!</definedName>
    <definedName name="_vena_DYNC_SMultiSiteS1_BMultiSiteB1_6ed2531b">#REF!</definedName>
    <definedName name="_vena_DYNC_SMultiSiteS1_BMultiSiteB1_6ed2531b_12f0e654" localSheetId="4">#REF!</definedName>
    <definedName name="_vena_DYNC_SMultiSiteS1_BMultiSiteB1_6ed2531b_12f0e654" localSheetId="8">'[1]FY25 MYP-Multisite'!#REF!</definedName>
    <definedName name="_vena_DYNC_SMultiSiteS1_BMultiSiteB1_6ed2531b_12f0e654">#REF!</definedName>
    <definedName name="_vena_DYNC_SMultiSiteS1_BMultiSiteB1_6ed2531b_2702fa0" localSheetId="4">#REF!</definedName>
    <definedName name="_vena_DYNC_SMultiSiteS1_BMultiSiteB1_6ed2531b_2702fa0" localSheetId="8">'[1]FY25 MYP-Multisite'!#REF!</definedName>
    <definedName name="_vena_DYNC_SMultiSiteS1_BMultiSiteB1_6ed2531b_2702fa0">#REF!</definedName>
    <definedName name="_vena_DYNC_SMultiSiteS1_BMultiSiteB1_6ed2531b_2cd7cc07" localSheetId="4">#REF!</definedName>
    <definedName name="_vena_DYNC_SMultiSiteS1_BMultiSiteB1_6ed2531b_2cd7cc07" localSheetId="5">#REF!</definedName>
    <definedName name="_vena_DYNC_SMultiSiteS1_BMultiSiteB1_6ed2531b_2cd7cc07" localSheetId="8">'[1]FY26 MYP-Multisite'!#REF!</definedName>
    <definedName name="_vena_DYNC_SMultiSiteS1_BMultiSiteB1_6ed2531b_2cd7cc07" localSheetId="3">#REF!</definedName>
    <definedName name="_vena_DYNC_SMultiSiteS1_BMultiSiteB1_6ed2531b_2cd7cc07">#REF!</definedName>
    <definedName name="_vena_DYNC_SMultiSiteS1_BMultiSiteB1_6ed2531b_2e5878c0" localSheetId="4">#REF!</definedName>
    <definedName name="_vena_DYNC_SMultiSiteS1_BMultiSiteB1_6ed2531b_2e5878c0" localSheetId="5">#REF!</definedName>
    <definedName name="_vena_DYNC_SMultiSiteS1_BMultiSiteB1_6ed2531b_2e5878c0" localSheetId="8">'[1]FY26 MYP-Multisite'!#REF!</definedName>
    <definedName name="_vena_DYNC_SMultiSiteS1_BMultiSiteB1_6ed2531b_2e5878c0" localSheetId="3">#REF!</definedName>
    <definedName name="_vena_DYNC_SMultiSiteS1_BMultiSiteB1_6ed2531b_2e5878c0">#REF!</definedName>
    <definedName name="_vena_DYNC_SMultiSiteS1_BMultiSiteB1_6ed2531b_3fb75380" localSheetId="4">#REF!</definedName>
    <definedName name="_vena_DYNC_SMultiSiteS1_BMultiSiteB1_6ed2531b_3fb75380" localSheetId="5">#REF!</definedName>
    <definedName name="_vena_DYNC_SMultiSiteS1_BMultiSiteB1_6ed2531b_3fb75380" localSheetId="8">'[1]FY26 MYP-Multisite'!#REF!</definedName>
    <definedName name="_vena_DYNC_SMultiSiteS1_BMultiSiteB1_6ed2531b_3fb75380" localSheetId="3">#REF!</definedName>
    <definedName name="_vena_DYNC_SMultiSiteS1_BMultiSiteB1_6ed2531b_3fb75380">#REF!</definedName>
    <definedName name="_vena_DYNC_SMultiSiteS1_BMultiSiteB1_6ed2531b_4df8be4d" localSheetId="4">#REF!</definedName>
    <definedName name="_vena_DYNC_SMultiSiteS1_BMultiSiteB1_6ed2531b_4df8be4d" localSheetId="5">#REF!</definedName>
    <definedName name="_vena_DYNC_SMultiSiteS1_BMultiSiteB1_6ed2531b_4df8be4d" localSheetId="8">'[1]FY26 MYP-Multisite'!#REF!</definedName>
    <definedName name="_vena_DYNC_SMultiSiteS1_BMultiSiteB1_6ed2531b_4df8be4d" localSheetId="3">#REF!</definedName>
    <definedName name="_vena_DYNC_SMultiSiteS1_BMultiSiteB1_6ed2531b_4df8be4d">#REF!</definedName>
    <definedName name="_vena_DYNC_SMultiSiteS1_BMultiSiteB1_6ed2531b_66b0d4d3" localSheetId="4">#REF!</definedName>
    <definedName name="_vena_DYNC_SMultiSiteS1_BMultiSiteB1_6ed2531b_66b0d4d3" localSheetId="8">'[1]FY25 MYP-Multisite'!#REF!</definedName>
    <definedName name="_vena_DYNC_SMultiSiteS1_BMultiSiteB1_6ed2531b_66b0d4d3">#REF!</definedName>
    <definedName name="_vena_DYNC_SMultiSiteS1_BMultiSiteB1_6ed2531b_6fd8d4d9" localSheetId="4">#REF!</definedName>
    <definedName name="_vena_DYNC_SMultiSiteS1_BMultiSiteB1_6ed2531b_6fd8d4d9" localSheetId="5">#REF!</definedName>
    <definedName name="_vena_DYNC_SMultiSiteS1_BMultiSiteB1_6ed2531b_6fd8d4d9" localSheetId="8">'[1]FY26 MYP-Multisite'!#REF!</definedName>
    <definedName name="_vena_DYNC_SMultiSiteS1_BMultiSiteB1_6ed2531b_6fd8d4d9" localSheetId="3">#REF!</definedName>
    <definedName name="_vena_DYNC_SMultiSiteS1_BMultiSiteB1_6ed2531b_6fd8d4d9">#REF!</definedName>
    <definedName name="_vena_DYNC_SMultiSiteS1_BMultiSiteB1_6ed2531b_81cd4db8" localSheetId="4">#REF!</definedName>
    <definedName name="_vena_DYNC_SMultiSiteS1_BMultiSiteB1_6ed2531b_81cd4db8" localSheetId="5">#REF!</definedName>
    <definedName name="_vena_DYNC_SMultiSiteS1_BMultiSiteB1_6ed2531b_81cd4db8" localSheetId="8">'[1]FY26 MYP-Multisite'!#REF!</definedName>
    <definedName name="_vena_DYNC_SMultiSiteS1_BMultiSiteB1_6ed2531b_81cd4db8" localSheetId="3">#REF!</definedName>
    <definedName name="_vena_DYNC_SMultiSiteS1_BMultiSiteB1_6ed2531b_81cd4db8">#REF!</definedName>
    <definedName name="_vena_DYNC_SMultiSiteS1_BMultiSiteB1_6ed2531b_96516644" localSheetId="4">#REF!</definedName>
    <definedName name="_vena_DYNC_SMultiSiteS1_BMultiSiteB1_6ed2531b_96516644" localSheetId="8">'[1]FY25 MYP-Multisite'!#REF!</definedName>
    <definedName name="_vena_DYNC_SMultiSiteS1_BMultiSiteB1_6ed2531b_96516644">#REF!</definedName>
    <definedName name="_vena_DYNC_SMultiSiteS1_BMultiSiteB1_6ed2531b_a0b045ab" localSheetId="4">#REF!</definedName>
    <definedName name="_vena_DYNC_SMultiSiteS1_BMultiSiteB1_6ed2531b_a0b045ab" localSheetId="8">'[1]FY25 MYP-Multisite'!#REF!</definedName>
    <definedName name="_vena_DYNC_SMultiSiteS1_BMultiSiteB1_6ed2531b_a0b045ab">#REF!</definedName>
    <definedName name="_vena_DYNC_SMultiSiteS1_BMultiSiteB1_6ed2531b_a3dc630c" localSheetId="4">#REF!</definedName>
    <definedName name="_vena_DYNC_SMultiSiteS1_BMultiSiteB1_6ed2531b_a3dc630c" localSheetId="5">#REF!</definedName>
    <definedName name="_vena_DYNC_SMultiSiteS1_BMultiSiteB1_6ed2531b_a3dc630c" localSheetId="8">'[1]FY26 MYP-Multisite'!#REF!</definedName>
    <definedName name="_vena_DYNC_SMultiSiteS1_BMultiSiteB1_6ed2531b_a3dc630c" localSheetId="3">#REF!</definedName>
    <definedName name="_vena_DYNC_SMultiSiteS1_BMultiSiteB1_6ed2531b_a3dc630c">#REF!</definedName>
    <definedName name="_vena_DYNC_SMultiSiteS1_BMultiSiteB1_6ed2531b_adac107c" localSheetId="4">#REF!</definedName>
    <definedName name="_vena_DYNC_SMultiSiteS1_BMultiSiteB1_6ed2531b_adac107c" localSheetId="8">'[1]FY25 MYP-Multisite'!#REF!</definedName>
    <definedName name="_vena_DYNC_SMultiSiteS1_BMultiSiteB1_6ed2531b_adac107c">#REF!</definedName>
    <definedName name="_vena_DYNC_SMultiSiteS1_BMultiSiteB1_6ed2531b_ea54aeb6" localSheetId="4">#REF!</definedName>
    <definedName name="_vena_DYNC_SMultiSiteS1_BMultiSiteB1_6ed2531b_ea54aeb6" localSheetId="8">'[1]FY25 MYP-Multisite'!#REF!</definedName>
    <definedName name="_vena_DYNC_SMultiSiteS1_BMultiSiteB1_6ed2531b_ea54aeb6">#REF!</definedName>
    <definedName name="_vena_DYNC_SMultiSiteS1_BMultiSiteB1_787c5845">#REF!</definedName>
    <definedName name="_vena_DYNC_SMultiSiteS1_BMultiSiteB1_787c5845_e9eeda64">#REF!</definedName>
    <definedName name="_vena_DYNC_SMultiSiteS1_BMultiSiteB1_7a29505e" localSheetId="4">#REF!</definedName>
    <definedName name="_vena_DYNC_SMultiSiteS1_BMultiSiteB1_7a29505e" localSheetId="5">#REF!</definedName>
    <definedName name="_vena_DYNC_SMultiSiteS1_BMultiSiteB1_7a29505e" localSheetId="8">'[1]FY26 MYP-Multisite'!#REF!</definedName>
    <definedName name="_vena_DYNC_SMultiSiteS1_BMultiSiteB1_7a29505e" localSheetId="3">#REF!</definedName>
    <definedName name="_vena_DYNC_SMultiSiteS1_BMultiSiteB1_7a29505e">#REF!</definedName>
    <definedName name="_vena_DYNC_SMultiSiteS1_BMultiSiteB1_7a29505e_14fbdd92" localSheetId="4">#REF!</definedName>
    <definedName name="_vena_DYNC_SMultiSiteS1_BMultiSiteB1_7a29505e_14fbdd92" localSheetId="5">#REF!</definedName>
    <definedName name="_vena_DYNC_SMultiSiteS1_BMultiSiteB1_7a29505e_14fbdd92" localSheetId="8">'[1]FY26 MYP-Multisite'!#REF!</definedName>
    <definedName name="_vena_DYNC_SMultiSiteS1_BMultiSiteB1_7a29505e_14fbdd92" localSheetId="3">#REF!</definedName>
    <definedName name="_vena_DYNC_SMultiSiteS1_BMultiSiteB1_7a29505e_14fbdd92">#REF!</definedName>
    <definedName name="_vena_DYNC_SMultiSiteS1_BMultiSiteB1_7a29505e_160c6089" localSheetId="4">#REF!</definedName>
    <definedName name="_vena_DYNC_SMultiSiteS1_BMultiSiteB1_7a29505e_160c6089" localSheetId="5">#REF!</definedName>
    <definedName name="_vena_DYNC_SMultiSiteS1_BMultiSiteB1_7a29505e_160c6089" localSheetId="8">'[1]FY26 MYP-Multisite'!#REF!</definedName>
    <definedName name="_vena_DYNC_SMultiSiteS1_BMultiSiteB1_7a29505e_160c6089" localSheetId="3">#REF!</definedName>
    <definedName name="_vena_DYNC_SMultiSiteS1_BMultiSiteB1_7a29505e_160c6089">#REF!</definedName>
    <definedName name="_vena_DYNC_SMultiSiteS1_BMultiSiteB1_7a29505e_2b0911fa" localSheetId="4">#REF!</definedName>
    <definedName name="_vena_DYNC_SMultiSiteS1_BMultiSiteB1_7a29505e_2b0911fa" localSheetId="5">#REF!</definedName>
    <definedName name="_vena_DYNC_SMultiSiteS1_BMultiSiteB1_7a29505e_2b0911fa" localSheetId="8">'[1]FY26 MYP-Multisite'!#REF!</definedName>
    <definedName name="_vena_DYNC_SMultiSiteS1_BMultiSiteB1_7a29505e_2b0911fa" localSheetId="3">#REF!</definedName>
    <definedName name="_vena_DYNC_SMultiSiteS1_BMultiSiteB1_7a29505e_2b0911fa">#REF!</definedName>
    <definedName name="_vena_DYNC_SMultiSiteS1_BMultiSiteB1_7a29505e_3f770d3d" localSheetId="4">#REF!</definedName>
    <definedName name="_vena_DYNC_SMultiSiteS1_BMultiSiteB1_7a29505e_3f770d3d" localSheetId="5">#REF!</definedName>
    <definedName name="_vena_DYNC_SMultiSiteS1_BMultiSiteB1_7a29505e_3f770d3d" localSheetId="8">'[1]FY26 MYP-Multisite'!#REF!</definedName>
    <definedName name="_vena_DYNC_SMultiSiteS1_BMultiSiteB1_7a29505e_3f770d3d" localSheetId="3">#REF!</definedName>
    <definedName name="_vena_DYNC_SMultiSiteS1_BMultiSiteB1_7a29505e_3f770d3d">#REF!</definedName>
    <definedName name="_vena_DYNC_SMultiSiteS1_BMultiSiteB1_7a29505e_51a588ed" localSheetId="4">#REF!</definedName>
    <definedName name="_vena_DYNC_SMultiSiteS1_BMultiSiteB1_7a29505e_51a588ed" localSheetId="8">'[1]FY25 MYP-Multisite'!#REF!</definedName>
    <definedName name="_vena_DYNC_SMultiSiteS1_BMultiSiteB1_7a29505e_51a588ed">#REF!</definedName>
    <definedName name="_vena_DYNC_SMultiSiteS1_BMultiSiteB1_7a29505e_56ce53cb" localSheetId="4">#REF!</definedName>
    <definedName name="_vena_DYNC_SMultiSiteS1_BMultiSiteB1_7a29505e_56ce53cb" localSheetId="8">'[1]FY25 MYP-Multisite'!#REF!</definedName>
    <definedName name="_vena_DYNC_SMultiSiteS1_BMultiSiteB1_7a29505e_56ce53cb">#REF!</definedName>
    <definedName name="_vena_DYNC_SMultiSiteS1_BMultiSiteB1_7a29505e_63b785fc" localSheetId="4">#REF!</definedName>
    <definedName name="_vena_DYNC_SMultiSiteS1_BMultiSiteB1_7a29505e_63b785fc" localSheetId="5">#REF!</definedName>
    <definedName name="_vena_DYNC_SMultiSiteS1_BMultiSiteB1_7a29505e_63b785fc" localSheetId="8">'[1]FY26 MYP-Multisite'!#REF!</definedName>
    <definedName name="_vena_DYNC_SMultiSiteS1_BMultiSiteB1_7a29505e_63b785fc" localSheetId="3">#REF!</definedName>
    <definedName name="_vena_DYNC_SMultiSiteS1_BMultiSiteB1_7a29505e_63b785fc">#REF!</definedName>
    <definedName name="_vena_DYNC_SMultiSiteS1_BMultiSiteB1_7a29505e_6ba9389f" localSheetId="4">#REF!</definedName>
    <definedName name="_vena_DYNC_SMultiSiteS1_BMultiSiteB1_7a29505e_6ba9389f" localSheetId="8">'[1]FY25 MYP-Multisite'!#REF!</definedName>
    <definedName name="_vena_DYNC_SMultiSiteS1_BMultiSiteB1_7a29505e_6ba9389f">#REF!</definedName>
    <definedName name="_vena_DYNC_SMultiSiteS1_BMultiSiteB1_7a29505e_70afef95" localSheetId="4">#REF!</definedName>
    <definedName name="_vena_DYNC_SMultiSiteS1_BMultiSiteB1_7a29505e_70afef95" localSheetId="8">'[1]FY25 MYP-Multisite'!#REF!</definedName>
    <definedName name="_vena_DYNC_SMultiSiteS1_BMultiSiteB1_7a29505e_70afef95">#REF!</definedName>
    <definedName name="_vena_DYNC_SMultiSiteS1_BMultiSiteB1_7a29505e_afb5d07a" localSheetId="4">#REF!</definedName>
    <definedName name="_vena_DYNC_SMultiSiteS1_BMultiSiteB1_7a29505e_afb5d07a" localSheetId="8">'[1]FY25 MYP-Multisite'!#REF!</definedName>
    <definedName name="_vena_DYNC_SMultiSiteS1_BMultiSiteB1_7a29505e_afb5d07a">#REF!</definedName>
    <definedName name="_vena_DYNC_SMultiSiteS1_BMultiSiteB1_7a29505e_bfbee62b" localSheetId="4">#REF!</definedName>
    <definedName name="_vena_DYNC_SMultiSiteS1_BMultiSiteB1_7a29505e_bfbee62b" localSheetId="8">'[1]FY25 MYP-Multisite'!#REF!</definedName>
    <definedName name="_vena_DYNC_SMultiSiteS1_BMultiSiteB1_7a29505e_bfbee62b">#REF!</definedName>
    <definedName name="_vena_DYNC_SMultiSiteS1_BMultiSiteB1_7a29505e_f1ccf8c4" localSheetId="4">#REF!</definedName>
    <definedName name="_vena_DYNC_SMultiSiteS1_BMultiSiteB1_7a29505e_f1ccf8c4" localSheetId="8">'[1]FY25 MYP-Multisite'!#REF!</definedName>
    <definedName name="_vena_DYNC_SMultiSiteS1_BMultiSiteB1_7a29505e_f1ccf8c4">#REF!</definedName>
    <definedName name="_vena_DYNC_SMultiSiteS1_BMultiSiteB1_7a29505e_f8372059" localSheetId="4">#REF!</definedName>
    <definedName name="_vena_DYNC_SMultiSiteS1_BMultiSiteB1_7a29505e_f8372059" localSheetId="5">#REF!</definedName>
    <definedName name="_vena_DYNC_SMultiSiteS1_BMultiSiteB1_7a29505e_f8372059" localSheetId="8">'[1]FY26 MYP-Multisite'!#REF!</definedName>
    <definedName name="_vena_DYNC_SMultiSiteS1_BMultiSiteB1_7a29505e_f8372059" localSheetId="3">#REF!</definedName>
    <definedName name="_vena_DYNC_SMultiSiteS1_BMultiSiteB1_7a29505e_f8372059">#REF!</definedName>
    <definedName name="_vena_DYNC_SMultiSiteS1_BMultiSiteB1_7a29505e_ffb905f0" localSheetId="4">#REF!</definedName>
    <definedName name="_vena_DYNC_SMultiSiteS1_BMultiSiteB1_7a29505e_ffb905f0" localSheetId="5">#REF!</definedName>
    <definedName name="_vena_DYNC_SMultiSiteS1_BMultiSiteB1_7a29505e_ffb905f0" localSheetId="8">'[1]FY26 MYP-Multisite'!#REF!</definedName>
    <definedName name="_vena_DYNC_SMultiSiteS1_BMultiSiteB1_7a29505e_ffb905f0" localSheetId="3">#REF!</definedName>
    <definedName name="_vena_DYNC_SMultiSiteS1_BMultiSiteB1_7a29505e_ffb905f0">#REF!</definedName>
    <definedName name="_vena_DYNC_SMultiSiteS1_BMultiSiteB1_7bfe402e" localSheetId="4">#REF!</definedName>
    <definedName name="_vena_DYNC_SMultiSiteS1_BMultiSiteB1_7bfe402e" localSheetId="5">#REF!</definedName>
    <definedName name="_vena_DYNC_SMultiSiteS1_BMultiSiteB1_7bfe402e" localSheetId="8">'[1]FY26 MYP-Multisite'!#REF!</definedName>
    <definedName name="_vena_DYNC_SMultiSiteS1_BMultiSiteB1_7bfe402e" localSheetId="3">#REF!</definedName>
    <definedName name="_vena_DYNC_SMultiSiteS1_BMultiSiteB1_7bfe402e">#REF!</definedName>
    <definedName name="_vena_DYNC_SMultiSiteS1_BMultiSiteB1_7bfe402e_114dd27" localSheetId="4">#REF!</definedName>
    <definedName name="_vena_DYNC_SMultiSiteS1_BMultiSiteB1_7bfe402e_114dd27" localSheetId="8">'[1]FY25 MYP-Multisite'!#REF!</definedName>
    <definedName name="_vena_DYNC_SMultiSiteS1_BMultiSiteB1_7bfe402e_114dd27">#REF!</definedName>
    <definedName name="_vena_DYNC_SMultiSiteS1_BMultiSiteB1_7bfe402e_2435b7e5" localSheetId="4">#REF!</definedName>
    <definedName name="_vena_DYNC_SMultiSiteS1_BMultiSiteB1_7bfe402e_2435b7e5" localSheetId="5">#REF!</definedName>
    <definedName name="_vena_DYNC_SMultiSiteS1_BMultiSiteB1_7bfe402e_2435b7e5" localSheetId="8">'[1]FY26 MYP-Multisite'!#REF!</definedName>
    <definedName name="_vena_DYNC_SMultiSiteS1_BMultiSiteB1_7bfe402e_2435b7e5" localSheetId="3">#REF!</definedName>
    <definedName name="_vena_DYNC_SMultiSiteS1_BMultiSiteB1_7bfe402e_2435b7e5">#REF!</definedName>
    <definedName name="_vena_DYNC_SMultiSiteS1_BMultiSiteB1_7bfe402e_314e7a02" localSheetId="4">#REF!</definedName>
    <definedName name="_vena_DYNC_SMultiSiteS1_BMultiSiteB1_7bfe402e_314e7a02" localSheetId="8">'[1]FY25 MYP-Multisite'!#REF!</definedName>
    <definedName name="_vena_DYNC_SMultiSiteS1_BMultiSiteB1_7bfe402e_314e7a02">#REF!</definedName>
    <definedName name="_vena_DYNC_SMultiSiteS1_BMultiSiteB1_7bfe402e_50834e9e" localSheetId="4">#REF!</definedName>
    <definedName name="_vena_DYNC_SMultiSiteS1_BMultiSiteB1_7bfe402e_50834e9e" localSheetId="5">#REF!</definedName>
    <definedName name="_vena_DYNC_SMultiSiteS1_BMultiSiteB1_7bfe402e_50834e9e" localSheetId="8">'[1]FY26 MYP-Multisite'!#REF!</definedName>
    <definedName name="_vena_DYNC_SMultiSiteS1_BMultiSiteB1_7bfe402e_50834e9e" localSheetId="3">#REF!</definedName>
    <definedName name="_vena_DYNC_SMultiSiteS1_BMultiSiteB1_7bfe402e_50834e9e">#REF!</definedName>
    <definedName name="_vena_DYNC_SMultiSiteS1_BMultiSiteB1_7bfe402e_75e454b4" localSheetId="4">#REF!</definedName>
    <definedName name="_vena_DYNC_SMultiSiteS1_BMultiSiteB1_7bfe402e_75e454b4" localSheetId="8">'[1]FY25 MYP-Multisite'!#REF!</definedName>
    <definedName name="_vena_DYNC_SMultiSiteS1_BMultiSiteB1_7bfe402e_75e454b4">#REF!</definedName>
    <definedName name="_vena_DYNC_SMultiSiteS1_BMultiSiteB1_7bfe402e_9315ba34" localSheetId="4">#REF!</definedName>
    <definedName name="_vena_DYNC_SMultiSiteS1_BMultiSiteB1_7bfe402e_9315ba34" localSheetId="5">#REF!</definedName>
    <definedName name="_vena_DYNC_SMultiSiteS1_BMultiSiteB1_7bfe402e_9315ba34" localSheetId="8">'[1]FY26 MYP-Multisite'!#REF!</definedName>
    <definedName name="_vena_DYNC_SMultiSiteS1_BMultiSiteB1_7bfe402e_9315ba34" localSheetId="3">#REF!</definedName>
    <definedName name="_vena_DYNC_SMultiSiteS1_BMultiSiteB1_7bfe402e_9315ba34">#REF!</definedName>
    <definedName name="_vena_DYNC_SMultiSiteS1_BMultiSiteB1_7bfe402e_9c143044" localSheetId="4">#REF!</definedName>
    <definedName name="_vena_DYNC_SMultiSiteS1_BMultiSiteB1_7bfe402e_9c143044" localSheetId="5">#REF!</definedName>
    <definedName name="_vena_DYNC_SMultiSiteS1_BMultiSiteB1_7bfe402e_9c143044" localSheetId="8">'[1]FY26 MYP-Multisite'!#REF!</definedName>
    <definedName name="_vena_DYNC_SMultiSiteS1_BMultiSiteB1_7bfe402e_9c143044" localSheetId="3">#REF!</definedName>
    <definedName name="_vena_DYNC_SMultiSiteS1_BMultiSiteB1_7bfe402e_9c143044">#REF!</definedName>
    <definedName name="_vena_DYNC_SMultiSiteS1_BMultiSiteB1_7bfe402e_a70cebb3" localSheetId="4">#REF!</definedName>
    <definedName name="_vena_DYNC_SMultiSiteS1_BMultiSiteB1_7bfe402e_a70cebb3" localSheetId="5">#REF!</definedName>
    <definedName name="_vena_DYNC_SMultiSiteS1_BMultiSiteB1_7bfe402e_a70cebb3" localSheetId="8">'[1]FY26 MYP-Multisite'!#REF!</definedName>
    <definedName name="_vena_DYNC_SMultiSiteS1_BMultiSiteB1_7bfe402e_a70cebb3" localSheetId="3">#REF!</definedName>
    <definedName name="_vena_DYNC_SMultiSiteS1_BMultiSiteB1_7bfe402e_a70cebb3">#REF!</definedName>
    <definedName name="_vena_DYNC_SMultiSiteS1_BMultiSiteB1_7bfe402e_bffa9a36" localSheetId="4">#REF!</definedName>
    <definedName name="_vena_DYNC_SMultiSiteS1_BMultiSiteB1_7bfe402e_bffa9a36" localSheetId="5">#REF!</definedName>
    <definedName name="_vena_DYNC_SMultiSiteS1_BMultiSiteB1_7bfe402e_bffa9a36" localSheetId="8">'[1]FY26 MYP-Multisite'!#REF!</definedName>
    <definedName name="_vena_DYNC_SMultiSiteS1_BMultiSiteB1_7bfe402e_bffa9a36" localSheetId="3">#REF!</definedName>
    <definedName name="_vena_DYNC_SMultiSiteS1_BMultiSiteB1_7bfe402e_bffa9a36">#REF!</definedName>
    <definedName name="_vena_DYNC_SMultiSiteS1_BMultiSiteB1_7bfe402e_dc777b9c" localSheetId="4">#REF!</definedName>
    <definedName name="_vena_DYNC_SMultiSiteS1_BMultiSiteB1_7bfe402e_dc777b9c" localSheetId="8">'[1]FY25 MYP-Multisite'!#REF!</definedName>
    <definedName name="_vena_DYNC_SMultiSiteS1_BMultiSiteB1_7bfe402e_dc777b9c">#REF!</definedName>
    <definedName name="_vena_DYNC_SMultiSiteS1_BMultiSiteB1_7bfe402e_ec2aecce" localSheetId="4">#REF!</definedName>
    <definedName name="_vena_DYNC_SMultiSiteS1_BMultiSiteB1_7bfe402e_ec2aecce" localSheetId="8">'[1]FY25 MYP-Multisite'!#REF!</definedName>
    <definedName name="_vena_DYNC_SMultiSiteS1_BMultiSiteB1_7bfe402e_ec2aecce">#REF!</definedName>
    <definedName name="_vena_DYNC_SMultiSiteS1_BMultiSiteB1_7bfe402e_f5c3c60c" localSheetId="4">#REF!</definedName>
    <definedName name="_vena_DYNC_SMultiSiteS1_BMultiSiteB1_7bfe402e_f5c3c60c" localSheetId="8">'[1]FY25 MYP-Multisite'!#REF!</definedName>
    <definedName name="_vena_DYNC_SMultiSiteS1_BMultiSiteB1_7bfe402e_f5c3c60c">#REF!</definedName>
    <definedName name="_vena_DYNC_SMultiSiteS1_BMultiSiteB1_7bfe402e_f6daa479" localSheetId="4">#REF!</definedName>
    <definedName name="_vena_DYNC_SMultiSiteS1_BMultiSiteB1_7bfe402e_f6daa479" localSheetId="8">'[1]FY25 MYP-Multisite'!#REF!</definedName>
    <definedName name="_vena_DYNC_SMultiSiteS1_BMultiSiteB1_7bfe402e_f6daa479">#REF!</definedName>
    <definedName name="_vena_DYNC_SMultiSiteS1_BMultiSiteB1_7bfe402e_fbb0fd2e" localSheetId="4">#REF!</definedName>
    <definedName name="_vena_DYNC_SMultiSiteS1_BMultiSiteB1_7bfe402e_fbb0fd2e" localSheetId="5">#REF!</definedName>
    <definedName name="_vena_DYNC_SMultiSiteS1_BMultiSiteB1_7bfe402e_fbb0fd2e" localSheetId="8">'[1]FY26 MYP-Multisite'!#REF!</definedName>
    <definedName name="_vena_DYNC_SMultiSiteS1_BMultiSiteB1_7bfe402e_fbb0fd2e" localSheetId="3">#REF!</definedName>
    <definedName name="_vena_DYNC_SMultiSiteS1_BMultiSiteB1_7bfe402e_fbb0fd2e">#REF!</definedName>
    <definedName name="_vena_DYNC_SMultiSiteS1_BMultiSiteB1_7e61cf0f">#REF!</definedName>
    <definedName name="_vena_DYNC_SMultiSiteS1_BMultiSiteB1_7e61cf0f_7a6ee510">#REF!</definedName>
    <definedName name="_vena_DYNC_SMultiSiteS1_BMultiSiteB1_7ff2e3de">#REF!</definedName>
    <definedName name="_vena_DYNC_SMultiSiteS1_BMultiSiteB1_7ff2e3de_981f6823">#REF!</definedName>
    <definedName name="_vena_DYNC_SMultiSiteS1_BMultiSiteB1_8131720f">#REF!</definedName>
    <definedName name="_vena_DYNC_SMultiSiteS1_BMultiSiteB1_8131720f_5583488e">#REF!</definedName>
    <definedName name="_vena_DYNC_SMultiSiteS1_BMultiSiteB1_815e75d0">#REF!</definedName>
    <definedName name="_vena_DYNC_SMultiSiteS1_BMultiSiteB1_815e75d0_eee45b1d">#REF!</definedName>
    <definedName name="_vena_DYNC_SMultiSiteS1_BMultiSiteB1_852d38b1" localSheetId="4">#REF!</definedName>
    <definedName name="_vena_DYNC_SMultiSiteS1_BMultiSiteB1_852d38b1" localSheetId="5">#REF!</definedName>
    <definedName name="_vena_DYNC_SMultiSiteS1_BMultiSiteB1_852d38b1" localSheetId="8">'[1]FY26 MYP-Multisite'!#REF!</definedName>
    <definedName name="_vena_DYNC_SMultiSiteS1_BMultiSiteB1_852d38b1" localSheetId="3">#REF!</definedName>
    <definedName name="_vena_DYNC_SMultiSiteS1_BMultiSiteB1_852d38b1">#REF!</definedName>
    <definedName name="_vena_DYNC_SMultiSiteS1_BMultiSiteB1_852d38b1_1c340583" localSheetId="4">#REF!</definedName>
    <definedName name="_vena_DYNC_SMultiSiteS1_BMultiSiteB1_852d38b1_1c340583" localSheetId="5">#REF!</definedName>
    <definedName name="_vena_DYNC_SMultiSiteS1_BMultiSiteB1_852d38b1_1c340583" localSheetId="8">'[1]FY26 MYP-Multisite'!#REF!</definedName>
    <definedName name="_vena_DYNC_SMultiSiteS1_BMultiSiteB1_852d38b1_1c340583" localSheetId="3">#REF!</definedName>
    <definedName name="_vena_DYNC_SMultiSiteS1_BMultiSiteB1_852d38b1_1c340583">#REF!</definedName>
    <definedName name="_vena_DYNC_SMultiSiteS1_BMultiSiteB1_852d38b1_22f1d5ff" localSheetId="4">#REF!</definedName>
    <definedName name="_vena_DYNC_SMultiSiteS1_BMultiSiteB1_852d38b1_22f1d5ff" localSheetId="8">'[1]FY25 MYP-Multisite'!#REF!</definedName>
    <definedName name="_vena_DYNC_SMultiSiteS1_BMultiSiteB1_852d38b1_22f1d5ff">#REF!</definedName>
    <definedName name="_vena_DYNC_SMultiSiteS1_BMultiSiteB1_852d38b1_38288376" localSheetId="4">#REF!</definedName>
    <definedName name="_vena_DYNC_SMultiSiteS1_BMultiSiteB1_852d38b1_38288376" localSheetId="8">'[1]FY25 MYP-Multisite'!#REF!</definedName>
    <definedName name="_vena_DYNC_SMultiSiteS1_BMultiSiteB1_852d38b1_38288376">#REF!</definedName>
    <definedName name="_vena_DYNC_SMultiSiteS1_BMultiSiteB1_852d38b1_470c6e54" localSheetId="4">#REF!</definedName>
    <definedName name="_vena_DYNC_SMultiSiteS1_BMultiSiteB1_852d38b1_470c6e54" localSheetId="5">#REF!</definedName>
    <definedName name="_vena_DYNC_SMultiSiteS1_BMultiSiteB1_852d38b1_470c6e54" localSheetId="8">'[1]FY26 MYP-Multisite'!#REF!</definedName>
    <definedName name="_vena_DYNC_SMultiSiteS1_BMultiSiteB1_852d38b1_470c6e54" localSheetId="3">#REF!</definedName>
    <definedName name="_vena_DYNC_SMultiSiteS1_BMultiSiteB1_852d38b1_470c6e54">#REF!</definedName>
    <definedName name="_vena_DYNC_SMultiSiteS1_BMultiSiteB1_852d38b1_586b1e9d" localSheetId="4">#REF!</definedName>
    <definedName name="_vena_DYNC_SMultiSiteS1_BMultiSiteB1_852d38b1_586b1e9d" localSheetId="5">#REF!</definedName>
    <definedName name="_vena_DYNC_SMultiSiteS1_BMultiSiteB1_852d38b1_586b1e9d" localSheetId="8">'[1]FY26 MYP-Multisite'!#REF!</definedName>
    <definedName name="_vena_DYNC_SMultiSiteS1_BMultiSiteB1_852d38b1_586b1e9d" localSheetId="3">#REF!</definedName>
    <definedName name="_vena_DYNC_SMultiSiteS1_BMultiSiteB1_852d38b1_586b1e9d">#REF!</definedName>
    <definedName name="_vena_DYNC_SMultiSiteS1_BMultiSiteB1_852d38b1_6ca45e74" localSheetId="4">#REF!</definedName>
    <definedName name="_vena_DYNC_SMultiSiteS1_BMultiSiteB1_852d38b1_6ca45e74" localSheetId="8">'[1]FY25 MYP-Multisite'!#REF!</definedName>
    <definedName name="_vena_DYNC_SMultiSiteS1_BMultiSiteB1_852d38b1_6ca45e74">#REF!</definedName>
    <definedName name="_vena_DYNC_SMultiSiteS1_BMultiSiteB1_852d38b1_8751cde2" localSheetId="4">#REF!</definedName>
    <definedName name="_vena_DYNC_SMultiSiteS1_BMultiSiteB1_852d38b1_8751cde2" localSheetId="8">'[1]FY25 MYP-Multisite'!#REF!</definedName>
    <definedName name="_vena_DYNC_SMultiSiteS1_BMultiSiteB1_852d38b1_8751cde2">#REF!</definedName>
    <definedName name="_vena_DYNC_SMultiSiteS1_BMultiSiteB1_852d38b1_9936ee83" localSheetId="4">#REF!</definedName>
    <definedName name="_vena_DYNC_SMultiSiteS1_BMultiSiteB1_852d38b1_9936ee83" localSheetId="5">#REF!</definedName>
    <definedName name="_vena_DYNC_SMultiSiteS1_BMultiSiteB1_852d38b1_9936ee83" localSheetId="8">'[1]FY26 MYP-Multisite'!#REF!</definedName>
    <definedName name="_vena_DYNC_SMultiSiteS1_BMultiSiteB1_852d38b1_9936ee83" localSheetId="3">#REF!</definedName>
    <definedName name="_vena_DYNC_SMultiSiteS1_BMultiSiteB1_852d38b1_9936ee83">#REF!</definedName>
    <definedName name="_vena_DYNC_SMultiSiteS1_BMultiSiteB1_852d38b1_9eec4734" localSheetId="4">#REF!</definedName>
    <definedName name="_vena_DYNC_SMultiSiteS1_BMultiSiteB1_852d38b1_9eec4734" localSheetId="5">#REF!</definedName>
    <definedName name="_vena_DYNC_SMultiSiteS1_BMultiSiteB1_852d38b1_9eec4734" localSheetId="8">'[1]FY26 MYP-Multisite'!#REF!</definedName>
    <definedName name="_vena_DYNC_SMultiSiteS1_BMultiSiteB1_852d38b1_9eec4734" localSheetId="3">#REF!</definedName>
    <definedName name="_vena_DYNC_SMultiSiteS1_BMultiSiteB1_852d38b1_9eec4734">#REF!</definedName>
    <definedName name="_vena_DYNC_SMultiSiteS1_BMultiSiteB1_852d38b1_a26eab56" localSheetId="4">#REF!</definedName>
    <definedName name="_vena_DYNC_SMultiSiteS1_BMultiSiteB1_852d38b1_a26eab56" localSheetId="8">'[1]FY25 MYP-Multisite'!#REF!</definedName>
    <definedName name="_vena_DYNC_SMultiSiteS1_BMultiSiteB1_852d38b1_a26eab56">#REF!</definedName>
    <definedName name="_vena_DYNC_SMultiSiteS1_BMultiSiteB1_852d38b1_bba15f9b" localSheetId="4">#REF!</definedName>
    <definedName name="_vena_DYNC_SMultiSiteS1_BMultiSiteB1_852d38b1_bba15f9b" localSheetId="5">#REF!</definedName>
    <definedName name="_vena_DYNC_SMultiSiteS1_BMultiSiteB1_852d38b1_bba15f9b" localSheetId="8">'[1]FY26 MYP-Multisite'!#REF!</definedName>
    <definedName name="_vena_DYNC_SMultiSiteS1_BMultiSiteB1_852d38b1_bba15f9b" localSheetId="3">#REF!</definedName>
    <definedName name="_vena_DYNC_SMultiSiteS1_BMultiSiteB1_852d38b1_bba15f9b">#REF!</definedName>
    <definedName name="_vena_DYNC_SMultiSiteS1_BMultiSiteB1_852d38b1_ce2a87ec" localSheetId="4">#REF!</definedName>
    <definedName name="_vena_DYNC_SMultiSiteS1_BMultiSiteB1_852d38b1_ce2a87ec" localSheetId="5">#REF!</definedName>
    <definedName name="_vena_DYNC_SMultiSiteS1_BMultiSiteB1_852d38b1_ce2a87ec" localSheetId="8">'[1]FY26 MYP-Multisite'!#REF!</definedName>
    <definedName name="_vena_DYNC_SMultiSiteS1_BMultiSiteB1_852d38b1_ce2a87ec" localSheetId="3">#REF!</definedName>
    <definedName name="_vena_DYNC_SMultiSiteS1_BMultiSiteB1_852d38b1_ce2a87ec">#REF!</definedName>
    <definedName name="_vena_DYNC_SMultiSiteS1_BMultiSiteB1_852d38b1_dca383f0" localSheetId="4">#REF!</definedName>
    <definedName name="_vena_DYNC_SMultiSiteS1_BMultiSiteB1_852d38b1_dca383f0" localSheetId="8">'[1]FY25 MYP-Multisite'!#REF!</definedName>
    <definedName name="_vena_DYNC_SMultiSiteS1_BMultiSiteB1_852d38b1_dca383f0">#REF!</definedName>
    <definedName name="_vena_DYNC_SMultiSiteS1_BMultiSiteB1_852d38b1_e87112da" localSheetId="4">#REF!</definedName>
    <definedName name="_vena_DYNC_SMultiSiteS1_BMultiSiteB1_852d38b1_e87112da" localSheetId="8">'[1]FY25 MYP-Multisite'!#REF!</definedName>
    <definedName name="_vena_DYNC_SMultiSiteS1_BMultiSiteB1_852d38b1_e87112da">#REF!</definedName>
    <definedName name="_vena_DYNC_SMultiSiteS1_BMultiSiteB1_9001d75e" localSheetId="4">#REF!</definedName>
    <definedName name="_vena_DYNC_SMultiSiteS1_BMultiSiteB1_9001d75e" localSheetId="5">#REF!</definedName>
    <definedName name="_vena_DYNC_SMultiSiteS1_BMultiSiteB1_9001d75e" localSheetId="8">'[1]FY26 MYP-Multisite'!#REF!</definedName>
    <definedName name="_vena_DYNC_SMultiSiteS1_BMultiSiteB1_9001d75e" localSheetId="3">#REF!</definedName>
    <definedName name="_vena_DYNC_SMultiSiteS1_BMultiSiteB1_9001d75e">#REF!</definedName>
    <definedName name="_vena_DYNC_SMultiSiteS1_BMultiSiteB1_9001d75e_12aff9a3" localSheetId="4">#REF!</definedName>
    <definedName name="_vena_DYNC_SMultiSiteS1_BMultiSiteB1_9001d75e_12aff9a3" localSheetId="8">'[1]FY25 MYP-Multisite'!#REF!</definedName>
    <definedName name="_vena_DYNC_SMultiSiteS1_BMultiSiteB1_9001d75e_12aff9a3">#REF!</definedName>
    <definedName name="_vena_DYNC_SMultiSiteS1_BMultiSiteB1_9001d75e_13942a1a" localSheetId="4">#REF!</definedName>
    <definedName name="_vena_DYNC_SMultiSiteS1_BMultiSiteB1_9001d75e_13942a1a" localSheetId="8">'[1]FY25 MYP-Multisite'!#REF!</definedName>
    <definedName name="_vena_DYNC_SMultiSiteS1_BMultiSiteB1_9001d75e_13942a1a">#REF!</definedName>
    <definedName name="_vena_DYNC_SMultiSiteS1_BMultiSiteB1_9001d75e_20da6265" localSheetId="4">#REF!</definedName>
    <definedName name="_vena_DYNC_SMultiSiteS1_BMultiSiteB1_9001d75e_20da6265" localSheetId="8">'[1]FY25 MYP-Multisite'!#REF!</definedName>
    <definedName name="_vena_DYNC_SMultiSiteS1_BMultiSiteB1_9001d75e_20da6265">#REF!</definedName>
    <definedName name="_vena_DYNC_SMultiSiteS1_BMultiSiteB1_9001d75e_232f39d6" localSheetId="4">#REF!</definedName>
    <definedName name="_vena_DYNC_SMultiSiteS1_BMultiSiteB1_9001d75e_232f39d6" localSheetId="8">'[1]FY25 MYP-Multisite'!#REF!</definedName>
    <definedName name="_vena_DYNC_SMultiSiteS1_BMultiSiteB1_9001d75e_232f39d6">#REF!</definedName>
    <definedName name="_vena_DYNC_SMultiSiteS1_BMultiSiteB1_9001d75e_23936ce" localSheetId="4">#REF!</definedName>
    <definedName name="_vena_DYNC_SMultiSiteS1_BMultiSiteB1_9001d75e_23936ce" localSheetId="8">'[1]FY25 MYP-Multisite'!#REF!</definedName>
    <definedName name="_vena_DYNC_SMultiSiteS1_BMultiSiteB1_9001d75e_23936ce">#REF!</definedName>
    <definedName name="_vena_DYNC_SMultiSiteS1_BMultiSiteB1_9001d75e_337e4046" localSheetId="4">#REF!</definedName>
    <definedName name="_vena_DYNC_SMultiSiteS1_BMultiSiteB1_9001d75e_337e4046" localSheetId="5">#REF!</definedName>
    <definedName name="_vena_DYNC_SMultiSiteS1_BMultiSiteB1_9001d75e_337e4046" localSheetId="8">'[1]FY26 MYP-Multisite'!#REF!</definedName>
    <definedName name="_vena_DYNC_SMultiSiteS1_BMultiSiteB1_9001d75e_337e4046" localSheetId="3">#REF!</definedName>
    <definedName name="_vena_DYNC_SMultiSiteS1_BMultiSiteB1_9001d75e_337e4046">#REF!</definedName>
    <definedName name="_vena_DYNC_SMultiSiteS1_BMultiSiteB1_9001d75e_680ac020" localSheetId="4">#REF!</definedName>
    <definedName name="_vena_DYNC_SMultiSiteS1_BMultiSiteB1_9001d75e_680ac020" localSheetId="5">#REF!</definedName>
    <definedName name="_vena_DYNC_SMultiSiteS1_BMultiSiteB1_9001d75e_680ac020" localSheetId="8">'[1]FY26 MYP-Multisite'!#REF!</definedName>
    <definedName name="_vena_DYNC_SMultiSiteS1_BMultiSiteB1_9001d75e_680ac020" localSheetId="3">#REF!</definedName>
    <definedName name="_vena_DYNC_SMultiSiteS1_BMultiSiteB1_9001d75e_680ac020">#REF!</definedName>
    <definedName name="_vena_DYNC_SMultiSiteS1_BMultiSiteB1_9001d75e_884621b5" localSheetId="4">#REF!</definedName>
    <definedName name="_vena_DYNC_SMultiSiteS1_BMultiSiteB1_9001d75e_884621b5" localSheetId="5">#REF!</definedName>
    <definedName name="_vena_DYNC_SMultiSiteS1_BMultiSiteB1_9001d75e_884621b5" localSheetId="8">'[1]FY26 MYP-Multisite'!#REF!</definedName>
    <definedName name="_vena_DYNC_SMultiSiteS1_BMultiSiteB1_9001d75e_884621b5" localSheetId="3">#REF!</definedName>
    <definedName name="_vena_DYNC_SMultiSiteS1_BMultiSiteB1_9001d75e_884621b5">#REF!</definedName>
    <definedName name="_vena_DYNC_SMultiSiteS1_BMultiSiteB1_9001d75e_94995d0f" localSheetId="4">#REF!</definedName>
    <definedName name="_vena_DYNC_SMultiSiteS1_BMultiSiteB1_9001d75e_94995d0f" localSheetId="5">#REF!</definedName>
    <definedName name="_vena_DYNC_SMultiSiteS1_BMultiSiteB1_9001d75e_94995d0f" localSheetId="8">'[1]FY26 MYP-Multisite'!#REF!</definedName>
    <definedName name="_vena_DYNC_SMultiSiteS1_BMultiSiteB1_9001d75e_94995d0f" localSheetId="3">#REF!</definedName>
    <definedName name="_vena_DYNC_SMultiSiteS1_BMultiSiteB1_9001d75e_94995d0f">#REF!</definedName>
    <definedName name="_vena_DYNC_SMultiSiteS1_BMultiSiteB1_9001d75e_9f845e0e" localSheetId="4">#REF!</definedName>
    <definedName name="_vena_DYNC_SMultiSiteS1_BMultiSiteB1_9001d75e_9f845e0e" localSheetId="5">#REF!</definedName>
    <definedName name="_vena_DYNC_SMultiSiteS1_BMultiSiteB1_9001d75e_9f845e0e" localSheetId="8">'[1]FY26 MYP-Multisite'!#REF!</definedName>
    <definedName name="_vena_DYNC_SMultiSiteS1_BMultiSiteB1_9001d75e_9f845e0e" localSheetId="3">#REF!</definedName>
    <definedName name="_vena_DYNC_SMultiSiteS1_BMultiSiteB1_9001d75e_9f845e0e">#REF!</definedName>
    <definedName name="_vena_DYNC_SMultiSiteS1_BMultiSiteB1_9001d75e_a31b0d34" localSheetId="4">#REF!</definedName>
    <definedName name="_vena_DYNC_SMultiSiteS1_BMultiSiteB1_9001d75e_a31b0d34" localSheetId="8">'[1]FY25 MYP-Multisite'!#REF!</definedName>
    <definedName name="_vena_DYNC_SMultiSiteS1_BMultiSiteB1_9001d75e_a31b0d34">#REF!</definedName>
    <definedName name="_vena_DYNC_SMultiSiteS1_BMultiSiteB1_9001d75e_a3552a31" localSheetId="4">#REF!</definedName>
    <definedName name="_vena_DYNC_SMultiSiteS1_BMultiSiteB1_9001d75e_a3552a31" localSheetId="5">#REF!</definedName>
    <definedName name="_vena_DYNC_SMultiSiteS1_BMultiSiteB1_9001d75e_a3552a31" localSheetId="8">'[1]FY26 MYP-Multisite'!#REF!</definedName>
    <definedName name="_vena_DYNC_SMultiSiteS1_BMultiSiteB1_9001d75e_a3552a31" localSheetId="3">#REF!</definedName>
    <definedName name="_vena_DYNC_SMultiSiteS1_BMultiSiteB1_9001d75e_a3552a31">#REF!</definedName>
    <definedName name="_vena_DYNC_SMultiSiteS1_BMultiSiteB1_9001d75e_b687b4f1" localSheetId="4">#REF!</definedName>
    <definedName name="_vena_DYNC_SMultiSiteS1_BMultiSiteB1_9001d75e_b687b4f1" localSheetId="8">'[1]FY25 MYP-Multisite'!#REF!</definedName>
    <definedName name="_vena_DYNC_SMultiSiteS1_BMultiSiteB1_9001d75e_b687b4f1">#REF!</definedName>
    <definedName name="_vena_DYNC_SMultiSiteS1_BMultiSiteB1_9001d75e_d37a6c03" localSheetId="4">#REF!</definedName>
    <definedName name="_vena_DYNC_SMultiSiteS1_BMultiSiteB1_9001d75e_d37a6c03" localSheetId="5">#REF!</definedName>
    <definedName name="_vena_DYNC_SMultiSiteS1_BMultiSiteB1_9001d75e_d37a6c03" localSheetId="8">'[1]FY26 MYP-Multisite'!#REF!</definedName>
    <definedName name="_vena_DYNC_SMultiSiteS1_BMultiSiteB1_9001d75e_d37a6c03" localSheetId="3">#REF!</definedName>
    <definedName name="_vena_DYNC_SMultiSiteS1_BMultiSiteB1_9001d75e_d37a6c03">#REF!</definedName>
    <definedName name="_vena_DYNC_SMultiSiteS1_BMultiSiteB1_9d57eda9">#REF!</definedName>
    <definedName name="_vena_DYNC_SMultiSiteS1_BMultiSiteB1_9d57eda9_7010f50a">#REF!</definedName>
    <definedName name="_vena_DYNC_SMultiSiteS1_BMultiSiteB1_9d57eda9_9bba2ca0">#REF!</definedName>
    <definedName name="_vena_DYNC_SMultiSiteS1_BMultiSiteB1_a61a9a23">#REF!</definedName>
    <definedName name="_vena_DYNC_SMultiSiteS1_BMultiSiteB1_a61a9a23_51f74cac">#REF!</definedName>
    <definedName name="_vena_DYNC_SMultiSiteS1_BMultiSiteB1_a61a9a23_84f443c3">#REF!</definedName>
    <definedName name="_vena_DYNC_SMultiSiteS1_BMultiSiteB1_b9730b30">#REF!</definedName>
    <definedName name="_vena_DYNC_SMultiSiteS1_BMultiSiteB1_b9730b30_63a57f46">#REF!</definedName>
    <definedName name="_vena_DYNC_SMultiSiteS1_BMultiSiteB1_b9730b30_a8344d75">#REF!</definedName>
    <definedName name="_vena_DYNC_SMultiSiteS1_BMultiSiteB1_b989014">#REF!</definedName>
    <definedName name="_vena_DYNC_SMultiSiteS1_BMultiSiteB1_b989014_da7bddac">#REF!</definedName>
    <definedName name="_vena_DYNC_SMultiSiteS1_BMultiSiteB1_bb7b4a3b">#REF!</definedName>
    <definedName name="_vena_DYNC_SMultiSiteS1_BMultiSiteB1_bb7b4a3b_251b7651">#REF!</definedName>
    <definedName name="_vena_DYNC_SMultiSiteS1_BMultiSiteB1_bb7b4a3b_9fd7883c">#REF!</definedName>
    <definedName name="_vena_DYNC_SMultiSiteS1_BMultiSiteB1_c1733f">#REF!</definedName>
    <definedName name="_vena_DYNC_SMultiSiteS1_BMultiSiteB1_c1733f_acad2e4">#REF!</definedName>
    <definedName name="_vena_DYNC_SMultiSiteS1_BMultiSiteB1_ccfdb71c">#REF!</definedName>
    <definedName name="_vena_DYNC_SMultiSiteS1_BMultiSiteB1_ccfdb71c_fdae2d61">#REF!</definedName>
    <definedName name="_vena_DYNC_SMultiSiteS1_BMultiSiteB1_e501996">#REF!</definedName>
    <definedName name="_vena_DYNC_SMultiSiteS1_BMultiSiteB1_e501996_3b26aef8">#REF!</definedName>
    <definedName name="_vena_DYNC_SMultiSiteS1_BMultiSiteB1_e6934d95">#REF!</definedName>
    <definedName name="_vena_DYNC_SMultiSiteS1_BMultiSiteB1_e6934d95_45fb5828">#REF!</definedName>
    <definedName name="_vena_DYNC_SMultiSiteS1_BMultiSiteB1_e81ff100">#REF!</definedName>
    <definedName name="_vena_DYNC_SMultiSiteS1_BMultiSiteB1_e81ff100_5b707779">#REF!</definedName>
    <definedName name="_vena_DYNC_SMultiSiteS1_BMultiSiteB1_e864b49a">#REF!</definedName>
    <definedName name="_vena_DYNC_SMultiSiteS1_BMultiSiteB1_e864b49a_3bd465e7">#REF!</definedName>
    <definedName name="_vena_DYNC_SMultiSiteS1_BMultiSiteB1_e864b49a_fa7c94ed">#REF!</definedName>
    <definedName name="_vena_DYNC_SMultiSiteS1_BMultiSiteB1_e90eabe">#REF!</definedName>
    <definedName name="_vena_DYNC_SMultiSiteS1_BMultiSiteB1_e90eabe_34aa9b29">#REF!</definedName>
    <definedName name="_vena_DYNC_SMultiSiteS1_BMultiSiteB1_f2f69bcc" localSheetId="4">#REF!</definedName>
    <definedName name="_vena_DYNC_SMultiSiteS1_BMultiSiteB1_f2f69bcc" localSheetId="5">#REF!</definedName>
    <definedName name="_vena_DYNC_SMultiSiteS1_BMultiSiteB1_f2f69bcc" localSheetId="8">'[1]FY26 MYP-Multisite'!#REF!</definedName>
    <definedName name="_vena_DYNC_SMultiSiteS1_BMultiSiteB1_f2f69bcc" localSheetId="3">#REF!</definedName>
    <definedName name="_vena_DYNC_SMultiSiteS1_BMultiSiteB1_f2f69bcc">#REF!</definedName>
    <definedName name="_vena_DYNC_SMultiSiteS1_BMultiSiteB1_f2f69bcc_5ce5b054" localSheetId="4">#REF!</definedName>
    <definedName name="_vena_DYNC_SMultiSiteS1_BMultiSiteB1_f2f69bcc_5ce5b054" localSheetId="5">#REF!</definedName>
    <definedName name="_vena_DYNC_SMultiSiteS1_BMultiSiteB1_f2f69bcc_5ce5b054" localSheetId="8">'[1]FY26 MYP-Multisite'!#REF!</definedName>
    <definedName name="_vena_DYNC_SMultiSiteS1_BMultiSiteB1_f2f69bcc_5ce5b054" localSheetId="3">#REF!</definedName>
    <definedName name="_vena_DYNC_SMultiSiteS1_BMultiSiteB1_f2f69bcc_5ce5b054">#REF!</definedName>
    <definedName name="_vena_DYNC_SMultiSiteS1_BMultiSiteB1_f2f69bcc_62b4988c" localSheetId="4">#REF!</definedName>
    <definedName name="_vena_DYNC_SMultiSiteS1_BMultiSiteB1_f2f69bcc_62b4988c" localSheetId="8">'[1]FY25 MYP-Multisite'!#REF!</definedName>
    <definedName name="_vena_DYNC_SMultiSiteS1_BMultiSiteB1_f2f69bcc_62b4988c">#REF!</definedName>
    <definedName name="_vena_DYNC_SMultiSiteS1_BMultiSiteB1_f2f69bcc_6f1f5801" localSheetId="4">#REF!</definedName>
    <definedName name="_vena_DYNC_SMultiSiteS1_BMultiSiteB1_f2f69bcc_6f1f5801" localSheetId="5">#REF!</definedName>
    <definedName name="_vena_DYNC_SMultiSiteS1_BMultiSiteB1_f2f69bcc_6f1f5801" localSheetId="8">'[1]FY26 MYP-Multisite'!#REF!</definedName>
    <definedName name="_vena_DYNC_SMultiSiteS1_BMultiSiteB1_f2f69bcc_6f1f5801" localSheetId="3">#REF!</definedName>
    <definedName name="_vena_DYNC_SMultiSiteS1_BMultiSiteB1_f2f69bcc_6f1f5801">#REF!</definedName>
    <definedName name="_vena_DYNC_SMultiSiteS1_BMultiSiteB1_f2f69bcc_71cade44" localSheetId="4">#REF!</definedName>
    <definedName name="_vena_DYNC_SMultiSiteS1_BMultiSiteB1_f2f69bcc_71cade44" localSheetId="5">#REF!</definedName>
    <definedName name="_vena_DYNC_SMultiSiteS1_BMultiSiteB1_f2f69bcc_71cade44" localSheetId="8">'[1]FY26 MYP-Multisite'!#REF!</definedName>
    <definedName name="_vena_DYNC_SMultiSiteS1_BMultiSiteB1_f2f69bcc_71cade44" localSheetId="3">#REF!</definedName>
    <definedName name="_vena_DYNC_SMultiSiteS1_BMultiSiteB1_f2f69bcc_71cade44">#REF!</definedName>
    <definedName name="_vena_DYNC_SMultiSiteS1_BMultiSiteB1_f2f69bcc_9915c837" localSheetId="4">#REF!</definedName>
    <definedName name="_vena_DYNC_SMultiSiteS1_BMultiSiteB1_f2f69bcc_9915c837" localSheetId="5">#REF!</definedName>
    <definedName name="_vena_DYNC_SMultiSiteS1_BMultiSiteB1_f2f69bcc_9915c837" localSheetId="8">'[1]FY26 MYP-Multisite'!#REF!</definedName>
    <definedName name="_vena_DYNC_SMultiSiteS1_BMultiSiteB1_f2f69bcc_9915c837" localSheetId="3">#REF!</definedName>
    <definedName name="_vena_DYNC_SMultiSiteS1_BMultiSiteB1_f2f69bcc_9915c837">#REF!</definedName>
    <definedName name="_vena_DYNC_SMultiSiteS1_BMultiSiteB1_f2f69bcc_995bc3ba" localSheetId="4">#REF!</definedName>
    <definedName name="_vena_DYNC_SMultiSiteS1_BMultiSiteB1_f2f69bcc_995bc3ba" localSheetId="5">#REF!</definedName>
    <definedName name="_vena_DYNC_SMultiSiteS1_BMultiSiteB1_f2f69bcc_995bc3ba" localSheetId="8">'[1]FY26 MYP-Multisite'!#REF!</definedName>
    <definedName name="_vena_DYNC_SMultiSiteS1_BMultiSiteB1_f2f69bcc_995bc3ba" localSheetId="3">#REF!</definedName>
    <definedName name="_vena_DYNC_SMultiSiteS1_BMultiSiteB1_f2f69bcc_995bc3ba">#REF!</definedName>
    <definedName name="_vena_DYNC_SMultiSiteS1_BMultiSiteB1_f2f69bcc_9cd1a62e" localSheetId="4">#REF!</definedName>
    <definedName name="_vena_DYNC_SMultiSiteS1_BMultiSiteB1_f2f69bcc_9cd1a62e" localSheetId="8">'[1]FY25 MYP-Multisite'!#REF!</definedName>
    <definedName name="_vena_DYNC_SMultiSiteS1_BMultiSiteB1_f2f69bcc_9cd1a62e">#REF!</definedName>
    <definedName name="_vena_DYNC_SMultiSiteS1_BMultiSiteB1_f2f69bcc_bb0fc638" localSheetId="4">#REF!</definedName>
    <definedName name="_vena_DYNC_SMultiSiteS1_BMultiSiteB1_f2f69bcc_bb0fc638" localSheetId="8">'[1]FY25 MYP-Multisite'!#REF!</definedName>
    <definedName name="_vena_DYNC_SMultiSiteS1_BMultiSiteB1_f2f69bcc_bb0fc638">#REF!</definedName>
    <definedName name="_vena_DYNC_SMultiSiteS1_BMultiSiteB1_f2f69bcc_c495b2b3" localSheetId="4">#REF!</definedName>
    <definedName name="_vena_DYNC_SMultiSiteS1_BMultiSiteB1_f2f69bcc_c495b2b3" localSheetId="8">'[1]FY25 MYP-Multisite'!#REF!</definedName>
    <definedName name="_vena_DYNC_SMultiSiteS1_BMultiSiteB1_f2f69bcc_c495b2b3">#REF!</definedName>
    <definedName name="_vena_DYNC_SMultiSiteS1_BMultiSiteB1_f2f69bcc_dd3f5f95" localSheetId="4">#REF!</definedName>
    <definedName name="_vena_DYNC_SMultiSiteS1_BMultiSiteB1_f2f69bcc_dd3f5f95" localSheetId="5">#REF!</definedName>
    <definedName name="_vena_DYNC_SMultiSiteS1_BMultiSiteB1_f2f69bcc_dd3f5f95" localSheetId="8">'[1]FY26 MYP-Multisite'!#REF!</definedName>
    <definedName name="_vena_DYNC_SMultiSiteS1_BMultiSiteB1_f2f69bcc_dd3f5f95" localSheetId="3">#REF!</definedName>
    <definedName name="_vena_DYNC_SMultiSiteS1_BMultiSiteB1_f2f69bcc_dd3f5f95">#REF!</definedName>
    <definedName name="_vena_DYNC_SMultiSiteS1_BMultiSiteB1_f2f69bcc_dfd83cc0" localSheetId="4">#REF!</definedName>
    <definedName name="_vena_DYNC_SMultiSiteS1_BMultiSiteB1_f2f69bcc_dfd83cc0" localSheetId="8">'[1]FY25 MYP-Multisite'!#REF!</definedName>
    <definedName name="_vena_DYNC_SMultiSiteS1_BMultiSiteB1_f2f69bcc_dfd83cc0">#REF!</definedName>
    <definedName name="_vena_DYNC_SMultiSiteS1_BMultiSiteB1_f2f69bcc_e49982cb" localSheetId="4">#REF!</definedName>
    <definedName name="_vena_DYNC_SMultiSiteS1_BMultiSiteB1_f2f69bcc_e49982cb" localSheetId="8">'[1]FY25 MYP-Multisite'!#REF!</definedName>
    <definedName name="_vena_DYNC_SMultiSiteS1_BMultiSiteB1_f2f69bcc_e49982cb">#REF!</definedName>
    <definedName name="_vena_DYNC_SMultiSiteS1_BMultiSiteB1_f2f69bcc_e684f802" localSheetId="4">#REF!</definedName>
    <definedName name="_vena_DYNC_SMultiSiteS1_BMultiSiteB1_f2f69bcc_e684f802" localSheetId="8">'[1]FY25 MYP-Multisite'!#REF!</definedName>
    <definedName name="_vena_DYNC_SMultiSiteS1_BMultiSiteB1_f2f69bcc_e684f802">#REF!</definedName>
    <definedName name="_vena_DYNC_SMultiSiteS1_BMultiSiteB1_f2f69bcc_f0f0b40b" localSheetId="4">#REF!</definedName>
    <definedName name="_vena_DYNC_SMultiSiteS1_BMultiSiteB1_f2f69bcc_f0f0b40b" localSheetId="5">#REF!</definedName>
    <definedName name="_vena_DYNC_SMultiSiteS1_BMultiSiteB1_f2f69bcc_f0f0b40b" localSheetId="8">'[1]FY26 MYP-Multisite'!#REF!</definedName>
    <definedName name="_vena_DYNC_SMultiSiteS1_BMultiSiteB1_f2f69bcc_f0f0b40b" localSheetId="3">#REF!</definedName>
    <definedName name="_vena_DYNC_SMultiSiteS1_BMultiSiteB1_f2f69bcc_f0f0b40b">#REF!</definedName>
    <definedName name="_vena_DYNC_SMultiSiteS1_BMultiSiteB1_fa0fd563">#REF!</definedName>
    <definedName name="_vena_DYNC_SMultiSiteS1_BMultiSiteB1_fa0fd563_3e686e8a">#REF!</definedName>
    <definedName name="_vena_DYNC_SMultiSiteS1_BMultiSiteB1_fd620ceb" localSheetId="4">#REF!</definedName>
    <definedName name="_vena_DYNC_SMultiSiteS1_BMultiSiteB1_fd620ceb" localSheetId="5">#REF!</definedName>
    <definedName name="_vena_DYNC_SMultiSiteS1_BMultiSiteB1_fd620ceb" localSheetId="8">'[1]FY26 MYP-Multisite'!#REF!</definedName>
    <definedName name="_vena_DYNC_SMultiSiteS1_BMultiSiteB1_fd620ceb" localSheetId="3">#REF!</definedName>
    <definedName name="_vena_DYNC_SMultiSiteS1_BMultiSiteB1_fd620ceb">#REF!</definedName>
    <definedName name="_vena_DYNC_SMultiSiteS1_BMultiSiteB1_fd620ceb_1c903e08" localSheetId="4">#REF!</definedName>
    <definedName name="_vena_DYNC_SMultiSiteS1_BMultiSiteB1_fd620ceb_1c903e08" localSheetId="8">'[1]FY25 MYP-Multisite'!#REF!</definedName>
    <definedName name="_vena_DYNC_SMultiSiteS1_BMultiSiteB1_fd620ceb_1c903e08">#REF!</definedName>
    <definedName name="_vena_DYNC_SMultiSiteS1_BMultiSiteB1_fd620ceb_3de5974b" localSheetId="4">#REF!</definedName>
    <definedName name="_vena_DYNC_SMultiSiteS1_BMultiSiteB1_fd620ceb_3de5974b" localSheetId="8">'[1]FY25 MYP-Multisite'!#REF!</definedName>
    <definedName name="_vena_DYNC_SMultiSiteS1_BMultiSiteB1_fd620ceb_3de5974b">#REF!</definedName>
    <definedName name="_vena_DYNC_SMultiSiteS1_BMultiSiteB1_fd620ceb_59ea0b29" localSheetId="4">#REF!</definedName>
    <definedName name="_vena_DYNC_SMultiSiteS1_BMultiSiteB1_fd620ceb_59ea0b29" localSheetId="5">#REF!</definedName>
    <definedName name="_vena_DYNC_SMultiSiteS1_BMultiSiteB1_fd620ceb_59ea0b29" localSheetId="8">'[1]FY26 MYP-Multisite'!#REF!</definedName>
    <definedName name="_vena_DYNC_SMultiSiteS1_BMultiSiteB1_fd620ceb_59ea0b29" localSheetId="3">#REF!</definedName>
    <definedName name="_vena_DYNC_SMultiSiteS1_BMultiSiteB1_fd620ceb_59ea0b29">#REF!</definedName>
    <definedName name="_vena_DYNC_SMultiSiteS1_BMultiSiteB1_fd620ceb_7fc5361f" localSheetId="4">#REF!</definedName>
    <definedName name="_vena_DYNC_SMultiSiteS1_BMultiSiteB1_fd620ceb_7fc5361f" localSheetId="5">#REF!</definedName>
    <definedName name="_vena_DYNC_SMultiSiteS1_BMultiSiteB1_fd620ceb_7fc5361f" localSheetId="8">'[1]FY26 MYP-Multisite'!#REF!</definedName>
    <definedName name="_vena_DYNC_SMultiSiteS1_BMultiSiteB1_fd620ceb_7fc5361f" localSheetId="3">#REF!</definedName>
    <definedName name="_vena_DYNC_SMultiSiteS1_BMultiSiteB1_fd620ceb_7fc5361f">#REF!</definedName>
    <definedName name="_vena_DYNC_SMultiSiteS1_BMultiSiteB1_fd620ceb_8337bb38" localSheetId="4">#REF!</definedName>
    <definedName name="_vena_DYNC_SMultiSiteS1_BMultiSiteB1_fd620ceb_8337bb38" localSheetId="8">'[1]FY25 MYP-Multisite'!#REF!</definedName>
    <definedName name="_vena_DYNC_SMultiSiteS1_BMultiSiteB1_fd620ceb_8337bb38">#REF!</definedName>
    <definedName name="_vena_DYNC_SMultiSiteS1_BMultiSiteB1_fd620ceb_8ccf20f" localSheetId="4">#REF!</definedName>
    <definedName name="_vena_DYNC_SMultiSiteS1_BMultiSiteB1_fd620ceb_8ccf20f" localSheetId="5">#REF!</definedName>
    <definedName name="_vena_DYNC_SMultiSiteS1_BMultiSiteB1_fd620ceb_8ccf20f" localSheetId="8">'[1]FY26 MYP-Multisite'!#REF!</definedName>
    <definedName name="_vena_DYNC_SMultiSiteS1_BMultiSiteB1_fd620ceb_8ccf20f" localSheetId="3">#REF!</definedName>
    <definedName name="_vena_DYNC_SMultiSiteS1_BMultiSiteB1_fd620ceb_8ccf20f">#REF!</definedName>
    <definedName name="_vena_DYNC_SMultiSiteS1_BMultiSiteB1_fd620ceb_95415390" localSheetId="4">#REF!</definedName>
    <definedName name="_vena_DYNC_SMultiSiteS1_BMultiSiteB1_fd620ceb_95415390" localSheetId="8">'[1]FY25 MYP-Multisite'!#REF!</definedName>
    <definedName name="_vena_DYNC_SMultiSiteS1_BMultiSiteB1_fd620ceb_95415390">#REF!</definedName>
    <definedName name="_vena_DYNC_SMultiSiteS1_BMultiSiteB1_fd620ceb_98f81231" localSheetId="4">#REF!</definedName>
    <definedName name="_vena_DYNC_SMultiSiteS1_BMultiSiteB1_fd620ceb_98f81231" localSheetId="5">#REF!</definedName>
    <definedName name="_vena_DYNC_SMultiSiteS1_BMultiSiteB1_fd620ceb_98f81231" localSheetId="8">'[1]FY26 MYP-Multisite'!#REF!</definedName>
    <definedName name="_vena_DYNC_SMultiSiteS1_BMultiSiteB1_fd620ceb_98f81231" localSheetId="3">#REF!</definedName>
    <definedName name="_vena_DYNC_SMultiSiteS1_BMultiSiteB1_fd620ceb_98f81231">#REF!</definedName>
    <definedName name="_vena_DYNC_SMultiSiteS1_BMultiSiteB1_fd620ceb_9d5b015b" localSheetId="4">#REF!</definedName>
    <definedName name="_vena_DYNC_SMultiSiteS1_BMultiSiteB1_fd620ceb_9d5b015b" localSheetId="8">'[1]FY25 MYP-Multisite'!#REF!</definedName>
    <definedName name="_vena_DYNC_SMultiSiteS1_BMultiSiteB1_fd620ceb_9d5b015b">#REF!</definedName>
    <definedName name="_vena_DYNC_SMultiSiteS1_BMultiSiteB1_fd620ceb_b0fa9225" localSheetId="4">#REF!</definedName>
    <definedName name="_vena_DYNC_SMultiSiteS1_BMultiSiteB1_fd620ceb_b0fa9225" localSheetId="8">'[1]FY25 MYP-Multisite'!#REF!</definedName>
    <definedName name="_vena_DYNC_SMultiSiteS1_BMultiSiteB1_fd620ceb_b0fa9225">#REF!</definedName>
    <definedName name="_vena_DYNC_SMultiSiteS1_BMultiSiteB1_fd620ceb_cba0ffcf" localSheetId="4">#REF!</definedName>
    <definedName name="_vena_DYNC_SMultiSiteS1_BMultiSiteB1_fd620ceb_cba0ffcf" localSheetId="5">#REF!</definedName>
    <definedName name="_vena_DYNC_SMultiSiteS1_BMultiSiteB1_fd620ceb_cba0ffcf" localSheetId="8">'[1]FY26 MYP-Multisite'!#REF!</definedName>
    <definedName name="_vena_DYNC_SMultiSiteS1_BMultiSiteB1_fd620ceb_cba0ffcf" localSheetId="3">#REF!</definedName>
    <definedName name="_vena_DYNC_SMultiSiteS1_BMultiSiteB1_fd620ceb_cba0ffcf">#REF!</definedName>
    <definedName name="_vena_DYNC_SMultiSiteS1_BMultiSiteB1_fd620ceb_deafa4af" localSheetId="4">#REF!</definedName>
    <definedName name="_vena_DYNC_SMultiSiteS1_BMultiSiteB1_fd620ceb_deafa4af" localSheetId="5">#REF!</definedName>
    <definedName name="_vena_DYNC_SMultiSiteS1_BMultiSiteB1_fd620ceb_deafa4af" localSheetId="8">'[1]FY26 MYP-Multisite'!#REF!</definedName>
    <definedName name="_vena_DYNC_SMultiSiteS1_BMultiSiteB1_fd620ceb_deafa4af" localSheetId="3">#REF!</definedName>
    <definedName name="_vena_DYNC_SMultiSiteS1_BMultiSiteB1_fd620ceb_deafa4af">#REF!</definedName>
    <definedName name="_vena_DYNC_SMultiSiteS1_BMultiSiteB1_fd620ceb_e04882fd" localSheetId="4">#REF!</definedName>
    <definedName name="_vena_DYNC_SMultiSiteS1_BMultiSiteB1_fd620ceb_e04882fd" localSheetId="8">'[1]FY25 MYP-Multisite'!#REF!</definedName>
    <definedName name="_vena_DYNC_SMultiSiteS1_BMultiSiteB1_fd620ceb_e04882fd">#REF!</definedName>
    <definedName name="_vena_DYNC_SMultiSiteS1_BMultiSiteB1_fd620ceb_ed8ca582" localSheetId="4">#REF!</definedName>
    <definedName name="_vena_DYNC_SMultiSiteS1_BMultiSiteB1_fd620ceb_ed8ca582" localSheetId="5">#REF!</definedName>
    <definedName name="_vena_DYNC_SMultiSiteS1_BMultiSiteB1_fd620ceb_ed8ca582" localSheetId="8">'[1]FY26 MYP-Multisite'!#REF!</definedName>
    <definedName name="_vena_DYNC_SMultiSiteS1_BMultiSiteB1_fd620ceb_ed8ca582" localSheetId="3">#REF!</definedName>
    <definedName name="_vena_DYNC_SMultiSiteS1_BMultiSiteB1_fd620ceb_ed8ca582">#REF!</definedName>
    <definedName name="_vena_DYNC_SPayrollS1_BPayrollB1_10180709">#REF!</definedName>
    <definedName name="_vena_DYNC_SPayrollS1_BPayrollB1_10180709_179a4450">#REF!</definedName>
    <definedName name="_vena_DYNC_SPayrollS1_BPayrollB1_10180709_27c3308a">#REF!</definedName>
    <definedName name="_vena_DYNC_SPayrollS1_BPayrollB1_10180709_296f64bc">#REF!</definedName>
    <definedName name="_vena_DYNC_SPayrollS1_BPayrollB1_10180709_34cfde5d">#REF!</definedName>
    <definedName name="_vena_DYNC_SPayrollS1_BPayrollB1_10180709_4984be80">#REF!</definedName>
    <definedName name="_vena_DYNC_SPayrollS1_BPayrollB1_10180709_535c812c">#REF!</definedName>
    <definedName name="_vena_DYNC_SPayrollS1_BPayrollB1_10180709_54ed2a93">#REF!</definedName>
    <definedName name="_vena_DYNC_SPayrollS1_BPayrollB1_10180709_6c3c3755">#REF!</definedName>
    <definedName name="_vena_DYNC_SPayrollS1_BPayrollB1_10180709_7a0526cc">#REF!</definedName>
    <definedName name="_vena_DYNC_SPayrollS1_BPayrollB1_10180709_9b939a73">#REF!</definedName>
    <definedName name="_vena_DYNC_SPayrollS1_BPayrollB1_10180709_b0de43fa">#REF!</definedName>
    <definedName name="_vena_DYNC_SPayrollS1_BPayrollB1_10180709_c30eae2a">#REF!</definedName>
    <definedName name="_vena_DYNC_SPayrollS1_BPayrollB1_10180709_c783010e">#REF!</definedName>
    <definedName name="_vena_DYNC_SPayrollS1_BPayrollB1_10180709_cefe141">#REF!</definedName>
    <definedName name="_vena_DYNC_SPayrollS1_BPayrollB1_268a020b">#REF!</definedName>
    <definedName name="_vena_DYNC_SPayrollS1_BPayrollB1_268a020b_74faa17d">#REF!</definedName>
    <definedName name="_vena_DYNC_SPayrollS1_BPayrollB1_2ada7ad7">#REF!</definedName>
    <definedName name="_vena_DYNC_SPayrollS1_BPayrollB1_2ada7ad7_14d0c5db">#REF!</definedName>
    <definedName name="_vena_DYNC_SPayrollS1_BPayrollB1_2ada7ad7_1ece6589">#REF!</definedName>
    <definedName name="_vena_DYNC_SPayrollS1_BPayrollB1_2ada7ad7_24abf4bc">#REF!</definedName>
    <definedName name="_vena_DYNC_SPayrollS1_BPayrollB1_2ada7ad7_307fc188">#REF!</definedName>
    <definedName name="_vena_DYNC_SPayrollS1_BPayrollB1_2ada7ad7_356b483b">#REF!</definedName>
    <definedName name="_vena_DYNC_SPayrollS1_BPayrollB1_2ada7ad7_3f733d83">#REF!</definedName>
    <definedName name="_vena_DYNC_SPayrollS1_BPayrollB1_2ada7ad7_4536862e">#REF!</definedName>
    <definedName name="_vena_DYNC_SPayrollS1_BPayrollB1_2ada7ad7_6aba313c">#REF!</definedName>
    <definedName name="_vena_DYNC_SPayrollS1_BPayrollB1_2ada7ad7_6eac01ea">#REF!</definedName>
    <definedName name="_vena_DYNC_SPayrollS1_BPayrollB1_2ada7ad7_79409045">#REF!</definedName>
    <definedName name="_vena_DYNC_SPayrollS1_BPayrollB1_2ada7ad7_9740829b">#REF!</definedName>
    <definedName name="_vena_DYNC_SPayrollS1_BPayrollB1_2ada7ad7_d674169c">#REF!</definedName>
    <definedName name="_vena_DYNC_SPayrollS1_BPayrollB1_2ada7ad7_e39b51">#REF!</definedName>
    <definedName name="_vena_DYNC_SPayrollS1_BPayrollB1_2ada7ad7_e5e34827">#REF!</definedName>
    <definedName name="_vena_DYNC_SPayrollS1_BPayrollB1_2f798547">#REF!</definedName>
    <definedName name="_vena_DYNC_SPayrollS1_BPayrollB1_2f798547_19372e63">#REF!</definedName>
    <definedName name="_vena_DYNC_SPayrollS1_BPayrollB1_2f798547_2473108d">#REF!</definedName>
    <definedName name="_vena_DYNC_SPayrollS1_BPayrollB1_2f798547_35328c79">#REF!</definedName>
    <definedName name="_vena_DYNC_SPayrollS1_BPayrollB1_2f798547_370837d1">#REF!</definedName>
    <definedName name="_vena_DYNC_SPayrollS1_BPayrollB1_2f798547_401c17cc">#REF!</definedName>
    <definedName name="_vena_DYNC_SPayrollS1_BPayrollB1_2f798547_40a61c19">#REF!</definedName>
    <definedName name="_vena_DYNC_SPayrollS1_BPayrollB1_2f798547_665f288c">#REF!</definedName>
    <definedName name="_vena_DYNC_SPayrollS1_BPayrollB1_2f798547_82d3f0f4">#REF!</definedName>
    <definedName name="_vena_DYNC_SPayrollS1_BPayrollB1_2f798547_86a59f09">#REF!</definedName>
    <definedName name="_vena_DYNC_SPayrollS1_BPayrollB1_2f798547_b8019575">#REF!</definedName>
    <definedName name="_vena_DYNC_SPayrollS1_BPayrollB1_2f798547_d40f87f9">#REF!</definedName>
    <definedName name="_vena_DYNC_SPayrollS1_BPayrollB1_2f798547_e6aba2d">#REF!</definedName>
    <definedName name="_vena_DYNC_SPayrollS1_BPayrollB1_2f798547_f760129a">#REF!</definedName>
    <definedName name="_vena_DYNC_SPayrollS1_BPayrollB1_2f798547_fbc981f9">#REF!</definedName>
    <definedName name="_vena_DYNC_SPayrollS1_BPayrollB1_366e478e">#REF!</definedName>
    <definedName name="_vena_DYNC_SPayrollS1_BPayrollB1_366e478e_1587ae45">#REF!</definedName>
    <definedName name="_vena_DYNC_SPayrollS1_BPayrollB1_366e478e_2e8d1b90">#REF!</definedName>
    <definedName name="_vena_DYNC_SPayrollS1_BPayrollB1_366e478e_33586f24">#REF!</definedName>
    <definedName name="_vena_DYNC_SPayrollS1_BPayrollB1_366e478e_4363eb98">#REF!</definedName>
    <definedName name="_vena_DYNC_SPayrollS1_BPayrollB1_366e478e_6879a6b6">#REF!</definedName>
    <definedName name="_vena_DYNC_SPayrollS1_BPayrollB1_366e478e_700179e1">#REF!</definedName>
    <definedName name="_vena_DYNC_SPayrollS1_BPayrollB1_366e478e_854f32d6">#REF!</definedName>
    <definedName name="_vena_DYNC_SPayrollS1_BPayrollB1_366e478e_86172582">#REF!</definedName>
    <definedName name="_vena_DYNC_SPayrollS1_BPayrollB1_366e478e_95151140">#REF!</definedName>
    <definedName name="_vena_DYNC_SPayrollS1_BPayrollB1_366e478e_9b708c07">#REF!</definedName>
    <definedName name="_vena_DYNC_SPayrollS1_BPayrollB1_366e478e_b31708ab">#REF!</definedName>
    <definedName name="_vena_DYNC_SPayrollS1_BPayrollB1_366e478e_cc9eeaf4">#REF!</definedName>
    <definedName name="_vena_DYNC_SPayrollS1_BPayrollB1_366e478e_d3f5b7bb">#REF!</definedName>
    <definedName name="_vena_DYNC_SPayrollS1_BPayrollB1_366e478e_f110fa91">#REF!</definedName>
    <definedName name="_vena_DYNC_SPayrollS1_BPayrollB1_36d15da1">#REF!</definedName>
    <definedName name="_vena_DYNC_SPayrollS1_BPayrollB1_36d15da1_194b001b">#REF!</definedName>
    <definedName name="_vena_DYNC_SPayrollS1_BPayrollB1_557c2144">#REF!</definedName>
    <definedName name="_vena_DYNC_SPayrollS1_BPayrollB1_557c2144_24f414a7">#REF!</definedName>
    <definedName name="_vena_DYNC_SPayrollS1_BPayrollB1_557c2144_3f50341d">#REF!</definedName>
    <definedName name="_vena_DYNC_SPayrollS1_BPayrollB1_557c2144_41f1cf57">#REF!</definedName>
    <definedName name="_vena_DYNC_SPayrollS1_BPayrollB1_557c2144_4f722062">#REF!</definedName>
    <definedName name="_vena_DYNC_SPayrollS1_BPayrollB1_557c2144_567224ac">#REF!</definedName>
    <definedName name="_vena_DYNC_SPayrollS1_BPayrollB1_557c2144_79d26002">#REF!</definedName>
    <definedName name="_vena_DYNC_SPayrollS1_BPayrollB1_557c2144_88575063">#REF!</definedName>
    <definedName name="_vena_DYNC_SPayrollS1_BPayrollB1_557c2144_88fe976b">#REF!</definedName>
    <definedName name="_vena_DYNC_SPayrollS1_BPayrollB1_557c2144_981a2a84">#REF!</definedName>
    <definedName name="_vena_DYNC_SPayrollS1_BPayrollB1_557c2144_ae945b2c">#REF!</definedName>
    <definedName name="_vena_DYNC_SPayrollS1_BPayrollB1_557c2144_b2938925">#REF!</definedName>
    <definedName name="_vena_DYNC_SPayrollS1_BPayrollB1_557c2144_d035abb7">#REF!</definedName>
    <definedName name="_vena_DYNC_SPayrollS1_BPayrollB1_557c2144_d8f3e677">#REF!</definedName>
    <definedName name="_vena_DYNC_SPayrollS1_BPayrollB1_557c2144_faff00ec">#REF!</definedName>
    <definedName name="_vena_DYNC_SPayrollS1_BPayrollB1_584fdb8a">#REF!</definedName>
    <definedName name="_vena_DYNC_SPayrollS1_BPayrollB1_584fdb8a_480d38a3">#REF!</definedName>
    <definedName name="_vena_DYNC_SPayrollS1_BPayrollB1_5b21ac9b">#REF!</definedName>
    <definedName name="_vena_DYNC_SPayrollS1_BPayrollB1_5b21ac9b_163b2df9">#REF!</definedName>
    <definedName name="_vena_DYNC_SPayrollS1_BPayrollB1_5b21ac9b_30132c3">#REF!</definedName>
    <definedName name="_vena_DYNC_SPayrollS1_BPayrollB1_5b21ac9b_372ea284">#REF!</definedName>
    <definedName name="_vena_DYNC_SPayrollS1_BPayrollB1_5b21ac9b_4103f644">#REF!</definedName>
    <definedName name="_vena_DYNC_SPayrollS1_BPayrollB1_5b21ac9b_5a70120c">#REF!</definedName>
    <definedName name="_vena_DYNC_SPayrollS1_BPayrollB1_5b21ac9b_9762a9d">#REF!</definedName>
    <definedName name="_vena_DYNC_SPayrollS1_BPayrollB1_5b21ac9b_a5be9bf9">#REF!</definedName>
    <definedName name="_vena_DYNC_SPayrollS1_BPayrollB1_5b21ac9b_bd028d76">#REF!</definedName>
    <definedName name="_vena_DYNC_SPayrollS1_BPayrollB1_5b21ac9b_cccbcd6e">#REF!</definedName>
    <definedName name="_vena_DYNC_SPayrollS1_BPayrollB1_5b21ac9b_d21a5698">#REF!</definedName>
    <definedName name="_vena_DYNC_SPayrollS1_BPayrollB1_5b21ac9b_d2e77e1c">#REF!</definedName>
    <definedName name="_vena_DYNC_SPayrollS1_BPayrollB1_5b21ac9b_e2e25e93">#REF!</definedName>
    <definedName name="_vena_DYNC_SPayrollS1_BPayrollB1_5b21ac9b_eb55b440">#REF!</definedName>
    <definedName name="_vena_DYNC_SPayrollS1_BPayrollB1_5b21ac9b_fbf730e3">#REF!</definedName>
    <definedName name="_vena_DYNC_SPayrollS1_BPayrollB1_65345a82">#REF!</definedName>
    <definedName name="_vena_DYNC_SPayrollS1_BPayrollB1_65345a82_9734635">#REF!</definedName>
    <definedName name="_vena_DYNC_SPayrollS1_BPayrollB1_6f9dfc5f">#REF!</definedName>
    <definedName name="_vena_DYNC_SPayrollS1_BPayrollB1_6f9dfc5f_453d29bb">#REF!</definedName>
    <definedName name="_vena_DYNC_SPayrollS1_BPayrollB1_79c90ef4">#REF!</definedName>
    <definedName name="_vena_DYNC_SPayrollS1_BPayrollB1_79c90ef4_19c8a3c0">#REF!</definedName>
    <definedName name="_vena_DYNC_SPayrollS1_BPayrollB1_79c90ef4_1f744152">#REF!</definedName>
    <definedName name="_vena_DYNC_SPayrollS1_BPayrollB1_79c90ef4_2042e93f">#REF!</definedName>
    <definedName name="_vena_DYNC_SPayrollS1_BPayrollB1_79c90ef4_21b12f3a">#REF!</definedName>
    <definedName name="_vena_DYNC_SPayrollS1_BPayrollB1_79c90ef4_37dfb021">#REF!</definedName>
    <definedName name="_vena_DYNC_SPayrollS1_BPayrollB1_79c90ef4_5c231494">#REF!</definedName>
    <definedName name="_vena_DYNC_SPayrollS1_BPayrollB1_79c90ef4_6f282395">#REF!</definedName>
    <definedName name="_vena_DYNC_SPayrollS1_BPayrollB1_79c90ef4_85a0ff05">#REF!</definedName>
    <definedName name="_vena_DYNC_SPayrollS1_BPayrollB1_79c90ef4_97c8ca3f">#REF!</definedName>
    <definedName name="_vena_DYNC_SPayrollS1_BPayrollB1_79c90ef4_c640b585">#REF!</definedName>
    <definedName name="_vena_DYNC_SPayrollS1_BPayrollB1_79c90ef4_c948150f">#REF!</definedName>
    <definedName name="_vena_DYNC_SPayrollS1_BPayrollB1_79c90ef4_de264ee5">#REF!</definedName>
    <definedName name="_vena_DYNC_SPayrollS1_BPayrollB1_79c90ef4_e0933913">#REF!</definedName>
    <definedName name="_vena_DYNC_SPayrollS1_BPayrollB1_79c90ef4_ef3003eb">#REF!</definedName>
    <definedName name="_vena_DYNC_SPayrollS1_BPayrollB1_92e5dbbf">#REF!</definedName>
    <definedName name="_vena_DYNC_SPayrollS1_BPayrollB1_92e5dbbf_20390f84">#REF!</definedName>
    <definedName name="_vena_DYNC_SPayrollS1_BPayrollB1_92e5dbbf_5eda9cb3">#REF!</definedName>
    <definedName name="_vena_DYNC_SPayrollS1_BPayrollB1_92e5dbbf_8a908023">#REF!</definedName>
    <definedName name="_vena_DYNC_SPayrollS1_BPayrollB1_92e5dbbf_975d355d">#REF!</definedName>
    <definedName name="_vena_DYNC_SPayrollS1_BPayrollB1_92e5dbbf_99e9ff21">#REF!</definedName>
    <definedName name="_vena_DYNC_SPayrollS1_BPayrollB1_92e5dbbf_9b92c179">#REF!</definedName>
    <definedName name="_vena_DYNC_SPayrollS1_BPayrollB1_92e5dbbf_a206741d">#REF!</definedName>
    <definedName name="_vena_DYNC_SPayrollS1_BPayrollB1_92e5dbbf_b7ceca22">#REF!</definedName>
    <definedName name="_vena_DYNC_SPayrollS1_BPayrollB1_92e5dbbf_c81a668e">#REF!</definedName>
    <definedName name="_vena_DYNC_SPayrollS1_BPayrollB1_92e5dbbf_d5601ffa">#REF!</definedName>
    <definedName name="_vena_DYNC_SPayrollS1_BPayrollB1_92e5dbbf_e98b06cc">#REF!</definedName>
    <definedName name="_vena_DYNC_SPayrollS1_BPayrollB1_92e5dbbf_e9c00488">#REF!</definedName>
    <definedName name="_vena_DYNC_SPayrollS1_BPayrollB1_92e5dbbf_e9e7382c">#REF!</definedName>
    <definedName name="_vena_DYNC_SPayrollS1_BPayrollB1_92e5dbbf_fbc68e84">#REF!</definedName>
    <definedName name="_vena_DYNC_SPayrollS1_BPayrollB1_97fe55eb">#REF!</definedName>
    <definedName name="_vena_DYNC_SPayrollS1_BPayrollB1_97fe55eb_10a7ce17">#REF!</definedName>
    <definedName name="_vena_DYNC_SPayrollS1_BPayrollB1_97fe55eb_1c872d9b">#REF!</definedName>
    <definedName name="_vena_DYNC_SPayrollS1_BPayrollB1_97fe55eb_538627b0">#REF!</definedName>
    <definedName name="_vena_DYNC_SPayrollS1_BPayrollB1_97fe55eb_582a7911">#REF!</definedName>
    <definedName name="_vena_DYNC_SPayrollS1_BPayrollB1_97fe55eb_6f89b7c5">#REF!</definedName>
    <definedName name="_vena_DYNC_SPayrollS1_BPayrollB1_97fe55eb_711189db">#REF!</definedName>
    <definedName name="_vena_DYNC_SPayrollS1_BPayrollB1_97fe55eb_7dfc37c6">#REF!</definedName>
    <definedName name="_vena_DYNC_SPayrollS1_BPayrollB1_97fe55eb_9869f96e">#REF!</definedName>
    <definedName name="_vena_DYNC_SPayrollS1_BPayrollB1_97fe55eb_9ab36bb6">#REF!</definedName>
    <definedName name="_vena_DYNC_SPayrollS1_BPayrollB1_97fe55eb_b0bec030">#REF!</definedName>
    <definedName name="_vena_DYNC_SPayrollS1_BPayrollB1_97fe55eb_c2e242a0">#REF!</definedName>
    <definedName name="_vena_DYNC_SPayrollS1_BPayrollB1_97fe55eb_e0f58e1c">#REF!</definedName>
    <definedName name="_vena_DYNC_SPayrollS1_BPayrollB1_97fe55eb_e39b27da">#REF!</definedName>
    <definedName name="_vena_DYNC_SPayrollS1_BPayrollB1_97fe55eb_ede4094e">#REF!</definedName>
    <definedName name="_vena_DYNC_SPayrollS1_BPayrollB1_9c93ef3e">#REF!</definedName>
    <definedName name="_vena_DYNC_SPayrollS1_BPayrollB1_9c93ef3e_e0053f28">#REF!</definedName>
    <definedName name="_vena_DYNC_SPayrollS1_BPayrollB1_9f0891e2">#REF!</definedName>
    <definedName name="_vena_DYNC_SPayrollS1_BPayrollB1_9f0891e2_ee68c4a4">#REF!</definedName>
    <definedName name="_vena_DYNC_SPayrollS1_BPayrollB1_a2f02c28">#REF!</definedName>
    <definedName name="_vena_DYNC_SPayrollS1_BPayrollB1_a2f02c28_21df7186">#REF!</definedName>
    <definedName name="_vena_DYNC_SPayrollS1_BPayrollB1_a2f02c28_32fd7d3b">#REF!</definedName>
    <definedName name="_vena_DYNC_SPayrollS1_BPayrollB1_a2f02c28_332fa2fc">#REF!</definedName>
    <definedName name="_vena_DYNC_SPayrollS1_BPayrollB1_a2f02c28_60a6257b">#REF!</definedName>
    <definedName name="_vena_DYNC_SPayrollS1_BPayrollB1_a2f02c28_74d3667f">#REF!</definedName>
    <definedName name="_vena_DYNC_SPayrollS1_BPayrollB1_a2f02c28_77888789">#REF!</definedName>
    <definedName name="_vena_DYNC_SPayrollS1_BPayrollB1_a2f02c28_786a090b">#REF!</definedName>
    <definedName name="_vena_DYNC_SPayrollS1_BPayrollB1_a2f02c28_cc715e95">#REF!</definedName>
    <definedName name="_vena_DYNC_SPayrollS1_BPayrollB1_a2f02c28_d5565bef">#REF!</definedName>
    <definedName name="_vena_DYNC_SPayrollS1_BPayrollB1_a2f02c28_d66d6d0e">#REF!</definedName>
    <definedName name="_vena_DYNC_SPayrollS1_BPayrollB1_a2f02c28_dfec23a1">#REF!</definedName>
    <definedName name="_vena_DYNC_SPayrollS1_BPayrollB1_a2f02c28_e49ae9d8">#REF!</definedName>
    <definedName name="_vena_DYNC_SPayrollS1_BPayrollB1_a2f02c28_e695abb1">#REF!</definedName>
    <definedName name="_vena_DYNC_SPayrollS1_BPayrollB1_a2f02c28_fd084ef0">#REF!</definedName>
    <definedName name="_vena_DYNC_SPayrollS1_BPayrollB1_b19167b4">#REF!</definedName>
    <definedName name="_vena_DYNC_SPayrollS1_BPayrollB1_b19167b4_a53db025">#REF!</definedName>
    <definedName name="_vena_DYNC_SPayrollS1_BPayrollB1_bf5b8b50">#REF!</definedName>
    <definedName name="_vena_DYNC_SPayrollS1_BPayrollB1_bf5b8b50_14ce4a3e">#REF!</definedName>
    <definedName name="_vena_DYNC_SPayrollS1_BPayrollB1_bf5b8b50_1d1d3879">#REF!</definedName>
    <definedName name="_vena_DYNC_SPayrollS1_BPayrollB1_bf5b8b50_20f50a51">#REF!</definedName>
    <definedName name="_vena_DYNC_SPayrollS1_BPayrollB1_bf5b8b50_2542b1b1">#REF!</definedName>
    <definedName name="_vena_DYNC_SPayrollS1_BPayrollB1_bf5b8b50_613feb1a">#REF!</definedName>
    <definedName name="_vena_DYNC_SPayrollS1_BPayrollB1_bf5b8b50_71ace1b2">#REF!</definedName>
    <definedName name="_vena_DYNC_SPayrollS1_BPayrollB1_bf5b8b50_8045cbd4">#REF!</definedName>
    <definedName name="_vena_DYNC_SPayrollS1_BPayrollB1_bf5b8b50_aa8b2b73">#REF!</definedName>
    <definedName name="_vena_DYNC_SPayrollS1_BPayrollB1_bf5b8b50_ce9c2efd">#REF!</definedName>
    <definedName name="_vena_DYNC_SPayrollS1_BPayrollB1_bf5b8b50_d8de9681">#REF!</definedName>
    <definedName name="_vena_DYNC_SPayrollS1_BPayrollB1_bf5b8b50_e28ed234">#REF!</definedName>
    <definedName name="_vena_DYNC_SPayrollS1_BPayrollB1_bf5b8b50_f5b06fb">#REF!</definedName>
    <definedName name="_vena_DYNC_SPayrollS1_BPayrollB1_bf5b8b50_f5c9aaf1">#REF!</definedName>
    <definedName name="_vena_DYNC_SPayrollS1_BPayrollB1_bf5b8b50_fe6f0d07">#REF!</definedName>
    <definedName name="_vena_DYNC_SPayrollS1_BPayrollB1_c5d9ae0b">#REF!</definedName>
    <definedName name="_vena_DYNC_SPayrollS1_BPayrollB1_c5d9ae0b_b86ff87d">#REF!</definedName>
    <definedName name="_vena_DYNC_SPayrollS1_BPayrollB1_cb73c2c8">#REF!</definedName>
    <definedName name="_vena_DYNC_SPayrollS1_BPayrollB1_cb73c2c8_1878eeee">#REF!</definedName>
    <definedName name="_vena_DYNC_SPayrollS1_BPayrollB1_cb73c2c8_19dd9259">#REF!</definedName>
    <definedName name="_vena_DYNC_SPayrollS1_BPayrollB1_cb73c2c8_24fd0e3">#REF!</definedName>
    <definedName name="_vena_DYNC_SPayrollS1_BPayrollB1_cb73c2c8_3c165f4f">#REF!</definedName>
    <definedName name="_vena_DYNC_SPayrollS1_BPayrollB1_cb73c2c8_3e87e2f8">#REF!</definedName>
    <definedName name="_vena_DYNC_SPayrollS1_BPayrollB1_cb73c2c8_4d32314c">#REF!</definedName>
    <definedName name="_vena_DYNC_SPayrollS1_BPayrollB1_cb73c2c8_5022a63d">#REF!</definedName>
    <definedName name="_vena_DYNC_SPayrollS1_BPayrollB1_cb73c2c8_53336752">#REF!</definedName>
    <definedName name="_vena_DYNC_SPayrollS1_BPayrollB1_cb73c2c8_60dfea56">#REF!</definedName>
    <definedName name="_vena_DYNC_SPayrollS1_BPayrollB1_cb73c2c8_68484892">#REF!</definedName>
    <definedName name="_vena_DYNC_SPayrollS1_BPayrollB1_cb73c2c8_8da8f6fe">#REF!</definedName>
    <definedName name="_vena_DYNC_SPayrollS1_BPayrollB1_cb73c2c8_ab38ae08">#REF!</definedName>
    <definedName name="_vena_DYNC_SPayrollS1_BPayrollB1_cb73c2c8_ef2102d1">#REF!</definedName>
    <definedName name="_vena_DYNC_SPayrollS1_BPayrollB1_cb73c2c8_faddc731">#REF!</definedName>
    <definedName name="_vena_DYNC_SPayrollS1_BPayrollB1_d6cfc760">#REF!</definedName>
    <definedName name="_vena_DYNC_SPayrollS1_BPayrollB1_d6cfc760_28f5786f">#REF!</definedName>
    <definedName name="_vena_DYNC_SPayrollS1_BPayrollB1_d7710b31">#REF!</definedName>
    <definedName name="_vena_DYNC_SPayrollS1_BPayrollB1_d7710b31_629b9af9">#REF!</definedName>
    <definedName name="_vena_DYNC_SPayrollS1_BPayrollB1_ff454d35">#REF!</definedName>
    <definedName name="_vena_DYNC_SPayrollS1_BPayrollB1_ff454d35_f8b164b0">#REF!</definedName>
    <definedName name="_vena_DYNP_SBudget_292a4c57">#REF!</definedName>
    <definedName name="_vena_DYNP_SBudget_3ff53baf">#REF!</definedName>
    <definedName name="_vena_DYNP_SBudget_ae36ad84">#REF!</definedName>
    <definedName name="_vena_DYNP_SComparisonScenario_145a6602">#REF!</definedName>
    <definedName name="_vena_DYNP_SComparisonScenario_166f86c7">#REF!</definedName>
    <definedName name="_vena_DYNP_SComparisonScenario_59f658f6">#REF!</definedName>
    <definedName name="_vena_DYNP_SComparisonScenario_6f34d96e">#REF!</definedName>
    <definedName name="_vena_DYNP_SComparisonScenario_86ab86d9">#REF!</definedName>
    <definedName name="_vena_DYNP_SComparisonScenario_ae8d513">#REF!</definedName>
    <definedName name="_vena_DYNP_SComparisonScenario_e2d2b4f9">#REF!</definedName>
    <definedName name="_vena_DYNP_SComparisonScenario_eaa3ede8">#REF!</definedName>
    <definedName name="_vena_DYNP_SCurrentForecast_11f28111">#REF!</definedName>
    <definedName name="_vena_DYNP_SCurrentForecast_11fee8d3">#REF!</definedName>
    <definedName name="_vena_DYNP_SCurrentForecast_12560000">#REF!</definedName>
    <definedName name="_vena_DYNP_SCurrentForecast_13349b49">#REF!</definedName>
    <definedName name="_vena_DYNP_SCurrentForecast_135a154c">#REF!</definedName>
    <definedName name="_vena_DYNP_SCurrentForecast_16ab4f8b">#REF!</definedName>
    <definedName name="_vena_DYNP_SCurrentForecast_16b6073">#REF!</definedName>
    <definedName name="_vena_DYNP_SCurrentForecast_1727a403">#REF!</definedName>
    <definedName name="_vena_DYNP_SCurrentForecast_17c0dd53">#REF!</definedName>
    <definedName name="_vena_DYNP_SCurrentForecast_17e91006">#REF!</definedName>
    <definedName name="_vena_DYNP_SCurrentForecast_1aae5107">#REF!</definedName>
    <definedName name="_vena_DYNP_SCurrentForecast_1acdaa87">#REF!</definedName>
    <definedName name="_vena_DYNP_SCurrentForecast_1b928ca8">#REF!</definedName>
    <definedName name="_vena_DYNP_SCurrentForecast_1bbfc05e">#REF!</definedName>
    <definedName name="_vena_DYNP_SCurrentForecast_1c8414b2">#REF!</definedName>
    <definedName name="_vena_DYNP_SCurrentForecast_1d650685">#REF!</definedName>
    <definedName name="_vena_DYNP_SCurrentForecast_1ef741">#REF!</definedName>
    <definedName name="_vena_DYNP_SCurrentForecast_22950b4b">#REF!</definedName>
    <definedName name="_vena_DYNP_SCurrentForecast_23868f27">#REF!</definedName>
    <definedName name="_vena_DYNP_SCurrentForecast_2420fe25">#REF!</definedName>
    <definedName name="_vena_DYNP_SCurrentForecast_267697dc">#REF!</definedName>
    <definedName name="_vena_DYNP_SCurrentForecast_272859d1">#REF!</definedName>
    <definedName name="_vena_DYNP_SCurrentForecast_272ccd99">#REF!</definedName>
    <definedName name="_vena_DYNP_SCurrentForecast_2a2d922c">#REF!</definedName>
    <definedName name="_vena_DYNP_SCurrentForecast_2e04a48a">#REF!</definedName>
    <definedName name="_vena_DYNP_SCurrentForecast_2e08cfda">#REF!</definedName>
    <definedName name="_vena_DYNP_SCurrentForecast_2ec7e853">#REF!</definedName>
    <definedName name="_vena_DYNP_SCurrentForecast_2f773545">#REF!</definedName>
    <definedName name="_vena_DYNP_SCurrentForecast_305d10bc">#REF!</definedName>
    <definedName name="_vena_DYNP_SCurrentForecast_30b5fd4b">#REF!</definedName>
    <definedName name="_vena_DYNP_SCurrentForecast_30ff2620">#REF!</definedName>
    <definedName name="_vena_DYNP_SCurrentForecast_31ade72d">#REF!</definedName>
    <definedName name="_vena_DYNP_SCurrentForecast_3444129d">#REF!</definedName>
    <definedName name="_vena_DYNP_SCurrentForecast_346675b3">#REF!</definedName>
    <definedName name="_vena_DYNP_SCurrentForecast_374667bb">#REF!</definedName>
    <definedName name="_vena_DYNP_SCurrentForecast_377ec62f">#REF!</definedName>
    <definedName name="_vena_DYNP_SCurrentForecast_37b67681">#REF!</definedName>
    <definedName name="_vena_DYNP_SCurrentForecast_38862974">#REF!</definedName>
    <definedName name="_vena_DYNP_SCurrentForecast_38fb2cb2">#REF!</definedName>
    <definedName name="_vena_DYNP_SCurrentForecast_3ab1b5ea">#REF!</definedName>
    <definedName name="_vena_DYNP_SCurrentForecast_3b05a49f">#REF!</definedName>
    <definedName name="_vena_DYNP_SCurrentForecast_3d9f649e">#REF!</definedName>
    <definedName name="_vena_DYNP_SCurrentForecast_3ee6d7b1">#REF!</definedName>
    <definedName name="_vena_DYNP_SCurrentForecast_3f139503">#REF!</definedName>
    <definedName name="_vena_DYNP_SCurrentForecast_3fb12d6d">#REF!</definedName>
    <definedName name="_vena_DYNP_SCurrentForecast_42013679">#REF!</definedName>
    <definedName name="_vena_DYNP_SCurrentForecast_431b3134">#REF!</definedName>
    <definedName name="_vena_DYNP_SCurrentForecast_460e98bc">#REF!</definedName>
    <definedName name="_vena_DYNP_SCurrentForecast_4741ba03">#REF!</definedName>
    <definedName name="_vena_DYNP_SCurrentForecast_47fd83e7">#REF!</definedName>
    <definedName name="_vena_DYNP_SCurrentForecast_4ac6858f">#REF!</definedName>
    <definedName name="_vena_DYNP_SCurrentForecast_4b8b95">#REF!</definedName>
    <definedName name="_vena_DYNP_SCurrentForecast_4d54fde5">#REF!</definedName>
    <definedName name="_vena_DYNP_SCurrentForecast_4ee30aa0">#REF!</definedName>
    <definedName name="_vena_DYNP_SCurrentForecast_50a069f4">#REF!</definedName>
    <definedName name="_vena_DYNP_SCurrentForecast_50a72137">#REF!</definedName>
    <definedName name="_vena_DYNP_SCurrentForecast_52211f0c">#REF!</definedName>
    <definedName name="_vena_DYNP_SCurrentForecast_534c5c2e">#REF!</definedName>
    <definedName name="_vena_DYNP_SCurrentForecast_53a457fe">#REF!</definedName>
    <definedName name="_vena_DYNP_SCurrentForecast_53f5fc08">#REF!</definedName>
    <definedName name="_vena_DYNP_SCurrentForecast_5415761c">#REF!</definedName>
    <definedName name="_vena_DYNP_SCurrentForecast_5446d3c9">#REF!</definedName>
    <definedName name="_vena_DYNP_SCurrentForecast_55d1214f">#REF!</definedName>
    <definedName name="_vena_DYNP_SCurrentForecast_5b548f79">#REF!</definedName>
    <definedName name="_vena_DYNP_SCurrentForecast_5d647d27">#REF!</definedName>
    <definedName name="_vena_DYNP_SCurrentForecast_5ed47fef">#REF!</definedName>
    <definedName name="_vena_DYNP_SCurrentForecast_5f55d45a">#REF!</definedName>
    <definedName name="_vena_DYNP_SCurrentForecast_5fc7a2dd">#REF!</definedName>
    <definedName name="_vena_DYNP_SCurrentForecast_6014d2d3">#REF!</definedName>
    <definedName name="_vena_DYNP_SCurrentForecast_6207698e">#REF!</definedName>
    <definedName name="_vena_DYNP_SCurrentForecast_65c0b9e5">#REF!</definedName>
    <definedName name="_vena_DYNP_SCurrentForecast_66ad7cf3">#REF!</definedName>
    <definedName name="_vena_DYNP_SCurrentForecast_6894da1c">#REF!</definedName>
    <definedName name="_vena_DYNP_SCurrentForecast_6ab52ee4">#REF!</definedName>
    <definedName name="_vena_DYNP_SCurrentForecast_6abda96f">#REF!</definedName>
    <definedName name="_vena_DYNP_SCurrentForecast_6f07d6cc">#REF!</definedName>
    <definedName name="_vena_DYNP_SCurrentForecast_7276b238">#REF!</definedName>
    <definedName name="_vena_DYNP_SCurrentForecast_73378f24">#REF!</definedName>
    <definedName name="_vena_DYNP_SCurrentForecast_7432f7b9">#REF!</definedName>
    <definedName name="_vena_DYNP_SCurrentForecast_7769e4ff">#REF!</definedName>
    <definedName name="_vena_DYNP_SCurrentForecast_7901952b">#REF!</definedName>
    <definedName name="_vena_DYNP_SCurrentForecast_7c7fc7c4">#REF!</definedName>
    <definedName name="_vena_DYNP_SCurrentForecast_80804b47">#REF!</definedName>
    <definedName name="_vena_DYNP_SCurrentForecast_8450d788">#REF!</definedName>
    <definedName name="_vena_DYNP_SCurrentForecast_84845bd0">#REF!</definedName>
    <definedName name="_vena_DYNP_SCurrentForecast_84d35bcb">#REF!</definedName>
    <definedName name="_vena_DYNP_SCurrentForecast_84ebaad0">#REF!</definedName>
    <definedName name="_vena_DYNP_SCurrentForecast_85266544">#REF!</definedName>
    <definedName name="_vena_DYNP_SCurrentForecast_8b3fd65e">#REF!</definedName>
    <definedName name="_vena_DYNP_SCurrentForecast_8bffd91d">#REF!</definedName>
    <definedName name="_vena_DYNP_SCurrentForecast_8c6a38f7">#REF!</definedName>
    <definedName name="_vena_DYNP_SCurrentForecast_8c9b63fc">#REF!</definedName>
    <definedName name="_vena_DYNP_SCurrentForecast_8cc72ae2">#REF!</definedName>
    <definedName name="_vena_DYNP_SCurrentForecast_93f7c8cc">#REF!</definedName>
    <definedName name="_vena_DYNP_SCurrentForecast_97ae7bad">#REF!</definedName>
    <definedName name="_vena_DYNP_SCurrentForecast_98d8fb42">#REF!</definedName>
    <definedName name="_vena_DYNP_SCurrentForecast_98ffb620">#REF!</definedName>
    <definedName name="_vena_DYNP_SCurrentForecast_9bcec099">#REF!</definedName>
    <definedName name="_vena_DYNP_SCurrentForecast_9c0aaba0">#REF!</definedName>
    <definedName name="_vena_DYNP_SCurrentForecast_9e7e4d55">#REF!</definedName>
    <definedName name="_vena_DYNP_SCurrentForecast_9f321d2c">#REF!</definedName>
    <definedName name="_vena_DYNP_SCurrentForecast_9f9b751b">#REF!</definedName>
    <definedName name="_vena_DYNP_SCurrentForecast_a03de558">#REF!</definedName>
    <definedName name="_vena_DYNP_SCurrentForecast_a0f9cc28">#REF!</definedName>
    <definedName name="_vena_DYNP_SCurrentForecast_a1c3f258">#REF!</definedName>
    <definedName name="_vena_DYNP_SCurrentForecast_a2d52e5e">#REF!</definedName>
    <definedName name="_vena_DYNP_SCurrentForecast_a55a3c65">#REF!</definedName>
    <definedName name="_vena_DYNP_SCurrentForecast_a86268b">#REF!</definedName>
    <definedName name="_vena_DYNP_SCurrentForecast_a87f2eeb">#REF!</definedName>
    <definedName name="_vena_DYNP_SCurrentForecast_a8ad3184">#REF!</definedName>
    <definedName name="_vena_DYNP_SCurrentForecast_a9c37d7e">#REF!</definedName>
    <definedName name="_vena_DYNP_SCurrentForecast_ac256d86">#REF!</definedName>
    <definedName name="_vena_DYNP_SCurrentForecast_ad6e8aa4">#REF!</definedName>
    <definedName name="_vena_DYNP_SCurrentForecast_ae3da44">#REF!</definedName>
    <definedName name="_vena_DYNP_SCurrentForecast_ae5e393">#REF!</definedName>
    <definedName name="_vena_DYNP_SCurrentForecast_b0ddecff">#REF!</definedName>
    <definedName name="_vena_DYNP_SCurrentForecast_b0ec86a1">#REF!</definedName>
    <definedName name="_vena_DYNP_SCurrentForecast_b564a98">#REF!</definedName>
    <definedName name="_vena_DYNP_SCurrentForecast_b5fd9b06">#REF!</definedName>
    <definedName name="_vena_DYNP_SCurrentForecast_b77ec162">#REF!</definedName>
    <definedName name="_vena_DYNP_SCurrentForecast_b7ac3ba5">#REF!</definedName>
    <definedName name="_vena_DYNP_SCurrentForecast_b7d408b9">#REF!</definedName>
    <definedName name="_vena_DYNP_SCurrentForecast_b91fd4c4">#REF!</definedName>
    <definedName name="_vena_DYNP_SCurrentForecast_bcab9865">#REF!</definedName>
    <definedName name="_vena_DYNP_SCurrentForecast_bcedb748">#REF!</definedName>
    <definedName name="_vena_DYNP_SCurrentForecast_c0c8a6f8">#REF!</definedName>
    <definedName name="_vena_DYNP_SCurrentForecast_c1e407e">#REF!</definedName>
    <definedName name="_vena_DYNP_SCurrentForecast_c263bb8e">#REF!</definedName>
    <definedName name="_vena_DYNP_SCurrentForecast_c3a4f02b">#REF!</definedName>
    <definedName name="_vena_DYNP_SCurrentForecast_c5cbf8cf">#REF!</definedName>
    <definedName name="_vena_DYNP_SCurrentForecast_c732c07c">#REF!</definedName>
    <definedName name="_vena_DYNP_SCurrentForecast_c7a2dff1">#REF!</definedName>
    <definedName name="_vena_DYNP_SCurrentForecast_c8583619">#REF!</definedName>
    <definedName name="_vena_DYNP_SCurrentForecast_c944bcd6">#REF!</definedName>
    <definedName name="_vena_DYNP_SCurrentForecast_c9fef548">#REF!</definedName>
    <definedName name="_vena_DYNP_SCurrentForecast_cc0b7026">#REF!</definedName>
    <definedName name="_vena_DYNP_SCurrentForecast_cc8c45c7">#REF!</definedName>
    <definedName name="_vena_DYNP_SCurrentForecast_ceafccd">#REF!</definedName>
    <definedName name="_vena_DYNP_SCurrentForecast_cfa1504c">#REF!</definedName>
    <definedName name="_vena_DYNP_SCurrentForecast_d04008cd">#REF!</definedName>
    <definedName name="_vena_DYNP_SCurrentForecast_d0d10405">#REF!</definedName>
    <definedName name="_vena_DYNP_SCurrentForecast_d13a9d25">#REF!</definedName>
    <definedName name="_vena_DYNP_SCurrentForecast_d254cca6">#REF!</definedName>
    <definedName name="_vena_DYNP_SCurrentForecast_d32b8749">#REF!</definedName>
    <definedName name="_vena_DYNP_SCurrentForecast_d5911ea3">#REF!</definedName>
    <definedName name="_vena_DYNP_SCurrentForecast_d7b00f9b">#REF!</definedName>
    <definedName name="_vena_DYNP_SCurrentForecast_d83709e6">#REF!</definedName>
    <definedName name="_vena_DYNP_SCurrentForecast_d91132f3">#REF!</definedName>
    <definedName name="_vena_DYNP_SCurrentForecast_d9294d5f">#REF!</definedName>
    <definedName name="_vena_DYNP_SCurrentForecast_dc4ce48b">#REF!</definedName>
    <definedName name="_vena_DYNP_SCurrentForecast_dccd180e">#REF!</definedName>
    <definedName name="_vena_DYNP_SCurrentForecast_df52a109">#REF!</definedName>
    <definedName name="_vena_DYNP_SCurrentForecast_dfd2647c">#REF!</definedName>
    <definedName name="_vena_DYNP_SCurrentForecast_e012b643">#REF!</definedName>
    <definedName name="_vena_DYNP_SCurrentForecast_e013170c">#REF!</definedName>
    <definedName name="_vena_DYNP_SCurrentForecast_e24e1342">#REF!</definedName>
    <definedName name="_vena_DYNP_SCurrentForecast_e29bf523">#REF!</definedName>
    <definedName name="_vena_DYNP_SCurrentForecast_e4a5ae99">#REF!</definedName>
    <definedName name="_vena_DYNP_SCurrentForecast_e5201e0c">#REF!</definedName>
    <definedName name="_vena_DYNP_SCurrentForecast_e6f392d9">#REF!</definedName>
    <definedName name="_vena_DYNP_SCurrentForecast_e9d5fc9d">#REF!</definedName>
    <definedName name="_vena_DYNP_SCurrentForecast_ea0c4fb9">#REF!</definedName>
    <definedName name="_vena_DYNP_SCurrentForecast_ea27c5ff">#REF!</definedName>
    <definedName name="_vena_DYNP_SCurrentForecast_eb486c1">#REF!</definedName>
    <definedName name="_vena_DYNP_SCurrentForecast_eb71d10c">#REF!</definedName>
    <definedName name="_vena_DYNP_SCurrentForecast_ec609f42">#REF!</definedName>
    <definedName name="_vena_DYNP_SCurrentForecast_ed3caf4b">#REF!</definedName>
    <definedName name="_vena_DYNP_SCurrentForecast_eda4c28">#REF!</definedName>
    <definedName name="_vena_DYNP_SCurrentForecast_ef65f8e0">#REF!</definedName>
    <definedName name="_vena_DYNP_SCurrentForecast_ef756f52">#REF!</definedName>
    <definedName name="_vena_DYNP_SCurrentForecast_efd622e4">#REF!</definedName>
    <definedName name="_vena_DYNP_SCurrentForecast_f04e80">#REF!</definedName>
    <definedName name="_vena_DYNP_SCurrentForecast_f358038">#REF!</definedName>
    <definedName name="_vena_DYNP_SCurrentForecast_f3dab1bb">#REF!</definedName>
    <definedName name="_vena_DYNP_SCurrentForecast_f66d4c7c">#REF!</definedName>
    <definedName name="_vena_DYNP_SCurrentForecast_f6c420b7">#REF!</definedName>
    <definedName name="_vena_DYNP_SCurrentForecast_f6f6121d">#REF!</definedName>
    <definedName name="_vena_DYNP_SCurrentForecast_f74a68c2">#REF!</definedName>
    <definedName name="_vena_DYNP_SCurrentForecast_fcea51e6">#REF!</definedName>
    <definedName name="_vena_DYNP_SPreviousForecast_2453488c">#REF!</definedName>
    <definedName name="_vena_DYNP_SPreviousForecast_3fd64f36">#REF!</definedName>
    <definedName name="_vena_DYNP_SPreviousForecast_62d67b17">#REF!</definedName>
    <definedName name="_vena_DYNP_SPreviousForecast_dedaf819">#REF!</definedName>
    <definedName name="_vena_DYNR_SCashFlowS2_BCashFlowB2_3bb403b5">#REF!</definedName>
    <definedName name="_vena_DYNR_SCashFlowS2_BCashFlowB2_3bb403b5_110fba0d">#REF!</definedName>
    <definedName name="_vena_DYNR_SCashFlowS2_BCashFlowB2_3bb403b5_11be8293">#REF!</definedName>
    <definedName name="_vena_DYNR_SCashFlowS2_BCashFlowB2_3bb403b5_37563620">#REF!</definedName>
    <definedName name="_vena_DYNR_SCashFlowS2_BCashFlowB2_3bb403b5_48682f63">#REF!</definedName>
    <definedName name="_vena_DYNR_SCashFlowS2_BCashFlowB2_3bb403b5_4e8078b8">#REF!</definedName>
    <definedName name="_vena_DYNR_SCashFlowS2_BCashFlowB2_3bb403b5_6276d108">#REF!</definedName>
    <definedName name="_vena_DYNR_SCashFlowS2_BCashFlowB2_3bb403b5_687ec154">#REF!</definedName>
    <definedName name="_vena_DYNR_SCashFlowS2_BCashFlowB2_3bb403b5_753bd74f">#REF!</definedName>
    <definedName name="_vena_DYNR_SCashFlowS2_BCashFlowB2_3bb403b5_79684fd9">#REF!</definedName>
    <definedName name="_vena_DYNR_SCashFlowS2_BCashFlowB2_3bb403b5_7c095dd6">#REF!</definedName>
    <definedName name="_vena_DYNR_SCashFlowS2_BCashFlowB2_3bb403b5_9c9c5c3f">#REF!</definedName>
    <definedName name="_vena_DYNR_SCashFlowS2_BCashFlowB2_3bb403b5_abc03144">#REF!</definedName>
    <definedName name="_vena_DYNR_SCashFlowS2_BCashFlowB2_3bb403b5_b5908041">#REF!</definedName>
    <definedName name="_vena_DYNR_SCashFlowS2_BCashFlowB2_3bb403b5_be22af94">#REF!</definedName>
    <definedName name="_vena_DYNR_SCashFlowS2_BCashFlowB2_3bb403b5_d316625e">#REF!</definedName>
    <definedName name="_vena_DYNR_SCashFlowS2_BCashFlowB2_3bb403b5_f381821e">#REF!</definedName>
    <definedName name="_vena_DYNR_SCashFlowS2_BCashFlowB2_4475109e">#REF!</definedName>
    <definedName name="_vena_DYNR_SCashFlowS2_BCashFlowB2_4475109e_1314d5ec">#REF!</definedName>
    <definedName name="_vena_DYNR_SCashFlowS2_BCashFlowB2_4475109e_1b1be526">#REF!</definedName>
    <definedName name="_vena_DYNR_SCashFlowS2_BCashFlowB2_4475109e_20cace5e">#REF!</definedName>
    <definedName name="_vena_DYNR_SCashFlowS2_BCashFlowB2_4475109e_3ef50ddb">#REF!</definedName>
    <definedName name="_vena_DYNR_SCashFlowS2_BCashFlowB2_4475109e_475ff012">#REF!</definedName>
    <definedName name="_vena_DYNR_SCashFlowS2_BCashFlowB2_4475109e_53c56e33">#REF!</definedName>
    <definedName name="_vena_DYNR_SCashFlowS2_BCashFlowB2_4475109e_5864b8f">#REF!</definedName>
    <definedName name="_vena_DYNR_SCashFlowS2_BCashFlowB2_4475109e_60c4e134">#REF!</definedName>
    <definedName name="_vena_DYNR_SCashFlowS2_BCashFlowB2_4475109e_7b58df3f">#REF!</definedName>
    <definedName name="_vena_DYNR_SCashFlowS2_BCashFlowB2_4475109e_7f37b69d">#REF!</definedName>
    <definedName name="_vena_DYNR_SCashFlowS2_BCashFlowB2_4475109e_7f9ca338">#REF!</definedName>
    <definedName name="_vena_DYNR_SCashFlowS2_BCashFlowB2_4475109e_86a1ff10">#REF!</definedName>
    <definedName name="_vena_DYNR_SCashFlowS2_BCashFlowB2_4475109e_8e9cc601">#REF!</definedName>
    <definedName name="_vena_DYNR_SCashFlowS2_BCashFlowB2_4475109e_978cc2a0">#REF!</definedName>
    <definedName name="_vena_DYNR_SCashFlowS2_BCashFlowB2_4475109e_995ab75">#REF!</definedName>
    <definedName name="_vena_DYNR_SCashFlowS2_BCashFlowB2_4475109e_9dc33123">#REF!</definedName>
    <definedName name="_vena_DYNR_SCashFlowS2_BCashFlowB2_4475109e_a97787c3">#REF!</definedName>
    <definedName name="_vena_DYNR_SCashFlowS2_BCashFlowB2_4475109e_d405fef1">#REF!</definedName>
    <definedName name="_vena_DYNR_SCashFlowS2_BCashFlowB2_4475109e_d6795da3">#REF!</definedName>
    <definedName name="_vena_DYNR_SCashFlowS2_BCashFlowB2_4475109e_ecb63809">#REF!</definedName>
    <definedName name="_vena_DYNR_SCashFlowS2_BCashFlowB2_6493c8c9">#REF!</definedName>
    <definedName name="_vena_DYNR_SCashFlowS2_BCashFlowB2_6493c8c9_12a9e780">#REF!</definedName>
    <definedName name="_vena_DYNR_SCashFlowS2_BCashFlowB2_6493c8c9_2414889b">#REF!</definedName>
    <definedName name="_vena_DYNR_SCashFlowS2_BCashFlowB2_6493c8c9_2901410">#REF!</definedName>
    <definedName name="_vena_DYNR_SCashFlowS2_BCashFlowB2_6493c8c9_32b95afa">#REF!</definedName>
    <definedName name="_vena_DYNR_SCashFlowS2_BCashFlowB2_6493c8c9_362d9096">#REF!</definedName>
    <definedName name="_vena_DYNR_SCashFlowS2_BCashFlowB2_6493c8c9_4058643a">#REF!</definedName>
    <definedName name="_vena_DYNR_SCashFlowS2_BCashFlowB2_6493c8c9_454ae2d4">#REF!</definedName>
    <definedName name="_vena_DYNR_SCashFlowS2_BCashFlowB2_6493c8c9_4f808e48">#REF!</definedName>
    <definedName name="_vena_DYNR_SCashFlowS2_BCashFlowB2_6493c8c9_5423beca">#REF!</definedName>
    <definedName name="_vena_DYNR_SCashFlowS2_BCashFlowB2_6493c8c9_5c925eb0">#REF!</definedName>
    <definedName name="_vena_DYNR_SCashFlowS2_BCashFlowB2_6493c8c9_63300fd1">#REF!</definedName>
    <definedName name="_vena_DYNR_SCashFlowS2_BCashFlowB2_6493c8c9_70ae08b1">#REF!</definedName>
    <definedName name="_vena_DYNR_SCashFlowS2_BCashFlowB2_6493c8c9_72d004a0">#REF!</definedName>
    <definedName name="_vena_DYNR_SCashFlowS2_BCashFlowB2_6493c8c9_7366e736">#REF!</definedName>
    <definedName name="_vena_DYNR_SCashFlowS2_BCashFlowB2_6493c8c9_778dbec3">#REF!</definedName>
    <definedName name="_vena_DYNR_SCashFlowS2_BCashFlowB2_6493c8c9_788bb2b2">#REF!</definedName>
    <definedName name="_vena_DYNR_SCashFlowS2_BCashFlowB2_6493c8c9_793c3b9f">#REF!</definedName>
    <definedName name="_vena_DYNR_SCashFlowS2_BCashFlowB2_6493c8c9_7952fb80">#REF!</definedName>
    <definedName name="_vena_DYNR_SCashFlowS2_BCashFlowB2_6493c8c9_7dfcf469">#REF!</definedName>
    <definedName name="_vena_DYNR_SCashFlowS2_BCashFlowB2_6493c8c9_8cc87b83">#REF!</definedName>
    <definedName name="_vena_DYNR_SCashFlowS2_BCashFlowB2_6493c8c9_8f493f48">#REF!</definedName>
    <definedName name="_vena_DYNR_SCashFlowS2_BCashFlowB2_6493c8c9_91ebbfaa">#REF!</definedName>
    <definedName name="_vena_DYNR_SCashFlowS2_BCashFlowB2_6493c8c9_ae4ae481">#REF!</definedName>
    <definedName name="_vena_DYNR_SCashFlowS2_BCashFlowB2_6493c8c9_b5e6ba07">#REF!</definedName>
    <definedName name="_vena_DYNR_SCashFlowS2_BCashFlowB2_6493c8c9_b7e28bdb">#REF!</definedName>
    <definedName name="_vena_DYNR_SCashFlowS2_BCashFlowB2_6493c8c9_bf9cfcb6">#REF!</definedName>
    <definedName name="_vena_DYNR_SCashFlowS2_BCashFlowB2_6493c8c9_cb7daa0a">#REF!</definedName>
    <definedName name="_vena_DYNR_SCashFlowS2_BCashFlowB2_6493c8c9_ce434a72">#REF!</definedName>
    <definedName name="_vena_DYNR_SCashFlowS2_BCashFlowB2_6493c8c9_e97ca99b">#REF!</definedName>
    <definedName name="_vena_DYNR_SCashFlowS2_BCashFlowB2_6493c8c9_ee75b465">#REF!</definedName>
    <definedName name="_vena_DYNR_SCashFlowS2_BCashFlowB2_6493c8c9_ee8d4c88">#REF!</definedName>
    <definedName name="_vena_DYNR_SCashFlowS2_BCashFlowB2_6493c8c9_ef69eed1">#REF!</definedName>
    <definedName name="_vena_DYNR_SCashFlowS2_BCashFlowB2_6493c8c9_fc669a58">#REF!</definedName>
    <definedName name="_vena_DYNR_SCashFlowS2_BCashFlowB2_7761c89a">#REF!</definedName>
    <definedName name="_vena_DYNR_SCashFlowS2_BCashFlowB2_7761c89a_1897aac4">#REF!</definedName>
    <definedName name="_vena_DYNR_SCashFlowS2_BCashFlowB2_7761c89a_4837e707">#REF!</definedName>
    <definedName name="_vena_DYNR_SCashFlowS2_BCashFlowB2_7761c89a_572dab14">#REF!</definedName>
    <definedName name="_vena_DYNR_SCashFlowS2_BCashFlowB2_7761c89a_5ac25113">#REF!</definedName>
    <definedName name="_vena_DYNR_SCashFlowS2_BCashFlowB2_7761c89a_848279c">#REF!</definedName>
    <definedName name="_vena_DYNR_SCashFlowS2_BCashFlowB2_7761c89a_84e3deb2">#REF!</definedName>
    <definedName name="_vena_DYNR_SCashFlowS2_BCashFlowB2_7761c89a_b250527c">#REF!</definedName>
    <definedName name="_vena_DYNR_SCashFlowS2_BCashFlowB2_7761c89a_bafc28f4">#REF!</definedName>
    <definedName name="_vena_DYNR_SCashFlowS2_BCashFlowB2_7761c89a_bca1e527">#REF!</definedName>
    <definedName name="_vena_DYNR_SCashFlowS2_BCashFlowB2_7761c89a_c0bfcbd">#REF!</definedName>
    <definedName name="_vena_DYNR_SCashFlowS2_BCashFlowB2_7761c89a_c82335fe">#REF!</definedName>
    <definedName name="_vena_DYNR_SCashFlowS2_BCashFlowB2_7761c89a_d0860375">#REF!</definedName>
    <definedName name="_vena_DYNR_SCashFlowS2_BCashFlowB2_7761c89a_d5fd5e69">#REF!</definedName>
    <definedName name="_vena_DYNR_SCashFlowS2_BCashFlowB2_7761c89a_e11fa22a">#REF!</definedName>
    <definedName name="_vena_DYNR_SCashFlowS2_BCashFlowB2_7761c89a_ec4df70f">#REF!</definedName>
    <definedName name="_vena_DYNR_SCashFlowS2_BCashFlowB2_81241c3d">#REF!</definedName>
    <definedName name="_vena_DYNR_SCashFlowS2_BCashFlowB2_81241c3d_147b09e7">#REF!</definedName>
    <definedName name="_vena_DYNR_SCashFlowS2_BCashFlowB2_81241c3d_1db31e37">#REF!</definedName>
    <definedName name="_vena_DYNR_SCashFlowS2_BCashFlowB2_81241c3d_1e7874c7">#REF!</definedName>
    <definedName name="_vena_DYNR_SCashFlowS2_BCashFlowB2_81241c3d_2a9ab3e2">#REF!</definedName>
    <definedName name="_vena_DYNR_SCashFlowS2_BCashFlowB2_81241c3d_2ce6a948">#REF!</definedName>
    <definedName name="_vena_DYNR_SCashFlowS2_BCashFlowB2_81241c3d_32039699">#REF!</definedName>
    <definedName name="_vena_DYNR_SCashFlowS2_BCashFlowB2_81241c3d_32b35433">#REF!</definedName>
    <definedName name="_vena_DYNR_SCashFlowS2_BCashFlowB2_81241c3d_32da5d03">#REF!</definedName>
    <definedName name="_vena_DYNR_SCashFlowS2_BCashFlowB2_81241c3d_33d250b9">#REF!</definedName>
    <definedName name="_vena_DYNR_SCashFlowS2_BCashFlowB2_81241c3d_3655df18">#REF!</definedName>
    <definedName name="_vena_DYNR_SCashFlowS2_BCashFlowB2_81241c3d_39316280">#REF!</definedName>
    <definedName name="_vena_DYNR_SCashFlowS2_BCashFlowB2_81241c3d_4901821">#REF!</definedName>
    <definedName name="_vena_DYNR_SCashFlowS2_BCashFlowB2_81241c3d_4f54c3c8">#REF!</definedName>
    <definedName name="_vena_DYNR_SCashFlowS2_BCashFlowB2_81241c3d_588b729f">#REF!</definedName>
    <definedName name="_vena_DYNR_SCashFlowS2_BCashFlowB2_81241c3d_72ab2c62">#REF!</definedName>
    <definedName name="_vena_DYNR_SCashFlowS2_BCashFlowB2_81241c3d_72d66fa6">#REF!</definedName>
    <definedName name="_vena_DYNR_SCashFlowS2_BCashFlowB2_81241c3d_76d8bfbf">#REF!</definedName>
    <definedName name="_vena_DYNR_SCashFlowS2_BCashFlowB2_81241c3d_78e1b5e6">#REF!</definedName>
    <definedName name="_vena_DYNR_SCashFlowS2_BCashFlowB2_81241c3d_7aa8e2ac">#REF!</definedName>
    <definedName name="_vena_DYNR_SCashFlowS2_BCashFlowB2_81241c3d_8b17e672">#REF!</definedName>
    <definedName name="_vena_DYNR_SCashFlowS2_BCashFlowB2_81241c3d_9492c60e">#REF!</definedName>
    <definedName name="_vena_DYNR_SCashFlowS2_BCashFlowB2_81241c3d_94b7fbbc">#REF!</definedName>
    <definedName name="_vena_DYNR_SCashFlowS2_BCashFlowB2_81241c3d_956976a9">#REF!</definedName>
    <definedName name="_vena_DYNR_SCashFlowS2_BCashFlowB2_81241c3d_9b92c996">#REF!</definedName>
    <definedName name="_vena_DYNR_SCashFlowS2_BCashFlowB2_81241c3d_a0640015">#REF!</definedName>
    <definedName name="_vena_DYNR_SCashFlowS2_BCashFlowB2_81241c3d_a7bf3049">#REF!</definedName>
    <definedName name="_vena_DYNR_SCashFlowS2_BCashFlowB2_81241c3d_aab5d70">#REF!</definedName>
    <definedName name="_vena_DYNR_SCashFlowS2_BCashFlowB2_81241c3d_ac0078fe">#REF!</definedName>
    <definedName name="_vena_DYNR_SCashFlowS2_BCashFlowB2_81241c3d_af9c5f3f">#REF!</definedName>
    <definedName name="_vena_DYNR_SCashFlowS2_BCashFlowB2_81241c3d_b0c13c47">#REF!</definedName>
    <definedName name="_vena_DYNR_SCashFlowS2_BCashFlowB2_81241c3d_bc78a9c2">#REF!</definedName>
    <definedName name="_vena_DYNR_SCashFlowS2_BCashFlowB2_81241c3d_c9f51af6">#REF!</definedName>
    <definedName name="_vena_DYNR_SCashFlowS2_BCashFlowB2_81241c3d_d56444e3">#REF!</definedName>
    <definedName name="_vena_DYNR_SCashFlowS2_BCashFlowB2_81241c3d_dd7c27fd">#REF!</definedName>
    <definedName name="_vena_DYNR_SCashFlowS2_BCashFlowB2_81241c3d_e0080a19">#REF!</definedName>
    <definedName name="_vena_DYNR_SCashFlowS2_BCashFlowB2_81241c3d_e160b716">#REF!</definedName>
    <definedName name="_vena_DYNR_SCashFlowS2_BCashFlowB2_81241c3d_e5c048ae">#REF!</definedName>
    <definedName name="_vena_DYNR_SCashFlowS2_BCashFlowB2_81241c3d_ebf930e7">#REF!</definedName>
    <definedName name="_vena_DYNR_SCashFlowS2_BCashFlowB2_81241c3d_ee75d8f1">#REF!</definedName>
    <definedName name="_vena_DYNR_SCashFlowS2_BCashFlowB2_81241c3d_ef09ba04">#REF!</definedName>
    <definedName name="_vena_DYNR_SCashFlowS2_BCashFlowB2_81241c3d_f591f6af">#REF!</definedName>
    <definedName name="_vena_DYNR_SCashFlowS2_BCashFlowB2_81241c3d_fedecc28">#REF!</definedName>
    <definedName name="_vena_DYNR_SCashFlowS2_BCashFlowB2_85b54005">#REF!</definedName>
    <definedName name="_vena_DYNR_SCashFlowS2_BCashFlowB2_85b54005_135c023d">#REF!</definedName>
    <definedName name="_vena_DYNR_SCashFlowS2_BCashFlowB2_85b54005_1b4ddd87">#REF!</definedName>
    <definedName name="_vena_DYNR_SCashFlowS2_BCashFlowB2_85b54005_1e3306f7">#REF!</definedName>
    <definedName name="_vena_DYNR_SCashFlowS2_BCashFlowB2_85b54005_2f8e4cab">#REF!</definedName>
    <definedName name="_vena_DYNR_SCashFlowS2_BCashFlowB2_85b54005_33fef90f">#REF!</definedName>
    <definedName name="_vena_DYNR_SCashFlowS2_BCashFlowB2_85b54005_3b2bd15e">#REF!</definedName>
    <definedName name="_vena_DYNR_SCashFlowS2_BCashFlowB2_85b54005_4fe1bd1f">#REF!</definedName>
    <definedName name="_vena_DYNR_SCashFlowS2_BCashFlowB2_85b54005_564c0f05">#REF!</definedName>
    <definedName name="_vena_DYNR_SCashFlowS2_BCashFlowB2_85b54005_654e404d">#REF!</definedName>
    <definedName name="_vena_DYNR_SCashFlowS2_BCashFlowB2_85b54005_698296fb">#REF!</definedName>
    <definedName name="_vena_DYNR_SCashFlowS2_BCashFlowB2_85b54005_6e0f2bd2">#REF!</definedName>
    <definedName name="_vena_DYNR_SCashFlowS2_BCashFlowB2_85b54005_86890bc6">#REF!</definedName>
    <definedName name="_vena_DYNR_SCashFlowS2_BCashFlowB2_85b54005_9982a8ab">#REF!</definedName>
    <definedName name="_vena_DYNR_SCashFlowS2_BCashFlowB2_85b54005_9b5ac0d7">#REF!</definedName>
    <definedName name="_vena_DYNR_SCashFlowS2_BCashFlowB2_85b54005_9edc15d5">#REF!</definedName>
    <definedName name="_vena_DYNR_SCashFlowS2_BCashFlowB2_85b54005_a268d1b9">#REF!</definedName>
    <definedName name="_vena_DYNR_SCashFlowS2_BCashFlowB2_85b54005_ad0af034">#REF!</definedName>
    <definedName name="_vena_DYNR_SCashFlowS2_BCashFlowB2_85b54005_adcaafed">#REF!</definedName>
    <definedName name="_vena_DYNR_SCashFlowS2_BCashFlowB2_85b54005_c72257ac">#REF!</definedName>
    <definedName name="_vena_DYNR_SCashFlowS2_BCashFlowB2_85b54005_d6a34152">#REF!</definedName>
    <definedName name="_vena_DYNR_SCashFlowS2_BCashFlowB2_8b588541">#REF!</definedName>
    <definedName name="_vena_DYNR_SCashFlowS2_BCashFlowB2_8b588541_166050eb">#REF!</definedName>
    <definedName name="_vena_DYNR_SCashFlowS2_BCashFlowB2_8b588541_19d84f8e">#REF!</definedName>
    <definedName name="_vena_DYNR_SCashFlowS2_BCashFlowB2_8b588541_34c40ac6">#REF!</definedName>
    <definedName name="_vena_DYNR_SCashFlowS2_BCashFlowB2_8b588541_363b2aac">#REF!</definedName>
    <definedName name="_vena_DYNR_SCashFlowS2_BCashFlowB2_8b588541_36420f40">#REF!</definedName>
    <definedName name="_vena_DYNR_SCashFlowS2_BCashFlowB2_8b588541_61fe78f3">#REF!</definedName>
    <definedName name="_vena_DYNR_SCashFlowS2_BCashFlowB2_8b588541_64017511">#REF!</definedName>
    <definedName name="_vena_DYNR_SCashFlowS2_BCashFlowB2_8b588541_68b4598d">#REF!</definedName>
    <definedName name="_vena_DYNR_SCashFlowS2_BCashFlowB2_8b588541_7e9e7613">#REF!</definedName>
    <definedName name="_vena_DYNR_SCashFlowS2_BCashFlowB2_8b588541_b0c68db7">#REF!</definedName>
    <definedName name="_vena_DYNR_SCashFlowS2_BCashFlowB2_8b588541_b246599b">#REF!</definedName>
    <definedName name="_vena_DYNR_SCashFlowS2_BCashFlowB2_8b588541_ba152523">#REF!</definedName>
    <definedName name="_vena_DYNR_SCashFlowS2_BCashFlowB2_8b588541_cc34c651">#REF!</definedName>
    <definedName name="_vena_DYNR_SCashFlowS2_BCashFlowB2_8b588541_d1997ad2">#REF!</definedName>
    <definedName name="_vena_DYNR_SCashFlowS2_BCashFlowB2_8b588541_d817ecbd">#REF!</definedName>
    <definedName name="_vena_DYNR_SCashFlowS2_BCashFlowB2_8b588541_ead8448">#REF!</definedName>
    <definedName name="_vena_DYNR_SCashFlowS2_BCashFlowB2_8e87ec5d">#REF!</definedName>
    <definedName name="_vena_DYNR_SCashFlowS2_BCashFlowB2_8e87ec5d_14143c87">#REF!</definedName>
    <definedName name="_vena_DYNR_SCashFlowS2_BCashFlowB2_8e87ec5d_1459aaf9">#REF!</definedName>
    <definedName name="_vena_DYNR_SCashFlowS2_BCashFlowB2_8e87ec5d_265a0022">#REF!</definedName>
    <definedName name="_vena_DYNR_SCashFlowS2_BCashFlowB2_8e87ec5d_281bd80c">#REF!</definedName>
    <definedName name="_vena_DYNR_SCashFlowS2_BCashFlowB2_8e87ec5d_2c2f7a37">#REF!</definedName>
    <definedName name="_vena_DYNR_SCashFlowS2_BCashFlowB2_8e87ec5d_34967e">#REF!</definedName>
    <definedName name="_vena_DYNR_SCashFlowS2_BCashFlowB2_8e87ec5d_35e3bdd9">#REF!</definedName>
    <definedName name="_vena_DYNR_SCashFlowS2_BCashFlowB2_8e87ec5d_3697ffab">#REF!</definedName>
    <definedName name="_vena_DYNR_SCashFlowS2_BCashFlowB2_8e87ec5d_4252cc65">#REF!</definedName>
    <definedName name="_vena_DYNR_SCashFlowS2_BCashFlowB2_8e87ec5d_4b6e2e63">#REF!</definedName>
    <definedName name="_vena_DYNR_SCashFlowS2_BCashFlowB2_8e87ec5d_4d4a0a1a">#REF!</definedName>
    <definedName name="_vena_DYNR_SCashFlowS2_BCashFlowB2_8e87ec5d_50813ae9">#REF!</definedName>
    <definedName name="_vena_DYNR_SCashFlowS2_BCashFlowB2_8e87ec5d_59bffac">#REF!</definedName>
    <definedName name="_vena_DYNR_SCashFlowS2_BCashFlowB2_8e87ec5d_60cb0a55">#REF!</definedName>
    <definedName name="_vena_DYNR_SCashFlowS2_BCashFlowB2_8e87ec5d_64792b14">#REF!</definedName>
    <definedName name="_vena_DYNR_SCashFlowS2_BCashFlowB2_8e87ec5d_64a7313c">#REF!</definedName>
    <definedName name="_vena_DYNR_SCashFlowS2_BCashFlowB2_8e87ec5d_65f6ddba">#REF!</definedName>
    <definedName name="_vena_DYNR_SCashFlowS2_BCashFlowB2_8e87ec5d_662f569f">#REF!</definedName>
    <definedName name="_vena_DYNR_SCashFlowS2_BCashFlowB2_8e87ec5d_6c1eebcc">#REF!</definedName>
    <definedName name="_vena_DYNR_SCashFlowS2_BCashFlowB2_8e87ec5d_6c65a73">#REF!</definedName>
    <definedName name="_vena_DYNR_SCashFlowS2_BCashFlowB2_8e87ec5d_6c887575">#REF!</definedName>
    <definedName name="_vena_DYNR_SCashFlowS2_BCashFlowB2_8e87ec5d_75f2fcb8">#REF!</definedName>
    <definedName name="_vena_DYNR_SCashFlowS2_BCashFlowB2_8e87ec5d_7f9e0020">#REF!</definedName>
    <definedName name="_vena_DYNR_SCashFlowS2_BCashFlowB2_8e87ec5d_8209dfeb">#REF!</definedName>
    <definedName name="_vena_DYNR_SCashFlowS2_BCashFlowB2_8e87ec5d_857b08e1">#REF!</definedName>
    <definedName name="_vena_DYNR_SCashFlowS2_BCashFlowB2_8e87ec5d_85e60c10">#REF!</definedName>
    <definedName name="_vena_DYNR_SCashFlowS2_BCashFlowB2_8e87ec5d_88c52cc7">#REF!</definedName>
    <definedName name="_vena_DYNR_SCashFlowS2_BCashFlowB2_8e87ec5d_8e6b4f26">#REF!</definedName>
    <definedName name="_vena_DYNR_SCashFlowS2_BCashFlowB2_8e87ec5d_91cba3be">#REF!</definedName>
    <definedName name="_vena_DYNR_SCashFlowS2_BCashFlowB2_8e87ec5d_93413f31">#REF!</definedName>
    <definedName name="_vena_DYNR_SCashFlowS2_BCashFlowB2_8e87ec5d_9e94d180">#REF!</definedName>
    <definedName name="_vena_DYNR_SCashFlowS2_BCashFlowB2_8e87ec5d_a14e5692">#REF!</definedName>
    <definedName name="_vena_DYNR_SCashFlowS2_BCashFlowB2_8e87ec5d_a3ba9d9d">#REF!</definedName>
    <definedName name="_vena_DYNR_SCashFlowS2_BCashFlowB2_8e87ec5d_a8d23a8b">#REF!</definedName>
    <definedName name="_vena_DYNR_SCashFlowS2_BCashFlowB2_8e87ec5d_b11fbcf6">#REF!</definedName>
    <definedName name="_vena_DYNR_SCashFlowS2_BCashFlowB2_8e87ec5d_b18a950b">#REF!</definedName>
    <definedName name="_vena_DYNR_SCashFlowS2_BCashFlowB2_8e87ec5d_b6e2a3e9">#REF!</definedName>
    <definedName name="_vena_DYNR_SCashFlowS2_BCashFlowB2_8e87ec5d_b80b1459">#REF!</definedName>
    <definedName name="_vena_DYNR_SCashFlowS2_BCashFlowB2_8e87ec5d_bf02c7e6">#REF!</definedName>
    <definedName name="_vena_DYNR_SCashFlowS2_BCashFlowB2_8e87ec5d_bf8cb215">#REF!</definedName>
    <definedName name="_vena_DYNR_SCashFlowS2_BCashFlowB2_8e87ec5d_c89f445d">#REF!</definedName>
    <definedName name="_vena_DYNR_SCashFlowS2_BCashFlowB2_8e87ec5d_cb67de56">#REF!</definedName>
    <definedName name="_vena_DYNR_SCashFlowS2_BCashFlowB2_8e87ec5d_cd89ab99">#REF!</definedName>
    <definedName name="_vena_DYNR_SCashFlowS2_BCashFlowB2_8e87ec5d_cf97ee55">#REF!</definedName>
    <definedName name="_vena_DYNR_SCashFlowS2_BCashFlowB2_8e87ec5d_d9151bb8">#REF!</definedName>
    <definedName name="_vena_DYNR_SCashFlowS2_BCashFlowB2_8e87ec5d_d95b131">#REF!</definedName>
    <definedName name="_vena_DYNR_SCashFlowS2_BCashFlowB2_8e87ec5d_dc60a39">#REF!</definedName>
    <definedName name="_vena_DYNR_SCashFlowS2_BCashFlowB2_8e87ec5d_e348f681">#REF!</definedName>
    <definedName name="_vena_DYNR_SCashFlowS2_BCashFlowB2_8e87ec5d_e5e8c0e3">#REF!</definedName>
    <definedName name="_vena_DYNR_SCashFlowS2_BCashFlowB2_8e87ec5d_e68297f3">#REF!</definedName>
    <definedName name="_vena_DYNR_SCashFlowS2_BCashFlowB2_8e87ec5d_e8c09d5d">#REF!</definedName>
    <definedName name="_vena_DYNR_SCashFlowS2_BCashFlowB2_8e87ec5d_eca7d3cb">#REF!</definedName>
    <definedName name="_vena_DYNR_SCashFlowS2_BCashFlowB2_8e87ec5d_f1187433">#REF!</definedName>
    <definedName name="_vena_DYNR_SCashFlowS2_BCashFlowB2_8e87ec5d_fcb4c671">#REF!</definedName>
    <definedName name="_vena_DYNR_SCashFlowS2_BCashFlowB2_945738ba">#REF!</definedName>
    <definedName name="_vena_DYNR_SCashFlowS2_BCashFlowB2_945738ba_199d5f5e">#REF!</definedName>
    <definedName name="_vena_DYNR_SCashFlowS2_BCashFlowB2_945738ba_205f2b43">#REF!</definedName>
    <definedName name="_vena_DYNR_SCashFlowS2_BCashFlowB2_945738ba_29cd3edc">#REF!</definedName>
    <definedName name="_vena_DYNR_SCashFlowS2_BCashFlowB2_945738ba_2d6d2651">#REF!</definedName>
    <definedName name="_vena_DYNR_SCashFlowS2_BCashFlowB2_945738ba_47d26cc6">#REF!</definedName>
    <definedName name="_vena_DYNR_SCashFlowS2_BCashFlowB2_945738ba_60dfb65e">#REF!</definedName>
    <definedName name="_vena_DYNR_SCashFlowS2_BCashFlowB2_945738ba_692b3cab">#REF!</definedName>
    <definedName name="_vena_DYNR_SCashFlowS2_BCashFlowB2_945738ba_6ed0a410">#REF!</definedName>
    <definedName name="_vena_DYNR_SCashFlowS2_BCashFlowB2_945738ba_993ada02">#REF!</definedName>
    <definedName name="_vena_DYNR_SCashFlowS2_BCashFlowB2_945738ba_99782ea7">#REF!</definedName>
    <definedName name="_vena_DYNR_SCashFlowS2_BCashFlowB2_945738ba_9cebe3fa">#REF!</definedName>
    <definedName name="_vena_DYNR_SCashFlowS2_BCashFlowB2_945738ba_9f305ac2">#REF!</definedName>
    <definedName name="_vena_DYNR_SCashFlowS2_BCashFlowB2_945738ba_b8d8a693">#REF!</definedName>
    <definedName name="_vena_DYNR_SCashFlowS2_BCashFlowB2_945738ba_c7027e3d">#REF!</definedName>
    <definedName name="_vena_DYNR_SCashFlowS2_BCashFlowB2_945738ba_da316dbb">#REF!</definedName>
    <definedName name="_vena_DYNR_SCashFlowS2_BCashFlowB2_945738ba_e8ad4206">#REF!</definedName>
    <definedName name="_vena_DYNR_SCashFlowS2_BCashFlowB2_9e60b136">#REF!</definedName>
    <definedName name="_vena_DYNR_SCashFlowS2_BCashFlowB2_9e60b136_117336b1">#REF!</definedName>
    <definedName name="_vena_DYNR_SCashFlowS2_BCashFlowB2_9e60b136_15194cc5">#REF!</definedName>
    <definedName name="_vena_DYNR_SCashFlowS2_BCashFlowB2_9e60b136_16854de5">#REF!</definedName>
    <definedName name="_vena_DYNR_SCashFlowS2_BCashFlowB2_9e60b136_197bab4c">#REF!</definedName>
    <definedName name="_vena_DYNR_SCashFlowS2_BCashFlowB2_9e60b136_1bda0e3f">#REF!</definedName>
    <definedName name="_vena_DYNR_SCashFlowS2_BCashFlowB2_9e60b136_1d210205">#REF!</definedName>
    <definedName name="_vena_DYNR_SCashFlowS2_BCashFlowB2_9e60b136_1da95e5">#REF!</definedName>
    <definedName name="_vena_DYNR_SCashFlowS2_BCashFlowB2_9e60b136_1e923f0e">#REF!</definedName>
    <definedName name="_vena_DYNR_SCashFlowS2_BCashFlowB2_9e60b136_23fb3d15">#REF!</definedName>
    <definedName name="_vena_DYNR_SCashFlowS2_BCashFlowB2_9e60b136_2466ec78">#REF!</definedName>
    <definedName name="_vena_DYNR_SCashFlowS2_BCashFlowB2_9e60b136_271e8ca">#REF!</definedName>
    <definedName name="_vena_DYNR_SCashFlowS2_BCashFlowB2_9e60b136_285d7596">#REF!</definedName>
    <definedName name="_vena_DYNR_SCashFlowS2_BCashFlowB2_9e60b136_290a1710">#REF!</definedName>
    <definedName name="_vena_DYNR_SCashFlowS2_BCashFlowB2_9e60b136_2a90f912">#REF!</definedName>
    <definedName name="_vena_DYNR_SCashFlowS2_BCashFlowB2_9e60b136_2b7d137d">#REF!</definedName>
    <definedName name="_vena_DYNR_SCashFlowS2_BCashFlowB2_9e60b136_2bf59692">#REF!</definedName>
    <definedName name="_vena_DYNR_SCashFlowS2_BCashFlowB2_9e60b136_30eafca9">#REF!</definedName>
    <definedName name="_vena_DYNR_SCashFlowS2_BCashFlowB2_9e60b136_3108de4f">#REF!</definedName>
    <definedName name="_vena_DYNR_SCashFlowS2_BCashFlowB2_9e60b136_33cfc855">#REF!</definedName>
    <definedName name="_vena_DYNR_SCashFlowS2_BCashFlowB2_9e60b136_35b86b14">#REF!</definedName>
    <definedName name="_vena_DYNR_SCashFlowS2_BCashFlowB2_9e60b136_37ce56a6">#REF!</definedName>
    <definedName name="_vena_DYNR_SCashFlowS2_BCashFlowB2_9e60b136_3a57b93f">#REF!</definedName>
    <definedName name="_vena_DYNR_SCashFlowS2_BCashFlowB2_9e60b136_3a6ef45">#REF!</definedName>
    <definedName name="_vena_DYNR_SCashFlowS2_BCashFlowB2_9e60b136_3ea64a3">#REF!</definedName>
    <definedName name="_vena_DYNR_SCashFlowS2_BCashFlowB2_9e60b136_4048757b">#REF!</definedName>
    <definedName name="_vena_DYNR_SCashFlowS2_BCashFlowB2_9e60b136_41169f2f">#REF!</definedName>
    <definedName name="_vena_DYNR_SCashFlowS2_BCashFlowB2_9e60b136_42aece21">#REF!</definedName>
    <definedName name="_vena_DYNR_SCashFlowS2_BCashFlowB2_9e60b136_4471e0a0">#REF!</definedName>
    <definedName name="_vena_DYNR_SCashFlowS2_BCashFlowB2_9e60b136_48f9b8e4">#REF!</definedName>
    <definedName name="_vena_DYNR_SCashFlowS2_BCashFlowB2_9e60b136_4bcd1be8">#REF!</definedName>
    <definedName name="_vena_DYNR_SCashFlowS2_BCashFlowB2_9e60b136_50ce2f8e">#REF!</definedName>
    <definedName name="_vena_DYNR_SCashFlowS2_BCashFlowB2_9e60b136_525525e">#REF!</definedName>
    <definedName name="_vena_DYNR_SCashFlowS2_BCashFlowB2_9e60b136_532f8042">#REF!</definedName>
    <definedName name="_vena_DYNR_SCashFlowS2_BCashFlowB2_9e60b136_57c80822">#REF!</definedName>
    <definedName name="_vena_DYNR_SCashFlowS2_BCashFlowB2_9e60b136_5b58b3a4">#REF!</definedName>
    <definedName name="_vena_DYNR_SCashFlowS2_BCashFlowB2_9e60b136_649338d4">#REF!</definedName>
    <definedName name="_vena_DYNR_SCashFlowS2_BCashFlowB2_9e60b136_6755156b">#REF!</definedName>
    <definedName name="_vena_DYNR_SCashFlowS2_BCashFlowB2_9e60b136_6cb7901a">#REF!</definedName>
    <definedName name="_vena_DYNR_SCashFlowS2_BCashFlowB2_9e60b136_6d7f417c">#REF!</definedName>
    <definedName name="_vena_DYNR_SCashFlowS2_BCashFlowB2_9e60b136_6e7fac66">#REF!</definedName>
    <definedName name="_vena_DYNR_SCashFlowS2_BCashFlowB2_9e60b136_6f3baf7b">#REF!</definedName>
    <definedName name="_vena_DYNR_SCashFlowS2_BCashFlowB2_9e60b136_70cc7ef8">#REF!</definedName>
    <definedName name="_vena_DYNR_SCashFlowS2_BCashFlowB2_9e60b136_72341b62">#REF!</definedName>
    <definedName name="_vena_DYNR_SCashFlowS2_BCashFlowB2_9e60b136_74763c20">#REF!</definedName>
    <definedName name="_vena_DYNR_SCashFlowS2_BCashFlowB2_9e60b136_7503185">#REF!</definedName>
    <definedName name="_vena_DYNR_SCashFlowS2_BCashFlowB2_9e60b136_7d7bcf19">#REF!</definedName>
    <definedName name="_vena_DYNR_SCashFlowS2_BCashFlowB2_9e60b136_81d2bfb3">#REF!</definedName>
    <definedName name="_vena_DYNR_SCashFlowS2_BCashFlowB2_9e60b136_832efeed">#REF!</definedName>
    <definedName name="_vena_DYNR_SCashFlowS2_BCashFlowB2_9e60b136_86218533">#REF!</definedName>
    <definedName name="_vena_DYNR_SCashFlowS2_BCashFlowB2_9e60b136_8a6949e8">#REF!</definedName>
    <definedName name="_vena_DYNR_SCashFlowS2_BCashFlowB2_9e60b136_921c645f">#REF!</definedName>
    <definedName name="_vena_DYNR_SCashFlowS2_BCashFlowB2_9e60b136_966cbe78">#REF!</definedName>
    <definedName name="_vena_DYNR_SCashFlowS2_BCashFlowB2_9e60b136_972ae138">#REF!</definedName>
    <definedName name="_vena_DYNR_SCashFlowS2_BCashFlowB2_9e60b136_9daa8913">#REF!</definedName>
    <definedName name="_vena_DYNR_SCashFlowS2_BCashFlowB2_9e60b136_a3eefbbd">#REF!</definedName>
    <definedName name="_vena_DYNR_SCashFlowS2_BCashFlowB2_9e60b136_a9a8c427">#REF!</definedName>
    <definedName name="_vena_DYNR_SCashFlowS2_BCashFlowB2_9e60b136_ad645079">#REF!</definedName>
    <definedName name="_vena_DYNR_SCashFlowS2_BCashFlowB2_9e60b136_b4914314">#REF!</definedName>
    <definedName name="_vena_DYNR_SCashFlowS2_BCashFlowB2_9e60b136_b49759fc">#REF!</definedName>
    <definedName name="_vena_DYNR_SCashFlowS2_BCashFlowB2_9e60b136_bba0efae">#REF!</definedName>
    <definedName name="_vena_DYNR_SCashFlowS2_BCashFlowB2_9e60b136_c47701f4">#REF!</definedName>
    <definedName name="_vena_DYNR_SCashFlowS2_BCashFlowB2_9e60b136_ccadb66b">#REF!</definedName>
    <definedName name="_vena_DYNR_SCashFlowS2_BCashFlowB2_9e60b136_e2bc7de2">#REF!</definedName>
    <definedName name="_vena_DYNR_SCashFlowS2_BCashFlowB2_9e60b136_e7392564">#REF!</definedName>
    <definedName name="_vena_DYNR_SCashFlowS2_BCashFlowB2_9e60b136_e73df34d">#REF!</definedName>
    <definedName name="_vena_DYNR_SCashFlowS2_BCashFlowB2_9e60b136_e7465937">#REF!</definedName>
    <definedName name="_vena_DYNR_SCashFlowS2_BCashFlowB2_9e60b136_eafca99">#REF!</definedName>
    <definedName name="_vena_DYNR_SCashFlowS2_BCashFlowB2_9e60b136_f15fb8f7">#REF!</definedName>
    <definedName name="_vena_DYNR_SCashFlowS2_BCashFlowB2_9e60b136_f2f01bf6">#REF!</definedName>
    <definedName name="_vena_DYNR_SCashFlowS2_BCashFlowB2_9e60b136_f4083a0">#REF!</definedName>
    <definedName name="_vena_DYNR_SCashFlowS2_BCashFlowB2_9e60b136_f435c5d8">#REF!</definedName>
    <definedName name="_vena_DYNR_SCashFlowS2_BCashFlowB2_9e60b136_f5f832c4">#REF!</definedName>
    <definedName name="_vena_DYNR_SCashFlowS2_BCashFlowB2_9e60b136_f60ccfdf">#REF!</definedName>
    <definedName name="_vena_DYNR_SCashFlowS2_BCashFlowB2_9e60b136_f9b2464c">#REF!</definedName>
    <definedName name="_vena_DYNR_SCashFlowS2_BCashFlowB2_9e6c5adb">#REF!</definedName>
    <definedName name="_vena_DYNR_SCashFlowS2_BCashFlowB2_9e6c5adb_110ff680">#REF!</definedName>
    <definedName name="_vena_DYNR_SCashFlowS2_BCashFlowB2_9e6c5adb_2101bdb0">#REF!</definedName>
    <definedName name="_vena_DYNR_SCashFlowS2_BCashFlowB2_9e6c5adb_24e8a8ce">#REF!</definedName>
    <definedName name="_vena_DYNR_SCashFlowS2_BCashFlowB2_9e6c5adb_276e6990">#REF!</definedName>
    <definedName name="_vena_DYNR_SCashFlowS2_BCashFlowB2_9e6c5adb_2958557d">#REF!</definedName>
    <definedName name="_vena_DYNR_SCashFlowS2_BCashFlowB2_9e6c5adb_47b64580">#REF!</definedName>
    <definedName name="_vena_DYNR_SCashFlowS2_BCashFlowB2_9e6c5adb_4858df22">#REF!</definedName>
    <definedName name="_vena_DYNR_SCashFlowS2_BCashFlowB2_9e6c5adb_492c4dc2">#REF!</definedName>
    <definedName name="_vena_DYNR_SCashFlowS2_BCashFlowB2_9e6c5adb_4add2542">#REF!</definedName>
    <definedName name="_vena_DYNR_SCashFlowS2_BCashFlowB2_9e6c5adb_594c4ebf">#REF!</definedName>
    <definedName name="_vena_DYNR_SCashFlowS2_BCashFlowB2_9e6c5adb_5e5ef566">#REF!</definedName>
    <definedName name="_vena_DYNR_SCashFlowS2_BCashFlowB2_9e6c5adb_766448b5">#REF!</definedName>
    <definedName name="_vena_DYNR_SCashFlowS2_BCashFlowB2_9e6c5adb_77417213">#REF!</definedName>
    <definedName name="_vena_DYNR_SCashFlowS2_BCashFlowB2_9e6c5adb_7e51aa1b">#REF!</definedName>
    <definedName name="_vena_DYNR_SCashFlowS2_BCashFlowB2_9e6c5adb_80ca6fc9">#REF!</definedName>
    <definedName name="_vena_DYNR_SCashFlowS2_BCashFlowB2_9e6c5adb_838373bd">#REF!</definedName>
    <definedName name="_vena_DYNR_SCashFlowS2_BCashFlowB2_9e6c5adb_84b9de69">#REF!</definedName>
    <definedName name="_vena_DYNR_SCashFlowS2_BCashFlowB2_9e6c5adb_84ffc054">#REF!</definedName>
    <definedName name="_vena_DYNR_SCashFlowS2_BCashFlowB2_9e6c5adb_86e38a77">#REF!</definedName>
    <definedName name="_vena_DYNR_SCashFlowS2_BCashFlowB2_9e6c5adb_8c76b6e0">#REF!</definedName>
    <definedName name="_vena_DYNR_SCashFlowS2_BCashFlowB2_9e6c5adb_91a6f0f4">#REF!</definedName>
    <definedName name="_vena_DYNR_SCashFlowS2_BCashFlowB2_9e6c5adb_992771d7">#REF!</definedName>
    <definedName name="_vena_DYNR_SCashFlowS2_BCashFlowB2_9e6c5adb_9f2b5a96">#REF!</definedName>
    <definedName name="_vena_DYNR_SCashFlowS2_BCashFlowB2_9e6c5adb_b21a37ac">#REF!</definedName>
    <definedName name="_vena_DYNR_SCashFlowS2_BCashFlowB2_9e6c5adb_c27953f2">#REF!</definedName>
    <definedName name="_vena_DYNR_SCashFlowS2_BCashFlowB2_9e6c5adb_c6602748">#REF!</definedName>
    <definedName name="_vena_DYNR_SCashFlowS2_BCashFlowB2_9e6c5adb_ca3e375a">#REF!</definedName>
    <definedName name="_vena_DYNR_SCashFlowS2_BCashFlowB2_9e6c5adb_cadbc0e7">#REF!</definedName>
    <definedName name="_vena_DYNR_SCashFlowS2_BCashFlowB2_9e6c5adb_cce1404a">#REF!</definedName>
    <definedName name="_vena_DYNR_SCashFlowS2_BCashFlowB2_9e6c5adb_d2ca6983">#REF!</definedName>
    <definedName name="_vena_DYNR_SCashFlowS2_BCashFlowB2_9e6c5adb_d8b6c92b">#REF!</definedName>
    <definedName name="_vena_DYNR_SCashFlowS2_BCashFlowB2_9e6c5adb_ee934448">#REF!</definedName>
    <definedName name="_vena_DYNR_SCashFlowS2_BCashFlowB2_9e6c5adb_f61bbcf0">#REF!</definedName>
    <definedName name="_vena_DYNR_SCashFlowS2_BCashFlowB2_9e6c5adb_f88d90cb">#REF!</definedName>
    <definedName name="_vena_DYNR_SCashFlowS2_BCashFlowB2_a317d18c">#REF!</definedName>
    <definedName name="_vena_DYNR_SCashFlowS2_BCashFlowB2_a317d18c_104dab51">#REF!</definedName>
    <definedName name="_vena_DYNR_SCashFlowS2_BCashFlowB2_a317d18c_12b69a7d">#REF!</definedName>
    <definedName name="_vena_DYNR_SCashFlowS2_BCashFlowB2_a317d18c_1a96f3f1">#REF!</definedName>
    <definedName name="_vena_DYNR_SCashFlowS2_BCashFlowB2_a317d18c_1ed2c506">#REF!</definedName>
    <definedName name="_vena_DYNR_SCashFlowS2_BCashFlowB2_a317d18c_22f0042d">#REF!</definedName>
    <definedName name="_vena_DYNR_SCashFlowS2_BCashFlowB2_a317d18c_2ebb0170">#REF!</definedName>
    <definedName name="_vena_DYNR_SCashFlowS2_BCashFlowB2_a317d18c_2ed8e002">#REF!</definedName>
    <definedName name="_vena_DYNR_SCashFlowS2_BCashFlowB2_a317d18c_3439e968">#REF!</definedName>
    <definedName name="_vena_DYNR_SCashFlowS2_BCashFlowB2_a317d18c_35ad34db">#REF!</definedName>
    <definedName name="_vena_DYNR_SCashFlowS2_BCashFlowB2_a317d18c_42230fea">#REF!</definedName>
    <definedName name="_vena_DYNR_SCashFlowS2_BCashFlowB2_a317d18c_43351937">#REF!</definedName>
    <definedName name="_vena_DYNR_SCashFlowS2_BCashFlowB2_a317d18c_585588b7">#REF!</definedName>
    <definedName name="_vena_DYNR_SCashFlowS2_BCashFlowB2_a317d18c_5e8c8c7">#REF!</definedName>
    <definedName name="_vena_DYNR_SCashFlowS2_BCashFlowB2_a317d18c_5f558de5">#REF!</definedName>
    <definedName name="_vena_DYNR_SCashFlowS2_BCashFlowB2_a317d18c_624db539">#REF!</definedName>
    <definedName name="_vena_DYNR_SCashFlowS2_BCashFlowB2_a317d18c_703135a">#REF!</definedName>
    <definedName name="_vena_DYNR_SCashFlowS2_BCashFlowB2_a317d18c_72b33b6">#REF!</definedName>
    <definedName name="_vena_DYNR_SCashFlowS2_BCashFlowB2_a317d18c_7700f699">#REF!</definedName>
    <definedName name="_vena_DYNR_SCashFlowS2_BCashFlowB2_a317d18c_78646b72">#REF!</definedName>
    <definedName name="_vena_DYNR_SCashFlowS2_BCashFlowB2_a317d18c_7b936b">#REF!</definedName>
    <definedName name="_vena_DYNR_SCashFlowS2_BCashFlowB2_a317d18c_81206792">#REF!</definedName>
    <definedName name="_vena_DYNR_SCashFlowS2_BCashFlowB2_a317d18c_88947048">#REF!</definedName>
    <definedName name="_vena_DYNR_SCashFlowS2_BCashFlowB2_a317d18c_92765718">#REF!</definedName>
    <definedName name="_vena_DYNR_SCashFlowS2_BCashFlowB2_a317d18c_932205b2">#REF!</definedName>
    <definedName name="_vena_DYNR_SCashFlowS2_BCashFlowB2_a317d18c_969d57a3">#REF!</definedName>
    <definedName name="_vena_DYNR_SCashFlowS2_BCashFlowB2_a317d18c_96aea822">#REF!</definedName>
    <definedName name="_vena_DYNR_SCashFlowS2_BCashFlowB2_a317d18c_9a9844a7">#REF!</definedName>
    <definedName name="_vena_DYNR_SCashFlowS2_BCashFlowB2_a317d18c_9c6f76f6">#REF!</definedName>
    <definedName name="_vena_DYNR_SCashFlowS2_BCashFlowB2_a317d18c_a2f0dfd0">#REF!</definedName>
    <definedName name="_vena_DYNR_SCashFlowS2_BCashFlowB2_a317d18c_b12fbbd3">#REF!</definedName>
    <definedName name="_vena_DYNR_SCashFlowS2_BCashFlowB2_a317d18c_c8650695">#REF!</definedName>
    <definedName name="_vena_DYNR_SCashFlowS2_BCashFlowB2_a317d18c_cd608fd4">#REF!</definedName>
    <definedName name="_vena_DYNR_SCashFlowS2_BCashFlowB2_a317d18c_cedfe191">#REF!</definedName>
    <definedName name="_vena_DYNR_SCashFlowS2_BCashFlowB2_a317d18c_d0f954e4">#REF!</definedName>
    <definedName name="_vena_DYNR_SCashFlowS2_BCashFlowB2_a317d18c_d89b5bb7">#REF!</definedName>
    <definedName name="_vena_DYNR_SCashFlowS2_BCashFlowB2_a317d18c_ef211aab">#REF!</definedName>
    <definedName name="_vena_DYNR_SCashFlowS2_BCashFlowB2_b5daa923">#REF!</definedName>
    <definedName name="_vena_DYNR_SCashFlowS2_BCashFlowB2_b5daa923_103924d0">#REF!</definedName>
    <definedName name="_vena_DYNR_SCashFlowS2_BCashFlowB2_b5daa923_10e4d484">#REF!</definedName>
    <definedName name="_vena_DYNR_SCashFlowS2_BCashFlowB2_b5daa923_137f5ccd">#REF!</definedName>
    <definedName name="_vena_DYNR_SCashFlowS2_BCashFlowB2_b5daa923_147d44b5">#REF!</definedName>
    <definedName name="_vena_DYNR_SCashFlowS2_BCashFlowB2_b5daa923_15d82d68">#REF!</definedName>
    <definedName name="_vena_DYNR_SCashFlowS2_BCashFlowB2_b5daa923_171becef">#REF!</definedName>
    <definedName name="_vena_DYNR_SCashFlowS2_BCashFlowB2_b5daa923_2d9d9533">#REF!</definedName>
    <definedName name="_vena_DYNR_SCashFlowS2_BCashFlowB2_b5daa923_2e89f5d2">#REF!</definedName>
    <definedName name="_vena_DYNR_SCashFlowS2_BCashFlowB2_b5daa923_31c0c245">#REF!</definedName>
    <definedName name="_vena_DYNR_SCashFlowS2_BCashFlowB2_b5daa923_41662b32">#REF!</definedName>
    <definedName name="_vena_DYNR_SCashFlowS2_BCashFlowB2_b5daa923_557e5c6b">#REF!</definedName>
    <definedName name="_vena_DYNR_SCashFlowS2_BCashFlowB2_b5daa923_5c8904e2">#REF!</definedName>
    <definedName name="_vena_DYNR_SCashFlowS2_BCashFlowB2_b5daa923_60daa84">#REF!</definedName>
    <definedName name="_vena_DYNR_SCashFlowS2_BCashFlowB2_b5daa923_637826cf">#REF!</definedName>
    <definedName name="_vena_DYNR_SCashFlowS2_BCashFlowB2_b5daa923_65ede3cb">#REF!</definedName>
    <definedName name="_vena_DYNR_SCashFlowS2_BCashFlowB2_b5daa923_7af11d06">#REF!</definedName>
    <definedName name="_vena_DYNR_SCashFlowS2_BCashFlowB2_b5daa923_7cc815a7">#REF!</definedName>
    <definedName name="_vena_DYNR_SCashFlowS2_BCashFlowB2_b5daa923_7d5ab7d3">#REF!</definedName>
    <definedName name="_vena_DYNR_SCashFlowS2_BCashFlowB2_b5daa923_7fe9e1db">#REF!</definedName>
    <definedName name="_vena_DYNR_SCashFlowS2_BCashFlowB2_b5daa923_82b7336a">#REF!</definedName>
    <definedName name="_vena_DYNR_SCashFlowS2_BCashFlowB2_b5daa923_8f9f4171">#REF!</definedName>
    <definedName name="_vena_DYNR_SCashFlowS2_BCashFlowB2_b5daa923_95122802">#REF!</definedName>
    <definedName name="_vena_DYNR_SCashFlowS2_BCashFlowB2_b5daa923_9c256062">#REF!</definedName>
    <definedName name="_vena_DYNR_SCashFlowS2_BCashFlowB2_b5daa923_9dbc4704">#REF!</definedName>
    <definedName name="_vena_DYNR_SCashFlowS2_BCashFlowB2_b5daa923_a207a6d">#REF!</definedName>
    <definedName name="_vena_DYNR_SCashFlowS2_BCashFlowB2_b5daa923_a4047dfe">#REF!</definedName>
    <definedName name="_vena_DYNR_SCashFlowS2_BCashFlowB2_b5daa923_a502c9e1">#REF!</definedName>
    <definedName name="_vena_DYNR_SCashFlowS2_BCashFlowB2_b5daa923_bf25c394">#REF!</definedName>
    <definedName name="_vena_DYNR_SCashFlowS2_BCashFlowB2_b5daa923_c2eb5757">#REF!</definedName>
    <definedName name="_vena_DYNR_SCashFlowS2_BCashFlowB2_b5daa923_daf72042">#REF!</definedName>
    <definedName name="_vena_DYNR_SCashFlowS2_BCashFlowB2_b5daa923_e96a538b">#REF!</definedName>
    <definedName name="_vena_DYNR_SCashFlowS2_BCashFlowB2_b5daa923_ff76f276">#REF!</definedName>
    <definedName name="_vena_DYNR_SCashFlowS2_BCashFlowB2_b7cb75f3">#REF!</definedName>
    <definedName name="_vena_DYNR_SCashFlowS2_BCashFlowB2_b7cb75f3_1414ddd9">#REF!</definedName>
    <definedName name="_vena_DYNR_SCashFlowS2_BCashFlowB2_b7cb75f3_14b8e49b">#REF!</definedName>
    <definedName name="_vena_DYNR_SCashFlowS2_BCashFlowB2_b7cb75f3_1fdfee3c">#REF!</definedName>
    <definedName name="_vena_DYNR_SCashFlowS2_BCashFlowB2_b7cb75f3_2a5c0ba0">#REF!</definedName>
    <definedName name="_vena_DYNR_SCashFlowS2_BCashFlowB2_b7cb75f3_31c44228">#REF!</definedName>
    <definedName name="_vena_DYNR_SCashFlowS2_BCashFlowB2_b7cb75f3_3b08ce52">#REF!</definedName>
    <definedName name="_vena_DYNR_SCashFlowS2_BCashFlowB2_b7cb75f3_3f415709">#REF!</definedName>
    <definedName name="_vena_DYNR_SCashFlowS2_BCashFlowB2_b7cb75f3_430f7b2">#REF!</definedName>
    <definedName name="_vena_DYNR_SCashFlowS2_BCashFlowB2_b7cb75f3_46b66e53">#REF!</definedName>
    <definedName name="_vena_DYNR_SCashFlowS2_BCashFlowB2_b7cb75f3_471edb3c">#REF!</definedName>
    <definedName name="_vena_DYNR_SCashFlowS2_BCashFlowB2_b7cb75f3_48522a45">#REF!</definedName>
    <definedName name="_vena_DYNR_SCashFlowS2_BCashFlowB2_b7cb75f3_49dd9174">#REF!</definedName>
    <definedName name="_vena_DYNR_SCashFlowS2_BCashFlowB2_b7cb75f3_4c7b20bc">#REF!</definedName>
    <definedName name="_vena_DYNR_SCashFlowS2_BCashFlowB2_b7cb75f3_4f2c328e">#REF!</definedName>
    <definedName name="_vena_DYNR_SCashFlowS2_BCashFlowB2_b7cb75f3_5255cb54">#REF!</definedName>
    <definedName name="_vena_DYNR_SCashFlowS2_BCashFlowB2_b7cb75f3_53ea639c">#REF!</definedName>
    <definedName name="_vena_DYNR_SCashFlowS2_BCashFlowB2_b7cb75f3_615d1a77">#REF!</definedName>
    <definedName name="_vena_DYNR_SCashFlowS2_BCashFlowB2_b7cb75f3_6994f368">#REF!</definedName>
    <definedName name="_vena_DYNR_SCashFlowS2_BCashFlowB2_b7cb75f3_6a032768">#REF!</definedName>
    <definedName name="_vena_DYNR_SCashFlowS2_BCashFlowB2_b7cb75f3_7768ef96">#REF!</definedName>
    <definedName name="_vena_DYNR_SCashFlowS2_BCashFlowB2_b7cb75f3_8478166">#REF!</definedName>
    <definedName name="_vena_DYNR_SCashFlowS2_BCashFlowB2_b7cb75f3_907c564c">#REF!</definedName>
    <definedName name="_vena_DYNR_SCashFlowS2_BCashFlowB2_b7cb75f3_aa1f3a05">#REF!</definedName>
    <definedName name="_vena_DYNR_SCashFlowS2_BCashFlowB2_b7cb75f3_c588082a">#REF!</definedName>
    <definedName name="_vena_DYNR_SCashFlowS2_BCashFlowB2_b7cb75f3_cdb1e418">#REF!</definedName>
    <definedName name="_vena_DYNR_SCashFlowS2_BCashFlowB2_b7cb75f3_d98b9b29">#REF!</definedName>
    <definedName name="_vena_DYNR_SCashFlowS2_BCashFlowB2_b7cb75f3_e2669767">#REF!</definedName>
    <definedName name="_vena_DYNR_SCashFlowS2_BCashFlowB2_b7cb75f3_e3169a6f">#REF!</definedName>
    <definedName name="_vena_DYNR_SCashFlowS2_BCashFlowB2_b7cb75f3_ee804aff">#REF!</definedName>
    <definedName name="_vena_DYNR_SCashFlowS2_BCashFlowB2_b7cb75f3_ef0a565c">#REF!</definedName>
    <definedName name="_vena_DYNR_SCashFlowS2_BCashFlowB2_b7cb75f3_eff4c9e2">#REF!</definedName>
    <definedName name="_vena_DYNR_SCashFlowS2_BCashFlowB2_b7cb75f3_f4d35624">#REF!</definedName>
    <definedName name="_vena_DYNR_SCashFlowS2_BCashFlowB2_b7cb75f3_f54cd56d">#REF!</definedName>
    <definedName name="_vena_DYNR_SCashFlowS2_BCashFlowB2_c0404e6b">#REF!</definedName>
    <definedName name="_vena_DYNR_SCashFlowS2_BCashFlowB2_c0404e6b_2b7c4f6c">#REF!</definedName>
    <definedName name="_vena_DYNR_SCashFlowS2_BCashFlowB2_c0404e6b_36c331b0">#REF!</definedName>
    <definedName name="_vena_DYNR_SCashFlowS2_BCashFlowB2_c0404e6b_423a7b75">#REF!</definedName>
    <definedName name="_vena_DYNR_SCashFlowS2_BCashFlowB2_c0404e6b_4ed12a51">#REF!</definedName>
    <definedName name="_vena_DYNR_SCashFlowS2_BCashFlowB2_c0404e6b_50a9e4b1">#REF!</definedName>
    <definedName name="_vena_DYNR_SCashFlowS2_BCashFlowB2_c0404e6b_50d96674">#REF!</definedName>
    <definedName name="_vena_DYNR_SCashFlowS2_BCashFlowB2_c0404e6b_53fadb66">#REF!</definedName>
    <definedName name="_vena_DYNR_SCashFlowS2_BCashFlowB2_c0404e6b_544a9228">#REF!</definedName>
    <definedName name="_vena_DYNR_SCashFlowS2_BCashFlowB2_c0404e6b_61c41dd6">#REF!</definedName>
    <definedName name="_vena_DYNR_SCashFlowS2_BCashFlowB2_c0404e6b_6ec9b6cf">#REF!</definedName>
    <definedName name="_vena_DYNR_SCashFlowS2_BCashFlowB2_c0404e6b_73740435">#REF!</definedName>
    <definedName name="_vena_DYNR_SCashFlowS2_BCashFlowB2_c0404e6b_73f43c7a">#REF!</definedName>
    <definedName name="_vena_DYNR_SCashFlowS2_BCashFlowB2_c0404e6b_74c90c74">#REF!</definedName>
    <definedName name="_vena_DYNR_SCashFlowS2_BCashFlowB2_c0404e6b_7661fbd8">#REF!</definedName>
    <definedName name="_vena_DYNR_SCashFlowS2_BCashFlowB2_c0404e6b_7c173752">#REF!</definedName>
    <definedName name="_vena_DYNR_SCashFlowS2_BCashFlowB2_c0404e6b_7e024e3">#REF!</definedName>
    <definedName name="_vena_DYNR_SCashFlowS2_BCashFlowB2_c0404e6b_873fcff0">#REF!</definedName>
    <definedName name="_vena_DYNR_SCashFlowS2_BCashFlowB2_c0404e6b_915b9244">#REF!</definedName>
    <definedName name="_vena_DYNR_SCashFlowS2_BCashFlowB2_c0404e6b_97c85bf1">#REF!</definedName>
    <definedName name="_vena_DYNR_SCashFlowS2_BCashFlowB2_c0404e6b_9aa9a221">#REF!</definedName>
    <definedName name="_vena_DYNR_SCashFlowS2_BCashFlowB2_c0404e6b_a502b1b4">#REF!</definedName>
    <definedName name="_vena_DYNR_SCashFlowS2_BCashFlowB2_c0404e6b_a792cbbb">#REF!</definedName>
    <definedName name="_vena_DYNR_SCashFlowS2_BCashFlowB2_c0404e6b_a7e511ab">#REF!</definedName>
    <definedName name="_vena_DYNR_SCashFlowS2_BCashFlowB2_c0404e6b_aca32a78">#REF!</definedName>
    <definedName name="_vena_DYNR_SCashFlowS2_BCashFlowB2_c0404e6b_b779722">#REF!</definedName>
    <definedName name="_vena_DYNR_SCashFlowS2_BCashFlowB2_c0404e6b_b81463e2">#REF!</definedName>
    <definedName name="_vena_DYNR_SCashFlowS2_BCashFlowB2_c0404e6b_bf87d1b">#REF!</definedName>
    <definedName name="_vena_DYNR_SCashFlowS2_BCashFlowB2_c0404e6b_c2c1a263">#REF!</definedName>
    <definedName name="_vena_DYNR_SCashFlowS2_BCashFlowB2_c0404e6b_c508fa0c">#REF!</definedName>
    <definedName name="_vena_DYNR_SCashFlowS2_BCashFlowB2_c0404e6b_c5103f8b">#REF!</definedName>
    <definedName name="_vena_DYNR_SCashFlowS2_BCashFlowB2_c0404e6b_c8f450a7">#REF!</definedName>
    <definedName name="_vena_DYNR_SCashFlowS2_BCashFlowB2_c0404e6b_cdfdb94d">#REF!</definedName>
    <definedName name="_vena_DYNR_SCashFlowS2_BCashFlowB2_c0404e6b_d2842e84">#REF!</definedName>
    <definedName name="_vena_DYNR_SCashFlowS2_BCashFlowB2_c0404e6b_d5d2258d">#REF!</definedName>
    <definedName name="_vena_DYNR_SCashFlowS2_BCashFlowB2_c0404e6b_da00c735">#REF!</definedName>
    <definedName name="_vena_DYNR_SCashFlowS2_BCashFlowB2_c0404e6b_de72462a">#REF!</definedName>
    <definedName name="_vena_DYNR_SCashFlowS2_BCashFlowB2_c0404e6b_e96c6415">#REF!</definedName>
    <definedName name="_vena_DYNR_SCashFlowS2_BCashFlowB2_c0404e6b_e9ddc776">#REF!</definedName>
    <definedName name="_vena_DYNR_SCashFlowS2_BCashFlowB2_c0404e6b_f2acd7d1">#REF!</definedName>
    <definedName name="_vena_DYNR_SCashFlowS2_BCashFlowB2_c0404e6b_f4dd198a">#REF!</definedName>
    <definedName name="_vena_DYNR_SCashFlowS2_BCashFlowB2_c0404e6b_f927a9f">#REF!</definedName>
    <definedName name="_vena_DYNR_SCashFlowS2_BCashFlowB2_c0404e6b_fad61f7c">#REF!</definedName>
    <definedName name="_vena_DYNR_SCashFlowS2_BCashFlowB2_c0e15d78">#REF!</definedName>
    <definedName name="_vena_DYNR_SCashFlowS2_BCashFlowB2_c0e15d78_16b0f57">#REF!</definedName>
    <definedName name="_vena_DYNR_SCashFlowS2_BCashFlowB2_c0e15d78_184272c1">#REF!</definedName>
    <definedName name="_vena_DYNR_SCashFlowS2_BCashFlowB2_c0e15d78_228b711f">#REF!</definedName>
    <definedName name="_vena_DYNR_SCashFlowS2_BCashFlowB2_c0e15d78_25be6e3c">#REF!</definedName>
    <definedName name="_vena_DYNR_SCashFlowS2_BCashFlowB2_c0e15d78_27fea5b9">#REF!</definedName>
    <definedName name="_vena_DYNR_SCashFlowS2_BCashFlowB2_c0e15d78_28062ba8">#REF!</definedName>
    <definedName name="_vena_DYNR_SCashFlowS2_BCashFlowB2_c0e15d78_32234040">#REF!</definedName>
    <definedName name="_vena_DYNR_SCashFlowS2_BCashFlowB2_c0e15d78_336c4a16">#REF!</definedName>
    <definedName name="_vena_DYNR_SCashFlowS2_BCashFlowB2_c0e15d78_354cd77c">#REF!</definedName>
    <definedName name="_vena_DYNR_SCashFlowS2_BCashFlowB2_c0e15d78_386c8705">#REF!</definedName>
    <definedName name="_vena_DYNR_SCashFlowS2_BCashFlowB2_c0e15d78_3cd452f">#REF!</definedName>
    <definedName name="_vena_DYNR_SCashFlowS2_BCashFlowB2_c0e15d78_41698d7a">#REF!</definedName>
    <definedName name="_vena_DYNR_SCashFlowS2_BCashFlowB2_c0e15d78_4192024b">#REF!</definedName>
    <definedName name="_vena_DYNR_SCashFlowS2_BCashFlowB2_c0e15d78_451889ef">#REF!</definedName>
    <definedName name="_vena_DYNR_SCashFlowS2_BCashFlowB2_c0e15d78_451c2dff">#REF!</definedName>
    <definedName name="_vena_DYNR_SCashFlowS2_BCashFlowB2_c0e15d78_4fe42361">#REF!</definedName>
    <definedName name="_vena_DYNR_SCashFlowS2_BCashFlowB2_c0e15d78_5f101e52">#REF!</definedName>
    <definedName name="_vena_DYNR_SCashFlowS2_BCashFlowB2_c0e15d78_73840423">#REF!</definedName>
    <definedName name="_vena_DYNR_SCashFlowS2_BCashFlowB2_c0e15d78_7e342186">#REF!</definedName>
    <definedName name="_vena_DYNR_SCashFlowS2_BCashFlowB2_c0e15d78_824ef17a">#REF!</definedName>
    <definedName name="_vena_DYNR_SCashFlowS2_BCashFlowB2_c0e15d78_8ab393c6">#REF!</definedName>
    <definedName name="_vena_DYNR_SCashFlowS2_BCashFlowB2_c0e15d78_a18cb89a">#REF!</definedName>
    <definedName name="_vena_DYNR_SCashFlowS2_BCashFlowB2_c0e15d78_aa3073d4">#REF!</definedName>
    <definedName name="_vena_DYNR_SCashFlowS2_BCashFlowB2_c0e15d78_b372de62">#REF!</definedName>
    <definedName name="_vena_DYNR_SCashFlowS2_BCashFlowB2_c0e15d78_b56c3cea">#REF!</definedName>
    <definedName name="_vena_DYNR_SCashFlowS2_BCashFlowB2_c0e15d78_bbc47952">#REF!</definedName>
    <definedName name="_vena_DYNR_SCashFlowS2_BCashFlowB2_c0e15d78_c978d8a7">#REF!</definedName>
    <definedName name="_vena_DYNR_SCashFlowS2_BCashFlowB2_c0e15d78_ca0b159f">#REF!</definedName>
    <definedName name="_vena_DYNR_SCashFlowS2_BCashFlowB2_c0e15d78_d370190c">#REF!</definedName>
    <definedName name="_vena_DYNR_SCashFlowS2_BCashFlowB2_c0e15d78_d5ec1ef8">#REF!</definedName>
    <definedName name="_vena_DYNR_SCashFlowS2_BCashFlowB2_c0e15d78_eab721ef">#REF!</definedName>
    <definedName name="_vena_DYNR_SCashFlowS2_BCashFlowB2_c0e15d78_eb6d4404">#REF!</definedName>
    <definedName name="_vena_DYNR_SCashFlowS2_BCashFlowB2_c0e15d78_fedef9a0">#REF!</definedName>
    <definedName name="_vena_DYNR_SCashFlowS2_BCashFlowB2_ce776b3f">#REF!</definedName>
    <definedName name="_vena_DYNR_SCashFlowS2_BCashFlowB2_ce776b3f_13d6313">#REF!</definedName>
    <definedName name="_vena_DYNR_SCashFlowS2_BCashFlowB2_ce776b3f_1fd943bf">#REF!</definedName>
    <definedName name="_vena_DYNR_SCashFlowS2_BCashFlowB2_ce776b3f_2073d92c">#REF!</definedName>
    <definedName name="_vena_DYNR_SCashFlowS2_BCashFlowB2_ce776b3f_213e0bc1">#REF!</definedName>
    <definedName name="_vena_DYNR_SCashFlowS2_BCashFlowB2_ce776b3f_25e4a467">#REF!</definedName>
    <definedName name="_vena_DYNR_SCashFlowS2_BCashFlowB2_ce776b3f_2d7b76b3">#REF!</definedName>
    <definedName name="_vena_DYNR_SCashFlowS2_BCashFlowB2_ce776b3f_2d952e74">#REF!</definedName>
    <definedName name="_vena_DYNR_SCashFlowS2_BCashFlowB2_ce776b3f_33857652">#REF!</definedName>
    <definedName name="_vena_DYNR_SCashFlowS2_BCashFlowB2_ce776b3f_33a34a12">#REF!</definedName>
    <definedName name="_vena_DYNR_SCashFlowS2_BCashFlowB2_ce776b3f_3459c2a4">#REF!</definedName>
    <definedName name="_vena_DYNR_SCashFlowS2_BCashFlowB2_ce776b3f_3465faec">#REF!</definedName>
    <definedName name="_vena_DYNR_SCashFlowS2_BCashFlowB2_ce776b3f_39ff329d">#REF!</definedName>
    <definedName name="_vena_DYNR_SCashFlowS2_BCashFlowB2_ce776b3f_3b280717">#REF!</definedName>
    <definedName name="_vena_DYNR_SCashFlowS2_BCashFlowB2_ce776b3f_44f33c5e">#REF!</definedName>
    <definedName name="_vena_DYNR_SCashFlowS2_BCashFlowB2_ce776b3f_4a3a17bf">#REF!</definedName>
    <definedName name="_vena_DYNR_SCashFlowS2_BCashFlowB2_ce776b3f_4c63e6a7">#REF!</definedName>
    <definedName name="_vena_DYNR_SCashFlowS2_BCashFlowB2_ce776b3f_53e7ac4">#REF!</definedName>
    <definedName name="_vena_DYNR_SCashFlowS2_BCashFlowB2_ce776b3f_5435f81a">#REF!</definedName>
    <definedName name="_vena_DYNR_SCashFlowS2_BCashFlowB2_ce776b3f_5707cbdd">#REF!</definedName>
    <definedName name="_vena_DYNR_SCashFlowS2_BCashFlowB2_ce776b3f_598af90e">#REF!</definedName>
    <definedName name="_vena_DYNR_SCashFlowS2_BCashFlowB2_ce776b3f_5ac97a65">#REF!</definedName>
    <definedName name="_vena_DYNR_SCashFlowS2_BCashFlowB2_ce776b3f_5b8feb0f">#REF!</definedName>
    <definedName name="_vena_DYNR_SCashFlowS2_BCashFlowB2_ce776b3f_5bbaa788">#REF!</definedName>
    <definedName name="_vena_DYNR_SCashFlowS2_BCashFlowB2_ce776b3f_600a72df">#REF!</definedName>
    <definedName name="_vena_DYNR_SCashFlowS2_BCashFlowB2_ce776b3f_60e1e46b">#REF!</definedName>
    <definedName name="_vena_DYNR_SCashFlowS2_BCashFlowB2_ce776b3f_6371e50d">#REF!</definedName>
    <definedName name="_vena_DYNR_SCashFlowS2_BCashFlowB2_ce776b3f_68115cfc">#REF!</definedName>
    <definedName name="_vena_DYNR_SCashFlowS2_BCashFlowB2_ce776b3f_68547ca">#REF!</definedName>
    <definedName name="_vena_DYNR_SCashFlowS2_BCashFlowB2_ce776b3f_77004d25">#REF!</definedName>
    <definedName name="_vena_DYNR_SCashFlowS2_BCashFlowB2_ce776b3f_787e4b3">#REF!</definedName>
    <definedName name="_vena_DYNR_SCashFlowS2_BCashFlowB2_ce776b3f_8198689b">#REF!</definedName>
    <definedName name="_vena_DYNR_SCashFlowS2_BCashFlowB2_ce776b3f_8318862">#REF!</definedName>
    <definedName name="_vena_DYNR_SCashFlowS2_BCashFlowB2_ce776b3f_855809ab">#REF!</definedName>
    <definedName name="_vena_DYNR_SCashFlowS2_BCashFlowB2_ce776b3f_85945cbf">#REF!</definedName>
    <definedName name="_vena_DYNR_SCashFlowS2_BCashFlowB2_ce776b3f_89b0841c">#REF!</definedName>
    <definedName name="_vena_DYNR_SCashFlowS2_BCashFlowB2_ce776b3f_89b4b7d6">#REF!</definedName>
    <definedName name="_vena_DYNR_SCashFlowS2_BCashFlowB2_ce776b3f_8a0e7be3">#REF!</definedName>
    <definedName name="_vena_DYNR_SCashFlowS2_BCashFlowB2_ce776b3f_8a921c7f">#REF!</definedName>
    <definedName name="_vena_DYNR_SCashFlowS2_BCashFlowB2_ce776b3f_8e355fb8">#REF!</definedName>
    <definedName name="_vena_DYNR_SCashFlowS2_BCashFlowB2_ce776b3f_92a00465">#REF!</definedName>
    <definedName name="_vena_DYNR_SCashFlowS2_BCashFlowB2_ce776b3f_970cb3e1">#REF!</definedName>
    <definedName name="_vena_DYNR_SCashFlowS2_BCashFlowB2_ce776b3f_9c45000a">#REF!</definedName>
    <definedName name="_vena_DYNR_SCashFlowS2_BCashFlowB2_ce776b3f_9c5d879b">#REF!</definedName>
    <definedName name="_vena_DYNR_SCashFlowS2_BCashFlowB2_ce776b3f_9eb6c593">#REF!</definedName>
    <definedName name="_vena_DYNR_SCashFlowS2_BCashFlowB2_ce776b3f_a92d6252">#REF!</definedName>
    <definedName name="_vena_DYNR_SCashFlowS2_BCashFlowB2_ce776b3f_b5476e50">#REF!</definedName>
    <definedName name="_vena_DYNR_SCashFlowS2_BCashFlowB2_ce776b3f_b72b2a8d">#REF!</definedName>
    <definedName name="_vena_DYNR_SCashFlowS2_BCashFlowB2_ce776b3f_bc6a110b">#REF!</definedName>
    <definedName name="_vena_DYNR_SCashFlowS2_BCashFlowB2_ce776b3f_bd9fac26">#REF!</definedName>
    <definedName name="_vena_DYNR_SCashFlowS2_BCashFlowB2_ce776b3f_c2b816fb">#REF!</definedName>
    <definedName name="_vena_DYNR_SCashFlowS2_BCashFlowB2_ce776b3f_c2c1ccb4">#REF!</definedName>
    <definedName name="_vena_DYNR_SCashFlowS2_BCashFlowB2_ce776b3f_c713e538">#REF!</definedName>
    <definedName name="_vena_DYNR_SCashFlowS2_BCashFlowB2_ce776b3f_c79fa5d7">#REF!</definedName>
    <definedName name="_vena_DYNR_SCashFlowS2_BCashFlowB2_ce776b3f_ca71590d">#REF!</definedName>
    <definedName name="_vena_DYNR_SCashFlowS2_BCashFlowB2_ce776b3f_cf247c78">#REF!</definedName>
    <definedName name="_vena_DYNR_SCashFlowS2_BCashFlowB2_ce776b3f_d0f164de">#REF!</definedName>
    <definedName name="_vena_DYNR_SCashFlowS2_BCashFlowB2_ce776b3f_d4cb0aa7">#REF!</definedName>
    <definedName name="_vena_DYNR_SCashFlowS2_BCashFlowB2_ce776b3f_d57159a2">#REF!</definedName>
    <definedName name="_vena_DYNR_SCashFlowS2_BCashFlowB2_ce776b3f_d8eb55c5">#REF!</definedName>
    <definedName name="_vena_DYNR_SCashFlowS2_BCashFlowB2_ce776b3f_daf33c8e">#REF!</definedName>
    <definedName name="_vena_DYNR_SCashFlowS2_BCashFlowB2_ce776b3f_dba6756">#REF!</definedName>
    <definedName name="_vena_DYNR_SCashFlowS2_BCashFlowB2_ce776b3f_dd6da324">#REF!</definedName>
    <definedName name="_vena_DYNR_SCashFlowS2_BCashFlowB2_ce776b3f_df687468">#REF!</definedName>
    <definedName name="_vena_DYNR_SCashFlowS2_BCashFlowB2_ce776b3f_e29290db">#REF!</definedName>
    <definedName name="_vena_DYNR_SCashFlowS2_BCashFlowB2_ce776b3f_e707af79">#REF!</definedName>
    <definedName name="_vena_DYNR_SCashFlowS2_BCashFlowB2_ce776b3f_e7d63df3">#REF!</definedName>
    <definedName name="_vena_DYNR_SCashFlowS2_BCashFlowB2_ce776b3f_e9812101">#REF!</definedName>
    <definedName name="_vena_DYNR_SCashFlowS2_BCashFlowB2_ce776b3f_ef262040">#REF!</definedName>
    <definedName name="_vena_DYNR_SCashFlowS2_BCashFlowB2_ce776b3f_f42fc601">#REF!</definedName>
    <definedName name="_vena_DYNR_SCashFlowS2_BCashFlowB2_ce776b3f_fbd44e04">#REF!</definedName>
    <definedName name="_vena_DYNR_SCashFlowS2_BCashFlowB2_ce776b3f_fbe2e6ee">#REF!</definedName>
    <definedName name="_vena_DYNR_SCashFlowS2_BCashFlowB2_ce776b3f_fdbc094b">#REF!</definedName>
    <definedName name="_vena_DYNR_SCashFlowS2_BCashFlowB2_ce776b3f_fef850c3">#REF!</definedName>
    <definedName name="_vena_DYNR_SCashFlowS2_BCashFlowB2_d1c7d975">#REF!</definedName>
    <definedName name="_vena_DYNR_SCashFlowS2_BCashFlowB2_d1c7d975_18d8ac70">#REF!</definedName>
    <definedName name="_vena_DYNR_SCashFlowS2_BCashFlowB2_d1c7d975_1a332b89">#REF!</definedName>
    <definedName name="_vena_DYNR_SCashFlowS2_BCashFlowB2_d1c7d975_50248d1b">#REF!</definedName>
    <definedName name="_vena_DYNR_SCashFlowS2_BCashFlowB2_d1c7d975_773870b0">#REF!</definedName>
    <definedName name="_vena_DYNR_SCashFlowS2_BCashFlowB2_d1c7d975_7ec5b7c6">#REF!</definedName>
    <definedName name="_vena_DYNR_SCashFlowS2_BCashFlowB2_d1c7d975_81ef88c9">#REF!</definedName>
    <definedName name="_vena_DYNR_SCashFlowS2_BCashFlowB2_d1c7d975_a22bfd7f">#REF!</definedName>
    <definedName name="_vena_DYNR_SCashFlowS2_BCashFlowB2_d1c7d975_d95f3e5b">#REF!</definedName>
    <definedName name="_vena_DYNR_SCashFlowS2_BCashFlowB2_d1c7d975_e9a4f29f">#REF!</definedName>
    <definedName name="_vena_DYNR_SCashFlowS2_BCashFlowB2_d1c7d975_f531c8be">#REF!</definedName>
    <definedName name="_vena_DYNR_SCashFlowS2_BCashFlowB2_d1c7d975_f591fb7">#REF!</definedName>
    <definedName name="_vena_DYNR_SCashFlowS2_BCashFlowB2_d4ee05f4">#REF!</definedName>
    <definedName name="_vena_DYNR_SCashFlowS2_BCashFlowB2_d4ee05f4_23ae750a">#REF!</definedName>
    <definedName name="_vena_DYNR_SCashFlowS2_BCashFlowB2_d4ee05f4_2f76eca5">#REF!</definedName>
    <definedName name="_vena_DYNR_SCashFlowS2_BCashFlowB2_d4ee05f4_3bd1d26d">#REF!</definedName>
    <definedName name="_vena_DYNR_SCashFlowS2_BCashFlowB2_d4ee05f4_5f148b8f">#REF!</definedName>
    <definedName name="_vena_DYNR_SCashFlowS2_BCashFlowB2_d4ee05f4_9219b307">#REF!</definedName>
    <definedName name="_vena_DYNR_SCashFlowS2_BCashFlowB2_d4ee05f4_a80e716f">#REF!</definedName>
    <definedName name="_vena_DYNR_SCashFlowS2_BCashFlowB2_d4ee05f4_c07c5173">#REF!</definedName>
    <definedName name="_vena_DYNR_SCashFlowS2_BCashFlowB2_d4ee05f4_cfe2ab4">#REF!</definedName>
    <definedName name="_vena_DYNR_SCashFlowS2_BCashFlowB2_d4ee05f4_d3841170">#REF!</definedName>
    <definedName name="_vena_DYNR_SCashFlowS2_BCashFlowB2_d4ee05f4_e4de801f">#REF!</definedName>
    <definedName name="_vena_DYNR_SCashFlowS2_BCashFlowB2_d4ee05f4_f58005df">#REF!</definedName>
    <definedName name="_vena_DYNR_SCashFlowS2_BCashFlowB2_d8050401">#REF!</definedName>
    <definedName name="_vena_DYNR_SCashFlowS2_BCashFlowB2_d8050401_12abe5ea">#REF!</definedName>
    <definedName name="_vena_DYNR_SCashFlowS2_BCashFlowB2_d8050401_1342773e">#REF!</definedName>
    <definedName name="_vena_DYNR_SCashFlowS2_BCashFlowB2_d8050401_14018409">#REF!</definedName>
    <definedName name="_vena_DYNR_SCashFlowS2_BCashFlowB2_d8050401_2d061791">#REF!</definedName>
    <definedName name="_vena_DYNR_SCashFlowS2_BCashFlowB2_d8050401_42ca3f7f">#REF!</definedName>
    <definedName name="_vena_DYNR_SCashFlowS2_BCashFlowB2_d8050401_4782c552">#REF!</definedName>
    <definedName name="_vena_DYNR_SCashFlowS2_BCashFlowB2_d8050401_4c558f74">#REF!</definedName>
    <definedName name="_vena_DYNR_SCashFlowS2_BCashFlowB2_d8050401_57c23582">#REF!</definedName>
    <definedName name="_vena_DYNR_SCashFlowS2_BCashFlowB2_d8050401_57d07467">#REF!</definedName>
    <definedName name="_vena_DYNR_SCashFlowS2_BCashFlowB2_d8050401_62bf310f">#REF!</definedName>
    <definedName name="_vena_DYNR_SCashFlowS2_BCashFlowB2_d8050401_67ee9b58">#REF!</definedName>
    <definedName name="_vena_DYNR_SCashFlowS2_BCashFlowB2_d8050401_6955b70">#REF!</definedName>
    <definedName name="_vena_DYNR_SCashFlowS2_BCashFlowB2_d8050401_69e3e9ad">#REF!</definedName>
    <definedName name="_vena_DYNR_SCashFlowS2_BCashFlowB2_d8050401_6bcd1ea">#REF!</definedName>
    <definedName name="_vena_DYNR_SCashFlowS2_BCashFlowB2_d8050401_6e4a981a">#REF!</definedName>
    <definedName name="_vena_DYNR_SCashFlowS2_BCashFlowB2_d8050401_7637d1a">#REF!</definedName>
    <definedName name="_vena_DYNR_SCashFlowS2_BCashFlowB2_d8050401_77afd28b">#REF!</definedName>
    <definedName name="_vena_DYNR_SCashFlowS2_BCashFlowB2_d8050401_80ddaef7">#REF!</definedName>
    <definedName name="_vena_DYNR_SCashFlowS2_BCashFlowB2_d8050401_8f19953d">#REF!</definedName>
    <definedName name="_vena_DYNR_SCashFlowS2_BCashFlowB2_d8050401_9280ec8f">#REF!</definedName>
    <definedName name="_vena_DYNR_SCashFlowS2_BCashFlowB2_d8050401_9a212df6">#REF!</definedName>
    <definedName name="_vena_DYNR_SCashFlowS2_BCashFlowB2_d8050401_a996a091">#REF!</definedName>
    <definedName name="_vena_DYNR_SCashFlowS2_BCashFlowB2_d8050401_b7c9bf9b">#REF!</definedName>
    <definedName name="_vena_DYNR_SCashFlowS2_BCashFlowB2_d8050401_b7d3099a">#REF!</definedName>
    <definedName name="_vena_DYNR_SCashFlowS2_BCashFlowB2_d8050401_baac2a36">#REF!</definedName>
    <definedName name="_vena_DYNR_SCashFlowS2_BCashFlowB2_d8050401_bbaeb9cf">#REF!</definedName>
    <definedName name="_vena_DYNR_SCashFlowS2_BCashFlowB2_d8050401_befd6eb4">#REF!</definedName>
    <definedName name="_vena_DYNR_SCashFlowS2_BCashFlowB2_d8050401_bf8b5e8f">#REF!</definedName>
    <definedName name="_vena_DYNR_SCashFlowS2_BCashFlowB2_d8050401_c08f3389">#REF!</definedName>
    <definedName name="_vena_DYNR_SCashFlowS2_BCashFlowB2_d8050401_e364378a">#REF!</definedName>
    <definedName name="_vena_DYNR_SCashFlowS2_BCashFlowB2_d8050401_eaa64d6a">#REF!</definedName>
    <definedName name="_vena_DYNR_SCashFlowS2_BCashFlowB2_d8050401_fd015775">#REF!</definedName>
    <definedName name="_vena_DYNR_SCashFlowS2_BCashFlowB2_de728d2c">#REF!</definedName>
    <definedName name="_vena_DYNR_SCashFlowS2_BCashFlowB2_de728d2c_1579b11a">#REF!</definedName>
    <definedName name="_vena_DYNR_SCashFlowS2_BCashFlowB2_de728d2c_1710267d">#REF!</definedName>
    <definedName name="_vena_DYNR_SCashFlowS2_BCashFlowB2_de728d2c_184a1e26">#REF!</definedName>
    <definedName name="_vena_DYNR_SCashFlowS2_BCashFlowB2_de728d2c_1953cb82">#REF!</definedName>
    <definedName name="_vena_DYNR_SCashFlowS2_BCashFlowB2_de728d2c_1c542d6f">#REF!</definedName>
    <definedName name="_vena_DYNR_SCashFlowS2_BCashFlowB2_de728d2c_1d0e5f38">#REF!</definedName>
    <definedName name="_vena_DYNR_SCashFlowS2_BCashFlowB2_de728d2c_1d732dd2">#REF!</definedName>
    <definedName name="_vena_DYNR_SCashFlowS2_BCashFlowB2_de728d2c_22cf6345">#REF!</definedName>
    <definedName name="_vena_DYNR_SCashFlowS2_BCashFlowB2_de728d2c_23574310">#REF!</definedName>
    <definedName name="_vena_DYNR_SCashFlowS2_BCashFlowB2_de728d2c_268d1ea">#REF!</definedName>
    <definedName name="_vena_DYNR_SCashFlowS2_BCashFlowB2_de728d2c_2791790c">#REF!</definedName>
    <definedName name="_vena_DYNR_SCashFlowS2_BCashFlowB2_de728d2c_29c15b5b">#REF!</definedName>
    <definedName name="_vena_DYNR_SCashFlowS2_BCashFlowB2_de728d2c_2b8d9dbb">#REF!</definedName>
    <definedName name="_vena_DYNR_SCashFlowS2_BCashFlowB2_de728d2c_2ba819a7">#REF!</definedName>
    <definedName name="_vena_DYNR_SCashFlowS2_BCashFlowB2_de728d2c_2d1d2bc">#REF!</definedName>
    <definedName name="_vena_DYNR_SCashFlowS2_BCashFlowB2_de728d2c_2dcb32e1">#REF!</definedName>
    <definedName name="_vena_DYNR_SCashFlowS2_BCashFlowB2_de728d2c_3064d680">#REF!</definedName>
    <definedName name="_vena_DYNR_SCashFlowS2_BCashFlowB2_de728d2c_323091b0">#REF!</definedName>
    <definedName name="_vena_DYNR_SCashFlowS2_BCashFlowB2_de728d2c_33868b38">#REF!</definedName>
    <definedName name="_vena_DYNR_SCashFlowS2_BCashFlowB2_de728d2c_3418d0cd">#REF!</definedName>
    <definedName name="_vena_DYNR_SCashFlowS2_BCashFlowB2_de728d2c_35560f5c">#REF!</definedName>
    <definedName name="_vena_DYNR_SCashFlowS2_BCashFlowB2_de728d2c_370aaf9d">#REF!</definedName>
    <definedName name="_vena_DYNR_SCashFlowS2_BCashFlowB2_de728d2c_37411088">#REF!</definedName>
    <definedName name="_vena_DYNR_SCashFlowS2_BCashFlowB2_de728d2c_37c08a34">#REF!</definedName>
    <definedName name="_vena_DYNR_SCashFlowS2_BCashFlowB2_de728d2c_37fe6a5d">#REF!</definedName>
    <definedName name="_vena_DYNR_SCashFlowS2_BCashFlowB2_de728d2c_39401bdb">#REF!</definedName>
    <definedName name="_vena_DYNR_SCashFlowS2_BCashFlowB2_de728d2c_39982737">#REF!</definedName>
    <definedName name="_vena_DYNR_SCashFlowS2_BCashFlowB2_de728d2c_3b73fe4f">#REF!</definedName>
    <definedName name="_vena_DYNR_SCashFlowS2_BCashFlowB2_de728d2c_3b8886fb">#REF!</definedName>
    <definedName name="_vena_DYNR_SCashFlowS2_BCashFlowB2_de728d2c_422e2f63">#REF!</definedName>
    <definedName name="_vena_DYNR_SCashFlowS2_BCashFlowB2_de728d2c_4439bdfd">#REF!</definedName>
    <definedName name="_vena_DYNR_SCashFlowS2_BCashFlowB2_de728d2c_44ca1df5">#REF!</definedName>
    <definedName name="_vena_DYNR_SCashFlowS2_BCashFlowB2_de728d2c_47cf8d06">#REF!</definedName>
    <definedName name="_vena_DYNR_SCashFlowS2_BCashFlowB2_de728d2c_4e2df347">#REF!</definedName>
    <definedName name="_vena_DYNR_SCashFlowS2_BCashFlowB2_de728d2c_51a3f25">#REF!</definedName>
    <definedName name="_vena_DYNR_SCashFlowS2_BCashFlowB2_de728d2c_54f8d983">#REF!</definedName>
    <definedName name="_vena_DYNR_SCashFlowS2_BCashFlowB2_de728d2c_588d62c0">#REF!</definedName>
    <definedName name="_vena_DYNR_SCashFlowS2_BCashFlowB2_de728d2c_59ced91a">#REF!</definedName>
    <definedName name="_vena_DYNR_SCashFlowS2_BCashFlowB2_de728d2c_5d799033">#REF!</definedName>
    <definedName name="_vena_DYNR_SCashFlowS2_BCashFlowB2_de728d2c_6032cd64">#REF!</definedName>
    <definedName name="_vena_DYNR_SCashFlowS2_BCashFlowB2_de728d2c_605d4b77">#REF!</definedName>
    <definedName name="_vena_DYNR_SCashFlowS2_BCashFlowB2_de728d2c_612b9880">#REF!</definedName>
    <definedName name="_vena_DYNR_SCashFlowS2_BCashFlowB2_de728d2c_628ae970">#REF!</definedName>
    <definedName name="_vena_DYNR_SCashFlowS2_BCashFlowB2_de728d2c_6a0fbf7">#REF!</definedName>
    <definedName name="_vena_DYNR_SCashFlowS2_BCashFlowB2_de728d2c_6a6a2d0c">#REF!</definedName>
    <definedName name="_vena_DYNR_SCashFlowS2_BCashFlowB2_de728d2c_6b1d847e">#REF!</definedName>
    <definedName name="_vena_DYNR_SCashFlowS2_BCashFlowB2_de728d2c_6cebb355">#REF!</definedName>
    <definedName name="_vena_DYNR_SCashFlowS2_BCashFlowB2_de728d2c_6ed35a56">#REF!</definedName>
    <definedName name="_vena_DYNR_SCashFlowS2_BCashFlowB2_de728d2c_702de590">#REF!</definedName>
    <definedName name="_vena_DYNR_SCashFlowS2_BCashFlowB2_de728d2c_712a25b7">#REF!</definedName>
    <definedName name="_vena_DYNR_SCashFlowS2_BCashFlowB2_de728d2c_73988536">#REF!</definedName>
    <definedName name="_vena_DYNR_SCashFlowS2_BCashFlowB2_de728d2c_748c027b">#REF!</definedName>
    <definedName name="_vena_DYNR_SCashFlowS2_BCashFlowB2_de728d2c_795039aa">#REF!</definedName>
    <definedName name="_vena_DYNR_SCashFlowS2_BCashFlowB2_de728d2c_7be18e34">#REF!</definedName>
    <definedName name="_vena_DYNR_SCashFlowS2_BCashFlowB2_de728d2c_7cbfca16">#REF!</definedName>
    <definedName name="_vena_DYNR_SCashFlowS2_BCashFlowB2_de728d2c_7eb1ca83">#REF!</definedName>
    <definedName name="_vena_DYNR_SCashFlowS2_BCashFlowB2_de728d2c_7ff4e958">#REF!</definedName>
    <definedName name="_vena_DYNR_SCashFlowS2_BCashFlowB2_de728d2c_80138548">#REF!</definedName>
    <definedName name="_vena_DYNR_SCashFlowS2_BCashFlowB2_de728d2c_8191d8f7">#REF!</definedName>
    <definedName name="_vena_DYNR_SCashFlowS2_BCashFlowB2_de728d2c_8248a291">#REF!</definedName>
    <definedName name="_vena_DYNR_SCashFlowS2_BCashFlowB2_de728d2c_82a619ca">#REF!</definedName>
    <definedName name="_vena_DYNR_SCashFlowS2_BCashFlowB2_de728d2c_87bd8242">#REF!</definedName>
    <definedName name="_vena_DYNR_SCashFlowS2_BCashFlowB2_de728d2c_8a436b2c">#REF!</definedName>
    <definedName name="_vena_DYNR_SCashFlowS2_BCashFlowB2_de728d2c_8afe6558">#REF!</definedName>
    <definedName name="_vena_DYNR_SCashFlowS2_BCashFlowB2_de728d2c_936c103c">#REF!</definedName>
    <definedName name="_vena_DYNR_SCashFlowS2_BCashFlowB2_de728d2c_96499cdf">#REF!</definedName>
    <definedName name="_vena_DYNR_SCashFlowS2_BCashFlowB2_de728d2c_96d0c367">#REF!</definedName>
    <definedName name="_vena_DYNR_SCashFlowS2_BCashFlowB2_de728d2c_98f507a3">#REF!</definedName>
    <definedName name="_vena_DYNR_SCashFlowS2_BCashFlowB2_de728d2c_99b17057">#REF!</definedName>
    <definedName name="_vena_DYNR_SCashFlowS2_BCashFlowB2_de728d2c_9a0c02b8">#REF!</definedName>
    <definedName name="_vena_DYNR_SCashFlowS2_BCashFlowB2_de728d2c_9f3774b">#REF!</definedName>
    <definedName name="_vena_DYNR_SCashFlowS2_BCashFlowB2_de728d2c_a0c8a0eb">#REF!</definedName>
    <definedName name="_vena_DYNR_SCashFlowS2_BCashFlowB2_de728d2c_a41c5bc6">#REF!</definedName>
    <definedName name="_vena_DYNR_SCashFlowS2_BCashFlowB2_de728d2c_a96f6399">#REF!</definedName>
    <definedName name="_vena_DYNR_SCashFlowS2_BCashFlowB2_de728d2c_ab0317c">#REF!</definedName>
    <definedName name="_vena_DYNR_SCashFlowS2_BCashFlowB2_de728d2c_abd1e9a0">#REF!</definedName>
    <definedName name="_vena_DYNR_SCashFlowS2_BCashFlowB2_de728d2c_ace007d3">#REF!</definedName>
    <definedName name="_vena_DYNR_SCashFlowS2_BCashFlowB2_de728d2c_b2331200">#REF!</definedName>
    <definedName name="_vena_DYNR_SCashFlowS2_BCashFlowB2_de728d2c_b50625a">#REF!</definedName>
    <definedName name="_vena_DYNR_SCashFlowS2_BCashFlowB2_de728d2c_b6bf77db">#REF!</definedName>
    <definedName name="_vena_DYNR_SCashFlowS2_BCashFlowB2_de728d2c_b70266f">#REF!</definedName>
    <definedName name="_vena_DYNR_SCashFlowS2_BCashFlowB2_de728d2c_b744881f">#REF!</definedName>
    <definedName name="_vena_DYNR_SCashFlowS2_BCashFlowB2_de728d2c_b995c2ec">#REF!</definedName>
    <definedName name="_vena_DYNR_SCashFlowS2_BCashFlowB2_de728d2c_bbde8ce7">#REF!</definedName>
    <definedName name="_vena_DYNR_SCashFlowS2_BCashFlowB2_de728d2c_bc91d85">#REF!</definedName>
    <definedName name="_vena_DYNR_SCashFlowS2_BCashFlowB2_de728d2c_bf19df01">#REF!</definedName>
    <definedName name="_vena_DYNR_SCashFlowS2_BCashFlowB2_de728d2c_c45533fc">#REF!</definedName>
    <definedName name="_vena_DYNR_SCashFlowS2_BCashFlowB2_de728d2c_c635acac">#REF!</definedName>
    <definedName name="_vena_DYNR_SCashFlowS2_BCashFlowB2_de728d2c_cdac4f83">#REF!</definedName>
    <definedName name="_vena_DYNR_SCashFlowS2_BCashFlowB2_de728d2c_d2ee3114">#REF!</definedName>
    <definedName name="_vena_DYNR_SCashFlowS2_BCashFlowB2_de728d2c_d78ae9c3">#REF!</definedName>
    <definedName name="_vena_DYNR_SCashFlowS2_BCashFlowB2_de728d2c_dbfd6ae8">#REF!</definedName>
    <definedName name="_vena_DYNR_SCashFlowS2_BCashFlowB2_de728d2c_dd72177a">#REF!</definedName>
    <definedName name="_vena_DYNR_SCashFlowS2_BCashFlowB2_de728d2c_de7dc723">#REF!</definedName>
    <definedName name="_vena_DYNR_SCashFlowS2_BCashFlowB2_de728d2c_def734df">#REF!</definedName>
    <definedName name="_vena_DYNR_SCashFlowS2_BCashFlowB2_de728d2c_e0a788a3">#REF!</definedName>
    <definedName name="_vena_DYNR_SCashFlowS2_BCashFlowB2_de728d2c_e0d0e5d8">#REF!</definedName>
    <definedName name="_vena_DYNR_SCashFlowS2_BCashFlowB2_de728d2c_e373e964">#REF!</definedName>
    <definedName name="_vena_DYNR_SCashFlowS2_BCashFlowB2_de728d2c_e5c6fcd6">#REF!</definedName>
    <definedName name="_vena_DYNR_SCashFlowS2_BCashFlowB2_de728d2c_e67ef7f7">#REF!</definedName>
    <definedName name="_vena_DYNR_SCashFlowS2_BCashFlowB2_de728d2c_e7e0fd5a">#REF!</definedName>
    <definedName name="_vena_DYNR_SCashFlowS2_BCashFlowB2_de728d2c_ea0eb8c5">#REF!</definedName>
    <definedName name="_vena_DYNR_SCashFlowS2_BCashFlowB2_de728d2c_ec70ac19">#REF!</definedName>
    <definedName name="_vena_DYNR_SCashFlowS2_BCashFlowB2_de728d2c_ed5a69e4">#REF!</definedName>
    <definedName name="_vena_DYNR_SCashFlowS2_BCashFlowB2_de728d2c_eeb1750c">#REF!</definedName>
    <definedName name="_vena_DYNR_SCashFlowS2_BCashFlowB2_e710791e">#REF!</definedName>
    <definedName name="_vena_DYNR_SCashFlowS2_BCashFlowB2_e710791e_100c5d97">#REF!</definedName>
    <definedName name="_vena_DYNR_SCashFlowS2_BCashFlowB2_e710791e_11d9f65c">#REF!</definedName>
    <definedName name="_vena_DYNR_SCashFlowS2_BCashFlowB2_e710791e_13c75e03">#REF!</definedName>
    <definedName name="_vena_DYNR_SCashFlowS2_BCashFlowB2_e710791e_160c3ed">#REF!</definedName>
    <definedName name="_vena_DYNR_SCashFlowS2_BCashFlowB2_e710791e_1ab6c986">#REF!</definedName>
    <definedName name="_vena_DYNR_SCashFlowS2_BCashFlowB2_e710791e_1abe5637">#REF!</definedName>
    <definedName name="_vena_DYNR_SCashFlowS2_BCashFlowB2_e710791e_1cf42d">#REF!</definedName>
    <definedName name="_vena_DYNR_SCashFlowS2_BCashFlowB2_e710791e_1d26a65c">#REF!</definedName>
    <definedName name="_vena_DYNR_SCashFlowS2_BCashFlowB2_e710791e_20148faf">#REF!</definedName>
    <definedName name="_vena_DYNR_SCashFlowS2_BCashFlowB2_e710791e_21e68d16">#REF!</definedName>
    <definedName name="_vena_DYNR_SCashFlowS2_BCashFlowB2_e710791e_28e79798">#REF!</definedName>
    <definedName name="_vena_DYNR_SCashFlowS2_BCashFlowB2_e710791e_3393ca82">#REF!</definedName>
    <definedName name="_vena_DYNR_SCashFlowS2_BCashFlowB2_e710791e_3523d408">#REF!</definedName>
    <definedName name="_vena_DYNR_SCashFlowS2_BCashFlowB2_e710791e_3679ecd5">#REF!</definedName>
    <definedName name="_vena_DYNR_SCashFlowS2_BCashFlowB2_e710791e_36da2d87">#REF!</definedName>
    <definedName name="_vena_DYNR_SCashFlowS2_BCashFlowB2_e710791e_38692394">#REF!</definedName>
    <definedName name="_vena_DYNR_SCashFlowS2_BCashFlowB2_e710791e_388d76e8">#REF!</definedName>
    <definedName name="_vena_DYNR_SCashFlowS2_BCashFlowB2_e710791e_39ac6422">#REF!</definedName>
    <definedName name="_vena_DYNR_SCashFlowS2_BCashFlowB2_e710791e_3b2c1e53">#REF!</definedName>
    <definedName name="_vena_DYNR_SCashFlowS2_BCashFlowB2_e710791e_3b32df9">#REF!</definedName>
    <definedName name="_vena_DYNR_SCashFlowS2_BCashFlowB2_e710791e_3d0ed9cf">#REF!</definedName>
    <definedName name="_vena_DYNR_SCashFlowS2_BCashFlowB2_e710791e_3df2fc93">#REF!</definedName>
    <definedName name="_vena_DYNR_SCashFlowS2_BCashFlowB2_e710791e_3ea489d">#REF!</definedName>
    <definedName name="_vena_DYNR_SCashFlowS2_BCashFlowB2_e710791e_4405c34a">#REF!</definedName>
    <definedName name="_vena_DYNR_SCashFlowS2_BCashFlowB2_e710791e_49f1916e">#REF!</definedName>
    <definedName name="_vena_DYNR_SCashFlowS2_BCashFlowB2_e710791e_4da68bfa">#REF!</definedName>
    <definedName name="_vena_DYNR_SCashFlowS2_BCashFlowB2_e710791e_50689f91">#REF!</definedName>
    <definedName name="_vena_DYNR_SCashFlowS2_BCashFlowB2_e710791e_54e6389d">#REF!</definedName>
    <definedName name="_vena_DYNR_SCashFlowS2_BCashFlowB2_e710791e_58ea98a4">#REF!</definedName>
    <definedName name="_vena_DYNR_SCashFlowS2_BCashFlowB2_e710791e_58f20946">#REF!</definedName>
    <definedName name="_vena_DYNR_SCashFlowS2_BCashFlowB2_e710791e_5a83bdf3">#REF!</definedName>
    <definedName name="_vena_DYNR_SCashFlowS2_BCashFlowB2_e710791e_5c90b04c">#REF!</definedName>
    <definedName name="_vena_DYNR_SCashFlowS2_BCashFlowB2_e710791e_5ef08117">#REF!</definedName>
    <definedName name="_vena_DYNR_SCashFlowS2_BCashFlowB2_e710791e_5fe83e59">#REF!</definedName>
    <definedName name="_vena_DYNR_SCashFlowS2_BCashFlowB2_e710791e_6091b2d9">#REF!</definedName>
    <definedName name="_vena_DYNR_SCashFlowS2_BCashFlowB2_e710791e_62245420">#REF!</definedName>
    <definedName name="_vena_DYNR_SCashFlowS2_BCashFlowB2_e710791e_644710f3">#REF!</definedName>
    <definedName name="_vena_DYNR_SCashFlowS2_BCashFlowB2_e710791e_65c2ac6">#REF!</definedName>
    <definedName name="_vena_DYNR_SCashFlowS2_BCashFlowB2_e710791e_65cffd9a">#REF!</definedName>
    <definedName name="_vena_DYNR_SCashFlowS2_BCashFlowB2_e710791e_66aaafb5">#REF!</definedName>
    <definedName name="_vena_DYNR_SCashFlowS2_BCashFlowB2_e710791e_6907fb3c">#REF!</definedName>
    <definedName name="_vena_DYNR_SCashFlowS2_BCashFlowB2_e710791e_698fc168">#REF!</definedName>
    <definedName name="_vena_DYNR_SCashFlowS2_BCashFlowB2_e710791e_6ae88e91">#REF!</definedName>
    <definedName name="_vena_DYNR_SCashFlowS2_BCashFlowB2_e710791e_6d09db93">#REF!</definedName>
    <definedName name="_vena_DYNR_SCashFlowS2_BCashFlowB2_e710791e_6fa020c3">#REF!</definedName>
    <definedName name="_vena_DYNR_SCashFlowS2_BCashFlowB2_e710791e_7349be80">#REF!</definedName>
    <definedName name="_vena_DYNR_SCashFlowS2_BCashFlowB2_e710791e_78ae04f3">#REF!</definedName>
    <definedName name="_vena_DYNR_SCashFlowS2_BCashFlowB2_e710791e_79373585">#REF!</definedName>
    <definedName name="_vena_DYNR_SCashFlowS2_BCashFlowB2_e710791e_7e94698b">#REF!</definedName>
    <definedName name="_vena_DYNR_SCashFlowS2_BCashFlowB2_e710791e_800236a6">#REF!</definedName>
    <definedName name="_vena_DYNR_SCashFlowS2_BCashFlowB2_e710791e_86053846">#REF!</definedName>
    <definedName name="_vena_DYNR_SCashFlowS2_BCashFlowB2_e710791e_86d7113a">#REF!</definedName>
    <definedName name="_vena_DYNR_SCashFlowS2_BCashFlowB2_e710791e_86f707d0">#REF!</definedName>
    <definedName name="_vena_DYNR_SCashFlowS2_BCashFlowB2_e710791e_893d4d37">#REF!</definedName>
    <definedName name="_vena_DYNR_SCashFlowS2_BCashFlowB2_e710791e_89918086">#REF!</definedName>
    <definedName name="_vena_DYNR_SCashFlowS2_BCashFlowB2_e710791e_8a6617fb">#REF!</definedName>
    <definedName name="_vena_DYNR_SCashFlowS2_BCashFlowB2_e710791e_8d69bf8c">#REF!</definedName>
    <definedName name="_vena_DYNR_SCashFlowS2_BCashFlowB2_e710791e_8dfe3594">#REF!</definedName>
    <definedName name="_vena_DYNR_SCashFlowS2_BCashFlowB2_e710791e_8e2ebdf">#REF!</definedName>
    <definedName name="_vena_DYNR_SCashFlowS2_BCashFlowB2_e710791e_8e847fbe">#REF!</definedName>
    <definedName name="_vena_DYNR_SCashFlowS2_BCashFlowB2_e710791e_944ba292">#REF!</definedName>
    <definedName name="_vena_DYNR_SCashFlowS2_BCashFlowB2_e710791e_989ffdbd">#REF!</definedName>
    <definedName name="_vena_DYNR_SCashFlowS2_BCashFlowB2_e710791e_991b6a2c">#REF!</definedName>
    <definedName name="_vena_DYNR_SCashFlowS2_BCashFlowB2_e710791e_99d758d2">#REF!</definedName>
    <definedName name="_vena_DYNR_SCashFlowS2_BCashFlowB2_e710791e_9bda055a">#REF!</definedName>
    <definedName name="_vena_DYNR_SCashFlowS2_BCashFlowB2_e710791e_9d7f200a">#REF!</definedName>
    <definedName name="_vena_DYNR_SCashFlowS2_BCashFlowB2_e710791e_a15b32b5">#REF!</definedName>
    <definedName name="_vena_DYNR_SCashFlowS2_BCashFlowB2_e710791e_a1bf6c70">#REF!</definedName>
    <definedName name="_vena_DYNR_SCashFlowS2_BCashFlowB2_e710791e_a1d61dc0">#REF!</definedName>
    <definedName name="_vena_DYNR_SCashFlowS2_BCashFlowB2_e710791e_ac704d7b">#REF!</definedName>
    <definedName name="_vena_DYNR_SCashFlowS2_BCashFlowB2_e710791e_b28b6ff1">#REF!</definedName>
    <definedName name="_vena_DYNR_SCashFlowS2_BCashFlowB2_e710791e_b2b5d65f">#REF!</definedName>
    <definedName name="_vena_DYNR_SCashFlowS2_BCashFlowB2_e710791e_b46c5b40">#REF!</definedName>
    <definedName name="_vena_DYNR_SCashFlowS2_BCashFlowB2_e710791e_b6ea7567">#REF!</definedName>
    <definedName name="_vena_DYNR_SCashFlowS2_BCashFlowB2_e710791e_b755a4bf">#REF!</definedName>
    <definedName name="_vena_DYNR_SCashFlowS2_BCashFlowB2_e710791e_b920ac16">#REF!</definedName>
    <definedName name="_vena_DYNR_SCashFlowS2_BCashFlowB2_e710791e_b9991418">#REF!</definedName>
    <definedName name="_vena_DYNR_SCashFlowS2_BCashFlowB2_e710791e_bd437e5b">#REF!</definedName>
    <definedName name="_vena_DYNR_SCashFlowS2_BCashFlowB2_e710791e_c021be53">#REF!</definedName>
    <definedName name="_vena_DYNR_SCashFlowS2_BCashFlowB2_e710791e_c048ed26">#REF!</definedName>
    <definedName name="_vena_DYNR_SCashFlowS2_BCashFlowB2_e710791e_c04ea751">#REF!</definedName>
    <definedName name="_vena_DYNR_SCashFlowS2_BCashFlowB2_e710791e_c0505ecc">#REF!</definedName>
    <definedName name="_vena_DYNR_SCashFlowS2_BCashFlowB2_e710791e_c0f3f36a">#REF!</definedName>
    <definedName name="_vena_DYNR_SCashFlowS2_BCashFlowB2_e710791e_c23ddaa5">#REF!</definedName>
    <definedName name="_vena_DYNR_SCashFlowS2_BCashFlowB2_e710791e_c4dc4b0a">#REF!</definedName>
    <definedName name="_vena_DYNR_SCashFlowS2_BCashFlowB2_e710791e_c6e86de0">#REF!</definedName>
    <definedName name="_vena_DYNR_SCashFlowS2_BCashFlowB2_e710791e_cb826eb6">#REF!</definedName>
    <definedName name="_vena_DYNR_SCashFlowS2_BCashFlowB2_e710791e_d5dbafe2">#REF!</definedName>
    <definedName name="_vena_DYNR_SCashFlowS2_BCashFlowB2_e710791e_d741ca58">#REF!</definedName>
    <definedName name="_vena_DYNR_SCashFlowS2_BCashFlowB2_e710791e_d77639c5">#REF!</definedName>
    <definedName name="_vena_DYNR_SCashFlowS2_BCashFlowB2_e710791e_d81554c8">#REF!</definedName>
    <definedName name="_vena_DYNR_SCashFlowS2_BCashFlowB2_e710791e_dab3ed1e">#REF!</definedName>
    <definedName name="_vena_DYNR_SCashFlowS2_BCashFlowB2_e710791e_dcb833">#REF!</definedName>
    <definedName name="_vena_DYNR_SCashFlowS2_BCashFlowB2_e710791e_dcdd882a">#REF!</definedName>
    <definedName name="_vena_DYNR_SCashFlowS2_BCashFlowB2_e710791e_dee1417a">#REF!</definedName>
    <definedName name="_vena_DYNR_SCashFlowS2_BCashFlowB2_e710791e_df3b30ef">#REF!</definedName>
    <definedName name="_vena_DYNR_SCashFlowS2_BCashFlowB2_e710791e_e540dd6e">#REF!</definedName>
    <definedName name="_vena_DYNR_SCashFlowS2_BCashFlowB2_e710791e_e73306b0">#REF!</definedName>
    <definedName name="_vena_DYNR_SCashFlowS2_BCashFlowB2_e710791e_e76fd6e9">#REF!</definedName>
    <definedName name="_vena_DYNR_SCashFlowS2_BCashFlowB2_e710791e_e82f7a23">#REF!</definedName>
    <definedName name="_vena_DYNR_SCashFlowS2_BCashFlowB2_e710791e_f63abd73">#REF!</definedName>
    <definedName name="_vena_DYNR_SCashFlowS2_BCashFlowB2_e710791e_f67e075f">#REF!</definedName>
    <definedName name="_vena_DYNR_SCashFlowS2_BCashFlowB2_e710791e_f686e8e9">#REF!</definedName>
    <definedName name="_vena_DYNR_SCashFlowS2_BCashFlowB2_e710791e_fa01b769">#REF!</definedName>
    <definedName name="_vena_DYNR_SCashFlowS2_BCashFlowB2_e710791e_fceb0cdb">#REF!</definedName>
    <definedName name="_vena_DYNR_SCashFlowS2_BCashFlowB2_f5783ada">#REF!</definedName>
    <definedName name="_vena_DYNR_SCashFlowS2_BCashFlowB2_f5783ada_1f42b57a">#REF!</definedName>
    <definedName name="_vena_DYNR_SCashFlowS2_BCashFlowB2_f5783ada_253793e5">#REF!</definedName>
    <definedName name="_vena_DYNR_SCashFlowS2_BCashFlowB2_f5783ada_2e5d5307">#REF!</definedName>
    <definedName name="_vena_DYNR_SCashFlowS2_BCashFlowB2_f5783ada_39db8c7d">#REF!</definedName>
    <definedName name="_vena_DYNR_SCashFlowS2_BCashFlowB2_f5783ada_46bf0304">#REF!</definedName>
    <definedName name="_vena_DYNR_SCashFlowS2_BCashFlowB2_f5783ada_4d7a4ac5">#REF!</definedName>
    <definedName name="_vena_DYNR_SCashFlowS2_BCashFlowB2_f5783ada_517c9275">#REF!</definedName>
    <definedName name="_vena_DYNR_SCashFlowS2_BCashFlowB2_f5783ada_54f48df4">#REF!</definedName>
    <definedName name="_vena_DYNR_SCashFlowS2_BCashFlowB2_f5783ada_63fb4716">#REF!</definedName>
    <definedName name="_vena_DYNR_SCashFlowS2_BCashFlowB2_f5783ada_661e6191">#REF!</definedName>
    <definedName name="_vena_DYNR_SCashFlowS2_BCashFlowB2_f5783ada_6b7ea4ac">#REF!</definedName>
    <definedName name="_vena_DYNR_SCashFlowS2_BCashFlowB2_f5783ada_6f2ec22a">#REF!</definedName>
    <definedName name="_vena_DYNR_SCashFlowS2_BCashFlowB2_f5783ada_755b931">#REF!</definedName>
    <definedName name="_vena_DYNR_SCashFlowS2_BCashFlowB2_f5783ada_7cda9bf1">#REF!</definedName>
    <definedName name="_vena_DYNR_SCashFlowS2_BCashFlowB2_f5783ada_7ef1eeef">#REF!</definedName>
    <definedName name="_vena_DYNR_SCashFlowS2_BCashFlowB2_f5783ada_8924dbca">#REF!</definedName>
    <definedName name="_vena_DYNR_SCashFlowS2_BCashFlowB2_f5783ada_8d36746">#REF!</definedName>
    <definedName name="_vena_DYNR_SCashFlowS2_BCashFlowB2_f5783ada_94b18a98">#REF!</definedName>
    <definedName name="_vena_DYNR_SCashFlowS2_BCashFlowB2_f5783ada_99c4a713">#REF!</definedName>
    <definedName name="_vena_DYNR_SCashFlowS2_BCashFlowB2_f5783ada_9c15a1b0">#REF!</definedName>
    <definedName name="_vena_DYNR_SCashFlowS2_BCashFlowB2_f5783ada_b95f6f8">#REF!</definedName>
    <definedName name="_vena_DYNR_SCashFlowS2_BCashFlowB2_f5783ada_bc699321">#REF!</definedName>
    <definedName name="_vena_DYNR_SCashFlowS2_BCashFlowB2_f5783ada_c443e8cf">#REF!</definedName>
    <definedName name="_vena_DYNR_SCashFlowS2_BCashFlowB2_f5783ada_c6b61854">#REF!</definedName>
    <definedName name="_vena_DYNR_SCashFlowS2_BCashFlowB2_f5783ada_c744c829">#REF!</definedName>
    <definedName name="_vena_DYNR_SCashFlowS2_BCashFlowB2_f5783ada_c808cb4c">#REF!</definedName>
    <definedName name="_vena_DYNR_SCashFlowS2_BCashFlowB2_f5783ada_c96a0e20">#REF!</definedName>
    <definedName name="_vena_DYNR_SCashFlowS2_BCashFlowB2_f5783ada_cb4147f1">#REF!</definedName>
    <definedName name="_vena_DYNR_SCashFlowS2_BCashFlowB2_f5783ada_d5cfcde7">#REF!</definedName>
    <definedName name="_vena_DYNR_SCashFlowS2_BCashFlowB2_f5783ada_d60eb02a">#REF!</definedName>
    <definedName name="_vena_DYNR_SCashFlowS2_BCashFlowB2_f5783ada_d75b0065">#REF!</definedName>
    <definedName name="_vena_DYNR_SCashFlowS2_BCashFlowB2_f5783ada_d780360f">#REF!</definedName>
    <definedName name="_vena_DYNR_SCashFlowS2_BCashFlowB2_f5783ada_d7e57c0d">#REF!</definedName>
    <definedName name="_vena_DYNR_SCashFlowS2_BCashFlowB2_f5783ada_d82a53f2">#REF!</definedName>
    <definedName name="_vena_DYNR_SCashFlowS2_BCashFlowB2_f5783ada_e5fce27e">#REF!</definedName>
    <definedName name="_vena_DYNR_SCashFlowS2_BCashFlowB2_f5783ada_ed2b98b9">#REF!</definedName>
    <definedName name="_vena_DYNR_SCashFlowS2_BCashFlowB2_ff276e47">#REF!</definedName>
    <definedName name="_vena_DYNR_SCashFlowS2_BCashFlowB2_ff276e47_1303b44d">#REF!</definedName>
    <definedName name="_vena_DYNR_SCashFlowS2_BCashFlowB2_ff276e47_1eefc987">#REF!</definedName>
    <definedName name="_vena_DYNR_SCashFlowS2_BCashFlowB2_ff276e47_23974f33">#REF!</definedName>
    <definedName name="_vena_DYNR_SCashFlowS2_BCashFlowB2_ff276e47_244b9be">#REF!</definedName>
    <definedName name="_vena_DYNR_SCashFlowS2_BCashFlowB2_ff276e47_25515ed7">#REF!</definedName>
    <definedName name="_vena_DYNR_SCashFlowS2_BCashFlowB2_ff276e47_298c8d1b">#REF!</definedName>
    <definedName name="_vena_DYNR_SCashFlowS2_BCashFlowB2_ff276e47_2ff2d518">#REF!</definedName>
    <definedName name="_vena_DYNR_SCashFlowS2_BCashFlowB2_ff276e47_30f96e19">#REF!</definedName>
    <definedName name="_vena_DYNR_SCashFlowS2_BCashFlowB2_ff276e47_3297945c">#REF!</definedName>
    <definedName name="_vena_DYNR_SCashFlowS2_BCashFlowB2_ff276e47_37d99a79">#REF!</definedName>
    <definedName name="_vena_DYNR_SCashFlowS2_BCashFlowB2_ff276e47_3bd1d759">#REF!</definedName>
    <definedName name="_vena_DYNR_SCashFlowS2_BCashFlowB2_ff276e47_5a1c0272">#REF!</definedName>
    <definedName name="_vena_DYNR_SCashFlowS2_BCashFlowB2_ff276e47_5b9c2b6c">#REF!</definedName>
    <definedName name="_vena_DYNR_SCashFlowS2_BCashFlowB2_ff276e47_5fdacaef">#REF!</definedName>
    <definedName name="_vena_DYNR_SCashFlowS2_BCashFlowB2_ff276e47_60d011a5">#REF!</definedName>
    <definedName name="_vena_DYNR_SCashFlowS2_BCashFlowB2_ff276e47_628a91ab">#REF!</definedName>
    <definedName name="_vena_DYNR_SCashFlowS2_BCashFlowB2_ff276e47_67959741">#REF!</definedName>
    <definedName name="_vena_DYNR_SCashFlowS2_BCashFlowB2_ff276e47_6936a846">#REF!</definedName>
    <definedName name="_vena_DYNR_SCashFlowS2_BCashFlowB2_ff276e47_699deb0">#REF!</definedName>
    <definedName name="_vena_DYNR_SCashFlowS2_BCashFlowB2_ff276e47_69be70ec">#REF!</definedName>
    <definedName name="_vena_DYNR_SCashFlowS2_BCashFlowB2_ff276e47_705ff80a">#REF!</definedName>
    <definedName name="_vena_DYNR_SCashFlowS2_BCashFlowB2_ff276e47_710c1826">#REF!</definedName>
    <definedName name="_vena_DYNR_SCashFlowS2_BCashFlowB2_ff276e47_72791c61">#REF!</definedName>
    <definedName name="_vena_DYNR_SCashFlowS2_BCashFlowB2_ff276e47_7392dfff">#REF!</definedName>
    <definedName name="_vena_DYNR_SCashFlowS2_BCashFlowB2_ff276e47_74f090">#REF!</definedName>
    <definedName name="_vena_DYNR_SCashFlowS2_BCashFlowB2_ff276e47_762f313">#REF!</definedName>
    <definedName name="_vena_DYNR_SCashFlowS2_BCashFlowB2_ff276e47_79250138">#REF!</definedName>
    <definedName name="_vena_DYNR_SCashFlowS2_BCashFlowB2_ff276e47_797867f9">#REF!</definedName>
    <definedName name="_vena_DYNR_SCashFlowS2_BCashFlowB2_ff276e47_7ba475a3">#REF!</definedName>
    <definedName name="_vena_DYNR_SCashFlowS2_BCashFlowB2_ff276e47_7c8d7096">#REF!</definedName>
    <definedName name="_vena_DYNR_SCashFlowS2_BCashFlowB2_ff276e47_8214b70f">#REF!</definedName>
    <definedName name="_vena_DYNR_SCashFlowS2_BCashFlowB2_ff276e47_837985cf">#REF!</definedName>
    <definedName name="_vena_DYNR_SCashFlowS2_BCashFlowB2_ff276e47_8890f94f">#REF!</definedName>
    <definedName name="_vena_DYNR_SCashFlowS2_BCashFlowB2_ff276e47_8cfe7ebf">#REF!</definedName>
    <definedName name="_vena_DYNR_SCashFlowS2_BCashFlowB2_ff276e47_8d3758b3">#REF!</definedName>
    <definedName name="_vena_DYNR_SCashFlowS2_BCashFlowB2_ff276e47_97561ae6">#REF!</definedName>
    <definedName name="_vena_DYNR_SCashFlowS2_BCashFlowB2_ff276e47_97dba075">#REF!</definedName>
    <definedName name="_vena_DYNR_SCashFlowS2_BCashFlowB2_ff276e47_9b71bde0">#REF!</definedName>
    <definedName name="_vena_DYNR_SCashFlowS2_BCashFlowB2_ff276e47_9ecd34e0">#REF!</definedName>
    <definedName name="_vena_DYNR_SCashFlowS2_BCashFlowB2_ff276e47_a2cdaaa6">#REF!</definedName>
    <definedName name="_vena_DYNR_SCashFlowS2_BCashFlowB2_ff276e47_ba2dc536">#REF!</definedName>
    <definedName name="_vena_DYNR_SCashFlowS2_BCashFlowB2_ff276e47_c874efbf">#REF!</definedName>
    <definedName name="_vena_DYNR_SCashFlowS2_BCashFlowB2_ff276e47_c94c818">#REF!</definedName>
    <definedName name="_vena_DYNR_SCashFlowS2_BCashFlowB2_ff276e47_cf88d3aa">#REF!</definedName>
    <definedName name="_vena_DYNR_SCashFlowS2_BCashFlowB2_ff276e47_d42bc841">#REF!</definedName>
    <definedName name="_vena_DYNR_SCashFlowS2_BCashFlowB2_ff276e47_e0f42cac">#REF!</definedName>
    <definedName name="_vena_DYNR_SCashFlowS2_BCashFlowB2_ff276e47_e46620c5">#REF!</definedName>
    <definedName name="_vena_DYNR_SCashFlowS2_BCashFlowB2_ff276e47_e8c50d60">#REF!</definedName>
    <definedName name="_vena_DYNR_SCashFlowS2_BCashFlowB2_ff276e47_ef3d1761">#REF!</definedName>
    <definedName name="_vena_DYNR_SCashFlowS2_BCashFlowB2_ff276e47_f95db585">#REF!</definedName>
    <definedName name="_vena_DYNR_SCashFlowS2_BCashFlowB2_ff276e47_f9720968">#REF!</definedName>
    <definedName name="_vena_DYNR_SCashFlowS2_BCashFlowB2_ff276e47_fa14e338">#REF!</definedName>
    <definedName name="_vena_DYNR_SCashFlowS2_BCashFlowB2_ff276e47_fa1a21bd">#REF!</definedName>
    <definedName name="_vena_DYNR_SCashFlowS2_BCashFlowB2_ff276e47_fbafde1c">#REF!</definedName>
    <definedName name="_vena_DYNR_SCashFlowS2_BCashFlowB3_13a59b29">#REF!</definedName>
    <definedName name="_vena_DYNR_SCashFlowS2_BCashFlowB3_13a59b29_16aaf774">#REF!</definedName>
    <definedName name="_vena_DYNR_SCashFlowS2_BCashFlowB3_13a59b29_171b176d">#REF!</definedName>
    <definedName name="_vena_DYNR_SCashFlowS2_BCashFlowB3_13a59b29_1ad45462">#REF!</definedName>
    <definedName name="_vena_DYNR_SCashFlowS2_BCashFlowB3_13a59b29_1d6984e6">#REF!</definedName>
    <definedName name="_vena_DYNR_SCashFlowS2_BCashFlowB3_13a59b29_2049862c">#REF!</definedName>
    <definedName name="_vena_DYNR_SCashFlowS2_BCashFlowB3_13a59b29_212abbed">#REF!</definedName>
    <definedName name="_vena_DYNR_SCashFlowS2_BCashFlowB3_13a59b29_21fe200c">#REF!</definedName>
    <definedName name="_vena_DYNR_SCashFlowS2_BCashFlowB3_13a59b29_23a8cff5">#REF!</definedName>
    <definedName name="_vena_DYNR_SCashFlowS2_BCashFlowB3_13a59b29_244fcb6d">#REF!</definedName>
    <definedName name="_vena_DYNR_SCashFlowS2_BCashFlowB3_13a59b29_373554ab">#REF!</definedName>
    <definedName name="_vena_DYNR_SCashFlowS2_BCashFlowB3_13a59b29_3743cbad">#REF!</definedName>
    <definedName name="_vena_DYNR_SCashFlowS2_BCashFlowB3_13a59b29_46dd5269">#REF!</definedName>
    <definedName name="_vena_DYNR_SCashFlowS2_BCashFlowB3_13a59b29_498cf176">#REF!</definedName>
    <definedName name="_vena_DYNR_SCashFlowS2_BCashFlowB3_13a59b29_4b16d827">#REF!</definedName>
    <definedName name="_vena_DYNR_SCashFlowS2_BCashFlowB3_13a59b29_4f253ceb">#REF!</definedName>
    <definedName name="_vena_DYNR_SCashFlowS2_BCashFlowB3_13a59b29_4fe1c915">#REF!</definedName>
    <definedName name="_vena_DYNR_SCashFlowS2_BCashFlowB3_13a59b29_51f9a35">#REF!</definedName>
    <definedName name="_vena_DYNR_SCashFlowS2_BCashFlowB3_13a59b29_550c9a68">#REF!</definedName>
    <definedName name="_vena_DYNR_SCashFlowS2_BCashFlowB3_13a59b29_55aa9c74">#REF!</definedName>
    <definedName name="_vena_DYNR_SCashFlowS2_BCashFlowB3_13a59b29_561f973a">#REF!</definedName>
    <definedName name="_vena_DYNR_SCashFlowS2_BCashFlowB3_13a59b29_567e1a3f">#REF!</definedName>
    <definedName name="_vena_DYNR_SCashFlowS2_BCashFlowB3_13a59b29_594e1673">#REF!</definedName>
    <definedName name="_vena_DYNR_SCashFlowS2_BCashFlowB3_13a59b29_5f398646">#REF!</definedName>
    <definedName name="_vena_DYNR_SCashFlowS2_BCashFlowB3_13a59b29_689a12c2">#REF!</definedName>
    <definedName name="_vena_DYNR_SCashFlowS2_BCashFlowB3_13a59b29_69564b08">#REF!</definedName>
    <definedName name="_vena_DYNR_SCashFlowS2_BCashFlowB3_13a59b29_70b10551">#REF!</definedName>
    <definedName name="_vena_DYNR_SCashFlowS2_BCashFlowB3_13a59b29_70d3874">#REF!</definedName>
    <definedName name="_vena_DYNR_SCashFlowS2_BCashFlowB3_13a59b29_7d7ee2c">#REF!</definedName>
    <definedName name="_vena_DYNR_SCashFlowS2_BCashFlowB3_13a59b29_87af372c">#REF!</definedName>
    <definedName name="_vena_DYNR_SCashFlowS2_BCashFlowB3_13a59b29_886ab466">#REF!</definedName>
    <definedName name="_vena_DYNR_SCashFlowS2_BCashFlowB3_13a59b29_8e669f23">#REF!</definedName>
    <definedName name="_vena_DYNR_SCashFlowS2_BCashFlowB3_13a59b29_8ea8c1d9">#REF!</definedName>
    <definedName name="_vena_DYNR_SCashFlowS2_BCashFlowB3_13a59b29_90edec75">#REF!</definedName>
    <definedName name="_vena_DYNR_SCashFlowS2_BCashFlowB3_13a59b29_977e058b">#REF!</definedName>
    <definedName name="_vena_DYNR_SCashFlowS2_BCashFlowB3_13a59b29_9b425148">#REF!</definedName>
    <definedName name="_vena_DYNR_SCashFlowS2_BCashFlowB3_13a59b29_9c217218">#REF!</definedName>
    <definedName name="_vena_DYNR_SCashFlowS2_BCashFlowB3_13a59b29_9cf1ef3f">#REF!</definedName>
    <definedName name="_vena_DYNR_SCashFlowS2_BCashFlowB3_13a59b29_9eecfbde">#REF!</definedName>
    <definedName name="_vena_DYNR_SCashFlowS2_BCashFlowB3_13a59b29_a35b4214">#REF!</definedName>
    <definedName name="_vena_DYNR_SCashFlowS2_BCashFlowB3_13a59b29_a8f5052e">#REF!</definedName>
    <definedName name="_vena_DYNR_SCashFlowS2_BCashFlowB3_13a59b29_ad201851">#REF!</definedName>
    <definedName name="_vena_DYNR_SCashFlowS2_BCashFlowB3_13a59b29_affe3d29">#REF!</definedName>
    <definedName name="_vena_DYNR_SCashFlowS2_BCashFlowB3_13a59b29_b5cd1602">#REF!</definedName>
    <definedName name="_vena_DYNR_SCashFlowS2_BCashFlowB3_13a59b29_b6c71829">#REF!</definedName>
    <definedName name="_vena_DYNR_SCashFlowS2_BCashFlowB3_13a59b29_b81708ae">#REF!</definedName>
    <definedName name="_vena_DYNR_SCashFlowS2_BCashFlowB3_13a59b29_c2a9ba1f">#REF!</definedName>
    <definedName name="_vena_DYNR_SCashFlowS2_BCashFlowB3_13a59b29_cbf49293">#REF!</definedName>
    <definedName name="_vena_DYNR_SCashFlowS2_BCashFlowB3_13a59b29_d44fbec7">#REF!</definedName>
    <definedName name="_vena_DYNR_SCashFlowS2_BCashFlowB3_13a59b29_e1cfb231">#REF!</definedName>
    <definedName name="_vena_DYNR_SCashFlowS2_BCashFlowB3_13a59b29_e47e6146">#REF!</definedName>
    <definedName name="_vena_DYNR_SCashFlowS2_BCashFlowB3_13a59b29_e885fd2f">#REF!</definedName>
    <definedName name="_vena_DYNR_SCashFlowS2_BCashFlowB3_13a59b29_e90a5c62">#REF!</definedName>
    <definedName name="_vena_DYNR_SCashFlowS2_BCashFlowB3_13a59b29_e97c83af">#REF!</definedName>
    <definedName name="_vena_DYNR_SCashFlowS2_BCashFlowB3_13a59b29_eb1e4b89">#REF!</definedName>
    <definedName name="_vena_DYNR_SCashFlowS2_BCashFlowB3_13a59b29_ee76319d">#REF!</definedName>
    <definedName name="_vena_DYNR_SCashFlowS2_BCashFlowB3_13a59b29_ee87d63b">#REF!</definedName>
    <definedName name="_vena_DYNR_SCashFlowS2_BCashFlowB3_13a59b29_f0ba6e08">#REF!</definedName>
    <definedName name="_vena_DYNR_SCashFlowS2_BCashFlowB3_13a59b29_f3f88168">#REF!</definedName>
    <definedName name="_vena_DYNR_SCashFlowS2_BCashFlowB3_13a59b29_f63cac6f">#REF!</definedName>
    <definedName name="_vena_DYNR_SCashFlowS2_BCashFlowB3_13a59b29_f916372d">#REF!</definedName>
    <definedName name="_vena_DYNR_SCashFlowS2_BCashFlowB3_13a59b29_fa92667c">#REF!</definedName>
    <definedName name="_vena_DYNR_SCashFlowS2_BCashFlowB3_13a59b29_fdd1ec3a">#REF!</definedName>
    <definedName name="_vena_DYNR_SCashFlowS2_BCashFlowB3_2cbe3bfd">#REF!</definedName>
    <definedName name="_vena_DYNR_SCashFlowS2_BCashFlowB3_2cbe3bfd_3549f5be">#REF!</definedName>
    <definedName name="_vena_DYNR_SCashFlowS2_BCashFlowB3_2cbe3bfd_396cad37">#REF!</definedName>
    <definedName name="_vena_DYNR_SCashFlowS2_BCashFlowB3_2cbe3bfd_456a2b96">#REF!</definedName>
    <definedName name="_vena_DYNR_SCashFlowS2_BCashFlowB3_2cbe3bfd_579c46e5">#REF!</definedName>
    <definedName name="_vena_DYNR_SCashFlowS2_BCashFlowB3_2cbe3bfd_6d32d382">#REF!</definedName>
    <definedName name="_vena_DYNR_SCashFlowS2_BCashFlowB3_2cbe3bfd_6f828ff0">#REF!</definedName>
    <definedName name="_vena_DYNR_SCashFlowS2_BCashFlowB3_2cbe3bfd_7fe7b36a">#REF!</definedName>
    <definedName name="_vena_DYNR_SCashFlowS2_BCashFlowB3_2cbe3bfd_89d4309f">#REF!</definedName>
    <definedName name="_vena_DYNR_SCashFlowS2_BCashFlowB3_2cbe3bfd_c289d23d">#REF!</definedName>
    <definedName name="_vena_DYNR_SCashFlowS2_BCashFlowB3_2cbe3bfd_d28824db">#REF!</definedName>
    <definedName name="_vena_DYNR_SCashFlowS2_BCashFlowB3_2cbe3bfd_d3ac5635">#REF!</definedName>
    <definedName name="_vena_DYNR_SCashFlowS2_BCashFlowB3_2cbe3bfd_eefd32b7">#REF!</definedName>
    <definedName name="_vena_DYNR_SCashFlowS2_BCashFlowB3_2cbe3bfd_fb7cb3c6">#REF!</definedName>
    <definedName name="_vena_DYNR_SCashFlowS2_BCashFlowB3_4893e864">#REF!</definedName>
    <definedName name="_vena_DYNR_SCashFlowS2_BCashFlowB3_4893e864_12d1685c">#REF!</definedName>
    <definedName name="_vena_DYNR_SCashFlowS2_BCashFlowB3_4893e864_1407c982">#REF!</definedName>
    <definedName name="_vena_DYNR_SCashFlowS2_BCashFlowB3_4893e864_14b3c8c1">#REF!</definedName>
    <definedName name="_vena_DYNR_SCashFlowS2_BCashFlowB3_4893e864_152a487e">#REF!</definedName>
    <definedName name="_vena_DYNR_SCashFlowS2_BCashFlowB3_4893e864_178a79cd">#REF!</definedName>
    <definedName name="_vena_DYNR_SCashFlowS2_BCashFlowB3_4893e864_17bdf289">#REF!</definedName>
    <definedName name="_vena_DYNR_SCashFlowS2_BCashFlowB3_4893e864_1b22a0d4">#REF!</definedName>
    <definedName name="_vena_DYNR_SCashFlowS2_BCashFlowB3_4893e864_1bdc22e6">#REF!</definedName>
    <definedName name="_vena_DYNR_SCashFlowS2_BCashFlowB3_4893e864_1d907a5f">#REF!</definedName>
    <definedName name="_vena_DYNR_SCashFlowS2_BCashFlowB3_4893e864_1ed1a3fe">#REF!</definedName>
    <definedName name="_vena_DYNR_SCashFlowS2_BCashFlowB3_4893e864_21229d1">#REF!</definedName>
    <definedName name="_vena_DYNR_SCashFlowS2_BCashFlowB3_4893e864_22c4edc0">#REF!</definedName>
    <definedName name="_vena_DYNR_SCashFlowS2_BCashFlowB3_4893e864_239bb4e7">#REF!</definedName>
    <definedName name="_vena_DYNR_SCashFlowS2_BCashFlowB3_4893e864_27c35d13">#REF!</definedName>
    <definedName name="_vena_DYNR_SCashFlowS2_BCashFlowB3_4893e864_292aec2f">#REF!</definedName>
    <definedName name="_vena_DYNR_SCashFlowS2_BCashFlowB3_4893e864_29f8fc9f">#REF!</definedName>
    <definedName name="_vena_DYNR_SCashFlowS2_BCashFlowB3_4893e864_2ae602a1">#REF!</definedName>
    <definedName name="_vena_DYNR_SCashFlowS2_BCashFlowB3_4893e864_2be5923b">#REF!</definedName>
    <definedName name="_vena_DYNR_SCashFlowS2_BCashFlowB3_4893e864_2d4aa44">#REF!</definedName>
    <definedName name="_vena_DYNR_SCashFlowS2_BCashFlowB3_4893e864_2d928fc6">#REF!</definedName>
    <definedName name="_vena_DYNR_SCashFlowS2_BCashFlowB3_4893e864_2ebd3ed4">#REF!</definedName>
    <definedName name="_vena_DYNR_SCashFlowS2_BCashFlowB3_4893e864_30a018a">#REF!</definedName>
    <definedName name="_vena_DYNR_SCashFlowS2_BCashFlowB3_4893e864_3151f976">#REF!</definedName>
    <definedName name="_vena_DYNR_SCashFlowS2_BCashFlowB3_4893e864_32f46ff5">#REF!</definedName>
    <definedName name="_vena_DYNR_SCashFlowS2_BCashFlowB3_4893e864_34497428">#REF!</definedName>
    <definedName name="_vena_DYNR_SCashFlowS2_BCashFlowB3_4893e864_3b098fbd">#REF!</definedName>
    <definedName name="_vena_DYNR_SCashFlowS2_BCashFlowB3_4893e864_3c9fa604">#REF!</definedName>
    <definedName name="_vena_DYNR_SCashFlowS2_BCashFlowB3_4893e864_3e2729ca">#REF!</definedName>
    <definedName name="_vena_DYNR_SCashFlowS2_BCashFlowB3_4893e864_3ee1f20d">#REF!</definedName>
    <definedName name="_vena_DYNR_SCashFlowS2_BCashFlowB3_4893e864_415cfc1">#REF!</definedName>
    <definedName name="_vena_DYNR_SCashFlowS2_BCashFlowB3_4893e864_419b256b">#REF!</definedName>
    <definedName name="_vena_DYNR_SCashFlowS2_BCashFlowB3_4893e864_421dccf2">#REF!</definedName>
    <definedName name="_vena_DYNR_SCashFlowS2_BCashFlowB3_4893e864_42da04fc">#REF!</definedName>
    <definedName name="_vena_DYNR_SCashFlowS2_BCashFlowB3_4893e864_43991e15">#REF!</definedName>
    <definedName name="_vena_DYNR_SCashFlowS2_BCashFlowB3_4893e864_43f00de">#REF!</definedName>
    <definedName name="_vena_DYNR_SCashFlowS2_BCashFlowB3_4893e864_4636305b">#REF!</definedName>
    <definedName name="_vena_DYNR_SCashFlowS2_BCashFlowB3_4893e864_499767c5">#REF!</definedName>
    <definedName name="_vena_DYNR_SCashFlowS2_BCashFlowB3_4893e864_4a64b961">#REF!</definedName>
    <definedName name="_vena_DYNR_SCashFlowS2_BCashFlowB3_4893e864_4a853aac">#REF!</definedName>
    <definedName name="_vena_DYNR_SCashFlowS2_BCashFlowB3_4893e864_4bcaa894">#REF!</definedName>
    <definedName name="_vena_DYNR_SCashFlowS2_BCashFlowB3_4893e864_4f86b17e">#REF!</definedName>
    <definedName name="_vena_DYNR_SCashFlowS2_BCashFlowB3_4893e864_52cbc5bf">#REF!</definedName>
    <definedName name="_vena_DYNR_SCashFlowS2_BCashFlowB3_4893e864_54193292">#REF!</definedName>
    <definedName name="_vena_DYNR_SCashFlowS2_BCashFlowB3_4893e864_54a2784c">#REF!</definedName>
    <definedName name="_vena_DYNR_SCashFlowS2_BCashFlowB3_4893e864_5616ed60">#REF!</definedName>
    <definedName name="_vena_DYNR_SCashFlowS2_BCashFlowB3_4893e864_57010606">#REF!</definedName>
    <definedName name="_vena_DYNR_SCashFlowS2_BCashFlowB3_4893e864_5a2e8f3">#REF!</definedName>
    <definedName name="_vena_DYNR_SCashFlowS2_BCashFlowB3_4893e864_5cfb25e8">#REF!</definedName>
    <definedName name="_vena_DYNR_SCashFlowS2_BCashFlowB3_4893e864_5dbf5435">#REF!</definedName>
    <definedName name="_vena_DYNR_SCashFlowS2_BCashFlowB3_4893e864_60d011b7">#REF!</definedName>
    <definedName name="_vena_DYNR_SCashFlowS2_BCashFlowB3_4893e864_61eb92a1">#REF!</definedName>
    <definedName name="_vena_DYNR_SCashFlowS2_BCashFlowB3_4893e864_6415b51">#REF!</definedName>
    <definedName name="_vena_DYNR_SCashFlowS2_BCashFlowB3_4893e864_643789b5">#REF!</definedName>
    <definedName name="_vena_DYNR_SCashFlowS2_BCashFlowB3_4893e864_68a80578">#REF!</definedName>
    <definedName name="_vena_DYNR_SCashFlowS2_BCashFlowB3_4893e864_6f540932">#REF!</definedName>
    <definedName name="_vena_DYNR_SCashFlowS2_BCashFlowB3_4893e864_73be84bd">#REF!</definedName>
    <definedName name="_vena_DYNR_SCashFlowS2_BCashFlowB3_4893e864_7679b3">#REF!</definedName>
    <definedName name="_vena_DYNR_SCashFlowS2_BCashFlowB3_4893e864_76b50574">#REF!</definedName>
    <definedName name="_vena_DYNR_SCashFlowS2_BCashFlowB3_4893e864_7a22a7d">#REF!</definedName>
    <definedName name="_vena_DYNR_SCashFlowS2_BCashFlowB3_4893e864_7da64257">#REF!</definedName>
    <definedName name="_vena_DYNR_SCashFlowS2_BCashFlowB3_4893e864_8252d7b2">#REF!</definedName>
    <definedName name="_vena_DYNR_SCashFlowS2_BCashFlowB3_4893e864_852d0f39">#REF!</definedName>
    <definedName name="_vena_DYNR_SCashFlowS2_BCashFlowB3_4893e864_869417f1">#REF!</definedName>
    <definedName name="_vena_DYNR_SCashFlowS2_BCashFlowB3_4893e864_887349e3">#REF!</definedName>
    <definedName name="_vena_DYNR_SCashFlowS2_BCashFlowB3_4893e864_8e77c36e">#REF!</definedName>
    <definedName name="_vena_DYNR_SCashFlowS2_BCashFlowB3_4893e864_8ef7a6f7">#REF!</definedName>
    <definedName name="_vena_DYNR_SCashFlowS2_BCashFlowB3_4893e864_9202e47b">#REF!</definedName>
    <definedName name="_vena_DYNR_SCashFlowS2_BCashFlowB3_4893e864_94982ead">#REF!</definedName>
    <definedName name="_vena_DYNR_SCashFlowS2_BCashFlowB3_4893e864_95eb29b6">#REF!</definedName>
    <definedName name="_vena_DYNR_SCashFlowS2_BCashFlowB3_4893e864_97df4259">#REF!</definedName>
    <definedName name="_vena_DYNR_SCashFlowS2_BCashFlowB3_4893e864_9ab599f">#REF!</definedName>
    <definedName name="_vena_DYNR_SCashFlowS2_BCashFlowB3_4893e864_9ad06d4f">#REF!</definedName>
    <definedName name="_vena_DYNR_SCashFlowS2_BCashFlowB3_4893e864_9d8952da">#REF!</definedName>
    <definedName name="_vena_DYNR_SCashFlowS2_BCashFlowB3_4893e864_9f7b564f">#REF!</definedName>
    <definedName name="_vena_DYNR_SCashFlowS2_BCashFlowB3_4893e864_a0d1962b">#REF!</definedName>
    <definedName name="_vena_DYNR_SCashFlowS2_BCashFlowB3_4893e864_a2cdaf40">#REF!</definedName>
    <definedName name="_vena_DYNR_SCashFlowS2_BCashFlowB3_4893e864_a495928b">#REF!</definedName>
    <definedName name="_vena_DYNR_SCashFlowS2_BCashFlowB3_4893e864_a5b8fee6">#REF!</definedName>
    <definedName name="_vena_DYNR_SCashFlowS2_BCashFlowB3_4893e864_a82fe875">#REF!</definedName>
    <definedName name="_vena_DYNR_SCashFlowS2_BCashFlowB3_4893e864_b1b6d4e1">#REF!</definedName>
    <definedName name="_vena_DYNR_SCashFlowS2_BCashFlowB3_4893e864_b7bea8e3">#REF!</definedName>
    <definedName name="_vena_DYNR_SCashFlowS2_BCashFlowB3_4893e864_bb3daf69">#REF!</definedName>
    <definedName name="_vena_DYNR_SCashFlowS2_BCashFlowB3_4893e864_bc77ef1">#REF!</definedName>
    <definedName name="_vena_DYNR_SCashFlowS2_BCashFlowB3_4893e864_c0b653be">#REF!</definedName>
    <definedName name="_vena_DYNR_SCashFlowS2_BCashFlowB3_4893e864_c109454b">#REF!</definedName>
    <definedName name="_vena_DYNR_SCashFlowS2_BCashFlowB3_4893e864_c216707f">#REF!</definedName>
    <definedName name="_vena_DYNR_SCashFlowS2_BCashFlowB3_4893e864_c5b19534">#REF!</definedName>
    <definedName name="_vena_DYNR_SCashFlowS2_BCashFlowB3_4893e864_c83fae44">#REF!</definedName>
    <definedName name="_vena_DYNR_SCashFlowS2_BCashFlowB3_4893e864_ca755d2c">#REF!</definedName>
    <definedName name="_vena_DYNR_SCashFlowS2_BCashFlowB3_4893e864_cc16881f">#REF!</definedName>
    <definedName name="_vena_DYNR_SCashFlowS2_BCashFlowB3_4893e864_cc4881">#REF!</definedName>
    <definedName name="_vena_DYNR_SCashFlowS2_BCashFlowB3_4893e864_cfac6aa1">#REF!</definedName>
    <definedName name="_vena_DYNR_SCashFlowS2_BCashFlowB3_4893e864_cfe2a590">#REF!</definedName>
    <definedName name="_vena_DYNR_SCashFlowS2_BCashFlowB3_4893e864_cff531e7">#REF!</definedName>
    <definedName name="_vena_DYNR_SCashFlowS2_BCashFlowB3_4893e864_d0b79128">#REF!</definedName>
    <definedName name="_vena_DYNR_SCashFlowS2_BCashFlowB3_4893e864_d2bd8513">#REF!</definedName>
    <definedName name="_vena_DYNR_SCashFlowS2_BCashFlowB3_4893e864_d6183dba">#REF!</definedName>
    <definedName name="_vena_DYNR_SCashFlowS2_BCashFlowB3_4893e864_d61e07fc">#REF!</definedName>
    <definedName name="_vena_DYNR_SCashFlowS2_BCashFlowB3_4893e864_d69f07f9">#REF!</definedName>
    <definedName name="_vena_DYNR_SCashFlowS2_BCashFlowB3_4893e864_d6cc692a">#REF!</definedName>
    <definedName name="_vena_DYNR_SCashFlowS2_BCashFlowB3_4893e864_d93f0655">#REF!</definedName>
    <definedName name="_vena_DYNR_SCashFlowS2_BCashFlowB3_4893e864_d9f0e7f8">#REF!</definedName>
    <definedName name="_vena_DYNR_SCashFlowS2_BCashFlowB3_4893e864_dba6d48c">#REF!</definedName>
    <definedName name="_vena_DYNR_SCashFlowS2_BCashFlowB3_4893e864_de07e14e">#REF!</definedName>
    <definedName name="_vena_DYNR_SCashFlowS2_BCashFlowB3_4893e864_e037f042">#REF!</definedName>
    <definedName name="_vena_DYNR_SCashFlowS2_BCashFlowB3_4893e864_e0cb02b1">#REF!</definedName>
    <definedName name="_vena_DYNR_SCashFlowS2_BCashFlowB3_4893e864_e2fc4453">#REF!</definedName>
    <definedName name="_vena_DYNR_SCashFlowS2_BCashFlowB3_4893e864_e406e71e">#REF!</definedName>
    <definedName name="_vena_DYNR_SCashFlowS2_BCashFlowB3_4893e864_e41e721e">#REF!</definedName>
    <definedName name="_vena_DYNR_SCashFlowS2_BCashFlowB3_4893e864_e5badfa4">#REF!</definedName>
    <definedName name="_vena_DYNR_SCashFlowS2_BCashFlowB3_4893e864_e711fd8d">#REF!</definedName>
    <definedName name="_vena_DYNR_SCashFlowS2_BCashFlowB3_4893e864_e7bdb5e4">#REF!</definedName>
    <definedName name="_vena_DYNR_SCashFlowS2_BCashFlowB3_4893e864_eaa79213">#REF!</definedName>
    <definedName name="_vena_DYNR_SCashFlowS2_BCashFlowB3_4893e864_eb185e31">#REF!</definedName>
    <definedName name="_vena_DYNR_SCashFlowS2_BCashFlowB3_4893e864_eb6219d4">#REF!</definedName>
    <definedName name="_vena_DYNR_SCashFlowS2_BCashFlowB3_4893e864_eb9cbb96">#REF!</definedName>
    <definedName name="_vena_DYNR_SCashFlowS2_BCashFlowB3_4893e864_ecda0123">#REF!</definedName>
    <definedName name="_vena_DYNR_SCashFlowS2_BCashFlowB3_4893e864_ecfab9af">#REF!</definedName>
    <definedName name="_vena_DYNR_SCashFlowS2_BCashFlowB3_4893e864_ed37576b">#REF!</definedName>
    <definedName name="_vena_DYNR_SCashFlowS2_BCashFlowB3_4893e864_f3a06144">#REF!</definedName>
    <definedName name="_vena_DYNR_SCashFlowS2_BCashFlowB3_4893e864_f55d1667">#REF!</definedName>
    <definedName name="_vena_DYNR_SCashFlowS2_BCashFlowB3_4893e864_f6c86b8e">#REF!</definedName>
    <definedName name="_vena_DYNR_SCashFlowS2_BCashFlowB3_4893e864_f76d8b05">#REF!</definedName>
    <definedName name="_vena_DYNR_SCashFlowS2_BCashFlowB3_4893e864_f9d2abe8">#REF!</definedName>
    <definedName name="_vena_DYNR_SCashFlowS2_BCashFlowB3_5f3c0d97">#REF!</definedName>
    <definedName name="_vena_DYNR_SCashFlowS2_BCashFlowB3_5f3c0d97_10b6afb6">#REF!</definedName>
    <definedName name="_vena_DYNR_SCashFlowS2_BCashFlowB3_5f3c0d97_1811b698">#REF!</definedName>
    <definedName name="_vena_DYNR_SCashFlowS2_BCashFlowB3_5f3c0d97_1f57afd3">#REF!</definedName>
    <definedName name="_vena_DYNR_SCashFlowS2_BCashFlowB3_5f3c0d97_21143590">#REF!</definedName>
    <definedName name="_vena_DYNR_SCashFlowS2_BCashFlowB3_5f3c0d97_3a062819">#REF!</definedName>
    <definedName name="_vena_DYNR_SCashFlowS2_BCashFlowB3_5f3c0d97_3b81340a">#REF!</definedName>
    <definedName name="_vena_DYNR_SCashFlowS2_BCashFlowB3_5f3c0d97_4317f740">#REF!</definedName>
    <definedName name="_vena_DYNR_SCashFlowS2_BCashFlowB3_5f3c0d97_49b3cde7">#REF!</definedName>
    <definedName name="_vena_DYNR_SCashFlowS2_BCashFlowB3_5f3c0d97_50db79cc">#REF!</definedName>
    <definedName name="_vena_DYNR_SCashFlowS2_BCashFlowB3_5f3c0d97_510cceff">#REF!</definedName>
    <definedName name="_vena_DYNR_SCashFlowS2_BCashFlowB3_5f3c0d97_521fdb1">#REF!</definedName>
    <definedName name="_vena_DYNR_SCashFlowS2_BCashFlowB3_5f3c0d97_55f2af3b">#REF!</definedName>
    <definedName name="_vena_DYNR_SCashFlowS2_BCashFlowB3_5f3c0d97_589d380f">#REF!</definedName>
    <definedName name="_vena_DYNR_SCashFlowS2_BCashFlowB3_5f3c0d97_5c467fb3">#REF!</definedName>
    <definedName name="_vena_DYNR_SCashFlowS2_BCashFlowB3_5f3c0d97_5cc88876">#REF!</definedName>
    <definedName name="_vena_DYNR_SCashFlowS2_BCashFlowB3_5f3c0d97_629e54d">#REF!</definedName>
    <definedName name="_vena_DYNR_SCashFlowS2_BCashFlowB3_5f3c0d97_7155134e">#REF!</definedName>
    <definedName name="_vena_DYNR_SCashFlowS2_BCashFlowB3_5f3c0d97_7193c6d">#REF!</definedName>
    <definedName name="_vena_DYNR_SCashFlowS2_BCashFlowB3_5f3c0d97_75ee53b0">#REF!</definedName>
    <definedName name="_vena_DYNR_SCashFlowS2_BCashFlowB3_5f3c0d97_7a5adacc">#REF!</definedName>
    <definedName name="_vena_DYNR_SCashFlowS2_BCashFlowB3_5f3c0d97_7f14c0cf">#REF!</definedName>
    <definedName name="_vena_DYNR_SCashFlowS2_BCashFlowB3_5f3c0d97_7fed67fc">#REF!</definedName>
    <definedName name="_vena_DYNR_SCashFlowS2_BCashFlowB3_5f3c0d97_90c85a6c">#REF!</definedName>
    <definedName name="_vena_DYNR_SCashFlowS2_BCashFlowB3_5f3c0d97_92a1d23d">#REF!</definedName>
    <definedName name="_vena_DYNR_SCashFlowS2_BCashFlowB3_5f3c0d97_a3443449">#REF!</definedName>
    <definedName name="_vena_DYNR_SCashFlowS2_BCashFlowB3_5f3c0d97_a843ea1b">#REF!</definedName>
    <definedName name="_vena_DYNR_SCashFlowS2_BCashFlowB3_5f3c0d97_a96588fd">#REF!</definedName>
    <definedName name="_vena_DYNR_SCashFlowS2_BCashFlowB3_5f3c0d97_afe6d60a">#REF!</definedName>
    <definedName name="_vena_DYNR_SCashFlowS2_BCashFlowB3_5f3c0d97_b70ef5f1">#REF!</definedName>
    <definedName name="_vena_DYNR_SCashFlowS2_BCashFlowB3_5f3c0d97_bb85e82e">#REF!</definedName>
    <definedName name="_vena_DYNR_SCashFlowS2_BCashFlowB3_5f3c0d97_cc256753">#REF!</definedName>
    <definedName name="_vena_DYNR_SCashFlowS2_BCashFlowB3_5f3c0d97_cf6b3b3f">#REF!</definedName>
    <definedName name="_vena_DYNR_SCashFlowS2_BCashFlowB3_5f3c0d97_d172d1d9">#REF!</definedName>
    <definedName name="_vena_DYNR_SCashFlowS2_BCashFlowB3_5f3c0d97_dbaaa113">#REF!</definedName>
    <definedName name="_vena_DYNR_SCashFlowS2_BCashFlowB3_5f3c0d97_ec645763">#REF!</definedName>
    <definedName name="_vena_DYNR_SCashFlowS2_BCashFlowB3_5f3c0d97_fdda8b1d">#REF!</definedName>
    <definedName name="_vena_DYNR_SCashFlowS2_BCashFlowB3_968c953b">#REF!</definedName>
    <definedName name="_vena_DYNR_SCashFlowS2_BCashFlowB3_968c953b_17319d06">#REF!</definedName>
    <definedName name="_vena_DYNR_SCashFlowS2_BCashFlowB3_968c953b_3d45031e">#REF!</definedName>
    <definedName name="_vena_DYNR_SCashFlowS2_BCashFlowB3_968c953b_4f24c50b">#REF!</definedName>
    <definedName name="_vena_DYNR_SCashFlowS2_BCashFlowB3_968c953b_5174cac1">#REF!</definedName>
    <definedName name="_vena_DYNR_SCashFlowS2_BCashFlowB3_968c953b_529ca587">#REF!</definedName>
    <definedName name="_vena_DYNR_SCashFlowS2_BCashFlowB3_968c953b_af9b8d63">#REF!</definedName>
    <definedName name="_vena_DYNR_SCashFlowS2_BCashFlowB3_968c953b_f8253ed7">#REF!</definedName>
    <definedName name="_vena_DYNR_SCashFlowS2_BCashFlowB3_afcb062a">#REF!</definedName>
    <definedName name="_vena_DYNR_SCashFlowS2_BCashFlowB3_afcb062a_1233d3cd">#REF!</definedName>
    <definedName name="_vena_DYNR_SCashFlowS2_BCashFlowB3_afcb062a_1dc85217">#REF!</definedName>
    <definedName name="_vena_DYNR_SCashFlowS2_BCashFlowB3_afcb062a_1e9b339c">#REF!</definedName>
    <definedName name="_vena_DYNR_SCashFlowS2_BCashFlowB3_afcb062a_21ca6437">#REF!</definedName>
    <definedName name="_vena_DYNR_SCashFlowS2_BCashFlowB3_afcb062a_2440e3e7">#REF!</definedName>
    <definedName name="_vena_DYNR_SCashFlowS2_BCashFlowB3_afcb062a_2f683ed5">#REF!</definedName>
    <definedName name="_vena_DYNR_SCashFlowS2_BCashFlowB3_afcb062a_30c7b572">#REF!</definedName>
    <definedName name="_vena_DYNR_SCashFlowS2_BCashFlowB3_afcb062a_3341a2c9">#REF!</definedName>
    <definedName name="_vena_DYNR_SCashFlowS2_BCashFlowB3_afcb062a_334d838d">#REF!</definedName>
    <definedName name="_vena_DYNR_SCashFlowS2_BCashFlowB3_afcb062a_33c1a612">#REF!</definedName>
    <definedName name="_vena_DYNR_SCashFlowS2_BCashFlowB3_afcb062a_34dbde41">#REF!</definedName>
    <definedName name="_vena_DYNR_SCashFlowS2_BCashFlowB3_afcb062a_3906934c">#REF!</definedName>
    <definedName name="_vena_DYNR_SCashFlowS2_BCashFlowB3_afcb062a_3f39b4e4">#REF!</definedName>
    <definedName name="_vena_DYNR_SCashFlowS2_BCashFlowB3_afcb062a_3fa40ab3">#REF!</definedName>
    <definedName name="_vena_DYNR_SCashFlowS2_BCashFlowB3_afcb062a_46721436">#REF!</definedName>
    <definedName name="_vena_DYNR_SCashFlowS2_BCashFlowB3_afcb062a_4b54f4b6">#REF!</definedName>
    <definedName name="_vena_DYNR_SCashFlowS2_BCashFlowB3_afcb062a_4fd60342">#REF!</definedName>
    <definedName name="_vena_DYNR_SCashFlowS2_BCashFlowB3_afcb062a_56d32efd">#REF!</definedName>
    <definedName name="_vena_DYNR_SCashFlowS2_BCashFlowB3_afcb062a_597e0691">#REF!</definedName>
    <definedName name="_vena_DYNR_SCashFlowS2_BCashFlowB3_afcb062a_5e79cb32">#REF!</definedName>
    <definedName name="_vena_DYNR_SCashFlowS2_BCashFlowB3_afcb062a_631959e5">#REF!</definedName>
    <definedName name="_vena_DYNR_SCashFlowS2_BCashFlowB3_afcb062a_63648a15">#REF!</definedName>
    <definedName name="_vena_DYNR_SCashFlowS2_BCashFlowB3_afcb062a_6662787e">#REF!</definedName>
    <definedName name="_vena_DYNR_SCashFlowS2_BCashFlowB3_afcb062a_6d16999c">#REF!</definedName>
    <definedName name="_vena_DYNR_SCashFlowS2_BCashFlowB3_afcb062a_7085508f">#REF!</definedName>
    <definedName name="_vena_DYNR_SCashFlowS2_BCashFlowB3_afcb062a_7fbac91b">#REF!</definedName>
    <definedName name="_vena_DYNR_SCashFlowS2_BCashFlowB3_afcb062a_801c8ea3">#REF!</definedName>
    <definedName name="_vena_DYNR_SCashFlowS2_BCashFlowB3_afcb062a_820d9dcf">#REF!</definedName>
    <definedName name="_vena_DYNR_SCashFlowS2_BCashFlowB3_afcb062a_8ffa7b7f">#REF!</definedName>
    <definedName name="_vena_DYNR_SCashFlowS2_BCashFlowB3_afcb062a_90c4098d">#REF!</definedName>
    <definedName name="_vena_DYNR_SCashFlowS2_BCashFlowB3_afcb062a_964b02e0">#REF!</definedName>
    <definedName name="_vena_DYNR_SCashFlowS2_BCashFlowB3_afcb062a_9cb14079">#REF!</definedName>
    <definedName name="_vena_DYNR_SCashFlowS2_BCashFlowB3_afcb062a_9e4d6d3d">#REF!</definedName>
    <definedName name="_vena_DYNR_SCashFlowS2_BCashFlowB3_afcb062a_a5ccee75">#REF!</definedName>
    <definedName name="_vena_DYNR_SCashFlowS2_BCashFlowB3_afcb062a_a89dad84">#REF!</definedName>
    <definedName name="_vena_DYNR_SCashFlowS2_BCashFlowB3_afcb062a_a91fb204">#REF!</definedName>
    <definedName name="_vena_DYNR_SCashFlowS2_BCashFlowB3_afcb062a_ab76ec47">#REF!</definedName>
    <definedName name="_vena_DYNR_SCashFlowS2_BCashFlowB3_afcb062a_ac951d17">#REF!</definedName>
    <definedName name="_vena_DYNR_SCashFlowS2_BCashFlowB3_afcb062a_b54fe1fe">#REF!</definedName>
    <definedName name="_vena_DYNR_SCashFlowS2_BCashFlowB3_afcb062a_b7e1e270">#REF!</definedName>
    <definedName name="_vena_DYNR_SCashFlowS2_BCashFlowB3_afcb062a_c54f3f7d">#REF!</definedName>
    <definedName name="_vena_DYNR_SCashFlowS2_BCashFlowB3_afcb062a_c66e254b">#REF!</definedName>
    <definedName name="_vena_DYNR_SCashFlowS2_BCashFlowB3_afcb062a_c7f2e7cd">#REF!</definedName>
    <definedName name="_vena_DYNR_SCashFlowS2_BCashFlowB3_afcb062a_c93f31c8">#REF!</definedName>
    <definedName name="_vena_DYNR_SCashFlowS2_BCashFlowB3_afcb062a_cd9c7569">#REF!</definedName>
    <definedName name="_vena_DYNR_SCashFlowS2_BCashFlowB3_afcb062a_d45cad3c">#REF!</definedName>
    <definedName name="_vena_DYNR_SCashFlowS2_BCashFlowB3_afcb062a_d54b1945">#REF!</definedName>
    <definedName name="_vena_DYNR_SCashFlowS2_BCashFlowB3_afcb062a_d921a6f5">#REF!</definedName>
    <definedName name="_vena_DYNR_SCashFlowS2_BCashFlowB3_afcb062a_dea065d8">#REF!</definedName>
    <definedName name="_vena_DYNR_SCashFlowS2_BCashFlowB3_afcb062a_e10bc007">#REF!</definedName>
    <definedName name="_vena_DYNR_SCashFlowS2_BCashFlowB3_afcb062a_e1407687">#REF!</definedName>
    <definedName name="_vena_DYNR_SCashFlowS2_BCashFlowB3_afcb062a_e19e9de0">#REF!</definedName>
    <definedName name="_vena_DYNR_SCashFlowS2_BCashFlowB3_afcb062a_e5f8dedc">#REF!</definedName>
    <definedName name="_vena_DYNR_SCashFlowS2_BCashFlowB3_afcb062a_e6330868">#REF!</definedName>
    <definedName name="_vena_DYNR_SCashFlowS2_BCashFlowB3_afcb062a_ee5f1e28">#REF!</definedName>
    <definedName name="_vena_DYNR_SCashFlowS2_BCashFlowB3_afcb062a_f65215b7">#REF!</definedName>
    <definedName name="_vena_DYNR_SCashFlowS2_BCashFlowB3_afcb062a_f6b8769f">#REF!</definedName>
    <definedName name="_vena_DYNR_SCashFlowS2_BCashFlowB3_afcb062a_ff509ebc">#REF!</definedName>
    <definedName name="_vena_DYNR_SCashFlowS2_BCashFlowB3_b8bbfa20">#REF!</definedName>
    <definedName name="_vena_DYNR_SCashFlowS2_BCashFlowB3_b8bbfa20_17663a4a">#REF!</definedName>
    <definedName name="_vena_DYNR_SCashFlowS2_BCashFlowB3_b8bbfa20_1de900e9">#REF!</definedName>
    <definedName name="_vena_DYNR_SCashFlowS2_BCashFlowB3_b8bbfa20_1fbbd5fb">#REF!</definedName>
    <definedName name="_vena_DYNR_SCashFlowS2_BCashFlowB3_b8bbfa20_20b00f7c">#REF!</definedName>
    <definedName name="_vena_DYNR_SCashFlowS2_BCashFlowB3_b8bbfa20_2794b9b3">#REF!</definedName>
    <definedName name="_vena_DYNR_SCashFlowS2_BCashFlowB3_b8bbfa20_4f892ed6">#REF!</definedName>
    <definedName name="_vena_DYNR_SCashFlowS2_BCashFlowB3_b8bbfa20_5287848c">#REF!</definedName>
    <definedName name="_vena_DYNR_SCashFlowS2_BCashFlowB3_b8bbfa20_59760dcd">#REF!</definedName>
    <definedName name="_vena_DYNR_SCashFlowS2_BCashFlowB3_b8bbfa20_5a47bfe5">#REF!</definedName>
    <definedName name="_vena_DYNR_SCashFlowS2_BCashFlowB3_b8bbfa20_60f3ab36">#REF!</definedName>
    <definedName name="_vena_DYNR_SCashFlowS2_BCashFlowB3_b8bbfa20_648bde4b">#REF!</definedName>
    <definedName name="_vena_DYNR_SCashFlowS2_BCashFlowB3_b8bbfa20_6f53d5cb">#REF!</definedName>
    <definedName name="_vena_DYNR_SCashFlowS2_BCashFlowB3_b8bbfa20_73278a4e">#REF!</definedName>
    <definedName name="_vena_DYNR_SCashFlowS2_BCashFlowB3_b8bbfa20_77bd58bb">#REF!</definedName>
    <definedName name="_vena_DYNR_SCashFlowS2_BCashFlowB3_b8bbfa20_7da1f634">#REF!</definedName>
    <definedName name="_vena_DYNR_SCashFlowS2_BCashFlowB3_b8bbfa20_92650b06">#REF!</definedName>
    <definedName name="_vena_DYNR_SCashFlowS2_BCashFlowB3_b8bbfa20_9735a6b5">#REF!</definedName>
    <definedName name="_vena_DYNR_SCashFlowS2_BCashFlowB3_b8bbfa20_b399da1b">#REF!</definedName>
    <definedName name="_vena_DYNR_SCashFlowS2_BCashFlowB3_b8bbfa20_f276ce40">#REF!</definedName>
    <definedName name="_vena_DYNR_SCashFlowS2_BCashFlowB3_b8bbfa20_f68d607f">#REF!</definedName>
    <definedName name="_vena_DYNR_SCashFlowS2_BCashFlowB3_b8bbfa20_fa028c6d">#REF!</definedName>
    <definedName name="_vena_DYNR_SCashFlowS2_BCashFlowB3_b8bbfa20_fd44a058">#REF!</definedName>
    <definedName name="_vena_DYNR_SCashFlowS2_BCashFlowB3_c4043f63">#REF!</definedName>
    <definedName name="_vena_DYNR_SCashFlowS2_BCashFlowB3_c4043f63_11472d7c">#REF!</definedName>
    <definedName name="_vena_DYNR_SCashFlowS2_BCashFlowB3_c4043f63_2e60dd5">#REF!</definedName>
    <definedName name="_vena_DYNR_SCashFlowS2_BCashFlowB3_c4043f63_355087d6">#REF!</definedName>
    <definedName name="_vena_DYNR_SCashFlowS2_BCashFlowB3_c4043f63_3e4d4f3">#REF!</definedName>
    <definedName name="_vena_DYNR_SCashFlowS2_BCashFlowB3_c4043f63_4e401a0">#REF!</definedName>
    <definedName name="_vena_DYNR_SCashFlowS2_BCashFlowB3_c4043f63_60b2d556">#REF!</definedName>
    <definedName name="_vena_DYNR_SCashFlowS2_BCashFlowB3_c4043f63_857f5296">#REF!</definedName>
    <definedName name="_vena_DYNR_SCashFlowS2_BCashFlowB3_c4043f63_9aa30db5">#REF!</definedName>
    <definedName name="_vena_DYNR_SCashFlowS2_BCashFlowB3_c4043f63_a06ee403">#REF!</definedName>
    <definedName name="_vena_DYNR_SCashFlowS2_BCashFlowB3_c4043f63_b5eb7597">#REF!</definedName>
    <definedName name="_vena_DYNR_SCashFlowS2_BCashFlowB3_c4043f63_c4096418">#REF!</definedName>
    <definedName name="_vena_DYNR_SCashFlowS2_BCashFlowB3_c4043f63_c571e128">#REF!</definedName>
    <definedName name="_vena_DYNR_SCashFlowS2_BCashFlowB3_c4043f63_c690bf9a">#REF!</definedName>
    <definedName name="_vena_DYNR_SCashFlowS2_BCashFlowB3_c4043f63_d7be3774">#REF!</definedName>
    <definedName name="_vena_DYNR_SCashFlowS2_BCashFlowB3_c781425b">#REF!</definedName>
    <definedName name="_vena_DYNR_SCashFlowS2_BCashFlowB3_c781425b_1544c041">#REF!</definedName>
    <definedName name="_vena_DYNR_SCashFlowS2_BCashFlowB3_c781425b_181d51c7">#REF!</definedName>
    <definedName name="_vena_DYNR_SCashFlowS2_BCashFlowB3_c781425b_1962d469">#REF!</definedName>
    <definedName name="_vena_DYNR_SCashFlowS2_BCashFlowB3_c781425b_1b38cfdf">#REF!</definedName>
    <definedName name="_vena_DYNR_SCashFlowS2_BCashFlowB3_c781425b_21ab65c5">#REF!</definedName>
    <definedName name="_vena_DYNR_SCashFlowS2_BCashFlowB3_c781425b_257fa819">#REF!</definedName>
    <definedName name="_vena_DYNR_SCashFlowS2_BCashFlowB3_c781425b_286e9021">#REF!</definedName>
    <definedName name="_vena_DYNR_SCashFlowS2_BCashFlowB3_c781425b_28dddec1">#REF!</definedName>
    <definedName name="_vena_DYNR_SCashFlowS2_BCashFlowB3_c781425b_2995deb3">#REF!</definedName>
    <definedName name="_vena_DYNR_SCashFlowS2_BCashFlowB3_c781425b_2a522180">#REF!</definedName>
    <definedName name="_vena_DYNR_SCashFlowS2_BCashFlowB3_c781425b_34d46e2d">#REF!</definedName>
    <definedName name="_vena_DYNR_SCashFlowS2_BCashFlowB3_c781425b_3d5b987c">#REF!</definedName>
    <definedName name="_vena_DYNR_SCashFlowS2_BCashFlowB3_c781425b_3dc64c22">#REF!</definedName>
    <definedName name="_vena_DYNR_SCashFlowS2_BCashFlowB3_c781425b_42134bce">#REF!</definedName>
    <definedName name="_vena_DYNR_SCashFlowS2_BCashFlowB3_c781425b_46406f46">#REF!</definedName>
    <definedName name="_vena_DYNR_SCashFlowS2_BCashFlowB3_c781425b_4b637b1a">#REF!</definedName>
    <definedName name="_vena_DYNR_SCashFlowS2_BCashFlowB3_c781425b_50e911">#REF!</definedName>
    <definedName name="_vena_DYNR_SCashFlowS2_BCashFlowB3_c781425b_55a589b7">#REF!</definedName>
    <definedName name="_vena_DYNR_SCashFlowS2_BCashFlowB3_c781425b_55a693">#REF!</definedName>
    <definedName name="_vena_DYNR_SCashFlowS2_BCashFlowB3_c781425b_59e8026f">#REF!</definedName>
    <definedName name="_vena_DYNR_SCashFlowS2_BCashFlowB3_c781425b_5a10cf69">#REF!</definedName>
    <definedName name="_vena_DYNR_SCashFlowS2_BCashFlowB3_c781425b_74a3e178">#REF!</definedName>
    <definedName name="_vena_DYNR_SCashFlowS2_BCashFlowB3_c781425b_7619eba6">#REF!</definedName>
    <definedName name="_vena_DYNR_SCashFlowS2_BCashFlowB3_c781425b_7b2f6224">#REF!</definedName>
    <definedName name="_vena_DYNR_SCashFlowS2_BCashFlowB3_c781425b_7d636b9c">#REF!</definedName>
    <definedName name="_vena_DYNR_SCashFlowS2_BCashFlowB3_c781425b_859359c1">#REF!</definedName>
    <definedName name="_vena_DYNR_SCashFlowS2_BCashFlowB3_c781425b_8a3d3247">#REF!</definedName>
    <definedName name="_vena_DYNR_SCashFlowS2_BCashFlowB3_c781425b_8ede8bb8">#REF!</definedName>
    <definedName name="_vena_DYNR_SCashFlowS2_BCashFlowB3_c781425b_910b408d">#REF!</definedName>
    <definedName name="_vena_DYNR_SCashFlowS2_BCashFlowB3_c781425b_981978df">#REF!</definedName>
    <definedName name="_vena_DYNR_SCashFlowS2_BCashFlowB3_c781425b_9ca27cfd">#REF!</definedName>
    <definedName name="_vena_DYNR_SCashFlowS2_BCashFlowB3_c781425b_a2d77a5a">#REF!</definedName>
    <definedName name="_vena_DYNR_SCashFlowS2_BCashFlowB3_c781425b_a816c2ad">#REF!</definedName>
    <definedName name="_vena_DYNR_SCashFlowS2_BCashFlowB3_c781425b_ae084402">#REF!</definedName>
    <definedName name="_vena_DYNR_SCashFlowS2_BCashFlowB3_c781425b_af90c8ac">#REF!</definedName>
    <definedName name="_vena_DYNR_SCashFlowS2_BCashFlowB3_c781425b_b0117e4e">#REF!</definedName>
    <definedName name="_vena_DYNR_SCashFlowS2_BCashFlowB3_c781425b_b77b31bd">#REF!</definedName>
    <definedName name="_vena_DYNR_SCashFlowS2_BCashFlowB3_c781425b_ba6acedf">#REF!</definedName>
    <definedName name="_vena_DYNR_SCashFlowS2_BCashFlowB3_c781425b_c4a3f4a5">#REF!</definedName>
    <definedName name="_vena_DYNR_SCashFlowS2_BCashFlowB3_c781425b_e0dda82e">#REF!</definedName>
    <definedName name="_vena_DYNR_SCashFlowS2_BCashFlowB3_c781425b_e5bab787">#REF!</definedName>
    <definedName name="_vena_DYNR_SCashFlowS2_BCashFlowB3_c781425b_ef0b635d">#REF!</definedName>
    <definedName name="_vena_DYNR_SCashFlowS2_BCashFlowB3_c781425b_f3089dd3">#REF!</definedName>
    <definedName name="_vena_DYNR_SCashFlowS2_BCashFlowB3_c781425b_f82991e1">#REF!</definedName>
    <definedName name="_vena_DYNR_SCashFlowS2_BCashFlowB3_c781425b_fc6b0fc5">#REF!</definedName>
    <definedName name="_vena_DYNR_SCashFlowS2_BCashFlowB3_c781425b_fd79c6a8">#REF!</definedName>
    <definedName name="_vena_DYNR_SCashFlowS2_BCashFlowB3_dbbcee86">#REF!</definedName>
    <definedName name="_vena_DYNR_SCashFlowS2_BCashFlowB3_dbbcee86_15495cf2">#REF!</definedName>
    <definedName name="_vena_DYNR_SCashFlowS2_BCashFlowB3_dbbcee86_17f9a978">#REF!</definedName>
    <definedName name="_vena_DYNR_SCashFlowS2_BCashFlowB3_dbbcee86_180c9366">#REF!</definedName>
    <definedName name="_vena_DYNR_SCashFlowS2_BCashFlowB3_dbbcee86_25385a61">#REF!</definedName>
    <definedName name="_vena_DYNR_SCashFlowS2_BCashFlowB3_dbbcee86_4ab71e8a">#REF!</definedName>
    <definedName name="_vena_DYNR_SCashFlowS2_BCashFlowB3_dbbcee86_9151a577">#REF!</definedName>
    <definedName name="_vena_DYNR_SCashFlowS2_BCashFlowB3_dbbcee86_97f73c78">#REF!</definedName>
    <definedName name="_vena_DYNR_SCashFlowS2_BCashFlowB3_dbbcee86_9aea5a0d">#REF!</definedName>
    <definedName name="_vena_DYNR_SCashFlowS2_BCashFlowB3_dbbcee86_9b637931">#REF!</definedName>
    <definedName name="_vena_DYNR_SCashFlowS2_BCashFlowB3_dbbcee86_bc6431eb">#REF!</definedName>
    <definedName name="_vena_DYNR_SCashFlowS2_BCashFlowB3_dbbcee86_c71c3443">#REF!</definedName>
    <definedName name="_vena_DYNR_SCashFlowS2_BCashFlowB3_dbbcee86_cf179bf2">#REF!</definedName>
    <definedName name="_vena_DYNR_SCashFlowS2_BCashFlowB3_dbbcee86_ea4d39c8">#REF!</definedName>
    <definedName name="_vena_DYNR_SCashFlowS2_BCashFlowB3_dbbcee86_fced8ec3">#REF!</definedName>
    <definedName name="_vena_DYNR_SCashFlowS2_BCashFlowB3_dbbcee86_fd01c83a">#REF!</definedName>
    <definedName name="_vena_DYNR_SCashFlowS2_BCashFlowB3_e4ba7300">#REF!</definedName>
    <definedName name="_vena_DYNR_SCashFlowS2_BCashFlowB3_e4ba7300_1108040c">#REF!</definedName>
    <definedName name="_vena_DYNR_SCashFlowS2_BCashFlowB3_e4ba7300_1269f70f">#REF!</definedName>
    <definedName name="_vena_DYNR_SCashFlowS2_BCashFlowB3_e4ba7300_13bb7dcb">#REF!</definedName>
    <definedName name="_vena_DYNR_SCashFlowS2_BCashFlowB3_e4ba7300_1437eeca">#REF!</definedName>
    <definedName name="_vena_DYNR_SCashFlowS2_BCashFlowB3_e4ba7300_16ab67a">#REF!</definedName>
    <definedName name="_vena_DYNR_SCashFlowS2_BCashFlowB3_e4ba7300_17dd231">#REF!</definedName>
    <definedName name="_vena_DYNR_SCashFlowS2_BCashFlowB3_e4ba7300_189dfb85">#REF!</definedName>
    <definedName name="_vena_DYNR_SCashFlowS2_BCashFlowB3_e4ba7300_1a5b2f39">#REF!</definedName>
    <definedName name="_vena_DYNR_SCashFlowS2_BCashFlowB3_e4ba7300_1c66e0f2">#REF!</definedName>
    <definedName name="_vena_DYNR_SCashFlowS2_BCashFlowB3_e4ba7300_1ed28695">#REF!</definedName>
    <definedName name="_vena_DYNR_SCashFlowS2_BCashFlowB3_e4ba7300_203be40f">#REF!</definedName>
    <definedName name="_vena_DYNR_SCashFlowS2_BCashFlowB3_e4ba7300_21273487">#REF!</definedName>
    <definedName name="_vena_DYNR_SCashFlowS2_BCashFlowB3_e4ba7300_218f5f8b">#REF!</definedName>
    <definedName name="_vena_DYNR_SCashFlowS2_BCashFlowB3_e4ba7300_23f9dd3d">#REF!</definedName>
    <definedName name="_vena_DYNR_SCashFlowS2_BCashFlowB3_e4ba7300_26cacfc6">#REF!</definedName>
    <definedName name="_vena_DYNR_SCashFlowS2_BCashFlowB3_e4ba7300_28bcc890">#REF!</definedName>
    <definedName name="_vena_DYNR_SCashFlowS2_BCashFlowB3_e4ba7300_28ea584f">#REF!</definedName>
    <definedName name="_vena_DYNR_SCashFlowS2_BCashFlowB3_e4ba7300_2f4ea697">#REF!</definedName>
    <definedName name="_vena_DYNR_SCashFlowS2_BCashFlowB3_e4ba7300_30777250">#REF!</definedName>
    <definedName name="_vena_DYNR_SCashFlowS2_BCashFlowB3_e4ba7300_375e4768">#REF!</definedName>
    <definedName name="_vena_DYNR_SCashFlowS2_BCashFlowB3_e4ba7300_38644457">#REF!</definedName>
    <definedName name="_vena_DYNR_SCashFlowS2_BCashFlowB3_e4ba7300_3fbef7b0">#REF!</definedName>
    <definedName name="_vena_DYNR_SCashFlowS2_BCashFlowB3_e4ba7300_41370ef1">#REF!</definedName>
    <definedName name="_vena_DYNR_SCashFlowS2_BCashFlowB3_e4ba7300_42db8abb">#REF!</definedName>
    <definedName name="_vena_DYNR_SCashFlowS2_BCashFlowB3_e4ba7300_46cfcc53">#REF!</definedName>
    <definedName name="_vena_DYNR_SCashFlowS2_BCashFlowB3_e4ba7300_48f9cc12">#REF!</definedName>
    <definedName name="_vena_DYNR_SCashFlowS2_BCashFlowB3_e4ba7300_497a008c">#REF!</definedName>
    <definedName name="_vena_DYNR_SCashFlowS2_BCashFlowB3_e4ba7300_49cd67f8">#REF!</definedName>
    <definedName name="_vena_DYNR_SCashFlowS2_BCashFlowB3_e4ba7300_4b15bdc9">#REF!</definedName>
    <definedName name="_vena_DYNR_SCashFlowS2_BCashFlowB3_e4ba7300_4b881884">#REF!</definedName>
    <definedName name="_vena_DYNR_SCashFlowS2_BCashFlowB3_e4ba7300_4c12c58c">#REF!</definedName>
    <definedName name="_vena_DYNR_SCashFlowS2_BCashFlowB3_e4ba7300_5473c0c6">#REF!</definedName>
    <definedName name="_vena_DYNR_SCashFlowS2_BCashFlowB3_e4ba7300_55f66ab1">#REF!</definedName>
    <definedName name="_vena_DYNR_SCashFlowS2_BCashFlowB3_e4ba7300_5b8c52d7">#REF!</definedName>
    <definedName name="_vena_DYNR_SCashFlowS2_BCashFlowB3_e4ba7300_5caf2e71">#REF!</definedName>
    <definedName name="_vena_DYNR_SCashFlowS2_BCashFlowB3_e4ba7300_5f0b5dee">#REF!</definedName>
    <definedName name="_vena_DYNR_SCashFlowS2_BCashFlowB3_e4ba7300_5f3842ac">#REF!</definedName>
    <definedName name="_vena_DYNR_SCashFlowS2_BCashFlowB3_e4ba7300_7150e01">#REF!</definedName>
    <definedName name="_vena_DYNR_SCashFlowS2_BCashFlowB3_e4ba7300_7ba6aeab">#REF!</definedName>
    <definedName name="_vena_DYNR_SCashFlowS2_BCashFlowB3_e4ba7300_7e49b2a1">#REF!</definedName>
    <definedName name="_vena_DYNR_SCashFlowS2_BCashFlowB3_e4ba7300_7ed65551">#REF!</definedName>
    <definedName name="_vena_DYNR_SCashFlowS2_BCashFlowB3_e4ba7300_8179d571">#REF!</definedName>
    <definedName name="_vena_DYNR_SCashFlowS2_BCashFlowB3_e4ba7300_84c4adc7">#REF!</definedName>
    <definedName name="_vena_DYNR_SCashFlowS2_BCashFlowB3_e4ba7300_86101618">#REF!</definedName>
    <definedName name="_vena_DYNR_SCashFlowS2_BCashFlowB3_e4ba7300_8a3c07e7">#REF!</definedName>
    <definedName name="_vena_DYNR_SCashFlowS2_BCashFlowB3_e4ba7300_8d7b1498">#REF!</definedName>
    <definedName name="_vena_DYNR_SCashFlowS2_BCashFlowB3_e4ba7300_8e40917d">#REF!</definedName>
    <definedName name="_vena_DYNR_SCashFlowS2_BCashFlowB3_e4ba7300_906c347f">#REF!</definedName>
    <definedName name="_vena_DYNR_SCashFlowS2_BCashFlowB3_e4ba7300_907317f2">#REF!</definedName>
    <definedName name="_vena_DYNR_SCashFlowS2_BCashFlowB3_e4ba7300_916f4a78">#REF!</definedName>
    <definedName name="_vena_DYNR_SCashFlowS2_BCashFlowB3_e4ba7300_9521b74b">#REF!</definedName>
    <definedName name="_vena_DYNR_SCashFlowS2_BCashFlowB3_e4ba7300_984e7adf">#REF!</definedName>
    <definedName name="_vena_DYNR_SCashFlowS2_BCashFlowB3_e4ba7300_9d3d12f8">#REF!</definedName>
    <definedName name="_vena_DYNR_SCashFlowS2_BCashFlowB3_e4ba7300_a0b3cf44">#REF!</definedName>
    <definedName name="_vena_DYNR_SCashFlowS2_BCashFlowB3_e4ba7300_a22f3f66">#REF!</definedName>
    <definedName name="_vena_DYNR_SCashFlowS2_BCashFlowB3_e4ba7300_a2f56af7">#REF!</definedName>
    <definedName name="_vena_DYNR_SCashFlowS2_BCashFlowB3_e4ba7300_a80bd4f2">#REF!</definedName>
    <definedName name="_vena_DYNR_SCashFlowS2_BCashFlowB3_e4ba7300_ade7c2b9">#REF!</definedName>
    <definedName name="_vena_DYNR_SCashFlowS2_BCashFlowB3_e4ba7300_af649ece">#REF!</definedName>
    <definedName name="_vena_DYNR_SCashFlowS2_BCashFlowB3_e4ba7300_b17430c3">#REF!</definedName>
    <definedName name="_vena_DYNR_SCashFlowS2_BCashFlowB3_e4ba7300_b69d23e3">#REF!</definedName>
    <definedName name="_vena_DYNR_SCashFlowS2_BCashFlowB3_e4ba7300_b95e66ad">#REF!</definedName>
    <definedName name="_vena_DYNR_SCashFlowS2_BCashFlowB3_e4ba7300_cba9e269">#REF!</definedName>
    <definedName name="_vena_DYNR_SCashFlowS2_BCashFlowB3_e4ba7300_d0cf98e4">#REF!</definedName>
    <definedName name="_vena_DYNR_SCashFlowS2_BCashFlowB3_e4ba7300_d10d3524">#REF!</definedName>
    <definedName name="_vena_DYNR_SCashFlowS2_BCashFlowB3_e4ba7300_d58ca589">#REF!</definedName>
    <definedName name="_vena_DYNR_SCashFlowS2_BCashFlowB3_e4ba7300_d5cb1053">#REF!</definedName>
    <definedName name="_vena_DYNR_SCashFlowS2_BCashFlowB3_e4ba7300_d60408b1">#REF!</definedName>
    <definedName name="_vena_DYNR_SCashFlowS2_BCashFlowB3_e4ba7300_d63f9c2f">#REF!</definedName>
    <definedName name="_vena_DYNR_SCashFlowS2_BCashFlowB3_e4ba7300_da36d5b0">#REF!</definedName>
    <definedName name="_vena_DYNR_SCashFlowS2_BCashFlowB3_e4ba7300_db4dd6c8">#REF!</definedName>
    <definedName name="_vena_DYNR_SCashFlowS2_BCashFlowB3_e4ba7300_dc624a0e">#REF!</definedName>
    <definedName name="_vena_DYNR_SCashFlowS2_BCashFlowB3_e4ba7300_e1ab894f">#REF!</definedName>
    <definedName name="_vena_DYNR_SCashFlowS2_BCashFlowB3_e4ba7300_e62d3900">#REF!</definedName>
    <definedName name="_vena_DYNR_SCashFlowS2_BCashFlowB3_e4ba7300_eb22c231">#REF!</definedName>
    <definedName name="_vena_DYNR_SCashFlowS2_BCashFlowB3_e4ba7300_ec2ad0c3">#REF!</definedName>
    <definedName name="_vena_DYNR_SCashFlowS2_BCashFlowB3_e4ba7300_ec61ebfc">#REF!</definedName>
    <definedName name="_vena_DYNR_SCashFlowS2_BCashFlowB3_e4ba7300_fe01704c">#REF!</definedName>
    <definedName name="_vena_DYNR_SCashFlowS2_BCashFlowB3_fa7bb4a2">#REF!</definedName>
    <definedName name="_vena_DYNR_SCashFlowS2_BCashFlowB3_fa7bb4a2_130a5959">#REF!</definedName>
    <definedName name="_vena_DYNR_SCashFlowS2_BCashFlowB3_fa7bb4a2_5c233ab2">#REF!</definedName>
    <definedName name="_vena_DYNR_SCashFlowS2_BCashFlowB3_fa7bb4a2_66a163df">#REF!</definedName>
    <definedName name="_vena_DYNR_SCashFlowS2_BCashFlowB3_fa7bb4a2_68c64485">#REF!</definedName>
    <definedName name="_vena_DYNR_SCashFlowS2_BCashFlowB3_fa7bb4a2_8084603f">#REF!</definedName>
    <definedName name="_vena_DYNR_SCashFlowS2_BCashFlowB3_fa7bb4a2_941ae5bb">#REF!</definedName>
    <definedName name="_vena_DYNR_SCashFlowS2_BCashFlowB3_fa7bb4a2_bcaa9be7">#REF!</definedName>
    <definedName name="_vena_DYNR_SCashFlowS2_BCashFlowB3_fa7bb4a2_c44a1e12">#REF!</definedName>
    <definedName name="_vena_DYNR_SCashFlowS2_BCashFlowB3_fa7bb4a2_c7d09d5a">#REF!</definedName>
    <definedName name="_vena_DYNR_SCashFlowS2_BCashFlowB3_fa7bb4a2_ca57da71">#REF!</definedName>
    <definedName name="_vena_DYNR_SCashFlowS2_BCashFlowB3_fa7bb4a2_e563594">#REF!</definedName>
    <definedName name="_vena_DYNR_SCashFlowS2_BCashFlowB3_fa7bb4a2_f29696b7">#REF!</definedName>
    <definedName name="_vena_DYNR_SDetailS1_BDetailB1_32fc0efe">#REF!</definedName>
    <definedName name="_vena_DYNR_SDetailS1_BDetailB1_32fc0efe_14cd2cf2">#REF!</definedName>
    <definedName name="_vena_DYNR_SDetailS1_BDetailB1_32fc0efe_162eba66">#REF!</definedName>
    <definedName name="_vena_DYNR_SDetailS1_BDetailB1_32fc0efe_2085aec1">#REF!</definedName>
    <definedName name="_vena_DYNR_SDetailS1_BDetailB1_32fc0efe_22d3fee7">#REF!</definedName>
    <definedName name="_vena_DYNR_SDetailS1_BDetailB1_32fc0efe_27476fd9">#REF!</definedName>
    <definedName name="_vena_DYNR_SDetailS1_BDetailB1_32fc0efe_28040e13">#REF!</definedName>
    <definedName name="_vena_DYNR_SDetailS1_BDetailB1_32fc0efe_2a199929">#REF!</definedName>
    <definedName name="_vena_DYNR_SDetailS1_BDetailB1_32fc0efe_2ade9e14">#REF!</definedName>
    <definedName name="_vena_DYNR_SDetailS1_BDetailB1_32fc0efe_326cfee7">#REF!</definedName>
    <definedName name="_vena_DYNR_SDetailS1_BDetailB1_32fc0efe_32e996a">#REF!</definedName>
    <definedName name="_vena_DYNR_SDetailS1_BDetailB1_32fc0efe_34695904">#REF!</definedName>
    <definedName name="_vena_DYNR_SDetailS1_BDetailB1_32fc0efe_353da9f2">#REF!</definedName>
    <definedName name="_vena_DYNR_SDetailS1_BDetailB1_32fc0efe_3e52aca9">#REF!</definedName>
    <definedName name="_vena_DYNR_SDetailS1_BDetailB1_32fc0efe_41cbf775">#REF!</definedName>
    <definedName name="_vena_DYNR_SDetailS1_BDetailB1_32fc0efe_43095161">#REF!</definedName>
    <definedName name="_vena_DYNR_SDetailS1_BDetailB1_32fc0efe_4a0aa850">#REF!</definedName>
    <definedName name="_vena_DYNR_SDetailS1_BDetailB1_32fc0efe_4c8fafd8">#REF!</definedName>
    <definedName name="_vena_DYNR_SDetailS1_BDetailB1_32fc0efe_4dc12ccc">#REF!</definedName>
    <definedName name="_vena_DYNR_SDetailS1_BDetailB1_32fc0efe_5169a329">#REF!</definedName>
    <definedName name="_vena_DYNR_SDetailS1_BDetailB1_32fc0efe_700bbb5a">#REF!</definedName>
    <definedName name="_vena_DYNR_SDetailS1_BDetailB1_32fc0efe_7120e2bf">#REF!</definedName>
    <definedName name="_vena_DYNR_SDetailS1_BDetailB1_32fc0efe_7331295d">#REF!</definedName>
    <definedName name="_vena_DYNR_SDetailS1_BDetailB1_32fc0efe_79be94ef">#REF!</definedName>
    <definedName name="_vena_DYNR_SDetailS1_BDetailB1_32fc0efe_838a4644">#REF!</definedName>
    <definedName name="_vena_DYNR_SDetailS1_BDetailB1_32fc0efe_856d7824">#REF!</definedName>
    <definedName name="_vena_DYNR_SDetailS1_BDetailB1_32fc0efe_8b57a75f">#REF!</definedName>
    <definedName name="_vena_DYNR_SDetailS1_BDetailB1_32fc0efe_8c69b729">#REF!</definedName>
    <definedName name="_vena_DYNR_SDetailS1_BDetailB1_32fc0efe_912a8b14">#REF!</definedName>
    <definedName name="_vena_DYNR_SDetailS1_BDetailB1_32fc0efe_93895991">#REF!</definedName>
    <definedName name="_vena_DYNR_SDetailS1_BDetailB1_32fc0efe_981040f8">#REF!</definedName>
    <definedName name="_vena_DYNR_SDetailS1_BDetailB1_32fc0efe_9aa931a">#REF!</definedName>
    <definedName name="_vena_DYNR_SDetailS1_BDetailB1_32fc0efe_9e6b8bd4">#REF!</definedName>
    <definedName name="_vena_DYNR_SDetailS1_BDetailB1_32fc0efe_9f7cbd64">#REF!</definedName>
    <definedName name="_vena_DYNR_SDetailS1_BDetailB1_32fc0efe_a14154d8">#REF!</definedName>
    <definedName name="_vena_DYNR_SDetailS1_BDetailB1_32fc0efe_a275b2ee">#REF!</definedName>
    <definedName name="_vena_DYNR_SDetailS1_BDetailB1_32fc0efe_a3e2c264">#REF!</definedName>
    <definedName name="_vena_DYNR_SDetailS1_BDetailB1_32fc0efe_aa95c9ee">#REF!</definedName>
    <definedName name="_vena_DYNR_SDetailS1_BDetailB1_32fc0efe_b0d2cbd1">#REF!</definedName>
    <definedName name="_vena_DYNR_SDetailS1_BDetailB1_32fc0efe_bbe57956">#REF!</definedName>
    <definedName name="_vena_DYNR_SDetailS1_BDetailB1_32fc0efe_bd3e3b37">#REF!</definedName>
    <definedName name="_vena_DYNR_SDetailS1_BDetailB1_32fc0efe_bdcf22fb">#REF!</definedName>
    <definedName name="_vena_DYNR_SDetailS1_BDetailB1_32fc0efe_d2d117bb">#REF!</definedName>
    <definedName name="_vena_DYNR_SDetailS1_BDetailB1_32fc0efe_d7ed132b">#REF!</definedName>
    <definedName name="_vena_DYNR_SDetailS1_BDetailB1_32fc0efe_df0dd43d">#REF!</definedName>
    <definedName name="_vena_DYNR_SDetailS1_BDetailB1_32fc0efe_e350b0bd">#REF!</definedName>
    <definedName name="_vena_DYNR_SDetailS1_BDetailB1_32fc0efe_e7d665ba">#REF!</definedName>
    <definedName name="_vena_DYNR_SDetailS1_BDetailB1_32fc0efe_e8d3eed5">#REF!</definedName>
    <definedName name="_vena_DYNR_SDetailS1_BDetailB1_32fc0efe_ec3cadd1">#REF!</definedName>
    <definedName name="_vena_DYNR_SDetailS1_BDetailB1_32fc0efe_f14c8c6">#REF!</definedName>
    <definedName name="_vena_DYNR_SDetailS1_BDetailB1_32fc0efe_f51a5e5e">#REF!</definedName>
    <definedName name="_vena_DYNR_SDetailS1_BDetailB1_32fc0efe_f73d4916">#REF!</definedName>
    <definedName name="_vena_DYNR_SDetailS1_BDetailB1_32fc0efe_f778a999">#REF!</definedName>
    <definedName name="_vena_DYNR_SDetailS1_BDetailB1_32fc0efe_f8064219">#REF!</definedName>
    <definedName name="_vena_DYNR_SDetailS1_BDetailB1_32fc0efe_fa93443">#REF!</definedName>
    <definedName name="_vena_DYNR_SDetailS1_BDetailB1_4492ecd2">#REF!</definedName>
    <definedName name="_vena_DYNR_SDetailS1_BDetailB1_4492ecd2_1645b266">#REF!</definedName>
    <definedName name="_vena_DYNR_SDetailS1_BDetailB1_4492ecd2_1cc2f088">#REF!</definedName>
    <definedName name="_vena_DYNR_SDetailS1_BDetailB1_4492ecd2_3fb7475c">#REF!</definedName>
    <definedName name="_vena_DYNR_SDetailS1_BDetailB1_4492ecd2_40f666b6">#REF!</definedName>
    <definedName name="_vena_DYNR_SDetailS1_BDetailB1_4492ecd2_5174083c">#REF!</definedName>
    <definedName name="_vena_DYNR_SDetailS1_BDetailB1_4492ecd2_585e3899">#REF!</definedName>
    <definedName name="_vena_DYNR_SDetailS1_BDetailB1_4492ecd2_6f370195">#REF!</definedName>
    <definedName name="_vena_DYNR_SDetailS1_BDetailB1_4492ecd2_9c36bd36">#REF!</definedName>
    <definedName name="_vena_DYNR_SDetailS1_BDetailB1_4492ecd2_a446e08f">#REF!</definedName>
    <definedName name="_vena_DYNR_SDetailS1_BDetailB1_4492ecd2_c0363fe8">#REF!</definedName>
    <definedName name="_vena_DYNR_SDetailS1_BDetailB1_4492ecd2_c2a7e0b">#REF!</definedName>
    <definedName name="_vena_DYNR_SDetailS1_BDetailB1_4492ecd2_c32b0154">#REF!</definedName>
    <definedName name="_vena_DYNR_SDetailS1_BDetailB1_4492ecd2_c3fbf81">#REF!</definedName>
    <definedName name="_vena_DYNR_SDetailS1_BDetailB1_4492ecd2_c78d35f5">#REF!</definedName>
    <definedName name="_vena_DYNR_SDetailS1_BDetailB1_4492ecd2_cba1a280">#REF!</definedName>
    <definedName name="_vena_DYNR_SDetailS1_BDetailB1_4492ecd2_f37bcb3c">#REF!</definedName>
    <definedName name="_vena_DYNR_SDetailS1_BDetailB1_4eb7b5f7">#REF!</definedName>
    <definedName name="_vena_DYNR_SDetailS1_BDetailB1_4eb7b5f7_158cc159">#REF!</definedName>
    <definedName name="_vena_DYNR_SDetailS1_BDetailB1_4eb7b5f7_1dd081c1">#REF!</definedName>
    <definedName name="_vena_DYNR_SDetailS1_BDetailB1_4eb7b5f7_22843251">#REF!</definedName>
    <definedName name="_vena_DYNR_SDetailS1_BDetailB1_4eb7b5f7_240d440">#REF!</definedName>
    <definedName name="_vena_DYNR_SDetailS1_BDetailB1_4eb7b5f7_259a4cc1">#REF!</definedName>
    <definedName name="_vena_DYNR_SDetailS1_BDetailB1_4eb7b5f7_40879bc">#REF!</definedName>
    <definedName name="_vena_DYNR_SDetailS1_BDetailB1_4eb7b5f7_41a08326">#REF!</definedName>
    <definedName name="_vena_DYNR_SDetailS1_BDetailB1_4eb7b5f7_440c31eb">#REF!</definedName>
    <definedName name="_vena_DYNR_SDetailS1_BDetailB1_4eb7b5f7_4445b220">#REF!</definedName>
    <definedName name="_vena_DYNR_SDetailS1_BDetailB1_4eb7b5f7_4cb06673">#REF!</definedName>
    <definedName name="_vena_DYNR_SDetailS1_BDetailB1_4eb7b5f7_52a34ae6">#REF!</definedName>
    <definedName name="_vena_DYNR_SDetailS1_BDetailB1_4eb7b5f7_52cfbc4d">#REF!</definedName>
    <definedName name="_vena_DYNR_SDetailS1_BDetailB1_4eb7b5f7_646f2d97">#REF!</definedName>
    <definedName name="_vena_DYNR_SDetailS1_BDetailB1_4eb7b5f7_6ad27f15">#REF!</definedName>
    <definedName name="_vena_DYNR_SDetailS1_BDetailB1_4eb7b5f7_7172da5e">#REF!</definedName>
    <definedName name="_vena_DYNR_SDetailS1_BDetailB1_4eb7b5f7_73b3b153">#REF!</definedName>
    <definedName name="_vena_DYNR_SDetailS1_BDetailB1_4eb7b5f7_743f3d9">#REF!</definedName>
    <definedName name="_vena_DYNR_SDetailS1_BDetailB1_4eb7b5f7_78366389">#REF!</definedName>
    <definedName name="_vena_DYNR_SDetailS1_BDetailB1_4eb7b5f7_800bebe2">#REF!</definedName>
    <definedName name="_vena_DYNR_SDetailS1_BDetailB1_4eb7b5f7_9b34e05e">#REF!</definedName>
    <definedName name="_vena_DYNR_SDetailS1_BDetailB1_4eb7b5f7_9fe50a38">#REF!</definedName>
    <definedName name="_vena_DYNR_SDetailS1_BDetailB1_4eb7b5f7_a29879bc">#REF!</definedName>
    <definedName name="_vena_DYNR_SDetailS1_BDetailB1_4eb7b5f7_a63444c9">#REF!</definedName>
    <definedName name="_vena_DYNR_SDetailS1_BDetailB1_4eb7b5f7_ac730d7e">#REF!</definedName>
    <definedName name="_vena_DYNR_SDetailS1_BDetailB1_4eb7b5f7_b4030044">#REF!</definedName>
    <definedName name="_vena_DYNR_SDetailS1_BDetailB1_4eb7b5f7_bb3e8d23">#REF!</definedName>
    <definedName name="_vena_DYNR_SDetailS1_BDetailB1_4eb7b5f7_bbaabe31">#REF!</definedName>
    <definedName name="_vena_DYNR_SDetailS1_BDetailB1_4eb7b5f7_c00a79f">#REF!</definedName>
    <definedName name="_vena_DYNR_SDetailS1_BDetailB1_4eb7b5f7_c5b0a0d7">#REF!</definedName>
    <definedName name="_vena_DYNR_SDetailS1_BDetailB1_4eb7b5f7_c8254aab">#REF!</definedName>
    <definedName name="_vena_DYNR_SDetailS1_BDetailB1_4eb7b5f7_ccb971d6">#REF!</definedName>
    <definedName name="_vena_DYNR_SDetailS1_BDetailB1_4eb7b5f7_d173bf0a">#REF!</definedName>
    <definedName name="_vena_DYNR_SDetailS1_BDetailB1_4eb7b5f7_d6215103">#REF!</definedName>
    <definedName name="_vena_DYNR_SDetailS1_BDetailB1_4eb7b5f7_de32bf4c">#REF!</definedName>
    <definedName name="_vena_DYNR_SDetailS1_BDetailB1_4eb7b5f7_e320928e">#REF!</definedName>
    <definedName name="_vena_DYNR_SDetailS1_BDetailB1_4eb7b5f7_f159234d">#REF!</definedName>
    <definedName name="_vena_DYNR_SDetailS1_BDetailB1_7724ca8e">#REF!</definedName>
    <definedName name="_vena_DYNR_SDetailS1_BDetailB1_7724ca8e_11e610e9">#REF!</definedName>
    <definedName name="_vena_DYNR_SDetailS1_BDetailB1_7724ca8e_2d1faef">#REF!</definedName>
    <definedName name="_vena_DYNR_SDetailS1_BDetailB1_7724ca8e_45e6e612">#REF!</definedName>
    <definedName name="_vena_DYNR_SDetailS1_BDetailB1_7724ca8e_57ab29fd">#REF!</definedName>
    <definedName name="_vena_DYNR_SDetailS1_BDetailB1_7724ca8e_6b090438">#REF!</definedName>
    <definedName name="_vena_DYNR_SDetailS1_BDetailB1_7724ca8e_6f149c90">#REF!</definedName>
    <definedName name="_vena_DYNR_SDetailS1_BDetailB1_7724ca8e_792f358e">#REF!</definedName>
    <definedName name="_vena_DYNR_SDetailS1_BDetailB1_7724ca8e_7e5c53c">#REF!</definedName>
    <definedName name="_vena_DYNR_SDetailS1_BDetailB1_7724ca8e_84ad652f">#REF!</definedName>
    <definedName name="_vena_DYNR_SDetailS1_BDetailB1_7724ca8e_93fb9963">#REF!</definedName>
    <definedName name="_vena_DYNR_SDetailS1_BDetailB1_7724ca8e_9a92e01c">#REF!</definedName>
    <definedName name="_vena_DYNR_SDetailS1_BDetailB1_7724ca8e_ad2d3e44">#REF!</definedName>
    <definedName name="_vena_DYNR_SDetailS1_BDetailB1_7724ca8e_b32601ae">#REF!</definedName>
    <definedName name="_vena_DYNR_SDetailS1_BDetailB1_7724ca8e_b95f81c">#REF!</definedName>
    <definedName name="_vena_DYNR_SDetailS1_BDetailB1_7724ca8e_b9b7bd00">#REF!</definedName>
    <definedName name="_vena_DYNR_SDetailS1_BDetailB1_7724ca8e_c48fd722">#REF!</definedName>
    <definedName name="_vena_DYNR_SDetailS1_BDetailB1_7ceeb290">#REF!</definedName>
    <definedName name="_vena_DYNR_SDetailS1_BDetailB1_7ceeb290_26bc0c3">#REF!</definedName>
    <definedName name="_vena_DYNR_SDetailS1_BDetailB1_7ceeb290_28761eab">#REF!</definedName>
    <definedName name="_vena_DYNR_SDetailS1_BDetailB1_7ceeb290_2abe8bbe">#REF!</definedName>
    <definedName name="_vena_DYNR_SDetailS1_BDetailB1_7ceeb290_335d5072">#REF!</definedName>
    <definedName name="_vena_DYNR_SDetailS1_BDetailB1_7ceeb290_37cb46b2">#REF!</definedName>
    <definedName name="_vena_DYNR_SDetailS1_BDetailB1_7ceeb290_381ab7f9">#REF!</definedName>
    <definedName name="_vena_DYNR_SDetailS1_BDetailB1_7ceeb290_41a311c9">#REF!</definedName>
    <definedName name="_vena_DYNR_SDetailS1_BDetailB1_7ceeb290_41c7ef02">#REF!</definedName>
    <definedName name="_vena_DYNR_SDetailS1_BDetailB1_7ceeb290_5cb6108f">#REF!</definedName>
    <definedName name="_vena_DYNR_SDetailS1_BDetailB1_7ceeb290_5cf5c666">#REF!</definedName>
    <definedName name="_vena_DYNR_SDetailS1_BDetailB1_7ceeb290_5d0e9c1">#REF!</definedName>
    <definedName name="_vena_DYNR_SDetailS1_BDetailB1_7ceeb290_640565da">#REF!</definedName>
    <definedName name="_vena_DYNR_SDetailS1_BDetailB1_7ceeb290_6ae646ea">#REF!</definedName>
    <definedName name="_vena_DYNR_SDetailS1_BDetailB1_7ceeb290_7ac3c50c">#REF!</definedName>
    <definedName name="_vena_DYNR_SDetailS1_BDetailB1_7ceeb290_808d5718">#REF!</definedName>
    <definedName name="_vena_DYNR_SDetailS1_BDetailB1_7ceeb290_8b4bd7db">#REF!</definedName>
    <definedName name="_vena_DYNR_SDetailS1_BDetailB1_7ceeb290_8d52ac7c">#REF!</definedName>
    <definedName name="_vena_DYNR_SDetailS1_BDetailB1_7ceeb290_901ffd79">#REF!</definedName>
    <definedName name="_vena_DYNR_SDetailS1_BDetailB1_7ceeb290_a23336ee">#REF!</definedName>
    <definedName name="_vena_DYNR_SDetailS1_BDetailB1_7ceeb290_b0dedb5c">#REF!</definedName>
    <definedName name="_vena_DYNR_SDetailS1_BDetailB1_7ceeb290_b1be173">#REF!</definedName>
    <definedName name="_vena_DYNR_SDetailS1_BDetailB1_7ceeb290_bd804b65">#REF!</definedName>
    <definedName name="_vena_DYNR_SDetailS1_BDetailB1_7ceeb290_c4fccaef">#REF!</definedName>
    <definedName name="_vena_DYNR_SDetailS1_BDetailB1_7ceeb290_cde5a9c1">#REF!</definedName>
    <definedName name="_vena_DYNR_SDetailS1_BDetailB1_7ceeb290_deb0c5a4">#REF!</definedName>
    <definedName name="_vena_DYNR_SDetailS1_BDetailB1_7ceeb290_dee14559">#REF!</definedName>
    <definedName name="_vena_DYNR_SDetailS1_BDetailB1_7ceeb290_e285a294">#REF!</definedName>
    <definedName name="_vena_DYNR_SDetailS1_BDetailB1_7ceeb290_f0d1bc42">#REF!</definedName>
    <definedName name="_vena_DYNR_SDetailS1_BDetailB1_7ceeb290_f129f406">#REF!</definedName>
    <definedName name="_vena_DYNR_SDetailS1_BDetailB1_7ceeb290_f7159065">#REF!</definedName>
    <definedName name="_vena_DYNR_SDetailS1_BDetailB1_7ceeb290_fac9f6c7">#REF!</definedName>
    <definedName name="_vena_DYNR_SDetailS1_BDetailB1_7ceeb290_fc9da99d">#REF!</definedName>
    <definedName name="_vena_DYNR_SDetailS1_BDetailB1_89d70a09">#REF!</definedName>
    <definedName name="_vena_DYNR_SDetailS1_BDetailB1_89d70a09_12a7f02a">#REF!</definedName>
    <definedName name="_vena_DYNR_SDetailS1_BDetailB1_89d70a09_1423b0a6">#REF!</definedName>
    <definedName name="_vena_DYNR_SDetailS1_BDetailB1_89d70a09_1606cb10">#REF!</definedName>
    <definedName name="_vena_DYNR_SDetailS1_BDetailB1_89d70a09_16df9f86">#REF!</definedName>
    <definedName name="_vena_DYNR_SDetailS1_BDetailB1_89d70a09_18d4fb8a">#REF!</definedName>
    <definedName name="_vena_DYNR_SDetailS1_BDetailB1_89d70a09_197ddebf">#REF!</definedName>
    <definedName name="_vena_DYNR_SDetailS1_BDetailB1_89d70a09_1aba0262">#REF!</definedName>
    <definedName name="_vena_DYNR_SDetailS1_BDetailB1_89d70a09_1aee870e">#REF!</definedName>
    <definedName name="_vena_DYNR_SDetailS1_BDetailB1_89d70a09_1b475818">#REF!</definedName>
    <definedName name="_vena_DYNR_SDetailS1_BDetailB1_89d70a09_1bb644be">#REF!</definedName>
    <definedName name="_vena_DYNR_SDetailS1_BDetailB1_89d70a09_1ddad462">#REF!</definedName>
    <definedName name="_vena_DYNR_SDetailS1_BDetailB1_89d70a09_1f0c3f42">#REF!</definedName>
    <definedName name="_vena_DYNR_SDetailS1_BDetailB1_89d70a09_2013094">#REF!</definedName>
    <definedName name="_vena_DYNR_SDetailS1_BDetailB1_89d70a09_220797a5">#REF!</definedName>
    <definedName name="_vena_DYNR_SDetailS1_BDetailB1_89d70a09_2315fcf1">#REF!</definedName>
    <definedName name="_vena_DYNR_SDetailS1_BDetailB1_89d70a09_285446b9">#REF!</definedName>
    <definedName name="_vena_DYNR_SDetailS1_BDetailB1_89d70a09_299079da">#REF!</definedName>
    <definedName name="_vena_DYNR_SDetailS1_BDetailB1_89d70a09_2a730ddc">#REF!</definedName>
    <definedName name="_vena_DYNR_SDetailS1_BDetailB1_89d70a09_3036ee90">#REF!</definedName>
    <definedName name="_vena_DYNR_SDetailS1_BDetailB1_89d70a09_31be5410">#REF!</definedName>
    <definedName name="_vena_DYNR_SDetailS1_BDetailB1_89d70a09_328f20aa">#REF!</definedName>
    <definedName name="_vena_DYNR_SDetailS1_BDetailB1_89d70a09_3d2dac40">#REF!</definedName>
    <definedName name="_vena_DYNR_SDetailS1_BDetailB1_89d70a09_3d9f5b20">#REF!</definedName>
    <definedName name="_vena_DYNR_SDetailS1_BDetailB1_89d70a09_3e7da2e">#REF!</definedName>
    <definedName name="_vena_DYNR_SDetailS1_BDetailB1_89d70a09_41f77080">#REF!</definedName>
    <definedName name="_vena_DYNR_SDetailS1_BDetailB1_89d70a09_439136f9">#REF!</definedName>
    <definedName name="_vena_DYNR_SDetailS1_BDetailB1_89d70a09_479fb23d">#REF!</definedName>
    <definedName name="_vena_DYNR_SDetailS1_BDetailB1_89d70a09_49551b2a">#REF!</definedName>
    <definedName name="_vena_DYNR_SDetailS1_BDetailB1_89d70a09_50dcdff2">#REF!</definedName>
    <definedName name="_vena_DYNR_SDetailS1_BDetailB1_89d70a09_51e394b3">#REF!</definedName>
    <definedName name="_vena_DYNR_SDetailS1_BDetailB1_89d70a09_53b09b4d">#REF!</definedName>
    <definedName name="_vena_DYNR_SDetailS1_BDetailB1_89d70a09_552718af">#REF!</definedName>
    <definedName name="_vena_DYNR_SDetailS1_BDetailB1_89d70a09_56557d38">#REF!</definedName>
    <definedName name="_vena_DYNR_SDetailS1_BDetailB1_89d70a09_5928b628">#REF!</definedName>
    <definedName name="_vena_DYNR_SDetailS1_BDetailB1_89d70a09_5b5f7c67">#REF!</definedName>
    <definedName name="_vena_DYNR_SDetailS1_BDetailB1_89d70a09_5c5353c6">#REF!</definedName>
    <definedName name="_vena_DYNR_SDetailS1_BDetailB1_89d70a09_5d6ffdbc">#REF!</definedName>
    <definedName name="_vena_DYNR_SDetailS1_BDetailB1_89d70a09_5f437ba">#REF!</definedName>
    <definedName name="_vena_DYNR_SDetailS1_BDetailB1_89d70a09_6240bece">#REF!</definedName>
    <definedName name="_vena_DYNR_SDetailS1_BDetailB1_89d70a09_6271c176">#REF!</definedName>
    <definedName name="_vena_DYNR_SDetailS1_BDetailB1_89d70a09_653ae06e">#REF!</definedName>
    <definedName name="_vena_DYNR_SDetailS1_BDetailB1_89d70a09_659f6c59">#REF!</definedName>
    <definedName name="_vena_DYNR_SDetailS1_BDetailB1_89d70a09_65f760cb">#REF!</definedName>
    <definedName name="_vena_DYNR_SDetailS1_BDetailB1_89d70a09_66d1ae90">#REF!</definedName>
    <definedName name="_vena_DYNR_SDetailS1_BDetailB1_89d70a09_673e894f">#REF!</definedName>
    <definedName name="_vena_DYNR_SDetailS1_BDetailB1_89d70a09_6888dd15">#REF!</definedName>
    <definedName name="_vena_DYNR_SDetailS1_BDetailB1_89d70a09_690224a6">#REF!</definedName>
    <definedName name="_vena_DYNR_SDetailS1_BDetailB1_89d70a09_69a961ea">#REF!</definedName>
    <definedName name="_vena_DYNR_SDetailS1_BDetailB1_89d70a09_6c03a676">#REF!</definedName>
    <definedName name="_vena_DYNR_SDetailS1_BDetailB1_89d70a09_6d55c406">#REF!</definedName>
    <definedName name="_vena_DYNR_SDetailS1_BDetailB1_89d70a09_6f0b5c36">#REF!</definedName>
    <definedName name="_vena_DYNR_SDetailS1_BDetailB1_89d70a09_71036798">#REF!</definedName>
    <definedName name="_vena_DYNR_SDetailS1_BDetailB1_89d70a09_715c3441">#REF!</definedName>
    <definedName name="_vena_DYNR_SDetailS1_BDetailB1_89d70a09_74ad781">#REF!</definedName>
    <definedName name="_vena_DYNR_SDetailS1_BDetailB1_89d70a09_7625ecd5">#REF!</definedName>
    <definedName name="_vena_DYNR_SDetailS1_BDetailB1_89d70a09_770ab80">#REF!</definedName>
    <definedName name="_vena_DYNR_SDetailS1_BDetailB1_89d70a09_77384058">#REF!</definedName>
    <definedName name="_vena_DYNR_SDetailS1_BDetailB1_89d70a09_79e8d11e">#REF!</definedName>
    <definedName name="_vena_DYNR_SDetailS1_BDetailB1_89d70a09_7a12ef4c">#REF!</definedName>
    <definedName name="_vena_DYNR_SDetailS1_BDetailB1_89d70a09_7c11490">#REF!</definedName>
    <definedName name="_vena_DYNR_SDetailS1_BDetailB1_89d70a09_895cfc5c">#REF!</definedName>
    <definedName name="_vena_DYNR_SDetailS1_BDetailB1_89d70a09_8a2b2588">#REF!</definedName>
    <definedName name="_vena_DYNR_SDetailS1_BDetailB1_89d70a09_8ae70789">#REF!</definedName>
    <definedName name="_vena_DYNR_SDetailS1_BDetailB1_89d70a09_8c61a29e">#REF!</definedName>
    <definedName name="_vena_DYNR_SDetailS1_BDetailB1_89d70a09_8ddcb9d8">#REF!</definedName>
    <definedName name="_vena_DYNR_SDetailS1_BDetailB1_89d70a09_8f3f2894">#REF!</definedName>
    <definedName name="_vena_DYNR_SDetailS1_BDetailB1_89d70a09_8fc45805">#REF!</definedName>
    <definedName name="_vena_DYNR_SDetailS1_BDetailB1_89d70a09_9073351a">#REF!</definedName>
    <definedName name="_vena_DYNR_SDetailS1_BDetailB1_89d70a09_970f6055">#REF!</definedName>
    <definedName name="_vena_DYNR_SDetailS1_BDetailB1_89d70a09_9cb1d919">#REF!</definedName>
    <definedName name="_vena_DYNR_SDetailS1_BDetailB1_89d70a09_a5432aff">#REF!</definedName>
    <definedName name="_vena_DYNR_SDetailS1_BDetailB1_89d70a09_aa845e25">#REF!</definedName>
    <definedName name="_vena_DYNR_SDetailS1_BDetailB1_89d70a09_ac75a438">#REF!</definedName>
    <definedName name="_vena_DYNR_SDetailS1_BDetailB1_89d70a09_aeeef5bb">#REF!</definedName>
    <definedName name="_vena_DYNR_SDetailS1_BDetailB1_89d70a09_b01fdc82">#REF!</definedName>
    <definedName name="_vena_DYNR_SDetailS1_BDetailB1_89d70a09_b2e08c98">#REF!</definedName>
    <definedName name="_vena_DYNR_SDetailS1_BDetailB1_89d70a09_b4305fe4">#REF!</definedName>
    <definedName name="_vena_DYNR_SDetailS1_BDetailB1_89d70a09_b87a7d10">#REF!</definedName>
    <definedName name="_vena_DYNR_SDetailS1_BDetailB1_89d70a09_bb928044">#REF!</definedName>
    <definedName name="_vena_DYNR_SDetailS1_BDetailB1_89d70a09_bfa14b66">#REF!</definedName>
    <definedName name="_vena_DYNR_SDetailS1_BDetailB1_89d70a09_bfdb9607">#REF!</definedName>
    <definedName name="_vena_DYNR_SDetailS1_BDetailB1_89d70a09_bfe0c72d">#REF!</definedName>
    <definedName name="_vena_DYNR_SDetailS1_BDetailB1_89d70a09_c2f4a84f">#REF!</definedName>
    <definedName name="_vena_DYNR_SDetailS1_BDetailB1_89d70a09_c624cac7">#REF!</definedName>
    <definedName name="_vena_DYNR_SDetailS1_BDetailB1_89d70a09_c8c2fdad">#REF!</definedName>
    <definedName name="_vena_DYNR_SDetailS1_BDetailB1_89d70a09_c929702f">#REF!</definedName>
    <definedName name="_vena_DYNR_SDetailS1_BDetailB1_89d70a09_cb9d2161">#REF!</definedName>
    <definedName name="_vena_DYNR_SDetailS1_BDetailB1_89d70a09_cc414a2a">#REF!</definedName>
    <definedName name="_vena_DYNR_SDetailS1_BDetailB1_89d70a09_cda212ca">#REF!</definedName>
    <definedName name="_vena_DYNR_SDetailS1_BDetailB1_89d70a09_cf6ecf85">#REF!</definedName>
    <definedName name="_vena_DYNR_SDetailS1_BDetailB1_89d70a09_d556aace">#REF!</definedName>
    <definedName name="_vena_DYNR_SDetailS1_BDetailB1_89d70a09_d94423f7">#REF!</definedName>
    <definedName name="_vena_DYNR_SDetailS1_BDetailB1_89d70a09_dca16d22">#REF!</definedName>
    <definedName name="_vena_DYNR_SDetailS1_BDetailB1_89d70a09_e058125a">#REF!</definedName>
    <definedName name="_vena_DYNR_SDetailS1_BDetailB1_89d70a09_e5c01f22">#REF!</definedName>
    <definedName name="_vena_DYNR_SDetailS1_BDetailB1_89d70a09_e869a1de">#REF!</definedName>
    <definedName name="_vena_DYNR_SDetailS1_BDetailB1_89d70a09_e92b2aae">#REF!</definedName>
    <definedName name="_vena_DYNR_SDetailS1_BDetailB1_89d70a09_eb8f60b1">#REF!</definedName>
    <definedName name="_vena_DYNR_SDetailS1_BDetailB1_89d70a09_f0171de">#REF!</definedName>
    <definedName name="_vena_DYNR_SDetailS1_BDetailB1_89d70a09_f1161f2f">#REF!</definedName>
    <definedName name="_vena_DYNR_SDetailS1_BDetailB1_89d70a09_f16ed488">#REF!</definedName>
    <definedName name="_vena_DYNR_SDetailS1_BDetailB1_89d70a09_f283004c">#REF!</definedName>
    <definedName name="_vena_DYNR_SDetailS1_BDetailB1_89d70a09_f70ba699">#REF!</definedName>
    <definedName name="_vena_DYNR_SDetailS1_BDetailB1_89d70a09_f7a52403">#REF!</definedName>
    <definedName name="_vena_DYNR_SDetailS1_BDetailB1_89d70a09_f8002f04">#REF!</definedName>
    <definedName name="_vena_DYNR_SDetailS1_BDetailB1_a9c0c0c4">#REF!</definedName>
    <definedName name="_vena_DYNR_SDetailS1_BDetailB1_a9c0c0c4_1bd68c89">#REF!</definedName>
    <definedName name="_vena_DYNR_SDetailS1_BDetailB1_a9c0c0c4_1e4f22f8">#REF!</definedName>
    <definedName name="_vena_DYNR_SDetailS1_BDetailB1_a9c0c0c4_1f38081e">#REF!</definedName>
    <definedName name="_vena_DYNR_SDetailS1_BDetailB1_a9c0c0c4_218197a">#REF!</definedName>
    <definedName name="_vena_DYNR_SDetailS1_BDetailB1_a9c0c0c4_236c31ac">#REF!</definedName>
    <definedName name="_vena_DYNR_SDetailS1_BDetailB1_a9c0c0c4_2534b6f">#REF!</definedName>
    <definedName name="_vena_DYNR_SDetailS1_BDetailB1_a9c0c0c4_2b76bd25">#REF!</definedName>
    <definedName name="_vena_DYNR_SDetailS1_BDetailB1_a9c0c0c4_2bbe5f10">#REF!</definedName>
    <definedName name="_vena_DYNR_SDetailS1_BDetailB1_a9c0c0c4_309c31f6">#REF!</definedName>
    <definedName name="_vena_DYNR_SDetailS1_BDetailB1_a9c0c0c4_31b620d8">#REF!</definedName>
    <definedName name="_vena_DYNR_SDetailS1_BDetailB1_a9c0c0c4_3a65da96">#REF!</definedName>
    <definedName name="_vena_DYNR_SDetailS1_BDetailB1_a9c0c0c4_3b3a568">#REF!</definedName>
    <definedName name="_vena_DYNR_SDetailS1_BDetailB1_a9c0c0c4_3e96b023">#REF!</definedName>
    <definedName name="_vena_DYNR_SDetailS1_BDetailB1_a9c0c0c4_448102d2">#REF!</definedName>
    <definedName name="_vena_DYNR_SDetailS1_BDetailB1_a9c0c0c4_45fd24a7">#REF!</definedName>
    <definedName name="_vena_DYNR_SDetailS1_BDetailB1_a9c0c0c4_46bdb56f">#REF!</definedName>
    <definedName name="_vena_DYNR_SDetailS1_BDetailB1_a9c0c0c4_49d6e2b0">#REF!</definedName>
    <definedName name="_vena_DYNR_SDetailS1_BDetailB1_a9c0c0c4_4b1c45dc">#REF!</definedName>
    <definedName name="_vena_DYNR_SDetailS1_BDetailB1_a9c0c0c4_4c0a41">#REF!</definedName>
    <definedName name="_vena_DYNR_SDetailS1_BDetailB1_a9c0c0c4_4c399e22">#REF!</definedName>
    <definedName name="_vena_DYNR_SDetailS1_BDetailB1_a9c0c0c4_4d06993a">#REF!</definedName>
    <definedName name="_vena_DYNR_SDetailS1_BDetailB1_a9c0c0c4_5055acaf">#REF!</definedName>
    <definedName name="_vena_DYNR_SDetailS1_BDetailB1_a9c0c0c4_584dac50">#REF!</definedName>
    <definedName name="_vena_DYNR_SDetailS1_BDetailB1_a9c0c0c4_5b4946be">#REF!</definedName>
    <definedName name="_vena_DYNR_SDetailS1_BDetailB1_a9c0c0c4_5ec10bc6">#REF!</definedName>
    <definedName name="_vena_DYNR_SDetailS1_BDetailB1_a9c0c0c4_62d0d13d">#REF!</definedName>
    <definedName name="_vena_DYNR_SDetailS1_BDetailB1_a9c0c0c4_694bf378">#REF!</definedName>
    <definedName name="_vena_DYNR_SDetailS1_BDetailB1_a9c0c0c4_6a7dafba">#REF!</definedName>
    <definedName name="_vena_DYNR_SDetailS1_BDetailB1_a9c0c0c4_6bc2f131">#REF!</definedName>
    <definedName name="_vena_DYNR_SDetailS1_BDetailB1_a9c0c0c4_6d86749f">#REF!</definedName>
    <definedName name="_vena_DYNR_SDetailS1_BDetailB1_a9c0c0c4_762f987a">#REF!</definedName>
    <definedName name="_vena_DYNR_SDetailS1_BDetailB1_a9c0c0c4_790e81a7">#REF!</definedName>
    <definedName name="_vena_DYNR_SDetailS1_BDetailB1_a9c0c0c4_7933a3e2">#REF!</definedName>
    <definedName name="_vena_DYNR_SDetailS1_BDetailB1_a9c0c0c4_79b6ccf1">#REF!</definedName>
    <definedName name="_vena_DYNR_SDetailS1_BDetailB1_a9c0c0c4_7f22b532">#REF!</definedName>
    <definedName name="_vena_DYNR_SDetailS1_BDetailB1_a9c0c0c4_81d68a7f">#REF!</definedName>
    <definedName name="_vena_DYNR_SDetailS1_BDetailB1_a9c0c0c4_821860e9">#REF!</definedName>
    <definedName name="_vena_DYNR_SDetailS1_BDetailB1_a9c0c0c4_87591829">#REF!</definedName>
    <definedName name="_vena_DYNR_SDetailS1_BDetailB1_a9c0c0c4_8921ff5">#REF!</definedName>
    <definedName name="_vena_DYNR_SDetailS1_BDetailB1_a9c0c0c4_8d81dd1c">#REF!</definedName>
    <definedName name="_vena_DYNR_SDetailS1_BDetailB1_a9c0c0c4_9359ada4">#REF!</definedName>
    <definedName name="_vena_DYNR_SDetailS1_BDetailB1_a9c0c0c4_9471e8f6">#REF!</definedName>
    <definedName name="_vena_DYNR_SDetailS1_BDetailB1_a9c0c0c4_9b772777">#REF!</definedName>
    <definedName name="_vena_DYNR_SDetailS1_BDetailB1_a9c0c0c4_9b88559">#REF!</definedName>
    <definedName name="_vena_DYNR_SDetailS1_BDetailB1_a9c0c0c4_9cdda1c3">#REF!</definedName>
    <definedName name="_vena_DYNR_SDetailS1_BDetailB1_a9c0c0c4_9f4f1512">#REF!</definedName>
    <definedName name="_vena_DYNR_SDetailS1_BDetailB1_a9c0c0c4_a7ceb4a1">#REF!</definedName>
    <definedName name="_vena_DYNR_SDetailS1_BDetailB1_a9c0c0c4_a98a37e3">#REF!</definedName>
    <definedName name="_vena_DYNR_SDetailS1_BDetailB1_a9c0c0c4_acc4d8fe">#REF!</definedName>
    <definedName name="_vena_DYNR_SDetailS1_BDetailB1_a9c0c0c4_af12b13c">#REF!</definedName>
    <definedName name="_vena_DYNR_SDetailS1_BDetailB1_a9c0c0c4_b06bf0c2">#REF!</definedName>
    <definedName name="_vena_DYNR_SDetailS1_BDetailB1_a9c0c0c4_b7c5db9c">#REF!</definedName>
    <definedName name="_vena_DYNR_SDetailS1_BDetailB1_a9c0c0c4_bcb9f774">#REF!</definedName>
    <definedName name="_vena_DYNR_SDetailS1_BDetailB1_a9c0c0c4_bff1a866">#REF!</definedName>
    <definedName name="_vena_DYNR_SDetailS1_BDetailB1_a9c0c0c4_c3212166">#REF!</definedName>
    <definedName name="_vena_DYNR_SDetailS1_BDetailB1_a9c0c0c4_c9073857">#REF!</definedName>
    <definedName name="_vena_DYNR_SDetailS1_BDetailB1_a9c0c0c4_d02f07df">#REF!</definedName>
    <definedName name="_vena_DYNR_SDetailS1_BDetailB1_a9c0c0c4_d25504f7">#REF!</definedName>
    <definedName name="_vena_DYNR_SDetailS1_BDetailB1_a9c0c0c4_d4274382">#REF!</definedName>
    <definedName name="_vena_DYNR_SDetailS1_BDetailB1_a9c0c0c4_db41aee6">#REF!</definedName>
    <definedName name="_vena_DYNR_SDetailS1_BDetailB1_a9c0c0c4_dd1b2906">#REF!</definedName>
    <definedName name="_vena_DYNR_SDetailS1_BDetailB1_a9c0c0c4_dfe8b8a1">#REF!</definedName>
    <definedName name="_vena_DYNR_SDetailS1_BDetailB1_a9c0c0c4_dfeeada3">#REF!</definedName>
    <definedName name="_vena_DYNR_SDetailS1_BDetailB1_a9c0c0c4_e0580e78">#REF!</definedName>
    <definedName name="_vena_DYNR_SDetailS1_BDetailB1_a9c0c0c4_e19dd9e">#REF!</definedName>
    <definedName name="_vena_DYNR_SDetailS1_BDetailB1_a9c0c0c4_e34f1ab5">#REF!</definedName>
    <definedName name="_vena_DYNR_SDetailS1_BDetailB1_a9c0c0c4_e3ee5f92">#REF!</definedName>
    <definedName name="_vena_DYNR_SDetailS1_BDetailB1_a9c0c0c4_f54fecbc">#REF!</definedName>
    <definedName name="_vena_DYNR_SDetailS1_BDetailB1_a9c0c0c4_f551fcda">#REF!</definedName>
    <definedName name="_vena_DYNR_SDetailS1_BDetailB1_a9c0c0c4_f5c052ac">#REF!</definedName>
    <definedName name="_vena_DYNR_SDetailS1_BDetailB1_a9c0c0c4_f6d45270">#REF!</definedName>
    <definedName name="_vena_DYNR_SDetailS1_BDetailB1_a9c0c0c4_fb730562">#REF!</definedName>
    <definedName name="_vena_DYNR_SDetailS1_BDetailB1_a9c0c0c4_feb36539">#REF!</definedName>
    <definedName name="_vena_DYNR_SDetailS1_BDetailB1_a9c0c0c4_ffcdf816">#REF!</definedName>
    <definedName name="_vena_DYNR_SDetailS1_BDetailB1_af5ca7b9">#REF!</definedName>
    <definedName name="_vena_DYNR_SDetailS1_BDetailB1_af5ca7b9_1c9e6aa0">#REF!</definedName>
    <definedName name="_vena_DYNR_SDetailS1_BDetailB1_af5ca7b9_1defdf5f">#REF!</definedName>
    <definedName name="_vena_DYNR_SDetailS1_BDetailB1_af5ca7b9_288c53a7">#REF!</definedName>
    <definedName name="_vena_DYNR_SDetailS1_BDetailB1_af5ca7b9_326be47d">#REF!</definedName>
    <definedName name="_vena_DYNR_SDetailS1_BDetailB1_af5ca7b9_3401ce8f">#REF!</definedName>
    <definedName name="_vena_DYNR_SDetailS1_BDetailB1_af5ca7b9_4b4867d6">#REF!</definedName>
    <definedName name="_vena_DYNR_SDetailS1_BDetailB1_af5ca7b9_5e633180">#REF!</definedName>
    <definedName name="_vena_DYNR_SDetailS1_BDetailB1_af5ca7b9_64b1b920">#REF!</definedName>
    <definedName name="_vena_DYNR_SDetailS1_BDetailB1_af5ca7b9_6a133ad4">#REF!</definedName>
    <definedName name="_vena_DYNR_SDetailS1_BDetailB1_af5ca7b9_6cc9c1e8">#REF!</definedName>
    <definedName name="_vena_DYNR_SDetailS1_BDetailB1_af5ca7b9_7b35cb65">#REF!</definedName>
    <definedName name="_vena_DYNR_SDetailS1_BDetailB1_af5ca7b9_91a16da1">#REF!</definedName>
    <definedName name="_vena_DYNR_SDetailS1_BDetailB1_af5ca7b9_a1f33621">#REF!</definedName>
    <definedName name="_vena_DYNR_SDetailS1_BDetailB1_af5ca7b9_a20f537a">#REF!</definedName>
    <definedName name="_vena_DYNR_SDetailS1_BDetailB1_af5ca7b9_adbb6614">#REF!</definedName>
    <definedName name="_vena_DYNR_SDetailS1_BDetailB1_af5ca7b9_af645da3">#REF!</definedName>
    <definedName name="_vena_DYNR_SDetailS1_BDetailB1_af5ca7b9_d4fc7594">#REF!</definedName>
    <definedName name="_vena_DYNR_SDetailS1_BDetailB1_af5ca7b9_f710843e">#REF!</definedName>
    <definedName name="_vena_DYNR_SDetailS1_BDetailB1_af5ca7b9_f7ea9552">#REF!</definedName>
    <definedName name="_vena_DYNR_SDetailS1_BDetailB1_af5ca7b9_fd2ee632">#REF!</definedName>
    <definedName name="_vena_DYNR_SDetailS1_BDetailB1_b18c2f8b">#REF!</definedName>
    <definedName name="_vena_DYNR_SDetailS1_BDetailB1_b18c2f8b_188cbcb">#REF!</definedName>
    <definedName name="_vena_DYNR_SDetailS1_BDetailB1_b18c2f8b_31e63785">#REF!</definedName>
    <definedName name="_vena_DYNR_SDetailS1_BDetailB1_b18c2f8b_48839a4d">#REF!</definedName>
    <definedName name="_vena_DYNR_SDetailS1_BDetailB1_b18c2f8b_48eb5be3">#REF!</definedName>
    <definedName name="_vena_DYNR_SDetailS1_BDetailB1_b18c2f8b_4c08d798">#REF!</definedName>
    <definedName name="_vena_DYNR_SDetailS1_BDetailB1_b18c2f8b_4f47d31b">#REF!</definedName>
    <definedName name="_vena_DYNR_SDetailS1_BDetailB1_b18c2f8b_541d7eec">#REF!</definedName>
    <definedName name="_vena_DYNR_SDetailS1_BDetailB1_b18c2f8b_575016e1">#REF!</definedName>
    <definedName name="_vena_DYNR_SDetailS1_BDetailB1_b18c2f8b_5e8efe2e">#REF!</definedName>
    <definedName name="_vena_DYNR_SDetailS1_BDetailB1_b18c2f8b_659e89e5">#REF!</definedName>
    <definedName name="_vena_DYNR_SDetailS1_BDetailB1_b18c2f8b_6af0907a">#REF!</definedName>
    <definedName name="_vena_DYNR_SDetailS1_BDetailB1_b18c2f8b_6e166847">#REF!</definedName>
    <definedName name="_vena_DYNR_SDetailS1_BDetailB1_b18c2f8b_725ca180">#REF!</definedName>
    <definedName name="_vena_DYNR_SDetailS1_BDetailB1_b18c2f8b_740a9365">#REF!</definedName>
    <definedName name="_vena_DYNR_SDetailS1_BDetailB1_b18c2f8b_7b158d51">#REF!</definedName>
    <definedName name="_vena_DYNR_SDetailS1_BDetailB1_b18c2f8b_7e90742a">#REF!</definedName>
    <definedName name="_vena_DYNR_SDetailS1_BDetailB1_b18c2f8b_7ec20d84">#REF!</definedName>
    <definedName name="_vena_DYNR_SDetailS1_BDetailB1_b18c2f8b_8217d4d6">#REF!</definedName>
    <definedName name="_vena_DYNR_SDetailS1_BDetailB1_b18c2f8b_88a7a1d1">#REF!</definedName>
    <definedName name="_vena_DYNR_SDetailS1_BDetailB1_b18c2f8b_9ebb8d61">#REF!</definedName>
    <definedName name="_vena_DYNR_SDetailS1_BDetailB1_b18c2f8b_a9914ba5">#REF!</definedName>
    <definedName name="_vena_DYNR_SDetailS1_BDetailB1_b18c2f8b_b262a2e5">#REF!</definedName>
    <definedName name="_vena_DYNR_SDetailS1_BDetailB1_b18c2f8b_b7980662">#REF!</definedName>
    <definedName name="_vena_DYNR_SDetailS1_BDetailB1_b18c2f8b_bb090dd9">#REF!</definedName>
    <definedName name="_vena_DYNR_SDetailS1_BDetailB1_b18c2f8b_c0552b1d">#REF!</definedName>
    <definedName name="_vena_DYNR_SDetailS1_BDetailB1_b18c2f8b_c201f1e">#REF!</definedName>
    <definedName name="_vena_DYNR_SDetailS1_BDetailB1_b18c2f8b_d02ed02d">#REF!</definedName>
    <definedName name="_vena_DYNR_SDetailS1_BDetailB1_b18c2f8b_da23604e">#REF!</definedName>
    <definedName name="_vena_DYNR_SDetailS1_BDetailB1_b18c2f8b_df7afccc">#REF!</definedName>
    <definedName name="_vena_DYNR_SDetailS1_BDetailB1_b18c2f8b_e07eb214">#REF!</definedName>
    <definedName name="_vena_DYNR_SDetailS1_BDetailB1_b18c2f8b_eb1df9e0">#REF!</definedName>
    <definedName name="_vena_DYNR_SDetailS1_BDetailB1_b18c2f8b_ebc4cbd7">#REF!</definedName>
    <definedName name="_vena_DYNR_SDetailS1_BDetailB1_b18c2f8b_f1f62faf">#REF!</definedName>
    <definedName name="_vena_DYNR_SDetailS1_BDetailB1_b18c2f8b_fb1d62f8">#REF!</definedName>
    <definedName name="_vena_DYNR_SDetailS1_BDetailB1_d5af0458">#REF!</definedName>
    <definedName name="_vena_DYNR_SDetailS1_BDetailB1_d5af0458_118711c6">#REF!</definedName>
    <definedName name="_vena_DYNR_SDetailS1_BDetailB1_d5af0458_17799496">#REF!</definedName>
    <definedName name="_vena_DYNR_SDetailS1_BDetailB1_d5af0458_22e7f196">#REF!</definedName>
    <definedName name="_vena_DYNR_SDetailS1_BDetailB1_d5af0458_53ec464c">#REF!</definedName>
    <definedName name="_vena_DYNR_SDetailS1_BDetailB1_d5af0458_62387cbf">#REF!</definedName>
    <definedName name="_vena_DYNR_SDetailS1_BDetailB1_d5af0458_64fed210">#REF!</definedName>
    <definedName name="_vena_DYNR_SDetailS1_BDetailB1_d5af0458_67dce488">#REF!</definedName>
    <definedName name="_vena_DYNR_SDetailS1_BDetailB1_d5af0458_685174ad">#REF!</definedName>
    <definedName name="_vena_DYNR_SDetailS1_BDetailB1_d5af0458_68fe8c66">#REF!</definedName>
    <definedName name="_vena_DYNR_SDetailS1_BDetailB1_d5af0458_753244c0">#REF!</definedName>
    <definedName name="_vena_DYNR_SDetailS1_BDetailB1_d5af0458_83bb1778">#REF!</definedName>
    <definedName name="_vena_DYNR_SDetailS1_BDetailB1_d5af0458_8626d7de">#REF!</definedName>
    <definedName name="_vena_DYNR_SDetailS1_BDetailB1_d5af0458_8aeb2ff">#REF!</definedName>
    <definedName name="_vena_DYNR_SDetailS1_BDetailB1_d5af0458_8cbb9c05">#REF!</definedName>
    <definedName name="_vena_DYNR_SDetailS1_BDetailB1_d5af0458_986709f9">#REF!</definedName>
    <definedName name="_vena_DYNR_SDetailS1_BDetailB1_d5af0458_9f931241">#REF!</definedName>
    <definedName name="_vena_DYNR_SDetailS1_BDetailB1_d5af0458_a570debf">#REF!</definedName>
    <definedName name="_vena_DYNR_SDetailS1_BDetailB1_d5af0458_b1a1c787">#REF!</definedName>
    <definedName name="_vena_DYNR_SDetailS1_BDetailB1_d5af0458_b79a8ce5">#REF!</definedName>
    <definedName name="_vena_DYNR_SDetailS1_BDetailB1_d5af0458_be6a63e4">#REF!</definedName>
    <definedName name="_vena_DYNR_SDetailS1_BDetailB1_d5af0458_bf42ef42">#REF!</definedName>
    <definedName name="_vena_DYNR_SDetailS1_BDetailB1_d5af0458_ce2afe28">#REF!</definedName>
    <definedName name="_vena_DYNR_SDetailS1_BDetailB1_d5af0458_d2285893">#REF!</definedName>
    <definedName name="_vena_DYNR_SDetailS1_BDetailB1_d5af0458_d4e9ea03">#REF!</definedName>
    <definedName name="_vena_DYNR_SDetailS1_BDetailB1_d5af0458_d56412d9">#REF!</definedName>
    <definedName name="_vena_DYNR_SDetailS1_BDetailB1_d5af0458_d70a2f5b">#REF!</definedName>
    <definedName name="_vena_DYNR_SDetailS1_BDetailB1_d5af0458_d9906c5b">#REF!</definedName>
    <definedName name="_vena_DYNR_SDetailS1_BDetailB1_d5af0458_daa7925e">#REF!</definedName>
    <definedName name="_vena_DYNR_SDetailS1_BDetailB1_d5af0458_ef6d0ca5">#REF!</definedName>
    <definedName name="_vena_DYNR_SDetailS1_BDetailB1_d5af0458_f30e0ac8">#REF!</definedName>
    <definedName name="_vena_DYNR_SDetailS1_BDetailB1_d5af0458_f35d1780">#REF!</definedName>
    <definedName name="_vena_DYNR_SDetailS1_BDetailB1_d5af0458_f4b622e0">#REF!</definedName>
    <definedName name="_vena_DYNR_SDetailS1_BDetailB1_d5af0458_fb9e30f3">#REF!</definedName>
    <definedName name="_vena_DYNR_SDetailS1_BDetailB1_dd43511e">#REF!</definedName>
    <definedName name="_vena_DYNR_SDetailS1_BDetailB1_dd43511e_11fa5de3">#REF!</definedName>
    <definedName name="_vena_DYNR_SDetailS1_BDetailB1_dd43511e_1232029f">#REF!</definedName>
    <definedName name="_vena_DYNR_SDetailS1_BDetailB1_dd43511e_16168b13">#REF!</definedName>
    <definedName name="_vena_DYNR_SDetailS1_BDetailB1_dd43511e_3028db94">#REF!</definedName>
    <definedName name="_vena_DYNR_SDetailS1_BDetailB1_dd43511e_319670ad">#REF!</definedName>
    <definedName name="_vena_DYNR_SDetailS1_BDetailB1_dd43511e_37939227">#REF!</definedName>
    <definedName name="_vena_DYNR_SDetailS1_BDetailB1_dd43511e_3aed4151">#REF!</definedName>
    <definedName name="_vena_DYNR_SDetailS1_BDetailB1_dd43511e_3ca12084">#REF!</definedName>
    <definedName name="_vena_DYNR_SDetailS1_BDetailB1_dd43511e_40897bef">#REF!</definedName>
    <definedName name="_vena_DYNR_SDetailS1_BDetailB1_dd43511e_469362df">#REF!</definedName>
    <definedName name="_vena_DYNR_SDetailS1_BDetailB1_dd43511e_48f5c2e1">#REF!</definedName>
    <definedName name="_vena_DYNR_SDetailS1_BDetailB1_dd43511e_49216f1b">#REF!</definedName>
    <definedName name="_vena_DYNR_SDetailS1_BDetailB1_dd43511e_4cfbe218">#REF!</definedName>
    <definedName name="_vena_DYNR_SDetailS1_BDetailB1_dd43511e_4de707bd">#REF!</definedName>
    <definedName name="_vena_DYNR_SDetailS1_BDetailB1_dd43511e_53843911">#REF!</definedName>
    <definedName name="_vena_DYNR_SDetailS1_BDetailB1_dd43511e_540280d2">#REF!</definedName>
    <definedName name="_vena_DYNR_SDetailS1_BDetailB1_dd43511e_6ca1d1ea">#REF!</definedName>
    <definedName name="_vena_DYNR_SDetailS1_BDetailB1_dd43511e_7d03c590">#REF!</definedName>
    <definedName name="_vena_DYNR_SDetailS1_BDetailB1_dd43511e_88f969b3">#REF!</definedName>
    <definedName name="_vena_DYNR_SDetailS1_BDetailB1_dd43511e_8dd6f9ff">#REF!</definedName>
    <definedName name="_vena_DYNR_SDetailS1_BDetailB1_dd43511e_8f3e4571">#REF!</definedName>
    <definedName name="_vena_DYNR_SDetailS1_BDetailB1_dd43511e_9201187f">#REF!</definedName>
    <definedName name="_vena_DYNR_SDetailS1_BDetailB1_dd43511e_946847dc">#REF!</definedName>
    <definedName name="_vena_DYNR_SDetailS1_BDetailB1_dd43511e_9653fb65">#REF!</definedName>
    <definedName name="_vena_DYNR_SDetailS1_BDetailB1_dd43511e_9fa3a762">#REF!</definedName>
    <definedName name="_vena_DYNR_SDetailS1_BDetailB1_dd43511e_a0a6dcba">#REF!</definedName>
    <definedName name="_vena_DYNR_SDetailS1_BDetailB1_dd43511e_a1870fa1">#REF!</definedName>
    <definedName name="_vena_DYNR_SDetailS1_BDetailB1_dd43511e_a308caeb">#REF!</definedName>
    <definedName name="_vena_DYNR_SDetailS1_BDetailB1_dd43511e_a7e56732">#REF!</definedName>
    <definedName name="_vena_DYNR_SDetailS1_BDetailB1_dd43511e_ad1c5b8f">#REF!</definedName>
    <definedName name="_vena_DYNR_SDetailS1_BDetailB1_dd43511e_ae49b046">#REF!</definedName>
    <definedName name="_vena_DYNR_SDetailS1_BDetailB1_dd43511e_af0e2a53">#REF!</definedName>
    <definedName name="_vena_DYNR_SDetailS1_BDetailB1_dd43511e_be1909e7">#REF!</definedName>
    <definedName name="_vena_DYNR_SDetailS1_BDetailB1_dd43511e_be331382">#REF!</definedName>
    <definedName name="_vena_DYNR_SDetailS1_BDetailB1_dd43511e_c0a2b52">#REF!</definedName>
    <definedName name="_vena_DYNR_SDetailS1_BDetailB1_dd43511e_c60bce00">#REF!</definedName>
    <definedName name="_vena_DYNR_SDetailS1_BDetailB1_dd43511e_cdc304f">#REF!</definedName>
    <definedName name="_vena_DYNR_SDetailS1_BDetailB1_dd43511e_d0961692">#REF!</definedName>
    <definedName name="_vena_DYNR_SDetailS1_BDetailB1_dd43511e_d93cbd5b">#REF!</definedName>
    <definedName name="_vena_DYNR_SDetailS1_BDetailB1_dd43511e_e0993395">#REF!</definedName>
    <definedName name="_vena_DYNR_SDetailS1_BDetailB1_dd43511e_e3667529">#REF!</definedName>
    <definedName name="_vena_DYNR_SDetailS1_BDetailB1_dd43511e_e4fd057e">#REF!</definedName>
    <definedName name="_vena_DYNR_SDetailS1_BDetailB1_de81258a">#REF!</definedName>
    <definedName name="_vena_DYNR_SDetailS1_BDetailB1_de81258a_13c66e8e">#REF!</definedName>
    <definedName name="_vena_DYNR_SDetailS1_BDetailB1_de81258a_22f83bba">#REF!</definedName>
    <definedName name="_vena_DYNR_SDetailS1_BDetailB1_de81258a_28f895f7">#REF!</definedName>
    <definedName name="_vena_DYNR_SDetailS1_BDetailB1_de81258a_386329ea">#REF!</definedName>
    <definedName name="_vena_DYNR_SDetailS1_BDetailB1_de81258a_72df6a1">#REF!</definedName>
    <definedName name="_vena_DYNR_SDetailS1_BDetailB1_de81258a_9ac2bf">#REF!</definedName>
    <definedName name="_vena_DYNR_SDetailS1_BDetailB1_de81258a_a43d67b3">#REF!</definedName>
    <definedName name="_vena_DYNR_SDetailS1_BDetailB1_de81258a_ad1675a5">#REF!</definedName>
    <definedName name="_vena_DYNR_SDetailS1_BDetailB1_de81258a_ed0ea4b9">#REF!</definedName>
    <definedName name="_vena_DYNR_SDetailS1_BDetailB1_de81258a_ee1b5956">#REF!</definedName>
    <definedName name="_vena_DYNR_SDetailS1_BDetailB1_de81258a_f62d4dc2">#REF!</definedName>
    <definedName name="_vena_DYNR_SMultiSiteS1_BMultiSiteB2_21e8c367" localSheetId="4">#REF!</definedName>
    <definedName name="_vena_DYNR_SMultiSiteS1_BMultiSiteB2_21e8c367" localSheetId="5">#REF!</definedName>
    <definedName name="_vena_DYNR_SMultiSiteS1_BMultiSiteB2_21e8c367" localSheetId="8">'[1]FY26 MYP-Multisite'!#REF!</definedName>
    <definedName name="_vena_DYNR_SMultiSiteS1_BMultiSiteB2_21e8c367" localSheetId="3">#REF!</definedName>
    <definedName name="_vena_DYNR_SMultiSiteS1_BMultiSiteB2_21e8c367">#REF!</definedName>
    <definedName name="_vena_DYNR_SMultiSiteS1_BMultiSiteB2_21e8c367_17f712f7" localSheetId="4">#REF!</definedName>
    <definedName name="_vena_DYNR_SMultiSiteS1_BMultiSiteB2_21e8c367_17f712f7" localSheetId="5">#REF!</definedName>
    <definedName name="_vena_DYNR_SMultiSiteS1_BMultiSiteB2_21e8c367_17f712f7" localSheetId="8">'[1]FY26 MYP-Multisite'!#REF!</definedName>
    <definedName name="_vena_DYNR_SMultiSiteS1_BMultiSiteB2_21e8c367_17f712f7" localSheetId="3">#REF!</definedName>
    <definedName name="_vena_DYNR_SMultiSiteS1_BMultiSiteB2_21e8c367_17f712f7">#REF!</definedName>
    <definedName name="_vena_DYNR_SMultiSiteS1_BMultiSiteB2_21e8c367_3c51b9a8" localSheetId="4">#REF!</definedName>
    <definedName name="_vena_DYNR_SMultiSiteS1_BMultiSiteB2_21e8c367_3c51b9a8" localSheetId="5">#REF!</definedName>
    <definedName name="_vena_DYNR_SMultiSiteS1_BMultiSiteB2_21e8c367_3c51b9a8" localSheetId="8">'[1]FY26 MYP-Multisite'!#REF!</definedName>
    <definedName name="_vena_DYNR_SMultiSiteS1_BMultiSiteB2_21e8c367_3c51b9a8" localSheetId="3">#REF!</definedName>
    <definedName name="_vena_DYNR_SMultiSiteS1_BMultiSiteB2_21e8c367_3c51b9a8">#REF!</definedName>
    <definedName name="_vena_DYNR_SMultiSiteS1_BMultiSiteB2_21e8c367_54be4f94" localSheetId="4">#REF!</definedName>
    <definedName name="_vena_DYNR_SMultiSiteS1_BMultiSiteB2_21e8c367_54be4f94" localSheetId="5">#REF!</definedName>
    <definedName name="_vena_DYNR_SMultiSiteS1_BMultiSiteB2_21e8c367_54be4f94" localSheetId="8">'[1]FY26 MYP-Multisite'!#REF!</definedName>
    <definedName name="_vena_DYNR_SMultiSiteS1_BMultiSiteB2_21e8c367_54be4f94" localSheetId="3">#REF!</definedName>
    <definedName name="_vena_DYNR_SMultiSiteS1_BMultiSiteB2_21e8c367_54be4f94">#REF!</definedName>
    <definedName name="_vena_DYNR_SMultiSiteS1_BMultiSiteB2_21e8c367_5b073888" localSheetId="4">#REF!</definedName>
    <definedName name="_vena_DYNR_SMultiSiteS1_BMultiSiteB2_21e8c367_5b073888" localSheetId="5">#REF!</definedName>
    <definedName name="_vena_DYNR_SMultiSiteS1_BMultiSiteB2_21e8c367_5b073888" localSheetId="8">'[1]FY26 MYP-Multisite'!#REF!</definedName>
    <definedName name="_vena_DYNR_SMultiSiteS1_BMultiSiteB2_21e8c367_5b073888" localSheetId="3">#REF!</definedName>
    <definedName name="_vena_DYNR_SMultiSiteS1_BMultiSiteB2_21e8c367_5b073888">#REF!</definedName>
    <definedName name="_vena_DYNR_SMultiSiteS1_BMultiSiteB2_21e8c367_6e708229" localSheetId="4">#REF!</definedName>
    <definedName name="_vena_DYNR_SMultiSiteS1_BMultiSiteB2_21e8c367_6e708229" localSheetId="5">#REF!</definedName>
    <definedName name="_vena_DYNR_SMultiSiteS1_BMultiSiteB2_21e8c367_6e708229" localSheetId="8">'[1]FY26 MYP-Multisite'!#REF!</definedName>
    <definedName name="_vena_DYNR_SMultiSiteS1_BMultiSiteB2_21e8c367_6e708229" localSheetId="3">#REF!</definedName>
    <definedName name="_vena_DYNR_SMultiSiteS1_BMultiSiteB2_21e8c367_6e708229">#REF!</definedName>
    <definedName name="_vena_DYNR_SMultiSiteS1_BMultiSiteB2_21e8c367_9dfb7e9a" localSheetId="4">#REF!</definedName>
    <definedName name="_vena_DYNR_SMultiSiteS1_BMultiSiteB2_21e8c367_9dfb7e9a" localSheetId="5">#REF!</definedName>
    <definedName name="_vena_DYNR_SMultiSiteS1_BMultiSiteB2_21e8c367_9dfb7e9a" localSheetId="8">'[1]FY26 MYP-Multisite'!#REF!</definedName>
    <definedName name="_vena_DYNR_SMultiSiteS1_BMultiSiteB2_21e8c367_9dfb7e9a" localSheetId="3">#REF!</definedName>
    <definedName name="_vena_DYNR_SMultiSiteS1_BMultiSiteB2_21e8c367_9dfb7e9a">#REF!</definedName>
    <definedName name="_vena_DYNR_SMultiSiteS1_BMultiSiteB2_21e8c367_ecec173a" localSheetId="4">#REF!</definedName>
    <definedName name="_vena_DYNR_SMultiSiteS1_BMultiSiteB2_21e8c367_ecec173a" localSheetId="5">#REF!</definedName>
    <definedName name="_vena_DYNR_SMultiSiteS1_BMultiSiteB2_21e8c367_ecec173a" localSheetId="8">'[1]FY26 MYP-Multisite'!#REF!</definedName>
    <definedName name="_vena_DYNR_SMultiSiteS1_BMultiSiteB2_21e8c367_ecec173a" localSheetId="3">#REF!</definedName>
    <definedName name="_vena_DYNR_SMultiSiteS1_BMultiSiteB2_21e8c367_ecec173a">#REF!</definedName>
    <definedName name="_vena_DYNR_SMultiSiteS1_BMultiSiteB2_390cca9a">#REF!</definedName>
    <definedName name="_vena_DYNR_SMultiSiteS1_BMultiSiteB2_390cca9a_1567ca1b">#REF!</definedName>
    <definedName name="_vena_DYNR_SMultiSiteS1_BMultiSiteB2_390cca9a_1cbeadc4">#REF!</definedName>
    <definedName name="_vena_DYNR_SMultiSiteS1_BMultiSiteB2_390cca9a_207b6925">#REF!</definedName>
    <definedName name="_vena_DYNR_SMultiSiteS1_BMultiSiteB2_390cca9a_2367734b">#REF!</definedName>
    <definedName name="_vena_DYNR_SMultiSiteS1_BMultiSiteB2_390cca9a_2730b10b">#REF!</definedName>
    <definedName name="_vena_DYNR_SMultiSiteS1_BMultiSiteB2_390cca9a_2b1ec004">#REF!</definedName>
    <definedName name="_vena_DYNR_SMultiSiteS1_BMultiSiteB2_390cca9a_2f71a71d">#REF!</definedName>
    <definedName name="_vena_DYNR_SMultiSiteS1_BMultiSiteB2_390cca9a_358e69c5">#REF!</definedName>
    <definedName name="_vena_DYNR_SMultiSiteS1_BMultiSiteB2_390cca9a_366fc095">#REF!</definedName>
    <definedName name="_vena_DYNR_SMultiSiteS1_BMultiSiteB2_390cca9a_36fe80d2">#REF!</definedName>
    <definedName name="_vena_DYNR_SMultiSiteS1_BMultiSiteB2_390cca9a_3767cbb9">#REF!</definedName>
    <definedName name="_vena_DYNR_SMultiSiteS1_BMultiSiteB2_390cca9a_37f4f126">#REF!</definedName>
    <definedName name="_vena_DYNR_SMultiSiteS1_BMultiSiteB2_390cca9a_395525fb">#REF!</definedName>
    <definedName name="_vena_DYNR_SMultiSiteS1_BMultiSiteB2_390cca9a_3a6027e0">#REF!</definedName>
    <definedName name="_vena_DYNR_SMultiSiteS1_BMultiSiteB2_390cca9a_3b058609">#REF!</definedName>
    <definedName name="_vena_DYNR_SMultiSiteS1_BMultiSiteB2_390cca9a_3b119d88">#REF!</definedName>
    <definedName name="_vena_DYNR_SMultiSiteS1_BMultiSiteB2_390cca9a_3b8dd0b3">#REF!</definedName>
    <definedName name="_vena_DYNR_SMultiSiteS1_BMultiSiteB2_390cca9a_3ccdefc2">#REF!</definedName>
    <definedName name="_vena_DYNR_SMultiSiteS1_BMultiSiteB2_390cca9a_40719e50">#REF!</definedName>
    <definedName name="_vena_DYNR_SMultiSiteS1_BMultiSiteB2_390cca9a_444e8fd1">#REF!</definedName>
    <definedName name="_vena_DYNR_SMultiSiteS1_BMultiSiteB2_390cca9a_473c559f">#REF!</definedName>
    <definedName name="_vena_DYNR_SMultiSiteS1_BMultiSiteB2_390cca9a_48868ab5">#REF!</definedName>
    <definedName name="_vena_DYNR_SMultiSiteS1_BMultiSiteB2_390cca9a_48f28281">#REF!</definedName>
    <definedName name="_vena_DYNR_SMultiSiteS1_BMultiSiteB2_390cca9a_4db21aa8">#REF!</definedName>
    <definedName name="_vena_DYNR_SMultiSiteS1_BMultiSiteB2_390cca9a_4ec4bfad">#REF!</definedName>
    <definedName name="_vena_DYNR_SMultiSiteS1_BMultiSiteB2_390cca9a_5291041">#REF!</definedName>
    <definedName name="_vena_DYNR_SMultiSiteS1_BMultiSiteB2_390cca9a_529e7ad">#REF!</definedName>
    <definedName name="_vena_DYNR_SMultiSiteS1_BMultiSiteB2_390cca9a_559a5bc">#REF!</definedName>
    <definedName name="_vena_DYNR_SMultiSiteS1_BMultiSiteB2_390cca9a_586df7e6">#REF!</definedName>
    <definedName name="_vena_DYNR_SMultiSiteS1_BMultiSiteB2_390cca9a_5a08904b">#REF!</definedName>
    <definedName name="_vena_DYNR_SMultiSiteS1_BMultiSiteB2_390cca9a_64f61f06">#REF!</definedName>
    <definedName name="_vena_DYNR_SMultiSiteS1_BMultiSiteB2_390cca9a_7122ab06">#REF!</definedName>
    <definedName name="_vena_DYNR_SMultiSiteS1_BMultiSiteB2_390cca9a_7d7c5a01">#REF!</definedName>
    <definedName name="_vena_DYNR_SMultiSiteS1_BMultiSiteB2_390cca9a_839477b7">#REF!</definedName>
    <definedName name="_vena_DYNR_SMultiSiteS1_BMultiSiteB2_390cca9a_83d7525e">#REF!</definedName>
    <definedName name="_vena_DYNR_SMultiSiteS1_BMultiSiteB2_390cca9a_8469d0fd">#REF!</definedName>
    <definedName name="_vena_DYNR_SMultiSiteS1_BMultiSiteB2_390cca9a_8d9584e0">#REF!</definedName>
    <definedName name="_vena_DYNR_SMultiSiteS1_BMultiSiteB2_390cca9a_9199ff09">#REF!</definedName>
    <definedName name="_vena_DYNR_SMultiSiteS1_BMultiSiteB2_390cca9a_936b9cee">#REF!</definedName>
    <definedName name="_vena_DYNR_SMultiSiteS1_BMultiSiteB2_390cca9a_961f02c">#REF!</definedName>
    <definedName name="_vena_DYNR_SMultiSiteS1_BMultiSiteB2_390cca9a_a035fe76">#REF!</definedName>
    <definedName name="_vena_DYNR_SMultiSiteS1_BMultiSiteB2_390cca9a_a4c9b7d4">#REF!</definedName>
    <definedName name="_vena_DYNR_SMultiSiteS1_BMultiSiteB2_390cca9a_a5b2a165">#REF!</definedName>
    <definedName name="_vena_DYNR_SMultiSiteS1_BMultiSiteB2_390cca9a_a8366119">#REF!</definedName>
    <definedName name="_vena_DYNR_SMultiSiteS1_BMultiSiteB2_390cca9a_a9f886c0">#REF!</definedName>
    <definedName name="_vena_DYNR_SMultiSiteS1_BMultiSiteB2_390cca9a_ade1c64">#REF!</definedName>
    <definedName name="_vena_DYNR_SMultiSiteS1_BMultiSiteB2_390cca9a_b114e9fc">#REF!</definedName>
    <definedName name="_vena_DYNR_SMultiSiteS1_BMultiSiteB2_390cca9a_b2c1688">#REF!</definedName>
    <definedName name="_vena_DYNR_SMultiSiteS1_BMultiSiteB2_390cca9a_b3d4ab57">#REF!</definedName>
    <definedName name="_vena_DYNR_SMultiSiteS1_BMultiSiteB2_390cca9a_b4572275">#REF!</definedName>
    <definedName name="_vena_DYNR_SMultiSiteS1_BMultiSiteB2_390cca9a_b6c7c51b">#REF!</definedName>
    <definedName name="_vena_DYNR_SMultiSiteS1_BMultiSiteB2_390cca9a_b780bb45">#REF!</definedName>
    <definedName name="_vena_DYNR_SMultiSiteS1_BMultiSiteB2_390cca9a_c38e1edf">#REF!</definedName>
    <definedName name="_vena_DYNR_SMultiSiteS1_BMultiSiteB2_390cca9a_c4acfd2c">#REF!</definedName>
    <definedName name="_vena_DYNR_SMultiSiteS1_BMultiSiteB2_390cca9a_c6f1bb8a">#REF!</definedName>
    <definedName name="_vena_DYNR_SMultiSiteS1_BMultiSiteB2_390cca9a_cd2df5c2">#REF!</definedName>
    <definedName name="_vena_DYNR_SMultiSiteS1_BMultiSiteB2_390cca9a_ce88b111">#REF!</definedName>
    <definedName name="_vena_DYNR_SMultiSiteS1_BMultiSiteB2_390cca9a_ce8d0960">#REF!</definedName>
    <definedName name="_vena_DYNR_SMultiSiteS1_BMultiSiteB2_390cca9a_d3434619">#REF!</definedName>
    <definedName name="_vena_DYNR_SMultiSiteS1_BMultiSiteB2_390cca9a_d4af84c2">#REF!</definedName>
    <definedName name="_vena_DYNR_SMultiSiteS1_BMultiSiteB2_390cca9a_d8f0066a">#REF!</definedName>
    <definedName name="_vena_DYNR_SMultiSiteS1_BMultiSiteB2_390cca9a_daf19806">#REF!</definedName>
    <definedName name="_vena_DYNR_SMultiSiteS1_BMultiSiteB2_390cca9a_ddc9ca9a">#REF!</definedName>
    <definedName name="_vena_DYNR_SMultiSiteS1_BMultiSiteB2_390cca9a_deeda617">#REF!</definedName>
    <definedName name="_vena_DYNR_SMultiSiteS1_BMultiSiteB2_390cca9a_dfb7bc19">#REF!</definedName>
    <definedName name="_vena_DYNR_SMultiSiteS1_BMultiSiteB2_390cca9a_dff9a975">#REF!</definedName>
    <definedName name="_vena_DYNR_SMultiSiteS1_BMultiSiteB2_390cca9a_ea00571">#REF!</definedName>
    <definedName name="_vena_DYNR_SMultiSiteS1_BMultiSiteB2_390cca9a_ec2fc257">#REF!</definedName>
    <definedName name="_vena_DYNR_SMultiSiteS1_BMultiSiteB2_390cca9a_f254c467">#REF!</definedName>
    <definedName name="_vena_DYNR_SMultiSiteS1_BMultiSiteB2_390cca9a_f40ab05b">#REF!</definedName>
    <definedName name="_vena_DYNR_SMultiSiteS1_BMultiSiteB2_390cca9a_f596c415">#REF!</definedName>
    <definedName name="_vena_DYNR_SMultiSiteS1_BMultiSiteB2_390cca9a_f74063ce">#REF!</definedName>
    <definedName name="_vena_DYNR_SMultiSiteS1_BMultiSiteB2_390cca9a_fedb02a7">#REF!</definedName>
    <definedName name="_vena_DYNR_SMultiSiteS1_BMultiSiteB2_39e5a299">#REF!</definedName>
    <definedName name="_vena_DYNR_SMultiSiteS1_BMultiSiteB2_39e5a299_1e0e95d">#REF!</definedName>
    <definedName name="_vena_DYNR_SMultiSiteS1_BMultiSiteB2_39e5a299_20830836">#REF!</definedName>
    <definedName name="_vena_DYNR_SMultiSiteS1_BMultiSiteB2_39e5a299_2d76b00b">#REF!</definedName>
    <definedName name="_vena_DYNR_SMultiSiteS1_BMultiSiteB2_39e5a299_33614dcd">#REF!</definedName>
    <definedName name="_vena_DYNR_SMultiSiteS1_BMultiSiteB2_39e5a299_3a8ae96d">#REF!</definedName>
    <definedName name="_vena_DYNR_SMultiSiteS1_BMultiSiteB2_39e5a299_4a0476dd">#REF!</definedName>
    <definedName name="_vena_DYNR_SMultiSiteS1_BMultiSiteB2_39e5a299_4adb61c7">#REF!</definedName>
    <definedName name="_vena_DYNR_SMultiSiteS1_BMultiSiteB2_39e5a299_4c473250">#REF!</definedName>
    <definedName name="_vena_DYNR_SMultiSiteS1_BMultiSiteB2_39e5a299_4f491806">#REF!</definedName>
    <definedName name="_vena_DYNR_SMultiSiteS1_BMultiSiteB2_39e5a299_534793d3">#REF!</definedName>
    <definedName name="_vena_DYNR_SMultiSiteS1_BMultiSiteB2_39e5a299_55e1c3a0">#REF!</definedName>
    <definedName name="_vena_DYNR_SMultiSiteS1_BMultiSiteB2_39e5a299_55ea4614">#REF!</definedName>
    <definedName name="_vena_DYNR_SMultiSiteS1_BMultiSiteB2_39e5a299_61d99dae">#REF!</definedName>
    <definedName name="_vena_DYNR_SMultiSiteS1_BMultiSiteB2_39e5a299_66cb8c4e">#REF!</definedName>
    <definedName name="_vena_DYNR_SMultiSiteS1_BMultiSiteB2_39e5a299_6990a6e1">#REF!</definedName>
    <definedName name="_vena_DYNR_SMultiSiteS1_BMultiSiteB2_39e5a299_72d1e212">#REF!</definedName>
    <definedName name="_vena_DYNR_SMultiSiteS1_BMultiSiteB2_39e5a299_7a75d33f">#REF!</definedName>
    <definedName name="_vena_DYNR_SMultiSiteS1_BMultiSiteB2_39e5a299_81a85e41">#REF!</definedName>
    <definedName name="_vena_DYNR_SMultiSiteS1_BMultiSiteB2_39e5a299_83732b56">#REF!</definedName>
    <definedName name="_vena_DYNR_SMultiSiteS1_BMultiSiteB2_39e5a299_8736f266">#REF!</definedName>
    <definedName name="_vena_DYNR_SMultiSiteS1_BMultiSiteB2_39e5a299_8b414d90">#REF!</definedName>
    <definedName name="_vena_DYNR_SMultiSiteS1_BMultiSiteB2_39e5a299_96ec4120">#REF!</definedName>
    <definedName name="_vena_DYNR_SMultiSiteS1_BMultiSiteB2_39e5a299_990b5848">#REF!</definedName>
    <definedName name="_vena_DYNR_SMultiSiteS1_BMultiSiteB2_39e5a299_9ea2745a">#REF!</definedName>
    <definedName name="_vena_DYNR_SMultiSiteS1_BMultiSiteB2_39e5a299_a142036f">#REF!</definedName>
    <definedName name="_vena_DYNR_SMultiSiteS1_BMultiSiteB2_39e5a299_a72f5ce0">#REF!</definedName>
    <definedName name="_vena_DYNR_SMultiSiteS1_BMultiSiteB2_39e5a299_a8bc54c8">#REF!</definedName>
    <definedName name="_vena_DYNR_SMultiSiteS1_BMultiSiteB2_39e5a299_c6e7756a">#REF!</definedName>
    <definedName name="_vena_DYNR_SMultiSiteS1_BMultiSiteB2_39e5a299_cc031c76">#REF!</definedName>
    <definedName name="_vena_DYNR_SMultiSiteS1_BMultiSiteB2_39e5a299_d4f9229c">#REF!</definedName>
    <definedName name="_vena_DYNR_SMultiSiteS1_BMultiSiteB2_39e5a299_d541396b">#REF!</definedName>
    <definedName name="_vena_DYNR_SMultiSiteS1_BMultiSiteB2_39e5a299_d7a38c6">#REF!</definedName>
    <definedName name="_vena_DYNR_SMultiSiteS1_BMultiSiteB2_39e5a299_db9724ad">#REF!</definedName>
    <definedName name="_vena_DYNR_SMultiSiteS1_BMultiSiteB2_39e5a299_e6e0f641">#REF!</definedName>
    <definedName name="_vena_DYNR_SMultiSiteS1_BMultiSiteB2_39e5a299_fd731805">#REF!</definedName>
    <definedName name="_vena_DYNR_SMultiSiteS1_BMultiSiteB2_39e5a299_ff4b7b19">#REF!</definedName>
    <definedName name="_vena_DYNR_SMultiSiteS1_BMultiSiteB2_3e960fcc" localSheetId="4">#REF!</definedName>
    <definedName name="_vena_DYNR_SMultiSiteS1_BMultiSiteB2_3e960fcc" localSheetId="5">#REF!</definedName>
    <definedName name="_vena_DYNR_SMultiSiteS1_BMultiSiteB2_3e960fcc" localSheetId="8">'[1]FY26 MYP-Multisite'!#REF!</definedName>
    <definedName name="_vena_DYNR_SMultiSiteS1_BMultiSiteB2_3e960fcc" localSheetId="3">#REF!</definedName>
    <definedName name="_vena_DYNR_SMultiSiteS1_BMultiSiteB2_3e960fcc">#REF!</definedName>
    <definedName name="_vena_DYNR_SMultiSiteS1_BMultiSiteB2_3e960fcc_1cbfc9ab" localSheetId="4">#REF!</definedName>
    <definedName name="_vena_DYNR_SMultiSiteS1_BMultiSiteB2_3e960fcc_1cbfc9ab" localSheetId="5">#REF!</definedName>
    <definedName name="_vena_DYNR_SMultiSiteS1_BMultiSiteB2_3e960fcc_1cbfc9ab" localSheetId="8">'[1]FY26 MYP-Multisite'!#REF!</definedName>
    <definedName name="_vena_DYNR_SMultiSiteS1_BMultiSiteB2_3e960fcc_1cbfc9ab" localSheetId="3">#REF!</definedName>
    <definedName name="_vena_DYNR_SMultiSiteS1_BMultiSiteB2_3e960fcc_1cbfc9ab">#REF!</definedName>
    <definedName name="_vena_DYNR_SMultiSiteS1_BMultiSiteB2_3e960fcc_2078e1b8" localSheetId="4">#REF!</definedName>
    <definedName name="_vena_DYNR_SMultiSiteS1_BMultiSiteB2_3e960fcc_2078e1b8" localSheetId="5">#REF!</definedName>
    <definedName name="_vena_DYNR_SMultiSiteS1_BMultiSiteB2_3e960fcc_2078e1b8" localSheetId="8">'[1]FY26 MYP-Multisite'!#REF!</definedName>
    <definedName name="_vena_DYNR_SMultiSiteS1_BMultiSiteB2_3e960fcc_2078e1b8" localSheetId="3">#REF!</definedName>
    <definedName name="_vena_DYNR_SMultiSiteS1_BMultiSiteB2_3e960fcc_2078e1b8">#REF!</definedName>
    <definedName name="_vena_DYNR_SMultiSiteS1_BMultiSiteB2_3e960fcc_250269ab" localSheetId="4">#REF!</definedName>
    <definedName name="_vena_DYNR_SMultiSiteS1_BMultiSiteB2_3e960fcc_250269ab" localSheetId="5">#REF!</definedName>
    <definedName name="_vena_DYNR_SMultiSiteS1_BMultiSiteB2_3e960fcc_250269ab" localSheetId="8">'[1]FY26 MYP-Multisite'!#REF!</definedName>
    <definedName name="_vena_DYNR_SMultiSiteS1_BMultiSiteB2_3e960fcc_250269ab" localSheetId="3">#REF!</definedName>
    <definedName name="_vena_DYNR_SMultiSiteS1_BMultiSiteB2_3e960fcc_250269ab">#REF!</definedName>
    <definedName name="_vena_DYNR_SMultiSiteS1_BMultiSiteB2_3e960fcc_255b6f4" localSheetId="4">#REF!</definedName>
    <definedName name="_vena_DYNR_SMultiSiteS1_BMultiSiteB2_3e960fcc_255b6f4" localSheetId="5">#REF!</definedName>
    <definedName name="_vena_DYNR_SMultiSiteS1_BMultiSiteB2_3e960fcc_255b6f4" localSheetId="8">'[1]FY26 MYP-Multisite'!#REF!</definedName>
    <definedName name="_vena_DYNR_SMultiSiteS1_BMultiSiteB2_3e960fcc_255b6f4" localSheetId="3">#REF!</definedName>
    <definedName name="_vena_DYNR_SMultiSiteS1_BMultiSiteB2_3e960fcc_255b6f4">#REF!</definedName>
    <definedName name="_vena_DYNR_SMultiSiteS1_BMultiSiteB2_3e960fcc_2f5750f" localSheetId="4">#REF!</definedName>
    <definedName name="_vena_DYNR_SMultiSiteS1_BMultiSiteB2_3e960fcc_2f5750f" localSheetId="5">#REF!</definedName>
    <definedName name="_vena_DYNR_SMultiSiteS1_BMultiSiteB2_3e960fcc_2f5750f" localSheetId="8">'[1]FY26 MYP-Multisite'!#REF!</definedName>
    <definedName name="_vena_DYNR_SMultiSiteS1_BMultiSiteB2_3e960fcc_2f5750f" localSheetId="3">#REF!</definedName>
    <definedName name="_vena_DYNR_SMultiSiteS1_BMultiSiteB2_3e960fcc_2f5750f">#REF!</definedName>
    <definedName name="_vena_DYNR_SMultiSiteS1_BMultiSiteB2_3e960fcc_3e434297" localSheetId="4">#REF!</definedName>
    <definedName name="_vena_DYNR_SMultiSiteS1_BMultiSiteB2_3e960fcc_3e434297" localSheetId="5">#REF!</definedName>
    <definedName name="_vena_DYNR_SMultiSiteS1_BMultiSiteB2_3e960fcc_3e434297" localSheetId="8">'[1]FY26 MYP-Multisite'!#REF!</definedName>
    <definedName name="_vena_DYNR_SMultiSiteS1_BMultiSiteB2_3e960fcc_3e434297" localSheetId="3">#REF!</definedName>
    <definedName name="_vena_DYNR_SMultiSiteS1_BMultiSiteB2_3e960fcc_3e434297">#REF!</definedName>
    <definedName name="_vena_DYNR_SMultiSiteS1_BMultiSiteB2_3e960fcc_48b6ee3c" localSheetId="4">#REF!</definedName>
    <definedName name="_vena_DYNR_SMultiSiteS1_BMultiSiteB2_3e960fcc_48b6ee3c" localSheetId="5">#REF!</definedName>
    <definedName name="_vena_DYNR_SMultiSiteS1_BMultiSiteB2_3e960fcc_48b6ee3c" localSheetId="8">'[1]FY26 MYP-Multisite'!#REF!</definedName>
    <definedName name="_vena_DYNR_SMultiSiteS1_BMultiSiteB2_3e960fcc_48b6ee3c" localSheetId="3">#REF!</definedName>
    <definedName name="_vena_DYNR_SMultiSiteS1_BMultiSiteB2_3e960fcc_48b6ee3c">#REF!</definedName>
    <definedName name="_vena_DYNR_SMultiSiteS1_BMultiSiteB2_3e960fcc_4e9acb75" localSheetId="4">#REF!</definedName>
    <definedName name="_vena_DYNR_SMultiSiteS1_BMultiSiteB2_3e960fcc_4e9acb75" localSheetId="5">#REF!</definedName>
    <definedName name="_vena_DYNR_SMultiSiteS1_BMultiSiteB2_3e960fcc_4e9acb75" localSheetId="8">'[1]FY26 MYP-Multisite'!#REF!</definedName>
    <definedName name="_vena_DYNR_SMultiSiteS1_BMultiSiteB2_3e960fcc_4e9acb75" localSheetId="3">#REF!</definedName>
    <definedName name="_vena_DYNR_SMultiSiteS1_BMultiSiteB2_3e960fcc_4e9acb75">#REF!</definedName>
    <definedName name="_vena_DYNR_SMultiSiteS1_BMultiSiteB2_3e960fcc_517aacf6" localSheetId="4">#REF!</definedName>
    <definedName name="_vena_DYNR_SMultiSiteS1_BMultiSiteB2_3e960fcc_517aacf6" localSheetId="5">#REF!</definedName>
    <definedName name="_vena_DYNR_SMultiSiteS1_BMultiSiteB2_3e960fcc_517aacf6" localSheetId="8">'[1]FY26 MYP-Multisite'!#REF!</definedName>
    <definedName name="_vena_DYNR_SMultiSiteS1_BMultiSiteB2_3e960fcc_517aacf6" localSheetId="3">#REF!</definedName>
    <definedName name="_vena_DYNR_SMultiSiteS1_BMultiSiteB2_3e960fcc_517aacf6">#REF!</definedName>
    <definedName name="_vena_DYNR_SMultiSiteS1_BMultiSiteB2_3e960fcc_56ec8a4a" localSheetId="4">#REF!</definedName>
    <definedName name="_vena_DYNR_SMultiSiteS1_BMultiSiteB2_3e960fcc_56ec8a4a" localSheetId="5">#REF!</definedName>
    <definedName name="_vena_DYNR_SMultiSiteS1_BMultiSiteB2_3e960fcc_56ec8a4a" localSheetId="8">'[1]FY26 MYP-Multisite'!#REF!</definedName>
    <definedName name="_vena_DYNR_SMultiSiteS1_BMultiSiteB2_3e960fcc_56ec8a4a" localSheetId="3">#REF!</definedName>
    <definedName name="_vena_DYNR_SMultiSiteS1_BMultiSiteB2_3e960fcc_56ec8a4a">#REF!</definedName>
    <definedName name="_vena_DYNR_SMultiSiteS1_BMultiSiteB2_3e960fcc_58d087ae" localSheetId="4">#REF!</definedName>
    <definedName name="_vena_DYNR_SMultiSiteS1_BMultiSiteB2_3e960fcc_58d087ae" localSheetId="5">#REF!</definedName>
    <definedName name="_vena_DYNR_SMultiSiteS1_BMultiSiteB2_3e960fcc_58d087ae" localSheetId="8">'[1]FY26 MYP-Multisite'!#REF!</definedName>
    <definedName name="_vena_DYNR_SMultiSiteS1_BMultiSiteB2_3e960fcc_58d087ae" localSheetId="3">#REF!</definedName>
    <definedName name="_vena_DYNR_SMultiSiteS1_BMultiSiteB2_3e960fcc_58d087ae">#REF!</definedName>
    <definedName name="_vena_DYNR_SMultiSiteS1_BMultiSiteB2_3e960fcc_5fc119ab" localSheetId="4">#REF!</definedName>
    <definedName name="_vena_DYNR_SMultiSiteS1_BMultiSiteB2_3e960fcc_5fc119ab" localSheetId="5">#REF!</definedName>
    <definedName name="_vena_DYNR_SMultiSiteS1_BMultiSiteB2_3e960fcc_5fc119ab" localSheetId="8">'[1]FY26 MYP-Multisite'!#REF!</definedName>
    <definedName name="_vena_DYNR_SMultiSiteS1_BMultiSiteB2_3e960fcc_5fc119ab" localSheetId="3">#REF!</definedName>
    <definedName name="_vena_DYNR_SMultiSiteS1_BMultiSiteB2_3e960fcc_5fc119ab">#REF!</definedName>
    <definedName name="_vena_DYNR_SMultiSiteS1_BMultiSiteB2_3e960fcc_63091c07" localSheetId="4">#REF!</definedName>
    <definedName name="_vena_DYNR_SMultiSiteS1_BMultiSiteB2_3e960fcc_63091c07" localSheetId="5">#REF!</definedName>
    <definedName name="_vena_DYNR_SMultiSiteS1_BMultiSiteB2_3e960fcc_63091c07" localSheetId="8">'[1]FY26 MYP-Multisite'!#REF!</definedName>
    <definedName name="_vena_DYNR_SMultiSiteS1_BMultiSiteB2_3e960fcc_63091c07" localSheetId="3">#REF!</definedName>
    <definedName name="_vena_DYNR_SMultiSiteS1_BMultiSiteB2_3e960fcc_63091c07">#REF!</definedName>
    <definedName name="_vena_DYNR_SMultiSiteS1_BMultiSiteB2_3e960fcc_6586e2e8" localSheetId="4">#REF!</definedName>
    <definedName name="_vena_DYNR_SMultiSiteS1_BMultiSiteB2_3e960fcc_6586e2e8" localSheetId="5">#REF!</definedName>
    <definedName name="_vena_DYNR_SMultiSiteS1_BMultiSiteB2_3e960fcc_6586e2e8" localSheetId="8">'[1]FY26 MYP-Multisite'!#REF!</definedName>
    <definedName name="_vena_DYNR_SMultiSiteS1_BMultiSiteB2_3e960fcc_6586e2e8" localSheetId="3">#REF!</definedName>
    <definedName name="_vena_DYNR_SMultiSiteS1_BMultiSiteB2_3e960fcc_6586e2e8">#REF!</definedName>
    <definedName name="_vena_DYNR_SMultiSiteS1_BMultiSiteB2_3e960fcc_6a598516" localSheetId="4">#REF!</definedName>
    <definedName name="_vena_DYNR_SMultiSiteS1_BMultiSiteB2_3e960fcc_6a598516" localSheetId="5">#REF!</definedName>
    <definedName name="_vena_DYNR_SMultiSiteS1_BMultiSiteB2_3e960fcc_6a598516" localSheetId="8">'[1]FY26 MYP-Multisite'!#REF!</definedName>
    <definedName name="_vena_DYNR_SMultiSiteS1_BMultiSiteB2_3e960fcc_6a598516" localSheetId="3">#REF!</definedName>
    <definedName name="_vena_DYNR_SMultiSiteS1_BMultiSiteB2_3e960fcc_6a598516">#REF!</definedName>
    <definedName name="_vena_DYNR_SMultiSiteS1_BMultiSiteB2_3e960fcc_6c32e5d3" localSheetId="4">#REF!</definedName>
    <definedName name="_vena_DYNR_SMultiSiteS1_BMultiSiteB2_3e960fcc_6c32e5d3" localSheetId="5">#REF!</definedName>
    <definedName name="_vena_DYNR_SMultiSiteS1_BMultiSiteB2_3e960fcc_6c32e5d3" localSheetId="8">'[1]FY26 MYP-Multisite'!#REF!</definedName>
    <definedName name="_vena_DYNR_SMultiSiteS1_BMultiSiteB2_3e960fcc_6c32e5d3" localSheetId="3">#REF!</definedName>
    <definedName name="_vena_DYNR_SMultiSiteS1_BMultiSiteB2_3e960fcc_6c32e5d3">#REF!</definedName>
    <definedName name="_vena_DYNR_SMultiSiteS1_BMultiSiteB2_3e960fcc_6c362fac" localSheetId="4">#REF!</definedName>
    <definedName name="_vena_DYNR_SMultiSiteS1_BMultiSiteB2_3e960fcc_6c362fac" localSheetId="5">#REF!</definedName>
    <definedName name="_vena_DYNR_SMultiSiteS1_BMultiSiteB2_3e960fcc_6c362fac" localSheetId="8">'[1]FY26 MYP-Multisite'!#REF!</definedName>
    <definedName name="_vena_DYNR_SMultiSiteS1_BMultiSiteB2_3e960fcc_6c362fac" localSheetId="3">#REF!</definedName>
    <definedName name="_vena_DYNR_SMultiSiteS1_BMultiSiteB2_3e960fcc_6c362fac">#REF!</definedName>
    <definedName name="_vena_DYNR_SMultiSiteS1_BMultiSiteB2_3e960fcc_6e08d668" localSheetId="4">#REF!</definedName>
    <definedName name="_vena_DYNR_SMultiSiteS1_BMultiSiteB2_3e960fcc_6e08d668" localSheetId="5">#REF!</definedName>
    <definedName name="_vena_DYNR_SMultiSiteS1_BMultiSiteB2_3e960fcc_6e08d668" localSheetId="8">'[1]FY26 MYP-Multisite'!#REF!</definedName>
    <definedName name="_vena_DYNR_SMultiSiteS1_BMultiSiteB2_3e960fcc_6e08d668" localSheetId="3">#REF!</definedName>
    <definedName name="_vena_DYNR_SMultiSiteS1_BMultiSiteB2_3e960fcc_6e08d668">#REF!</definedName>
    <definedName name="_vena_DYNR_SMultiSiteS1_BMultiSiteB2_3e960fcc_6ecb996e" localSheetId="4">#REF!</definedName>
    <definedName name="_vena_DYNR_SMultiSiteS1_BMultiSiteB2_3e960fcc_6ecb996e" localSheetId="5">#REF!</definedName>
    <definedName name="_vena_DYNR_SMultiSiteS1_BMultiSiteB2_3e960fcc_6ecb996e" localSheetId="8">'[1]FY26 MYP-Multisite'!#REF!</definedName>
    <definedName name="_vena_DYNR_SMultiSiteS1_BMultiSiteB2_3e960fcc_6ecb996e" localSheetId="3">#REF!</definedName>
    <definedName name="_vena_DYNR_SMultiSiteS1_BMultiSiteB2_3e960fcc_6ecb996e">#REF!</definedName>
    <definedName name="_vena_DYNR_SMultiSiteS1_BMultiSiteB2_3e960fcc_7182f247" localSheetId="4">#REF!</definedName>
    <definedName name="_vena_DYNR_SMultiSiteS1_BMultiSiteB2_3e960fcc_7182f247" localSheetId="5">#REF!</definedName>
    <definedName name="_vena_DYNR_SMultiSiteS1_BMultiSiteB2_3e960fcc_7182f247" localSheetId="8">'[1]FY26 MYP-Multisite'!#REF!</definedName>
    <definedName name="_vena_DYNR_SMultiSiteS1_BMultiSiteB2_3e960fcc_7182f247" localSheetId="3">#REF!</definedName>
    <definedName name="_vena_DYNR_SMultiSiteS1_BMultiSiteB2_3e960fcc_7182f247">#REF!</definedName>
    <definedName name="_vena_DYNR_SMultiSiteS1_BMultiSiteB2_3e960fcc_720c0d6a" localSheetId="4">#REF!</definedName>
    <definedName name="_vena_DYNR_SMultiSiteS1_BMultiSiteB2_3e960fcc_720c0d6a" localSheetId="5">#REF!</definedName>
    <definedName name="_vena_DYNR_SMultiSiteS1_BMultiSiteB2_3e960fcc_720c0d6a" localSheetId="8">'[1]FY26 MYP-Multisite'!#REF!</definedName>
    <definedName name="_vena_DYNR_SMultiSiteS1_BMultiSiteB2_3e960fcc_720c0d6a" localSheetId="3">#REF!</definedName>
    <definedName name="_vena_DYNR_SMultiSiteS1_BMultiSiteB2_3e960fcc_720c0d6a">#REF!</definedName>
    <definedName name="_vena_DYNR_SMultiSiteS1_BMultiSiteB2_3e960fcc_7c9a4380" localSheetId="4">#REF!</definedName>
    <definedName name="_vena_DYNR_SMultiSiteS1_BMultiSiteB2_3e960fcc_7c9a4380" localSheetId="5">#REF!</definedName>
    <definedName name="_vena_DYNR_SMultiSiteS1_BMultiSiteB2_3e960fcc_7c9a4380" localSheetId="8">'[1]FY26 MYP-Multisite'!#REF!</definedName>
    <definedName name="_vena_DYNR_SMultiSiteS1_BMultiSiteB2_3e960fcc_7c9a4380" localSheetId="3">#REF!</definedName>
    <definedName name="_vena_DYNR_SMultiSiteS1_BMultiSiteB2_3e960fcc_7c9a4380">#REF!</definedName>
    <definedName name="_vena_DYNR_SMultiSiteS1_BMultiSiteB2_3e960fcc_7f53fbc8" localSheetId="4">#REF!</definedName>
    <definedName name="_vena_DYNR_SMultiSiteS1_BMultiSiteB2_3e960fcc_7f53fbc8" localSheetId="5">#REF!</definedName>
    <definedName name="_vena_DYNR_SMultiSiteS1_BMultiSiteB2_3e960fcc_7f53fbc8" localSheetId="8">'[1]FY26 MYP-Multisite'!#REF!</definedName>
    <definedName name="_vena_DYNR_SMultiSiteS1_BMultiSiteB2_3e960fcc_7f53fbc8" localSheetId="3">#REF!</definedName>
    <definedName name="_vena_DYNR_SMultiSiteS1_BMultiSiteB2_3e960fcc_7f53fbc8">#REF!</definedName>
    <definedName name="_vena_DYNR_SMultiSiteS1_BMultiSiteB2_3e960fcc_825ecb11" localSheetId="4">#REF!</definedName>
    <definedName name="_vena_DYNR_SMultiSiteS1_BMultiSiteB2_3e960fcc_825ecb11" localSheetId="5">#REF!</definedName>
    <definedName name="_vena_DYNR_SMultiSiteS1_BMultiSiteB2_3e960fcc_825ecb11" localSheetId="8">'[1]FY26 MYP-Multisite'!#REF!</definedName>
    <definedName name="_vena_DYNR_SMultiSiteS1_BMultiSiteB2_3e960fcc_825ecb11" localSheetId="3">#REF!</definedName>
    <definedName name="_vena_DYNR_SMultiSiteS1_BMultiSiteB2_3e960fcc_825ecb11">#REF!</definedName>
    <definedName name="_vena_DYNR_SMultiSiteS1_BMultiSiteB2_3e960fcc_8442b5de" localSheetId="4">#REF!</definedName>
    <definedName name="_vena_DYNR_SMultiSiteS1_BMultiSiteB2_3e960fcc_8442b5de" localSheetId="5">#REF!</definedName>
    <definedName name="_vena_DYNR_SMultiSiteS1_BMultiSiteB2_3e960fcc_8442b5de" localSheetId="8">'[1]FY26 MYP-Multisite'!#REF!</definedName>
    <definedName name="_vena_DYNR_SMultiSiteS1_BMultiSiteB2_3e960fcc_8442b5de" localSheetId="3">#REF!</definedName>
    <definedName name="_vena_DYNR_SMultiSiteS1_BMultiSiteB2_3e960fcc_8442b5de">#REF!</definedName>
    <definedName name="_vena_DYNR_SMultiSiteS1_BMultiSiteB2_3e960fcc_846e7686" localSheetId="4">#REF!</definedName>
    <definedName name="_vena_DYNR_SMultiSiteS1_BMultiSiteB2_3e960fcc_846e7686" localSheetId="5">#REF!</definedName>
    <definedName name="_vena_DYNR_SMultiSiteS1_BMultiSiteB2_3e960fcc_846e7686" localSheetId="8">'[1]FY26 MYP-Multisite'!#REF!</definedName>
    <definedName name="_vena_DYNR_SMultiSiteS1_BMultiSiteB2_3e960fcc_846e7686" localSheetId="3">#REF!</definedName>
    <definedName name="_vena_DYNR_SMultiSiteS1_BMultiSiteB2_3e960fcc_846e7686">#REF!</definedName>
    <definedName name="_vena_DYNR_SMultiSiteS1_BMultiSiteB2_3e960fcc_85105099" localSheetId="4">#REF!</definedName>
    <definedName name="_vena_DYNR_SMultiSiteS1_BMultiSiteB2_3e960fcc_85105099" localSheetId="5">#REF!</definedName>
    <definedName name="_vena_DYNR_SMultiSiteS1_BMultiSiteB2_3e960fcc_85105099" localSheetId="8">'[1]FY26 MYP-Multisite'!#REF!</definedName>
    <definedName name="_vena_DYNR_SMultiSiteS1_BMultiSiteB2_3e960fcc_85105099" localSheetId="3">#REF!</definedName>
    <definedName name="_vena_DYNR_SMultiSiteS1_BMultiSiteB2_3e960fcc_85105099">#REF!</definedName>
    <definedName name="_vena_DYNR_SMultiSiteS1_BMultiSiteB2_3e960fcc_87acc249" localSheetId="4">#REF!</definedName>
    <definedName name="_vena_DYNR_SMultiSiteS1_BMultiSiteB2_3e960fcc_87acc249" localSheetId="5">#REF!</definedName>
    <definedName name="_vena_DYNR_SMultiSiteS1_BMultiSiteB2_3e960fcc_87acc249" localSheetId="8">'[1]FY26 MYP-Multisite'!#REF!</definedName>
    <definedName name="_vena_DYNR_SMultiSiteS1_BMultiSiteB2_3e960fcc_87acc249" localSheetId="3">#REF!</definedName>
    <definedName name="_vena_DYNR_SMultiSiteS1_BMultiSiteB2_3e960fcc_87acc249">#REF!</definedName>
    <definedName name="_vena_DYNR_SMultiSiteS1_BMultiSiteB2_3e960fcc_901a7a89" localSheetId="4">#REF!</definedName>
    <definedName name="_vena_DYNR_SMultiSiteS1_BMultiSiteB2_3e960fcc_901a7a89" localSheetId="5">#REF!</definedName>
    <definedName name="_vena_DYNR_SMultiSiteS1_BMultiSiteB2_3e960fcc_901a7a89" localSheetId="8">'[1]FY26 MYP-Multisite'!#REF!</definedName>
    <definedName name="_vena_DYNR_SMultiSiteS1_BMultiSiteB2_3e960fcc_901a7a89" localSheetId="3">#REF!</definedName>
    <definedName name="_vena_DYNR_SMultiSiteS1_BMultiSiteB2_3e960fcc_901a7a89">#REF!</definedName>
    <definedName name="_vena_DYNR_SMultiSiteS1_BMultiSiteB2_3e960fcc_957be62b" localSheetId="4">#REF!</definedName>
    <definedName name="_vena_DYNR_SMultiSiteS1_BMultiSiteB2_3e960fcc_957be62b" localSheetId="5">#REF!</definedName>
    <definedName name="_vena_DYNR_SMultiSiteS1_BMultiSiteB2_3e960fcc_957be62b" localSheetId="8">'[1]FY26 MYP-Multisite'!#REF!</definedName>
    <definedName name="_vena_DYNR_SMultiSiteS1_BMultiSiteB2_3e960fcc_957be62b" localSheetId="3">#REF!</definedName>
    <definedName name="_vena_DYNR_SMultiSiteS1_BMultiSiteB2_3e960fcc_957be62b">#REF!</definedName>
    <definedName name="_vena_DYNR_SMultiSiteS1_BMultiSiteB2_3e960fcc_96dc18f3" localSheetId="4">#REF!</definedName>
    <definedName name="_vena_DYNR_SMultiSiteS1_BMultiSiteB2_3e960fcc_96dc18f3" localSheetId="5">#REF!</definedName>
    <definedName name="_vena_DYNR_SMultiSiteS1_BMultiSiteB2_3e960fcc_96dc18f3" localSheetId="8">'[1]FY26 MYP-Multisite'!#REF!</definedName>
    <definedName name="_vena_DYNR_SMultiSiteS1_BMultiSiteB2_3e960fcc_96dc18f3" localSheetId="3">#REF!</definedName>
    <definedName name="_vena_DYNR_SMultiSiteS1_BMultiSiteB2_3e960fcc_96dc18f3">#REF!</definedName>
    <definedName name="_vena_DYNR_SMultiSiteS1_BMultiSiteB2_3e960fcc_aa72c6e4" localSheetId="4">#REF!</definedName>
    <definedName name="_vena_DYNR_SMultiSiteS1_BMultiSiteB2_3e960fcc_aa72c6e4" localSheetId="5">#REF!</definedName>
    <definedName name="_vena_DYNR_SMultiSiteS1_BMultiSiteB2_3e960fcc_aa72c6e4" localSheetId="8">'[1]FY26 MYP-Multisite'!#REF!</definedName>
    <definedName name="_vena_DYNR_SMultiSiteS1_BMultiSiteB2_3e960fcc_aa72c6e4" localSheetId="3">#REF!</definedName>
    <definedName name="_vena_DYNR_SMultiSiteS1_BMultiSiteB2_3e960fcc_aa72c6e4">#REF!</definedName>
    <definedName name="_vena_DYNR_SMultiSiteS1_BMultiSiteB2_3e960fcc_b384a23a" localSheetId="4">#REF!</definedName>
    <definedName name="_vena_DYNR_SMultiSiteS1_BMultiSiteB2_3e960fcc_b384a23a" localSheetId="5">#REF!</definedName>
    <definedName name="_vena_DYNR_SMultiSiteS1_BMultiSiteB2_3e960fcc_b384a23a" localSheetId="8">'[1]FY26 MYP-Multisite'!#REF!</definedName>
    <definedName name="_vena_DYNR_SMultiSiteS1_BMultiSiteB2_3e960fcc_b384a23a" localSheetId="3">#REF!</definedName>
    <definedName name="_vena_DYNR_SMultiSiteS1_BMultiSiteB2_3e960fcc_b384a23a">#REF!</definedName>
    <definedName name="_vena_DYNR_SMultiSiteS1_BMultiSiteB2_3e960fcc_bb6cdb96" localSheetId="4">#REF!</definedName>
    <definedName name="_vena_DYNR_SMultiSiteS1_BMultiSiteB2_3e960fcc_bb6cdb96" localSheetId="5">#REF!</definedName>
    <definedName name="_vena_DYNR_SMultiSiteS1_BMultiSiteB2_3e960fcc_bb6cdb96" localSheetId="8">'[1]FY26 MYP-Multisite'!#REF!</definedName>
    <definedName name="_vena_DYNR_SMultiSiteS1_BMultiSiteB2_3e960fcc_bb6cdb96" localSheetId="3">#REF!</definedName>
    <definedName name="_vena_DYNR_SMultiSiteS1_BMultiSiteB2_3e960fcc_bb6cdb96">#REF!</definedName>
    <definedName name="_vena_DYNR_SMultiSiteS1_BMultiSiteB2_3e960fcc_bcf02a7b" localSheetId="4">#REF!</definedName>
    <definedName name="_vena_DYNR_SMultiSiteS1_BMultiSiteB2_3e960fcc_bcf02a7b" localSheetId="5">#REF!</definedName>
    <definedName name="_vena_DYNR_SMultiSiteS1_BMultiSiteB2_3e960fcc_bcf02a7b" localSheetId="8">'[1]FY26 MYP-Multisite'!#REF!</definedName>
    <definedName name="_vena_DYNR_SMultiSiteS1_BMultiSiteB2_3e960fcc_bcf02a7b" localSheetId="3">#REF!</definedName>
    <definedName name="_vena_DYNR_SMultiSiteS1_BMultiSiteB2_3e960fcc_bcf02a7b">#REF!</definedName>
    <definedName name="_vena_DYNR_SMultiSiteS1_BMultiSiteB2_3e960fcc_c53ccd98" localSheetId="4">#REF!</definedName>
    <definedName name="_vena_DYNR_SMultiSiteS1_BMultiSiteB2_3e960fcc_c53ccd98" localSheetId="5">#REF!</definedName>
    <definedName name="_vena_DYNR_SMultiSiteS1_BMultiSiteB2_3e960fcc_c53ccd98" localSheetId="8">'[1]FY26 MYP-Multisite'!#REF!</definedName>
    <definedName name="_vena_DYNR_SMultiSiteS1_BMultiSiteB2_3e960fcc_c53ccd98" localSheetId="3">#REF!</definedName>
    <definedName name="_vena_DYNR_SMultiSiteS1_BMultiSiteB2_3e960fcc_c53ccd98">#REF!</definedName>
    <definedName name="_vena_DYNR_SMultiSiteS1_BMultiSiteB2_3e960fcc_c55688a7" localSheetId="4">#REF!</definedName>
    <definedName name="_vena_DYNR_SMultiSiteS1_BMultiSiteB2_3e960fcc_c55688a7" localSheetId="5">#REF!</definedName>
    <definedName name="_vena_DYNR_SMultiSiteS1_BMultiSiteB2_3e960fcc_c55688a7" localSheetId="8">'[1]FY26 MYP-Multisite'!#REF!</definedName>
    <definedName name="_vena_DYNR_SMultiSiteS1_BMultiSiteB2_3e960fcc_c55688a7" localSheetId="3">#REF!</definedName>
    <definedName name="_vena_DYNR_SMultiSiteS1_BMultiSiteB2_3e960fcc_c55688a7">#REF!</definedName>
    <definedName name="_vena_DYNR_SMultiSiteS1_BMultiSiteB2_3e960fcc_da29da8f" localSheetId="4">#REF!</definedName>
    <definedName name="_vena_DYNR_SMultiSiteS1_BMultiSiteB2_3e960fcc_da29da8f" localSheetId="5">#REF!</definedName>
    <definedName name="_vena_DYNR_SMultiSiteS1_BMultiSiteB2_3e960fcc_da29da8f" localSheetId="8">'[1]FY26 MYP-Multisite'!#REF!</definedName>
    <definedName name="_vena_DYNR_SMultiSiteS1_BMultiSiteB2_3e960fcc_da29da8f" localSheetId="3">#REF!</definedName>
    <definedName name="_vena_DYNR_SMultiSiteS1_BMultiSiteB2_3e960fcc_da29da8f">#REF!</definedName>
    <definedName name="_vena_DYNR_SMultiSiteS1_BMultiSiteB2_3e960fcc_dae90227" localSheetId="4">#REF!</definedName>
    <definedName name="_vena_DYNR_SMultiSiteS1_BMultiSiteB2_3e960fcc_dae90227" localSheetId="5">#REF!</definedName>
    <definedName name="_vena_DYNR_SMultiSiteS1_BMultiSiteB2_3e960fcc_dae90227" localSheetId="8">'[1]FY26 MYP-Multisite'!#REF!</definedName>
    <definedName name="_vena_DYNR_SMultiSiteS1_BMultiSiteB2_3e960fcc_dae90227" localSheetId="3">#REF!</definedName>
    <definedName name="_vena_DYNR_SMultiSiteS1_BMultiSiteB2_3e960fcc_dae90227">#REF!</definedName>
    <definedName name="_vena_DYNR_SMultiSiteS1_BMultiSiteB2_3e960fcc_dc4acfe9" localSheetId="4">#REF!</definedName>
    <definedName name="_vena_DYNR_SMultiSiteS1_BMultiSiteB2_3e960fcc_dc4acfe9" localSheetId="5">#REF!</definedName>
    <definedName name="_vena_DYNR_SMultiSiteS1_BMultiSiteB2_3e960fcc_dc4acfe9" localSheetId="8">'[1]FY26 MYP-Multisite'!#REF!</definedName>
    <definedName name="_vena_DYNR_SMultiSiteS1_BMultiSiteB2_3e960fcc_dc4acfe9" localSheetId="3">#REF!</definedName>
    <definedName name="_vena_DYNR_SMultiSiteS1_BMultiSiteB2_3e960fcc_dc4acfe9">#REF!</definedName>
    <definedName name="_vena_DYNR_SMultiSiteS1_BMultiSiteB2_3e960fcc_e6c2adfc" localSheetId="4">#REF!</definedName>
    <definedName name="_vena_DYNR_SMultiSiteS1_BMultiSiteB2_3e960fcc_e6c2adfc" localSheetId="5">#REF!</definedName>
    <definedName name="_vena_DYNR_SMultiSiteS1_BMultiSiteB2_3e960fcc_e6c2adfc" localSheetId="8">'[1]FY26 MYP-Multisite'!#REF!</definedName>
    <definedName name="_vena_DYNR_SMultiSiteS1_BMultiSiteB2_3e960fcc_e6c2adfc" localSheetId="3">#REF!</definedName>
    <definedName name="_vena_DYNR_SMultiSiteS1_BMultiSiteB2_3e960fcc_e6c2adfc">#REF!</definedName>
    <definedName name="_vena_DYNR_SMultiSiteS1_BMultiSiteB2_3e960fcc_e6ff61aa" localSheetId="4">#REF!</definedName>
    <definedName name="_vena_DYNR_SMultiSiteS1_BMultiSiteB2_3e960fcc_e6ff61aa" localSheetId="5">#REF!</definedName>
    <definedName name="_vena_DYNR_SMultiSiteS1_BMultiSiteB2_3e960fcc_e6ff61aa" localSheetId="8">'[1]FY26 MYP-Multisite'!#REF!</definedName>
    <definedName name="_vena_DYNR_SMultiSiteS1_BMultiSiteB2_3e960fcc_e6ff61aa" localSheetId="3">#REF!</definedName>
    <definedName name="_vena_DYNR_SMultiSiteS1_BMultiSiteB2_3e960fcc_e6ff61aa">#REF!</definedName>
    <definedName name="_vena_DYNR_SMultiSiteS1_BMultiSiteB2_3e960fcc_e7e4fad9" localSheetId="4">#REF!</definedName>
    <definedName name="_vena_DYNR_SMultiSiteS1_BMultiSiteB2_3e960fcc_e7e4fad9" localSheetId="5">#REF!</definedName>
    <definedName name="_vena_DYNR_SMultiSiteS1_BMultiSiteB2_3e960fcc_e7e4fad9" localSheetId="8">'[1]FY26 MYP-Multisite'!#REF!</definedName>
    <definedName name="_vena_DYNR_SMultiSiteS1_BMultiSiteB2_3e960fcc_e7e4fad9" localSheetId="3">#REF!</definedName>
    <definedName name="_vena_DYNR_SMultiSiteS1_BMultiSiteB2_3e960fcc_e7e4fad9">#REF!</definedName>
    <definedName name="_vena_DYNR_SMultiSiteS1_BMultiSiteB2_3e960fcc_e92bd7fb" localSheetId="4">#REF!</definedName>
    <definedName name="_vena_DYNR_SMultiSiteS1_BMultiSiteB2_3e960fcc_e92bd7fb" localSheetId="5">#REF!</definedName>
    <definedName name="_vena_DYNR_SMultiSiteS1_BMultiSiteB2_3e960fcc_e92bd7fb" localSheetId="8">'[1]FY26 MYP-Multisite'!#REF!</definedName>
    <definedName name="_vena_DYNR_SMultiSiteS1_BMultiSiteB2_3e960fcc_e92bd7fb" localSheetId="3">#REF!</definedName>
    <definedName name="_vena_DYNR_SMultiSiteS1_BMultiSiteB2_3e960fcc_e92bd7fb">#REF!</definedName>
    <definedName name="_vena_DYNR_SMultiSiteS1_BMultiSiteB2_3e960fcc_f66cc76b" localSheetId="4">#REF!</definedName>
    <definedName name="_vena_DYNR_SMultiSiteS1_BMultiSiteB2_3e960fcc_f66cc76b" localSheetId="5">#REF!</definedName>
    <definedName name="_vena_DYNR_SMultiSiteS1_BMultiSiteB2_3e960fcc_f66cc76b" localSheetId="8">'[1]FY26 MYP-Multisite'!#REF!</definedName>
    <definedName name="_vena_DYNR_SMultiSiteS1_BMultiSiteB2_3e960fcc_f66cc76b" localSheetId="3">#REF!</definedName>
    <definedName name="_vena_DYNR_SMultiSiteS1_BMultiSiteB2_3e960fcc_f66cc76b">#REF!</definedName>
    <definedName name="_vena_DYNR_SMultiSiteS1_BMultiSiteB2_3e960fcc_f733e267" localSheetId="4">#REF!</definedName>
    <definedName name="_vena_DYNR_SMultiSiteS1_BMultiSiteB2_3e960fcc_f733e267" localSheetId="5">#REF!</definedName>
    <definedName name="_vena_DYNR_SMultiSiteS1_BMultiSiteB2_3e960fcc_f733e267" localSheetId="8">'[1]FY26 MYP-Multisite'!#REF!</definedName>
    <definedName name="_vena_DYNR_SMultiSiteS1_BMultiSiteB2_3e960fcc_f733e267" localSheetId="3">#REF!</definedName>
    <definedName name="_vena_DYNR_SMultiSiteS1_BMultiSiteB2_3e960fcc_f733e267">#REF!</definedName>
    <definedName name="_vena_DYNR_SMultiSiteS1_BMultiSiteB2_3fd3652d">#REF!</definedName>
    <definedName name="_vena_DYNR_SMultiSiteS1_BMultiSiteB2_3fd3652d_1104766b">#REF!</definedName>
    <definedName name="_vena_DYNR_SMultiSiteS1_BMultiSiteB2_3fd3652d_163389ed">#REF!</definedName>
    <definedName name="_vena_DYNR_SMultiSiteS1_BMultiSiteB2_3fd3652d_18a59ea3">#REF!</definedName>
    <definedName name="_vena_DYNR_SMultiSiteS1_BMultiSiteB2_3fd3652d_190d37d7">#REF!</definedName>
    <definedName name="_vena_DYNR_SMultiSiteS1_BMultiSiteB2_3fd3652d_1ae60d37">#REF!</definedName>
    <definedName name="_vena_DYNR_SMultiSiteS1_BMultiSiteB2_3fd3652d_1b34fc2">#REF!</definedName>
    <definedName name="_vena_DYNR_SMultiSiteS1_BMultiSiteB2_3fd3652d_1b4bf244">#REF!</definedName>
    <definedName name="_vena_DYNR_SMultiSiteS1_BMultiSiteB2_3fd3652d_1cd25966">#REF!</definedName>
    <definedName name="_vena_DYNR_SMultiSiteS1_BMultiSiteB2_3fd3652d_1e4b00b0">#REF!</definedName>
    <definedName name="_vena_DYNR_SMultiSiteS1_BMultiSiteB2_3fd3652d_229db870">#REF!</definedName>
    <definedName name="_vena_DYNR_SMultiSiteS1_BMultiSiteB2_3fd3652d_2a4e8bb3">#REF!</definedName>
    <definedName name="_vena_DYNR_SMultiSiteS1_BMultiSiteB2_3fd3652d_3285e6b2">#REF!</definedName>
    <definedName name="_vena_DYNR_SMultiSiteS1_BMultiSiteB2_3fd3652d_3f60403">#REF!</definedName>
    <definedName name="_vena_DYNR_SMultiSiteS1_BMultiSiteB2_3fd3652d_49ead474">#REF!</definedName>
    <definedName name="_vena_DYNR_SMultiSiteS1_BMultiSiteB2_3fd3652d_58a76692">#REF!</definedName>
    <definedName name="_vena_DYNR_SMultiSiteS1_BMultiSiteB2_3fd3652d_5a102a6b">#REF!</definedName>
    <definedName name="_vena_DYNR_SMultiSiteS1_BMultiSiteB2_3fd3652d_70824374">#REF!</definedName>
    <definedName name="_vena_DYNR_SMultiSiteS1_BMultiSiteB2_3fd3652d_76d0aa4e">#REF!</definedName>
    <definedName name="_vena_DYNR_SMultiSiteS1_BMultiSiteB2_3fd3652d_774acd64">#REF!</definedName>
    <definedName name="_vena_DYNR_SMultiSiteS1_BMultiSiteB2_3fd3652d_7809954c">#REF!</definedName>
    <definedName name="_vena_DYNR_SMultiSiteS1_BMultiSiteB2_3fd3652d_7921a446">#REF!</definedName>
    <definedName name="_vena_DYNR_SMultiSiteS1_BMultiSiteB2_3fd3652d_7abd78c6">#REF!</definedName>
    <definedName name="_vena_DYNR_SMultiSiteS1_BMultiSiteB2_3fd3652d_80054526">#REF!</definedName>
    <definedName name="_vena_DYNR_SMultiSiteS1_BMultiSiteB2_3fd3652d_851af815">#REF!</definedName>
    <definedName name="_vena_DYNR_SMultiSiteS1_BMultiSiteB2_3fd3652d_8eae8ff8">#REF!</definedName>
    <definedName name="_vena_DYNR_SMultiSiteS1_BMultiSiteB2_3fd3652d_918ac72b">#REF!</definedName>
    <definedName name="_vena_DYNR_SMultiSiteS1_BMultiSiteB2_3fd3652d_933808f6">#REF!</definedName>
    <definedName name="_vena_DYNR_SMultiSiteS1_BMultiSiteB2_3fd3652d_942e6578">#REF!</definedName>
    <definedName name="_vena_DYNR_SMultiSiteS1_BMultiSiteB2_3fd3652d_9cd4054">#REF!</definedName>
    <definedName name="_vena_DYNR_SMultiSiteS1_BMultiSiteB2_3fd3652d_a597041e">#REF!</definedName>
    <definedName name="_vena_DYNR_SMultiSiteS1_BMultiSiteB2_3fd3652d_ab97c8de">#REF!</definedName>
    <definedName name="_vena_DYNR_SMultiSiteS1_BMultiSiteB2_3fd3652d_b1cfe4c8">#REF!</definedName>
    <definedName name="_vena_DYNR_SMultiSiteS1_BMultiSiteB2_3fd3652d_b4069c">#REF!</definedName>
    <definedName name="_vena_DYNR_SMultiSiteS1_BMultiSiteB2_3fd3652d_b88b8f3f">#REF!</definedName>
    <definedName name="_vena_DYNR_SMultiSiteS1_BMultiSiteB2_3fd3652d_b99f45e3">#REF!</definedName>
    <definedName name="_vena_DYNR_SMultiSiteS1_BMultiSiteB2_3fd3652d_bc6451cb">#REF!</definedName>
    <definedName name="_vena_DYNR_SMultiSiteS1_BMultiSiteB2_3fd3652d_bd6e0dc5">#REF!</definedName>
    <definedName name="_vena_DYNR_SMultiSiteS1_BMultiSiteB2_3fd3652d_c0bb477d">#REF!</definedName>
    <definedName name="_vena_DYNR_SMultiSiteS1_BMultiSiteB2_3fd3652d_c1a951dd">#REF!</definedName>
    <definedName name="_vena_DYNR_SMultiSiteS1_BMultiSiteB2_3fd3652d_c3969ff5">#REF!</definedName>
    <definedName name="_vena_DYNR_SMultiSiteS1_BMultiSiteB2_3fd3652d_c5a5884">#REF!</definedName>
    <definedName name="_vena_DYNR_SMultiSiteS1_BMultiSiteB2_3fd3652d_c62f75ca">#REF!</definedName>
    <definedName name="_vena_DYNR_SMultiSiteS1_BMultiSiteB2_3fd3652d_caf6f0ab">#REF!</definedName>
    <definedName name="_vena_DYNR_SMultiSiteS1_BMultiSiteB2_3fd3652d_cc53083d">#REF!</definedName>
    <definedName name="_vena_DYNR_SMultiSiteS1_BMultiSiteB2_3fd3652d_ce3c0edb">#REF!</definedName>
    <definedName name="_vena_DYNR_SMultiSiteS1_BMultiSiteB2_3fd3652d_d45f2228">#REF!</definedName>
    <definedName name="_vena_DYNR_SMultiSiteS1_BMultiSiteB2_3fd3652d_d4aa77eb">#REF!</definedName>
    <definedName name="_vena_DYNR_SMultiSiteS1_BMultiSiteB2_3fd3652d_d74c3d4c">#REF!</definedName>
    <definedName name="_vena_DYNR_SMultiSiteS1_BMultiSiteB2_3fd3652d_dbdaddd">#REF!</definedName>
    <definedName name="_vena_DYNR_SMultiSiteS1_BMultiSiteB2_3fd3652d_ebfa840f">#REF!</definedName>
    <definedName name="_vena_DYNR_SMultiSiteS1_BMultiSiteB2_3fd3652d_ed94933">#REF!</definedName>
    <definedName name="_vena_DYNR_SMultiSiteS1_BMultiSiteB2_3fd3652d_ee4b07e8">#REF!</definedName>
    <definedName name="_vena_DYNR_SMultiSiteS1_BMultiSiteB2_3fd3652d_f48c2d8f">#REF!</definedName>
    <definedName name="_vena_DYNR_SMultiSiteS1_BMultiSiteB2_3fd3652d_f9c5369a">#REF!</definedName>
    <definedName name="_vena_DYNR_SMultiSiteS1_BMultiSiteB2_3fe92125">#REF!</definedName>
    <definedName name="_vena_DYNR_SMultiSiteS1_BMultiSiteB2_3fe92125_16bb5b4f">#REF!</definedName>
    <definedName name="_vena_DYNR_SMultiSiteS1_BMultiSiteB2_3fe92125_1a6fa26">#REF!</definedName>
    <definedName name="_vena_DYNR_SMultiSiteS1_BMultiSiteB2_3fe92125_1ac5cb7">#REF!</definedName>
    <definedName name="_vena_DYNR_SMultiSiteS1_BMultiSiteB2_3fe92125_39a939cc">#REF!</definedName>
    <definedName name="_vena_DYNR_SMultiSiteS1_BMultiSiteB2_3fe92125_3a80bc38">#REF!</definedName>
    <definedName name="_vena_DYNR_SMultiSiteS1_BMultiSiteB2_3fe92125_3abb4c9d">#REF!</definedName>
    <definedName name="_vena_DYNR_SMultiSiteS1_BMultiSiteB2_3fe92125_41a690d9">#REF!</definedName>
    <definedName name="_vena_DYNR_SMultiSiteS1_BMultiSiteB2_3fe92125_4a561b23">#REF!</definedName>
    <definedName name="_vena_DYNR_SMultiSiteS1_BMultiSiteB2_3fe92125_6236f2fa">#REF!</definedName>
    <definedName name="_vena_DYNR_SMultiSiteS1_BMultiSiteB2_3fe92125_657faebf">#REF!</definedName>
    <definedName name="_vena_DYNR_SMultiSiteS1_BMultiSiteB2_3fe92125_7f52992c">#REF!</definedName>
    <definedName name="_vena_DYNR_SMultiSiteS1_BMultiSiteB2_3fe92125_89a99330">#REF!</definedName>
    <definedName name="_vena_DYNR_SMultiSiteS1_BMultiSiteB2_3fe92125_b40d6ff3">#REF!</definedName>
    <definedName name="_vena_DYNR_SMultiSiteS1_BMultiSiteB2_3fe92125_d6388aa4">#REF!</definedName>
    <definedName name="_vena_DYNR_SMultiSiteS1_BMultiSiteB2_3fe92125_fca49900">#REF!</definedName>
    <definedName name="_vena_DYNR_SMultiSiteS1_BMultiSiteB2_3fe92125_fec4d32a">#REF!</definedName>
    <definedName name="_vena_DYNR_SMultiSiteS1_BMultiSiteB2_42d588af">#REF!</definedName>
    <definedName name="_vena_DYNR_SMultiSiteS1_BMultiSiteB2_42d588af_2529b0ee">#REF!</definedName>
    <definedName name="_vena_DYNR_SMultiSiteS1_BMultiSiteB2_42d588af_2a4f540e">#REF!</definedName>
    <definedName name="_vena_DYNR_SMultiSiteS1_BMultiSiteB2_42d588af_2d47263a">#REF!</definedName>
    <definedName name="_vena_DYNR_SMultiSiteS1_BMultiSiteB2_42d588af_5a04d043">#REF!</definedName>
    <definedName name="_vena_DYNR_SMultiSiteS1_BMultiSiteB2_42d588af_5f9dd79c">#REF!</definedName>
    <definedName name="_vena_DYNR_SMultiSiteS1_BMultiSiteB2_42d588af_65867730">#REF!</definedName>
    <definedName name="_vena_DYNR_SMultiSiteS1_BMultiSiteB2_42d588af_7ca7cb4a">#REF!</definedName>
    <definedName name="_vena_DYNR_SMultiSiteS1_BMultiSiteB2_42d588af_7cbdb536">#REF!</definedName>
    <definedName name="_vena_DYNR_SMultiSiteS1_BMultiSiteB2_42d588af_94a37366">#REF!</definedName>
    <definedName name="_vena_DYNR_SMultiSiteS1_BMultiSiteB2_42d588af_a1fd66b1">#REF!</definedName>
    <definedName name="_vena_DYNR_SMultiSiteS1_BMultiSiteB2_42d588af_b1af6b74">#REF!</definedName>
    <definedName name="_vena_DYNR_SMultiSiteS1_BMultiSiteB2_42d588af_dd190d89">#REF!</definedName>
    <definedName name="_vena_DYNR_SMultiSiteS1_BMultiSiteB2_42d588af_eca0299">#REF!</definedName>
    <definedName name="_vena_DYNR_SMultiSiteS1_BMultiSiteB2_42d588af_f28fc3d4">#REF!</definedName>
    <definedName name="_vena_DYNR_SMultiSiteS1_BMultiSiteB2_42d588af_f8741138">#REF!</definedName>
    <definedName name="_vena_DYNR_SMultiSiteS1_BMultiSiteB2_432b6e0d">#REF!</definedName>
    <definedName name="_vena_DYNR_SMultiSiteS1_BMultiSiteB2_432b6e0d_2af50b3">#REF!</definedName>
    <definedName name="_vena_DYNR_SMultiSiteS1_BMultiSiteB2_432b6e0d_3c859452">#REF!</definedName>
    <definedName name="_vena_DYNR_SMultiSiteS1_BMultiSiteB2_432b6e0d_44c21abf">#REF!</definedName>
    <definedName name="_vena_DYNR_SMultiSiteS1_BMultiSiteB2_432b6e0d_4a9c46c6">#REF!</definedName>
    <definedName name="_vena_DYNR_SMultiSiteS1_BMultiSiteB2_432b6e0d_4b8349ff">#REF!</definedName>
    <definedName name="_vena_DYNR_SMultiSiteS1_BMultiSiteB2_432b6e0d_654d7ee8">#REF!</definedName>
    <definedName name="_vena_DYNR_SMultiSiteS1_BMultiSiteB2_432b6e0d_73acbace">#REF!</definedName>
    <definedName name="_vena_DYNR_SMultiSiteS1_BMultiSiteB2_432b6e0d_8f5fae1">#REF!</definedName>
    <definedName name="_vena_DYNR_SMultiSiteS1_BMultiSiteB2_432b6e0d_a877ab6">#REF!</definedName>
    <definedName name="_vena_DYNR_SMultiSiteS1_BMultiSiteB2_432b6e0d_acfd96ef">#REF!</definedName>
    <definedName name="_vena_DYNR_SMultiSiteS1_BMultiSiteB2_432b6e0d_be30561d">#REF!</definedName>
    <definedName name="_vena_DYNR_SMultiSiteS1_BMultiSiteB2_432b6e0d_c2f98295">#REF!</definedName>
    <definedName name="_vena_DYNR_SMultiSiteS1_BMultiSiteB2_432b6e0d_ca42054a">#REF!</definedName>
    <definedName name="_vena_DYNR_SMultiSiteS1_BMultiSiteB2_432b6e0d_d3cc4b8c">#REF!</definedName>
    <definedName name="_vena_DYNR_SMultiSiteS1_BMultiSiteB2_432b6e0d_d92ed334">#REF!</definedName>
    <definedName name="_vena_DYNR_SMultiSiteS1_BMultiSiteB2_432b6e0d_e37a802f">#REF!</definedName>
    <definedName name="_vena_DYNR_SMultiSiteS1_BMultiSiteB2_432b6e0d_e4bf193a">#REF!</definedName>
    <definedName name="_vena_DYNR_SMultiSiteS1_BMultiSiteB2_432b6e0d_eeb2bd53">#REF!</definedName>
    <definedName name="_vena_DYNR_SMultiSiteS1_BMultiSiteB2_432b6e0d_f3a37d82">#REF!</definedName>
    <definedName name="_vena_DYNR_SMultiSiteS1_BMultiSiteB2_432b6e0d_fa4ad831">#REF!</definedName>
    <definedName name="_vena_DYNR_SMultiSiteS1_BMultiSiteB2_4b90fcb6" localSheetId="4">#REF!</definedName>
    <definedName name="_vena_DYNR_SMultiSiteS1_BMultiSiteB2_4b90fcb6" localSheetId="5">#REF!</definedName>
    <definedName name="_vena_DYNR_SMultiSiteS1_BMultiSiteB2_4b90fcb6" localSheetId="8">'[1]FY26 MYP-Multisite'!#REF!</definedName>
    <definedName name="_vena_DYNR_SMultiSiteS1_BMultiSiteB2_4b90fcb6" localSheetId="3">#REF!</definedName>
    <definedName name="_vena_DYNR_SMultiSiteS1_BMultiSiteB2_4b90fcb6">#REF!</definedName>
    <definedName name="_vena_DYNR_SMultiSiteS1_BMultiSiteB2_4b90fcb6_1479f34b" localSheetId="4">#REF!</definedName>
    <definedName name="_vena_DYNR_SMultiSiteS1_BMultiSiteB2_4b90fcb6_1479f34b" localSheetId="5">#REF!</definedName>
    <definedName name="_vena_DYNR_SMultiSiteS1_BMultiSiteB2_4b90fcb6_1479f34b" localSheetId="8">'[1]FY26 MYP-Multisite'!#REF!</definedName>
    <definedName name="_vena_DYNR_SMultiSiteS1_BMultiSiteB2_4b90fcb6_1479f34b" localSheetId="3">#REF!</definedName>
    <definedName name="_vena_DYNR_SMultiSiteS1_BMultiSiteB2_4b90fcb6_1479f34b">#REF!</definedName>
    <definedName name="_vena_DYNR_SMultiSiteS1_BMultiSiteB2_4b90fcb6_1486e49e" localSheetId="4">#REF!</definedName>
    <definedName name="_vena_DYNR_SMultiSiteS1_BMultiSiteB2_4b90fcb6_1486e49e" localSheetId="5">#REF!</definedName>
    <definedName name="_vena_DYNR_SMultiSiteS1_BMultiSiteB2_4b90fcb6_1486e49e" localSheetId="8">'[1]FY26 MYP-Multisite'!#REF!</definedName>
    <definedName name="_vena_DYNR_SMultiSiteS1_BMultiSiteB2_4b90fcb6_1486e49e" localSheetId="3">#REF!</definedName>
    <definedName name="_vena_DYNR_SMultiSiteS1_BMultiSiteB2_4b90fcb6_1486e49e">#REF!</definedName>
    <definedName name="_vena_DYNR_SMultiSiteS1_BMultiSiteB2_4b90fcb6_15dc3cd" localSheetId="4">#REF!</definedName>
    <definedName name="_vena_DYNR_SMultiSiteS1_BMultiSiteB2_4b90fcb6_15dc3cd" localSheetId="5">#REF!</definedName>
    <definedName name="_vena_DYNR_SMultiSiteS1_BMultiSiteB2_4b90fcb6_15dc3cd" localSheetId="8">'[1]FY26 MYP-Multisite'!#REF!</definedName>
    <definedName name="_vena_DYNR_SMultiSiteS1_BMultiSiteB2_4b90fcb6_15dc3cd" localSheetId="3">#REF!</definedName>
    <definedName name="_vena_DYNR_SMultiSiteS1_BMultiSiteB2_4b90fcb6_15dc3cd">#REF!</definedName>
    <definedName name="_vena_DYNR_SMultiSiteS1_BMultiSiteB2_4b90fcb6_1986e847" localSheetId="4">#REF!</definedName>
    <definedName name="_vena_DYNR_SMultiSiteS1_BMultiSiteB2_4b90fcb6_1986e847" localSheetId="5">#REF!</definedName>
    <definedName name="_vena_DYNR_SMultiSiteS1_BMultiSiteB2_4b90fcb6_1986e847" localSheetId="8">'[1]FY26 MYP-Multisite'!#REF!</definedName>
    <definedName name="_vena_DYNR_SMultiSiteS1_BMultiSiteB2_4b90fcb6_1986e847" localSheetId="3">#REF!</definedName>
    <definedName name="_vena_DYNR_SMultiSiteS1_BMultiSiteB2_4b90fcb6_1986e847">#REF!</definedName>
    <definedName name="_vena_DYNR_SMultiSiteS1_BMultiSiteB2_4b90fcb6_20a2928a" localSheetId="4">#REF!</definedName>
    <definedName name="_vena_DYNR_SMultiSiteS1_BMultiSiteB2_4b90fcb6_20a2928a" localSheetId="5">#REF!</definedName>
    <definedName name="_vena_DYNR_SMultiSiteS1_BMultiSiteB2_4b90fcb6_20a2928a" localSheetId="8">'[1]FY26 MYP-Multisite'!#REF!</definedName>
    <definedName name="_vena_DYNR_SMultiSiteS1_BMultiSiteB2_4b90fcb6_20a2928a" localSheetId="3">#REF!</definedName>
    <definedName name="_vena_DYNR_SMultiSiteS1_BMultiSiteB2_4b90fcb6_20a2928a">#REF!</definedName>
    <definedName name="_vena_DYNR_SMultiSiteS1_BMultiSiteB2_4b90fcb6_2432c1f1" localSheetId="4">#REF!</definedName>
    <definedName name="_vena_DYNR_SMultiSiteS1_BMultiSiteB2_4b90fcb6_2432c1f1" localSheetId="5">#REF!</definedName>
    <definedName name="_vena_DYNR_SMultiSiteS1_BMultiSiteB2_4b90fcb6_2432c1f1" localSheetId="8">'[1]FY26 MYP-Multisite'!#REF!</definedName>
    <definedName name="_vena_DYNR_SMultiSiteS1_BMultiSiteB2_4b90fcb6_2432c1f1" localSheetId="3">#REF!</definedName>
    <definedName name="_vena_DYNR_SMultiSiteS1_BMultiSiteB2_4b90fcb6_2432c1f1">#REF!</definedName>
    <definedName name="_vena_DYNR_SMultiSiteS1_BMultiSiteB2_4b90fcb6_346d4ae2" localSheetId="4">#REF!</definedName>
    <definedName name="_vena_DYNR_SMultiSiteS1_BMultiSiteB2_4b90fcb6_346d4ae2" localSheetId="5">#REF!</definedName>
    <definedName name="_vena_DYNR_SMultiSiteS1_BMultiSiteB2_4b90fcb6_346d4ae2" localSheetId="8">'[1]FY26 MYP-Multisite'!#REF!</definedName>
    <definedName name="_vena_DYNR_SMultiSiteS1_BMultiSiteB2_4b90fcb6_346d4ae2" localSheetId="3">#REF!</definedName>
    <definedName name="_vena_DYNR_SMultiSiteS1_BMultiSiteB2_4b90fcb6_346d4ae2">#REF!</definedName>
    <definedName name="_vena_DYNR_SMultiSiteS1_BMultiSiteB2_4b90fcb6_43a254dc" localSheetId="4">#REF!</definedName>
    <definedName name="_vena_DYNR_SMultiSiteS1_BMultiSiteB2_4b90fcb6_43a254dc" localSheetId="5">#REF!</definedName>
    <definedName name="_vena_DYNR_SMultiSiteS1_BMultiSiteB2_4b90fcb6_43a254dc" localSheetId="8">'[1]FY26 MYP-Multisite'!#REF!</definedName>
    <definedName name="_vena_DYNR_SMultiSiteS1_BMultiSiteB2_4b90fcb6_43a254dc" localSheetId="3">#REF!</definedName>
    <definedName name="_vena_DYNR_SMultiSiteS1_BMultiSiteB2_4b90fcb6_43a254dc">#REF!</definedName>
    <definedName name="_vena_DYNR_SMultiSiteS1_BMultiSiteB2_4b90fcb6_4b5562fb" localSheetId="4">#REF!</definedName>
    <definedName name="_vena_DYNR_SMultiSiteS1_BMultiSiteB2_4b90fcb6_4b5562fb" localSheetId="5">#REF!</definedName>
    <definedName name="_vena_DYNR_SMultiSiteS1_BMultiSiteB2_4b90fcb6_4b5562fb" localSheetId="8">'[1]FY26 MYP-Multisite'!#REF!</definedName>
    <definedName name="_vena_DYNR_SMultiSiteS1_BMultiSiteB2_4b90fcb6_4b5562fb" localSheetId="3">#REF!</definedName>
    <definedName name="_vena_DYNR_SMultiSiteS1_BMultiSiteB2_4b90fcb6_4b5562fb">#REF!</definedName>
    <definedName name="_vena_DYNR_SMultiSiteS1_BMultiSiteB2_4b90fcb6_4f83a07f" localSheetId="4">#REF!</definedName>
    <definedName name="_vena_DYNR_SMultiSiteS1_BMultiSiteB2_4b90fcb6_4f83a07f" localSheetId="5">#REF!</definedName>
    <definedName name="_vena_DYNR_SMultiSiteS1_BMultiSiteB2_4b90fcb6_4f83a07f" localSheetId="8">'[1]FY26 MYP-Multisite'!#REF!</definedName>
    <definedName name="_vena_DYNR_SMultiSiteS1_BMultiSiteB2_4b90fcb6_4f83a07f" localSheetId="3">#REF!</definedName>
    <definedName name="_vena_DYNR_SMultiSiteS1_BMultiSiteB2_4b90fcb6_4f83a07f">#REF!</definedName>
    <definedName name="_vena_DYNR_SMultiSiteS1_BMultiSiteB2_4b90fcb6_52925960" localSheetId="4">#REF!</definedName>
    <definedName name="_vena_DYNR_SMultiSiteS1_BMultiSiteB2_4b90fcb6_52925960" localSheetId="5">#REF!</definedName>
    <definedName name="_vena_DYNR_SMultiSiteS1_BMultiSiteB2_4b90fcb6_52925960" localSheetId="8">'[1]FY26 MYP-Multisite'!#REF!</definedName>
    <definedName name="_vena_DYNR_SMultiSiteS1_BMultiSiteB2_4b90fcb6_52925960" localSheetId="3">#REF!</definedName>
    <definedName name="_vena_DYNR_SMultiSiteS1_BMultiSiteB2_4b90fcb6_52925960">#REF!</definedName>
    <definedName name="_vena_DYNR_SMultiSiteS1_BMultiSiteB2_4b90fcb6_550a3274" localSheetId="4">#REF!</definedName>
    <definedName name="_vena_DYNR_SMultiSiteS1_BMultiSiteB2_4b90fcb6_550a3274" localSheetId="5">#REF!</definedName>
    <definedName name="_vena_DYNR_SMultiSiteS1_BMultiSiteB2_4b90fcb6_550a3274" localSheetId="8">'[1]FY26 MYP-Multisite'!#REF!</definedName>
    <definedName name="_vena_DYNR_SMultiSiteS1_BMultiSiteB2_4b90fcb6_550a3274" localSheetId="3">#REF!</definedName>
    <definedName name="_vena_DYNR_SMultiSiteS1_BMultiSiteB2_4b90fcb6_550a3274">#REF!</definedName>
    <definedName name="_vena_DYNR_SMultiSiteS1_BMultiSiteB2_4b90fcb6_585d2ed5" localSheetId="4">#REF!</definedName>
    <definedName name="_vena_DYNR_SMultiSiteS1_BMultiSiteB2_4b90fcb6_585d2ed5" localSheetId="5">#REF!</definedName>
    <definedName name="_vena_DYNR_SMultiSiteS1_BMultiSiteB2_4b90fcb6_585d2ed5" localSheetId="8">'[1]FY26 MYP-Multisite'!#REF!</definedName>
    <definedName name="_vena_DYNR_SMultiSiteS1_BMultiSiteB2_4b90fcb6_585d2ed5" localSheetId="3">#REF!</definedName>
    <definedName name="_vena_DYNR_SMultiSiteS1_BMultiSiteB2_4b90fcb6_585d2ed5">#REF!</definedName>
    <definedName name="_vena_DYNR_SMultiSiteS1_BMultiSiteB2_4b90fcb6_5a7eb13" localSheetId="4">#REF!</definedName>
    <definedName name="_vena_DYNR_SMultiSiteS1_BMultiSiteB2_4b90fcb6_5a7eb13" localSheetId="5">#REF!</definedName>
    <definedName name="_vena_DYNR_SMultiSiteS1_BMultiSiteB2_4b90fcb6_5a7eb13" localSheetId="8">'[1]FY26 MYP-Multisite'!#REF!</definedName>
    <definedName name="_vena_DYNR_SMultiSiteS1_BMultiSiteB2_4b90fcb6_5a7eb13" localSheetId="3">#REF!</definedName>
    <definedName name="_vena_DYNR_SMultiSiteS1_BMultiSiteB2_4b90fcb6_5a7eb13">#REF!</definedName>
    <definedName name="_vena_DYNR_SMultiSiteS1_BMultiSiteB2_4b90fcb6_5b18b563" localSheetId="4">#REF!</definedName>
    <definedName name="_vena_DYNR_SMultiSiteS1_BMultiSiteB2_4b90fcb6_5b18b563" localSheetId="5">#REF!</definedName>
    <definedName name="_vena_DYNR_SMultiSiteS1_BMultiSiteB2_4b90fcb6_5b18b563" localSheetId="8">'[1]FY26 MYP-Multisite'!#REF!</definedName>
    <definedName name="_vena_DYNR_SMultiSiteS1_BMultiSiteB2_4b90fcb6_5b18b563" localSheetId="3">#REF!</definedName>
    <definedName name="_vena_DYNR_SMultiSiteS1_BMultiSiteB2_4b90fcb6_5b18b563">#REF!</definedName>
    <definedName name="_vena_DYNR_SMultiSiteS1_BMultiSiteB2_4b90fcb6_5e39c809" localSheetId="4">#REF!</definedName>
    <definedName name="_vena_DYNR_SMultiSiteS1_BMultiSiteB2_4b90fcb6_5e39c809" localSheetId="5">#REF!</definedName>
    <definedName name="_vena_DYNR_SMultiSiteS1_BMultiSiteB2_4b90fcb6_5e39c809" localSheetId="8">'[1]FY26 MYP-Multisite'!#REF!</definedName>
    <definedName name="_vena_DYNR_SMultiSiteS1_BMultiSiteB2_4b90fcb6_5e39c809" localSheetId="3">#REF!</definedName>
    <definedName name="_vena_DYNR_SMultiSiteS1_BMultiSiteB2_4b90fcb6_5e39c809">#REF!</definedName>
    <definedName name="_vena_DYNR_SMultiSiteS1_BMultiSiteB2_4b90fcb6_5f4d326f" localSheetId="4">#REF!</definedName>
    <definedName name="_vena_DYNR_SMultiSiteS1_BMultiSiteB2_4b90fcb6_5f4d326f" localSheetId="5">#REF!</definedName>
    <definedName name="_vena_DYNR_SMultiSiteS1_BMultiSiteB2_4b90fcb6_5f4d326f" localSheetId="8">'[1]FY26 MYP-Multisite'!#REF!</definedName>
    <definedName name="_vena_DYNR_SMultiSiteS1_BMultiSiteB2_4b90fcb6_5f4d326f" localSheetId="3">#REF!</definedName>
    <definedName name="_vena_DYNR_SMultiSiteS1_BMultiSiteB2_4b90fcb6_5f4d326f">#REF!</definedName>
    <definedName name="_vena_DYNR_SMultiSiteS1_BMultiSiteB2_4b90fcb6_60d45716" localSheetId="4">#REF!</definedName>
    <definedName name="_vena_DYNR_SMultiSiteS1_BMultiSiteB2_4b90fcb6_60d45716" localSheetId="5">#REF!</definedName>
    <definedName name="_vena_DYNR_SMultiSiteS1_BMultiSiteB2_4b90fcb6_60d45716" localSheetId="8">'[1]FY26 MYP-Multisite'!#REF!</definedName>
    <definedName name="_vena_DYNR_SMultiSiteS1_BMultiSiteB2_4b90fcb6_60d45716" localSheetId="3">#REF!</definedName>
    <definedName name="_vena_DYNR_SMultiSiteS1_BMultiSiteB2_4b90fcb6_60d45716">#REF!</definedName>
    <definedName name="_vena_DYNR_SMultiSiteS1_BMultiSiteB2_4b90fcb6_6151bb7f" localSheetId="4">#REF!</definedName>
    <definedName name="_vena_DYNR_SMultiSiteS1_BMultiSiteB2_4b90fcb6_6151bb7f" localSheetId="5">#REF!</definedName>
    <definedName name="_vena_DYNR_SMultiSiteS1_BMultiSiteB2_4b90fcb6_6151bb7f" localSheetId="8">'[1]FY26 MYP-Multisite'!#REF!</definedName>
    <definedName name="_vena_DYNR_SMultiSiteS1_BMultiSiteB2_4b90fcb6_6151bb7f" localSheetId="3">#REF!</definedName>
    <definedName name="_vena_DYNR_SMultiSiteS1_BMultiSiteB2_4b90fcb6_6151bb7f">#REF!</definedName>
    <definedName name="_vena_DYNR_SMultiSiteS1_BMultiSiteB2_4b90fcb6_6303cb51" localSheetId="4">#REF!</definedName>
    <definedName name="_vena_DYNR_SMultiSiteS1_BMultiSiteB2_4b90fcb6_6303cb51" localSheetId="5">#REF!</definedName>
    <definedName name="_vena_DYNR_SMultiSiteS1_BMultiSiteB2_4b90fcb6_6303cb51" localSheetId="8">'[1]FY26 MYP-Multisite'!#REF!</definedName>
    <definedName name="_vena_DYNR_SMultiSiteS1_BMultiSiteB2_4b90fcb6_6303cb51" localSheetId="3">#REF!</definedName>
    <definedName name="_vena_DYNR_SMultiSiteS1_BMultiSiteB2_4b90fcb6_6303cb51">#REF!</definedName>
    <definedName name="_vena_DYNR_SMultiSiteS1_BMultiSiteB2_4b90fcb6_63cffc6f" localSheetId="4">#REF!</definedName>
    <definedName name="_vena_DYNR_SMultiSiteS1_BMultiSiteB2_4b90fcb6_63cffc6f" localSheetId="5">#REF!</definedName>
    <definedName name="_vena_DYNR_SMultiSiteS1_BMultiSiteB2_4b90fcb6_63cffc6f" localSheetId="8">'[1]FY26 MYP-Multisite'!#REF!</definedName>
    <definedName name="_vena_DYNR_SMultiSiteS1_BMultiSiteB2_4b90fcb6_63cffc6f" localSheetId="3">#REF!</definedName>
    <definedName name="_vena_DYNR_SMultiSiteS1_BMultiSiteB2_4b90fcb6_63cffc6f">#REF!</definedName>
    <definedName name="_vena_DYNR_SMultiSiteS1_BMultiSiteB2_4b90fcb6_664f144b" localSheetId="4">#REF!</definedName>
    <definedName name="_vena_DYNR_SMultiSiteS1_BMultiSiteB2_4b90fcb6_664f144b" localSheetId="5">#REF!</definedName>
    <definedName name="_vena_DYNR_SMultiSiteS1_BMultiSiteB2_4b90fcb6_664f144b" localSheetId="8">'[1]FY26 MYP-Multisite'!#REF!</definedName>
    <definedName name="_vena_DYNR_SMultiSiteS1_BMultiSiteB2_4b90fcb6_664f144b" localSheetId="3">#REF!</definedName>
    <definedName name="_vena_DYNR_SMultiSiteS1_BMultiSiteB2_4b90fcb6_664f144b">#REF!</definedName>
    <definedName name="_vena_DYNR_SMultiSiteS1_BMultiSiteB2_4b90fcb6_669f61e4" localSheetId="4">#REF!</definedName>
    <definedName name="_vena_DYNR_SMultiSiteS1_BMultiSiteB2_4b90fcb6_669f61e4" localSheetId="5">#REF!</definedName>
    <definedName name="_vena_DYNR_SMultiSiteS1_BMultiSiteB2_4b90fcb6_669f61e4" localSheetId="8">'[1]FY26 MYP-Multisite'!#REF!</definedName>
    <definedName name="_vena_DYNR_SMultiSiteS1_BMultiSiteB2_4b90fcb6_669f61e4" localSheetId="3">#REF!</definedName>
    <definedName name="_vena_DYNR_SMultiSiteS1_BMultiSiteB2_4b90fcb6_669f61e4">#REF!</definedName>
    <definedName name="_vena_DYNR_SMultiSiteS1_BMultiSiteB2_4b90fcb6_6c433d3e" localSheetId="4">#REF!</definedName>
    <definedName name="_vena_DYNR_SMultiSiteS1_BMultiSiteB2_4b90fcb6_6c433d3e" localSheetId="5">#REF!</definedName>
    <definedName name="_vena_DYNR_SMultiSiteS1_BMultiSiteB2_4b90fcb6_6c433d3e" localSheetId="8">'[1]FY26 MYP-Multisite'!#REF!</definedName>
    <definedName name="_vena_DYNR_SMultiSiteS1_BMultiSiteB2_4b90fcb6_6c433d3e" localSheetId="3">#REF!</definedName>
    <definedName name="_vena_DYNR_SMultiSiteS1_BMultiSiteB2_4b90fcb6_6c433d3e">#REF!</definedName>
    <definedName name="_vena_DYNR_SMultiSiteS1_BMultiSiteB2_4b90fcb6_71205e93" localSheetId="4">#REF!</definedName>
    <definedName name="_vena_DYNR_SMultiSiteS1_BMultiSiteB2_4b90fcb6_71205e93" localSheetId="5">#REF!</definedName>
    <definedName name="_vena_DYNR_SMultiSiteS1_BMultiSiteB2_4b90fcb6_71205e93" localSheetId="8">'[1]FY26 MYP-Multisite'!#REF!</definedName>
    <definedName name="_vena_DYNR_SMultiSiteS1_BMultiSiteB2_4b90fcb6_71205e93" localSheetId="3">#REF!</definedName>
    <definedName name="_vena_DYNR_SMultiSiteS1_BMultiSiteB2_4b90fcb6_71205e93">#REF!</definedName>
    <definedName name="_vena_DYNR_SMultiSiteS1_BMultiSiteB2_4b90fcb6_769f99e9" localSheetId="4">#REF!</definedName>
    <definedName name="_vena_DYNR_SMultiSiteS1_BMultiSiteB2_4b90fcb6_769f99e9" localSheetId="5">#REF!</definedName>
    <definedName name="_vena_DYNR_SMultiSiteS1_BMultiSiteB2_4b90fcb6_769f99e9" localSheetId="8">'[1]FY26 MYP-Multisite'!#REF!</definedName>
    <definedName name="_vena_DYNR_SMultiSiteS1_BMultiSiteB2_4b90fcb6_769f99e9" localSheetId="3">#REF!</definedName>
    <definedName name="_vena_DYNR_SMultiSiteS1_BMultiSiteB2_4b90fcb6_769f99e9">#REF!</definedName>
    <definedName name="_vena_DYNR_SMultiSiteS1_BMultiSiteB2_4b90fcb6_79c7e40c" localSheetId="4">#REF!</definedName>
    <definedName name="_vena_DYNR_SMultiSiteS1_BMultiSiteB2_4b90fcb6_79c7e40c" localSheetId="5">#REF!</definedName>
    <definedName name="_vena_DYNR_SMultiSiteS1_BMultiSiteB2_4b90fcb6_79c7e40c" localSheetId="8">'[1]FY26 MYP-Multisite'!#REF!</definedName>
    <definedName name="_vena_DYNR_SMultiSiteS1_BMultiSiteB2_4b90fcb6_79c7e40c" localSheetId="3">#REF!</definedName>
    <definedName name="_vena_DYNR_SMultiSiteS1_BMultiSiteB2_4b90fcb6_79c7e40c">#REF!</definedName>
    <definedName name="_vena_DYNR_SMultiSiteS1_BMultiSiteB2_4b90fcb6_7c8f2617" localSheetId="4">#REF!</definedName>
    <definedName name="_vena_DYNR_SMultiSiteS1_BMultiSiteB2_4b90fcb6_7c8f2617" localSheetId="5">#REF!</definedName>
    <definedName name="_vena_DYNR_SMultiSiteS1_BMultiSiteB2_4b90fcb6_7c8f2617" localSheetId="8">'[1]FY26 MYP-Multisite'!#REF!</definedName>
    <definedName name="_vena_DYNR_SMultiSiteS1_BMultiSiteB2_4b90fcb6_7c8f2617" localSheetId="3">#REF!</definedName>
    <definedName name="_vena_DYNR_SMultiSiteS1_BMultiSiteB2_4b90fcb6_7c8f2617">#REF!</definedName>
    <definedName name="_vena_DYNR_SMultiSiteS1_BMultiSiteB2_4b90fcb6_7fd08d84" localSheetId="4">#REF!</definedName>
    <definedName name="_vena_DYNR_SMultiSiteS1_BMultiSiteB2_4b90fcb6_7fd08d84" localSheetId="5">#REF!</definedName>
    <definedName name="_vena_DYNR_SMultiSiteS1_BMultiSiteB2_4b90fcb6_7fd08d84" localSheetId="8">'[1]FY26 MYP-Multisite'!#REF!</definedName>
    <definedName name="_vena_DYNR_SMultiSiteS1_BMultiSiteB2_4b90fcb6_7fd08d84" localSheetId="3">#REF!</definedName>
    <definedName name="_vena_DYNR_SMultiSiteS1_BMultiSiteB2_4b90fcb6_7fd08d84">#REF!</definedName>
    <definedName name="_vena_DYNR_SMultiSiteS1_BMultiSiteB2_4b90fcb6_8392366f" localSheetId="4">#REF!</definedName>
    <definedName name="_vena_DYNR_SMultiSiteS1_BMultiSiteB2_4b90fcb6_8392366f" localSheetId="5">#REF!</definedName>
    <definedName name="_vena_DYNR_SMultiSiteS1_BMultiSiteB2_4b90fcb6_8392366f" localSheetId="8">'[1]FY26 MYP-Multisite'!#REF!</definedName>
    <definedName name="_vena_DYNR_SMultiSiteS1_BMultiSiteB2_4b90fcb6_8392366f" localSheetId="3">#REF!</definedName>
    <definedName name="_vena_DYNR_SMultiSiteS1_BMultiSiteB2_4b90fcb6_8392366f">#REF!</definedName>
    <definedName name="_vena_DYNR_SMultiSiteS1_BMultiSiteB2_4b90fcb6_898de781" localSheetId="4">#REF!</definedName>
    <definedName name="_vena_DYNR_SMultiSiteS1_BMultiSiteB2_4b90fcb6_898de781" localSheetId="5">#REF!</definedName>
    <definedName name="_vena_DYNR_SMultiSiteS1_BMultiSiteB2_4b90fcb6_898de781" localSheetId="8">'[1]FY26 MYP-Multisite'!#REF!</definedName>
    <definedName name="_vena_DYNR_SMultiSiteS1_BMultiSiteB2_4b90fcb6_898de781" localSheetId="3">#REF!</definedName>
    <definedName name="_vena_DYNR_SMultiSiteS1_BMultiSiteB2_4b90fcb6_898de781">#REF!</definedName>
    <definedName name="_vena_DYNR_SMultiSiteS1_BMultiSiteB2_4b90fcb6_8e00c0ec" localSheetId="4">#REF!</definedName>
    <definedName name="_vena_DYNR_SMultiSiteS1_BMultiSiteB2_4b90fcb6_8e00c0ec" localSheetId="5">#REF!</definedName>
    <definedName name="_vena_DYNR_SMultiSiteS1_BMultiSiteB2_4b90fcb6_8e00c0ec" localSheetId="8">'[1]FY26 MYP-Multisite'!#REF!</definedName>
    <definedName name="_vena_DYNR_SMultiSiteS1_BMultiSiteB2_4b90fcb6_8e00c0ec" localSheetId="3">#REF!</definedName>
    <definedName name="_vena_DYNR_SMultiSiteS1_BMultiSiteB2_4b90fcb6_8e00c0ec">#REF!</definedName>
    <definedName name="_vena_DYNR_SMultiSiteS1_BMultiSiteB2_4b90fcb6_8e8e94d3" localSheetId="4">#REF!</definedName>
    <definedName name="_vena_DYNR_SMultiSiteS1_BMultiSiteB2_4b90fcb6_8e8e94d3" localSheetId="5">#REF!</definedName>
    <definedName name="_vena_DYNR_SMultiSiteS1_BMultiSiteB2_4b90fcb6_8e8e94d3" localSheetId="8">'[1]FY26 MYP-Multisite'!#REF!</definedName>
    <definedName name="_vena_DYNR_SMultiSiteS1_BMultiSiteB2_4b90fcb6_8e8e94d3" localSheetId="3">#REF!</definedName>
    <definedName name="_vena_DYNR_SMultiSiteS1_BMultiSiteB2_4b90fcb6_8e8e94d3">#REF!</definedName>
    <definedName name="_vena_DYNR_SMultiSiteS1_BMultiSiteB2_4b90fcb6_8fc8a5c8" localSheetId="4">#REF!</definedName>
    <definedName name="_vena_DYNR_SMultiSiteS1_BMultiSiteB2_4b90fcb6_8fc8a5c8" localSheetId="5">#REF!</definedName>
    <definedName name="_vena_DYNR_SMultiSiteS1_BMultiSiteB2_4b90fcb6_8fc8a5c8" localSheetId="8">'[1]FY26 MYP-Multisite'!#REF!</definedName>
    <definedName name="_vena_DYNR_SMultiSiteS1_BMultiSiteB2_4b90fcb6_8fc8a5c8" localSheetId="3">#REF!</definedName>
    <definedName name="_vena_DYNR_SMultiSiteS1_BMultiSiteB2_4b90fcb6_8fc8a5c8">#REF!</definedName>
    <definedName name="_vena_DYNR_SMultiSiteS1_BMultiSiteB2_4b90fcb6_9002510c" localSheetId="4">#REF!</definedName>
    <definedName name="_vena_DYNR_SMultiSiteS1_BMultiSiteB2_4b90fcb6_9002510c" localSheetId="5">#REF!</definedName>
    <definedName name="_vena_DYNR_SMultiSiteS1_BMultiSiteB2_4b90fcb6_9002510c" localSheetId="8">'[1]FY26 MYP-Multisite'!#REF!</definedName>
    <definedName name="_vena_DYNR_SMultiSiteS1_BMultiSiteB2_4b90fcb6_9002510c" localSheetId="3">#REF!</definedName>
    <definedName name="_vena_DYNR_SMultiSiteS1_BMultiSiteB2_4b90fcb6_9002510c">#REF!</definedName>
    <definedName name="_vena_DYNR_SMultiSiteS1_BMultiSiteB2_4b90fcb6_906113d6" localSheetId="4">#REF!</definedName>
    <definedName name="_vena_DYNR_SMultiSiteS1_BMultiSiteB2_4b90fcb6_906113d6" localSheetId="5">#REF!</definedName>
    <definedName name="_vena_DYNR_SMultiSiteS1_BMultiSiteB2_4b90fcb6_906113d6" localSheetId="8">'[1]FY26 MYP-Multisite'!#REF!</definedName>
    <definedName name="_vena_DYNR_SMultiSiteS1_BMultiSiteB2_4b90fcb6_906113d6" localSheetId="3">#REF!</definedName>
    <definedName name="_vena_DYNR_SMultiSiteS1_BMultiSiteB2_4b90fcb6_906113d6">#REF!</definedName>
    <definedName name="_vena_DYNR_SMultiSiteS1_BMultiSiteB2_4b90fcb6_91bed346" localSheetId="4">#REF!</definedName>
    <definedName name="_vena_DYNR_SMultiSiteS1_BMultiSiteB2_4b90fcb6_91bed346" localSheetId="5">#REF!</definedName>
    <definedName name="_vena_DYNR_SMultiSiteS1_BMultiSiteB2_4b90fcb6_91bed346" localSheetId="8">'[1]FY26 MYP-Multisite'!#REF!</definedName>
    <definedName name="_vena_DYNR_SMultiSiteS1_BMultiSiteB2_4b90fcb6_91bed346" localSheetId="3">#REF!</definedName>
    <definedName name="_vena_DYNR_SMultiSiteS1_BMultiSiteB2_4b90fcb6_91bed346">#REF!</definedName>
    <definedName name="_vena_DYNR_SMultiSiteS1_BMultiSiteB2_4b90fcb6_9691fddb" localSheetId="4">#REF!</definedName>
    <definedName name="_vena_DYNR_SMultiSiteS1_BMultiSiteB2_4b90fcb6_9691fddb" localSheetId="5">#REF!</definedName>
    <definedName name="_vena_DYNR_SMultiSiteS1_BMultiSiteB2_4b90fcb6_9691fddb" localSheetId="8">'[1]FY26 MYP-Multisite'!#REF!</definedName>
    <definedName name="_vena_DYNR_SMultiSiteS1_BMultiSiteB2_4b90fcb6_9691fddb" localSheetId="3">#REF!</definedName>
    <definedName name="_vena_DYNR_SMultiSiteS1_BMultiSiteB2_4b90fcb6_9691fddb">#REF!</definedName>
    <definedName name="_vena_DYNR_SMultiSiteS1_BMultiSiteB2_4b90fcb6_9791bbcd" localSheetId="4">#REF!</definedName>
    <definedName name="_vena_DYNR_SMultiSiteS1_BMultiSiteB2_4b90fcb6_9791bbcd" localSheetId="5">#REF!</definedName>
    <definedName name="_vena_DYNR_SMultiSiteS1_BMultiSiteB2_4b90fcb6_9791bbcd" localSheetId="8">'[1]FY26 MYP-Multisite'!#REF!</definedName>
    <definedName name="_vena_DYNR_SMultiSiteS1_BMultiSiteB2_4b90fcb6_9791bbcd" localSheetId="3">#REF!</definedName>
    <definedName name="_vena_DYNR_SMultiSiteS1_BMultiSiteB2_4b90fcb6_9791bbcd">#REF!</definedName>
    <definedName name="_vena_DYNR_SMultiSiteS1_BMultiSiteB2_4b90fcb6_9c32bbe" localSheetId="4">#REF!</definedName>
    <definedName name="_vena_DYNR_SMultiSiteS1_BMultiSiteB2_4b90fcb6_9c32bbe" localSheetId="5">#REF!</definedName>
    <definedName name="_vena_DYNR_SMultiSiteS1_BMultiSiteB2_4b90fcb6_9c32bbe" localSheetId="8">'[1]FY26 MYP-Multisite'!#REF!</definedName>
    <definedName name="_vena_DYNR_SMultiSiteS1_BMultiSiteB2_4b90fcb6_9c32bbe" localSheetId="3">#REF!</definedName>
    <definedName name="_vena_DYNR_SMultiSiteS1_BMultiSiteB2_4b90fcb6_9c32bbe">#REF!</definedName>
    <definedName name="_vena_DYNR_SMultiSiteS1_BMultiSiteB2_4b90fcb6_a035fabe" localSheetId="4">#REF!</definedName>
    <definedName name="_vena_DYNR_SMultiSiteS1_BMultiSiteB2_4b90fcb6_a035fabe" localSheetId="5">#REF!</definedName>
    <definedName name="_vena_DYNR_SMultiSiteS1_BMultiSiteB2_4b90fcb6_a035fabe" localSheetId="8">'[1]FY26 MYP-Multisite'!#REF!</definedName>
    <definedName name="_vena_DYNR_SMultiSiteS1_BMultiSiteB2_4b90fcb6_a035fabe" localSheetId="3">#REF!</definedName>
    <definedName name="_vena_DYNR_SMultiSiteS1_BMultiSiteB2_4b90fcb6_a035fabe">#REF!</definedName>
    <definedName name="_vena_DYNR_SMultiSiteS1_BMultiSiteB2_4b90fcb6_a500ec81" localSheetId="4">#REF!</definedName>
    <definedName name="_vena_DYNR_SMultiSiteS1_BMultiSiteB2_4b90fcb6_a500ec81" localSheetId="5">#REF!</definedName>
    <definedName name="_vena_DYNR_SMultiSiteS1_BMultiSiteB2_4b90fcb6_a500ec81" localSheetId="8">'[1]FY26 MYP-Multisite'!#REF!</definedName>
    <definedName name="_vena_DYNR_SMultiSiteS1_BMultiSiteB2_4b90fcb6_a500ec81" localSheetId="3">#REF!</definedName>
    <definedName name="_vena_DYNR_SMultiSiteS1_BMultiSiteB2_4b90fcb6_a500ec81">#REF!</definedName>
    <definedName name="_vena_DYNR_SMultiSiteS1_BMultiSiteB2_4b90fcb6_b4daf046" localSheetId="4">#REF!</definedName>
    <definedName name="_vena_DYNR_SMultiSiteS1_BMultiSiteB2_4b90fcb6_b4daf046" localSheetId="5">#REF!</definedName>
    <definedName name="_vena_DYNR_SMultiSiteS1_BMultiSiteB2_4b90fcb6_b4daf046" localSheetId="8">'[1]FY26 MYP-Multisite'!#REF!</definedName>
    <definedName name="_vena_DYNR_SMultiSiteS1_BMultiSiteB2_4b90fcb6_b4daf046" localSheetId="3">#REF!</definedName>
    <definedName name="_vena_DYNR_SMultiSiteS1_BMultiSiteB2_4b90fcb6_b4daf046">#REF!</definedName>
    <definedName name="_vena_DYNR_SMultiSiteS1_BMultiSiteB2_4b90fcb6_ba63ccea" localSheetId="4">#REF!</definedName>
    <definedName name="_vena_DYNR_SMultiSiteS1_BMultiSiteB2_4b90fcb6_ba63ccea" localSheetId="5">#REF!</definedName>
    <definedName name="_vena_DYNR_SMultiSiteS1_BMultiSiteB2_4b90fcb6_ba63ccea" localSheetId="8">'[1]FY26 MYP-Multisite'!#REF!</definedName>
    <definedName name="_vena_DYNR_SMultiSiteS1_BMultiSiteB2_4b90fcb6_ba63ccea" localSheetId="3">#REF!</definedName>
    <definedName name="_vena_DYNR_SMultiSiteS1_BMultiSiteB2_4b90fcb6_ba63ccea">#REF!</definedName>
    <definedName name="_vena_DYNR_SMultiSiteS1_BMultiSiteB2_4b90fcb6_c04c807f" localSheetId="4">#REF!</definedName>
    <definedName name="_vena_DYNR_SMultiSiteS1_BMultiSiteB2_4b90fcb6_c04c807f" localSheetId="5">#REF!</definedName>
    <definedName name="_vena_DYNR_SMultiSiteS1_BMultiSiteB2_4b90fcb6_c04c807f" localSheetId="8">'[1]FY26 MYP-Multisite'!#REF!</definedName>
    <definedName name="_vena_DYNR_SMultiSiteS1_BMultiSiteB2_4b90fcb6_c04c807f" localSheetId="3">#REF!</definedName>
    <definedName name="_vena_DYNR_SMultiSiteS1_BMultiSiteB2_4b90fcb6_c04c807f">#REF!</definedName>
    <definedName name="_vena_DYNR_SMultiSiteS1_BMultiSiteB2_4b90fcb6_c29af4cf" localSheetId="4">#REF!</definedName>
    <definedName name="_vena_DYNR_SMultiSiteS1_BMultiSiteB2_4b90fcb6_c29af4cf" localSheetId="5">#REF!</definedName>
    <definedName name="_vena_DYNR_SMultiSiteS1_BMultiSiteB2_4b90fcb6_c29af4cf" localSheetId="8">'[1]FY26 MYP-Multisite'!#REF!</definedName>
    <definedName name="_vena_DYNR_SMultiSiteS1_BMultiSiteB2_4b90fcb6_c29af4cf" localSheetId="3">#REF!</definedName>
    <definedName name="_vena_DYNR_SMultiSiteS1_BMultiSiteB2_4b90fcb6_c29af4cf">#REF!</definedName>
    <definedName name="_vena_DYNR_SMultiSiteS1_BMultiSiteB2_4b90fcb6_c4b147d2" localSheetId="4">#REF!</definedName>
    <definedName name="_vena_DYNR_SMultiSiteS1_BMultiSiteB2_4b90fcb6_c4b147d2" localSheetId="5">#REF!</definedName>
    <definedName name="_vena_DYNR_SMultiSiteS1_BMultiSiteB2_4b90fcb6_c4b147d2" localSheetId="8">'[1]FY26 MYP-Multisite'!#REF!</definedName>
    <definedName name="_vena_DYNR_SMultiSiteS1_BMultiSiteB2_4b90fcb6_c4b147d2" localSheetId="3">#REF!</definedName>
    <definedName name="_vena_DYNR_SMultiSiteS1_BMultiSiteB2_4b90fcb6_c4b147d2">#REF!</definedName>
    <definedName name="_vena_DYNR_SMultiSiteS1_BMultiSiteB2_4b90fcb6_cbc9d315" localSheetId="4">#REF!</definedName>
    <definedName name="_vena_DYNR_SMultiSiteS1_BMultiSiteB2_4b90fcb6_cbc9d315" localSheetId="5">#REF!</definedName>
    <definedName name="_vena_DYNR_SMultiSiteS1_BMultiSiteB2_4b90fcb6_cbc9d315" localSheetId="8">'[1]FY26 MYP-Multisite'!#REF!</definedName>
    <definedName name="_vena_DYNR_SMultiSiteS1_BMultiSiteB2_4b90fcb6_cbc9d315" localSheetId="3">#REF!</definedName>
    <definedName name="_vena_DYNR_SMultiSiteS1_BMultiSiteB2_4b90fcb6_cbc9d315">#REF!</definedName>
    <definedName name="_vena_DYNR_SMultiSiteS1_BMultiSiteB2_4b90fcb6_ccdbf290" localSheetId="4">#REF!</definedName>
    <definedName name="_vena_DYNR_SMultiSiteS1_BMultiSiteB2_4b90fcb6_ccdbf290" localSheetId="5">#REF!</definedName>
    <definedName name="_vena_DYNR_SMultiSiteS1_BMultiSiteB2_4b90fcb6_ccdbf290" localSheetId="8">'[1]FY26 MYP-Multisite'!#REF!</definedName>
    <definedName name="_vena_DYNR_SMultiSiteS1_BMultiSiteB2_4b90fcb6_ccdbf290" localSheetId="3">#REF!</definedName>
    <definedName name="_vena_DYNR_SMultiSiteS1_BMultiSiteB2_4b90fcb6_ccdbf290">#REF!</definedName>
    <definedName name="_vena_DYNR_SMultiSiteS1_BMultiSiteB2_4b90fcb6_ce469540" localSheetId="4">#REF!</definedName>
    <definedName name="_vena_DYNR_SMultiSiteS1_BMultiSiteB2_4b90fcb6_ce469540" localSheetId="5">#REF!</definedName>
    <definedName name="_vena_DYNR_SMultiSiteS1_BMultiSiteB2_4b90fcb6_ce469540" localSheetId="8">'[1]FY26 MYP-Multisite'!#REF!</definedName>
    <definedName name="_vena_DYNR_SMultiSiteS1_BMultiSiteB2_4b90fcb6_ce469540" localSheetId="3">#REF!</definedName>
    <definedName name="_vena_DYNR_SMultiSiteS1_BMultiSiteB2_4b90fcb6_ce469540">#REF!</definedName>
    <definedName name="_vena_DYNR_SMultiSiteS1_BMultiSiteB2_4b90fcb6_d39c0764" localSheetId="4">#REF!</definedName>
    <definedName name="_vena_DYNR_SMultiSiteS1_BMultiSiteB2_4b90fcb6_d39c0764" localSheetId="5">#REF!</definedName>
    <definedName name="_vena_DYNR_SMultiSiteS1_BMultiSiteB2_4b90fcb6_d39c0764" localSheetId="8">'[1]FY26 MYP-Multisite'!#REF!</definedName>
    <definedName name="_vena_DYNR_SMultiSiteS1_BMultiSiteB2_4b90fcb6_d39c0764" localSheetId="3">#REF!</definedName>
    <definedName name="_vena_DYNR_SMultiSiteS1_BMultiSiteB2_4b90fcb6_d39c0764">#REF!</definedName>
    <definedName name="_vena_DYNR_SMultiSiteS1_BMultiSiteB2_4b90fcb6_e2afe3eb" localSheetId="4">#REF!</definedName>
    <definedName name="_vena_DYNR_SMultiSiteS1_BMultiSiteB2_4b90fcb6_e2afe3eb" localSheetId="5">#REF!</definedName>
    <definedName name="_vena_DYNR_SMultiSiteS1_BMultiSiteB2_4b90fcb6_e2afe3eb" localSheetId="8">'[1]FY26 MYP-Multisite'!#REF!</definedName>
    <definedName name="_vena_DYNR_SMultiSiteS1_BMultiSiteB2_4b90fcb6_e2afe3eb" localSheetId="3">#REF!</definedName>
    <definedName name="_vena_DYNR_SMultiSiteS1_BMultiSiteB2_4b90fcb6_e2afe3eb">#REF!</definedName>
    <definedName name="_vena_DYNR_SMultiSiteS1_BMultiSiteB2_4b90fcb6_e30a1db4" localSheetId="4">#REF!</definedName>
    <definedName name="_vena_DYNR_SMultiSiteS1_BMultiSiteB2_4b90fcb6_e30a1db4" localSheetId="5">#REF!</definedName>
    <definedName name="_vena_DYNR_SMultiSiteS1_BMultiSiteB2_4b90fcb6_e30a1db4" localSheetId="8">'[1]FY26 MYP-Multisite'!#REF!</definedName>
    <definedName name="_vena_DYNR_SMultiSiteS1_BMultiSiteB2_4b90fcb6_e30a1db4" localSheetId="3">#REF!</definedName>
    <definedName name="_vena_DYNR_SMultiSiteS1_BMultiSiteB2_4b90fcb6_e30a1db4">#REF!</definedName>
    <definedName name="_vena_DYNR_SMultiSiteS1_BMultiSiteB2_4b90fcb6_e75adb77" localSheetId="4">#REF!</definedName>
    <definedName name="_vena_DYNR_SMultiSiteS1_BMultiSiteB2_4b90fcb6_e75adb77" localSheetId="5">#REF!</definedName>
    <definedName name="_vena_DYNR_SMultiSiteS1_BMultiSiteB2_4b90fcb6_e75adb77" localSheetId="8">'[1]FY26 MYP-Multisite'!#REF!</definedName>
    <definedName name="_vena_DYNR_SMultiSiteS1_BMultiSiteB2_4b90fcb6_e75adb77" localSheetId="3">#REF!</definedName>
    <definedName name="_vena_DYNR_SMultiSiteS1_BMultiSiteB2_4b90fcb6_e75adb77">#REF!</definedName>
    <definedName name="_vena_DYNR_SMultiSiteS1_BMultiSiteB2_4b90fcb6_ec213a40" localSheetId="4">#REF!</definedName>
    <definedName name="_vena_DYNR_SMultiSiteS1_BMultiSiteB2_4b90fcb6_ec213a40" localSheetId="5">#REF!</definedName>
    <definedName name="_vena_DYNR_SMultiSiteS1_BMultiSiteB2_4b90fcb6_ec213a40" localSheetId="8">'[1]FY26 MYP-Multisite'!#REF!</definedName>
    <definedName name="_vena_DYNR_SMultiSiteS1_BMultiSiteB2_4b90fcb6_ec213a40" localSheetId="3">#REF!</definedName>
    <definedName name="_vena_DYNR_SMultiSiteS1_BMultiSiteB2_4b90fcb6_ec213a40">#REF!</definedName>
    <definedName name="_vena_DYNR_SMultiSiteS1_BMultiSiteB2_4b90fcb6_f34daad5" localSheetId="4">#REF!</definedName>
    <definedName name="_vena_DYNR_SMultiSiteS1_BMultiSiteB2_4b90fcb6_f34daad5" localSheetId="5">#REF!</definedName>
    <definedName name="_vena_DYNR_SMultiSiteS1_BMultiSiteB2_4b90fcb6_f34daad5" localSheetId="8">'[1]FY26 MYP-Multisite'!#REF!</definedName>
    <definedName name="_vena_DYNR_SMultiSiteS1_BMultiSiteB2_4b90fcb6_f34daad5" localSheetId="3">#REF!</definedName>
    <definedName name="_vena_DYNR_SMultiSiteS1_BMultiSiteB2_4b90fcb6_f34daad5">#REF!</definedName>
    <definedName name="_vena_DYNR_SMultiSiteS1_BMultiSiteB2_4b90fcb6_f54d74c2" localSheetId="4">#REF!</definedName>
    <definedName name="_vena_DYNR_SMultiSiteS1_BMultiSiteB2_4b90fcb6_f54d74c2" localSheetId="5">#REF!</definedName>
    <definedName name="_vena_DYNR_SMultiSiteS1_BMultiSiteB2_4b90fcb6_f54d74c2" localSheetId="8">'[1]FY26 MYP-Multisite'!#REF!</definedName>
    <definedName name="_vena_DYNR_SMultiSiteS1_BMultiSiteB2_4b90fcb6_f54d74c2" localSheetId="3">#REF!</definedName>
    <definedName name="_vena_DYNR_SMultiSiteS1_BMultiSiteB2_4b90fcb6_f54d74c2">#REF!</definedName>
    <definedName name="_vena_DYNR_SMultiSiteS1_BMultiSiteB2_4b90fcb6_f71decd2" localSheetId="4">#REF!</definedName>
    <definedName name="_vena_DYNR_SMultiSiteS1_BMultiSiteB2_4b90fcb6_f71decd2" localSheetId="5">#REF!</definedName>
    <definedName name="_vena_DYNR_SMultiSiteS1_BMultiSiteB2_4b90fcb6_f71decd2" localSheetId="8">'[1]FY26 MYP-Multisite'!#REF!</definedName>
    <definedName name="_vena_DYNR_SMultiSiteS1_BMultiSiteB2_4b90fcb6_f71decd2" localSheetId="3">#REF!</definedName>
    <definedName name="_vena_DYNR_SMultiSiteS1_BMultiSiteB2_4b90fcb6_f71decd2">#REF!</definedName>
    <definedName name="_vena_DYNR_SMultiSiteS1_BMultiSiteB2_4b90fcb6_f7a34fd4" localSheetId="4">#REF!</definedName>
    <definedName name="_vena_DYNR_SMultiSiteS1_BMultiSiteB2_4b90fcb6_f7a34fd4" localSheetId="5">#REF!</definedName>
    <definedName name="_vena_DYNR_SMultiSiteS1_BMultiSiteB2_4b90fcb6_f7a34fd4" localSheetId="8">'[1]FY26 MYP-Multisite'!#REF!</definedName>
    <definedName name="_vena_DYNR_SMultiSiteS1_BMultiSiteB2_4b90fcb6_f7a34fd4" localSheetId="3">#REF!</definedName>
    <definedName name="_vena_DYNR_SMultiSiteS1_BMultiSiteB2_4b90fcb6_f7a34fd4">#REF!</definedName>
    <definedName name="_vena_DYNR_SMultiSiteS1_BMultiSiteB2_4b90fcb6_fc5dd1ae" localSheetId="4">#REF!</definedName>
    <definedName name="_vena_DYNR_SMultiSiteS1_BMultiSiteB2_4b90fcb6_fc5dd1ae" localSheetId="5">#REF!</definedName>
    <definedName name="_vena_DYNR_SMultiSiteS1_BMultiSiteB2_4b90fcb6_fc5dd1ae" localSheetId="8">'[1]FY26 MYP-Multisite'!#REF!</definedName>
    <definedName name="_vena_DYNR_SMultiSiteS1_BMultiSiteB2_4b90fcb6_fc5dd1ae" localSheetId="3">#REF!</definedName>
    <definedName name="_vena_DYNR_SMultiSiteS1_BMultiSiteB2_4b90fcb6_fc5dd1ae">#REF!</definedName>
    <definedName name="_vena_DYNR_SMultiSiteS1_BMultiSiteB2_4b90fcb6_fe23137c" localSheetId="4">#REF!</definedName>
    <definedName name="_vena_DYNR_SMultiSiteS1_BMultiSiteB2_4b90fcb6_fe23137c" localSheetId="5">#REF!</definedName>
    <definedName name="_vena_DYNR_SMultiSiteS1_BMultiSiteB2_4b90fcb6_fe23137c" localSheetId="8">'[1]FY26 MYP-Multisite'!#REF!</definedName>
    <definedName name="_vena_DYNR_SMultiSiteS1_BMultiSiteB2_4b90fcb6_fe23137c" localSheetId="3">#REF!</definedName>
    <definedName name="_vena_DYNR_SMultiSiteS1_BMultiSiteB2_4b90fcb6_fe23137c">#REF!</definedName>
    <definedName name="_vena_DYNR_SMultiSiteS1_BMultiSiteB2_4b90fcb6_ffd2cdb2" localSheetId="4">#REF!</definedName>
    <definedName name="_vena_DYNR_SMultiSiteS1_BMultiSiteB2_4b90fcb6_ffd2cdb2" localSheetId="5">#REF!</definedName>
    <definedName name="_vena_DYNR_SMultiSiteS1_BMultiSiteB2_4b90fcb6_ffd2cdb2" localSheetId="8">'[1]FY26 MYP-Multisite'!#REF!</definedName>
    <definedName name="_vena_DYNR_SMultiSiteS1_BMultiSiteB2_4b90fcb6_ffd2cdb2" localSheetId="3">#REF!</definedName>
    <definedName name="_vena_DYNR_SMultiSiteS1_BMultiSiteB2_4b90fcb6_ffd2cdb2">#REF!</definedName>
    <definedName name="_vena_DYNR_SMultiSiteS1_BMultiSiteB2_54fc70d7" localSheetId="4">#REF!</definedName>
    <definedName name="_vena_DYNR_SMultiSiteS1_BMultiSiteB2_54fc70d7" localSheetId="5">#REF!</definedName>
    <definedName name="_vena_DYNR_SMultiSiteS1_BMultiSiteB2_54fc70d7" localSheetId="8">'[1]FY26 MYP-Multisite'!#REF!</definedName>
    <definedName name="_vena_DYNR_SMultiSiteS1_BMultiSiteB2_54fc70d7" localSheetId="3">#REF!</definedName>
    <definedName name="_vena_DYNR_SMultiSiteS1_BMultiSiteB2_54fc70d7">#REF!</definedName>
    <definedName name="_vena_DYNR_SMultiSiteS1_BMultiSiteB2_54fc70d7_12316d49" localSheetId="4">#REF!</definedName>
    <definedName name="_vena_DYNR_SMultiSiteS1_BMultiSiteB2_54fc70d7_12316d49" localSheetId="5">#REF!</definedName>
    <definedName name="_vena_DYNR_SMultiSiteS1_BMultiSiteB2_54fc70d7_12316d49" localSheetId="8">'[1]FY26 MYP-Multisite'!#REF!</definedName>
    <definedName name="_vena_DYNR_SMultiSiteS1_BMultiSiteB2_54fc70d7_12316d49" localSheetId="3">#REF!</definedName>
    <definedName name="_vena_DYNR_SMultiSiteS1_BMultiSiteB2_54fc70d7_12316d49">#REF!</definedName>
    <definedName name="_vena_DYNR_SMultiSiteS1_BMultiSiteB2_54fc70d7_191857c8" localSheetId="4">#REF!</definedName>
    <definedName name="_vena_DYNR_SMultiSiteS1_BMultiSiteB2_54fc70d7_191857c8" localSheetId="5">#REF!</definedName>
    <definedName name="_vena_DYNR_SMultiSiteS1_BMultiSiteB2_54fc70d7_191857c8" localSheetId="8">'[1]FY26 MYP-Multisite'!#REF!</definedName>
    <definedName name="_vena_DYNR_SMultiSiteS1_BMultiSiteB2_54fc70d7_191857c8" localSheetId="3">#REF!</definedName>
    <definedName name="_vena_DYNR_SMultiSiteS1_BMultiSiteB2_54fc70d7_191857c8">#REF!</definedName>
    <definedName name="_vena_DYNR_SMultiSiteS1_BMultiSiteB2_54fc70d7_2e30fbf1" localSheetId="4">#REF!</definedName>
    <definedName name="_vena_DYNR_SMultiSiteS1_BMultiSiteB2_54fc70d7_2e30fbf1" localSheetId="5">#REF!</definedName>
    <definedName name="_vena_DYNR_SMultiSiteS1_BMultiSiteB2_54fc70d7_2e30fbf1" localSheetId="8">'[1]FY26 MYP-Multisite'!#REF!</definedName>
    <definedName name="_vena_DYNR_SMultiSiteS1_BMultiSiteB2_54fc70d7_2e30fbf1" localSheetId="3">#REF!</definedName>
    <definedName name="_vena_DYNR_SMultiSiteS1_BMultiSiteB2_54fc70d7_2e30fbf1">#REF!</definedName>
    <definedName name="_vena_DYNR_SMultiSiteS1_BMultiSiteB2_54fc70d7_59e2c4f0" localSheetId="4">#REF!</definedName>
    <definedName name="_vena_DYNR_SMultiSiteS1_BMultiSiteB2_54fc70d7_59e2c4f0" localSheetId="5">#REF!</definedName>
    <definedName name="_vena_DYNR_SMultiSiteS1_BMultiSiteB2_54fc70d7_59e2c4f0" localSheetId="8">'[1]FY26 MYP-Multisite'!#REF!</definedName>
    <definedName name="_vena_DYNR_SMultiSiteS1_BMultiSiteB2_54fc70d7_59e2c4f0" localSheetId="3">#REF!</definedName>
    <definedName name="_vena_DYNR_SMultiSiteS1_BMultiSiteB2_54fc70d7_59e2c4f0">#REF!</definedName>
    <definedName name="_vena_DYNR_SMultiSiteS1_BMultiSiteB2_54fc70d7_6e53584" localSheetId="4">#REF!</definedName>
    <definedName name="_vena_DYNR_SMultiSiteS1_BMultiSiteB2_54fc70d7_6e53584" localSheetId="5">#REF!</definedName>
    <definedName name="_vena_DYNR_SMultiSiteS1_BMultiSiteB2_54fc70d7_6e53584" localSheetId="8">'[1]FY26 MYP-Multisite'!#REF!</definedName>
    <definedName name="_vena_DYNR_SMultiSiteS1_BMultiSiteB2_54fc70d7_6e53584" localSheetId="3">#REF!</definedName>
    <definedName name="_vena_DYNR_SMultiSiteS1_BMultiSiteB2_54fc70d7_6e53584">#REF!</definedName>
    <definedName name="_vena_DYNR_SMultiSiteS1_BMultiSiteB2_54fc70d7_70624f1c" localSheetId="4">#REF!</definedName>
    <definedName name="_vena_DYNR_SMultiSiteS1_BMultiSiteB2_54fc70d7_70624f1c" localSheetId="5">#REF!</definedName>
    <definedName name="_vena_DYNR_SMultiSiteS1_BMultiSiteB2_54fc70d7_70624f1c" localSheetId="8">'[1]FY26 MYP-Multisite'!#REF!</definedName>
    <definedName name="_vena_DYNR_SMultiSiteS1_BMultiSiteB2_54fc70d7_70624f1c" localSheetId="3">#REF!</definedName>
    <definedName name="_vena_DYNR_SMultiSiteS1_BMultiSiteB2_54fc70d7_70624f1c">#REF!</definedName>
    <definedName name="_vena_DYNR_SMultiSiteS1_BMultiSiteB2_54fc70d7_70beb635" localSheetId="4">#REF!</definedName>
    <definedName name="_vena_DYNR_SMultiSiteS1_BMultiSiteB2_54fc70d7_70beb635" localSheetId="5">#REF!</definedName>
    <definedName name="_vena_DYNR_SMultiSiteS1_BMultiSiteB2_54fc70d7_70beb635" localSheetId="8">'[1]FY26 MYP-Multisite'!#REF!</definedName>
    <definedName name="_vena_DYNR_SMultiSiteS1_BMultiSiteB2_54fc70d7_70beb635" localSheetId="3">#REF!</definedName>
    <definedName name="_vena_DYNR_SMultiSiteS1_BMultiSiteB2_54fc70d7_70beb635">#REF!</definedName>
    <definedName name="_vena_DYNR_SMultiSiteS1_BMultiSiteB2_54fc70d7_7947919d" localSheetId="4">#REF!</definedName>
    <definedName name="_vena_DYNR_SMultiSiteS1_BMultiSiteB2_54fc70d7_7947919d" localSheetId="5">#REF!</definedName>
    <definedName name="_vena_DYNR_SMultiSiteS1_BMultiSiteB2_54fc70d7_7947919d" localSheetId="8">'[1]FY26 MYP-Multisite'!#REF!</definedName>
    <definedName name="_vena_DYNR_SMultiSiteS1_BMultiSiteB2_54fc70d7_7947919d" localSheetId="3">#REF!</definedName>
    <definedName name="_vena_DYNR_SMultiSiteS1_BMultiSiteB2_54fc70d7_7947919d">#REF!</definedName>
    <definedName name="_vena_DYNR_SMultiSiteS1_BMultiSiteB2_54fc70d7_8a2cb10d" localSheetId="4">#REF!</definedName>
    <definedName name="_vena_DYNR_SMultiSiteS1_BMultiSiteB2_54fc70d7_8a2cb10d" localSheetId="5">#REF!</definedName>
    <definedName name="_vena_DYNR_SMultiSiteS1_BMultiSiteB2_54fc70d7_8a2cb10d" localSheetId="8">'[1]FY26 MYP-Multisite'!#REF!</definedName>
    <definedName name="_vena_DYNR_SMultiSiteS1_BMultiSiteB2_54fc70d7_8a2cb10d" localSheetId="3">#REF!</definedName>
    <definedName name="_vena_DYNR_SMultiSiteS1_BMultiSiteB2_54fc70d7_8a2cb10d">#REF!</definedName>
    <definedName name="_vena_DYNR_SMultiSiteS1_BMultiSiteB2_54fc70d7_90ed77e8" localSheetId="4">#REF!</definedName>
    <definedName name="_vena_DYNR_SMultiSiteS1_BMultiSiteB2_54fc70d7_90ed77e8" localSheetId="5">#REF!</definedName>
    <definedName name="_vena_DYNR_SMultiSiteS1_BMultiSiteB2_54fc70d7_90ed77e8" localSheetId="8">'[1]FY26 MYP-Multisite'!#REF!</definedName>
    <definedName name="_vena_DYNR_SMultiSiteS1_BMultiSiteB2_54fc70d7_90ed77e8" localSheetId="3">#REF!</definedName>
    <definedName name="_vena_DYNR_SMultiSiteS1_BMultiSiteB2_54fc70d7_90ed77e8">#REF!</definedName>
    <definedName name="_vena_DYNR_SMultiSiteS1_BMultiSiteB2_54fc70d7_a70777d" localSheetId="4">#REF!</definedName>
    <definedName name="_vena_DYNR_SMultiSiteS1_BMultiSiteB2_54fc70d7_a70777d" localSheetId="5">#REF!</definedName>
    <definedName name="_vena_DYNR_SMultiSiteS1_BMultiSiteB2_54fc70d7_a70777d" localSheetId="8">'[1]FY26 MYP-Multisite'!#REF!</definedName>
    <definedName name="_vena_DYNR_SMultiSiteS1_BMultiSiteB2_54fc70d7_a70777d" localSheetId="3">#REF!</definedName>
    <definedName name="_vena_DYNR_SMultiSiteS1_BMultiSiteB2_54fc70d7_a70777d">#REF!</definedName>
    <definedName name="_vena_DYNR_SMultiSiteS1_BMultiSiteB2_54fc70d7_de2e917e" localSheetId="4">#REF!</definedName>
    <definedName name="_vena_DYNR_SMultiSiteS1_BMultiSiteB2_54fc70d7_de2e917e" localSheetId="5">#REF!</definedName>
    <definedName name="_vena_DYNR_SMultiSiteS1_BMultiSiteB2_54fc70d7_de2e917e" localSheetId="8">'[1]FY26 MYP-Multisite'!#REF!</definedName>
    <definedName name="_vena_DYNR_SMultiSiteS1_BMultiSiteB2_54fc70d7_de2e917e" localSheetId="3">#REF!</definedName>
    <definedName name="_vena_DYNR_SMultiSiteS1_BMultiSiteB2_54fc70d7_de2e917e">#REF!</definedName>
    <definedName name="_vena_DYNR_SMultiSiteS1_BMultiSiteB2_54fc70d7_f3b4873f" localSheetId="4">#REF!</definedName>
    <definedName name="_vena_DYNR_SMultiSiteS1_BMultiSiteB2_54fc70d7_f3b4873f" localSheetId="5">#REF!</definedName>
    <definedName name="_vena_DYNR_SMultiSiteS1_BMultiSiteB2_54fc70d7_f3b4873f" localSheetId="8">'[1]FY26 MYP-Multisite'!#REF!</definedName>
    <definedName name="_vena_DYNR_SMultiSiteS1_BMultiSiteB2_54fc70d7_f3b4873f" localSheetId="3">#REF!</definedName>
    <definedName name="_vena_DYNR_SMultiSiteS1_BMultiSiteB2_54fc70d7_f3b4873f">#REF!</definedName>
    <definedName name="_vena_DYNR_SMultiSiteS1_BMultiSiteB2_54fc70d7_f5037a4b" localSheetId="4">#REF!</definedName>
    <definedName name="_vena_DYNR_SMultiSiteS1_BMultiSiteB2_54fc70d7_f5037a4b" localSheetId="5">#REF!</definedName>
    <definedName name="_vena_DYNR_SMultiSiteS1_BMultiSiteB2_54fc70d7_f5037a4b" localSheetId="8">'[1]FY26 MYP-Multisite'!#REF!</definedName>
    <definedName name="_vena_DYNR_SMultiSiteS1_BMultiSiteB2_54fc70d7_f5037a4b" localSheetId="3">#REF!</definedName>
    <definedName name="_vena_DYNR_SMultiSiteS1_BMultiSiteB2_54fc70d7_f5037a4b">#REF!</definedName>
    <definedName name="_vena_DYNR_SMultiSiteS1_BMultiSiteB2_56d6ffcb">#REF!</definedName>
    <definedName name="_vena_DYNR_SMultiSiteS1_BMultiSiteB2_56d6ffcb_11ca81c4">#REF!</definedName>
    <definedName name="_vena_DYNR_SMultiSiteS1_BMultiSiteB2_56d6ffcb_242cc46b">#REF!</definedName>
    <definedName name="_vena_DYNR_SMultiSiteS1_BMultiSiteB2_56d6ffcb_2a0a9d8b">#REF!</definedName>
    <definedName name="_vena_DYNR_SMultiSiteS1_BMultiSiteB2_56d6ffcb_2bc2581b">#REF!</definedName>
    <definedName name="_vena_DYNR_SMultiSiteS1_BMultiSiteB2_56d6ffcb_30803470">#REF!</definedName>
    <definedName name="_vena_DYNR_SMultiSiteS1_BMultiSiteB2_56d6ffcb_30d42891">#REF!</definedName>
    <definedName name="_vena_DYNR_SMultiSiteS1_BMultiSiteB2_56d6ffcb_31332b0">#REF!</definedName>
    <definedName name="_vena_DYNR_SMultiSiteS1_BMultiSiteB2_56d6ffcb_4a0134ce">#REF!</definedName>
    <definedName name="_vena_DYNR_SMultiSiteS1_BMultiSiteB2_56d6ffcb_518ea923">#REF!</definedName>
    <definedName name="_vena_DYNR_SMultiSiteS1_BMultiSiteB2_56d6ffcb_82dee559">#REF!</definedName>
    <definedName name="_vena_DYNR_SMultiSiteS1_BMultiSiteB2_56d6ffcb_a9f91775">#REF!</definedName>
    <definedName name="_vena_DYNR_SMultiSiteS1_BMultiSiteB2_56d6ffcb_ac32bd65">#REF!</definedName>
    <definedName name="_vena_DYNR_SMultiSiteS1_BMultiSiteB2_56d6ffcb_b06f9499">#REF!</definedName>
    <definedName name="_vena_DYNR_SMultiSiteS1_BMultiSiteB2_56d6ffcb_b5a3b1a8">#REF!</definedName>
    <definedName name="_vena_DYNR_SMultiSiteS1_BMultiSiteB2_56d6ffcb_d5c2999e">#REF!</definedName>
    <definedName name="_vena_DYNR_SMultiSiteS1_BMultiSiteB2_56d6ffcb_e5c5c7d6">#REF!</definedName>
    <definedName name="_vena_DYNR_SMultiSiteS1_BMultiSiteB2_56d6ffcb_ef05643e">#REF!</definedName>
    <definedName name="_vena_DYNR_SMultiSiteS1_BMultiSiteB2_56d6ffcb_f7d673ce">#REF!</definedName>
    <definedName name="_vena_DYNR_SMultiSiteS1_BMultiSiteB2_56d6ffcb_fd2c481a">#REF!</definedName>
    <definedName name="_vena_DYNR_SMultiSiteS1_BMultiSiteB2_5e8b10b">#REF!</definedName>
    <definedName name="_vena_DYNR_SMultiSiteS1_BMultiSiteB2_5e8b10b_173fb936">#REF!</definedName>
    <definedName name="_vena_DYNR_SMultiSiteS1_BMultiSiteB2_5e8b10b_17d347d6">#REF!</definedName>
    <definedName name="_vena_DYNR_SMultiSiteS1_BMultiSiteB2_5e8b10b_35f4de7b">#REF!</definedName>
    <definedName name="_vena_DYNR_SMultiSiteS1_BMultiSiteB2_5e8b10b_3bad1bea">#REF!</definedName>
    <definedName name="_vena_DYNR_SMultiSiteS1_BMultiSiteB2_5e8b10b_3dbe7bcf">#REF!</definedName>
    <definedName name="_vena_DYNR_SMultiSiteS1_BMultiSiteB2_5e8b10b_4fb038e0">#REF!</definedName>
    <definedName name="_vena_DYNR_SMultiSiteS1_BMultiSiteB2_5e8b10b_5324821c">#REF!</definedName>
    <definedName name="_vena_DYNR_SMultiSiteS1_BMultiSiteB2_5e8b10b_53cc57fa">#REF!</definedName>
    <definedName name="_vena_DYNR_SMultiSiteS1_BMultiSiteB2_5e8b10b_614b1e4b">#REF!</definedName>
    <definedName name="_vena_DYNR_SMultiSiteS1_BMultiSiteB2_5e8b10b_61c63ce0">#REF!</definedName>
    <definedName name="_vena_DYNR_SMultiSiteS1_BMultiSiteB2_5e8b10b_6d64a9c5">#REF!</definedName>
    <definedName name="_vena_DYNR_SMultiSiteS1_BMultiSiteB2_5e8b10b_7bff372a">#REF!</definedName>
    <definedName name="_vena_DYNR_SMultiSiteS1_BMultiSiteB2_5e8b10b_815efacd">#REF!</definedName>
    <definedName name="_vena_DYNR_SMultiSiteS1_BMultiSiteB2_5e8b10b_91742918">#REF!</definedName>
    <definedName name="_vena_DYNR_SMultiSiteS1_BMultiSiteB2_5e8b10b_9aa7b296">#REF!</definedName>
    <definedName name="_vena_DYNR_SMultiSiteS1_BMultiSiteB2_5e8b10b_a539e230">#REF!</definedName>
    <definedName name="_vena_DYNR_SMultiSiteS1_BMultiSiteB2_5e8b10b_bddab70b">#REF!</definedName>
    <definedName name="_vena_DYNR_SMultiSiteS1_BMultiSiteB2_5e8b10b_d47e497d">#REF!</definedName>
    <definedName name="_vena_DYNR_SMultiSiteS1_BMultiSiteB2_5e8b10b_d73342e0">#REF!</definedName>
    <definedName name="_vena_DYNR_SMultiSiteS1_BMultiSiteB2_5e8b10b_d96201f">#REF!</definedName>
    <definedName name="_vena_DYNR_SMultiSiteS1_BMultiSiteB2_5e8b10b_dbc7eb5c">#REF!</definedName>
    <definedName name="_vena_DYNR_SMultiSiteS1_BMultiSiteB2_5e8b10b_dc4f3ae6">#REF!</definedName>
    <definedName name="_vena_DYNR_SMultiSiteS1_BMultiSiteB2_5e8b10b_e3b3fd15">#REF!</definedName>
    <definedName name="_vena_DYNR_SMultiSiteS1_BMultiSiteB2_5e8b10b_e6da5653">#REF!</definedName>
    <definedName name="_vena_DYNR_SMultiSiteS1_BMultiSiteB2_5e8b10b_e9faa543">#REF!</definedName>
    <definedName name="_vena_DYNR_SMultiSiteS1_BMultiSiteB2_5e8b10b_f695ab83">#REF!</definedName>
    <definedName name="_vena_DYNR_SMultiSiteS1_BMultiSiteB2_5ea01f22" localSheetId="4">#REF!</definedName>
    <definedName name="_vena_DYNR_SMultiSiteS1_BMultiSiteB2_5ea01f22" localSheetId="5">#REF!</definedName>
    <definedName name="_vena_DYNR_SMultiSiteS1_BMultiSiteB2_5ea01f22" localSheetId="8">'[1]FY26 MYP-Multisite'!#REF!</definedName>
    <definedName name="_vena_DYNR_SMultiSiteS1_BMultiSiteB2_5ea01f22" localSheetId="3">#REF!</definedName>
    <definedName name="_vena_DYNR_SMultiSiteS1_BMultiSiteB2_5ea01f22">#REF!</definedName>
    <definedName name="_vena_DYNR_SMultiSiteS1_BMultiSiteB2_5ea01f22_1452b2e7" localSheetId="4">#REF!</definedName>
    <definedName name="_vena_DYNR_SMultiSiteS1_BMultiSiteB2_5ea01f22_1452b2e7" localSheetId="5">#REF!</definedName>
    <definedName name="_vena_DYNR_SMultiSiteS1_BMultiSiteB2_5ea01f22_1452b2e7" localSheetId="8">'[1]FY26 MYP-Multisite'!#REF!</definedName>
    <definedName name="_vena_DYNR_SMultiSiteS1_BMultiSiteB2_5ea01f22_1452b2e7" localSheetId="3">#REF!</definedName>
    <definedName name="_vena_DYNR_SMultiSiteS1_BMultiSiteB2_5ea01f22_1452b2e7">#REF!</definedName>
    <definedName name="_vena_DYNR_SMultiSiteS1_BMultiSiteB2_5ea01f22_2e979c04" localSheetId="4">#REF!</definedName>
    <definedName name="_vena_DYNR_SMultiSiteS1_BMultiSiteB2_5ea01f22_2e979c04" localSheetId="5">#REF!</definedName>
    <definedName name="_vena_DYNR_SMultiSiteS1_BMultiSiteB2_5ea01f22_2e979c04" localSheetId="8">'[1]FY26 MYP-Multisite'!#REF!</definedName>
    <definedName name="_vena_DYNR_SMultiSiteS1_BMultiSiteB2_5ea01f22_2e979c04" localSheetId="3">#REF!</definedName>
    <definedName name="_vena_DYNR_SMultiSiteS1_BMultiSiteB2_5ea01f22_2e979c04">#REF!</definedName>
    <definedName name="_vena_DYNR_SMultiSiteS1_BMultiSiteB2_5ea01f22_353d41f2" localSheetId="4">#REF!</definedName>
    <definedName name="_vena_DYNR_SMultiSiteS1_BMultiSiteB2_5ea01f22_353d41f2" localSheetId="5">#REF!</definedName>
    <definedName name="_vena_DYNR_SMultiSiteS1_BMultiSiteB2_5ea01f22_353d41f2" localSheetId="8">'[1]FY26 MYP-Multisite'!#REF!</definedName>
    <definedName name="_vena_DYNR_SMultiSiteS1_BMultiSiteB2_5ea01f22_353d41f2" localSheetId="3">#REF!</definedName>
    <definedName name="_vena_DYNR_SMultiSiteS1_BMultiSiteB2_5ea01f22_353d41f2">#REF!</definedName>
    <definedName name="_vena_DYNR_SMultiSiteS1_BMultiSiteB2_5ea01f22_35d53d7c" localSheetId="4">#REF!</definedName>
    <definedName name="_vena_DYNR_SMultiSiteS1_BMultiSiteB2_5ea01f22_35d53d7c" localSheetId="5">#REF!</definedName>
    <definedName name="_vena_DYNR_SMultiSiteS1_BMultiSiteB2_5ea01f22_35d53d7c" localSheetId="8">'[1]FY26 MYP-Multisite'!#REF!</definedName>
    <definedName name="_vena_DYNR_SMultiSiteS1_BMultiSiteB2_5ea01f22_35d53d7c" localSheetId="3">#REF!</definedName>
    <definedName name="_vena_DYNR_SMultiSiteS1_BMultiSiteB2_5ea01f22_35d53d7c">#REF!</definedName>
    <definedName name="_vena_DYNR_SMultiSiteS1_BMultiSiteB2_5ea01f22_5383409f" localSheetId="4">#REF!</definedName>
    <definedName name="_vena_DYNR_SMultiSiteS1_BMultiSiteB2_5ea01f22_5383409f" localSheetId="5">#REF!</definedName>
    <definedName name="_vena_DYNR_SMultiSiteS1_BMultiSiteB2_5ea01f22_5383409f" localSheetId="8">'[1]FY26 MYP-Multisite'!#REF!</definedName>
    <definedName name="_vena_DYNR_SMultiSiteS1_BMultiSiteB2_5ea01f22_5383409f" localSheetId="3">#REF!</definedName>
    <definedName name="_vena_DYNR_SMultiSiteS1_BMultiSiteB2_5ea01f22_5383409f">#REF!</definedName>
    <definedName name="_vena_DYNR_SMultiSiteS1_BMultiSiteB2_5ea01f22_a097430e" localSheetId="4">#REF!</definedName>
    <definedName name="_vena_DYNR_SMultiSiteS1_BMultiSiteB2_5ea01f22_a097430e" localSheetId="5">#REF!</definedName>
    <definedName name="_vena_DYNR_SMultiSiteS1_BMultiSiteB2_5ea01f22_a097430e" localSheetId="8">'[1]FY26 MYP-Multisite'!#REF!</definedName>
    <definedName name="_vena_DYNR_SMultiSiteS1_BMultiSiteB2_5ea01f22_a097430e" localSheetId="3">#REF!</definedName>
    <definedName name="_vena_DYNR_SMultiSiteS1_BMultiSiteB2_5ea01f22_a097430e">#REF!</definedName>
    <definedName name="_vena_DYNR_SMultiSiteS1_BMultiSiteB2_5ea01f22_b0069b14" localSheetId="4">#REF!</definedName>
    <definedName name="_vena_DYNR_SMultiSiteS1_BMultiSiteB2_5ea01f22_b0069b14" localSheetId="5">#REF!</definedName>
    <definedName name="_vena_DYNR_SMultiSiteS1_BMultiSiteB2_5ea01f22_b0069b14" localSheetId="8">'[1]FY26 MYP-Multisite'!#REF!</definedName>
    <definedName name="_vena_DYNR_SMultiSiteS1_BMultiSiteB2_5ea01f22_b0069b14" localSheetId="3">#REF!</definedName>
    <definedName name="_vena_DYNR_SMultiSiteS1_BMultiSiteB2_5ea01f22_b0069b14">#REF!</definedName>
    <definedName name="_vena_DYNR_SMultiSiteS1_BMultiSiteB2_5ea01f22_bd588e01" localSheetId="4">#REF!</definedName>
    <definedName name="_vena_DYNR_SMultiSiteS1_BMultiSiteB2_5ea01f22_bd588e01" localSheetId="5">#REF!</definedName>
    <definedName name="_vena_DYNR_SMultiSiteS1_BMultiSiteB2_5ea01f22_bd588e01" localSheetId="8">'[1]FY26 MYP-Multisite'!#REF!</definedName>
    <definedName name="_vena_DYNR_SMultiSiteS1_BMultiSiteB2_5ea01f22_bd588e01" localSheetId="3">#REF!</definedName>
    <definedName name="_vena_DYNR_SMultiSiteS1_BMultiSiteB2_5ea01f22_bd588e01">#REF!</definedName>
    <definedName name="_vena_DYNR_SMultiSiteS1_BMultiSiteB2_5ea01f22_c0bc4c5f" localSheetId="4">#REF!</definedName>
    <definedName name="_vena_DYNR_SMultiSiteS1_BMultiSiteB2_5ea01f22_c0bc4c5f" localSheetId="5">#REF!</definedName>
    <definedName name="_vena_DYNR_SMultiSiteS1_BMultiSiteB2_5ea01f22_c0bc4c5f" localSheetId="8">'[1]FY26 MYP-Multisite'!#REF!</definedName>
    <definedName name="_vena_DYNR_SMultiSiteS1_BMultiSiteB2_5ea01f22_c0bc4c5f" localSheetId="3">#REF!</definedName>
    <definedName name="_vena_DYNR_SMultiSiteS1_BMultiSiteB2_5ea01f22_c0bc4c5f">#REF!</definedName>
    <definedName name="_vena_DYNR_SMultiSiteS1_BMultiSiteB2_5ea01f22_e137926e" localSheetId="4">#REF!</definedName>
    <definedName name="_vena_DYNR_SMultiSiteS1_BMultiSiteB2_5ea01f22_e137926e" localSheetId="5">#REF!</definedName>
    <definedName name="_vena_DYNR_SMultiSiteS1_BMultiSiteB2_5ea01f22_e137926e" localSheetId="8">'[1]FY26 MYP-Multisite'!#REF!</definedName>
    <definedName name="_vena_DYNR_SMultiSiteS1_BMultiSiteB2_5ea01f22_e137926e" localSheetId="3">#REF!</definedName>
    <definedName name="_vena_DYNR_SMultiSiteS1_BMultiSiteB2_5ea01f22_e137926e">#REF!</definedName>
    <definedName name="_vena_DYNR_SMultiSiteS1_BMultiSiteB2_5ea01f22_e46642b6" localSheetId="4">#REF!</definedName>
    <definedName name="_vena_DYNR_SMultiSiteS1_BMultiSiteB2_5ea01f22_e46642b6" localSheetId="5">#REF!</definedName>
    <definedName name="_vena_DYNR_SMultiSiteS1_BMultiSiteB2_5ea01f22_e46642b6" localSheetId="8">'[1]FY26 MYP-Multisite'!#REF!</definedName>
    <definedName name="_vena_DYNR_SMultiSiteS1_BMultiSiteB2_5ea01f22_e46642b6" localSheetId="3">#REF!</definedName>
    <definedName name="_vena_DYNR_SMultiSiteS1_BMultiSiteB2_5ea01f22_e46642b6">#REF!</definedName>
    <definedName name="_vena_DYNR_SMultiSiteS1_BMultiSiteB2_5ea01f22_f2962bf6" localSheetId="4">#REF!</definedName>
    <definedName name="_vena_DYNR_SMultiSiteS1_BMultiSiteB2_5ea01f22_f2962bf6" localSheetId="5">#REF!</definedName>
    <definedName name="_vena_DYNR_SMultiSiteS1_BMultiSiteB2_5ea01f22_f2962bf6" localSheetId="8">'[1]FY26 MYP-Multisite'!#REF!</definedName>
    <definedName name="_vena_DYNR_SMultiSiteS1_BMultiSiteB2_5ea01f22_f2962bf6" localSheetId="3">#REF!</definedName>
    <definedName name="_vena_DYNR_SMultiSiteS1_BMultiSiteB2_5ea01f22_f2962bf6">#REF!</definedName>
    <definedName name="_vena_DYNR_SMultiSiteS1_BMultiSiteB2_629da46f">#REF!</definedName>
    <definedName name="_vena_DYNR_SMultiSiteS1_BMultiSiteB2_629da46f_1a5845ca">#REF!</definedName>
    <definedName name="_vena_DYNR_SMultiSiteS1_BMultiSiteB2_629da46f_246a44ac">#REF!</definedName>
    <definedName name="_vena_DYNR_SMultiSiteS1_BMultiSiteB2_629da46f_3ab8beee">#REF!</definedName>
    <definedName name="_vena_DYNR_SMultiSiteS1_BMultiSiteB2_629da46f_3db86635">#REF!</definedName>
    <definedName name="_vena_DYNR_SMultiSiteS1_BMultiSiteB2_629da46f_3e3bbd35">#REF!</definedName>
    <definedName name="_vena_DYNR_SMultiSiteS1_BMultiSiteB2_629da46f_5357e43f">#REF!</definedName>
    <definedName name="_vena_DYNR_SMultiSiteS1_BMultiSiteB2_629da46f_5512fdae">#REF!</definedName>
    <definedName name="_vena_DYNR_SMultiSiteS1_BMultiSiteB2_629da46f_5bdc3b30">#REF!</definedName>
    <definedName name="_vena_DYNR_SMultiSiteS1_BMultiSiteB2_629da46f_65039506">#REF!</definedName>
    <definedName name="_vena_DYNR_SMultiSiteS1_BMultiSiteB2_629da46f_71f0d8cb">#REF!</definedName>
    <definedName name="_vena_DYNR_SMultiSiteS1_BMultiSiteB2_629da46f_76cb689a">#REF!</definedName>
    <definedName name="_vena_DYNR_SMultiSiteS1_BMultiSiteB2_629da46f_770dce63">#REF!</definedName>
    <definedName name="_vena_DYNR_SMultiSiteS1_BMultiSiteB2_629da46f_785c847">#REF!</definedName>
    <definedName name="_vena_DYNR_SMultiSiteS1_BMultiSiteB2_629da46f_7a733a9b">#REF!</definedName>
    <definedName name="_vena_DYNR_SMultiSiteS1_BMultiSiteB2_629da46f_9585e25">#REF!</definedName>
    <definedName name="_vena_DYNR_SMultiSiteS1_BMultiSiteB2_629da46f_a1390234">#REF!</definedName>
    <definedName name="_vena_DYNR_SMultiSiteS1_BMultiSiteB2_629da46f_ae9530c5">#REF!</definedName>
    <definedName name="_vena_DYNR_SMultiSiteS1_BMultiSiteB2_629da46f_b0403cd9">#REF!</definedName>
    <definedName name="_vena_DYNR_SMultiSiteS1_BMultiSiteB2_629da46f_b23d85f4">#REF!</definedName>
    <definedName name="_vena_DYNR_SMultiSiteS1_BMultiSiteB2_629da46f_b479f73c">#REF!</definedName>
    <definedName name="_vena_DYNR_SMultiSiteS1_BMultiSiteB2_629da46f_d11bb2e">#REF!</definedName>
    <definedName name="_vena_DYNR_SMultiSiteS1_BMultiSiteB2_629da46f_d2bd6057">#REF!</definedName>
    <definedName name="_vena_DYNR_SMultiSiteS1_BMultiSiteB2_629da46f_d809fdbb">#REF!</definedName>
    <definedName name="_vena_DYNR_SMultiSiteS1_BMultiSiteB2_629da46f_d90fc83d">#REF!</definedName>
    <definedName name="_vena_DYNR_SMultiSiteS1_BMultiSiteB2_629da46f_dc9ec76a">#REF!</definedName>
    <definedName name="_vena_DYNR_SMultiSiteS1_BMultiSiteB2_629da46f_e9650db4">#REF!</definedName>
    <definedName name="_vena_DYNR_SMultiSiteS1_BMultiSiteB2_629da46f_ebf383b6">#REF!</definedName>
    <definedName name="_vena_DYNR_SMultiSiteS1_BMultiSiteB2_629da46f_f2d47419">#REF!</definedName>
    <definedName name="_vena_DYNR_SMultiSiteS1_BMultiSiteB2_629da46f_f78230e6">#REF!</definedName>
    <definedName name="_vena_DYNR_SMultiSiteS1_BMultiSiteB2_629da46f_f9c9a26b">#REF!</definedName>
    <definedName name="_vena_DYNR_SMultiSiteS1_BMultiSiteB2_774615db" localSheetId="4">#REF!</definedName>
    <definedName name="_vena_DYNR_SMultiSiteS1_BMultiSiteB2_774615db" localSheetId="5">#REF!</definedName>
    <definedName name="_vena_DYNR_SMultiSiteS1_BMultiSiteB2_774615db" localSheetId="8">'[1]FY26 MYP-Multisite'!#REF!</definedName>
    <definedName name="_vena_DYNR_SMultiSiteS1_BMultiSiteB2_774615db" localSheetId="3">#REF!</definedName>
    <definedName name="_vena_DYNR_SMultiSiteS1_BMultiSiteB2_774615db">#REF!</definedName>
    <definedName name="_vena_DYNR_SMultiSiteS1_BMultiSiteB2_774615db_119fc720" localSheetId="4">#REF!</definedName>
    <definedName name="_vena_DYNR_SMultiSiteS1_BMultiSiteB2_774615db_119fc720" localSheetId="5">#REF!</definedName>
    <definedName name="_vena_DYNR_SMultiSiteS1_BMultiSiteB2_774615db_119fc720" localSheetId="8">'[1]FY26 MYP-Multisite'!#REF!</definedName>
    <definedName name="_vena_DYNR_SMultiSiteS1_BMultiSiteB2_774615db_119fc720" localSheetId="3">#REF!</definedName>
    <definedName name="_vena_DYNR_SMultiSiteS1_BMultiSiteB2_774615db_119fc720">#REF!</definedName>
    <definedName name="_vena_DYNR_SMultiSiteS1_BMultiSiteB2_774615db_1335eea8" localSheetId="4">#REF!</definedName>
    <definedName name="_vena_DYNR_SMultiSiteS1_BMultiSiteB2_774615db_1335eea8" localSheetId="5">#REF!</definedName>
    <definedName name="_vena_DYNR_SMultiSiteS1_BMultiSiteB2_774615db_1335eea8" localSheetId="8">'[1]FY26 MYP-Multisite'!#REF!</definedName>
    <definedName name="_vena_DYNR_SMultiSiteS1_BMultiSiteB2_774615db_1335eea8" localSheetId="3">#REF!</definedName>
    <definedName name="_vena_DYNR_SMultiSiteS1_BMultiSiteB2_774615db_1335eea8">#REF!</definedName>
    <definedName name="_vena_DYNR_SMultiSiteS1_BMultiSiteB2_774615db_2b434b1" localSheetId="4">#REF!</definedName>
    <definedName name="_vena_DYNR_SMultiSiteS1_BMultiSiteB2_774615db_2b434b1" localSheetId="5">#REF!</definedName>
    <definedName name="_vena_DYNR_SMultiSiteS1_BMultiSiteB2_774615db_2b434b1" localSheetId="8">'[1]FY26 MYP-Multisite'!#REF!</definedName>
    <definedName name="_vena_DYNR_SMultiSiteS1_BMultiSiteB2_774615db_2b434b1" localSheetId="3">#REF!</definedName>
    <definedName name="_vena_DYNR_SMultiSiteS1_BMultiSiteB2_774615db_2b434b1">#REF!</definedName>
    <definedName name="_vena_DYNR_SMultiSiteS1_BMultiSiteB2_774615db_2e646fef" localSheetId="4">#REF!</definedName>
    <definedName name="_vena_DYNR_SMultiSiteS1_BMultiSiteB2_774615db_2e646fef" localSheetId="5">#REF!</definedName>
    <definedName name="_vena_DYNR_SMultiSiteS1_BMultiSiteB2_774615db_2e646fef" localSheetId="8">'[1]FY26 MYP-Multisite'!#REF!</definedName>
    <definedName name="_vena_DYNR_SMultiSiteS1_BMultiSiteB2_774615db_2e646fef" localSheetId="3">#REF!</definedName>
    <definedName name="_vena_DYNR_SMultiSiteS1_BMultiSiteB2_774615db_2e646fef">#REF!</definedName>
    <definedName name="_vena_DYNR_SMultiSiteS1_BMultiSiteB2_774615db_352db309" localSheetId="4">#REF!</definedName>
    <definedName name="_vena_DYNR_SMultiSiteS1_BMultiSiteB2_774615db_352db309" localSheetId="5">#REF!</definedName>
    <definedName name="_vena_DYNR_SMultiSiteS1_BMultiSiteB2_774615db_352db309" localSheetId="8">'[1]FY26 MYP-Multisite'!#REF!</definedName>
    <definedName name="_vena_DYNR_SMultiSiteS1_BMultiSiteB2_774615db_352db309" localSheetId="3">#REF!</definedName>
    <definedName name="_vena_DYNR_SMultiSiteS1_BMultiSiteB2_774615db_352db309">#REF!</definedName>
    <definedName name="_vena_DYNR_SMultiSiteS1_BMultiSiteB2_774615db_3aaa19e3" localSheetId="4">#REF!</definedName>
    <definedName name="_vena_DYNR_SMultiSiteS1_BMultiSiteB2_774615db_3aaa19e3" localSheetId="5">#REF!</definedName>
    <definedName name="_vena_DYNR_SMultiSiteS1_BMultiSiteB2_774615db_3aaa19e3" localSheetId="8">'[1]FY26 MYP-Multisite'!#REF!</definedName>
    <definedName name="_vena_DYNR_SMultiSiteS1_BMultiSiteB2_774615db_3aaa19e3" localSheetId="3">#REF!</definedName>
    <definedName name="_vena_DYNR_SMultiSiteS1_BMultiSiteB2_774615db_3aaa19e3">#REF!</definedName>
    <definedName name="_vena_DYNR_SMultiSiteS1_BMultiSiteB2_774615db_46eb0768" localSheetId="4">#REF!</definedName>
    <definedName name="_vena_DYNR_SMultiSiteS1_BMultiSiteB2_774615db_46eb0768" localSheetId="5">#REF!</definedName>
    <definedName name="_vena_DYNR_SMultiSiteS1_BMultiSiteB2_774615db_46eb0768" localSheetId="8">'[1]FY26 MYP-Multisite'!#REF!</definedName>
    <definedName name="_vena_DYNR_SMultiSiteS1_BMultiSiteB2_774615db_46eb0768" localSheetId="3">#REF!</definedName>
    <definedName name="_vena_DYNR_SMultiSiteS1_BMultiSiteB2_774615db_46eb0768">#REF!</definedName>
    <definedName name="_vena_DYNR_SMultiSiteS1_BMultiSiteB2_774615db_5f16a74f" localSheetId="4">#REF!</definedName>
    <definedName name="_vena_DYNR_SMultiSiteS1_BMultiSiteB2_774615db_5f16a74f" localSheetId="5">#REF!</definedName>
    <definedName name="_vena_DYNR_SMultiSiteS1_BMultiSiteB2_774615db_5f16a74f" localSheetId="8">'[1]FY26 MYP-Multisite'!#REF!</definedName>
    <definedName name="_vena_DYNR_SMultiSiteS1_BMultiSiteB2_774615db_5f16a74f" localSheetId="3">#REF!</definedName>
    <definedName name="_vena_DYNR_SMultiSiteS1_BMultiSiteB2_774615db_5f16a74f">#REF!</definedName>
    <definedName name="_vena_DYNR_SMultiSiteS1_BMultiSiteB2_774615db_7c1d0f1c" localSheetId="4">#REF!</definedName>
    <definedName name="_vena_DYNR_SMultiSiteS1_BMultiSiteB2_774615db_7c1d0f1c" localSheetId="5">#REF!</definedName>
    <definedName name="_vena_DYNR_SMultiSiteS1_BMultiSiteB2_774615db_7c1d0f1c" localSheetId="8">'[1]FY26 MYP-Multisite'!#REF!</definedName>
    <definedName name="_vena_DYNR_SMultiSiteS1_BMultiSiteB2_774615db_7c1d0f1c" localSheetId="3">#REF!</definedName>
    <definedName name="_vena_DYNR_SMultiSiteS1_BMultiSiteB2_774615db_7c1d0f1c">#REF!</definedName>
    <definedName name="_vena_DYNR_SMultiSiteS1_BMultiSiteB2_774615db_904b06c3" localSheetId="4">#REF!</definedName>
    <definedName name="_vena_DYNR_SMultiSiteS1_BMultiSiteB2_774615db_904b06c3" localSheetId="5">#REF!</definedName>
    <definedName name="_vena_DYNR_SMultiSiteS1_BMultiSiteB2_774615db_904b06c3" localSheetId="8">'[1]FY26 MYP-Multisite'!#REF!</definedName>
    <definedName name="_vena_DYNR_SMultiSiteS1_BMultiSiteB2_774615db_904b06c3" localSheetId="3">#REF!</definedName>
    <definedName name="_vena_DYNR_SMultiSiteS1_BMultiSiteB2_774615db_904b06c3">#REF!</definedName>
    <definedName name="_vena_DYNR_SMultiSiteS1_BMultiSiteB2_774615db_9339689" localSheetId="4">#REF!</definedName>
    <definedName name="_vena_DYNR_SMultiSiteS1_BMultiSiteB2_774615db_9339689" localSheetId="5">#REF!</definedName>
    <definedName name="_vena_DYNR_SMultiSiteS1_BMultiSiteB2_774615db_9339689" localSheetId="8">'[1]FY26 MYP-Multisite'!#REF!</definedName>
    <definedName name="_vena_DYNR_SMultiSiteS1_BMultiSiteB2_774615db_9339689" localSheetId="3">#REF!</definedName>
    <definedName name="_vena_DYNR_SMultiSiteS1_BMultiSiteB2_774615db_9339689">#REF!</definedName>
    <definedName name="_vena_DYNR_SMultiSiteS1_BMultiSiteB2_774615db_96f70e7f" localSheetId="4">#REF!</definedName>
    <definedName name="_vena_DYNR_SMultiSiteS1_BMultiSiteB2_774615db_96f70e7f" localSheetId="5">#REF!</definedName>
    <definedName name="_vena_DYNR_SMultiSiteS1_BMultiSiteB2_774615db_96f70e7f" localSheetId="8">'[1]FY26 MYP-Multisite'!#REF!</definedName>
    <definedName name="_vena_DYNR_SMultiSiteS1_BMultiSiteB2_774615db_96f70e7f" localSheetId="3">#REF!</definedName>
    <definedName name="_vena_DYNR_SMultiSiteS1_BMultiSiteB2_774615db_96f70e7f">#REF!</definedName>
    <definedName name="_vena_DYNR_SMultiSiteS1_BMultiSiteB2_774615db_9fb1e5eb" localSheetId="4">#REF!</definedName>
    <definedName name="_vena_DYNR_SMultiSiteS1_BMultiSiteB2_774615db_9fb1e5eb" localSheetId="5">#REF!</definedName>
    <definedName name="_vena_DYNR_SMultiSiteS1_BMultiSiteB2_774615db_9fb1e5eb" localSheetId="8">'[1]FY26 MYP-Multisite'!#REF!</definedName>
    <definedName name="_vena_DYNR_SMultiSiteS1_BMultiSiteB2_774615db_9fb1e5eb" localSheetId="3">#REF!</definedName>
    <definedName name="_vena_DYNR_SMultiSiteS1_BMultiSiteB2_774615db_9fb1e5eb">#REF!</definedName>
    <definedName name="_vena_DYNR_SMultiSiteS1_BMultiSiteB2_774615db_a733f360" localSheetId="4">#REF!</definedName>
    <definedName name="_vena_DYNR_SMultiSiteS1_BMultiSiteB2_774615db_a733f360" localSheetId="5">#REF!</definedName>
    <definedName name="_vena_DYNR_SMultiSiteS1_BMultiSiteB2_774615db_a733f360" localSheetId="8">'[1]FY26 MYP-Multisite'!#REF!</definedName>
    <definedName name="_vena_DYNR_SMultiSiteS1_BMultiSiteB2_774615db_a733f360" localSheetId="3">#REF!</definedName>
    <definedName name="_vena_DYNR_SMultiSiteS1_BMultiSiteB2_774615db_a733f360">#REF!</definedName>
    <definedName name="_vena_DYNR_SMultiSiteS1_BMultiSiteB2_774615db_a98f41f3" localSheetId="4">#REF!</definedName>
    <definedName name="_vena_DYNR_SMultiSiteS1_BMultiSiteB2_774615db_a98f41f3" localSheetId="5">#REF!</definedName>
    <definedName name="_vena_DYNR_SMultiSiteS1_BMultiSiteB2_774615db_a98f41f3" localSheetId="8">'[1]FY26 MYP-Multisite'!#REF!</definedName>
    <definedName name="_vena_DYNR_SMultiSiteS1_BMultiSiteB2_774615db_a98f41f3" localSheetId="3">#REF!</definedName>
    <definedName name="_vena_DYNR_SMultiSiteS1_BMultiSiteB2_774615db_a98f41f3">#REF!</definedName>
    <definedName name="_vena_DYNR_SMultiSiteS1_BMultiSiteB2_774615db_bbb64a82" localSheetId="4">#REF!</definedName>
    <definedName name="_vena_DYNR_SMultiSiteS1_BMultiSiteB2_774615db_bbb64a82" localSheetId="5">#REF!</definedName>
    <definedName name="_vena_DYNR_SMultiSiteS1_BMultiSiteB2_774615db_bbb64a82" localSheetId="8">'[1]FY26 MYP-Multisite'!#REF!</definedName>
    <definedName name="_vena_DYNR_SMultiSiteS1_BMultiSiteB2_774615db_bbb64a82" localSheetId="3">#REF!</definedName>
    <definedName name="_vena_DYNR_SMultiSiteS1_BMultiSiteB2_774615db_bbb64a82">#REF!</definedName>
    <definedName name="_vena_DYNR_SMultiSiteS1_BMultiSiteB2_774615db_d016daf0" localSheetId="4">#REF!</definedName>
    <definedName name="_vena_DYNR_SMultiSiteS1_BMultiSiteB2_774615db_d016daf0" localSheetId="5">#REF!</definedName>
    <definedName name="_vena_DYNR_SMultiSiteS1_BMultiSiteB2_774615db_d016daf0" localSheetId="8">'[1]FY26 MYP-Multisite'!#REF!</definedName>
    <definedName name="_vena_DYNR_SMultiSiteS1_BMultiSiteB2_774615db_d016daf0" localSheetId="3">#REF!</definedName>
    <definedName name="_vena_DYNR_SMultiSiteS1_BMultiSiteB2_774615db_d016daf0">#REF!</definedName>
    <definedName name="_vena_DYNR_SMultiSiteS1_BMultiSiteB2_774615db_e53e41b5" localSheetId="4">#REF!</definedName>
    <definedName name="_vena_DYNR_SMultiSiteS1_BMultiSiteB2_774615db_e53e41b5" localSheetId="5">#REF!</definedName>
    <definedName name="_vena_DYNR_SMultiSiteS1_BMultiSiteB2_774615db_e53e41b5" localSheetId="8">'[1]FY26 MYP-Multisite'!#REF!</definedName>
    <definedName name="_vena_DYNR_SMultiSiteS1_BMultiSiteB2_774615db_e53e41b5" localSheetId="3">#REF!</definedName>
    <definedName name="_vena_DYNR_SMultiSiteS1_BMultiSiteB2_774615db_e53e41b5">#REF!</definedName>
    <definedName name="_vena_DYNR_SMultiSiteS1_BMultiSiteB2_774615db_eeac1658" localSheetId="4">#REF!</definedName>
    <definedName name="_vena_DYNR_SMultiSiteS1_BMultiSiteB2_774615db_eeac1658" localSheetId="5">#REF!</definedName>
    <definedName name="_vena_DYNR_SMultiSiteS1_BMultiSiteB2_774615db_eeac1658" localSheetId="8">'[1]FY26 MYP-Multisite'!#REF!</definedName>
    <definedName name="_vena_DYNR_SMultiSiteS1_BMultiSiteB2_774615db_eeac1658" localSheetId="3">#REF!</definedName>
    <definedName name="_vena_DYNR_SMultiSiteS1_BMultiSiteB2_774615db_eeac1658">#REF!</definedName>
    <definedName name="_vena_DYNR_SMultiSiteS1_BMultiSiteB2_774615db_f1bda77b" localSheetId="4">#REF!</definedName>
    <definedName name="_vena_DYNR_SMultiSiteS1_BMultiSiteB2_774615db_f1bda77b" localSheetId="5">#REF!</definedName>
    <definedName name="_vena_DYNR_SMultiSiteS1_BMultiSiteB2_774615db_f1bda77b" localSheetId="8">'[1]FY26 MYP-Multisite'!#REF!</definedName>
    <definedName name="_vena_DYNR_SMultiSiteS1_BMultiSiteB2_774615db_f1bda77b" localSheetId="3">#REF!</definedName>
    <definedName name="_vena_DYNR_SMultiSiteS1_BMultiSiteB2_774615db_f1bda77b">#REF!</definedName>
    <definedName name="_vena_DYNR_SMultiSiteS1_BMultiSiteB2_774615db_f73b873b" localSheetId="4">#REF!</definedName>
    <definedName name="_vena_DYNR_SMultiSiteS1_BMultiSiteB2_774615db_f73b873b" localSheetId="5">#REF!</definedName>
    <definedName name="_vena_DYNR_SMultiSiteS1_BMultiSiteB2_774615db_f73b873b" localSheetId="8">'[1]FY26 MYP-Multisite'!#REF!</definedName>
    <definedName name="_vena_DYNR_SMultiSiteS1_BMultiSiteB2_774615db_f73b873b" localSheetId="3">#REF!</definedName>
    <definedName name="_vena_DYNR_SMultiSiteS1_BMultiSiteB2_774615db_f73b873b">#REF!</definedName>
    <definedName name="_vena_DYNR_SMultiSiteS1_BMultiSiteB2_774615db_ff13a788" localSheetId="4">#REF!</definedName>
    <definedName name="_vena_DYNR_SMultiSiteS1_BMultiSiteB2_774615db_ff13a788" localSheetId="5">#REF!</definedName>
    <definedName name="_vena_DYNR_SMultiSiteS1_BMultiSiteB2_774615db_ff13a788" localSheetId="8">'[1]FY26 MYP-Multisite'!#REF!</definedName>
    <definedName name="_vena_DYNR_SMultiSiteS1_BMultiSiteB2_774615db_ff13a788" localSheetId="3">#REF!</definedName>
    <definedName name="_vena_DYNR_SMultiSiteS1_BMultiSiteB2_774615db_ff13a788">#REF!</definedName>
    <definedName name="_vena_DYNR_SMultiSiteS1_BMultiSiteB2_777d450d">#REF!</definedName>
    <definedName name="_vena_DYNR_SMultiSiteS1_BMultiSiteB2_777d450d_26710711">#REF!</definedName>
    <definedName name="_vena_DYNR_SMultiSiteS1_BMultiSiteB2_777d450d_2b693c3c">#REF!</definedName>
    <definedName name="_vena_DYNR_SMultiSiteS1_BMultiSiteB2_777d450d_359ba29d">#REF!</definedName>
    <definedName name="_vena_DYNR_SMultiSiteS1_BMultiSiteB2_777d450d_38d3c659">#REF!</definedName>
    <definedName name="_vena_DYNR_SMultiSiteS1_BMultiSiteB2_777d450d_5edfb16f">#REF!</definedName>
    <definedName name="_vena_DYNR_SMultiSiteS1_BMultiSiteB2_777d450d_698cedc6">#REF!</definedName>
    <definedName name="_vena_DYNR_SMultiSiteS1_BMultiSiteB2_777d450d_73109551">#REF!</definedName>
    <definedName name="_vena_DYNR_SMultiSiteS1_BMultiSiteB2_777d450d_7eb0ef51">#REF!</definedName>
    <definedName name="_vena_DYNR_SMultiSiteS1_BMultiSiteB2_777d450d_80e29e29">#REF!</definedName>
    <definedName name="_vena_DYNR_SMultiSiteS1_BMultiSiteB2_777d450d_82672ca2">#REF!</definedName>
    <definedName name="_vena_DYNR_SMultiSiteS1_BMultiSiteB2_777d450d_867146ed">#REF!</definedName>
    <definedName name="_vena_DYNR_SMultiSiteS1_BMultiSiteB2_777d450d_94f4ce0e">#REF!</definedName>
    <definedName name="_vena_DYNR_SMultiSiteS1_BMultiSiteB2_777d450d_a2170a8e">#REF!</definedName>
    <definedName name="_vena_DYNR_SMultiSiteS1_BMultiSiteB2_777d450d_a489ebe4">#REF!</definedName>
    <definedName name="_vena_DYNR_SMultiSiteS1_BMultiSiteB2_777d450d_d9969edd">#REF!</definedName>
    <definedName name="_vena_DYNR_SMultiSiteS1_BMultiSiteB2_777d450d_ea69d2df">#REF!</definedName>
    <definedName name="_vena_DYNR_SMultiSiteS1_BMultiSiteB2_777d450d_f9796974">#REF!</definedName>
    <definedName name="_vena_DYNR_SMultiSiteS1_BMultiSiteB2_7b4c7c62">#REF!</definedName>
    <definedName name="_vena_DYNR_SMultiSiteS1_BMultiSiteB2_7b4c7c62_2a8809ff">#REF!</definedName>
    <definedName name="_vena_DYNR_SMultiSiteS1_BMultiSiteB2_7b4c7c62_2b2c3773">#REF!</definedName>
    <definedName name="_vena_DYNR_SMultiSiteS1_BMultiSiteB2_7b4c7c62_41fb7bf4">#REF!</definedName>
    <definedName name="_vena_DYNR_SMultiSiteS1_BMultiSiteB2_7b4c7c62_4a2a110a">#REF!</definedName>
    <definedName name="_vena_DYNR_SMultiSiteS1_BMultiSiteB2_7b4c7c62_525ae2d1">#REF!</definedName>
    <definedName name="_vena_DYNR_SMultiSiteS1_BMultiSiteB2_7b4c7c62_53abbd62">#REF!</definedName>
    <definedName name="_vena_DYNR_SMultiSiteS1_BMultiSiteB2_7b4c7c62_5bbc7c14">#REF!</definedName>
    <definedName name="_vena_DYNR_SMultiSiteS1_BMultiSiteB2_7b4c7c62_634b518">#REF!</definedName>
    <definedName name="_vena_DYNR_SMultiSiteS1_BMultiSiteB2_7b4c7c62_667d1793">#REF!</definedName>
    <definedName name="_vena_DYNR_SMultiSiteS1_BMultiSiteB2_7b4c7c62_6cffe905">#REF!</definedName>
    <definedName name="_vena_DYNR_SMultiSiteS1_BMultiSiteB2_7b4c7c62_78020109">#REF!</definedName>
    <definedName name="_vena_DYNR_SMultiSiteS1_BMultiSiteB2_7b4c7c62_a2b7605">#REF!</definedName>
    <definedName name="_vena_DYNR_SMultiSiteS1_BMultiSiteB2_7b4c7c62_a6d1729e">#REF!</definedName>
    <definedName name="_vena_DYNR_SMultiSiteS1_BMultiSiteB2_7b4c7c62_b0a79403">#REF!</definedName>
    <definedName name="_vena_DYNR_SMultiSiteS1_BMultiSiteB2_7b4c7c62_b4fb90dd">#REF!</definedName>
    <definedName name="_vena_DYNR_SMultiSiteS1_BMultiSiteB2_7b4c7c62_bf191b29">#REF!</definedName>
    <definedName name="_vena_DYNR_SMultiSiteS1_BMultiSiteB2_7b4c7c62_bf5fee30">#REF!</definedName>
    <definedName name="_vena_DYNR_SMultiSiteS1_BMultiSiteB2_7b4c7c62_cfc1ebb">#REF!</definedName>
    <definedName name="_vena_DYNR_SMultiSiteS1_BMultiSiteB2_7b4c7c62_d774186d">#REF!</definedName>
    <definedName name="_vena_DYNR_SMultiSiteS1_BMultiSiteB2_7b4c7c62_d8138797">#REF!</definedName>
    <definedName name="_vena_DYNR_SMultiSiteS1_BMultiSiteB2_7b4c7c62_ebe75777">#REF!</definedName>
    <definedName name="_vena_DYNR_SMultiSiteS1_BMultiSiteB2_7b4c7c62_f22f6004">#REF!</definedName>
    <definedName name="_vena_DYNR_SMultiSiteS1_BMultiSiteB2_7b4c7c62_f4095505">#REF!</definedName>
    <definedName name="_vena_DYNR_SMultiSiteS1_BMultiSiteB2_7b4c7c62_f7a19856">#REF!</definedName>
    <definedName name="_vena_DYNR_SMultiSiteS1_BMultiSiteB2_7b4c7c62_f8c93d59">#REF!</definedName>
    <definedName name="_vena_DYNR_SMultiSiteS1_BMultiSiteB2_7d17327">#REF!</definedName>
    <definedName name="_vena_DYNR_SMultiSiteS1_BMultiSiteB2_7d17327_1a057414">#REF!</definedName>
    <definedName name="_vena_DYNR_SMultiSiteS1_BMultiSiteB2_7d17327_2d3e65df">#REF!</definedName>
    <definedName name="_vena_DYNR_SMultiSiteS1_BMultiSiteB2_7d17327_2fba3802">#REF!</definedName>
    <definedName name="_vena_DYNR_SMultiSiteS1_BMultiSiteB2_7d17327_3cf60a0c">#REF!</definedName>
    <definedName name="_vena_DYNR_SMultiSiteS1_BMultiSiteB2_7d17327_3ee455f8">#REF!</definedName>
    <definedName name="_vena_DYNR_SMultiSiteS1_BMultiSiteB2_7d17327_4a44ac9f">#REF!</definedName>
    <definedName name="_vena_DYNR_SMultiSiteS1_BMultiSiteB2_7d17327_5942824b">#REF!</definedName>
    <definedName name="_vena_DYNR_SMultiSiteS1_BMultiSiteB2_7d17327_701f02b8">#REF!</definedName>
    <definedName name="_vena_DYNR_SMultiSiteS1_BMultiSiteB2_7d17327_741900da">#REF!</definedName>
    <definedName name="_vena_DYNR_SMultiSiteS1_BMultiSiteB2_7d17327_8518074f">#REF!</definedName>
    <definedName name="_vena_DYNR_SMultiSiteS1_BMultiSiteB2_7d17327_85910c2b">#REF!</definedName>
    <definedName name="_vena_DYNR_SMultiSiteS1_BMultiSiteB2_7d17327_89395735">#REF!</definedName>
    <definedName name="_vena_DYNR_SMultiSiteS1_BMultiSiteB2_7d17327_8a24e585">#REF!</definedName>
    <definedName name="_vena_DYNR_SMultiSiteS1_BMultiSiteB2_7d17327_8d1b6a73">#REF!</definedName>
    <definedName name="_vena_DYNR_SMultiSiteS1_BMultiSiteB2_7d17327_92a04a6c">#REF!</definedName>
    <definedName name="_vena_DYNR_SMultiSiteS1_BMultiSiteB2_7d17327_a52b2310">#REF!</definedName>
    <definedName name="_vena_DYNR_SMultiSiteS1_BMultiSiteB2_7d17327_b7e7ef3a">#REF!</definedName>
    <definedName name="_vena_DYNR_SMultiSiteS1_BMultiSiteB2_7d17327_c3490c90">#REF!</definedName>
    <definedName name="_vena_DYNR_SMultiSiteS1_BMultiSiteB2_7d17327_e4596180">#REF!</definedName>
    <definedName name="_vena_DYNR_SMultiSiteS1_BMultiSiteB2_7d17327_e6f566bb">#REF!</definedName>
    <definedName name="_vena_DYNR_SMultiSiteS1_BMultiSiteB2_7d17327_f283548c">#REF!</definedName>
    <definedName name="_vena_DYNR_SMultiSiteS1_BMultiSiteB2_7d17327_fa2147c5">#REF!</definedName>
    <definedName name="_vena_DYNR_SMultiSiteS1_BMultiSiteB2_8612ce36" localSheetId="4">#REF!</definedName>
    <definedName name="_vena_DYNR_SMultiSiteS1_BMultiSiteB2_8612ce36" localSheetId="5">#REF!</definedName>
    <definedName name="_vena_DYNR_SMultiSiteS1_BMultiSiteB2_8612ce36" localSheetId="8">'[1]FY26 MYP-Multisite'!#REF!</definedName>
    <definedName name="_vena_DYNR_SMultiSiteS1_BMultiSiteB2_8612ce36" localSheetId="3">#REF!</definedName>
    <definedName name="_vena_DYNR_SMultiSiteS1_BMultiSiteB2_8612ce36">#REF!</definedName>
    <definedName name="_vena_DYNR_SMultiSiteS1_BMultiSiteB2_8612ce36_11a2cff9" localSheetId="4">#REF!</definedName>
    <definedName name="_vena_DYNR_SMultiSiteS1_BMultiSiteB2_8612ce36_11a2cff9" localSheetId="5">#REF!</definedName>
    <definedName name="_vena_DYNR_SMultiSiteS1_BMultiSiteB2_8612ce36_11a2cff9" localSheetId="8">'[1]FY26 MYP-Multisite'!#REF!</definedName>
    <definedName name="_vena_DYNR_SMultiSiteS1_BMultiSiteB2_8612ce36_11a2cff9" localSheetId="3">#REF!</definedName>
    <definedName name="_vena_DYNR_SMultiSiteS1_BMultiSiteB2_8612ce36_11a2cff9">#REF!</definedName>
    <definedName name="_vena_DYNR_SMultiSiteS1_BMultiSiteB2_8612ce36_12ae0908" localSheetId="4">#REF!</definedName>
    <definedName name="_vena_DYNR_SMultiSiteS1_BMultiSiteB2_8612ce36_12ae0908" localSheetId="5">#REF!</definedName>
    <definedName name="_vena_DYNR_SMultiSiteS1_BMultiSiteB2_8612ce36_12ae0908" localSheetId="8">'[1]FY26 MYP-Multisite'!#REF!</definedName>
    <definedName name="_vena_DYNR_SMultiSiteS1_BMultiSiteB2_8612ce36_12ae0908" localSheetId="3">#REF!</definedName>
    <definedName name="_vena_DYNR_SMultiSiteS1_BMultiSiteB2_8612ce36_12ae0908">#REF!</definedName>
    <definedName name="_vena_DYNR_SMultiSiteS1_BMultiSiteB2_8612ce36_15e0573b" localSheetId="4">#REF!</definedName>
    <definedName name="_vena_DYNR_SMultiSiteS1_BMultiSiteB2_8612ce36_15e0573b" localSheetId="5">#REF!</definedName>
    <definedName name="_vena_DYNR_SMultiSiteS1_BMultiSiteB2_8612ce36_15e0573b" localSheetId="8">'[1]FY26 MYP-Multisite'!#REF!</definedName>
    <definedName name="_vena_DYNR_SMultiSiteS1_BMultiSiteB2_8612ce36_15e0573b" localSheetId="3">#REF!</definedName>
    <definedName name="_vena_DYNR_SMultiSiteS1_BMultiSiteB2_8612ce36_15e0573b">#REF!</definedName>
    <definedName name="_vena_DYNR_SMultiSiteS1_BMultiSiteB2_8612ce36_16479df3" localSheetId="4">#REF!</definedName>
    <definedName name="_vena_DYNR_SMultiSiteS1_BMultiSiteB2_8612ce36_16479df3" localSheetId="5">#REF!</definedName>
    <definedName name="_vena_DYNR_SMultiSiteS1_BMultiSiteB2_8612ce36_16479df3" localSheetId="8">'[1]FY26 MYP-Multisite'!#REF!</definedName>
    <definedName name="_vena_DYNR_SMultiSiteS1_BMultiSiteB2_8612ce36_16479df3" localSheetId="3">#REF!</definedName>
    <definedName name="_vena_DYNR_SMultiSiteS1_BMultiSiteB2_8612ce36_16479df3">#REF!</definedName>
    <definedName name="_vena_DYNR_SMultiSiteS1_BMultiSiteB2_8612ce36_166945ed" localSheetId="4">#REF!</definedName>
    <definedName name="_vena_DYNR_SMultiSiteS1_BMultiSiteB2_8612ce36_166945ed" localSheetId="5">#REF!</definedName>
    <definedName name="_vena_DYNR_SMultiSiteS1_BMultiSiteB2_8612ce36_166945ed" localSheetId="8">'[1]FY26 MYP-Multisite'!#REF!</definedName>
    <definedName name="_vena_DYNR_SMultiSiteS1_BMultiSiteB2_8612ce36_166945ed" localSheetId="3">#REF!</definedName>
    <definedName name="_vena_DYNR_SMultiSiteS1_BMultiSiteB2_8612ce36_166945ed">#REF!</definedName>
    <definedName name="_vena_DYNR_SMultiSiteS1_BMultiSiteB2_8612ce36_1709dd39" localSheetId="4">#REF!</definedName>
    <definedName name="_vena_DYNR_SMultiSiteS1_BMultiSiteB2_8612ce36_1709dd39" localSheetId="5">#REF!</definedName>
    <definedName name="_vena_DYNR_SMultiSiteS1_BMultiSiteB2_8612ce36_1709dd39" localSheetId="8">'[1]FY26 MYP-Multisite'!#REF!</definedName>
    <definedName name="_vena_DYNR_SMultiSiteS1_BMultiSiteB2_8612ce36_1709dd39" localSheetId="3">#REF!</definedName>
    <definedName name="_vena_DYNR_SMultiSiteS1_BMultiSiteB2_8612ce36_1709dd39">#REF!</definedName>
    <definedName name="_vena_DYNR_SMultiSiteS1_BMultiSiteB2_8612ce36_17cb291b" localSheetId="4">#REF!</definedName>
    <definedName name="_vena_DYNR_SMultiSiteS1_BMultiSiteB2_8612ce36_17cb291b" localSheetId="5">#REF!</definedName>
    <definedName name="_vena_DYNR_SMultiSiteS1_BMultiSiteB2_8612ce36_17cb291b" localSheetId="8">'[1]FY26 MYP-Multisite'!#REF!</definedName>
    <definedName name="_vena_DYNR_SMultiSiteS1_BMultiSiteB2_8612ce36_17cb291b" localSheetId="3">#REF!</definedName>
    <definedName name="_vena_DYNR_SMultiSiteS1_BMultiSiteB2_8612ce36_17cb291b">#REF!</definedName>
    <definedName name="_vena_DYNR_SMultiSiteS1_BMultiSiteB2_8612ce36_19097fa5" localSheetId="4">#REF!</definedName>
    <definedName name="_vena_DYNR_SMultiSiteS1_BMultiSiteB2_8612ce36_19097fa5" localSheetId="5">#REF!</definedName>
    <definedName name="_vena_DYNR_SMultiSiteS1_BMultiSiteB2_8612ce36_19097fa5" localSheetId="8">'[1]FY26 MYP-Multisite'!#REF!</definedName>
    <definedName name="_vena_DYNR_SMultiSiteS1_BMultiSiteB2_8612ce36_19097fa5" localSheetId="3">#REF!</definedName>
    <definedName name="_vena_DYNR_SMultiSiteS1_BMultiSiteB2_8612ce36_19097fa5">#REF!</definedName>
    <definedName name="_vena_DYNR_SMultiSiteS1_BMultiSiteB2_8612ce36_1ba0cc31" localSheetId="4">#REF!</definedName>
    <definedName name="_vena_DYNR_SMultiSiteS1_BMultiSiteB2_8612ce36_1ba0cc31" localSheetId="5">#REF!</definedName>
    <definedName name="_vena_DYNR_SMultiSiteS1_BMultiSiteB2_8612ce36_1ba0cc31" localSheetId="8">'[1]FY26 MYP-Multisite'!#REF!</definedName>
    <definedName name="_vena_DYNR_SMultiSiteS1_BMultiSiteB2_8612ce36_1ba0cc31" localSheetId="3">#REF!</definedName>
    <definedName name="_vena_DYNR_SMultiSiteS1_BMultiSiteB2_8612ce36_1ba0cc31">#REF!</definedName>
    <definedName name="_vena_DYNR_SMultiSiteS1_BMultiSiteB2_8612ce36_1bca59d6" localSheetId="4">#REF!</definedName>
    <definedName name="_vena_DYNR_SMultiSiteS1_BMultiSiteB2_8612ce36_1bca59d6" localSheetId="5">#REF!</definedName>
    <definedName name="_vena_DYNR_SMultiSiteS1_BMultiSiteB2_8612ce36_1bca59d6" localSheetId="8">'[1]FY26 MYP-Multisite'!#REF!</definedName>
    <definedName name="_vena_DYNR_SMultiSiteS1_BMultiSiteB2_8612ce36_1bca59d6" localSheetId="3">#REF!</definedName>
    <definedName name="_vena_DYNR_SMultiSiteS1_BMultiSiteB2_8612ce36_1bca59d6">#REF!</definedName>
    <definedName name="_vena_DYNR_SMultiSiteS1_BMultiSiteB2_8612ce36_1f47da9b" localSheetId="4">#REF!</definedName>
    <definedName name="_vena_DYNR_SMultiSiteS1_BMultiSiteB2_8612ce36_1f47da9b" localSheetId="5">#REF!</definedName>
    <definedName name="_vena_DYNR_SMultiSiteS1_BMultiSiteB2_8612ce36_1f47da9b" localSheetId="8">'[1]FY26 MYP-Multisite'!#REF!</definedName>
    <definedName name="_vena_DYNR_SMultiSiteS1_BMultiSiteB2_8612ce36_1f47da9b" localSheetId="3">#REF!</definedName>
    <definedName name="_vena_DYNR_SMultiSiteS1_BMultiSiteB2_8612ce36_1f47da9b">#REF!</definedName>
    <definedName name="_vena_DYNR_SMultiSiteS1_BMultiSiteB2_8612ce36_20d3532c" localSheetId="4">#REF!</definedName>
    <definedName name="_vena_DYNR_SMultiSiteS1_BMultiSiteB2_8612ce36_20d3532c" localSheetId="5">#REF!</definedName>
    <definedName name="_vena_DYNR_SMultiSiteS1_BMultiSiteB2_8612ce36_20d3532c" localSheetId="8">'[1]FY26 MYP-Multisite'!#REF!</definedName>
    <definedName name="_vena_DYNR_SMultiSiteS1_BMultiSiteB2_8612ce36_20d3532c" localSheetId="3">#REF!</definedName>
    <definedName name="_vena_DYNR_SMultiSiteS1_BMultiSiteB2_8612ce36_20d3532c">#REF!</definedName>
    <definedName name="_vena_DYNR_SMultiSiteS1_BMultiSiteB2_8612ce36_2419e679" localSheetId="4">#REF!</definedName>
    <definedName name="_vena_DYNR_SMultiSiteS1_BMultiSiteB2_8612ce36_2419e679" localSheetId="5">#REF!</definedName>
    <definedName name="_vena_DYNR_SMultiSiteS1_BMultiSiteB2_8612ce36_2419e679" localSheetId="8">'[1]FY26 MYP-Multisite'!#REF!</definedName>
    <definedName name="_vena_DYNR_SMultiSiteS1_BMultiSiteB2_8612ce36_2419e679" localSheetId="3">#REF!</definedName>
    <definedName name="_vena_DYNR_SMultiSiteS1_BMultiSiteB2_8612ce36_2419e679">#REF!</definedName>
    <definedName name="_vena_DYNR_SMultiSiteS1_BMultiSiteB2_8612ce36_2539e663" localSheetId="4">#REF!</definedName>
    <definedName name="_vena_DYNR_SMultiSiteS1_BMultiSiteB2_8612ce36_2539e663" localSheetId="5">#REF!</definedName>
    <definedName name="_vena_DYNR_SMultiSiteS1_BMultiSiteB2_8612ce36_2539e663" localSheetId="8">'[1]FY26 MYP-Multisite'!#REF!</definedName>
    <definedName name="_vena_DYNR_SMultiSiteS1_BMultiSiteB2_8612ce36_2539e663" localSheetId="3">#REF!</definedName>
    <definedName name="_vena_DYNR_SMultiSiteS1_BMultiSiteB2_8612ce36_2539e663">#REF!</definedName>
    <definedName name="_vena_DYNR_SMultiSiteS1_BMultiSiteB2_8612ce36_256916f8" localSheetId="4">#REF!</definedName>
    <definedName name="_vena_DYNR_SMultiSiteS1_BMultiSiteB2_8612ce36_256916f8" localSheetId="5">#REF!</definedName>
    <definedName name="_vena_DYNR_SMultiSiteS1_BMultiSiteB2_8612ce36_256916f8" localSheetId="8">'[1]FY26 MYP-Multisite'!#REF!</definedName>
    <definedName name="_vena_DYNR_SMultiSiteS1_BMultiSiteB2_8612ce36_256916f8" localSheetId="3">#REF!</definedName>
    <definedName name="_vena_DYNR_SMultiSiteS1_BMultiSiteB2_8612ce36_256916f8">#REF!</definedName>
    <definedName name="_vena_DYNR_SMultiSiteS1_BMultiSiteB2_8612ce36_2c414caa" localSheetId="4">#REF!</definedName>
    <definedName name="_vena_DYNR_SMultiSiteS1_BMultiSiteB2_8612ce36_2c414caa" localSheetId="5">#REF!</definedName>
    <definedName name="_vena_DYNR_SMultiSiteS1_BMultiSiteB2_8612ce36_2c414caa" localSheetId="8">'[1]FY26 MYP-Multisite'!#REF!</definedName>
    <definedName name="_vena_DYNR_SMultiSiteS1_BMultiSiteB2_8612ce36_2c414caa" localSheetId="3">#REF!</definedName>
    <definedName name="_vena_DYNR_SMultiSiteS1_BMultiSiteB2_8612ce36_2c414caa">#REF!</definedName>
    <definedName name="_vena_DYNR_SMultiSiteS1_BMultiSiteB2_8612ce36_30f4198" localSheetId="4">#REF!</definedName>
    <definedName name="_vena_DYNR_SMultiSiteS1_BMultiSiteB2_8612ce36_30f4198" localSheetId="5">#REF!</definedName>
    <definedName name="_vena_DYNR_SMultiSiteS1_BMultiSiteB2_8612ce36_30f4198" localSheetId="8">'[1]FY26 MYP-Multisite'!#REF!</definedName>
    <definedName name="_vena_DYNR_SMultiSiteS1_BMultiSiteB2_8612ce36_30f4198" localSheetId="3">#REF!</definedName>
    <definedName name="_vena_DYNR_SMultiSiteS1_BMultiSiteB2_8612ce36_30f4198">#REF!</definedName>
    <definedName name="_vena_DYNR_SMultiSiteS1_BMultiSiteB2_8612ce36_3118e6e7" localSheetId="4">#REF!</definedName>
    <definedName name="_vena_DYNR_SMultiSiteS1_BMultiSiteB2_8612ce36_3118e6e7" localSheetId="5">#REF!</definedName>
    <definedName name="_vena_DYNR_SMultiSiteS1_BMultiSiteB2_8612ce36_3118e6e7" localSheetId="8">'[1]FY26 MYP-Multisite'!#REF!</definedName>
    <definedName name="_vena_DYNR_SMultiSiteS1_BMultiSiteB2_8612ce36_3118e6e7" localSheetId="3">#REF!</definedName>
    <definedName name="_vena_DYNR_SMultiSiteS1_BMultiSiteB2_8612ce36_3118e6e7">#REF!</definedName>
    <definedName name="_vena_DYNR_SMultiSiteS1_BMultiSiteB2_8612ce36_388b4bd8" localSheetId="4">#REF!</definedName>
    <definedName name="_vena_DYNR_SMultiSiteS1_BMultiSiteB2_8612ce36_388b4bd8" localSheetId="5">#REF!</definedName>
    <definedName name="_vena_DYNR_SMultiSiteS1_BMultiSiteB2_8612ce36_388b4bd8" localSheetId="8">'[1]FY26 MYP-Multisite'!#REF!</definedName>
    <definedName name="_vena_DYNR_SMultiSiteS1_BMultiSiteB2_8612ce36_388b4bd8" localSheetId="3">#REF!</definedName>
    <definedName name="_vena_DYNR_SMultiSiteS1_BMultiSiteB2_8612ce36_388b4bd8">#REF!</definedName>
    <definedName name="_vena_DYNR_SMultiSiteS1_BMultiSiteB2_8612ce36_3940d031" localSheetId="4">#REF!</definedName>
    <definedName name="_vena_DYNR_SMultiSiteS1_BMultiSiteB2_8612ce36_3940d031" localSheetId="5">#REF!</definedName>
    <definedName name="_vena_DYNR_SMultiSiteS1_BMultiSiteB2_8612ce36_3940d031" localSheetId="8">'[1]FY26 MYP-Multisite'!#REF!</definedName>
    <definedName name="_vena_DYNR_SMultiSiteS1_BMultiSiteB2_8612ce36_3940d031" localSheetId="3">#REF!</definedName>
    <definedName name="_vena_DYNR_SMultiSiteS1_BMultiSiteB2_8612ce36_3940d031">#REF!</definedName>
    <definedName name="_vena_DYNR_SMultiSiteS1_BMultiSiteB2_8612ce36_3b5838b7" localSheetId="4">#REF!</definedName>
    <definedName name="_vena_DYNR_SMultiSiteS1_BMultiSiteB2_8612ce36_3b5838b7" localSheetId="5">#REF!</definedName>
    <definedName name="_vena_DYNR_SMultiSiteS1_BMultiSiteB2_8612ce36_3b5838b7" localSheetId="8">'[1]FY26 MYP-Multisite'!#REF!</definedName>
    <definedName name="_vena_DYNR_SMultiSiteS1_BMultiSiteB2_8612ce36_3b5838b7" localSheetId="3">#REF!</definedName>
    <definedName name="_vena_DYNR_SMultiSiteS1_BMultiSiteB2_8612ce36_3b5838b7">#REF!</definedName>
    <definedName name="_vena_DYNR_SMultiSiteS1_BMultiSiteB2_8612ce36_47b444f2" localSheetId="4">#REF!</definedName>
    <definedName name="_vena_DYNR_SMultiSiteS1_BMultiSiteB2_8612ce36_47b444f2" localSheetId="5">#REF!</definedName>
    <definedName name="_vena_DYNR_SMultiSiteS1_BMultiSiteB2_8612ce36_47b444f2" localSheetId="8">'[1]FY26 MYP-Multisite'!#REF!</definedName>
    <definedName name="_vena_DYNR_SMultiSiteS1_BMultiSiteB2_8612ce36_47b444f2" localSheetId="3">#REF!</definedName>
    <definedName name="_vena_DYNR_SMultiSiteS1_BMultiSiteB2_8612ce36_47b444f2">#REF!</definedName>
    <definedName name="_vena_DYNR_SMultiSiteS1_BMultiSiteB2_8612ce36_4b08a040" localSheetId="4">#REF!</definedName>
    <definedName name="_vena_DYNR_SMultiSiteS1_BMultiSiteB2_8612ce36_4b08a040" localSheetId="5">#REF!</definedName>
    <definedName name="_vena_DYNR_SMultiSiteS1_BMultiSiteB2_8612ce36_4b08a040" localSheetId="8">'[1]FY26 MYP-Multisite'!#REF!</definedName>
    <definedName name="_vena_DYNR_SMultiSiteS1_BMultiSiteB2_8612ce36_4b08a040" localSheetId="3">#REF!</definedName>
    <definedName name="_vena_DYNR_SMultiSiteS1_BMultiSiteB2_8612ce36_4b08a040">#REF!</definedName>
    <definedName name="_vena_DYNR_SMultiSiteS1_BMultiSiteB2_8612ce36_4bbf61ed" localSheetId="4">#REF!</definedName>
    <definedName name="_vena_DYNR_SMultiSiteS1_BMultiSiteB2_8612ce36_4bbf61ed" localSheetId="5">#REF!</definedName>
    <definedName name="_vena_DYNR_SMultiSiteS1_BMultiSiteB2_8612ce36_4bbf61ed" localSheetId="8">'[1]FY26 MYP-Multisite'!#REF!</definedName>
    <definedName name="_vena_DYNR_SMultiSiteS1_BMultiSiteB2_8612ce36_4bbf61ed" localSheetId="3">#REF!</definedName>
    <definedName name="_vena_DYNR_SMultiSiteS1_BMultiSiteB2_8612ce36_4bbf61ed">#REF!</definedName>
    <definedName name="_vena_DYNR_SMultiSiteS1_BMultiSiteB2_8612ce36_4f5e916d" localSheetId="4">#REF!</definedName>
    <definedName name="_vena_DYNR_SMultiSiteS1_BMultiSiteB2_8612ce36_4f5e916d" localSheetId="5">#REF!</definedName>
    <definedName name="_vena_DYNR_SMultiSiteS1_BMultiSiteB2_8612ce36_4f5e916d" localSheetId="8">'[1]FY26 MYP-Multisite'!#REF!</definedName>
    <definedName name="_vena_DYNR_SMultiSiteS1_BMultiSiteB2_8612ce36_4f5e916d" localSheetId="3">#REF!</definedName>
    <definedName name="_vena_DYNR_SMultiSiteS1_BMultiSiteB2_8612ce36_4f5e916d">#REF!</definedName>
    <definedName name="_vena_DYNR_SMultiSiteS1_BMultiSiteB2_8612ce36_54016092" localSheetId="4">#REF!</definedName>
    <definedName name="_vena_DYNR_SMultiSiteS1_BMultiSiteB2_8612ce36_54016092" localSheetId="5">#REF!</definedName>
    <definedName name="_vena_DYNR_SMultiSiteS1_BMultiSiteB2_8612ce36_54016092" localSheetId="8">'[1]FY26 MYP-Multisite'!#REF!</definedName>
    <definedName name="_vena_DYNR_SMultiSiteS1_BMultiSiteB2_8612ce36_54016092" localSheetId="3">#REF!</definedName>
    <definedName name="_vena_DYNR_SMultiSiteS1_BMultiSiteB2_8612ce36_54016092">#REF!</definedName>
    <definedName name="_vena_DYNR_SMultiSiteS1_BMultiSiteB2_8612ce36_55a64839" localSheetId="4">#REF!</definedName>
    <definedName name="_vena_DYNR_SMultiSiteS1_BMultiSiteB2_8612ce36_55a64839" localSheetId="5">#REF!</definedName>
    <definedName name="_vena_DYNR_SMultiSiteS1_BMultiSiteB2_8612ce36_55a64839" localSheetId="8">'[1]FY26 MYP-Multisite'!#REF!</definedName>
    <definedName name="_vena_DYNR_SMultiSiteS1_BMultiSiteB2_8612ce36_55a64839" localSheetId="3">#REF!</definedName>
    <definedName name="_vena_DYNR_SMultiSiteS1_BMultiSiteB2_8612ce36_55a64839">#REF!</definedName>
    <definedName name="_vena_DYNR_SMultiSiteS1_BMultiSiteB2_8612ce36_55dc36a" localSheetId="4">#REF!</definedName>
    <definedName name="_vena_DYNR_SMultiSiteS1_BMultiSiteB2_8612ce36_55dc36a" localSheetId="5">#REF!</definedName>
    <definedName name="_vena_DYNR_SMultiSiteS1_BMultiSiteB2_8612ce36_55dc36a" localSheetId="8">'[1]FY26 MYP-Multisite'!#REF!</definedName>
    <definedName name="_vena_DYNR_SMultiSiteS1_BMultiSiteB2_8612ce36_55dc36a" localSheetId="3">#REF!</definedName>
    <definedName name="_vena_DYNR_SMultiSiteS1_BMultiSiteB2_8612ce36_55dc36a">#REF!</definedName>
    <definedName name="_vena_DYNR_SMultiSiteS1_BMultiSiteB2_8612ce36_5ca7765e" localSheetId="4">#REF!</definedName>
    <definedName name="_vena_DYNR_SMultiSiteS1_BMultiSiteB2_8612ce36_5ca7765e" localSheetId="5">#REF!</definedName>
    <definedName name="_vena_DYNR_SMultiSiteS1_BMultiSiteB2_8612ce36_5ca7765e" localSheetId="8">'[1]FY26 MYP-Multisite'!#REF!</definedName>
    <definedName name="_vena_DYNR_SMultiSiteS1_BMultiSiteB2_8612ce36_5ca7765e" localSheetId="3">#REF!</definedName>
    <definedName name="_vena_DYNR_SMultiSiteS1_BMultiSiteB2_8612ce36_5ca7765e">#REF!</definedName>
    <definedName name="_vena_DYNR_SMultiSiteS1_BMultiSiteB2_8612ce36_60f5ba1c" localSheetId="4">#REF!</definedName>
    <definedName name="_vena_DYNR_SMultiSiteS1_BMultiSiteB2_8612ce36_60f5ba1c" localSheetId="5">#REF!</definedName>
    <definedName name="_vena_DYNR_SMultiSiteS1_BMultiSiteB2_8612ce36_60f5ba1c" localSheetId="8">'[1]FY26 MYP-Multisite'!#REF!</definedName>
    <definedName name="_vena_DYNR_SMultiSiteS1_BMultiSiteB2_8612ce36_60f5ba1c" localSheetId="3">#REF!</definedName>
    <definedName name="_vena_DYNR_SMultiSiteS1_BMultiSiteB2_8612ce36_60f5ba1c">#REF!</definedName>
    <definedName name="_vena_DYNR_SMultiSiteS1_BMultiSiteB2_8612ce36_625f71b6" localSheetId="4">#REF!</definedName>
    <definedName name="_vena_DYNR_SMultiSiteS1_BMultiSiteB2_8612ce36_625f71b6" localSheetId="5">#REF!</definedName>
    <definedName name="_vena_DYNR_SMultiSiteS1_BMultiSiteB2_8612ce36_625f71b6" localSheetId="8">'[1]FY26 MYP-Multisite'!#REF!</definedName>
    <definedName name="_vena_DYNR_SMultiSiteS1_BMultiSiteB2_8612ce36_625f71b6" localSheetId="3">#REF!</definedName>
    <definedName name="_vena_DYNR_SMultiSiteS1_BMultiSiteB2_8612ce36_625f71b6">#REF!</definedName>
    <definedName name="_vena_DYNR_SMultiSiteS1_BMultiSiteB2_8612ce36_64f5e16b" localSheetId="4">#REF!</definedName>
    <definedName name="_vena_DYNR_SMultiSiteS1_BMultiSiteB2_8612ce36_64f5e16b" localSheetId="5">#REF!</definedName>
    <definedName name="_vena_DYNR_SMultiSiteS1_BMultiSiteB2_8612ce36_64f5e16b" localSheetId="8">'[1]FY26 MYP-Multisite'!#REF!</definedName>
    <definedName name="_vena_DYNR_SMultiSiteS1_BMultiSiteB2_8612ce36_64f5e16b" localSheetId="3">#REF!</definedName>
    <definedName name="_vena_DYNR_SMultiSiteS1_BMultiSiteB2_8612ce36_64f5e16b">#REF!</definedName>
    <definedName name="_vena_DYNR_SMultiSiteS1_BMultiSiteB2_8612ce36_685095a6" localSheetId="4">#REF!</definedName>
    <definedName name="_vena_DYNR_SMultiSiteS1_BMultiSiteB2_8612ce36_685095a6" localSheetId="5">#REF!</definedName>
    <definedName name="_vena_DYNR_SMultiSiteS1_BMultiSiteB2_8612ce36_685095a6" localSheetId="8">'[1]FY26 MYP-Multisite'!#REF!</definedName>
    <definedName name="_vena_DYNR_SMultiSiteS1_BMultiSiteB2_8612ce36_685095a6" localSheetId="3">#REF!</definedName>
    <definedName name="_vena_DYNR_SMultiSiteS1_BMultiSiteB2_8612ce36_685095a6">#REF!</definedName>
    <definedName name="_vena_DYNR_SMultiSiteS1_BMultiSiteB2_8612ce36_68764a0d" localSheetId="4">#REF!</definedName>
    <definedName name="_vena_DYNR_SMultiSiteS1_BMultiSiteB2_8612ce36_68764a0d" localSheetId="5">#REF!</definedName>
    <definedName name="_vena_DYNR_SMultiSiteS1_BMultiSiteB2_8612ce36_68764a0d" localSheetId="8">'[1]FY26 MYP-Multisite'!#REF!</definedName>
    <definedName name="_vena_DYNR_SMultiSiteS1_BMultiSiteB2_8612ce36_68764a0d" localSheetId="3">#REF!</definedName>
    <definedName name="_vena_DYNR_SMultiSiteS1_BMultiSiteB2_8612ce36_68764a0d">#REF!</definedName>
    <definedName name="_vena_DYNR_SMultiSiteS1_BMultiSiteB2_8612ce36_687efba6" localSheetId="4">#REF!</definedName>
    <definedName name="_vena_DYNR_SMultiSiteS1_BMultiSiteB2_8612ce36_687efba6" localSheetId="5">#REF!</definedName>
    <definedName name="_vena_DYNR_SMultiSiteS1_BMultiSiteB2_8612ce36_687efba6" localSheetId="8">'[1]FY26 MYP-Multisite'!#REF!</definedName>
    <definedName name="_vena_DYNR_SMultiSiteS1_BMultiSiteB2_8612ce36_687efba6" localSheetId="3">#REF!</definedName>
    <definedName name="_vena_DYNR_SMultiSiteS1_BMultiSiteB2_8612ce36_687efba6">#REF!</definedName>
    <definedName name="_vena_DYNR_SMultiSiteS1_BMultiSiteB2_8612ce36_6c3e4d86" localSheetId="4">#REF!</definedName>
    <definedName name="_vena_DYNR_SMultiSiteS1_BMultiSiteB2_8612ce36_6c3e4d86" localSheetId="5">#REF!</definedName>
    <definedName name="_vena_DYNR_SMultiSiteS1_BMultiSiteB2_8612ce36_6c3e4d86" localSheetId="8">'[1]FY26 MYP-Multisite'!#REF!</definedName>
    <definedName name="_vena_DYNR_SMultiSiteS1_BMultiSiteB2_8612ce36_6c3e4d86" localSheetId="3">#REF!</definedName>
    <definedName name="_vena_DYNR_SMultiSiteS1_BMultiSiteB2_8612ce36_6c3e4d86">#REF!</definedName>
    <definedName name="_vena_DYNR_SMultiSiteS1_BMultiSiteB2_8612ce36_6c7455b7" localSheetId="4">#REF!</definedName>
    <definedName name="_vena_DYNR_SMultiSiteS1_BMultiSiteB2_8612ce36_6c7455b7" localSheetId="5">#REF!</definedName>
    <definedName name="_vena_DYNR_SMultiSiteS1_BMultiSiteB2_8612ce36_6c7455b7" localSheetId="8">'[1]FY26 MYP-Multisite'!#REF!</definedName>
    <definedName name="_vena_DYNR_SMultiSiteS1_BMultiSiteB2_8612ce36_6c7455b7" localSheetId="3">#REF!</definedName>
    <definedName name="_vena_DYNR_SMultiSiteS1_BMultiSiteB2_8612ce36_6c7455b7">#REF!</definedName>
    <definedName name="_vena_DYNR_SMultiSiteS1_BMultiSiteB2_8612ce36_6cfc061c" localSheetId="4">#REF!</definedName>
    <definedName name="_vena_DYNR_SMultiSiteS1_BMultiSiteB2_8612ce36_6cfc061c" localSheetId="5">#REF!</definedName>
    <definedName name="_vena_DYNR_SMultiSiteS1_BMultiSiteB2_8612ce36_6cfc061c" localSheetId="8">'[1]FY26 MYP-Multisite'!#REF!</definedName>
    <definedName name="_vena_DYNR_SMultiSiteS1_BMultiSiteB2_8612ce36_6cfc061c" localSheetId="3">#REF!</definedName>
    <definedName name="_vena_DYNR_SMultiSiteS1_BMultiSiteB2_8612ce36_6cfc061c">#REF!</definedName>
    <definedName name="_vena_DYNR_SMultiSiteS1_BMultiSiteB2_8612ce36_6d64ca13" localSheetId="4">#REF!</definedName>
    <definedName name="_vena_DYNR_SMultiSiteS1_BMultiSiteB2_8612ce36_6d64ca13" localSheetId="5">#REF!</definedName>
    <definedName name="_vena_DYNR_SMultiSiteS1_BMultiSiteB2_8612ce36_6d64ca13" localSheetId="8">'[1]FY26 MYP-Multisite'!#REF!</definedName>
    <definedName name="_vena_DYNR_SMultiSiteS1_BMultiSiteB2_8612ce36_6d64ca13" localSheetId="3">#REF!</definedName>
    <definedName name="_vena_DYNR_SMultiSiteS1_BMultiSiteB2_8612ce36_6d64ca13">#REF!</definedName>
    <definedName name="_vena_DYNR_SMultiSiteS1_BMultiSiteB2_8612ce36_6ef0bafe" localSheetId="4">#REF!</definedName>
    <definedName name="_vena_DYNR_SMultiSiteS1_BMultiSiteB2_8612ce36_6ef0bafe" localSheetId="5">#REF!</definedName>
    <definedName name="_vena_DYNR_SMultiSiteS1_BMultiSiteB2_8612ce36_6ef0bafe" localSheetId="8">'[1]FY26 MYP-Multisite'!#REF!</definedName>
    <definedName name="_vena_DYNR_SMultiSiteS1_BMultiSiteB2_8612ce36_6ef0bafe" localSheetId="3">#REF!</definedName>
    <definedName name="_vena_DYNR_SMultiSiteS1_BMultiSiteB2_8612ce36_6ef0bafe">#REF!</definedName>
    <definedName name="_vena_DYNR_SMultiSiteS1_BMultiSiteB2_8612ce36_70c4f340" localSheetId="4">#REF!</definedName>
    <definedName name="_vena_DYNR_SMultiSiteS1_BMultiSiteB2_8612ce36_70c4f340" localSheetId="5">#REF!</definedName>
    <definedName name="_vena_DYNR_SMultiSiteS1_BMultiSiteB2_8612ce36_70c4f340" localSheetId="8">'[1]FY26 MYP-Multisite'!#REF!</definedName>
    <definedName name="_vena_DYNR_SMultiSiteS1_BMultiSiteB2_8612ce36_70c4f340" localSheetId="3">#REF!</definedName>
    <definedName name="_vena_DYNR_SMultiSiteS1_BMultiSiteB2_8612ce36_70c4f340">#REF!</definedName>
    <definedName name="_vena_DYNR_SMultiSiteS1_BMultiSiteB2_8612ce36_7212e6fe" localSheetId="4">#REF!</definedName>
    <definedName name="_vena_DYNR_SMultiSiteS1_BMultiSiteB2_8612ce36_7212e6fe" localSheetId="5">#REF!</definedName>
    <definedName name="_vena_DYNR_SMultiSiteS1_BMultiSiteB2_8612ce36_7212e6fe" localSheetId="8">'[1]FY26 MYP-Multisite'!#REF!</definedName>
    <definedName name="_vena_DYNR_SMultiSiteS1_BMultiSiteB2_8612ce36_7212e6fe" localSheetId="3">#REF!</definedName>
    <definedName name="_vena_DYNR_SMultiSiteS1_BMultiSiteB2_8612ce36_7212e6fe">#REF!</definedName>
    <definedName name="_vena_DYNR_SMultiSiteS1_BMultiSiteB2_8612ce36_73a3d1b7" localSheetId="4">#REF!</definedName>
    <definedName name="_vena_DYNR_SMultiSiteS1_BMultiSiteB2_8612ce36_73a3d1b7" localSheetId="5">#REF!</definedName>
    <definedName name="_vena_DYNR_SMultiSiteS1_BMultiSiteB2_8612ce36_73a3d1b7" localSheetId="8">'[1]FY26 MYP-Multisite'!#REF!</definedName>
    <definedName name="_vena_DYNR_SMultiSiteS1_BMultiSiteB2_8612ce36_73a3d1b7" localSheetId="3">#REF!</definedName>
    <definedName name="_vena_DYNR_SMultiSiteS1_BMultiSiteB2_8612ce36_73a3d1b7">#REF!</definedName>
    <definedName name="_vena_DYNR_SMultiSiteS1_BMultiSiteB2_8612ce36_765cc2ce" localSheetId="4">#REF!</definedName>
    <definedName name="_vena_DYNR_SMultiSiteS1_BMultiSiteB2_8612ce36_765cc2ce" localSheetId="5">#REF!</definedName>
    <definedName name="_vena_DYNR_SMultiSiteS1_BMultiSiteB2_8612ce36_765cc2ce" localSheetId="8">'[1]FY26 MYP-Multisite'!#REF!</definedName>
    <definedName name="_vena_DYNR_SMultiSiteS1_BMultiSiteB2_8612ce36_765cc2ce" localSheetId="3">#REF!</definedName>
    <definedName name="_vena_DYNR_SMultiSiteS1_BMultiSiteB2_8612ce36_765cc2ce">#REF!</definedName>
    <definedName name="_vena_DYNR_SMultiSiteS1_BMultiSiteB2_8612ce36_793b513d" localSheetId="4">#REF!</definedName>
    <definedName name="_vena_DYNR_SMultiSiteS1_BMultiSiteB2_8612ce36_793b513d" localSheetId="5">#REF!</definedName>
    <definedName name="_vena_DYNR_SMultiSiteS1_BMultiSiteB2_8612ce36_793b513d" localSheetId="8">'[1]FY26 MYP-Multisite'!#REF!</definedName>
    <definedName name="_vena_DYNR_SMultiSiteS1_BMultiSiteB2_8612ce36_793b513d" localSheetId="3">#REF!</definedName>
    <definedName name="_vena_DYNR_SMultiSiteS1_BMultiSiteB2_8612ce36_793b513d">#REF!</definedName>
    <definedName name="_vena_DYNR_SMultiSiteS1_BMultiSiteB2_8612ce36_7b754fec" localSheetId="4">#REF!</definedName>
    <definedName name="_vena_DYNR_SMultiSiteS1_BMultiSiteB2_8612ce36_7b754fec" localSheetId="5">#REF!</definedName>
    <definedName name="_vena_DYNR_SMultiSiteS1_BMultiSiteB2_8612ce36_7b754fec" localSheetId="8">'[1]FY26 MYP-Multisite'!#REF!</definedName>
    <definedName name="_vena_DYNR_SMultiSiteS1_BMultiSiteB2_8612ce36_7b754fec" localSheetId="3">#REF!</definedName>
    <definedName name="_vena_DYNR_SMultiSiteS1_BMultiSiteB2_8612ce36_7b754fec">#REF!</definedName>
    <definedName name="_vena_DYNR_SMultiSiteS1_BMultiSiteB2_8612ce36_7bdf0ef2" localSheetId="4">#REF!</definedName>
    <definedName name="_vena_DYNR_SMultiSiteS1_BMultiSiteB2_8612ce36_7bdf0ef2" localSheetId="5">#REF!</definedName>
    <definedName name="_vena_DYNR_SMultiSiteS1_BMultiSiteB2_8612ce36_7bdf0ef2" localSheetId="8">'[1]FY26 MYP-Multisite'!#REF!</definedName>
    <definedName name="_vena_DYNR_SMultiSiteS1_BMultiSiteB2_8612ce36_7bdf0ef2" localSheetId="3">#REF!</definedName>
    <definedName name="_vena_DYNR_SMultiSiteS1_BMultiSiteB2_8612ce36_7bdf0ef2">#REF!</definedName>
    <definedName name="_vena_DYNR_SMultiSiteS1_BMultiSiteB2_8612ce36_7c7e2fc0" localSheetId="4">#REF!</definedName>
    <definedName name="_vena_DYNR_SMultiSiteS1_BMultiSiteB2_8612ce36_7c7e2fc0" localSheetId="5">#REF!</definedName>
    <definedName name="_vena_DYNR_SMultiSiteS1_BMultiSiteB2_8612ce36_7c7e2fc0" localSheetId="8">'[1]FY26 MYP-Multisite'!#REF!</definedName>
    <definedName name="_vena_DYNR_SMultiSiteS1_BMultiSiteB2_8612ce36_7c7e2fc0" localSheetId="3">#REF!</definedName>
    <definedName name="_vena_DYNR_SMultiSiteS1_BMultiSiteB2_8612ce36_7c7e2fc0">#REF!</definedName>
    <definedName name="_vena_DYNR_SMultiSiteS1_BMultiSiteB2_8612ce36_7df4aca8" localSheetId="4">#REF!</definedName>
    <definedName name="_vena_DYNR_SMultiSiteS1_BMultiSiteB2_8612ce36_7df4aca8" localSheetId="5">#REF!</definedName>
    <definedName name="_vena_DYNR_SMultiSiteS1_BMultiSiteB2_8612ce36_7df4aca8" localSheetId="8">'[1]FY26 MYP-Multisite'!#REF!</definedName>
    <definedName name="_vena_DYNR_SMultiSiteS1_BMultiSiteB2_8612ce36_7df4aca8" localSheetId="3">#REF!</definedName>
    <definedName name="_vena_DYNR_SMultiSiteS1_BMultiSiteB2_8612ce36_7df4aca8">#REF!</definedName>
    <definedName name="_vena_DYNR_SMultiSiteS1_BMultiSiteB2_8612ce36_80b1af70" localSheetId="4">#REF!</definedName>
    <definedName name="_vena_DYNR_SMultiSiteS1_BMultiSiteB2_8612ce36_80b1af70" localSheetId="5">#REF!</definedName>
    <definedName name="_vena_DYNR_SMultiSiteS1_BMultiSiteB2_8612ce36_80b1af70" localSheetId="8">'[1]FY26 MYP-Multisite'!#REF!</definedName>
    <definedName name="_vena_DYNR_SMultiSiteS1_BMultiSiteB2_8612ce36_80b1af70" localSheetId="3">#REF!</definedName>
    <definedName name="_vena_DYNR_SMultiSiteS1_BMultiSiteB2_8612ce36_80b1af70">#REF!</definedName>
    <definedName name="_vena_DYNR_SMultiSiteS1_BMultiSiteB2_8612ce36_81467542" localSheetId="4">#REF!</definedName>
    <definedName name="_vena_DYNR_SMultiSiteS1_BMultiSiteB2_8612ce36_81467542" localSheetId="5">#REF!</definedName>
    <definedName name="_vena_DYNR_SMultiSiteS1_BMultiSiteB2_8612ce36_81467542" localSheetId="8">'[1]FY26 MYP-Multisite'!#REF!</definedName>
    <definedName name="_vena_DYNR_SMultiSiteS1_BMultiSiteB2_8612ce36_81467542" localSheetId="3">#REF!</definedName>
    <definedName name="_vena_DYNR_SMultiSiteS1_BMultiSiteB2_8612ce36_81467542">#REF!</definedName>
    <definedName name="_vena_DYNR_SMultiSiteS1_BMultiSiteB2_8612ce36_85709504" localSheetId="4">#REF!</definedName>
    <definedName name="_vena_DYNR_SMultiSiteS1_BMultiSiteB2_8612ce36_85709504" localSheetId="5">#REF!</definedName>
    <definedName name="_vena_DYNR_SMultiSiteS1_BMultiSiteB2_8612ce36_85709504" localSheetId="8">'[1]FY26 MYP-Multisite'!#REF!</definedName>
    <definedName name="_vena_DYNR_SMultiSiteS1_BMultiSiteB2_8612ce36_85709504" localSheetId="3">#REF!</definedName>
    <definedName name="_vena_DYNR_SMultiSiteS1_BMultiSiteB2_8612ce36_85709504">#REF!</definedName>
    <definedName name="_vena_DYNR_SMultiSiteS1_BMultiSiteB2_8612ce36_861c4c36" localSheetId="4">#REF!</definedName>
    <definedName name="_vena_DYNR_SMultiSiteS1_BMultiSiteB2_8612ce36_861c4c36" localSheetId="5">#REF!</definedName>
    <definedName name="_vena_DYNR_SMultiSiteS1_BMultiSiteB2_8612ce36_861c4c36" localSheetId="8">'[1]FY26 MYP-Multisite'!#REF!</definedName>
    <definedName name="_vena_DYNR_SMultiSiteS1_BMultiSiteB2_8612ce36_861c4c36" localSheetId="3">#REF!</definedName>
    <definedName name="_vena_DYNR_SMultiSiteS1_BMultiSiteB2_8612ce36_861c4c36">#REF!</definedName>
    <definedName name="_vena_DYNR_SMultiSiteS1_BMultiSiteB2_8612ce36_8623d559" localSheetId="4">#REF!</definedName>
    <definedName name="_vena_DYNR_SMultiSiteS1_BMultiSiteB2_8612ce36_8623d559" localSheetId="5">#REF!</definedName>
    <definedName name="_vena_DYNR_SMultiSiteS1_BMultiSiteB2_8612ce36_8623d559" localSheetId="8">'[1]FY26 MYP-Multisite'!#REF!</definedName>
    <definedName name="_vena_DYNR_SMultiSiteS1_BMultiSiteB2_8612ce36_8623d559" localSheetId="3">#REF!</definedName>
    <definedName name="_vena_DYNR_SMultiSiteS1_BMultiSiteB2_8612ce36_8623d559">#REF!</definedName>
    <definedName name="_vena_DYNR_SMultiSiteS1_BMultiSiteB2_8612ce36_88d8035a" localSheetId="4">#REF!</definedName>
    <definedName name="_vena_DYNR_SMultiSiteS1_BMultiSiteB2_8612ce36_88d8035a" localSheetId="5">#REF!</definedName>
    <definedName name="_vena_DYNR_SMultiSiteS1_BMultiSiteB2_8612ce36_88d8035a" localSheetId="8">'[1]FY26 MYP-Multisite'!#REF!</definedName>
    <definedName name="_vena_DYNR_SMultiSiteS1_BMultiSiteB2_8612ce36_88d8035a" localSheetId="3">#REF!</definedName>
    <definedName name="_vena_DYNR_SMultiSiteS1_BMultiSiteB2_8612ce36_88d8035a">#REF!</definedName>
    <definedName name="_vena_DYNR_SMultiSiteS1_BMultiSiteB2_8612ce36_8a1f38d2" localSheetId="4">#REF!</definedName>
    <definedName name="_vena_DYNR_SMultiSiteS1_BMultiSiteB2_8612ce36_8a1f38d2" localSheetId="5">#REF!</definedName>
    <definedName name="_vena_DYNR_SMultiSiteS1_BMultiSiteB2_8612ce36_8a1f38d2" localSheetId="8">'[1]FY26 MYP-Multisite'!#REF!</definedName>
    <definedName name="_vena_DYNR_SMultiSiteS1_BMultiSiteB2_8612ce36_8a1f38d2" localSheetId="3">#REF!</definedName>
    <definedName name="_vena_DYNR_SMultiSiteS1_BMultiSiteB2_8612ce36_8a1f38d2">#REF!</definedName>
    <definedName name="_vena_DYNR_SMultiSiteS1_BMultiSiteB2_8612ce36_8e241db7" localSheetId="4">#REF!</definedName>
    <definedName name="_vena_DYNR_SMultiSiteS1_BMultiSiteB2_8612ce36_8e241db7" localSheetId="5">#REF!</definedName>
    <definedName name="_vena_DYNR_SMultiSiteS1_BMultiSiteB2_8612ce36_8e241db7" localSheetId="8">'[1]FY26 MYP-Multisite'!#REF!</definedName>
    <definedName name="_vena_DYNR_SMultiSiteS1_BMultiSiteB2_8612ce36_8e241db7" localSheetId="3">#REF!</definedName>
    <definedName name="_vena_DYNR_SMultiSiteS1_BMultiSiteB2_8612ce36_8e241db7">#REF!</definedName>
    <definedName name="_vena_DYNR_SMultiSiteS1_BMultiSiteB2_8612ce36_8e2e29f4" localSheetId="4">#REF!</definedName>
    <definedName name="_vena_DYNR_SMultiSiteS1_BMultiSiteB2_8612ce36_8e2e29f4" localSheetId="5">#REF!</definedName>
    <definedName name="_vena_DYNR_SMultiSiteS1_BMultiSiteB2_8612ce36_8e2e29f4" localSheetId="8">'[1]FY26 MYP-Multisite'!#REF!</definedName>
    <definedName name="_vena_DYNR_SMultiSiteS1_BMultiSiteB2_8612ce36_8e2e29f4" localSheetId="3">#REF!</definedName>
    <definedName name="_vena_DYNR_SMultiSiteS1_BMultiSiteB2_8612ce36_8e2e29f4">#REF!</definedName>
    <definedName name="_vena_DYNR_SMultiSiteS1_BMultiSiteB2_8612ce36_8ea05555" localSheetId="4">#REF!</definedName>
    <definedName name="_vena_DYNR_SMultiSiteS1_BMultiSiteB2_8612ce36_8ea05555" localSheetId="5">#REF!</definedName>
    <definedName name="_vena_DYNR_SMultiSiteS1_BMultiSiteB2_8612ce36_8ea05555" localSheetId="8">'[1]FY26 MYP-Multisite'!#REF!</definedName>
    <definedName name="_vena_DYNR_SMultiSiteS1_BMultiSiteB2_8612ce36_8ea05555" localSheetId="3">#REF!</definedName>
    <definedName name="_vena_DYNR_SMultiSiteS1_BMultiSiteB2_8612ce36_8ea05555">#REF!</definedName>
    <definedName name="_vena_DYNR_SMultiSiteS1_BMultiSiteB2_8612ce36_8f4f1a99" localSheetId="4">#REF!</definedName>
    <definedName name="_vena_DYNR_SMultiSiteS1_BMultiSiteB2_8612ce36_8f4f1a99" localSheetId="5">#REF!</definedName>
    <definedName name="_vena_DYNR_SMultiSiteS1_BMultiSiteB2_8612ce36_8f4f1a99" localSheetId="8">'[1]FY26 MYP-Multisite'!#REF!</definedName>
    <definedName name="_vena_DYNR_SMultiSiteS1_BMultiSiteB2_8612ce36_8f4f1a99" localSheetId="3">#REF!</definedName>
    <definedName name="_vena_DYNR_SMultiSiteS1_BMultiSiteB2_8612ce36_8f4f1a99">#REF!</definedName>
    <definedName name="_vena_DYNR_SMultiSiteS1_BMultiSiteB2_8612ce36_8f7f1620" localSheetId="4">#REF!</definedName>
    <definedName name="_vena_DYNR_SMultiSiteS1_BMultiSiteB2_8612ce36_8f7f1620" localSheetId="5">#REF!</definedName>
    <definedName name="_vena_DYNR_SMultiSiteS1_BMultiSiteB2_8612ce36_8f7f1620" localSheetId="8">'[1]FY26 MYP-Multisite'!#REF!</definedName>
    <definedName name="_vena_DYNR_SMultiSiteS1_BMultiSiteB2_8612ce36_8f7f1620" localSheetId="3">#REF!</definedName>
    <definedName name="_vena_DYNR_SMultiSiteS1_BMultiSiteB2_8612ce36_8f7f1620">#REF!</definedName>
    <definedName name="_vena_DYNR_SMultiSiteS1_BMultiSiteB2_8612ce36_91f4f06b" localSheetId="4">#REF!</definedName>
    <definedName name="_vena_DYNR_SMultiSiteS1_BMultiSiteB2_8612ce36_91f4f06b" localSheetId="5">#REF!</definedName>
    <definedName name="_vena_DYNR_SMultiSiteS1_BMultiSiteB2_8612ce36_91f4f06b" localSheetId="8">'[1]FY26 MYP-Multisite'!#REF!</definedName>
    <definedName name="_vena_DYNR_SMultiSiteS1_BMultiSiteB2_8612ce36_91f4f06b" localSheetId="3">#REF!</definedName>
    <definedName name="_vena_DYNR_SMultiSiteS1_BMultiSiteB2_8612ce36_91f4f06b">#REF!</definedName>
    <definedName name="_vena_DYNR_SMultiSiteS1_BMultiSiteB2_8612ce36_9273502c" localSheetId="4">#REF!</definedName>
    <definedName name="_vena_DYNR_SMultiSiteS1_BMultiSiteB2_8612ce36_9273502c" localSheetId="5">#REF!</definedName>
    <definedName name="_vena_DYNR_SMultiSiteS1_BMultiSiteB2_8612ce36_9273502c" localSheetId="8">'[1]FY26 MYP-Multisite'!#REF!</definedName>
    <definedName name="_vena_DYNR_SMultiSiteS1_BMultiSiteB2_8612ce36_9273502c" localSheetId="3">#REF!</definedName>
    <definedName name="_vena_DYNR_SMultiSiteS1_BMultiSiteB2_8612ce36_9273502c">#REF!</definedName>
    <definedName name="_vena_DYNR_SMultiSiteS1_BMultiSiteB2_8612ce36_97c07322" localSheetId="4">#REF!</definedName>
    <definedName name="_vena_DYNR_SMultiSiteS1_BMultiSiteB2_8612ce36_97c07322" localSheetId="5">#REF!</definedName>
    <definedName name="_vena_DYNR_SMultiSiteS1_BMultiSiteB2_8612ce36_97c07322" localSheetId="8">'[1]FY26 MYP-Multisite'!#REF!</definedName>
    <definedName name="_vena_DYNR_SMultiSiteS1_BMultiSiteB2_8612ce36_97c07322" localSheetId="3">#REF!</definedName>
    <definedName name="_vena_DYNR_SMultiSiteS1_BMultiSiteB2_8612ce36_97c07322">#REF!</definedName>
    <definedName name="_vena_DYNR_SMultiSiteS1_BMultiSiteB2_8612ce36_9845d5df" localSheetId="4">#REF!</definedName>
    <definedName name="_vena_DYNR_SMultiSiteS1_BMultiSiteB2_8612ce36_9845d5df" localSheetId="5">#REF!</definedName>
    <definedName name="_vena_DYNR_SMultiSiteS1_BMultiSiteB2_8612ce36_9845d5df" localSheetId="8">'[1]FY26 MYP-Multisite'!#REF!</definedName>
    <definedName name="_vena_DYNR_SMultiSiteS1_BMultiSiteB2_8612ce36_9845d5df" localSheetId="3">#REF!</definedName>
    <definedName name="_vena_DYNR_SMultiSiteS1_BMultiSiteB2_8612ce36_9845d5df">#REF!</definedName>
    <definedName name="_vena_DYNR_SMultiSiteS1_BMultiSiteB2_8612ce36_987b5312" localSheetId="4">#REF!</definedName>
    <definedName name="_vena_DYNR_SMultiSiteS1_BMultiSiteB2_8612ce36_987b5312" localSheetId="5">#REF!</definedName>
    <definedName name="_vena_DYNR_SMultiSiteS1_BMultiSiteB2_8612ce36_987b5312" localSheetId="8">'[1]FY26 MYP-Multisite'!#REF!</definedName>
    <definedName name="_vena_DYNR_SMultiSiteS1_BMultiSiteB2_8612ce36_987b5312" localSheetId="3">#REF!</definedName>
    <definedName name="_vena_DYNR_SMultiSiteS1_BMultiSiteB2_8612ce36_987b5312">#REF!</definedName>
    <definedName name="_vena_DYNR_SMultiSiteS1_BMultiSiteB2_8612ce36_9913eb6" localSheetId="4">#REF!</definedName>
    <definedName name="_vena_DYNR_SMultiSiteS1_BMultiSiteB2_8612ce36_9913eb6" localSheetId="5">#REF!</definedName>
    <definedName name="_vena_DYNR_SMultiSiteS1_BMultiSiteB2_8612ce36_9913eb6" localSheetId="8">'[1]FY26 MYP-Multisite'!#REF!</definedName>
    <definedName name="_vena_DYNR_SMultiSiteS1_BMultiSiteB2_8612ce36_9913eb6" localSheetId="3">#REF!</definedName>
    <definedName name="_vena_DYNR_SMultiSiteS1_BMultiSiteB2_8612ce36_9913eb6">#REF!</definedName>
    <definedName name="_vena_DYNR_SMultiSiteS1_BMultiSiteB2_8612ce36_99e6b01" localSheetId="4">#REF!</definedName>
    <definedName name="_vena_DYNR_SMultiSiteS1_BMultiSiteB2_8612ce36_99e6b01" localSheetId="5">#REF!</definedName>
    <definedName name="_vena_DYNR_SMultiSiteS1_BMultiSiteB2_8612ce36_99e6b01" localSheetId="8">'[1]FY26 MYP-Multisite'!#REF!</definedName>
    <definedName name="_vena_DYNR_SMultiSiteS1_BMultiSiteB2_8612ce36_99e6b01" localSheetId="3">#REF!</definedName>
    <definedName name="_vena_DYNR_SMultiSiteS1_BMultiSiteB2_8612ce36_99e6b01">#REF!</definedName>
    <definedName name="_vena_DYNR_SMultiSiteS1_BMultiSiteB2_8612ce36_9b9bf7f8" localSheetId="4">#REF!</definedName>
    <definedName name="_vena_DYNR_SMultiSiteS1_BMultiSiteB2_8612ce36_9b9bf7f8" localSheetId="5">#REF!</definedName>
    <definedName name="_vena_DYNR_SMultiSiteS1_BMultiSiteB2_8612ce36_9b9bf7f8" localSheetId="8">'[1]FY26 MYP-Multisite'!#REF!</definedName>
    <definedName name="_vena_DYNR_SMultiSiteS1_BMultiSiteB2_8612ce36_9b9bf7f8" localSheetId="3">#REF!</definedName>
    <definedName name="_vena_DYNR_SMultiSiteS1_BMultiSiteB2_8612ce36_9b9bf7f8">#REF!</definedName>
    <definedName name="_vena_DYNR_SMultiSiteS1_BMultiSiteB2_8612ce36_9d23dfe6" localSheetId="4">#REF!</definedName>
    <definedName name="_vena_DYNR_SMultiSiteS1_BMultiSiteB2_8612ce36_9d23dfe6" localSheetId="5">#REF!</definedName>
    <definedName name="_vena_DYNR_SMultiSiteS1_BMultiSiteB2_8612ce36_9d23dfe6" localSheetId="8">'[1]FY26 MYP-Multisite'!#REF!</definedName>
    <definedName name="_vena_DYNR_SMultiSiteS1_BMultiSiteB2_8612ce36_9d23dfe6" localSheetId="3">#REF!</definedName>
    <definedName name="_vena_DYNR_SMultiSiteS1_BMultiSiteB2_8612ce36_9d23dfe6">#REF!</definedName>
    <definedName name="_vena_DYNR_SMultiSiteS1_BMultiSiteB2_8612ce36_9d93a4d6" localSheetId="4">#REF!</definedName>
    <definedName name="_vena_DYNR_SMultiSiteS1_BMultiSiteB2_8612ce36_9d93a4d6" localSheetId="5">#REF!</definedName>
    <definedName name="_vena_DYNR_SMultiSiteS1_BMultiSiteB2_8612ce36_9d93a4d6" localSheetId="8">'[1]FY26 MYP-Multisite'!#REF!</definedName>
    <definedName name="_vena_DYNR_SMultiSiteS1_BMultiSiteB2_8612ce36_9d93a4d6" localSheetId="3">#REF!</definedName>
    <definedName name="_vena_DYNR_SMultiSiteS1_BMultiSiteB2_8612ce36_9d93a4d6">#REF!</definedName>
    <definedName name="_vena_DYNR_SMultiSiteS1_BMultiSiteB2_8612ce36_9e930742" localSheetId="4">#REF!</definedName>
    <definedName name="_vena_DYNR_SMultiSiteS1_BMultiSiteB2_8612ce36_9e930742" localSheetId="5">#REF!</definedName>
    <definedName name="_vena_DYNR_SMultiSiteS1_BMultiSiteB2_8612ce36_9e930742" localSheetId="8">'[1]FY26 MYP-Multisite'!#REF!</definedName>
    <definedName name="_vena_DYNR_SMultiSiteS1_BMultiSiteB2_8612ce36_9e930742" localSheetId="3">#REF!</definedName>
    <definedName name="_vena_DYNR_SMultiSiteS1_BMultiSiteB2_8612ce36_9e930742">#REF!</definedName>
    <definedName name="_vena_DYNR_SMultiSiteS1_BMultiSiteB2_8612ce36_9efc7944" localSheetId="4">#REF!</definedName>
    <definedName name="_vena_DYNR_SMultiSiteS1_BMultiSiteB2_8612ce36_9efc7944" localSheetId="5">#REF!</definedName>
    <definedName name="_vena_DYNR_SMultiSiteS1_BMultiSiteB2_8612ce36_9efc7944" localSheetId="8">'[1]FY26 MYP-Multisite'!#REF!</definedName>
    <definedName name="_vena_DYNR_SMultiSiteS1_BMultiSiteB2_8612ce36_9efc7944" localSheetId="3">#REF!</definedName>
    <definedName name="_vena_DYNR_SMultiSiteS1_BMultiSiteB2_8612ce36_9efc7944">#REF!</definedName>
    <definedName name="_vena_DYNR_SMultiSiteS1_BMultiSiteB2_8612ce36_9fe0cdb2" localSheetId="4">#REF!</definedName>
    <definedName name="_vena_DYNR_SMultiSiteS1_BMultiSiteB2_8612ce36_9fe0cdb2" localSheetId="5">#REF!</definedName>
    <definedName name="_vena_DYNR_SMultiSiteS1_BMultiSiteB2_8612ce36_9fe0cdb2" localSheetId="8">'[1]FY26 MYP-Multisite'!#REF!</definedName>
    <definedName name="_vena_DYNR_SMultiSiteS1_BMultiSiteB2_8612ce36_9fe0cdb2" localSheetId="3">#REF!</definedName>
    <definedName name="_vena_DYNR_SMultiSiteS1_BMultiSiteB2_8612ce36_9fe0cdb2">#REF!</definedName>
    <definedName name="_vena_DYNR_SMultiSiteS1_BMultiSiteB2_8612ce36_a137da4f" localSheetId="4">#REF!</definedName>
    <definedName name="_vena_DYNR_SMultiSiteS1_BMultiSiteB2_8612ce36_a137da4f" localSheetId="5">#REF!</definedName>
    <definedName name="_vena_DYNR_SMultiSiteS1_BMultiSiteB2_8612ce36_a137da4f" localSheetId="8">'[1]FY26 MYP-Multisite'!#REF!</definedName>
    <definedName name="_vena_DYNR_SMultiSiteS1_BMultiSiteB2_8612ce36_a137da4f" localSheetId="3">#REF!</definedName>
    <definedName name="_vena_DYNR_SMultiSiteS1_BMultiSiteB2_8612ce36_a137da4f">#REF!</definedName>
    <definedName name="_vena_DYNR_SMultiSiteS1_BMultiSiteB2_8612ce36_a423affe" localSheetId="4">#REF!</definedName>
    <definedName name="_vena_DYNR_SMultiSiteS1_BMultiSiteB2_8612ce36_a423affe" localSheetId="5">#REF!</definedName>
    <definedName name="_vena_DYNR_SMultiSiteS1_BMultiSiteB2_8612ce36_a423affe" localSheetId="8">'[1]FY26 MYP-Multisite'!#REF!</definedName>
    <definedName name="_vena_DYNR_SMultiSiteS1_BMultiSiteB2_8612ce36_a423affe" localSheetId="3">#REF!</definedName>
    <definedName name="_vena_DYNR_SMultiSiteS1_BMultiSiteB2_8612ce36_a423affe">#REF!</definedName>
    <definedName name="_vena_DYNR_SMultiSiteS1_BMultiSiteB2_8612ce36_a56155ed" localSheetId="4">#REF!</definedName>
    <definedName name="_vena_DYNR_SMultiSiteS1_BMultiSiteB2_8612ce36_a56155ed" localSheetId="5">#REF!</definedName>
    <definedName name="_vena_DYNR_SMultiSiteS1_BMultiSiteB2_8612ce36_a56155ed" localSheetId="8">'[1]FY26 MYP-Multisite'!#REF!</definedName>
    <definedName name="_vena_DYNR_SMultiSiteS1_BMultiSiteB2_8612ce36_a56155ed" localSheetId="3">#REF!</definedName>
    <definedName name="_vena_DYNR_SMultiSiteS1_BMultiSiteB2_8612ce36_a56155ed">#REF!</definedName>
    <definedName name="_vena_DYNR_SMultiSiteS1_BMultiSiteB2_8612ce36_a653bf6b" localSheetId="4">#REF!</definedName>
    <definedName name="_vena_DYNR_SMultiSiteS1_BMultiSiteB2_8612ce36_a653bf6b" localSheetId="5">#REF!</definedName>
    <definedName name="_vena_DYNR_SMultiSiteS1_BMultiSiteB2_8612ce36_a653bf6b" localSheetId="8">'[1]FY26 MYP-Multisite'!#REF!</definedName>
    <definedName name="_vena_DYNR_SMultiSiteS1_BMultiSiteB2_8612ce36_a653bf6b" localSheetId="3">#REF!</definedName>
    <definedName name="_vena_DYNR_SMultiSiteS1_BMultiSiteB2_8612ce36_a653bf6b">#REF!</definedName>
    <definedName name="_vena_DYNR_SMultiSiteS1_BMultiSiteB2_8612ce36_a7ce5d5e" localSheetId="4">#REF!</definedName>
    <definedName name="_vena_DYNR_SMultiSiteS1_BMultiSiteB2_8612ce36_a7ce5d5e" localSheetId="5">#REF!</definedName>
    <definedName name="_vena_DYNR_SMultiSiteS1_BMultiSiteB2_8612ce36_a7ce5d5e" localSheetId="8">'[1]FY26 MYP-Multisite'!#REF!</definedName>
    <definedName name="_vena_DYNR_SMultiSiteS1_BMultiSiteB2_8612ce36_a7ce5d5e" localSheetId="3">#REF!</definedName>
    <definedName name="_vena_DYNR_SMultiSiteS1_BMultiSiteB2_8612ce36_a7ce5d5e">#REF!</definedName>
    <definedName name="_vena_DYNR_SMultiSiteS1_BMultiSiteB2_8612ce36_ab8b6a88" localSheetId="4">#REF!</definedName>
    <definedName name="_vena_DYNR_SMultiSiteS1_BMultiSiteB2_8612ce36_ab8b6a88" localSheetId="5">#REF!</definedName>
    <definedName name="_vena_DYNR_SMultiSiteS1_BMultiSiteB2_8612ce36_ab8b6a88" localSheetId="8">'[1]FY26 MYP-Multisite'!#REF!</definedName>
    <definedName name="_vena_DYNR_SMultiSiteS1_BMultiSiteB2_8612ce36_ab8b6a88" localSheetId="3">#REF!</definedName>
    <definedName name="_vena_DYNR_SMultiSiteS1_BMultiSiteB2_8612ce36_ab8b6a88">#REF!</definedName>
    <definedName name="_vena_DYNR_SMultiSiteS1_BMultiSiteB2_8612ce36_abc01102" localSheetId="4">#REF!</definedName>
    <definedName name="_vena_DYNR_SMultiSiteS1_BMultiSiteB2_8612ce36_abc01102" localSheetId="5">#REF!</definedName>
    <definedName name="_vena_DYNR_SMultiSiteS1_BMultiSiteB2_8612ce36_abc01102" localSheetId="8">'[1]FY26 MYP-Multisite'!#REF!</definedName>
    <definedName name="_vena_DYNR_SMultiSiteS1_BMultiSiteB2_8612ce36_abc01102" localSheetId="3">#REF!</definedName>
    <definedName name="_vena_DYNR_SMultiSiteS1_BMultiSiteB2_8612ce36_abc01102">#REF!</definedName>
    <definedName name="_vena_DYNR_SMultiSiteS1_BMultiSiteB2_8612ce36_af928f64" localSheetId="4">#REF!</definedName>
    <definedName name="_vena_DYNR_SMultiSiteS1_BMultiSiteB2_8612ce36_af928f64" localSheetId="5">#REF!</definedName>
    <definedName name="_vena_DYNR_SMultiSiteS1_BMultiSiteB2_8612ce36_af928f64" localSheetId="8">'[1]FY26 MYP-Multisite'!#REF!</definedName>
    <definedName name="_vena_DYNR_SMultiSiteS1_BMultiSiteB2_8612ce36_af928f64" localSheetId="3">#REF!</definedName>
    <definedName name="_vena_DYNR_SMultiSiteS1_BMultiSiteB2_8612ce36_af928f64">#REF!</definedName>
    <definedName name="_vena_DYNR_SMultiSiteS1_BMultiSiteB2_8612ce36_b1260783" localSheetId="4">#REF!</definedName>
    <definedName name="_vena_DYNR_SMultiSiteS1_BMultiSiteB2_8612ce36_b1260783" localSheetId="5">#REF!</definedName>
    <definedName name="_vena_DYNR_SMultiSiteS1_BMultiSiteB2_8612ce36_b1260783" localSheetId="8">'[1]FY26 MYP-Multisite'!#REF!</definedName>
    <definedName name="_vena_DYNR_SMultiSiteS1_BMultiSiteB2_8612ce36_b1260783" localSheetId="3">#REF!</definedName>
    <definedName name="_vena_DYNR_SMultiSiteS1_BMultiSiteB2_8612ce36_b1260783">#REF!</definedName>
    <definedName name="_vena_DYNR_SMultiSiteS1_BMultiSiteB2_8612ce36_b19d33d9" localSheetId="4">#REF!</definedName>
    <definedName name="_vena_DYNR_SMultiSiteS1_BMultiSiteB2_8612ce36_b19d33d9" localSheetId="5">#REF!</definedName>
    <definedName name="_vena_DYNR_SMultiSiteS1_BMultiSiteB2_8612ce36_b19d33d9" localSheetId="8">'[1]FY26 MYP-Multisite'!#REF!</definedName>
    <definedName name="_vena_DYNR_SMultiSiteS1_BMultiSiteB2_8612ce36_b19d33d9" localSheetId="3">#REF!</definedName>
    <definedName name="_vena_DYNR_SMultiSiteS1_BMultiSiteB2_8612ce36_b19d33d9">#REF!</definedName>
    <definedName name="_vena_DYNR_SMultiSiteS1_BMultiSiteB2_8612ce36_b1b3bf1d" localSheetId="4">#REF!</definedName>
    <definedName name="_vena_DYNR_SMultiSiteS1_BMultiSiteB2_8612ce36_b1b3bf1d" localSheetId="5">#REF!</definedName>
    <definedName name="_vena_DYNR_SMultiSiteS1_BMultiSiteB2_8612ce36_b1b3bf1d" localSheetId="8">'[1]FY26 MYP-Multisite'!#REF!</definedName>
    <definedName name="_vena_DYNR_SMultiSiteS1_BMultiSiteB2_8612ce36_b1b3bf1d" localSheetId="3">#REF!</definedName>
    <definedName name="_vena_DYNR_SMultiSiteS1_BMultiSiteB2_8612ce36_b1b3bf1d">#REF!</definedName>
    <definedName name="_vena_DYNR_SMultiSiteS1_BMultiSiteB2_8612ce36_b26493c9" localSheetId="4">#REF!</definedName>
    <definedName name="_vena_DYNR_SMultiSiteS1_BMultiSiteB2_8612ce36_b26493c9" localSheetId="5">#REF!</definedName>
    <definedName name="_vena_DYNR_SMultiSiteS1_BMultiSiteB2_8612ce36_b26493c9" localSheetId="8">'[1]FY26 MYP-Multisite'!#REF!</definedName>
    <definedName name="_vena_DYNR_SMultiSiteS1_BMultiSiteB2_8612ce36_b26493c9" localSheetId="3">#REF!</definedName>
    <definedName name="_vena_DYNR_SMultiSiteS1_BMultiSiteB2_8612ce36_b26493c9">#REF!</definedName>
    <definedName name="_vena_DYNR_SMultiSiteS1_BMultiSiteB2_8612ce36_b3bde858" localSheetId="4">#REF!</definedName>
    <definedName name="_vena_DYNR_SMultiSiteS1_BMultiSiteB2_8612ce36_b3bde858" localSheetId="5">#REF!</definedName>
    <definedName name="_vena_DYNR_SMultiSiteS1_BMultiSiteB2_8612ce36_b3bde858" localSheetId="8">'[1]FY26 MYP-Multisite'!#REF!</definedName>
    <definedName name="_vena_DYNR_SMultiSiteS1_BMultiSiteB2_8612ce36_b3bde858" localSheetId="3">#REF!</definedName>
    <definedName name="_vena_DYNR_SMultiSiteS1_BMultiSiteB2_8612ce36_b3bde858">#REF!</definedName>
    <definedName name="_vena_DYNR_SMultiSiteS1_BMultiSiteB2_8612ce36_b556d2bc" localSheetId="4">#REF!</definedName>
    <definedName name="_vena_DYNR_SMultiSiteS1_BMultiSiteB2_8612ce36_b556d2bc" localSheetId="5">#REF!</definedName>
    <definedName name="_vena_DYNR_SMultiSiteS1_BMultiSiteB2_8612ce36_b556d2bc" localSheetId="8">'[1]FY26 MYP-Multisite'!#REF!</definedName>
    <definedName name="_vena_DYNR_SMultiSiteS1_BMultiSiteB2_8612ce36_b556d2bc" localSheetId="3">#REF!</definedName>
    <definedName name="_vena_DYNR_SMultiSiteS1_BMultiSiteB2_8612ce36_b556d2bc">#REF!</definedName>
    <definedName name="_vena_DYNR_SMultiSiteS1_BMultiSiteB2_8612ce36_b562d39b" localSheetId="4">#REF!</definedName>
    <definedName name="_vena_DYNR_SMultiSiteS1_BMultiSiteB2_8612ce36_b562d39b" localSheetId="5">#REF!</definedName>
    <definedName name="_vena_DYNR_SMultiSiteS1_BMultiSiteB2_8612ce36_b562d39b" localSheetId="8">'[1]FY26 MYP-Multisite'!#REF!</definedName>
    <definedName name="_vena_DYNR_SMultiSiteS1_BMultiSiteB2_8612ce36_b562d39b" localSheetId="3">#REF!</definedName>
    <definedName name="_vena_DYNR_SMultiSiteS1_BMultiSiteB2_8612ce36_b562d39b">#REF!</definedName>
    <definedName name="_vena_DYNR_SMultiSiteS1_BMultiSiteB2_8612ce36_bb358ea5" localSheetId="4">#REF!</definedName>
    <definedName name="_vena_DYNR_SMultiSiteS1_BMultiSiteB2_8612ce36_bb358ea5" localSheetId="5">#REF!</definedName>
    <definedName name="_vena_DYNR_SMultiSiteS1_BMultiSiteB2_8612ce36_bb358ea5" localSheetId="8">'[1]FY26 MYP-Multisite'!#REF!</definedName>
    <definedName name="_vena_DYNR_SMultiSiteS1_BMultiSiteB2_8612ce36_bb358ea5" localSheetId="3">#REF!</definedName>
    <definedName name="_vena_DYNR_SMultiSiteS1_BMultiSiteB2_8612ce36_bb358ea5">#REF!</definedName>
    <definedName name="_vena_DYNR_SMultiSiteS1_BMultiSiteB2_8612ce36_bb44ea6f" localSheetId="4">#REF!</definedName>
    <definedName name="_vena_DYNR_SMultiSiteS1_BMultiSiteB2_8612ce36_bb44ea6f" localSheetId="5">#REF!</definedName>
    <definedName name="_vena_DYNR_SMultiSiteS1_BMultiSiteB2_8612ce36_bb44ea6f" localSheetId="8">'[1]FY26 MYP-Multisite'!#REF!</definedName>
    <definedName name="_vena_DYNR_SMultiSiteS1_BMultiSiteB2_8612ce36_bb44ea6f" localSheetId="3">#REF!</definedName>
    <definedName name="_vena_DYNR_SMultiSiteS1_BMultiSiteB2_8612ce36_bb44ea6f">#REF!</definedName>
    <definedName name="_vena_DYNR_SMultiSiteS1_BMultiSiteB2_8612ce36_bee38cca" localSheetId="4">#REF!</definedName>
    <definedName name="_vena_DYNR_SMultiSiteS1_BMultiSiteB2_8612ce36_bee38cca" localSheetId="5">#REF!</definedName>
    <definedName name="_vena_DYNR_SMultiSiteS1_BMultiSiteB2_8612ce36_bee38cca" localSheetId="8">'[1]FY26 MYP-Multisite'!#REF!</definedName>
    <definedName name="_vena_DYNR_SMultiSiteS1_BMultiSiteB2_8612ce36_bee38cca" localSheetId="3">#REF!</definedName>
    <definedName name="_vena_DYNR_SMultiSiteS1_BMultiSiteB2_8612ce36_bee38cca">#REF!</definedName>
    <definedName name="_vena_DYNR_SMultiSiteS1_BMultiSiteB2_8612ce36_bf4bfc9a" localSheetId="4">#REF!</definedName>
    <definedName name="_vena_DYNR_SMultiSiteS1_BMultiSiteB2_8612ce36_bf4bfc9a" localSheetId="5">#REF!</definedName>
    <definedName name="_vena_DYNR_SMultiSiteS1_BMultiSiteB2_8612ce36_bf4bfc9a" localSheetId="8">'[1]FY26 MYP-Multisite'!#REF!</definedName>
    <definedName name="_vena_DYNR_SMultiSiteS1_BMultiSiteB2_8612ce36_bf4bfc9a" localSheetId="3">#REF!</definedName>
    <definedName name="_vena_DYNR_SMultiSiteS1_BMultiSiteB2_8612ce36_bf4bfc9a">#REF!</definedName>
    <definedName name="_vena_DYNR_SMultiSiteS1_BMultiSiteB2_8612ce36_bf8a5bcc" localSheetId="4">#REF!</definedName>
    <definedName name="_vena_DYNR_SMultiSiteS1_BMultiSiteB2_8612ce36_bf8a5bcc" localSheetId="5">#REF!</definedName>
    <definedName name="_vena_DYNR_SMultiSiteS1_BMultiSiteB2_8612ce36_bf8a5bcc" localSheetId="8">'[1]FY26 MYP-Multisite'!#REF!</definedName>
    <definedName name="_vena_DYNR_SMultiSiteS1_BMultiSiteB2_8612ce36_bf8a5bcc" localSheetId="3">#REF!</definedName>
    <definedName name="_vena_DYNR_SMultiSiteS1_BMultiSiteB2_8612ce36_bf8a5bcc">#REF!</definedName>
    <definedName name="_vena_DYNR_SMultiSiteS1_BMultiSiteB2_8612ce36_c018b4ec" localSheetId="4">#REF!</definedName>
    <definedName name="_vena_DYNR_SMultiSiteS1_BMultiSiteB2_8612ce36_c018b4ec" localSheetId="5">#REF!</definedName>
    <definedName name="_vena_DYNR_SMultiSiteS1_BMultiSiteB2_8612ce36_c018b4ec" localSheetId="8">'[1]FY26 MYP-Multisite'!#REF!</definedName>
    <definedName name="_vena_DYNR_SMultiSiteS1_BMultiSiteB2_8612ce36_c018b4ec" localSheetId="3">#REF!</definedName>
    <definedName name="_vena_DYNR_SMultiSiteS1_BMultiSiteB2_8612ce36_c018b4ec">#REF!</definedName>
    <definedName name="_vena_DYNR_SMultiSiteS1_BMultiSiteB2_8612ce36_c043860f" localSheetId="4">#REF!</definedName>
    <definedName name="_vena_DYNR_SMultiSiteS1_BMultiSiteB2_8612ce36_c043860f" localSheetId="5">#REF!</definedName>
    <definedName name="_vena_DYNR_SMultiSiteS1_BMultiSiteB2_8612ce36_c043860f" localSheetId="8">'[1]FY26 MYP-Multisite'!#REF!</definedName>
    <definedName name="_vena_DYNR_SMultiSiteS1_BMultiSiteB2_8612ce36_c043860f" localSheetId="3">#REF!</definedName>
    <definedName name="_vena_DYNR_SMultiSiteS1_BMultiSiteB2_8612ce36_c043860f">#REF!</definedName>
    <definedName name="_vena_DYNR_SMultiSiteS1_BMultiSiteB2_8612ce36_c251dc39" localSheetId="4">#REF!</definedName>
    <definedName name="_vena_DYNR_SMultiSiteS1_BMultiSiteB2_8612ce36_c251dc39" localSheetId="5">#REF!</definedName>
    <definedName name="_vena_DYNR_SMultiSiteS1_BMultiSiteB2_8612ce36_c251dc39" localSheetId="8">'[1]FY26 MYP-Multisite'!#REF!</definedName>
    <definedName name="_vena_DYNR_SMultiSiteS1_BMultiSiteB2_8612ce36_c251dc39" localSheetId="3">#REF!</definedName>
    <definedName name="_vena_DYNR_SMultiSiteS1_BMultiSiteB2_8612ce36_c251dc39">#REF!</definedName>
    <definedName name="_vena_DYNR_SMultiSiteS1_BMultiSiteB2_8612ce36_c2bfc25d" localSheetId="4">#REF!</definedName>
    <definedName name="_vena_DYNR_SMultiSiteS1_BMultiSiteB2_8612ce36_c2bfc25d" localSheetId="5">#REF!</definedName>
    <definedName name="_vena_DYNR_SMultiSiteS1_BMultiSiteB2_8612ce36_c2bfc25d" localSheetId="8">'[1]FY26 MYP-Multisite'!#REF!</definedName>
    <definedName name="_vena_DYNR_SMultiSiteS1_BMultiSiteB2_8612ce36_c2bfc25d" localSheetId="3">#REF!</definedName>
    <definedName name="_vena_DYNR_SMultiSiteS1_BMultiSiteB2_8612ce36_c2bfc25d">#REF!</definedName>
    <definedName name="_vena_DYNR_SMultiSiteS1_BMultiSiteB2_8612ce36_c2e14864" localSheetId="4">#REF!</definedName>
    <definedName name="_vena_DYNR_SMultiSiteS1_BMultiSiteB2_8612ce36_c2e14864" localSheetId="5">#REF!</definedName>
    <definedName name="_vena_DYNR_SMultiSiteS1_BMultiSiteB2_8612ce36_c2e14864" localSheetId="8">'[1]FY26 MYP-Multisite'!#REF!</definedName>
    <definedName name="_vena_DYNR_SMultiSiteS1_BMultiSiteB2_8612ce36_c2e14864" localSheetId="3">#REF!</definedName>
    <definedName name="_vena_DYNR_SMultiSiteS1_BMultiSiteB2_8612ce36_c2e14864">#REF!</definedName>
    <definedName name="_vena_DYNR_SMultiSiteS1_BMultiSiteB2_8612ce36_c44af46" localSheetId="4">#REF!</definedName>
    <definedName name="_vena_DYNR_SMultiSiteS1_BMultiSiteB2_8612ce36_c44af46" localSheetId="5">#REF!</definedName>
    <definedName name="_vena_DYNR_SMultiSiteS1_BMultiSiteB2_8612ce36_c44af46" localSheetId="8">'[1]FY26 MYP-Multisite'!#REF!</definedName>
    <definedName name="_vena_DYNR_SMultiSiteS1_BMultiSiteB2_8612ce36_c44af46" localSheetId="3">#REF!</definedName>
    <definedName name="_vena_DYNR_SMultiSiteS1_BMultiSiteB2_8612ce36_c44af46">#REF!</definedName>
    <definedName name="_vena_DYNR_SMultiSiteS1_BMultiSiteB2_8612ce36_c6bb2716" localSheetId="4">#REF!</definedName>
    <definedName name="_vena_DYNR_SMultiSiteS1_BMultiSiteB2_8612ce36_c6bb2716" localSheetId="5">#REF!</definedName>
    <definedName name="_vena_DYNR_SMultiSiteS1_BMultiSiteB2_8612ce36_c6bb2716" localSheetId="8">'[1]FY26 MYP-Multisite'!#REF!</definedName>
    <definedName name="_vena_DYNR_SMultiSiteS1_BMultiSiteB2_8612ce36_c6bb2716" localSheetId="3">#REF!</definedName>
    <definedName name="_vena_DYNR_SMultiSiteS1_BMultiSiteB2_8612ce36_c6bb2716">#REF!</definedName>
    <definedName name="_vena_DYNR_SMultiSiteS1_BMultiSiteB2_8612ce36_c829cb67" localSheetId="4">#REF!</definedName>
    <definedName name="_vena_DYNR_SMultiSiteS1_BMultiSiteB2_8612ce36_c829cb67" localSheetId="5">#REF!</definedName>
    <definedName name="_vena_DYNR_SMultiSiteS1_BMultiSiteB2_8612ce36_c829cb67" localSheetId="8">'[1]FY26 MYP-Multisite'!#REF!</definedName>
    <definedName name="_vena_DYNR_SMultiSiteS1_BMultiSiteB2_8612ce36_c829cb67" localSheetId="3">#REF!</definedName>
    <definedName name="_vena_DYNR_SMultiSiteS1_BMultiSiteB2_8612ce36_c829cb67">#REF!</definedName>
    <definedName name="_vena_DYNR_SMultiSiteS1_BMultiSiteB2_8612ce36_ca34933d" localSheetId="4">#REF!</definedName>
    <definedName name="_vena_DYNR_SMultiSiteS1_BMultiSiteB2_8612ce36_ca34933d" localSheetId="5">#REF!</definedName>
    <definedName name="_vena_DYNR_SMultiSiteS1_BMultiSiteB2_8612ce36_ca34933d" localSheetId="8">'[1]FY26 MYP-Multisite'!#REF!</definedName>
    <definedName name="_vena_DYNR_SMultiSiteS1_BMultiSiteB2_8612ce36_ca34933d" localSheetId="3">#REF!</definedName>
    <definedName name="_vena_DYNR_SMultiSiteS1_BMultiSiteB2_8612ce36_ca34933d">#REF!</definedName>
    <definedName name="_vena_DYNR_SMultiSiteS1_BMultiSiteB2_8612ce36_cc0ebcc1" localSheetId="4">#REF!</definedName>
    <definedName name="_vena_DYNR_SMultiSiteS1_BMultiSiteB2_8612ce36_cc0ebcc1" localSheetId="5">#REF!</definedName>
    <definedName name="_vena_DYNR_SMultiSiteS1_BMultiSiteB2_8612ce36_cc0ebcc1" localSheetId="8">'[1]FY26 MYP-Multisite'!#REF!</definedName>
    <definedName name="_vena_DYNR_SMultiSiteS1_BMultiSiteB2_8612ce36_cc0ebcc1" localSheetId="3">#REF!</definedName>
    <definedName name="_vena_DYNR_SMultiSiteS1_BMultiSiteB2_8612ce36_cc0ebcc1">#REF!</definedName>
    <definedName name="_vena_DYNR_SMultiSiteS1_BMultiSiteB2_8612ce36_cce05873" localSheetId="4">#REF!</definedName>
    <definedName name="_vena_DYNR_SMultiSiteS1_BMultiSiteB2_8612ce36_cce05873" localSheetId="5">#REF!</definedName>
    <definedName name="_vena_DYNR_SMultiSiteS1_BMultiSiteB2_8612ce36_cce05873" localSheetId="8">'[1]FY26 MYP-Multisite'!#REF!</definedName>
    <definedName name="_vena_DYNR_SMultiSiteS1_BMultiSiteB2_8612ce36_cce05873" localSheetId="3">#REF!</definedName>
    <definedName name="_vena_DYNR_SMultiSiteS1_BMultiSiteB2_8612ce36_cce05873">#REF!</definedName>
    <definedName name="_vena_DYNR_SMultiSiteS1_BMultiSiteB2_8612ce36_cd4c3c77" localSheetId="4">#REF!</definedName>
    <definedName name="_vena_DYNR_SMultiSiteS1_BMultiSiteB2_8612ce36_cd4c3c77" localSheetId="5">#REF!</definedName>
    <definedName name="_vena_DYNR_SMultiSiteS1_BMultiSiteB2_8612ce36_cd4c3c77" localSheetId="8">'[1]FY26 MYP-Multisite'!#REF!</definedName>
    <definedName name="_vena_DYNR_SMultiSiteS1_BMultiSiteB2_8612ce36_cd4c3c77" localSheetId="3">#REF!</definedName>
    <definedName name="_vena_DYNR_SMultiSiteS1_BMultiSiteB2_8612ce36_cd4c3c77">#REF!</definedName>
    <definedName name="_vena_DYNR_SMultiSiteS1_BMultiSiteB2_8612ce36_cfa31be7" localSheetId="4">#REF!</definedName>
    <definedName name="_vena_DYNR_SMultiSiteS1_BMultiSiteB2_8612ce36_cfa31be7" localSheetId="5">#REF!</definedName>
    <definedName name="_vena_DYNR_SMultiSiteS1_BMultiSiteB2_8612ce36_cfa31be7" localSheetId="8">'[1]FY26 MYP-Multisite'!#REF!</definedName>
    <definedName name="_vena_DYNR_SMultiSiteS1_BMultiSiteB2_8612ce36_cfa31be7" localSheetId="3">#REF!</definedName>
    <definedName name="_vena_DYNR_SMultiSiteS1_BMultiSiteB2_8612ce36_cfa31be7">#REF!</definedName>
    <definedName name="_vena_DYNR_SMultiSiteS1_BMultiSiteB2_8612ce36_d4e97e70" localSheetId="4">#REF!</definedName>
    <definedName name="_vena_DYNR_SMultiSiteS1_BMultiSiteB2_8612ce36_d4e97e70" localSheetId="5">#REF!</definedName>
    <definedName name="_vena_DYNR_SMultiSiteS1_BMultiSiteB2_8612ce36_d4e97e70" localSheetId="8">'[1]FY26 MYP-Multisite'!#REF!</definedName>
    <definedName name="_vena_DYNR_SMultiSiteS1_BMultiSiteB2_8612ce36_d4e97e70" localSheetId="3">#REF!</definedName>
    <definedName name="_vena_DYNR_SMultiSiteS1_BMultiSiteB2_8612ce36_d4e97e70">#REF!</definedName>
    <definedName name="_vena_DYNR_SMultiSiteS1_BMultiSiteB2_8612ce36_d5b5ff1b" localSheetId="4">#REF!</definedName>
    <definedName name="_vena_DYNR_SMultiSiteS1_BMultiSiteB2_8612ce36_d5b5ff1b" localSheetId="5">#REF!</definedName>
    <definedName name="_vena_DYNR_SMultiSiteS1_BMultiSiteB2_8612ce36_d5b5ff1b" localSheetId="8">'[1]FY26 MYP-Multisite'!#REF!</definedName>
    <definedName name="_vena_DYNR_SMultiSiteS1_BMultiSiteB2_8612ce36_d5b5ff1b" localSheetId="3">#REF!</definedName>
    <definedName name="_vena_DYNR_SMultiSiteS1_BMultiSiteB2_8612ce36_d5b5ff1b">#REF!</definedName>
    <definedName name="_vena_DYNR_SMultiSiteS1_BMultiSiteB2_8612ce36_d8d9d0be" localSheetId="4">#REF!</definedName>
    <definedName name="_vena_DYNR_SMultiSiteS1_BMultiSiteB2_8612ce36_d8d9d0be" localSheetId="5">#REF!</definedName>
    <definedName name="_vena_DYNR_SMultiSiteS1_BMultiSiteB2_8612ce36_d8d9d0be" localSheetId="8">'[1]FY26 MYP-Multisite'!#REF!</definedName>
    <definedName name="_vena_DYNR_SMultiSiteS1_BMultiSiteB2_8612ce36_d8d9d0be" localSheetId="3">#REF!</definedName>
    <definedName name="_vena_DYNR_SMultiSiteS1_BMultiSiteB2_8612ce36_d8d9d0be">#REF!</definedName>
    <definedName name="_vena_DYNR_SMultiSiteS1_BMultiSiteB2_8612ce36_dc11595c" localSheetId="4">#REF!</definedName>
    <definedName name="_vena_DYNR_SMultiSiteS1_BMultiSiteB2_8612ce36_dc11595c" localSheetId="5">#REF!</definedName>
    <definedName name="_vena_DYNR_SMultiSiteS1_BMultiSiteB2_8612ce36_dc11595c" localSheetId="8">'[1]FY26 MYP-Multisite'!#REF!</definedName>
    <definedName name="_vena_DYNR_SMultiSiteS1_BMultiSiteB2_8612ce36_dc11595c" localSheetId="3">#REF!</definedName>
    <definedName name="_vena_DYNR_SMultiSiteS1_BMultiSiteB2_8612ce36_dc11595c">#REF!</definedName>
    <definedName name="_vena_DYNR_SMultiSiteS1_BMultiSiteB2_8612ce36_ddb4a66f" localSheetId="4">#REF!</definedName>
    <definedName name="_vena_DYNR_SMultiSiteS1_BMultiSiteB2_8612ce36_ddb4a66f" localSheetId="5">#REF!</definedName>
    <definedName name="_vena_DYNR_SMultiSiteS1_BMultiSiteB2_8612ce36_ddb4a66f" localSheetId="8">'[1]FY26 MYP-Multisite'!#REF!</definedName>
    <definedName name="_vena_DYNR_SMultiSiteS1_BMultiSiteB2_8612ce36_ddb4a66f" localSheetId="3">#REF!</definedName>
    <definedName name="_vena_DYNR_SMultiSiteS1_BMultiSiteB2_8612ce36_ddb4a66f">#REF!</definedName>
    <definedName name="_vena_DYNR_SMultiSiteS1_BMultiSiteB2_8612ce36_dfa9da08" localSheetId="4">#REF!</definedName>
    <definedName name="_vena_DYNR_SMultiSiteS1_BMultiSiteB2_8612ce36_dfa9da08" localSheetId="5">#REF!</definedName>
    <definedName name="_vena_DYNR_SMultiSiteS1_BMultiSiteB2_8612ce36_dfa9da08" localSheetId="8">'[1]FY26 MYP-Multisite'!#REF!</definedName>
    <definedName name="_vena_DYNR_SMultiSiteS1_BMultiSiteB2_8612ce36_dfa9da08" localSheetId="3">#REF!</definedName>
    <definedName name="_vena_DYNR_SMultiSiteS1_BMultiSiteB2_8612ce36_dfa9da08">#REF!</definedName>
    <definedName name="_vena_DYNR_SMultiSiteS1_BMultiSiteB2_8612ce36_dfb4c35d" localSheetId="4">#REF!</definedName>
    <definedName name="_vena_DYNR_SMultiSiteS1_BMultiSiteB2_8612ce36_dfb4c35d" localSheetId="5">#REF!</definedName>
    <definedName name="_vena_DYNR_SMultiSiteS1_BMultiSiteB2_8612ce36_dfb4c35d" localSheetId="8">'[1]FY26 MYP-Multisite'!#REF!</definedName>
    <definedName name="_vena_DYNR_SMultiSiteS1_BMultiSiteB2_8612ce36_dfb4c35d" localSheetId="3">#REF!</definedName>
    <definedName name="_vena_DYNR_SMultiSiteS1_BMultiSiteB2_8612ce36_dfb4c35d">#REF!</definedName>
    <definedName name="_vena_DYNR_SMultiSiteS1_BMultiSiteB2_8612ce36_dfe84985" localSheetId="4">#REF!</definedName>
    <definedName name="_vena_DYNR_SMultiSiteS1_BMultiSiteB2_8612ce36_dfe84985" localSheetId="5">#REF!</definedName>
    <definedName name="_vena_DYNR_SMultiSiteS1_BMultiSiteB2_8612ce36_dfe84985" localSheetId="8">'[1]FY26 MYP-Multisite'!#REF!</definedName>
    <definedName name="_vena_DYNR_SMultiSiteS1_BMultiSiteB2_8612ce36_dfe84985" localSheetId="3">#REF!</definedName>
    <definedName name="_vena_DYNR_SMultiSiteS1_BMultiSiteB2_8612ce36_dfe84985">#REF!</definedName>
    <definedName name="_vena_DYNR_SMultiSiteS1_BMultiSiteB2_8612ce36_e144428d" localSheetId="4">#REF!</definedName>
    <definedName name="_vena_DYNR_SMultiSiteS1_BMultiSiteB2_8612ce36_e144428d" localSheetId="5">#REF!</definedName>
    <definedName name="_vena_DYNR_SMultiSiteS1_BMultiSiteB2_8612ce36_e144428d" localSheetId="8">'[1]FY26 MYP-Multisite'!#REF!</definedName>
    <definedName name="_vena_DYNR_SMultiSiteS1_BMultiSiteB2_8612ce36_e144428d" localSheetId="3">#REF!</definedName>
    <definedName name="_vena_DYNR_SMultiSiteS1_BMultiSiteB2_8612ce36_e144428d">#REF!</definedName>
    <definedName name="_vena_DYNR_SMultiSiteS1_BMultiSiteB2_8612ce36_e2dca780" localSheetId="4">#REF!</definedName>
    <definedName name="_vena_DYNR_SMultiSiteS1_BMultiSiteB2_8612ce36_e2dca780" localSheetId="5">#REF!</definedName>
    <definedName name="_vena_DYNR_SMultiSiteS1_BMultiSiteB2_8612ce36_e2dca780" localSheetId="8">'[1]FY26 MYP-Multisite'!#REF!</definedName>
    <definedName name="_vena_DYNR_SMultiSiteS1_BMultiSiteB2_8612ce36_e2dca780" localSheetId="3">#REF!</definedName>
    <definedName name="_vena_DYNR_SMultiSiteS1_BMultiSiteB2_8612ce36_e2dca780">#REF!</definedName>
    <definedName name="_vena_DYNR_SMultiSiteS1_BMultiSiteB2_8612ce36_e4cd02f8" localSheetId="4">#REF!</definedName>
    <definedName name="_vena_DYNR_SMultiSiteS1_BMultiSiteB2_8612ce36_e4cd02f8" localSheetId="5">#REF!</definedName>
    <definedName name="_vena_DYNR_SMultiSiteS1_BMultiSiteB2_8612ce36_e4cd02f8" localSheetId="8">'[1]FY26 MYP-Multisite'!#REF!</definedName>
    <definedName name="_vena_DYNR_SMultiSiteS1_BMultiSiteB2_8612ce36_e4cd02f8" localSheetId="3">#REF!</definedName>
    <definedName name="_vena_DYNR_SMultiSiteS1_BMultiSiteB2_8612ce36_e4cd02f8">#REF!</definedName>
    <definedName name="_vena_DYNR_SMultiSiteS1_BMultiSiteB2_8612ce36_e811f6b3" localSheetId="4">#REF!</definedName>
    <definedName name="_vena_DYNR_SMultiSiteS1_BMultiSiteB2_8612ce36_e811f6b3" localSheetId="5">#REF!</definedName>
    <definedName name="_vena_DYNR_SMultiSiteS1_BMultiSiteB2_8612ce36_e811f6b3" localSheetId="8">'[1]FY26 MYP-Multisite'!#REF!</definedName>
    <definedName name="_vena_DYNR_SMultiSiteS1_BMultiSiteB2_8612ce36_e811f6b3" localSheetId="3">#REF!</definedName>
    <definedName name="_vena_DYNR_SMultiSiteS1_BMultiSiteB2_8612ce36_e811f6b3">#REF!</definedName>
    <definedName name="_vena_DYNR_SMultiSiteS1_BMultiSiteB2_8612ce36_ebeb23da" localSheetId="4">#REF!</definedName>
    <definedName name="_vena_DYNR_SMultiSiteS1_BMultiSiteB2_8612ce36_ebeb23da" localSheetId="5">#REF!</definedName>
    <definedName name="_vena_DYNR_SMultiSiteS1_BMultiSiteB2_8612ce36_ebeb23da" localSheetId="8">'[1]FY26 MYP-Multisite'!#REF!</definedName>
    <definedName name="_vena_DYNR_SMultiSiteS1_BMultiSiteB2_8612ce36_ebeb23da" localSheetId="3">#REF!</definedName>
    <definedName name="_vena_DYNR_SMultiSiteS1_BMultiSiteB2_8612ce36_ebeb23da">#REF!</definedName>
    <definedName name="_vena_DYNR_SMultiSiteS1_BMultiSiteB2_8612ce36_f7c97ccb" localSheetId="4">#REF!</definedName>
    <definedName name="_vena_DYNR_SMultiSiteS1_BMultiSiteB2_8612ce36_f7c97ccb" localSheetId="5">#REF!</definedName>
    <definedName name="_vena_DYNR_SMultiSiteS1_BMultiSiteB2_8612ce36_f7c97ccb" localSheetId="8">'[1]FY26 MYP-Multisite'!#REF!</definedName>
    <definedName name="_vena_DYNR_SMultiSiteS1_BMultiSiteB2_8612ce36_f7c97ccb" localSheetId="3">#REF!</definedName>
    <definedName name="_vena_DYNR_SMultiSiteS1_BMultiSiteB2_8612ce36_f7c97ccb">#REF!</definedName>
    <definedName name="_vena_DYNR_SMultiSiteS1_BMultiSiteB2_8612ce36_fed90a5a" localSheetId="4">#REF!</definedName>
    <definedName name="_vena_DYNR_SMultiSiteS1_BMultiSiteB2_8612ce36_fed90a5a" localSheetId="5">#REF!</definedName>
    <definedName name="_vena_DYNR_SMultiSiteS1_BMultiSiteB2_8612ce36_fed90a5a" localSheetId="8">'[1]FY26 MYP-Multisite'!#REF!</definedName>
    <definedName name="_vena_DYNR_SMultiSiteS1_BMultiSiteB2_8612ce36_fed90a5a" localSheetId="3">#REF!</definedName>
    <definedName name="_vena_DYNR_SMultiSiteS1_BMultiSiteB2_8612ce36_fed90a5a">#REF!</definedName>
    <definedName name="_vena_DYNR_SMultiSiteS1_BMultiSiteB2_8612ce36_ff71e877" localSheetId="4">#REF!</definedName>
    <definedName name="_vena_DYNR_SMultiSiteS1_BMultiSiteB2_8612ce36_ff71e877" localSheetId="5">#REF!</definedName>
    <definedName name="_vena_DYNR_SMultiSiteS1_BMultiSiteB2_8612ce36_ff71e877" localSheetId="8">'[1]FY26 MYP-Multisite'!#REF!</definedName>
    <definedName name="_vena_DYNR_SMultiSiteS1_BMultiSiteB2_8612ce36_ff71e877" localSheetId="3">#REF!</definedName>
    <definedName name="_vena_DYNR_SMultiSiteS1_BMultiSiteB2_8612ce36_ff71e877">#REF!</definedName>
    <definedName name="_vena_DYNR_SMultiSiteS1_BMultiSiteB2_8612ce36_fff9c717" localSheetId="4">#REF!</definedName>
    <definedName name="_vena_DYNR_SMultiSiteS1_BMultiSiteB2_8612ce36_fff9c717" localSheetId="5">#REF!</definedName>
    <definedName name="_vena_DYNR_SMultiSiteS1_BMultiSiteB2_8612ce36_fff9c717" localSheetId="8">'[1]FY26 MYP-Multisite'!#REF!</definedName>
    <definedName name="_vena_DYNR_SMultiSiteS1_BMultiSiteB2_8612ce36_fff9c717" localSheetId="3">#REF!</definedName>
    <definedName name="_vena_DYNR_SMultiSiteS1_BMultiSiteB2_8612ce36_fff9c717">#REF!</definedName>
    <definedName name="_vena_DYNR_SMultiSiteS1_BMultiSiteB2_8a9b164">#REF!</definedName>
    <definedName name="_vena_DYNR_SMultiSiteS1_BMultiSiteB2_8a9b164_1ba2533a">#REF!</definedName>
    <definedName name="_vena_DYNR_SMultiSiteS1_BMultiSiteB2_8a9b164_2e4ba0a8">#REF!</definedName>
    <definedName name="_vena_DYNR_SMultiSiteS1_BMultiSiteB2_8a9b164_34765f0d">#REF!</definedName>
    <definedName name="_vena_DYNR_SMultiSiteS1_BMultiSiteB2_8a9b164_34b6194a">#REF!</definedName>
    <definedName name="_vena_DYNR_SMultiSiteS1_BMultiSiteB2_8a9b164_465ce9e6">#REF!</definedName>
    <definedName name="_vena_DYNR_SMultiSiteS1_BMultiSiteB2_8a9b164_55bd15c4">#REF!</definedName>
    <definedName name="_vena_DYNR_SMultiSiteS1_BMultiSiteB2_8a9b164_5a2624e1">#REF!</definedName>
    <definedName name="_vena_DYNR_SMultiSiteS1_BMultiSiteB2_8a9b164_5c35c124">#REF!</definedName>
    <definedName name="_vena_DYNR_SMultiSiteS1_BMultiSiteB2_8a9b164_68eacee1">#REF!</definedName>
    <definedName name="_vena_DYNR_SMultiSiteS1_BMultiSiteB2_8a9b164_705f6d6a">#REF!</definedName>
    <definedName name="_vena_DYNR_SMultiSiteS1_BMultiSiteB2_8a9b164_7b7dd1f5">#REF!</definedName>
    <definedName name="_vena_DYNR_SMultiSiteS1_BMultiSiteB2_8a9b164_7c87310c">#REF!</definedName>
    <definedName name="_vena_DYNR_SMultiSiteS1_BMultiSiteB2_8a9b164_8c2b517e">#REF!</definedName>
    <definedName name="_vena_DYNR_SMultiSiteS1_BMultiSiteB2_8a9b164_8c8acd6e">#REF!</definedName>
    <definedName name="_vena_DYNR_SMultiSiteS1_BMultiSiteB2_8a9b164_94de9130">#REF!</definedName>
    <definedName name="_vena_DYNR_SMultiSiteS1_BMultiSiteB2_8a9b164_a043034b">#REF!</definedName>
    <definedName name="_vena_DYNR_SMultiSiteS1_BMultiSiteB2_8a9b164_a2578faa">#REF!</definedName>
    <definedName name="_vena_DYNR_SMultiSiteS1_BMultiSiteB2_8a9b164_a3b22568">#REF!</definedName>
    <definedName name="_vena_DYNR_SMultiSiteS1_BMultiSiteB2_8a9b164_a7736b36">#REF!</definedName>
    <definedName name="_vena_DYNR_SMultiSiteS1_BMultiSiteB2_8a9b164_b2988f3e">#REF!</definedName>
    <definedName name="_vena_DYNR_SMultiSiteS1_BMultiSiteB2_8a9b164_b6b53d04">#REF!</definedName>
    <definedName name="_vena_DYNR_SMultiSiteS1_BMultiSiteB2_8a9b164_bb0b0012">#REF!</definedName>
    <definedName name="_vena_DYNR_SMultiSiteS1_BMultiSiteB2_8a9b164_cef0bb9a">#REF!</definedName>
    <definedName name="_vena_DYNR_SMultiSiteS1_BMultiSiteB2_8a9b164_cf53ff25">#REF!</definedName>
    <definedName name="_vena_DYNR_SMultiSiteS1_BMultiSiteB2_8a9b164_cfda1bd4">#REF!</definedName>
    <definedName name="_vena_DYNR_SMultiSiteS1_BMultiSiteB2_8a9b164_d2ec0e8b">#REF!</definedName>
    <definedName name="_vena_DYNR_SMultiSiteS1_BMultiSiteB2_8a9b164_d39c2537">#REF!</definedName>
    <definedName name="_vena_DYNR_SMultiSiteS1_BMultiSiteB2_8a9b164_da2e63af">#REF!</definedName>
    <definedName name="_vena_DYNR_SMultiSiteS1_BMultiSiteB2_8a9b164_de26971e">#REF!</definedName>
    <definedName name="_vena_DYNR_SMultiSiteS1_BMultiSiteB2_8a9b164_e4f55d2f">#REF!</definedName>
    <definedName name="_vena_DYNR_SMultiSiteS1_BMultiSiteB2_8a9b164_e6beabe">#REF!</definedName>
    <definedName name="_vena_DYNR_SMultiSiteS1_BMultiSiteB2_8a9b164_fbf58486">#REF!</definedName>
    <definedName name="_vena_DYNR_SMultiSiteS1_BMultiSiteB2_8a9b164_fce22d76">#REF!</definedName>
    <definedName name="_vena_DYNR_SMultiSiteS1_BMultiSiteB2_8dde5a83">#REF!</definedName>
    <definedName name="_vena_DYNR_SMultiSiteS1_BMultiSiteB2_8dde5a83_12017178">#REF!</definedName>
    <definedName name="_vena_DYNR_SMultiSiteS1_BMultiSiteB2_8dde5a83_145b4bed">#REF!</definedName>
    <definedName name="_vena_DYNR_SMultiSiteS1_BMultiSiteB2_8dde5a83_16bc2abe">#REF!</definedName>
    <definedName name="_vena_DYNR_SMultiSiteS1_BMultiSiteB2_8dde5a83_1cb1f083">#REF!</definedName>
    <definedName name="_vena_DYNR_SMultiSiteS1_BMultiSiteB2_8dde5a83_1e50c541">#REF!</definedName>
    <definedName name="_vena_DYNR_SMultiSiteS1_BMultiSiteB2_8dde5a83_1f49ee23">#REF!</definedName>
    <definedName name="_vena_DYNR_SMultiSiteS1_BMultiSiteB2_8dde5a83_227b98cd">#REF!</definedName>
    <definedName name="_vena_DYNR_SMultiSiteS1_BMultiSiteB2_8dde5a83_23368712">#REF!</definedName>
    <definedName name="_vena_DYNR_SMultiSiteS1_BMultiSiteB2_8dde5a83_2917dff0">#REF!</definedName>
    <definedName name="_vena_DYNR_SMultiSiteS1_BMultiSiteB2_8dde5a83_2feab1c1">#REF!</definedName>
    <definedName name="_vena_DYNR_SMultiSiteS1_BMultiSiteB2_8dde5a83_34734893">#REF!</definedName>
    <definedName name="_vena_DYNR_SMultiSiteS1_BMultiSiteB2_8dde5a83_35d5c189">#REF!</definedName>
    <definedName name="_vena_DYNR_SMultiSiteS1_BMultiSiteB2_8dde5a83_36b833fe">#REF!</definedName>
    <definedName name="_vena_DYNR_SMultiSiteS1_BMultiSiteB2_8dde5a83_3961c536">#REF!</definedName>
    <definedName name="_vena_DYNR_SMultiSiteS1_BMultiSiteB2_8dde5a83_3a111b16">#REF!</definedName>
    <definedName name="_vena_DYNR_SMultiSiteS1_BMultiSiteB2_8dde5a83_3a23bfd3">#REF!</definedName>
    <definedName name="_vena_DYNR_SMultiSiteS1_BMultiSiteB2_8dde5a83_3a2f1dca">#REF!</definedName>
    <definedName name="_vena_DYNR_SMultiSiteS1_BMultiSiteB2_8dde5a83_3b3d8e8f">#REF!</definedName>
    <definedName name="_vena_DYNR_SMultiSiteS1_BMultiSiteB2_8dde5a83_3ceba1a8">#REF!</definedName>
    <definedName name="_vena_DYNR_SMultiSiteS1_BMultiSiteB2_8dde5a83_3f9447ab">#REF!</definedName>
    <definedName name="_vena_DYNR_SMultiSiteS1_BMultiSiteB2_8dde5a83_40168391">#REF!</definedName>
    <definedName name="_vena_DYNR_SMultiSiteS1_BMultiSiteB2_8dde5a83_41069ea7">#REF!</definedName>
    <definedName name="_vena_DYNR_SMultiSiteS1_BMultiSiteB2_8dde5a83_41d634a">#REF!</definedName>
    <definedName name="_vena_DYNR_SMultiSiteS1_BMultiSiteB2_8dde5a83_43a8ecff">#REF!</definedName>
    <definedName name="_vena_DYNR_SMultiSiteS1_BMultiSiteB2_8dde5a83_4403b285">#REF!</definedName>
    <definedName name="_vena_DYNR_SMultiSiteS1_BMultiSiteB2_8dde5a83_446fa59c">#REF!</definedName>
    <definedName name="_vena_DYNR_SMultiSiteS1_BMultiSiteB2_8dde5a83_48226126">#REF!</definedName>
    <definedName name="_vena_DYNR_SMultiSiteS1_BMultiSiteB2_8dde5a83_4aeadf6e">#REF!</definedName>
    <definedName name="_vena_DYNR_SMultiSiteS1_BMultiSiteB2_8dde5a83_4d689ddb">#REF!</definedName>
    <definedName name="_vena_DYNR_SMultiSiteS1_BMultiSiteB2_8dde5a83_51b85c10">#REF!</definedName>
    <definedName name="_vena_DYNR_SMultiSiteS1_BMultiSiteB2_8dde5a83_584a9fc5">#REF!</definedName>
    <definedName name="_vena_DYNR_SMultiSiteS1_BMultiSiteB2_8dde5a83_592e2ccb">#REF!</definedName>
    <definedName name="_vena_DYNR_SMultiSiteS1_BMultiSiteB2_8dde5a83_5e590ccf">#REF!</definedName>
    <definedName name="_vena_DYNR_SMultiSiteS1_BMultiSiteB2_8dde5a83_62da0fc9">#REF!</definedName>
    <definedName name="_vena_DYNR_SMultiSiteS1_BMultiSiteB2_8dde5a83_63496307">#REF!</definedName>
    <definedName name="_vena_DYNR_SMultiSiteS1_BMultiSiteB2_8dde5a83_63874c0e">#REF!</definedName>
    <definedName name="_vena_DYNR_SMultiSiteS1_BMultiSiteB2_8dde5a83_66bc2869">#REF!</definedName>
    <definedName name="_vena_DYNR_SMultiSiteS1_BMultiSiteB2_8dde5a83_6a391acb">#REF!</definedName>
    <definedName name="_vena_DYNR_SMultiSiteS1_BMultiSiteB2_8dde5a83_6b70e016">#REF!</definedName>
    <definedName name="_vena_DYNR_SMultiSiteS1_BMultiSiteB2_8dde5a83_6b90420f">#REF!</definedName>
    <definedName name="_vena_DYNR_SMultiSiteS1_BMultiSiteB2_8dde5a83_6d86aa20">#REF!</definedName>
    <definedName name="_vena_DYNR_SMultiSiteS1_BMultiSiteB2_8dde5a83_6d8a8faf">#REF!</definedName>
    <definedName name="_vena_DYNR_SMultiSiteS1_BMultiSiteB2_8dde5a83_6ee3f50d">#REF!</definedName>
    <definedName name="_vena_DYNR_SMultiSiteS1_BMultiSiteB2_8dde5a83_72dc7d9d">#REF!</definedName>
    <definedName name="_vena_DYNR_SMultiSiteS1_BMultiSiteB2_8dde5a83_7319461e">#REF!</definedName>
    <definedName name="_vena_DYNR_SMultiSiteS1_BMultiSiteB2_8dde5a83_733debee">#REF!</definedName>
    <definedName name="_vena_DYNR_SMultiSiteS1_BMultiSiteB2_8dde5a83_76aac7a7">#REF!</definedName>
    <definedName name="_vena_DYNR_SMultiSiteS1_BMultiSiteB2_8dde5a83_7bd639e2">#REF!</definedName>
    <definedName name="_vena_DYNR_SMultiSiteS1_BMultiSiteB2_8dde5a83_7c55ee04">#REF!</definedName>
    <definedName name="_vena_DYNR_SMultiSiteS1_BMultiSiteB2_8dde5a83_7d7f675a">#REF!</definedName>
    <definedName name="_vena_DYNR_SMultiSiteS1_BMultiSiteB2_8dde5a83_7e21a611">#REF!</definedName>
    <definedName name="_vena_DYNR_SMultiSiteS1_BMultiSiteB2_8dde5a83_7e51479d">#REF!</definedName>
    <definedName name="_vena_DYNR_SMultiSiteS1_BMultiSiteB2_8dde5a83_82fdfc3a">#REF!</definedName>
    <definedName name="_vena_DYNR_SMultiSiteS1_BMultiSiteB2_8dde5a83_8c168aaf">#REF!</definedName>
    <definedName name="_vena_DYNR_SMultiSiteS1_BMultiSiteB2_8dde5a83_8c9a393e">#REF!</definedName>
    <definedName name="_vena_DYNR_SMultiSiteS1_BMultiSiteB2_8dde5a83_8d4f33f3">#REF!</definedName>
    <definedName name="_vena_DYNR_SMultiSiteS1_BMultiSiteB2_8dde5a83_8e2979d3">#REF!</definedName>
    <definedName name="_vena_DYNR_SMultiSiteS1_BMultiSiteB2_8dde5a83_8f9dd5db">#REF!</definedName>
    <definedName name="_vena_DYNR_SMultiSiteS1_BMultiSiteB2_8dde5a83_9237f958">#REF!</definedName>
    <definedName name="_vena_DYNR_SMultiSiteS1_BMultiSiteB2_8dde5a83_992f6fbc">#REF!</definedName>
    <definedName name="_vena_DYNR_SMultiSiteS1_BMultiSiteB2_8dde5a83_9b29fe8d">#REF!</definedName>
    <definedName name="_vena_DYNR_SMultiSiteS1_BMultiSiteB2_8dde5a83_9cf941c1">#REF!</definedName>
    <definedName name="_vena_DYNR_SMultiSiteS1_BMultiSiteB2_8dde5a83_9ed2358f">#REF!</definedName>
    <definedName name="_vena_DYNR_SMultiSiteS1_BMultiSiteB2_8dde5a83_a0e5155d">#REF!</definedName>
    <definedName name="_vena_DYNR_SMultiSiteS1_BMultiSiteB2_8dde5a83_a10b3b58">#REF!</definedName>
    <definedName name="_vena_DYNR_SMultiSiteS1_BMultiSiteB2_8dde5a83_a2142d89">#REF!</definedName>
    <definedName name="_vena_DYNR_SMultiSiteS1_BMultiSiteB2_8dde5a83_a28c3db1">#REF!</definedName>
    <definedName name="_vena_DYNR_SMultiSiteS1_BMultiSiteB2_8dde5a83_a45eb7cb">#REF!</definedName>
    <definedName name="_vena_DYNR_SMultiSiteS1_BMultiSiteB2_8dde5a83_a5031a91">#REF!</definedName>
    <definedName name="_vena_DYNR_SMultiSiteS1_BMultiSiteB2_8dde5a83_a656d6b0">#REF!</definedName>
    <definedName name="_vena_DYNR_SMultiSiteS1_BMultiSiteB2_8dde5a83_a9c529e">#REF!</definedName>
    <definedName name="_vena_DYNR_SMultiSiteS1_BMultiSiteB2_8dde5a83_abf0edc7">#REF!</definedName>
    <definedName name="_vena_DYNR_SMultiSiteS1_BMultiSiteB2_8dde5a83_ac68d442">#REF!</definedName>
    <definedName name="_vena_DYNR_SMultiSiteS1_BMultiSiteB2_8dde5a83_b080ab67">#REF!</definedName>
    <definedName name="_vena_DYNR_SMultiSiteS1_BMultiSiteB2_8dde5a83_bb4341dd">#REF!</definedName>
    <definedName name="_vena_DYNR_SMultiSiteS1_BMultiSiteB2_8dde5a83_c07ee634">#REF!</definedName>
    <definedName name="_vena_DYNR_SMultiSiteS1_BMultiSiteB2_8dde5a83_c24580f">#REF!</definedName>
    <definedName name="_vena_DYNR_SMultiSiteS1_BMultiSiteB2_8dde5a83_c2a7580e">#REF!</definedName>
    <definedName name="_vena_DYNR_SMultiSiteS1_BMultiSiteB2_8dde5a83_c4190fd1">#REF!</definedName>
    <definedName name="_vena_DYNR_SMultiSiteS1_BMultiSiteB2_8dde5a83_c8e58006">#REF!</definedName>
    <definedName name="_vena_DYNR_SMultiSiteS1_BMultiSiteB2_8dde5a83_ca501fcd">#REF!</definedName>
    <definedName name="_vena_DYNR_SMultiSiteS1_BMultiSiteB2_8dde5a83_cafcdedf">#REF!</definedName>
    <definedName name="_vena_DYNR_SMultiSiteS1_BMultiSiteB2_8dde5a83_cb57903f">#REF!</definedName>
    <definedName name="_vena_DYNR_SMultiSiteS1_BMultiSiteB2_8dde5a83_cfcc2f5b">#REF!</definedName>
    <definedName name="_vena_DYNR_SMultiSiteS1_BMultiSiteB2_8dde5a83_d0c00133">#REF!</definedName>
    <definedName name="_vena_DYNR_SMultiSiteS1_BMultiSiteB2_8dde5a83_d0de5130">#REF!</definedName>
    <definedName name="_vena_DYNR_SMultiSiteS1_BMultiSiteB2_8dde5a83_d237e1ac">#REF!</definedName>
    <definedName name="_vena_DYNR_SMultiSiteS1_BMultiSiteB2_8dde5a83_d4ab698d">#REF!</definedName>
    <definedName name="_vena_DYNR_SMultiSiteS1_BMultiSiteB2_8dde5a83_da140b21">#REF!</definedName>
    <definedName name="_vena_DYNR_SMultiSiteS1_BMultiSiteB2_8dde5a83_dbd858bc">#REF!</definedName>
    <definedName name="_vena_DYNR_SMultiSiteS1_BMultiSiteB2_8dde5a83_dc59682">#REF!</definedName>
    <definedName name="_vena_DYNR_SMultiSiteS1_BMultiSiteB2_8dde5a83_de329acc">#REF!</definedName>
    <definedName name="_vena_DYNR_SMultiSiteS1_BMultiSiteB2_8dde5a83_e09c13e2">#REF!</definedName>
    <definedName name="_vena_DYNR_SMultiSiteS1_BMultiSiteB2_8dde5a83_e5027912">#REF!</definedName>
    <definedName name="_vena_DYNR_SMultiSiteS1_BMultiSiteB2_8dde5a83_e6f625d8">#REF!</definedName>
    <definedName name="_vena_DYNR_SMultiSiteS1_BMultiSiteB2_8dde5a83_e7334c3a">#REF!</definedName>
    <definedName name="_vena_DYNR_SMultiSiteS1_BMultiSiteB2_8dde5a83_e77f4b02">#REF!</definedName>
    <definedName name="_vena_DYNR_SMultiSiteS1_BMultiSiteB2_8dde5a83_e85aeae6">#REF!</definedName>
    <definedName name="_vena_DYNR_SMultiSiteS1_BMultiSiteB2_8dde5a83_ef87c72d">#REF!</definedName>
    <definedName name="_vena_DYNR_SMultiSiteS1_BMultiSiteB2_8dde5a83_f1602d4">#REF!</definedName>
    <definedName name="_vena_DYNR_SMultiSiteS1_BMultiSiteB2_8dde5a83_f303d5ba">#REF!</definedName>
    <definedName name="_vena_DYNR_SMultiSiteS1_BMultiSiteB2_8dde5a83_f39ff606">#REF!</definedName>
    <definedName name="_vena_DYNR_SMultiSiteS1_BMultiSiteB2_8dde5a83_f59150a5">#REF!</definedName>
    <definedName name="_vena_DYNR_SMultiSiteS1_BMultiSiteB2_8dde5a83_f7eb298c">#REF!</definedName>
    <definedName name="_vena_DYNR_SMultiSiteS1_BMultiSiteB2_8dde5a83_fdbd9ad3">#REF!</definedName>
    <definedName name="_vena_DYNR_SMultiSiteS1_BMultiSiteB2_92e0c976">#REF!</definedName>
    <definedName name="_vena_DYNR_SMultiSiteS1_BMultiSiteB2_92e0c976_4471a56c">#REF!</definedName>
    <definedName name="_vena_DYNR_SMultiSiteS1_BMultiSiteB2_92e0c976_4989d13d">#REF!</definedName>
    <definedName name="_vena_DYNR_SMultiSiteS1_BMultiSiteB2_92e0c976_4e2c37ab">#REF!</definedName>
    <definedName name="_vena_DYNR_SMultiSiteS1_BMultiSiteB2_92e0c976_54992dda">#REF!</definedName>
    <definedName name="_vena_DYNR_SMultiSiteS1_BMultiSiteB2_92e0c976_72f79bfb">#REF!</definedName>
    <definedName name="_vena_DYNR_SMultiSiteS1_BMultiSiteB2_92e0c976_90f485b">#REF!</definedName>
    <definedName name="_vena_DYNR_SMultiSiteS1_BMultiSiteB2_92e0c976_b0b4409c">#REF!</definedName>
    <definedName name="_vena_DYNR_SMultiSiteS1_BMultiSiteB2_92e0c976_b38eb94">#REF!</definedName>
    <definedName name="_vena_DYNR_SMultiSiteS1_BMultiSiteB2_92e0c976_ece8041f">#REF!</definedName>
    <definedName name="_vena_DYNR_SMultiSiteS1_BMultiSiteB2_92e0c976_f79e8c96">#REF!</definedName>
    <definedName name="_vena_DYNR_SMultiSiteS1_BMultiSiteB2_92e0c976_f8db67f">#REF!</definedName>
    <definedName name="_vena_DYNR_SMultiSiteS1_BMultiSiteB2_a6f189e2" localSheetId="4">#REF!</definedName>
    <definedName name="_vena_DYNR_SMultiSiteS1_BMultiSiteB2_a6f189e2" localSheetId="5">#REF!</definedName>
    <definedName name="_vena_DYNR_SMultiSiteS1_BMultiSiteB2_a6f189e2" localSheetId="8">'[1]FY26 MYP-Multisite'!#REF!</definedName>
    <definedName name="_vena_DYNR_SMultiSiteS1_BMultiSiteB2_a6f189e2" localSheetId="3">#REF!</definedName>
    <definedName name="_vena_DYNR_SMultiSiteS1_BMultiSiteB2_a6f189e2">#REF!</definedName>
    <definedName name="_vena_DYNR_SMultiSiteS1_BMultiSiteB2_a6f189e2_10d3c133" localSheetId="4">#REF!</definedName>
    <definedName name="_vena_DYNR_SMultiSiteS1_BMultiSiteB2_a6f189e2_10d3c133" localSheetId="5">#REF!</definedName>
    <definedName name="_vena_DYNR_SMultiSiteS1_BMultiSiteB2_a6f189e2_10d3c133" localSheetId="8">'[1]FY26 MYP-Multisite'!#REF!</definedName>
    <definedName name="_vena_DYNR_SMultiSiteS1_BMultiSiteB2_a6f189e2_10d3c133" localSheetId="3">#REF!</definedName>
    <definedName name="_vena_DYNR_SMultiSiteS1_BMultiSiteB2_a6f189e2_10d3c133">#REF!</definedName>
    <definedName name="_vena_DYNR_SMultiSiteS1_BMultiSiteB2_a6f189e2_1357b1b0" localSheetId="4">#REF!</definedName>
    <definedName name="_vena_DYNR_SMultiSiteS1_BMultiSiteB2_a6f189e2_1357b1b0" localSheetId="5">#REF!</definedName>
    <definedName name="_vena_DYNR_SMultiSiteS1_BMultiSiteB2_a6f189e2_1357b1b0" localSheetId="8">'[1]FY26 MYP-Multisite'!#REF!</definedName>
    <definedName name="_vena_DYNR_SMultiSiteS1_BMultiSiteB2_a6f189e2_1357b1b0" localSheetId="3">#REF!</definedName>
    <definedName name="_vena_DYNR_SMultiSiteS1_BMultiSiteB2_a6f189e2_1357b1b0">#REF!</definedName>
    <definedName name="_vena_DYNR_SMultiSiteS1_BMultiSiteB2_a6f189e2_13fb18a4" localSheetId="4">#REF!</definedName>
    <definedName name="_vena_DYNR_SMultiSiteS1_BMultiSiteB2_a6f189e2_13fb18a4" localSheetId="5">#REF!</definedName>
    <definedName name="_vena_DYNR_SMultiSiteS1_BMultiSiteB2_a6f189e2_13fb18a4" localSheetId="8">'[1]FY26 MYP-Multisite'!#REF!</definedName>
    <definedName name="_vena_DYNR_SMultiSiteS1_BMultiSiteB2_a6f189e2_13fb18a4" localSheetId="3">#REF!</definedName>
    <definedName name="_vena_DYNR_SMultiSiteS1_BMultiSiteB2_a6f189e2_13fb18a4">#REF!</definedName>
    <definedName name="_vena_DYNR_SMultiSiteS1_BMultiSiteB2_a6f189e2_166baffa" localSheetId="4">#REF!</definedName>
    <definedName name="_vena_DYNR_SMultiSiteS1_BMultiSiteB2_a6f189e2_166baffa" localSheetId="5">#REF!</definedName>
    <definedName name="_vena_DYNR_SMultiSiteS1_BMultiSiteB2_a6f189e2_166baffa" localSheetId="8">'[1]FY26 MYP-Multisite'!#REF!</definedName>
    <definedName name="_vena_DYNR_SMultiSiteS1_BMultiSiteB2_a6f189e2_166baffa" localSheetId="3">#REF!</definedName>
    <definedName name="_vena_DYNR_SMultiSiteS1_BMultiSiteB2_a6f189e2_166baffa">#REF!</definedName>
    <definedName name="_vena_DYNR_SMultiSiteS1_BMultiSiteB2_a6f189e2_1d79abed" localSheetId="4">#REF!</definedName>
    <definedName name="_vena_DYNR_SMultiSiteS1_BMultiSiteB2_a6f189e2_1d79abed" localSheetId="5">#REF!</definedName>
    <definedName name="_vena_DYNR_SMultiSiteS1_BMultiSiteB2_a6f189e2_1d79abed" localSheetId="8">'[1]FY26 MYP-Multisite'!#REF!</definedName>
    <definedName name="_vena_DYNR_SMultiSiteS1_BMultiSiteB2_a6f189e2_1d79abed" localSheetId="3">#REF!</definedName>
    <definedName name="_vena_DYNR_SMultiSiteS1_BMultiSiteB2_a6f189e2_1d79abed">#REF!</definedName>
    <definedName name="_vena_DYNR_SMultiSiteS1_BMultiSiteB2_a6f189e2_1e6ffe76" localSheetId="4">#REF!</definedName>
    <definedName name="_vena_DYNR_SMultiSiteS1_BMultiSiteB2_a6f189e2_1e6ffe76" localSheetId="5">#REF!</definedName>
    <definedName name="_vena_DYNR_SMultiSiteS1_BMultiSiteB2_a6f189e2_1e6ffe76" localSheetId="8">'[1]FY26 MYP-Multisite'!#REF!</definedName>
    <definedName name="_vena_DYNR_SMultiSiteS1_BMultiSiteB2_a6f189e2_1e6ffe76" localSheetId="3">#REF!</definedName>
    <definedName name="_vena_DYNR_SMultiSiteS1_BMultiSiteB2_a6f189e2_1e6ffe76">#REF!</definedName>
    <definedName name="_vena_DYNR_SMultiSiteS1_BMultiSiteB2_a6f189e2_20c270cf" localSheetId="4">#REF!</definedName>
    <definedName name="_vena_DYNR_SMultiSiteS1_BMultiSiteB2_a6f189e2_20c270cf" localSheetId="5">#REF!</definedName>
    <definedName name="_vena_DYNR_SMultiSiteS1_BMultiSiteB2_a6f189e2_20c270cf" localSheetId="8">'[1]FY26 MYP-Multisite'!#REF!</definedName>
    <definedName name="_vena_DYNR_SMultiSiteS1_BMultiSiteB2_a6f189e2_20c270cf" localSheetId="3">#REF!</definedName>
    <definedName name="_vena_DYNR_SMultiSiteS1_BMultiSiteB2_a6f189e2_20c270cf">#REF!</definedName>
    <definedName name="_vena_DYNR_SMultiSiteS1_BMultiSiteB2_a6f189e2_21f9796f" localSheetId="4">#REF!</definedName>
    <definedName name="_vena_DYNR_SMultiSiteS1_BMultiSiteB2_a6f189e2_21f9796f" localSheetId="5">#REF!</definedName>
    <definedName name="_vena_DYNR_SMultiSiteS1_BMultiSiteB2_a6f189e2_21f9796f" localSheetId="8">'[1]FY26 MYP-Multisite'!#REF!</definedName>
    <definedName name="_vena_DYNR_SMultiSiteS1_BMultiSiteB2_a6f189e2_21f9796f" localSheetId="3">#REF!</definedName>
    <definedName name="_vena_DYNR_SMultiSiteS1_BMultiSiteB2_a6f189e2_21f9796f">#REF!</definedName>
    <definedName name="_vena_DYNR_SMultiSiteS1_BMultiSiteB2_a6f189e2_26adb535" localSheetId="4">#REF!</definedName>
    <definedName name="_vena_DYNR_SMultiSiteS1_BMultiSiteB2_a6f189e2_26adb535" localSheetId="5">#REF!</definedName>
    <definedName name="_vena_DYNR_SMultiSiteS1_BMultiSiteB2_a6f189e2_26adb535" localSheetId="8">'[1]FY26 MYP-Multisite'!#REF!</definedName>
    <definedName name="_vena_DYNR_SMultiSiteS1_BMultiSiteB2_a6f189e2_26adb535" localSheetId="3">#REF!</definedName>
    <definedName name="_vena_DYNR_SMultiSiteS1_BMultiSiteB2_a6f189e2_26adb535">#REF!</definedName>
    <definedName name="_vena_DYNR_SMultiSiteS1_BMultiSiteB2_a6f189e2_2cd4d312" localSheetId="4">#REF!</definedName>
    <definedName name="_vena_DYNR_SMultiSiteS1_BMultiSiteB2_a6f189e2_2cd4d312" localSheetId="5">#REF!</definedName>
    <definedName name="_vena_DYNR_SMultiSiteS1_BMultiSiteB2_a6f189e2_2cd4d312" localSheetId="8">'[1]FY26 MYP-Multisite'!#REF!</definedName>
    <definedName name="_vena_DYNR_SMultiSiteS1_BMultiSiteB2_a6f189e2_2cd4d312" localSheetId="3">#REF!</definedName>
    <definedName name="_vena_DYNR_SMultiSiteS1_BMultiSiteB2_a6f189e2_2cd4d312">#REF!</definedName>
    <definedName name="_vena_DYNR_SMultiSiteS1_BMultiSiteB2_a6f189e2_38cd6a6f" localSheetId="4">#REF!</definedName>
    <definedName name="_vena_DYNR_SMultiSiteS1_BMultiSiteB2_a6f189e2_38cd6a6f" localSheetId="5">#REF!</definedName>
    <definedName name="_vena_DYNR_SMultiSiteS1_BMultiSiteB2_a6f189e2_38cd6a6f" localSheetId="8">'[1]FY26 MYP-Multisite'!#REF!</definedName>
    <definedName name="_vena_DYNR_SMultiSiteS1_BMultiSiteB2_a6f189e2_38cd6a6f" localSheetId="3">#REF!</definedName>
    <definedName name="_vena_DYNR_SMultiSiteS1_BMultiSiteB2_a6f189e2_38cd6a6f">#REF!</definedName>
    <definedName name="_vena_DYNR_SMultiSiteS1_BMultiSiteB2_a6f189e2_3c496f0f" localSheetId="4">#REF!</definedName>
    <definedName name="_vena_DYNR_SMultiSiteS1_BMultiSiteB2_a6f189e2_3c496f0f" localSheetId="5">#REF!</definedName>
    <definedName name="_vena_DYNR_SMultiSiteS1_BMultiSiteB2_a6f189e2_3c496f0f" localSheetId="8">'[1]FY26 MYP-Multisite'!#REF!</definedName>
    <definedName name="_vena_DYNR_SMultiSiteS1_BMultiSiteB2_a6f189e2_3c496f0f" localSheetId="3">#REF!</definedName>
    <definedName name="_vena_DYNR_SMultiSiteS1_BMultiSiteB2_a6f189e2_3c496f0f">#REF!</definedName>
    <definedName name="_vena_DYNR_SMultiSiteS1_BMultiSiteB2_a6f189e2_3cdf7357" localSheetId="4">#REF!</definedName>
    <definedName name="_vena_DYNR_SMultiSiteS1_BMultiSiteB2_a6f189e2_3cdf7357" localSheetId="5">#REF!</definedName>
    <definedName name="_vena_DYNR_SMultiSiteS1_BMultiSiteB2_a6f189e2_3cdf7357" localSheetId="8">'[1]FY26 MYP-Multisite'!#REF!</definedName>
    <definedName name="_vena_DYNR_SMultiSiteS1_BMultiSiteB2_a6f189e2_3cdf7357" localSheetId="3">#REF!</definedName>
    <definedName name="_vena_DYNR_SMultiSiteS1_BMultiSiteB2_a6f189e2_3cdf7357">#REF!</definedName>
    <definedName name="_vena_DYNR_SMultiSiteS1_BMultiSiteB2_a6f189e2_4470af56" localSheetId="4">#REF!</definedName>
    <definedName name="_vena_DYNR_SMultiSiteS1_BMultiSiteB2_a6f189e2_4470af56" localSheetId="5">#REF!</definedName>
    <definedName name="_vena_DYNR_SMultiSiteS1_BMultiSiteB2_a6f189e2_4470af56" localSheetId="8">'[1]FY26 MYP-Multisite'!#REF!</definedName>
    <definedName name="_vena_DYNR_SMultiSiteS1_BMultiSiteB2_a6f189e2_4470af56" localSheetId="3">#REF!</definedName>
    <definedName name="_vena_DYNR_SMultiSiteS1_BMultiSiteB2_a6f189e2_4470af56">#REF!</definedName>
    <definedName name="_vena_DYNR_SMultiSiteS1_BMultiSiteB2_a6f189e2_46bfb61" localSheetId="4">#REF!</definedName>
    <definedName name="_vena_DYNR_SMultiSiteS1_BMultiSiteB2_a6f189e2_46bfb61" localSheetId="5">#REF!</definedName>
    <definedName name="_vena_DYNR_SMultiSiteS1_BMultiSiteB2_a6f189e2_46bfb61" localSheetId="8">'[1]FY26 MYP-Multisite'!#REF!</definedName>
    <definedName name="_vena_DYNR_SMultiSiteS1_BMultiSiteB2_a6f189e2_46bfb61" localSheetId="3">#REF!</definedName>
    <definedName name="_vena_DYNR_SMultiSiteS1_BMultiSiteB2_a6f189e2_46bfb61">#REF!</definedName>
    <definedName name="_vena_DYNR_SMultiSiteS1_BMultiSiteB2_a6f189e2_4cbfcfc5" localSheetId="4">#REF!</definedName>
    <definedName name="_vena_DYNR_SMultiSiteS1_BMultiSiteB2_a6f189e2_4cbfcfc5" localSheetId="5">#REF!</definedName>
    <definedName name="_vena_DYNR_SMultiSiteS1_BMultiSiteB2_a6f189e2_4cbfcfc5" localSheetId="8">'[1]FY26 MYP-Multisite'!#REF!</definedName>
    <definedName name="_vena_DYNR_SMultiSiteS1_BMultiSiteB2_a6f189e2_4cbfcfc5" localSheetId="3">#REF!</definedName>
    <definedName name="_vena_DYNR_SMultiSiteS1_BMultiSiteB2_a6f189e2_4cbfcfc5">#REF!</definedName>
    <definedName name="_vena_DYNR_SMultiSiteS1_BMultiSiteB2_a6f189e2_4cdedf44" localSheetId="4">#REF!</definedName>
    <definedName name="_vena_DYNR_SMultiSiteS1_BMultiSiteB2_a6f189e2_4cdedf44" localSheetId="5">#REF!</definedName>
    <definedName name="_vena_DYNR_SMultiSiteS1_BMultiSiteB2_a6f189e2_4cdedf44" localSheetId="8">'[1]FY26 MYP-Multisite'!#REF!</definedName>
    <definedName name="_vena_DYNR_SMultiSiteS1_BMultiSiteB2_a6f189e2_4cdedf44" localSheetId="3">#REF!</definedName>
    <definedName name="_vena_DYNR_SMultiSiteS1_BMultiSiteB2_a6f189e2_4cdedf44">#REF!</definedName>
    <definedName name="_vena_DYNR_SMultiSiteS1_BMultiSiteB2_a6f189e2_4ede73f3" localSheetId="4">#REF!</definedName>
    <definedName name="_vena_DYNR_SMultiSiteS1_BMultiSiteB2_a6f189e2_4ede73f3" localSheetId="5">#REF!</definedName>
    <definedName name="_vena_DYNR_SMultiSiteS1_BMultiSiteB2_a6f189e2_4ede73f3" localSheetId="8">'[1]FY26 MYP-Multisite'!#REF!</definedName>
    <definedName name="_vena_DYNR_SMultiSiteS1_BMultiSiteB2_a6f189e2_4ede73f3" localSheetId="3">#REF!</definedName>
    <definedName name="_vena_DYNR_SMultiSiteS1_BMultiSiteB2_a6f189e2_4ede73f3">#REF!</definedName>
    <definedName name="_vena_DYNR_SMultiSiteS1_BMultiSiteB2_a6f189e2_51c1c649" localSheetId="4">#REF!</definedName>
    <definedName name="_vena_DYNR_SMultiSiteS1_BMultiSiteB2_a6f189e2_51c1c649" localSheetId="5">#REF!</definedName>
    <definedName name="_vena_DYNR_SMultiSiteS1_BMultiSiteB2_a6f189e2_51c1c649" localSheetId="8">'[1]FY26 MYP-Multisite'!#REF!</definedName>
    <definedName name="_vena_DYNR_SMultiSiteS1_BMultiSiteB2_a6f189e2_51c1c649" localSheetId="3">#REF!</definedName>
    <definedName name="_vena_DYNR_SMultiSiteS1_BMultiSiteB2_a6f189e2_51c1c649">#REF!</definedName>
    <definedName name="_vena_DYNR_SMultiSiteS1_BMultiSiteB2_a6f189e2_594162c1" localSheetId="4">#REF!</definedName>
    <definedName name="_vena_DYNR_SMultiSiteS1_BMultiSiteB2_a6f189e2_594162c1" localSheetId="5">#REF!</definedName>
    <definedName name="_vena_DYNR_SMultiSiteS1_BMultiSiteB2_a6f189e2_594162c1" localSheetId="8">'[1]FY26 MYP-Multisite'!#REF!</definedName>
    <definedName name="_vena_DYNR_SMultiSiteS1_BMultiSiteB2_a6f189e2_594162c1" localSheetId="3">#REF!</definedName>
    <definedName name="_vena_DYNR_SMultiSiteS1_BMultiSiteB2_a6f189e2_594162c1">#REF!</definedName>
    <definedName name="_vena_DYNR_SMultiSiteS1_BMultiSiteB2_a6f189e2_6749691" localSheetId="4">#REF!</definedName>
    <definedName name="_vena_DYNR_SMultiSiteS1_BMultiSiteB2_a6f189e2_6749691" localSheetId="5">#REF!</definedName>
    <definedName name="_vena_DYNR_SMultiSiteS1_BMultiSiteB2_a6f189e2_6749691" localSheetId="8">'[1]FY26 MYP-Multisite'!#REF!</definedName>
    <definedName name="_vena_DYNR_SMultiSiteS1_BMultiSiteB2_a6f189e2_6749691" localSheetId="3">#REF!</definedName>
    <definedName name="_vena_DYNR_SMultiSiteS1_BMultiSiteB2_a6f189e2_6749691">#REF!</definedName>
    <definedName name="_vena_DYNR_SMultiSiteS1_BMultiSiteB2_a6f189e2_73716fc0" localSheetId="4">#REF!</definedName>
    <definedName name="_vena_DYNR_SMultiSiteS1_BMultiSiteB2_a6f189e2_73716fc0" localSheetId="5">#REF!</definedName>
    <definedName name="_vena_DYNR_SMultiSiteS1_BMultiSiteB2_a6f189e2_73716fc0" localSheetId="8">'[1]FY26 MYP-Multisite'!#REF!</definedName>
    <definedName name="_vena_DYNR_SMultiSiteS1_BMultiSiteB2_a6f189e2_73716fc0" localSheetId="3">#REF!</definedName>
    <definedName name="_vena_DYNR_SMultiSiteS1_BMultiSiteB2_a6f189e2_73716fc0">#REF!</definedName>
    <definedName name="_vena_DYNR_SMultiSiteS1_BMultiSiteB2_a6f189e2_73a58339" localSheetId="4">#REF!</definedName>
    <definedName name="_vena_DYNR_SMultiSiteS1_BMultiSiteB2_a6f189e2_73a58339" localSheetId="5">#REF!</definedName>
    <definedName name="_vena_DYNR_SMultiSiteS1_BMultiSiteB2_a6f189e2_73a58339" localSheetId="8">'[1]FY26 MYP-Multisite'!#REF!</definedName>
    <definedName name="_vena_DYNR_SMultiSiteS1_BMultiSiteB2_a6f189e2_73a58339" localSheetId="3">#REF!</definedName>
    <definedName name="_vena_DYNR_SMultiSiteS1_BMultiSiteB2_a6f189e2_73a58339">#REF!</definedName>
    <definedName name="_vena_DYNR_SMultiSiteS1_BMultiSiteB2_a6f189e2_759b660a" localSheetId="4">#REF!</definedName>
    <definedName name="_vena_DYNR_SMultiSiteS1_BMultiSiteB2_a6f189e2_759b660a" localSheetId="5">#REF!</definedName>
    <definedName name="_vena_DYNR_SMultiSiteS1_BMultiSiteB2_a6f189e2_759b660a" localSheetId="8">'[1]FY26 MYP-Multisite'!#REF!</definedName>
    <definedName name="_vena_DYNR_SMultiSiteS1_BMultiSiteB2_a6f189e2_759b660a" localSheetId="3">#REF!</definedName>
    <definedName name="_vena_DYNR_SMultiSiteS1_BMultiSiteB2_a6f189e2_759b660a">#REF!</definedName>
    <definedName name="_vena_DYNR_SMultiSiteS1_BMultiSiteB2_a6f189e2_7631a83f" localSheetId="4">#REF!</definedName>
    <definedName name="_vena_DYNR_SMultiSiteS1_BMultiSiteB2_a6f189e2_7631a83f" localSheetId="5">#REF!</definedName>
    <definedName name="_vena_DYNR_SMultiSiteS1_BMultiSiteB2_a6f189e2_7631a83f" localSheetId="8">'[1]FY26 MYP-Multisite'!#REF!</definedName>
    <definedName name="_vena_DYNR_SMultiSiteS1_BMultiSiteB2_a6f189e2_7631a83f" localSheetId="3">#REF!</definedName>
    <definedName name="_vena_DYNR_SMultiSiteS1_BMultiSiteB2_a6f189e2_7631a83f">#REF!</definedName>
    <definedName name="_vena_DYNR_SMultiSiteS1_BMultiSiteB2_a6f189e2_7fa2cdb7" localSheetId="4">#REF!</definedName>
    <definedName name="_vena_DYNR_SMultiSiteS1_BMultiSiteB2_a6f189e2_7fa2cdb7" localSheetId="5">#REF!</definedName>
    <definedName name="_vena_DYNR_SMultiSiteS1_BMultiSiteB2_a6f189e2_7fa2cdb7" localSheetId="8">'[1]FY26 MYP-Multisite'!#REF!</definedName>
    <definedName name="_vena_DYNR_SMultiSiteS1_BMultiSiteB2_a6f189e2_7fa2cdb7" localSheetId="3">#REF!</definedName>
    <definedName name="_vena_DYNR_SMultiSiteS1_BMultiSiteB2_a6f189e2_7fa2cdb7">#REF!</definedName>
    <definedName name="_vena_DYNR_SMultiSiteS1_BMultiSiteB2_a6f189e2_86257d58" localSheetId="4">#REF!</definedName>
    <definedName name="_vena_DYNR_SMultiSiteS1_BMultiSiteB2_a6f189e2_86257d58" localSheetId="5">#REF!</definedName>
    <definedName name="_vena_DYNR_SMultiSiteS1_BMultiSiteB2_a6f189e2_86257d58" localSheetId="8">'[1]FY26 MYP-Multisite'!#REF!</definedName>
    <definedName name="_vena_DYNR_SMultiSiteS1_BMultiSiteB2_a6f189e2_86257d58" localSheetId="3">#REF!</definedName>
    <definedName name="_vena_DYNR_SMultiSiteS1_BMultiSiteB2_a6f189e2_86257d58">#REF!</definedName>
    <definedName name="_vena_DYNR_SMultiSiteS1_BMultiSiteB2_a6f189e2_89238c3a" localSheetId="4">#REF!</definedName>
    <definedName name="_vena_DYNR_SMultiSiteS1_BMultiSiteB2_a6f189e2_89238c3a" localSheetId="5">#REF!</definedName>
    <definedName name="_vena_DYNR_SMultiSiteS1_BMultiSiteB2_a6f189e2_89238c3a" localSheetId="8">'[1]FY26 MYP-Multisite'!#REF!</definedName>
    <definedName name="_vena_DYNR_SMultiSiteS1_BMultiSiteB2_a6f189e2_89238c3a" localSheetId="3">#REF!</definedName>
    <definedName name="_vena_DYNR_SMultiSiteS1_BMultiSiteB2_a6f189e2_89238c3a">#REF!</definedName>
    <definedName name="_vena_DYNR_SMultiSiteS1_BMultiSiteB2_a6f189e2_91888cd6" localSheetId="4">#REF!</definedName>
    <definedName name="_vena_DYNR_SMultiSiteS1_BMultiSiteB2_a6f189e2_91888cd6" localSheetId="5">#REF!</definedName>
    <definedName name="_vena_DYNR_SMultiSiteS1_BMultiSiteB2_a6f189e2_91888cd6" localSheetId="8">'[1]FY26 MYP-Multisite'!#REF!</definedName>
    <definedName name="_vena_DYNR_SMultiSiteS1_BMultiSiteB2_a6f189e2_91888cd6" localSheetId="3">#REF!</definedName>
    <definedName name="_vena_DYNR_SMultiSiteS1_BMultiSiteB2_a6f189e2_91888cd6">#REF!</definedName>
    <definedName name="_vena_DYNR_SMultiSiteS1_BMultiSiteB2_a6f189e2_93d59398" localSheetId="4">#REF!</definedName>
    <definedName name="_vena_DYNR_SMultiSiteS1_BMultiSiteB2_a6f189e2_93d59398" localSheetId="5">#REF!</definedName>
    <definedName name="_vena_DYNR_SMultiSiteS1_BMultiSiteB2_a6f189e2_93d59398" localSheetId="8">'[1]FY26 MYP-Multisite'!#REF!</definedName>
    <definedName name="_vena_DYNR_SMultiSiteS1_BMultiSiteB2_a6f189e2_93d59398" localSheetId="3">#REF!</definedName>
    <definedName name="_vena_DYNR_SMultiSiteS1_BMultiSiteB2_a6f189e2_93d59398">#REF!</definedName>
    <definedName name="_vena_DYNR_SMultiSiteS1_BMultiSiteB2_a6f189e2_971d7d09" localSheetId="4">#REF!</definedName>
    <definedName name="_vena_DYNR_SMultiSiteS1_BMultiSiteB2_a6f189e2_971d7d09" localSheetId="5">#REF!</definedName>
    <definedName name="_vena_DYNR_SMultiSiteS1_BMultiSiteB2_a6f189e2_971d7d09" localSheetId="8">'[1]FY26 MYP-Multisite'!#REF!</definedName>
    <definedName name="_vena_DYNR_SMultiSiteS1_BMultiSiteB2_a6f189e2_971d7d09" localSheetId="3">#REF!</definedName>
    <definedName name="_vena_DYNR_SMultiSiteS1_BMultiSiteB2_a6f189e2_971d7d09">#REF!</definedName>
    <definedName name="_vena_DYNR_SMultiSiteS1_BMultiSiteB2_a6f189e2_9746166b" localSheetId="4">#REF!</definedName>
    <definedName name="_vena_DYNR_SMultiSiteS1_BMultiSiteB2_a6f189e2_9746166b" localSheetId="5">#REF!</definedName>
    <definedName name="_vena_DYNR_SMultiSiteS1_BMultiSiteB2_a6f189e2_9746166b" localSheetId="8">'[1]FY26 MYP-Multisite'!#REF!</definedName>
    <definedName name="_vena_DYNR_SMultiSiteS1_BMultiSiteB2_a6f189e2_9746166b" localSheetId="3">#REF!</definedName>
    <definedName name="_vena_DYNR_SMultiSiteS1_BMultiSiteB2_a6f189e2_9746166b">#REF!</definedName>
    <definedName name="_vena_DYNR_SMultiSiteS1_BMultiSiteB2_a6f189e2_97895f84" localSheetId="4">#REF!</definedName>
    <definedName name="_vena_DYNR_SMultiSiteS1_BMultiSiteB2_a6f189e2_97895f84" localSheetId="5">#REF!</definedName>
    <definedName name="_vena_DYNR_SMultiSiteS1_BMultiSiteB2_a6f189e2_97895f84" localSheetId="8">'[1]FY26 MYP-Multisite'!#REF!</definedName>
    <definedName name="_vena_DYNR_SMultiSiteS1_BMultiSiteB2_a6f189e2_97895f84" localSheetId="3">#REF!</definedName>
    <definedName name="_vena_DYNR_SMultiSiteS1_BMultiSiteB2_a6f189e2_97895f84">#REF!</definedName>
    <definedName name="_vena_DYNR_SMultiSiteS1_BMultiSiteB2_a6f189e2_9ed9c15e" localSheetId="4">#REF!</definedName>
    <definedName name="_vena_DYNR_SMultiSiteS1_BMultiSiteB2_a6f189e2_9ed9c15e" localSheetId="5">#REF!</definedName>
    <definedName name="_vena_DYNR_SMultiSiteS1_BMultiSiteB2_a6f189e2_9ed9c15e" localSheetId="8">'[1]FY26 MYP-Multisite'!#REF!</definedName>
    <definedName name="_vena_DYNR_SMultiSiteS1_BMultiSiteB2_a6f189e2_9ed9c15e" localSheetId="3">#REF!</definedName>
    <definedName name="_vena_DYNR_SMultiSiteS1_BMultiSiteB2_a6f189e2_9ed9c15e">#REF!</definedName>
    <definedName name="_vena_DYNR_SMultiSiteS1_BMultiSiteB2_a6f189e2_a332b679" localSheetId="4">#REF!</definedName>
    <definedName name="_vena_DYNR_SMultiSiteS1_BMultiSiteB2_a6f189e2_a332b679" localSheetId="5">#REF!</definedName>
    <definedName name="_vena_DYNR_SMultiSiteS1_BMultiSiteB2_a6f189e2_a332b679" localSheetId="8">'[1]FY26 MYP-Multisite'!#REF!</definedName>
    <definedName name="_vena_DYNR_SMultiSiteS1_BMultiSiteB2_a6f189e2_a332b679" localSheetId="3">#REF!</definedName>
    <definedName name="_vena_DYNR_SMultiSiteS1_BMultiSiteB2_a6f189e2_a332b679">#REF!</definedName>
    <definedName name="_vena_DYNR_SMultiSiteS1_BMultiSiteB2_a6f189e2_a47ae67a" localSheetId="4">#REF!</definedName>
    <definedName name="_vena_DYNR_SMultiSiteS1_BMultiSiteB2_a6f189e2_a47ae67a" localSheetId="5">#REF!</definedName>
    <definedName name="_vena_DYNR_SMultiSiteS1_BMultiSiteB2_a6f189e2_a47ae67a" localSheetId="8">'[1]FY26 MYP-Multisite'!#REF!</definedName>
    <definedName name="_vena_DYNR_SMultiSiteS1_BMultiSiteB2_a6f189e2_a47ae67a" localSheetId="3">#REF!</definedName>
    <definedName name="_vena_DYNR_SMultiSiteS1_BMultiSiteB2_a6f189e2_a47ae67a">#REF!</definedName>
    <definedName name="_vena_DYNR_SMultiSiteS1_BMultiSiteB2_a6f189e2_a60b76ac" localSheetId="4">#REF!</definedName>
    <definedName name="_vena_DYNR_SMultiSiteS1_BMultiSiteB2_a6f189e2_a60b76ac" localSheetId="5">#REF!</definedName>
    <definedName name="_vena_DYNR_SMultiSiteS1_BMultiSiteB2_a6f189e2_a60b76ac" localSheetId="8">'[1]FY26 MYP-Multisite'!#REF!</definedName>
    <definedName name="_vena_DYNR_SMultiSiteS1_BMultiSiteB2_a6f189e2_a60b76ac" localSheetId="3">#REF!</definedName>
    <definedName name="_vena_DYNR_SMultiSiteS1_BMultiSiteB2_a6f189e2_a60b76ac">#REF!</definedName>
    <definedName name="_vena_DYNR_SMultiSiteS1_BMultiSiteB2_a6f189e2_a78f4fdf" localSheetId="4">#REF!</definedName>
    <definedName name="_vena_DYNR_SMultiSiteS1_BMultiSiteB2_a6f189e2_a78f4fdf" localSheetId="5">#REF!</definedName>
    <definedName name="_vena_DYNR_SMultiSiteS1_BMultiSiteB2_a6f189e2_a78f4fdf" localSheetId="8">'[1]FY26 MYP-Multisite'!#REF!</definedName>
    <definedName name="_vena_DYNR_SMultiSiteS1_BMultiSiteB2_a6f189e2_a78f4fdf" localSheetId="3">#REF!</definedName>
    <definedName name="_vena_DYNR_SMultiSiteS1_BMultiSiteB2_a6f189e2_a78f4fdf">#REF!</definedName>
    <definedName name="_vena_DYNR_SMultiSiteS1_BMultiSiteB2_a6f189e2_ab967770" localSheetId="4">#REF!</definedName>
    <definedName name="_vena_DYNR_SMultiSiteS1_BMultiSiteB2_a6f189e2_ab967770" localSheetId="5">#REF!</definedName>
    <definedName name="_vena_DYNR_SMultiSiteS1_BMultiSiteB2_a6f189e2_ab967770" localSheetId="8">'[1]FY26 MYP-Multisite'!#REF!</definedName>
    <definedName name="_vena_DYNR_SMultiSiteS1_BMultiSiteB2_a6f189e2_ab967770" localSheetId="3">#REF!</definedName>
    <definedName name="_vena_DYNR_SMultiSiteS1_BMultiSiteB2_a6f189e2_ab967770">#REF!</definedName>
    <definedName name="_vena_DYNR_SMultiSiteS1_BMultiSiteB2_a6f189e2_afbd4ad0" localSheetId="4">#REF!</definedName>
    <definedName name="_vena_DYNR_SMultiSiteS1_BMultiSiteB2_a6f189e2_afbd4ad0" localSheetId="5">#REF!</definedName>
    <definedName name="_vena_DYNR_SMultiSiteS1_BMultiSiteB2_a6f189e2_afbd4ad0" localSheetId="8">'[1]FY26 MYP-Multisite'!#REF!</definedName>
    <definedName name="_vena_DYNR_SMultiSiteS1_BMultiSiteB2_a6f189e2_afbd4ad0" localSheetId="3">#REF!</definedName>
    <definedName name="_vena_DYNR_SMultiSiteS1_BMultiSiteB2_a6f189e2_afbd4ad0">#REF!</definedName>
    <definedName name="_vena_DYNR_SMultiSiteS1_BMultiSiteB2_a6f189e2_b6c52e59" localSheetId="4">#REF!</definedName>
    <definedName name="_vena_DYNR_SMultiSiteS1_BMultiSiteB2_a6f189e2_b6c52e59" localSheetId="5">#REF!</definedName>
    <definedName name="_vena_DYNR_SMultiSiteS1_BMultiSiteB2_a6f189e2_b6c52e59" localSheetId="8">'[1]FY26 MYP-Multisite'!#REF!</definedName>
    <definedName name="_vena_DYNR_SMultiSiteS1_BMultiSiteB2_a6f189e2_b6c52e59" localSheetId="3">#REF!</definedName>
    <definedName name="_vena_DYNR_SMultiSiteS1_BMultiSiteB2_a6f189e2_b6c52e59">#REF!</definedName>
    <definedName name="_vena_DYNR_SMultiSiteS1_BMultiSiteB2_a6f189e2_bc27ee3d" localSheetId="4">#REF!</definedName>
    <definedName name="_vena_DYNR_SMultiSiteS1_BMultiSiteB2_a6f189e2_bc27ee3d" localSheetId="5">#REF!</definedName>
    <definedName name="_vena_DYNR_SMultiSiteS1_BMultiSiteB2_a6f189e2_bc27ee3d" localSheetId="8">'[1]FY26 MYP-Multisite'!#REF!</definedName>
    <definedName name="_vena_DYNR_SMultiSiteS1_BMultiSiteB2_a6f189e2_bc27ee3d" localSheetId="3">#REF!</definedName>
    <definedName name="_vena_DYNR_SMultiSiteS1_BMultiSiteB2_a6f189e2_bc27ee3d">#REF!</definedName>
    <definedName name="_vena_DYNR_SMultiSiteS1_BMultiSiteB2_a6f189e2_be045100" localSheetId="4">#REF!</definedName>
    <definedName name="_vena_DYNR_SMultiSiteS1_BMultiSiteB2_a6f189e2_be045100" localSheetId="5">#REF!</definedName>
    <definedName name="_vena_DYNR_SMultiSiteS1_BMultiSiteB2_a6f189e2_be045100" localSheetId="8">'[1]FY26 MYP-Multisite'!#REF!</definedName>
    <definedName name="_vena_DYNR_SMultiSiteS1_BMultiSiteB2_a6f189e2_be045100" localSheetId="3">#REF!</definedName>
    <definedName name="_vena_DYNR_SMultiSiteS1_BMultiSiteB2_a6f189e2_be045100">#REF!</definedName>
    <definedName name="_vena_DYNR_SMultiSiteS1_BMultiSiteB2_a6f189e2_c007cb60" localSheetId="4">#REF!</definedName>
    <definedName name="_vena_DYNR_SMultiSiteS1_BMultiSiteB2_a6f189e2_c007cb60" localSheetId="5">#REF!</definedName>
    <definedName name="_vena_DYNR_SMultiSiteS1_BMultiSiteB2_a6f189e2_c007cb60" localSheetId="8">'[1]FY26 MYP-Multisite'!#REF!</definedName>
    <definedName name="_vena_DYNR_SMultiSiteS1_BMultiSiteB2_a6f189e2_c007cb60" localSheetId="3">#REF!</definedName>
    <definedName name="_vena_DYNR_SMultiSiteS1_BMultiSiteB2_a6f189e2_c007cb60">#REF!</definedName>
    <definedName name="_vena_DYNR_SMultiSiteS1_BMultiSiteB2_a6f189e2_c1731419" localSheetId="4">#REF!</definedName>
    <definedName name="_vena_DYNR_SMultiSiteS1_BMultiSiteB2_a6f189e2_c1731419" localSheetId="5">#REF!</definedName>
    <definedName name="_vena_DYNR_SMultiSiteS1_BMultiSiteB2_a6f189e2_c1731419" localSheetId="8">'[1]FY26 MYP-Multisite'!#REF!</definedName>
    <definedName name="_vena_DYNR_SMultiSiteS1_BMultiSiteB2_a6f189e2_c1731419" localSheetId="3">#REF!</definedName>
    <definedName name="_vena_DYNR_SMultiSiteS1_BMultiSiteB2_a6f189e2_c1731419">#REF!</definedName>
    <definedName name="_vena_DYNR_SMultiSiteS1_BMultiSiteB2_a6f189e2_c6c48b93" localSheetId="4">#REF!</definedName>
    <definedName name="_vena_DYNR_SMultiSiteS1_BMultiSiteB2_a6f189e2_c6c48b93" localSheetId="5">#REF!</definedName>
    <definedName name="_vena_DYNR_SMultiSiteS1_BMultiSiteB2_a6f189e2_c6c48b93" localSheetId="8">'[1]FY26 MYP-Multisite'!#REF!</definedName>
    <definedName name="_vena_DYNR_SMultiSiteS1_BMultiSiteB2_a6f189e2_c6c48b93" localSheetId="3">#REF!</definedName>
    <definedName name="_vena_DYNR_SMultiSiteS1_BMultiSiteB2_a6f189e2_c6c48b93">#REF!</definedName>
    <definedName name="_vena_DYNR_SMultiSiteS1_BMultiSiteB2_a6f189e2_ca6049e2" localSheetId="4">#REF!</definedName>
    <definedName name="_vena_DYNR_SMultiSiteS1_BMultiSiteB2_a6f189e2_ca6049e2" localSheetId="5">#REF!</definedName>
    <definedName name="_vena_DYNR_SMultiSiteS1_BMultiSiteB2_a6f189e2_ca6049e2" localSheetId="8">'[1]FY26 MYP-Multisite'!#REF!</definedName>
    <definedName name="_vena_DYNR_SMultiSiteS1_BMultiSiteB2_a6f189e2_ca6049e2" localSheetId="3">#REF!</definedName>
    <definedName name="_vena_DYNR_SMultiSiteS1_BMultiSiteB2_a6f189e2_ca6049e2">#REF!</definedName>
    <definedName name="_vena_DYNR_SMultiSiteS1_BMultiSiteB2_a6f189e2_d3e36cb5" localSheetId="4">#REF!</definedName>
    <definedName name="_vena_DYNR_SMultiSiteS1_BMultiSiteB2_a6f189e2_d3e36cb5" localSheetId="5">#REF!</definedName>
    <definedName name="_vena_DYNR_SMultiSiteS1_BMultiSiteB2_a6f189e2_d3e36cb5" localSheetId="8">'[1]FY26 MYP-Multisite'!#REF!</definedName>
    <definedName name="_vena_DYNR_SMultiSiteS1_BMultiSiteB2_a6f189e2_d3e36cb5" localSheetId="3">#REF!</definedName>
    <definedName name="_vena_DYNR_SMultiSiteS1_BMultiSiteB2_a6f189e2_d3e36cb5">#REF!</definedName>
    <definedName name="_vena_DYNR_SMultiSiteS1_BMultiSiteB2_a6f189e2_e65b5e10" localSheetId="4">#REF!</definedName>
    <definedName name="_vena_DYNR_SMultiSiteS1_BMultiSiteB2_a6f189e2_e65b5e10" localSheetId="5">#REF!</definedName>
    <definedName name="_vena_DYNR_SMultiSiteS1_BMultiSiteB2_a6f189e2_e65b5e10" localSheetId="8">'[1]FY26 MYP-Multisite'!#REF!</definedName>
    <definedName name="_vena_DYNR_SMultiSiteS1_BMultiSiteB2_a6f189e2_e65b5e10" localSheetId="3">#REF!</definedName>
    <definedName name="_vena_DYNR_SMultiSiteS1_BMultiSiteB2_a6f189e2_e65b5e10">#REF!</definedName>
    <definedName name="_vena_DYNR_SMultiSiteS1_BMultiSiteB2_a6f189e2_e9731eac" localSheetId="4">#REF!</definedName>
    <definedName name="_vena_DYNR_SMultiSiteS1_BMultiSiteB2_a6f189e2_e9731eac" localSheetId="5">#REF!</definedName>
    <definedName name="_vena_DYNR_SMultiSiteS1_BMultiSiteB2_a6f189e2_e9731eac" localSheetId="8">'[1]FY26 MYP-Multisite'!#REF!</definedName>
    <definedName name="_vena_DYNR_SMultiSiteS1_BMultiSiteB2_a6f189e2_e9731eac" localSheetId="3">#REF!</definedName>
    <definedName name="_vena_DYNR_SMultiSiteS1_BMultiSiteB2_a6f189e2_e9731eac">#REF!</definedName>
    <definedName name="_vena_DYNR_SMultiSiteS1_BMultiSiteB2_a6f189e2_ebfc31b5" localSheetId="4">#REF!</definedName>
    <definedName name="_vena_DYNR_SMultiSiteS1_BMultiSiteB2_a6f189e2_ebfc31b5" localSheetId="5">#REF!</definedName>
    <definedName name="_vena_DYNR_SMultiSiteS1_BMultiSiteB2_a6f189e2_ebfc31b5" localSheetId="8">'[1]FY26 MYP-Multisite'!#REF!</definedName>
    <definedName name="_vena_DYNR_SMultiSiteS1_BMultiSiteB2_a6f189e2_ebfc31b5" localSheetId="3">#REF!</definedName>
    <definedName name="_vena_DYNR_SMultiSiteS1_BMultiSiteB2_a6f189e2_ebfc31b5">#REF!</definedName>
    <definedName name="_vena_DYNR_SMultiSiteS1_BMultiSiteB2_a6f189e2_ee7472e3" localSheetId="4">#REF!</definedName>
    <definedName name="_vena_DYNR_SMultiSiteS1_BMultiSiteB2_a6f189e2_ee7472e3" localSheetId="5">#REF!</definedName>
    <definedName name="_vena_DYNR_SMultiSiteS1_BMultiSiteB2_a6f189e2_ee7472e3" localSheetId="8">'[1]FY26 MYP-Multisite'!#REF!</definedName>
    <definedName name="_vena_DYNR_SMultiSiteS1_BMultiSiteB2_a6f189e2_ee7472e3" localSheetId="3">#REF!</definedName>
    <definedName name="_vena_DYNR_SMultiSiteS1_BMultiSiteB2_a6f189e2_ee7472e3">#REF!</definedName>
    <definedName name="_vena_DYNR_SMultiSiteS1_BMultiSiteB2_a6f189e2_ef2cb153" localSheetId="4">#REF!</definedName>
    <definedName name="_vena_DYNR_SMultiSiteS1_BMultiSiteB2_a6f189e2_ef2cb153" localSheetId="5">#REF!</definedName>
    <definedName name="_vena_DYNR_SMultiSiteS1_BMultiSiteB2_a6f189e2_ef2cb153" localSheetId="8">'[1]FY26 MYP-Multisite'!#REF!</definedName>
    <definedName name="_vena_DYNR_SMultiSiteS1_BMultiSiteB2_a6f189e2_ef2cb153" localSheetId="3">#REF!</definedName>
    <definedName name="_vena_DYNR_SMultiSiteS1_BMultiSiteB2_a6f189e2_ef2cb153">#REF!</definedName>
    <definedName name="_vena_DYNR_SMultiSiteS1_BMultiSiteB2_a6f189e2_f1e7f32b" localSheetId="4">#REF!</definedName>
    <definedName name="_vena_DYNR_SMultiSiteS1_BMultiSiteB2_a6f189e2_f1e7f32b" localSheetId="5">#REF!</definedName>
    <definedName name="_vena_DYNR_SMultiSiteS1_BMultiSiteB2_a6f189e2_f1e7f32b" localSheetId="8">'[1]FY26 MYP-Multisite'!#REF!</definedName>
    <definedName name="_vena_DYNR_SMultiSiteS1_BMultiSiteB2_a6f189e2_f1e7f32b" localSheetId="3">#REF!</definedName>
    <definedName name="_vena_DYNR_SMultiSiteS1_BMultiSiteB2_a6f189e2_f1e7f32b">#REF!</definedName>
    <definedName name="_vena_DYNR_SMultiSiteS1_BMultiSiteB2_a6f189e2_f5b561a1" localSheetId="4">#REF!</definedName>
    <definedName name="_vena_DYNR_SMultiSiteS1_BMultiSiteB2_a6f189e2_f5b561a1" localSheetId="5">#REF!</definedName>
    <definedName name="_vena_DYNR_SMultiSiteS1_BMultiSiteB2_a6f189e2_f5b561a1" localSheetId="8">'[1]FY26 MYP-Multisite'!#REF!</definedName>
    <definedName name="_vena_DYNR_SMultiSiteS1_BMultiSiteB2_a6f189e2_f5b561a1" localSheetId="3">#REF!</definedName>
    <definedName name="_vena_DYNR_SMultiSiteS1_BMultiSiteB2_a6f189e2_f5b561a1">#REF!</definedName>
    <definedName name="_vena_DYNR_SMultiSiteS1_BMultiSiteB2_a6f189e2_f8c89079" localSheetId="4">#REF!</definedName>
    <definedName name="_vena_DYNR_SMultiSiteS1_BMultiSiteB2_a6f189e2_f8c89079" localSheetId="5">#REF!</definedName>
    <definedName name="_vena_DYNR_SMultiSiteS1_BMultiSiteB2_a6f189e2_f8c89079" localSheetId="8">'[1]FY26 MYP-Multisite'!#REF!</definedName>
    <definedName name="_vena_DYNR_SMultiSiteS1_BMultiSiteB2_a6f189e2_f8c89079" localSheetId="3">#REF!</definedName>
    <definedName name="_vena_DYNR_SMultiSiteS1_BMultiSiteB2_a6f189e2_f8c89079">#REF!</definedName>
    <definedName name="_vena_DYNR_SMultiSiteS1_BMultiSiteB2_a6f189e2_faff13e1" localSheetId="4">#REF!</definedName>
    <definedName name="_vena_DYNR_SMultiSiteS1_BMultiSiteB2_a6f189e2_faff13e1" localSheetId="5">#REF!</definedName>
    <definedName name="_vena_DYNR_SMultiSiteS1_BMultiSiteB2_a6f189e2_faff13e1" localSheetId="8">'[1]FY26 MYP-Multisite'!#REF!</definedName>
    <definedName name="_vena_DYNR_SMultiSiteS1_BMultiSiteB2_a6f189e2_faff13e1" localSheetId="3">#REF!</definedName>
    <definedName name="_vena_DYNR_SMultiSiteS1_BMultiSiteB2_a6f189e2_faff13e1">#REF!</definedName>
    <definedName name="_vena_DYNR_SMultiSiteS1_BMultiSiteB2_a6f189e2_fc2f1980" localSheetId="4">#REF!</definedName>
    <definedName name="_vena_DYNR_SMultiSiteS1_BMultiSiteB2_a6f189e2_fc2f1980" localSheetId="5">#REF!</definedName>
    <definedName name="_vena_DYNR_SMultiSiteS1_BMultiSiteB2_a6f189e2_fc2f1980" localSheetId="8">'[1]FY26 MYP-Multisite'!#REF!</definedName>
    <definedName name="_vena_DYNR_SMultiSiteS1_BMultiSiteB2_a6f189e2_fc2f1980" localSheetId="3">#REF!</definedName>
    <definedName name="_vena_DYNR_SMultiSiteS1_BMultiSiteB2_a6f189e2_fc2f1980">#REF!</definedName>
    <definedName name="_vena_DYNR_SMultiSiteS1_BMultiSiteB2_b885b72b">#REF!</definedName>
    <definedName name="_vena_DYNR_SMultiSiteS1_BMultiSiteB2_b885b72b_357fe4b0">#REF!</definedName>
    <definedName name="_vena_DYNR_SMultiSiteS1_BMultiSiteB2_b885b72b_557410c">#REF!</definedName>
    <definedName name="_vena_DYNR_SMultiSiteS1_BMultiSiteB2_b885b72b_62ec347e">#REF!</definedName>
    <definedName name="_vena_DYNR_SMultiSiteS1_BMultiSiteB2_b885b72b_dd2fd2a9">#REF!</definedName>
    <definedName name="_vena_DYNR_SMultiSiteS1_BMultiSiteB2_b885b72b_ec79103f">#REF!</definedName>
    <definedName name="_vena_DYNR_SMultiSiteS1_BMultiSiteB2_bd46bf47" localSheetId="4">#REF!</definedName>
    <definedName name="_vena_DYNR_SMultiSiteS1_BMultiSiteB2_bd46bf47" localSheetId="5">#REF!</definedName>
    <definedName name="_vena_DYNR_SMultiSiteS1_BMultiSiteB2_bd46bf47" localSheetId="8">'[1]FY26 MYP-Multisite'!#REF!</definedName>
    <definedName name="_vena_DYNR_SMultiSiteS1_BMultiSiteB2_bd46bf47" localSheetId="3">#REF!</definedName>
    <definedName name="_vena_DYNR_SMultiSiteS1_BMultiSiteB2_bd46bf47">#REF!</definedName>
    <definedName name="_vena_DYNR_SMultiSiteS1_BMultiSiteB2_bd46bf47_184be75f" localSheetId="4">#REF!</definedName>
    <definedName name="_vena_DYNR_SMultiSiteS1_BMultiSiteB2_bd46bf47_184be75f" localSheetId="5">#REF!</definedName>
    <definedName name="_vena_DYNR_SMultiSiteS1_BMultiSiteB2_bd46bf47_184be75f" localSheetId="8">'[1]FY26 MYP-Multisite'!#REF!</definedName>
    <definedName name="_vena_DYNR_SMultiSiteS1_BMultiSiteB2_bd46bf47_184be75f" localSheetId="3">#REF!</definedName>
    <definedName name="_vena_DYNR_SMultiSiteS1_BMultiSiteB2_bd46bf47_184be75f">#REF!</definedName>
    <definedName name="_vena_DYNR_SMultiSiteS1_BMultiSiteB2_bd46bf47_1f0fdea7" localSheetId="4">#REF!</definedName>
    <definedName name="_vena_DYNR_SMultiSiteS1_BMultiSiteB2_bd46bf47_1f0fdea7" localSheetId="5">#REF!</definedName>
    <definedName name="_vena_DYNR_SMultiSiteS1_BMultiSiteB2_bd46bf47_1f0fdea7" localSheetId="8">'[1]FY26 MYP-Multisite'!#REF!</definedName>
    <definedName name="_vena_DYNR_SMultiSiteS1_BMultiSiteB2_bd46bf47_1f0fdea7" localSheetId="3">#REF!</definedName>
    <definedName name="_vena_DYNR_SMultiSiteS1_BMultiSiteB2_bd46bf47_1f0fdea7">#REF!</definedName>
    <definedName name="_vena_DYNR_SMultiSiteS1_BMultiSiteB2_bd46bf47_1f1d255b" localSheetId="4">#REF!</definedName>
    <definedName name="_vena_DYNR_SMultiSiteS1_BMultiSiteB2_bd46bf47_1f1d255b" localSheetId="5">#REF!</definedName>
    <definedName name="_vena_DYNR_SMultiSiteS1_BMultiSiteB2_bd46bf47_1f1d255b" localSheetId="8">'[1]FY26 MYP-Multisite'!#REF!</definedName>
    <definedName name="_vena_DYNR_SMultiSiteS1_BMultiSiteB2_bd46bf47_1f1d255b" localSheetId="3">#REF!</definedName>
    <definedName name="_vena_DYNR_SMultiSiteS1_BMultiSiteB2_bd46bf47_1f1d255b">#REF!</definedName>
    <definedName name="_vena_DYNR_SMultiSiteS1_BMultiSiteB2_bd46bf47_1fd7ac52" localSheetId="4">#REF!</definedName>
    <definedName name="_vena_DYNR_SMultiSiteS1_BMultiSiteB2_bd46bf47_1fd7ac52" localSheetId="5">#REF!</definedName>
    <definedName name="_vena_DYNR_SMultiSiteS1_BMultiSiteB2_bd46bf47_1fd7ac52" localSheetId="8">'[1]FY26 MYP-Multisite'!#REF!</definedName>
    <definedName name="_vena_DYNR_SMultiSiteS1_BMultiSiteB2_bd46bf47_1fd7ac52" localSheetId="3">#REF!</definedName>
    <definedName name="_vena_DYNR_SMultiSiteS1_BMultiSiteB2_bd46bf47_1fd7ac52">#REF!</definedName>
    <definedName name="_vena_DYNR_SMultiSiteS1_BMultiSiteB2_bd46bf47_201cc9ff" localSheetId="4">#REF!</definedName>
    <definedName name="_vena_DYNR_SMultiSiteS1_BMultiSiteB2_bd46bf47_201cc9ff" localSheetId="5">#REF!</definedName>
    <definedName name="_vena_DYNR_SMultiSiteS1_BMultiSiteB2_bd46bf47_201cc9ff" localSheetId="8">'[1]FY26 MYP-Multisite'!#REF!</definedName>
    <definedName name="_vena_DYNR_SMultiSiteS1_BMultiSiteB2_bd46bf47_201cc9ff" localSheetId="3">#REF!</definedName>
    <definedName name="_vena_DYNR_SMultiSiteS1_BMultiSiteB2_bd46bf47_201cc9ff">#REF!</definedName>
    <definedName name="_vena_DYNR_SMultiSiteS1_BMultiSiteB2_bd46bf47_243bca6" localSheetId="4">#REF!</definedName>
    <definedName name="_vena_DYNR_SMultiSiteS1_BMultiSiteB2_bd46bf47_243bca6" localSheetId="5">#REF!</definedName>
    <definedName name="_vena_DYNR_SMultiSiteS1_BMultiSiteB2_bd46bf47_243bca6" localSheetId="8">'[1]FY26 MYP-Multisite'!#REF!</definedName>
    <definedName name="_vena_DYNR_SMultiSiteS1_BMultiSiteB2_bd46bf47_243bca6" localSheetId="3">#REF!</definedName>
    <definedName name="_vena_DYNR_SMultiSiteS1_BMultiSiteB2_bd46bf47_243bca6">#REF!</definedName>
    <definedName name="_vena_DYNR_SMultiSiteS1_BMultiSiteB2_bd46bf47_2858fe6b" localSheetId="4">#REF!</definedName>
    <definedName name="_vena_DYNR_SMultiSiteS1_BMultiSiteB2_bd46bf47_2858fe6b" localSheetId="5">#REF!</definedName>
    <definedName name="_vena_DYNR_SMultiSiteS1_BMultiSiteB2_bd46bf47_2858fe6b" localSheetId="8">'[1]FY26 MYP-Multisite'!#REF!</definedName>
    <definedName name="_vena_DYNR_SMultiSiteS1_BMultiSiteB2_bd46bf47_2858fe6b" localSheetId="3">#REF!</definedName>
    <definedName name="_vena_DYNR_SMultiSiteS1_BMultiSiteB2_bd46bf47_2858fe6b">#REF!</definedName>
    <definedName name="_vena_DYNR_SMultiSiteS1_BMultiSiteB2_bd46bf47_348ee8e8" localSheetId="4">#REF!</definedName>
    <definedName name="_vena_DYNR_SMultiSiteS1_BMultiSiteB2_bd46bf47_348ee8e8" localSheetId="5">#REF!</definedName>
    <definedName name="_vena_DYNR_SMultiSiteS1_BMultiSiteB2_bd46bf47_348ee8e8" localSheetId="8">'[1]FY26 MYP-Multisite'!#REF!</definedName>
    <definedName name="_vena_DYNR_SMultiSiteS1_BMultiSiteB2_bd46bf47_348ee8e8" localSheetId="3">#REF!</definedName>
    <definedName name="_vena_DYNR_SMultiSiteS1_BMultiSiteB2_bd46bf47_348ee8e8">#REF!</definedName>
    <definedName name="_vena_DYNR_SMultiSiteS1_BMultiSiteB2_bd46bf47_39c2eee0" localSheetId="4">#REF!</definedName>
    <definedName name="_vena_DYNR_SMultiSiteS1_BMultiSiteB2_bd46bf47_39c2eee0" localSheetId="5">#REF!</definedName>
    <definedName name="_vena_DYNR_SMultiSiteS1_BMultiSiteB2_bd46bf47_39c2eee0" localSheetId="8">'[1]FY26 MYP-Multisite'!#REF!</definedName>
    <definedName name="_vena_DYNR_SMultiSiteS1_BMultiSiteB2_bd46bf47_39c2eee0" localSheetId="3">#REF!</definedName>
    <definedName name="_vena_DYNR_SMultiSiteS1_BMultiSiteB2_bd46bf47_39c2eee0">#REF!</definedName>
    <definedName name="_vena_DYNR_SMultiSiteS1_BMultiSiteB2_bd46bf47_3a4cf170" localSheetId="4">#REF!</definedName>
    <definedName name="_vena_DYNR_SMultiSiteS1_BMultiSiteB2_bd46bf47_3a4cf170" localSheetId="5">#REF!</definedName>
    <definedName name="_vena_DYNR_SMultiSiteS1_BMultiSiteB2_bd46bf47_3a4cf170" localSheetId="8">'[1]FY26 MYP-Multisite'!#REF!</definedName>
    <definedName name="_vena_DYNR_SMultiSiteS1_BMultiSiteB2_bd46bf47_3a4cf170" localSheetId="3">#REF!</definedName>
    <definedName name="_vena_DYNR_SMultiSiteS1_BMultiSiteB2_bd46bf47_3a4cf170">#REF!</definedName>
    <definedName name="_vena_DYNR_SMultiSiteS1_BMultiSiteB2_bd46bf47_3ad6990f" localSheetId="4">#REF!</definedName>
    <definedName name="_vena_DYNR_SMultiSiteS1_BMultiSiteB2_bd46bf47_3ad6990f" localSheetId="5">#REF!</definedName>
    <definedName name="_vena_DYNR_SMultiSiteS1_BMultiSiteB2_bd46bf47_3ad6990f" localSheetId="8">'[1]FY26 MYP-Multisite'!#REF!</definedName>
    <definedName name="_vena_DYNR_SMultiSiteS1_BMultiSiteB2_bd46bf47_3ad6990f" localSheetId="3">#REF!</definedName>
    <definedName name="_vena_DYNR_SMultiSiteS1_BMultiSiteB2_bd46bf47_3ad6990f">#REF!</definedName>
    <definedName name="_vena_DYNR_SMultiSiteS1_BMultiSiteB2_bd46bf47_3cefb366" localSheetId="4">#REF!</definedName>
    <definedName name="_vena_DYNR_SMultiSiteS1_BMultiSiteB2_bd46bf47_3cefb366" localSheetId="5">#REF!</definedName>
    <definedName name="_vena_DYNR_SMultiSiteS1_BMultiSiteB2_bd46bf47_3cefb366" localSheetId="8">'[1]FY26 MYP-Multisite'!#REF!</definedName>
    <definedName name="_vena_DYNR_SMultiSiteS1_BMultiSiteB2_bd46bf47_3cefb366" localSheetId="3">#REF!</definedName>
    <definedName name="_vena_DYNR_SMultiSiteS1_BMultiSiteB2_bd46bf47_3cefb366">#REF!</definedName>
    <definedName name="_vena_DYNR_SMultiSiteS1_BMultiSiteB2_bd46bf47_406b7e01" localSheetId="4">#REF!</definedName>
    <definedName name="_vena_DYNR_SMultiSiteS1_BMultiSiteB2_bd46bf47_406b7e01" localSheetId="5">#REF!</definedName>
    <definedName name="_vena_DYNR_SMultiSiteS1_BMultiSiteB2_bd46bf47_406b7e01" localSheetId="8">'[1]FY26 MYP-Multisite'!#REF!</definedName>
    <definedName name="_vena_DYNR_SMultiSiteS1_BMultiSiteB2_bd46bf47_406b7e01" localSheetId="3">#REF!</definedName>
    <definedName name="_vena_DYNR_SMultiSiteS1_BMultiSiteB2_bd46bf47_406b7e01">#REF!</definedName>
    <definedName name="_vena_DYNR_SMultiSiteS1_BMultiSiteB2_bd46bf47_4606cf64" localSheetId="4">#REF!</definedName>
    <definedName name="_vena_DYNR_SMultiSiteS1_BMultiSiteB2_bd46bf47_4606cf64" localSheetId="5">#REF!</definedName>
    <definedName name="_vena_DYNR_SMultiSiteS1_BMultiSiteB2_bd46bf47_4606cf64" localSheetId="8">'[1]FY26 MYP-Multisite'!#REF!</definedName>
    <definedName name="_vena_DYNR_SMultiSiteS1_BMultiSiteB2_bd46bf47_4606cf64" localSheetId="3">#REF!</definedName>
    <definedName name="_vena_DYNR_SMultiSiteS1_BMultiSiteB2_bd46bf47_4606cf64">#REF!</definedName>
    <definedName name="_vena_DYNR_SMultiSiteS1_BMultiSiteB2_bd46bf47_46312f35" localSheetId="4">#REF!</definedName>
    <definedName name="_vena_DYNR_SMultiSiteS1_BMultiSiteB2_bd46bf47_46312f35" localSheetId="5">#REF!</definedName>
    <definedName name="_vena_DYNR_SMultiSiteS1_BMultiSiteB2_bd46bf47_46312f35" localSheetId="8">'[1]FY26 MYP-Multisite'!#REF!</definedName>
    <definedName name="_vena_DYNR_SMultiSiteS1_BMultiSiteB2_bd46bf47_46312f35" localSheetId="3">#REF!</definedName>
    <definedName name="_vena_DYNR_SMultiSiteS1_BMultiSiteB2_bd46bf47_46312f35">#REF!</definedName>
    <definedName name="_vena_DYNR_SMultiSiteS1_BMultiSiteB2_bd46bf47_4cbf4bbe" localSheetId="4">#REF!</definedName>
    <definedName name="_vena_DYNR_SMultiSiteS1_BMultiSiteB2_bd46bf47_4cbf4bbe" localSheetId="5">#REF!</definedName>
    <definedName name="_vena_DYNR_SMultiSiteS1_BMultiSiteB2_bd46bf47_4cbf4bbe" localSheetId="8">'[1]FY26 MYP-Multisite'!#REF!</definedName>
    <definedName name="_vena_DYNR_SMultiSiteS1_BMultiSiteB2_bd46bf47_4cbf4bbe" localSheetId="3">#REF!</definedName>
    <definedName name="_vena_DYNR_SMultiSiteS1_BMultiSiteB2_bd46bf47_4cbf4bbe">#REF!</definedName>
    <definedName name="_vena_DYNR_SMultiSiteS1_BMultiSiteB2_bd46bf47_5173bfea" localSheetId="4">#REF!</definedName>
    <definedName name="_vena_DYNR_SMultiSiteS1_BMultiSiteB2_bd46bf47_5173bfea" localSheetId="5">#REF!</definedName>
    <definedName name="_vena_DYNR_SMultiSiteS1_BMultiSiteB2_bd46bf47_5173bfea" localSheetId="8">'[1]FY26 MYP-Multisite'!#REF!</definedName>
    <definedName name="_vena_DYNR_SMultiSiteS1_BMultiSiteB2_bd46bf47_5173bfea" localSheetId="3">#REF!</definedName>
    <definedName name="_vena_DYNR_SMultiSiteS1_BMultiSiteB2_bd46bf47_5173bfea">#REF!</definedName>
    <definedName name="_vena_DYNR_SMultiSiteS1_BMultiSiteB2_bd46bf47_555d6605" localSheetId="4">#REF!</definedName>
    <definedName name="_vena_DYNR_SMultiSiteS1_BMultiSiteB2_bd46bf47_555d6605" localSheetId="5">#REF!</definedName>
    <definedName name="_vena_DYNR_SMultiSiteS1_BMultiSiteB2_bd46bf47_555d6605" localSheetId="8">'[1]FY26 MYP-Multisite'!#REF!</definedName>
    <definedName name="_vena_DYNR_SMultiSiteS1_BMultiSiteB2_bd46bf47_555d6605" localSheetId="3">#REF!</definedName>
    <definedName name="_vena_DYNR_SMultiSiteS1_BMultiSiteB2_bd46bf47_555d6605">#REF!</definedName>
    <definedName name="_vena_DYNR_SMultiSiteS1_BMultiSiteB2_bd46bf47_55654202" localSheetId="4">#REF!</definedName>
    <definedName name="_vena_DYNR_SMultiSiteS1_BMultiSiteB2_bd46bf47_55654202" localSheetId="5">#REF!</definedName>
    <definedName name="_vena_DYNR_SMultiSiteS1_BMultiSiteB2_bd46bf47_55654202" localSheetId="8">'[1]FY26 MYP-Multisite'!#REF!</definedName>
    <definedName name="_vena_DYNR_SMultiSiteS1_BMultiSiteB2_bd46bf47_55654202" localSheetId="3">#REF!</definedName>
    <definedName name="_vena_DYNR_SMultiSiteS1_BMultiSiteB2_bd46bf47_55654202">#REF!</definedName>
    <definedName name="_vena_DYNR_SMultiSiteS1_BMultiSiteB2_bd46bf47_5963ab12" localSheetId="4">#REF!</definedName>
    <definedName name="_vena_DYNR_SMultiSiteS1_BMultiSiteB2_bd46bf47_5963ab12" localSheetId="5">#REF!</definedName>
    <definedName name="_vena_DYNR_SMultiSiteS1_BMultiSiteB2_bd46bf47_5963ab12" localSheetId="8">'[1]FY26 MYP-Multisite'!#REF!</definedName>
    <definedName name="_vena_DYNR_SMultiSiteS1_BMultiSiteB2_bd46bf47_5963ab12" localSheetId="3">#REF!</definedName>
    <definedName name="_vena_DYNR_SMultiSiteS1_BMultiSiteB2_bd46bf47_5963ab12">#REF!</definedName>
    <definedName name="_vena_DYNR_SMultiSiteS1_BMultiSiteB2_bd46bf47_59e983e9" localSheetId="4">#REF!</definedName>
    <definedName name="_vena_DYNR_SMultiSiteS1_BMultiSiteB2_bd46bf47_59e983e9" localSheetId="5">#REF!</definedName>
    <definedName name="_vena_DYNR_SMultiSiteS1_BMultiSiteB2_bd46bf47_59e983e9" localSheetId="8">'[1]FY26 MYP-Multisite'!#REF!</definedName>
    <definedName name="_vena_DYNR_SMultiSiteS1_BMultiSiteB2_bd46bf47_59e983e9" localSheetId="3">#REF!</definedName>
    <definedName name="_vena_DYNR_SMultiSiteS1_BMultiSiteB2_bd46bf47_59e983e9">#REF!</definedName>
    <definedName name="_vena_DYNR_SMultiSiteS1_BMultiSiteB2_bd46bf47_5b291cf0" localSheetId="4">#REF!</definedName>
    <definedName name="_vena_DYNR_SMultiSiteS1_BMultiSiteB2_bd46bf47_5b291cf0" localSheetId="5">#REF!</definedName>
    <definedName name="_vena_DYNR_SMultiSiteS1_BMultiSiteB2_bd46bf47_5b291cf0" localSheetId="8">'[1]FY26 MYP-Multisite'!#REF!</definedName>
    <definedName name="_vena_DYNR_SMultiSiteS1_BMultiSiteB2_bd46bf47_5b291cf0" localSheetId="3">#REF!</definedName>
    <definedName name="_vena_DYNR_SMultiSiteS1_BMultiSiteB2_bd46bf47_5b291cf0">#REF!</definedName>
    <definedName name="_vena_DYNR_SMultiSiteS1_BMultiSiteB2_bd46bf47_5f0e4da3" localSheetId="4">#REF!</definedName>
    <definedName name="_vena_DYNR_SMultiSiteS1_BMultiSiteB2_bd46bf47_5f0e4da3" localSheetId="5">#REF!</definedName>
    <definedName name="_vena_DYNR_SMultiSiteS1_BMultiSiteB2_bd46bf47_5f0e4da3" localSheetId="8">'[1]FY26 MYP-Multisite'!#REF!</definedName>
    <definedName name="_vena_DYNR_SMultiSiteS1_BMultiSiteB2_bd46bf47_5f0e4da3" localSheetId="3">#REF!</definedName>
    <definedName name="_vena_DYNR_SMultiSiteS1_BMultiSiteB2_bd46bf47_5f0e4da3">#REF!</definedName>
    <definedName name="_vena_DYNR_SMultiSiteS1_BMultiSiteB2_bd46bf47_60336891" localSheetId="4">#REF!</definedName>
    <definedName name="_vena_DYNR_SMultiSiteS1_BMultiSiteB2_bd46bf47_60336891" localSheetId="5">#REF!</definedName>
    <definedName name="_vena_DYNR_SMultiSiteS1_BMultiSiteB2_bd46bf47_60336891" localSheetId="8">'[1]FY26 MYP-Multisite'!#REF!</definedName>
    <definedName name="_vena_DYNR_SMultiSiteS1_BMultiSiteB2_bd46bf47_60336891" localSheetId="3">#REF!</definedName>
    <definedName name="_vena_DYNR_SMultiSiteS1_BMultiSiteB2_bd46bf47_60336891">#REF!</definedName>
    <definedName name="_vena_DYNR_SMultiSiteS1_BMultiSiteB2_bd46bf47_64b8cf91" localSheetId="4">#REF!</definedName>
    <definedName name="_vena_DYNR_SMultiSiteS1_BMultiSiteB2_bd46bf47_64b8cf91" localSheetId="5">#REF!</definedName>
    <definedName name="_vena_DYNR_SMultiSiteS1_BMultiSiteB2_bd46bf47_64b8cf91" localSheetId="8">'[1]FY26 MYP-Multisite'!#REF!</definedName>
    <definedName name="_vena_DYNR_SMultiSiteS1_BMultiSiteB2_bd46bf47_64b8cf91" localSheetId="3">#REF!</definedName>
    <definedName name="_vena_DYNR_SMultiSiteS1_BMultiSiteB2_bd46bf47_64b8cf91">#REF!</definedName>
    <definedName name="_vena_DYNR_SMultiSiteS1_BMultiSiteB2_bd46bf47_67b9f5ec" localSheetId="4">#REF!</definedName>
    <definedName name="_vena_DYNR_SMultiSiteS1_BMultiSiteB2_bd46bf47_67b9f5ec" localSheetId="5">#REF!</definedName>
    <definedName name="_vena_DYNR_SMultiSiteS1_BMultiSiteB2_bd46bf47_67b9f5ec" localSheetId="8">'[1]FY26 MYP-Multisite'!#REF!</definedName>
    <definedName name="_vena_DYNR_SMultiSiteS1_BMultiSiteB2_bd46bf47_67b9f5ec" localSheetId="3">#REF!</definedName>
    <definedName name="_vena_DYNR_SMultiSiteS1_BMultiSiteB2_bd46bf47_67b9f5ec">#REF!</definedName>
    <definedName name="_vena_DYNR_SMultiSiteS1_BMultiSiteB2_bd46bf47_68f3b69c" localSheetId="4">#REF!</definedName>
    <definedName name="_vena_DYNR_SMultiSiteS1_BMultiSiteB2_bd46bf47_68f3b69c" localSheetId="5">#REF!</definedName>
    <definedName name="_vena_DYNR_SMultiSiteS1_BMultiSiteB2_bd46bf47_68f3b69c" localSheetId="8">'[1]FY26 MYP-Multisite'!#REF!</definedName>
    <definedName name="_vena_DYNR_SMultiSiteS1_BMultiSiteB2_bd46bf47_68f3b69c" localSheetId="3">#REF!</definedName>
    <definedName name="_vena_DYNR_SMultiSiteS1_BMultiSiteB2_bd46bf47_68f3b69c">#REF!</definedName>
    <definedName name="_vena_DYNR_SMultiSiteS1_BMultiSiteB2_bd46bf47_6a172ed6" localSheetId="4">#REF!</definedName>
    <definedName name="_vena_DYNR_SMultiSiteS1_BMultiSiteB2_bd46bf47_6a172ed6" localSheetId="5">#REF!</definedName>
    <definedName name="_vena_DYNR_SMultiSiteS1_BMultiSiteB2_bd46bf47_6a172ed6" localSheetId="8">'[1]FY26 MYP-Multisite'!#REF!</definedName>
    <definedName name="_vena_DYNR_SMultiSiteS1_BMultiSiteB2_bd46bf47_6a172ed6" localSheetId="3">#REF!</definedName>
    <definedName name="_vena_DYNR_SMultiSiteS1_BMultiSiteB2_bd46bf47_6a172ed6">#REF!</definedName>
    <definedName name="_vena_DYNR_SMultiSiteS1_BMultiSiteB2_bd46bf47_76707720" localSheetId="4">#REF!</definedName>
    <definedName name="_vena_DYNR_SMultiSiteS1_BMultiSiteB2_bd46bf47_76707720" localSheetId="5">#REF!</definedName>
    <definedName name="_vena_DYNR_SMultiSiteS1_BMultiSiteB2_bd46bf47_76707720" localSheetId="8">'[1]FY26 MYP-Multisite'!#REF!</definedName>
    <definedName name="_vena_DYNR_SMultiSiteS1_BMultiSiteB2_bd46bf47_76707720" localSheetId="3">#REF!</definedName>
    <definedName name="_vena_DYNR_SMultiSiteS1_BMultiSiteB2_bd46bf47_76707720">#REF!</definedName>
    <definedName name="_vena_DYNR_SMultiSiteS1_BMultiSiteB2_bd46bf47_7ac11ef3" localSheetId="4">#REF!</definedName>
    <definedName name="_vena_DYNR_SMultiSiteS1_BMultiSiteB2_bd46bf47_7ac11ef3" localSheetId="5">#REF!</definedName>
    <definedName name="_vena_DYNR_SMultiSiteS1_BMultiSiteB2_bd46bf47_7ac11ef3" localSheetId="8">'[1]FY26 MYP-Multisite'!#REF!</definedName>
    <definedName name="_vena_DYNR_SMultiSiteS1_BMultiSiteB2_bd46bf47_7ac11ef3" localSheetId="3">#REF!</definedName>
    <definedName name="_vena_DYNR_SMultiSiteS1_BMultiSiteB2_bd46bf47_7ac11ef3">#REF!</definedName>
    <definedName name="_vena_DYNR_SMultiSiteS1_BMultiSiteB2_bd46bf47_878f8cd6" localSheetId="4">#REF!</definedName>
    <definedName name="_vena_DYNR_SMultiSiteS1_BMultiSiteB2_bd46bf47_878f8cd6" localSheetId="5">#REF!</definedName>
    <definedName name="_vena_DYNR_SMultiSiteS1_BMultiSiteB2_bd46bf47_878f8cd6" localSheetId="8">'[1]FY26 MYP-Multisite'!#REF!</definedName>
    <definedName name="_vena_DYNR_SMultiSiteS1_BMultiSiteB2_bd46bf47_878f8cd6" localSheetId="3">#REF!</definedName>
    <definedName name="_vena_DYNR_SMultiSiteS1_BMultiSiteB2_bd46bf47_878f8cd6">#REF!</definedName>
    <definedName name="_vena_DYNR_SMultiSiteS1_BMultiSiteB2_bd46bf47_88fb043a" localSheetId="4">#REF!</definedName>
    <definedName name="_vena_DYNR_SMultiSiteS1_BMultiSiteB2_bd46bf47_88fb043a" localSheetId="5">#REF!</definedName>
    <definedName name="_vena_DYNR_SMultiSiteS1_BMultiSiteB2_bd46bf47_88fb043a" localSheetId="8">'[1]FY26 MYP-Multisite'!#REF!</definedName>
    <definedName name="_vena_DYNR_SMultiSiteS1_BMultiSiteB2_bd46bf47_88fb043a" localSheetId="3">#REF!</definedName>
    <definedName name="_vena_DYNR_SMultiSiteS1_BMultiSiteB2_bd46bf47_88fb043a">#REF!</definedName>
    <definedName name="_vena_DYNR_SMultiSiteS1_BMultiSiteB2_bd46bf47_8a538c4d" localSheetId="4">#REF!</definedName>
    <definedName name="_vena_DYNR_SMultiSiteS1_BMultiSiteB2_bd46bf47_8a538c4d" localSheetId="5">#REF!</definedName>
    <definedName name="_vena_DYNR_SMultiSiteS1_BMultiSiteB2_bd46bf47_8a538c4d" localSheetId="8">'[1]FY26 MYP-Multisite'!#REF!</definedName>
    <definedName name="_vena_DYNR_SMultiSiteS1_BMultiSiteB2_bd46bf47_8a538c4d" localSheetId="3">#REF!</definedName>
    <definedName name="_vena_DYNR_SMultiSiteS1_BMultiSiteB2_bd46bf47_8a538c4d">#REF!</definedName>
    <definedName name="_vena_DYNR_SMultiSiteS1_BMultiSiteB2_bd46bf47_8ac2fa12" localSheetId="4">#REF!</definedName>
    <definedName name="_vena_DYNR_SMultiSiteS1_BMultiSiteB2_bd46bf47_8ac2fa12" localSheetId="5">#REF!</definedName>
    <definedName name="_vena_DYNR_SMultiSiteS1_BMultiSiteB2_bd46bf47_8ac2fa12" localSheetId="8">'[1]FY26 MYP-Multisite'!#REF!</definedName>
    <definedName name="_vena_DYNR_SMultiSiteS1_BMultiSiteB2_bd46bf47_8ac2fa12" localSheetId="3">#REF!</definedName>
    <definedName name="_vena_DYNR_SMultiSiteS1_BMultiSiteB2_bd46bf47_8ac2fa12">#REF!</definedName>
    <definedName name="_vena_DYNR_SMultiSiteS1_BMultiSiteB2_bd46bf47_8be4d42f" localSheetId="4">#REF!</definedName>
    <definedName name="_vena_DYNR_SMultiSiteS1_BMultiSiteB2_bd46bf47_8be4d42f" localSheetId="5">#REF!</definedName>
    <definedName name="_vena_DYNR_SMultiSiteS1_BMultiSiteB2_bd46bf47_8be4d42f" localSheetId="8">'[1]FY26 MYP-Multisite'!#REF!</definedName>
    <definedName name="_vena_DYNR_SMultiSiteS1_BMultiSiteB2_bd46bf47_8be4d42f" localSheetId="3">#REF!</definedName>
    <definedName name="_vena_DYNR_SMultiSiteS1_BMultiSiteB2_bd46bf47_8be4d42f">#REF!</definedName>
    <definedName name="_vena_DYNR_SMultiSiteS1_BMultiSiteB2_bd46bf47_8e45422f" localSheetId="4">#REF!</definedName>
    <definedName name="_vena_DYNR_SMultiSiteS1_BMultiSiteB2_bd46bf47_8e45422f" localSheetId="5">#REF!</definedName>
    <definedName name="_vena_DYNR_SMultiSiteS1_BMultiSiteB2_bd46bf47_8e45422f" localSheetId="8">'[1]FY26 MYP-Multisite'!#REF!</definedName>
    <definedName name="_vena_DYNR_SMultiSiteS1_BMultiSiteB2_bd46bf47_8e45422f" localSheetId="3">#REF!</definedName>
    <definedName name="_vena_DYNR_SMultiSiteS1_BMultiSiteB2_bd46bf47_8e45422f">#REF!</definedName>
    <definedName name="_vena_DYNR_SMultiSiteS1_BMultiSiteB2_bd46bf47_8e6225ea" localSheetId="4">#REF!</definedName>
    <definedName name="_vena_DYNR_SMultiSiteS1_BMultiSiteB2_bd46bf47_8e6225ea" localSheetId="5">#REF!</definedName>
    <definedName name="_vena_DYNR_SMultiSiteS1_BMultiSiteB2_bd46bf47_8e6225ea" localSheetId="8">'[1]FY26 MYP-Multisite'!#REF!</definedName>
    <definedName name="_vena_DYNR_SMultiSiteS1_BMultiSiteB2_bd46bf47_8e6225ea" localSheetId="3">#REF!</definedName>
    <definedName name="_vena_DYNR_SMultiSiteS1_BMultiSiteB2_bd46bf47_8e6225ea">#REF!</definedName>
    <definedName name="_vena_DYNR_SMultiSiteS1_BMultiSiteB2_bd46bf47_9376779b" localSheetId="4">#REF!</definedName>
    <definedName name="_vena_DYNR_SMultiSiteS1_BMultiSiteB2_bd46bf47_9376779b" localSheetId="5">#REF!</definedName>
    <definedName name="_vena_DYNR_SMultiSiteS1_BMultiSiteB2_bd46bf47_9376779b" localSheetId="8">'[1]FY26 MYP-Multisite'!#REF!</definedName>
    <definedName name="_vena_DYNR_SMultiSiteS1_BMultiSiteB2_bd46bf47_9376779b" localSheetId="3">#REF!</definedName>
    <definedName name="_vena_DYNR_SMultiSiteS1_BMultiSiteB2_bd46bf47_9376779b">#REF!</definedName>
    <definedName name="_vena_DYNR_SMultiSiteS1_BMultiSiteB2_bd46bf47_9444f180" localSheetId="4">#REF!</definedName>
    <definedName name="_vena_DYNR_SMultiSiteS1_BMultiSiteB2_bd46bf47_9444f180" localSheetId="5">#REF!</definedName>
    <definedName name="_vena_DYNR_SMultiSiteS1_BMultiSiteB2_bd46bf47_9444f180" localSheetId="8">'[1]FY26 MYP-Multisite'!#REF!</definedName>
    <definedName name="_vena_DYNR_SMultiSiteS1_BMultiSiteB2_bd46bf47_9444f180" localSheetId="3">#REF!</definedName>
    <definedName name="_vena_DYNR_SMultiSiteS1_BMultiSiteB2_bd46bf47_9444f180">#REF!</definedName>
    <definedName name="_vena_DYNR_SMultiSiteS1_BMultiSiteB2_bd46bf47_95bd79f6" localSheetId="4">#REF!</definedName>
    <definedName name="_vena_DYNR_SMultiSiteS1_BMultiSiteB2_bd46bf47_95bd79f6" localSheetId="5">#REF!</definedName>
    <definedName name="_vena_DYNR_SMultiSiteS1_BMultiSiteB2_bd46bf47_95bd79f6" localSheetId="8">'[1]FY26 MYP-Multisite'!#REF!</definedName>
    <definedName name="_vena_DYNR_SMultiSiteS1_BMultiSiteB2_bd46bf47_95bd79f6" localSheetId="3">#REF!</definedName>
    <definedName name="_vena_DYNR_SMultiSiteS1_BMultiSiteB2_bd46bf47_95bd79f6">#REF!</definedName>
    <definedName name="_vena_DYNR_SMultiSiteS1_BMultiSiteB2_bd46bf47_97d0562d" localSheetId="4">#REF!</definedName>
    <definedName name="_vena_DYNR_SMultiSiteS1_BMultiSiteB2_bd46bf47_97d0562d" localSheetId="5">#REF!</definedName>
    <definedName name="_vena_DYNR_SMultiSiteS1_BMultiSiteB2_bd46bf47_97d0562d" localSheetId="8">'[1]FY26 MYP-Multisite'!#REF!</definedName>
    <definedName name="_vena_DYNR_SMultiSiteS1_BMultiSiteB2_bd46bf47_97d0562d" localSheetId="3">#REF!</definedName>
    <definedName name="_vena_DYNR_SMultiSiteS1_BMultiSiteB2_bd46bf47_97d0562d">#REF!</definedName>
    <definedName name="_vena_DYNR_SMultiSiteS1_BMultiSiteB2_bd46bf47_98d34a21" localSheetId="4">#REF!</definedName>
    <definedName name="_vena_DYNR_SMultiSiteS1_BMultiSiteB2_bd46bf47_98d34a21" localSheetId="5">#REF!</definedName>
    <definedName name="_vena_DYNR_SMultiSiteS1_BMultiSiteB2_bd46bf47_98d34a21" localSheetId="8">'[1]FY26 MYP-Multisite'!#REF!</definedName>
    <definedName name="_vena_DYNR_SMultiSiteS1_BMultiSiteB2_bd46bf47_98d34a21" localSheetId="3">#REF!</definedName>
    <definedName name="_vena_DYNR_SMultiSiteS1_BMultiSiteB2_bd46bf47_98d34a21">#REF!</definedName>
    <definedName name="_vena_DYNR_SMultiSiteS1_BMultiSiteB2_bd46bf47_99b852b2" localSheetId="4">#REF!</definedName>
    <definedName name="_vena_DYNR_SMultiSiteS1_BMultiSiteB2_bd46bf47_99b852b2" localSheetId="5">#REF!</definedName>
    <definedName name="_vena_DYNR_SMultiSiteS1_BMultiSiteB2_bd46bf47_99b852b2" localSheetId="8">'[1]FY26 MYP-Multisite'!#REF!</definedName>
    <definedName name="_vena_DYNR_SMultiSiteS1_BMultiSiteB2_bd46bf47_99b852b2" localSheetId="3">#REF!</definedName>
    <definedName name="_vena_DYNR_SMultiSiteS1_BMultiSiteB2_bd46bf47_99b852b2">#REF!</definedName>
    <definedName name="_vena_DYNR_SMultiSiteS1_BMultiSiteB2_bd46bf47_9c2484a1" localSheetId="4">#REF!</definedName>
    <definedName name="_vena_DYNR_SMultiSiteS1_BMultiSiteB2_bd46bf47_9c2484a1" localSheetId="5">#REF!</definedName>
    <definedName name="_vena_DYNR_SMultiSiteS1_BMultiSiteB2_bd46bf47_9c2484a1" localSheetId="8">'[1]FY26 MYP-Multisite'!#REF!</definedName>
    <definedName name="_vena_DYNR_SMultiSiteS1_BMultiSiteB2_bd46bf47_9c2484a1" localSheetId="3">#REF!</definedName>
    <definedName name="_vena_DYNR_SMultiSiteS1_BMultiSiteB2_bd46bf47_9c2484a1">#REF!</definedName>
    <definedName name="_vena_DYNR_SMultiSiteS1_BMultiSiteB2_bd46bf47_a709de05" localSheetId="4">#REF!</definedName>
    <definedName name="_vena_DYNR_SMultiSiteS1_BMultiSiteB2_bd46bf47_a709de05" localSheetId="5">#REF!</definedName>
    <definedName name="_vena_DYNR_SMultiSiteS1_BMultiSiteB2_bd46bf47_a709de05" localSheetId="8">'[1]FY26 MYP-Multisite'!#REF!</definedName>
    <definedName name="_vena_DYNR_SMultiSiteS1_BMultiSiteB2_bd46bf47_a709de05" localSheetId="3">#REF!</definedName>
    <definedName name="_vena_DYNR_SMultiSiteS1_BMultiSiteB2_bd46bf47_a709de05">#REF!</definedName>
    <definedName name="_vena_DYNR_SMultiSiteS1_BMultiSiteB2_bd46bf47_a7d4a469" localSheetId="4">#REF!</definedName>
    <definedName name="_vena_DYNR_SMultiSiteS1_BMultiSiteB2_bd46bf47_a7d4a469" localSheetId="5">#REF!</definedName>
    <definedName name="_vena_DYNR_SMultiSiteS1_BMultiSiteB2_bd46bf47_a7d4a469" localSheetId="8">'[1]FY26 MYP-Multisite'!#REF!</definedName>
    <definedName name="_vena_DYNR_SMultiSiteS1_BMultiSiteB2_bd46bf47_a7d4a469" localSheetId="3">#REF!</definedName>
    <definedName name="_vena_DYNR_SMultiSiteS1_BMultiSiteB2_bd46bf47_a7d4a469">#REF!</definedName>
    <definedName name="_vena_DYNR_SMultiSiteS1_BMultiSiteB2_bd46bf47_a9277bef" localSheetId="4">#REF!</definedName>
    <definedName name="_vena_DYNR_SMultiSiteS1_BMultiSiteB2_bd46bf47_a9277bef" localSheetId="5">#REF!</definedName>
    <definedName name="_vena_DYNR_SMultiSiteS1_BMultiSiteB2_bd46bf47_a9277bef" localSheetId="8">'[1]FY26 MYP-Multisite'!#REF!</definedName>
    <definedName name="_vena_DYNR_SMultiSiteS1_BMultiSiteB2_bd46bf47_a9277bef" localSheetId="3">#REF!</definedName>
    <definedName name="_vena_DYNR_SMultiSiteS1_BMultiSiteB2_bd46bf47_a9277bef">#REF!</definedName>
    <definedName name="_vena_DYNR_SMultiSiteS1_BMultiSiteB2_bd46bf47_ace88ebd" localSheetId="4">#REF!</definedName>
    <definedName name="_vena_DYNR_SMultiSiteS1_BMultiSiteB2_bd46bf47_ace88ebd" localSheetId="5">#REF!</definedName>
    <definedName name="_vena_DYNR_SMultiSiteS1_BMultiSiteB2_bd46bf47_ace88ebd" localSheetId="8">'[1]FY26 MYP-Multisite'!#REF!</definedName>
    <definedName name="_vena_DYNR_SMultiSiteS1_BMultiSiteB2_bd46bf47_ace88ebd" localSheetId="3">#REF!</definedName>
    <definedName name="_vena_DYNR_SMultiSiteS1_BMultiSiteB2_bd46bf47_ace88ebd">#REF!</definedName>
    <definedName name="_vena_DYNR_SMultiSiteS1_BMultiSiteB2_bd46bf47_adb30b72" localSheetId="4">#REF!</definedName>
    <definedName name="_vena_DYNR_SMultiSiteS1_BMultiSiteB2_bd46bf47_adb30b72" localSheetId="5">#REF!</definedName>
    <definedName name="_vena_DYNR_SMultiSiteS1_BMultiSiteB2_bd46bf47_adb30b72" localSheetId="8">'[1]FY26 MYP-Multisite'!#REF!</definedName>
    <definedName name="_vena_DYNR_SMultiSiteS1_BMultiSiteB2_bd46bf47_adb30b72" localSheetId="3">#REF!</definedName>
    <definedName name="_vena_DYNR_SMultiSiteS1_BMultiSiteB2_bd46bf47_adb30b72">#REF!</definedName>
    <definedName name="_vena_DYNR_SMultiSiteS1_BMultiSiteB2_bd46bf47_b0ada662" localSheetId="4">#REF!</definedName>
    <definedName name="_vena_DYNR_SMultiSiteS1_BMultiSiteB2_bd46bf47_b0ada662" localSheetId="5">#REF!</definedName>
    <definedName name="_vena_DYNR_SMultiSiteS1_BMultiSiteB2_bd46bf47_b0ada662" localSheetId="8">'[1]FY26 MYP-Multisite'!#REF!</definedName>
    <definedName name="_vena_DYNR_SMultiSiteS1_BMultiSiteB2_bd46bf47_b0ada662" localSheetId="3">#REF!</definedName>
    <definedName name="_vena_DYNR_SMultiSiteS1_BMultiSiteB2_bd46bf47_b0ada662">#REF!</definedName>
    <definedName name="_vena_DYNR_SMultiSiteS1_BMultiSiteB2_bd46bf47_b0cc1e31" localSheetId="4">#REF!</definedName>
    <definedName name="_vena_DYNR_SMultiSiteS1_BMultiSiteB2_bd46bf47_b0cc1e31" localSheetId="5">#REF!</definedName>
    <definedName name="_vena_DYNR_SMultiSiteS1_BMultiSiteB2_bd46bf47_b0cc1e31" localSheetId="8">'[1]FY26 MYP-Multisite'!#REF!</definedName>
    <definedName name="_vena_DYNR_SMultiSiteS1_BMultiSiteB2_bd46bf47_b0cc1e31" localSheetId="3">#REF!</definedName>
    <definedName name="_vena_DYNR_SMultiSiteS1_BMultiSiteB2_bd46bf47_b0cc1e31">#REF!</definedName>
    <definedName name="_vena_DYNR_SMultiSiteS1_BMultiSiteB2_bd46bf47_bf1098bf" localSheetId="4">#REF!</definedName>
    <definedName name="_vena_DYNR_SMultiSiteS1_BMultiSiteB2_bd46bf47_bf1098bf" localSheetId="5">#REF!</definedName>
    <definedName name="_vena_DYNR_SMultiSiteS1_BMultiSiteB2_bd46bf47_bf1098bf" localSheetId="8">'[1]FY26 MYP-Multisite'!#REF!</definedName>
    <definedName name="_vena_DYNR_SMultiSiteS1_BMultiSiteB2_bd46bf47_bf1098bf" localSheetId="3">#REF!</definedName>
    <definedName name="_vena_DYNR_SMultiSiteS1_BMultiSiteB2_bd46bf47_bf1098bf">#REF!</definedName>
    <definedName name="_vena_DYNR_SMultiSiteS1_BMultiSiteB2_bd46bf47_bf51d38b" localSheetId="4">#REF!</definedName>
    <definedName name="_vena_DYNR_SMultiSiteS1_BMultiSiteB2_bd46bf47_bf51d38b" localSheetId="5">#REF!</definedName>
    <definedName name="_vena_DYNR_SMultiSiteS1_BMultiSiteB2_bd46bf47_bf51d38b" localSheetId="8">'[1]FY26 MYP-Multisite'!#REF!</definedName>
    <definedName name="_vena_DYNR_SMultiSiteS1_BMultiSiteB2_bd46bf47_bf51d38b" localSheetId="3">#REF!</definedName>
    <definedName name="_vena_DYNR_SMultiSiteS1_BMultiSiteB2_bd46bf47_bf51d38b">#REF!</definedName>
    <definedName name="_vena_DYNR_SMultiSiteS1_BMultiSiteB2_bd46bf47_c03f481d" localSheetId="4">#REF!</definedName>
    <definedName name="_vena_DYNR_SMultiSiteS1_BMultiSiteB2_bd46bf47_c03f481d" localSheetId="5">#REF!</definedName>
    <definedName name="_vena_DYNR_SMultiSiteS1_BMultiSiteB2_bd46bf47_c03f481d" localSheetId="8">'[1]FY26 MYP-Multisite'!#REF!</definedName>
    <definedName name="_vena_DYNR_SMultiSiteS1_BMultiSiteB2_bd46bf47_c03f481d" localSheetId="3">#REF!</definedName>
    <definedName name="_vena_DYNR_SMultiSiteS1_BMultiSiteB2_bd46bf47_c03f481d">#REF!</definedName>
    <definedName name="_vena_DYNR_SMultiSiteS1_BMultiSiteB2_bd46bf47_c682417b" localSheetId="4">#REF!</definedName>
    <definedName name="_vena_DYNR_SMultiSiteS1_BMultiSiteB2_bd46bf47_c682417b" localSheetId="5">#REF!</definedName>
    <definedName name="_vena_DYNR_SMultiSiteS1_BMultiSiteB2_bd46bf47_c682417b" localSheetId="8">'[1]FY26 MYP-Multisite'!#REF!</definedName>
    <definedName name="_vena_DYNR_SMultiSiteS1_BMultiSiteB2_bd46bf47_c682417b" localSheetId="3">#REF!</definedName>
    <definedName name="_vena_DYNR_SMultiSiteS1_BMultiSiteB2_bd46bf47_c682417b">#REF!</definedName>
    <definedName name="_vena_DYNR_SMultiSiteS1_BMultiSiteB2_bd46bf47_c815e2ea" localSheetId="4">#REF!</definedName>
    <definedName name="_vena_DYNR_SMultiSiteS1_BMultiSiteB2_bd46bf47_c815e2ea" localSheetId="5">#REF!</definedName>
    <definedName name="_vena_DYNR_SMultiSiteS1_BMultiSiteB2_bd46bf47_c815e2ea" localSheetId="8">'[1]FY26 MYP-Multisite'!#REF!</definedName>
    <definedName name="_vena_DYNR_SMultiSiteS1_BMultiSiteB2_bd46bf47_c815e2ea" localSheetId="3">#REF!</definedName>
    <definedName name="_vena_DYNR_SMultiSiteS1_BMultiSiteB2_bd46bf47_c815e2ea">#REF!</definedName>
    <definedName name="_vena_DYNR_SMultiSiteS1_BMultiSiteB2_bd46bf47_c828c137" localSheetId="4">#REF!</definedName>
    <definedName name="_vena_DYNR_SMultiSiteS1_BMultiSiteB2_bd46bf47_c828c137" localSheetId="5">#REF!</definedName>
    <definedName name="_vena_DYNR_SMultiSiteS1_BMultiSiteB2_bd46bf47_c828c137" localSheetId="8">'[1]FY26 MYP-Multisite'!#REF!</definedName>
    <definedName name="_vena_DYNR_SMultiSiteS1_BMultiSiteB2_bd46bf47_c828c137" localSheetId="3">#REF!</definedName>
    <definedName name="_vena_DYNR_SMultiSiteS1_BMultiSiteB2_bd46bf47_c828c137">#REF!</definedName>
    <definedName name="_vena_DYNR_SMultiSiteS1_BMultiSiteB2_bd46bf47_cd730019" localSheetId="4">#REF!</definedName>
    <definedName name="_vena_DYNR_SMultiSiteS1_BMultiSiteB2_bd46bf47_cd730019" localSheetId="5">#REF!</definedName>
    <definedName name="_vena_DYNR_SMultiSiteS1_BMultiSiteB2_bd46bf47_cd730019" localSheetId="8">'[1]FY26 MYP-Multisite'!#REF!</definedName>
    <definedName name="_vena_DYNR_SMultiSiteS1_BMultiSiteB2_bd46bf47_cd730019" localSheetId="3">#REF!</definedName>
    <definedName name="_vena_DYNR_SMultiSiteS1_BMultiSiteB2_bd46bf47_cd730019">#REF!</definedName>
    <definedName name="_vena_DYNR_SMultiSiteS1_BMultiSiteB2_bd46bf47_ce7e0581" localSheetId="4">#REF!</definedName>
    <definedName name="_vena_DYNR_SMultiSiteS1_BMultiSiteB2_bd46bf47_ce7e0581" localSheetId="5">#REF!</definedName>
    <definedName name="_vena_DYNR_SMultiSiteS1_BMultiSiteB2_bd46bf47_ce7e0581" localSheetId="8">'[1]FY26 MYP-Multisite'!#REF!</definedName>
    <definedName name="_vena_DYNR_SMultiSiteS1_BMultiSiteB2_bd46bf47_ce7e0581" localSheetId="3">#REF!</definedName>
    <definedName name="_vena_DYNR_SMultiSiteS1_BMultiSiteB2_bd46bf47_ce7e0581">#REF!</definedName>
    <definedName name="_vena_DYNR_SMultiSiteS1_BMultiSiteB2_bd46bf47_cfa950c4" localSheetId="4">#REF!</definedName>
    <definedName name="_vena_DYNR_SMultiSiteS1_BMultiSiteB2_bd46bf47_cfa950c4" localSheetId="5">#REF!</definedName>
    <definedName name="_vena_DYNR_SMultiSiteS1_BMultiSiteB2_bd46bf47_cfa950c4" localSheetId="8">'[1]FY26 MYP-Multisite'!#REF!</definedName>
    <definedName name="_vena_DYNR_SMultiSiteS1_BMultiSiteB2_bd46bf47_cfa950c4" localSheetId="3">#REF!</definedName>
    <definedName name="_vena_DYNR_SMultiSiteS1_BMultiSiteB2_bd46bf47_cfa950c4">#REF!</definedName>
    <definedName name="_vena_DYNR_SMultiSiteS1_BMultiSiteB2_bd46bf47_d17362d5" localSheetId="4">#REF!</definedName>
    <definedName name="_vena_DYNR_SMultiSiteS1_BMultiSiteB2_bd46bf47_d17362d5" localSheetId="5">#REF!</definedName>
    <definedName name="_vena_DYNR_SMultiSiteS1_BMultiSiteB2_bd46bf47_d17362d5" localSheetId="8">'[1]FY26 MYP-Multisite'!#REF!</definedName>
    <definedName name="_vena_DYNR_SMultiSiteS1_BMultiSiteB2_bd46bf47_d17362d5" localSheetId="3">#REF!</definedName>
    <definedName name="_vena_DYNR_SMultiSiteS1_BMultiSiteB2_bd46bf47_d17362d5">#REF!</definedName>
    <definedName name="_vena_DYNR_SMultiSiteS1_BMultiSiteB2_bd46bf47_d5a01fdc" localSheetId="4">#REF!</definedName>
    <definedName name="_vena_DYNR_SMultiSiteS1_BMultiSiteB2_bd46bf47_d5a01fdc" localSheetId="5">#REF!</definedName>
    <definedName name="_vena_DYNR_SMultiSiteS1_BMultiSiteB2_bd46bf47_d5a01fdc" localSheetId="8">'[1]FY26 MYP-Multisite'!#REF!</definedName>
    <definedName name="_vena_DYNR_SMultiSiteS1_BMultiSiteB2_bd46bf47_d5a01fdc" localSheetId="3">#REF!</definedName>
    <definedName name="_vena_DYNR_SMultiSiteS1_BMultiSiteB2_bd46bf47_d5a01fdc">#REF!</definedName>
    <definedName name="_vena_DYNR_SMultiSiteS1_BMultiSiteB2_bd46bf47_da409a4c" localSheetId="4">#REF!</definedName>
    <definedName name="_vena_DYNR_SMultiSiteS1_BMultiSiteB2_bd46bf47_da409a4c" localSheetId="5">#REF!</definedName>
    <definedName name="_vena_DYNR_SMultiSiteS1_BMultiSiteB2_bd46bf47_da409a4c" localSheetId="8">'[1]FY26 MYP-Multisite'!#REF!</definedName>
    <definedName name="_vena_DYNR_SMultiSiteS1_BMultiSiteB2_bd46bf47_da409a4c" localSheetId="3">#REF!</definedName>
    <definedName name="_vena_DYNR_SMultiSiteS1_BMultiSiteB2_bd46bf47_da409a4c">#REF!</definedName>
    <definedName name="_vena_DYNR_SMultiSiteS1_BMultiSiteB2_bd46bf47_dcbc910c" localSheetId="4">#REF!</definedName>
    <definedName name="_vena_DYNR_SMultiSiteS1_BMultiSiteB2_bd46bf47_dcbc910c" localSheetId="5">#REF!</definedName>
    <definedName name="_vena_DYNR_SMultiSiteS1_BMultiSiteB2_bd46bf47_dcbc910c" localSheetId="8">'[1]FY26 MYP-Multisite'!#REF!</definedName>
    <definedName name="_vena_DYNR_SMultiSiteS1_BMultiSiteB2_bd46bf47_dcbc910c" localSheetId="3">#REF!</definedName>
    <definedName name="_vena_DYNR_SMultiSiteS1_BMultiSiteB2_bd46bf47_dcbc910c">#REF!</definedName>
    <definedName name="_vena_DYNR_SMultiSiteS1_BMultiSiteB2_bd46bf47_dd5d9d8b" localSheetId="4">#REF!</definedName>
    <definedName name="_vena_DYNR_SMultiSiteS1_BMultiSiteB2_bd46bf47_dd5d9d8b" localSheetId="5">#REF!</definedName>
    <definedName name="_vena_DYNR_SMultiSiteS1_BMultiSiteB2_bd46bf47_dd5d9d8b" localSheetId="8">'[1]FY26 MYP-Multisite'!#REF!</definedName>
    <definedName name="_vena_DYNR_SMultiSiteS1_BMultiSiteB2_bd46bf47_dd5d9d8b" localSheetId="3">#REF!</definedName>
    <definedName name="_vena_DYNR_SMultiSiteS1_BMultiSiteB2_bd46bf47_dd5d9d8b">#REF!</definedName>
    <definedName name="_vena_DYNR_SMultiSiteS1_BMultiSiteB2_bd46bf47_de7d3241" localSheetId="4">#REF!</definedName>
    <definedName name="_vena_DYNR_SMultiSiteS1_BMultiSiteB2_bd46bf47_de7d3241" localSheetId="5">#REF!</definedName>
    <definedName name="_vena_DYNR_SMultiSiteS1_BMultiSiteB2_bd46bf47_de7d3241" localSheetId="8">'[1]FY26 MYP-Multisite'!#REF!</definedName>
    <definedName name="_vena_DYNR_SMultiSiteS1_BMultiSiteB2_bd46bf47_de7d3241" localSheetId="3">#REF!</definedName>
    <definedName name="_vena_DYNR_SMultiSiteS1_BMultiSiteB2_bd46bf47_de7d3241">#REF!</definedName>
    <definedName name="_vena_DYNR_SMultiSiteS1_BMultiSiteB2_bd46bf47_e0ff183b" localSheetId="4">#REF!</definedName>
    <definedName name="_vena_DYNR_SMultiSiteS1_BMultiSiteB2_bd46bf47_e0ff183b" localSheetId="5">#REF!</definedName>
    <definedName name="_vena_DYNR_SMultiSiteS1_BMultiSiteB2_bd46bf47_e0ff183b" localSheetId="8">'[1]FY26 MYP-Multisite'!#REF!</definedName>
    <definedName name="_vena_DYNR_SMultiSiteS1_BMultiSiteB2_bd46bf47_e0ff183b" localSheetId="3">#REF!</definedName>
    <definedName name="_vena_DYNR_SMultiSiteS1_BMultiSiteB2_bd46bf47_e0ff183b">#REF!</definedName>
    <definedName name="_vena_DYNR_SMultiSiteS1_BMultiSiteB2_bd46bf47_e274f0f" localSheetId="4">#REF!</definedName>
    <definedName name="_vena_DYNR_SMultiSiteS1_BMultiSiteB2_bd46bf47_e274f0f" localSheetId="5">#REF!</definedName>
    <definedName name="_vena_DYNR_SMultiSiteS1_BMultiSiteB2_bd46bf47_e274f0f" localSheetId="8">'[1]FY26 MYP-Multisite'!#REF!</definedName>
    <definedName name="_vena_DYNR_SMultiSiteS1_BMultiSiteB2_bd46bf47_e274f0f" localSheetId="3">#REF!</definedName>
    <definedName name="_vena_DYNR_SMultiSiteS1_BMultiSiteB2_bd46bf47_e274f0f">#REF!</definedName>
    <definedName name="_vena_DYNR_SMultiSiteS1_BMultiSiteB2_bd46bf47_e5e18710" localSheetId="4">#REF!</definedName>
    <definedName name="_vena_DYNR_SMultiSiteS1_BMultiSiteB2_bd46bf47_e5e18710" localSheetId="5">#REF!</definedName>
    <definedName name="_vena_DYNR_SMultiSiteS1_BMultiSiteB2_bd46bf47_e5e18710" localSheetId="8">'[1]FY26 MYP-Multisite'!#REF!</definedName>
    <definedName name="_vena_DYNR_SMultiSiteS1_BMultiSiteB2_bd46bf47_e5e18710" localSheetId="3">#REF!</definedName>
    <definedName name="_vena_DYNR_SMultiSiteS1_BMultiSiteB2_bd46bf47_e5e18710">#REF!</definedName>
    <definedName name="_vena_DYNR_SMultiSiteS1_BMultiSiteB2_bd46bf47_e7564de6" localSheetId="4">#REF!</definedName>
    <definedName name="_vena_DYNR_SMultiSiteS1_BMultiSiteB2_bd46bf47_e7564de6" localSheetId="5">#REF!</definedName>
    <definedName name="_vena_DYNR_SMultiSiteS1_BMultiSiteB2_bd46bf47_e7564de6" localSheetId="8">'[1]FY26 MYP-Multisite'!#REF!</definedName>
    <definedName name="_vena_DYNR_SMultiSiteS1_BMultiSiteB2_bd46bf47_e7564de6" localSheetId="3">#REF!</definedName>
    <definedName name="_vena_DYNR_SMultiSiteS1_BMultiSiteB2_bd46bf47_e7564de6">#REF!</definedName>
    <definedName name="_vena_DYNR_SMultiSiteS1_BMultiSiteB2_bd46bf47_ea56a8a8" localSheetId="4">#REF!</definedName>
    <definedName name="_vena_DYNR_SMultiSiteS1_BMultiSiteB2_bd46bf47_ea56a8a8" localSheetId="5">#REF!</definedName>
    <definedName name="_vena_DYNR_SMultiSiteS1_BMultiSiteB2_bd46bf47_ea56a8a8" localSheetId="8">'[1]FY26 MYP-Multisite'!#REF!</definedName>
    <definedName name="_vena_DYNR_SMultiSiteS1_BMultiSiteB2_bd46bf47_ea56a8a8" localSheetId="3">#REF!</definedName>
    <definedName name="_vena_DYNR_SMultiSiteS1_BMultiSiteB2_bd46bf47_ea56a8a8">#REF!</definedName>
    <definedName name="_vena_DYNR_SMultiSiteS1_BMultiSiteB2_bd46bf47_f1ba2475" localSheetId="4">#REF!</definedName>
    <definedName name="_vena_DYNR_SMultiSiteS1_BMultiSiteB2_bd46bf47_f1ba2475" localSheetId="5">#REF!</definedName>
    <definedName name="_vena_DYNR_SMultiSiteS1_BMultiSiteB2_bd46bf47_f1ba2475" localSheetId="8">'[1]FY26 MYP-Multisite'!#REF!</definedName>
    <definedName name="_vena_DYNR_SMultiSiteS1_BMultiSiteB2_bd46bf47_f1ba2475" localSheetId="3">#REF!</definedName>
    <definedName name="_vena_DYNR_SMultiSiteS1_BMultiSiteB2_bd46bf47_f1ba2475">#REF!</definedName>
    <definedName name="_vena_DYNR_SMultiSiteS1_BMultiSiteB2_bd46bf47_f2375c68" localSheetId="4">#REF!</definedName>
    <definedName name="_vena_DYNR_SMultiSiteS1_BMultiSiteB2_bd46bf47_f2375c68" localSheetId="5">#REF!</definedName>
    <definedName name="_vena_DYNR_SMultiSiteS1_BMultiSiteB2_bd46bf47_f2375c68" localSheetId="8">'[1]FY26 MYP-Multisite'!#REF!</definedName>
    <definedName name="_vena_DYNR_SMultiSiteS1_BMultiSiteB2_bd46bf47_f2375c68" localSheetId="3">#REF!</definedName>
    <definedName name="_vena_DYNR_SMultiSiteS1_BMultiSiteB2_bd46bf47_f2375c68">#REF!</definedName>
    <definedName name="_vena_DYNR_SMultiSiteS1_BMultiSiteB2_bd46bf47_f38fe9f4" localSheetId="4">#REF!</definedName>
    <definedName name="_vena_DYNR_SMultiSiteS1_BMultiSiteB2_bd46bf47_f38fe9f4" localSheetId="5">#REF!</definedName>
    <definedName name="_vena_DYNR_SMultiSiteS1_BMultiSiteB2_bd46bf47_f38fe9f4" localSheetId="8">'[1]FY26 MYP-Multisite'!#REF!</definedName>
    <definedName name="_vena_DYNR_SMultiSiteS1_BMultiSiteB2_bd46bf47_f38fe9f4" localSheetId="3">#REF!</definedName>
    <definedName name="_vena_DYNR_SMultiSiteS1_BMultiSiteB2_bd46bf47_f38fe9f4">#REF!</definedName>
    <definedName name="_vena_DYNR_SMultiSiteS1_BMultiSiteB2_bd46bf47_f8567d3d" localSheetId="4">#REF!</definedName>
    <definedName name="_vena_DYNR_SMultiSiteS1_BMultiSiteB2_bd46bf47_f8567d3d" localSheetId="5">#REF!</definedName>
    <definedName name="_vena_DYNR_SMultiSiteS1_BMultiSiteB2_bd46bf47_f8567d3d" localSheetId="8">'[1]FY26 MYP-Multisite'!#REF!</definedName>
    <definedName name="_vena_DYNR_SMultiSiteS1_BMultiSiteB2_bd46bf47_f8567d3d" localSheetId="3">#REF!</definedName>
    <definedName name="_vena_DYNR_SMultiSiteS1_BMultiSiteB2_bd46bf47_f8567d3d">#REF!</definedName>
    <definedName name="_vena_DYNR_SMultiSiteS1_BMultiSiteB2_bd46bf47_f950fd76" localSheetId="4">#REF!</definedName>
    <definedName name="_vena_DYNR_SMultiSiteS1_BMultiSiteB2_bd46bf47_f950fd76" localSheetId="5">#REF!</definedName>
    <definedName name="_vena_DYNR_SMultiSiteS1_BMultiSiteB2_bd46bf47_f950fd76" localSheetId="8">'[1]FY26 MYP-Multisite'!#REF!</definedName>
    <definedName name="_vena_DYNR_SMultiSiteS1_BMultiSiteB2_bd46bf47_f950fd76" localSheetId="3">#REF!</definedName>
    <definedName name="_vena_DYNR_SMultiSiteS1_BMultiSiteB2_bd46bf47_f950fd76">#REF!</definedName>
    <definedName name="_vena_DYNR_SMultiSiteS1_BMultiSiteB2_bd46bf47_f9768d80" localSheetId="4">#REF!</definedName>
    <definedName name="_vena_DYNR_SMultiSiteS1_BMultiSiteB2_bd46bf47_f9768d80" localSheetId="5">#REF!</definedName>
    <definedName name="_vena_DYNR_SMultiSiteS1_BMultiSiteB2_bd46bf47_f9768d80" localSheetId="8">'[1]FY26 MYP-Multisite'!#REF!</definedName>
    <definedName name="_vena_DYNR_SMultiSiteS1_BMultiSiteB2_bd46bf47_f9768d80" localSheetId="3">#REF!</definedName>
    <definedName name="_vena_DYNR_SMultiSiteS1_BMultiSiteB2_bd46bf47_f9768d80">#REF!</definedName>
    <definedName name="_vena_DYNR_SMultiSiteS1_BMultiSiteB2_bd46bf47_fda55a39" localSheetId="4">#REF!</definedName>
    <definedName name="_vena_DYNR_SMultiSiteS1_BMultiSiteB2_bd46bf47_fda55a39" localSheetId="5">#REF!</definedName>
    <definedName name="_vena_DYNR_SMultiSiteS1_BMultiSiteB2_bd46bf47_fda55a39" localSheetId="8">'[1]FY26 MYP-Multisite'!#REF!</definedName>
    <definedName name="_vena_DYNR_SMultiSiteS1_BMultiSiteB2_bd46bf47_fda55a39" localSheetId="3">#REF!</definedName>
    <definedName name="_vena_DYNR_SMultiSiteS1_BMultiSiteB2_bd46bf47_fda55a39">#REF!</definedName>
    <definedName name="_vena_DYNR_SMultiSiteS1_BMultiSiteB2_c0d12580">#REF!</definedName>
    <definedName name="_vena_DYNR_SMultiSiteS1_BMultiSiteB2_c0d12580_182388a7">#REF!</definedName>
    <definedName name="_vena_DYNR_SMultiSiteS1_BMultiSiteB2_c0d12580_22c14f21">#REF!</definedName>
    <definedName name="_vena_DYNR_SMultiSiteS1_BMultiSiteB2_c0d12580_237aec">#REF!</definedName>
    <definedName name="_vena_DYNR_SMultiSiteS1_BMultiSiteB2_c0d12580_2d6af892">#REF!</definedName>
    <definedName name="_vena_DYNR_SMultiSiteS1_BMultiSiteB2_c0d12580_2e03e385">#REF!</definedName>
    <definedName name="_vena_DYNR_SMultiSiteS1_BMultiSiteB2_c0d12580_3586513b">#REF!</definedName>
    <definedName name="_vena_DYNR_SMultiSiteS1_BMultiSiteB2_c0d12580_392749a4">#REF!</definedName>
    <definedName name="_vena_DYNR_SMultiSiteS1_BMultiSiteB2_c0d12580_4086f39d">#REF!</definedName>
    <definedName name="_vena_DYNR_SMultiSiteS1_BMultiSiteB2_c0d12580_4643b3cc">#REF!</definedName>
    <definedName name="_vena_DYNR_SMultiSiteS1_BMultiSiteB2_c0d12580_4852fa59">#REF!</definedName>
    <definedName name="_vena_DYNR_SMultiSiteS1_BMultiSiteB2_c0d12580_5572a946">#REF!</definedName>
    <definedName name="_vena_DYNR_SMultiSiteS1_BMultiSiteB2_c0d12580_5e28521">#REF!</definedName>
    <definedName name="_vena_DYNR_SMultiSiteS1_BMultiSiteB2_c0d12580_5f4d1c4">#REF!</definedName>
    <definedName name="_vena_DYNR_SMultiSiteS1_BMultiSiteB2_c0d12580_65a06a33">#REF!</definedName>
    <definedName name="_vena_DYNR_SMultiSiteS1_BMultiSiteB2_c0d12580_7600f2ac">#REF!</definedName>
    <definedName name="_vena_DYNR_SMultiSiteS1_BMultiSiteB2_c0d12580_7f074eda">#REF!</definedName>
    <definedName name="_vena_DYNR_SMultiSiteS1_BMultiSiteB2_c0d12580_81eb594b">#REF!</definedName>
    <definedName name="_vena_DYNR_SMultiSiteS1_BMultiSiteB2_c0d12580_85597ffe">#REF!</definedName>
    <definedName name="_vena_DYNR_SMultiSiteS1_BMultiSiteB2_c0d12580_86c8ff80">#REF!</definedName>
    <definedName name="_vena_DYNR_SMultiSiteS1_BMultiSiteB2_c0d12580_9a6f1e5e">#REF!</definedName>
    <definedName name="_vena_DYNR_SMultiSiteS1_BMultiSiteB2_c0d12580_aa5231a0">#REF!</definedName>
    <definedName name="_vena_DYNR_SMultiSiteS1_BMultiSiteB2_c0d12580_acedc18d">#REF!</definedName>
    <definedName name="_vena_DYNR_SMultiSiteS1_BMultiSiteB2_c0d12580_b13a6b50">#REF!</definedName>
    <definedName name="_vena_DYNR_SMultiSiteS1_BMultiSiteB2_c0d12580_b8295326">#REF!</definedName>
    <definedName name="_vena_DYNR_SMultiSiteS1_BMultiSiteB2_c0d12580_baa33d17">#REF!</definedName>
    <definedName name="_vena_DYNR_SMultiSiteS1_BMultiSiteB2_c0d12580_baf93ea1">#REF!</definedName>
    <definedName name="_vena_DYNR_SMultiSiteS1_BMultiSiteB2_c0d12580_cdccebaf">#REF!</definedName>
    <definedName name="_vena_DYNR_SMultiSiteS1_BMultiSiteB2_c0d12580_ce02d44e">#REF!</definedName>
    <definedName name="_vena_DYNR_SMultiSiteS1_BMultiSiteB2_c0d12580_d700b8a0">#REF!</definedName>
    <definedName name="_vena_DYNR_SMultiSiteS1_BMultiSiteB2_c0d12580_d80b975b">#REF!</definedName>
    <definedName name="_vena_DYNR_SMultiSiteS1_BMultiSiteB2_c0d12580_e877af0d">#REF!</definedName>
    <definedName name="_vena_DYNR_SMultiSiteS1_BMultiSiteB2_c0d12580_ed326a9c">#REF!</definedName>
    <definedName name="_vena_DYNR_SMultiSiteS1_BMultiSiteB2_c0d12580_f1af3d6a">#REF!</definedName>
    <definedName name="_vena_DYNR_SMultiSiteS1_BMultiSiteB2_c0d12580_f27e6912">#REF!</definedName>
    <definedName name="_vena_DYNR_SMultiSiteS1_BMultiSiteB2_c0d12580_f4ea7554">#REF!</definedName>
    <definedName name="_vena_DYNR_SMultiSiteS1_BMultiSiteB2_c0d12580_fef67486">#REF!</definedName>
    <definedName name="_vena_DYNR_SMultiSiteS1_BMultiSiteB2_c14d037">#REF!</definedName>
    <definedName name="_vena_DYNR_SMultiSiteS1_BMultiSiteB2_c14d037_1a5a195e">#REF!</definedName>
    <definedName name="_vena_DYNR_SMultiSiteS1_BMultiSiteB2_c14d037_1bfdcb75">#REF!</definedName>
    <definedName name="_vena_DYNR_SMultiSiteS1_BMultiSiteB2_c14d037_28afe8d3">#REF!</definedName>
    <definedName name="_vena_DYNR_SMultiSiteS1_BMultiSiteB2_c14d037_3c3a5f">#REF!</definedName>
    <definedName name="_vena_DYNR_SMultiSiteS1_BMultiSiteB2_c14d037_3e8b9a1b">#REF!</definedName>
    <definedName name="_vena_DYNR_SMultiSiteS1_BMultiSiteB2_c14d037_4b7d0159">#REF!</definedName>
    <definedName name="_vena_DYNR_SMultiSiteS1_BMultiSiteB2_c14d037_519176e2">#REF!</definedName>
    <definedName name="_vena_DYNR_SMultiSiteS1_BMultiSiteB2_c14d037_6767b311">#REF!</definedName>
    <definedName name="_vena_DYNR_SMultiSiteS1_BMultiSiteB2_c14d037_753db46">#REF!</definedName>
    <definedName name="_vena_DYNR_SMultiSiteS1_BMultiSiteB2_c14d037_7d872dca">#REF!</definedName>
    <definedName name="_vena_DYNR_SMultiSiteS1_BMultiSiteB2_c14d037_80ab16b2">#REF!</definedName>
    <definedName name="_vena_DYNR_SMultiSiteS1_BMultiSiteB2_c14d037_839218c5">#REF!</definedName>
    <definedName name="_vena_DYNR_SMultiSiteS1_BMultiSiteB2_c14d037_8bcd7d47">#REF!</definedName>
    <definedName name="_vena_DYNR_SMultiSiteS1_BMultiSiteB2_c14d037_a3fbcbb3">#REF!</definedName>
    <definedName name="_vena_DYNR_SMultiSiteS1_BMultiSiteB2_c14d037_a9c073e7">#REF!</definedName>
    <definedName name="_vena_DYNR_SMultiSiteS1_BMultiSiteB2_c14d037_ae98b8ce">#REF!</definedName>
    <definedName name="_vena_DYNR_SMultiSiteS1_BMultiSiteB2_c14d037_b220bb07">#REF!</definedName>
    <definedName name="_vena_DYNR_SMultiSiteS1_BMultiSiteB2_c14d037_c3da38e7">#REF!</definedName>
    <definedName name="_vena_DYNR_SMultiSiteS1_BMultiSiteB2_c14d037_c56a438f">#REF!</definedName>
    <definedName name="_vena_DYNR_SMultiSiteS1_BMultiSiteB2_c14d037_d4cee707">#REF!</definedName>
    <definedName name="_vena_DYNR_SMultiSiteS1_BMultiSiteB2_c14d037_e25c7995">#REF!</definedName>
    <definedName name="_vena_DYNR_SMultiSiteS1_BMultiSiteB2_c14d037_e435be93">#REF!</definedName>
    <definedName name="_vena_DYNR_SMultiSiteS1_BMultiSiteB2_c14d037_e54e89b4">#REF!</definedName>
    <definedName name="_vena_DYNR_SMultiSiteS1_BMultiSiteB2_c14d037_f4e53e1c">#REF!</definedName>
    <definedName name="_vena_DYNR_SMultiSiteS1_BMultiSiteB2_c14d037_fc57e4ad">#REF!</definedName>
    <definedName name="_vena_DYNR_SMultiSiteS1_BMultiSiteB2_c876866b" localSheetId="4">#REF!</definedName>
    <definedName name="_vena_DYNR_SMultiSiteS1_BMultiSiteB2_c876866b" localSheetId="5">#REF!</definedName>
    <definedName name="_vena_DYNR_SMultiSiteS1_BMultiSiteB2_c876866b" localSheetId="8">'[1]FY26 MYP-Multisite'!#REF!</definedName>
    <definedName name="_vena_DYNR_SMultiSiteS1_BMultiSiteB2_c876866b" localSheetId="3">#REF!</definedName>
    <definedName name="_vena_DYNR_SMultiSiteS1_BMultiSiteB2_c876866b">#REF!</definedName>
    <definedName name="_vena_DYNR_SMultiSiteS1_BMultiSiteB2_c876866b_103fc871" localSheetId="4">#REF!</definedName>
    <definedName name="_vena_DYNR_SMultiSiteS1_BMultiSiteB2_c876866b_103fc871" localSheetId="5">#REF!</definedName>
    <definedName name="_vena_DYNR_SMultiSiteS1_BMultiSiteB2_c876866b_103fc871" localSheetId="8">'[1]FY26 MYP-Multisite'!#REF!</definedName>
    <definedName name="_vena_DYNR_SMultiSiteS1_BMultiSiteB2_c876866b_103fc871" localSheetId="3">#REF!</definedName>
    <definedName name="_vena_DYNR_SMultiSiteS1_BMultiSiteB2_c876866b_103fc871">#REF!</definedName>
    <definedName name="_vena_DYNR_SMultiSiteS1_BMultiSiteB2_c876866b_1bf24da0" localSheetId="4">#REF!</definedName>
    <definedName name="_vena_DYNR_SMultiSiteS1_BMultiSiteB2_c876866b_1bf24da0" localSheetId="5">#REF!</definedName>
    <definedName name="_vena_DYNR_SMultiSiteS1_BMultiSiteB2_c876866b_1bf24da0" localSheetId="8">'[1]FY26 MYP-Multisite'!#REF!</definedName>
    <definedName name="_vena_DYNR_SMultiSiteS1_BMultiSiteB2_c876866b_1bf24da0" localSheetId="3">#REF!</definedName>
    <definedName name="_vena_DYNR_SMultiSiteS1_BMultiSiteB2_c876866b_1bf24da0">#REF!</definedName>
    <definedName name="_vena_DYNR_SMultiSiteS1_BMultiSiteB2_c876866b_39c63ded" localSheetId="4">#REF!</definedName>
    <definedName name="_vena_DYNR_SMultiSiteS1_BMultiSiteB2_c876866b_39c63ded" localSheetId="5">#REF!</definedName>
    <definedName name="_vena_DYNR_SMultiSiteS1_BMultiSiteB2_c876866b_39c63ded" localSheetId="8">'[1]FY26 MYP-Multisite'!#REF!</definedName>
    <definedName name="_vena_DYNR_SMultiSiteS1_BMultiSiteB2_c876866b_39c63ded" localSheetId="3">#REF!</definedName>
    <definedName name="_vena_DYNR_SMultiSiteS1_BMultiSiteB2_c876866b_39c63ded">#REF!</definedName>
    <definedName name="_vena_DYNR_SMultiSiteS1_BMultiSiteB2_c876866b_3c73ef34" localSheetId="4">#REF!</definedName>
    <definedName name="_vena_DYNR_SMultiSiteS1_BMultiSiteB2_c876866b_3c73ef34" localSheetId="5">#REF!</definedName>
    <definedName name="_vena_DYNR_SMultiSiteS1_BMultiSiteB2_c876866b_3c73ef34" localSheetId="8">'[1]FY26 MYP-Multisite'!#REF!</definedName>
    <definedName name="_vena_DYNR_SMultiSiteS1_BMultiSiteB2_c876866b_3c73ef34" localSheetId="3">#REF!</definedName>
    <definedName name="_vena_DYNR_SMultiSiteS1_BMultiSiteB2_c876866b_3c73ef34">#REF!</definedName>
    <definedName name="_vena_DYNR_SMultiSiteS1_BMultiSiteB2_c876866b_4aeecc3f" localSheetId="4">#REF!</definedName>
    <definedName name="_vena_DYNR_SMultiSiteS1_BMultiSiteB2_c876866b_4aeecc3f" localSheetId="5">#REF!</definedName>
    <definedName name="_vena_DYNR_SMultiSiteS1_BMultiSiteB2_c876866b_4aeecc3f" localSheetId="8">'[1]FY26 MYP-Multisite'!#REF!</definedName>
    <definedName name="_vena_DYNR_SMultiSiteS1_BMultiSiteB2_c876866b_4aeecc3f" localSheetId="3">#REF!</definedName>
    <definedName name="_vena_DYNR_SMultiSiteS1_BMultiSiteB2_c876866b_4aeecc3f">#REF!</definedName>
    <definedName name="_vena_DYNR_SMultiSiteS1_BMultiSiteB2_c876866b_4edc434f" localSheetId="4">#REF!</definedName>
    <definedName name="_vena_DYNR_SMultiSiteS1_BMultiSiteB2_c876866b_4edc434f" localSheetId="5">#REF!</definedName>
    <definedName name="_vena_DYNR_SMultiSiteS1_BMultiSiteB2_c876866b_4edc434f" localSheetId="8">'[1]FY26 MYP-Multisite'!#REF!</definedName>
    <definedName name="_vena_DYNR_SMultiSiteS1_BMultiSiteB2_c876866b_4edc434f" localSheetId="3">#REF!</definedName>
    <definedName name="_vena_DYNR_SMultiSiteS1_BMultiSiteB2_c876866b_4edc434f">#REF!</definedName>
    <definedName name="_vena_DYNR_SMultiSiteS1_BMultiSiteB2_c876866b_771c4288" localSheetId="4">#REF!</definedName>
    <definedName name="_vena_DYNR_SMultiSiteS1_BMultiSiteB2_c876866b_771c4288" localSheetId="5">#REF!</definedName>
    <definedName name="_vena_DYNR_SMultiSiteS1_BMultiSiteB2_c876866b_771c4288" localSheetId="8">'[1]FY26 MYP-Multisite'!#REF!</definedName>
    <definedName name="_vena_DYNR_SMultiSiteS1_BMultiSiteB2_c876866b_771c4288" localSheetId="3">#REF!</definedName>
    <definedName name="_vena_DYNR_SMultiSiteS1_BMultiSiteB2_c876866b_771c4288">#REF!</definedName>
    <definedName name="_vena_DYNR_SMultiSiteS1_BMultiSiteB2_c876866b_88a8fd20" localSheetId="4">#REF!</definedName>
    <definedName name="_vena_DYNR_SMultiSiteS1_BMultiSiteB2_c876866b_88a8fd20" localSheetId="5">#REF!</definedName>
    <definedName name="_vena_DYNR_SMultiSiteS1_BMultiSiteB2_c876866b_88a8fd20" localSheetId="8">'[1]FY26 MYP-Multisite'!#REF!</definedName>
    <definedName name="_vena_DYNR_SMultiSiteS1_BMultiSiteB2_c876866b_88a8fd20" localSheetId="3">#REF!</definedName>
    <definedName name="_vena_DYNR_SMultiSiteS1_BMultiSiteB2_c876866b_88a8fd20">#REF!</definedName>
    <definedName name="_vena_DYNR_SMultiSiteS1_BMultiSiteB2_c876866b_d46de62e" localSheetId="4">#REF!</definedName>
    <definedName name="_vena_DYNR_SMultiSiteS1_BMultiSiteB2_c876866b_d46de62e" localSheetId="5">#REF!</definedName>
    <definedName name="_vena_DYNR_SMultiSiteS1_BMultiSiteB2_c876866b_d46de62e" localSheetId="8">'[1]FY26 MYP-Multisite'!#REF!</definedName>
    <definedName name="_vena_DYNR_SMultiSiteS1_BMultiSiteB2_c876866b_d46de62e" localSheetId="3">#REF!</definedName>
    <definedName name="_vena_DYNR_SMultiSiteS1_BMultiSiteB2_c876866b_d46de62e">#REF!</definedName>
    <definedName name="_vena_DYNR_SMultiSiteS1_BMultiSiteB2_c876866b_da5f1554" localSheetId="4">#REF!</definedName>
    <definedName name="_vena_DYNR_SMultiSiteS1_BMultiSiteB2_c876866b_da5f1554" localSheetId="5">#REF!</definedName>
    <definedName name="_vena_DYNR_SMultiSiteS1_BMultiSiteB2_c876866b_da5f1554" localSheetId="8">'[1]FY26 MYP-Multisite'!#REF!</definedName>
    <definedName name="_vena_DYNR_SMultiSiteS1_BMultiSiteB2_c876866b_da5f1554" localSheetId="3">#REF!</definedName>
    <definedName name="_vena_DYNR_SMultiSiteS1_BMultiSiteB2_c876866b_da5f1554">#REF!</definedName>
    <definedName name="_vena_DYNR_SMultiSiteS1_BMultiSiteB2_c876866b_e4287d1b" localSheetId="4">#REF!</definedName>
    <definedName name="_vena_DYNR_SMultiSiteS1_BMultiSiteB2_c876866b_e4287d1b" localSheetId="5">#REF!</definedName>
    <definedName name="_vena_DYNR_SMultiSiteS1_BMultiSiteB2_c876866b_e4287d1b" localSheetId="8">'[1]FY26 MYP-Multisite'!#REF!</definedName>
    <definedName name="_vena_DYNR_SMultiSiteS1_BMultiSiteB2_c876866b_e4287d1b" localSheetId="3">#REF!</definedName>
    <definedName name="_vena_DYNR_SMultiSiteS1_BMultiSiteB2_c876866b_e4287d1b">#REF!</definedName>
    <definedName name="_vena_DYNR_SMultiSiteS1_BMultiSiteB2_c876866b_f745316b" localSheetId="4">#REF!</definedName>
    <definedName name="_vena_DYNR_SMultiSiteS1_BMultiSiteB2_c876866b_f745316b" localSheetId="5">#REF!</definedName>
    <definedName name="_vena_DYNR_SMultiSiteS1_BMultiSiteB2_c876866b_f745316b" localSheetId="8">'[1]FY26 MYP-Multisite'!#REF!</definedName>
    <definedName name="_vena_DYNR_SMultiSiteS1_BMultiSiteB2_c876866b_f745316b" localSheetId="3">#REF!</definedName>
    <definedName name="_vena_DYNR_SMultiSiteS1_BMultiSiteB2_c876866b_f745316b">#REF!</definedName>
    <definedName name="_vena_DYNR_SMultiSiteS1_BMultiSiteB2_c876866b_fc38345b" localSheetId="4">#REF!</definedName>
    <definedName name="_vena_DYNR_SMultiSiteS1_BMultiSiteB2_c876866b_fc38345b" localSheetId="5">#REF!</definedName>
    <definedName name="_vena_DYNR_SMultiSiteS1_BMultiSiteB2_c876866b_fc38345b" localSheetId="8">'[1]FY26 MYP-Multisite'!#REF!</definedName>
    <definedName name="_vena_DYNR_SMultiSiteS1_BMultiSiteB2_c876866b_fc38345b" localSheetId="3">#REF!</definedName>
    <definedName name="_vena_DYNR_SMultiSiteS1_BMultiSiteB2_c876866b_fc38345b">#REF!</definedName>
    <definedName name="_vena_DYNR_SMultiSiteS1_BMultiSiteB2_d521ab6e">#REF!</definedName>
    <definedName name="_vena_DYNR_SMultiSiteS1_BMultiSiteB2_d521ab6e_10db9f4">#REF!</definedName>
    <definedName name="_vena_DYNR_SMultiSiteS1_BMultiSiteB2_d521ab6e_212eb492">#REF!</definedName>
    <definedName name="_vena_DYNR_SMultiSiteS1_BMultiSiteB2_d521ab6e_47c0bdc3">#REF!</definedName>
    <definedName name="_vena_DYNR_SMultiSiteS1_BMultiSiteB2_d521ab6e_4b0e3ca7">#REF!</definedName>
    <definedName name="_vena_DYNR_SMultiSiteS1_BMultiSiteB2_d521ab6e_5633c653">#REF!</definedName>
    <definedName name="_vena_DYNR_SMultiSiteS1_BMultiSiteB2_d521ab6e_5f53c4b0">#REF!</definedName>
    <definedName name="_vena_DYNR_SMultiSiteS1_BMultiSiteB2_d521ab6e_6341a940">#REF!</definedName>
    <definedName name="_vena_DYNR_SMultiSiteS1_BMultiSiteB2_d521ab6e_6766b5e5">#REF!</definedName>
    <definedName name="_vena_DYNR_SMultiSiteS1_BMultiSiteB2_d521ab6e_97faa2aa">#REF!</definedName>
    <definedName name="_vena_DYNR_SMultiSiteS1_BMultiSiteB2_d521ab6e_ac792c57">#REF!</definedName>
    <definedName name="_vena_DYNR_SMultiSiteS1_BMultiSiteB2_d521ab6e_b6efb3fc">#REF!</definedName>
    <definedName name="_vena_DYNR_SMultiSiteS1_BMultiSiteB2_d521ab6e_c6628c6a">#REF!</definedName>
    <definedName name="_vena_DYNR_SMultiSiteS1_BMultiSiteB2_d521ab6e_d262a1ba">#REF!</definedName>
    <definedName name="_vena_DYNR_SMultiSiteS1_BMultiSiteB2_d521ab6e_d43dea4e">#REF!</definedName>
    <definedName name="_vena_DYNR_SMultiSiteS1_BMultiSiteB2_d521ab6e_f2d5bcf2">#REF!</definedName>
    <definedName name="_vena_DYNR_SMultiSiteS1_BMultiSiteB2_d521ab6e_fdd156f6">#REF!</definedName>
    <definedName name="_vena_DYNR_SMultiSiteS1_BMultiSiteB2_dc53a484">#REF!</definedName>
    <definedName name="_vena_DYNR_SMultiSiteS1_BMultiSiteB2_dc53a484_17205e79">#REF!</definedName>
    <definedName name="_vena_DYNR_SMultiSiteS1_BMultiSiteB2_dc53a484_17285393">#REF!</definedName>
    <definedName name="_vena_DYNR_SMultiSiteS1_BMultiSiteB2_dc53a484_1d21d728">#REF!</definedName>
    <definedName name="_vena_DYNR_SMultiSiteS1_BMultiSiteB2_dc53a484_240bc76">#REF!</definedName>
    <definedName name="_vena_DYNR_SMultiSiteS1_BMultiSiteB2_dc53a484_2823a70c">#REF!</definedName>
    <definedName name="_vena_DYNR_SMultiSiteS1_BMultiSiteB2_dc53a484_28ddb020">#REF!</definedName>
    <definedName name="_vena_DYNR_SMultiSiteS1_BMultiSiteB2_dc53a484_29df90c9">#REF!</definedName>
    <definedName name="_vena_DYNR_SMultiSiteS1_BMultiSiteB2_dc53a484_473783c3">#REF!</definedName>
    <definedName name="_vena_DYNR_SMultiSiteS1_BMultiSiteB2_dc53a484_54bd3cc7">#REF!</definedName>
    <definedName name="_vena_DYNR_SMultiSiteS1_BMultiSiteB2_dc53a484_6c3b04de">#REF!</definedName>
    <definedName name="_vena_DYNR_SMultiSiteS1_BMultiSiteB2_dc53a484_6ec705f1">#REF!</definedName>
    <definedName name="_vena_DYNR_SMultiSiteS1_BMultiSiteB2_dc53a484_7587227f">#REF!</definedName>
    <definedName name="_vena_DYNR_SMultiSiteS1_BMultiSiteB2_dc53a484_785ae315">#REF!</definedName>
    <definedName name="_vena_DYNR_SMultiSiteS1_BMultiSiteB2_dc53a484_83ed93e">#REF!</definedName>
    <definedName name="_vena_DYNR_SMultiSiteS1_BMultiSiteB2_dc53a484_84e274d1">#REF!</definedName>
    <definedName name="_vena_DYNR_SMultiSiteS1_BMultiSiteB2_dc53a484_85ef281">#REF!</definedName>
    <definedName name="_vena_DYNR_SMultiSiteS1_BMultiSiteB2_dc53a484_8c3792f2">#REF!</definedName>
    <definedName name="_vena_DYNR_SMultiSiteS1_BMultiSiteB2_dc53a484_8c810b5b">#REF!</definedName>
    <definedName name="_vena_DYNR_SMultiSiteS1_BMultiSiteB2_dc53a484_93ae9bde">#REF!</definedName>
    <definedName name="_vena_DYNR_SMultiSiteS1_BMultiSiteB2_dc53a484_95b746be">#REF!</definedName>
    <definedName name="_vena_DYNR_SMultiSiteS1_BMultiSiteB2_dc53a484_96a01936">#REF!</definedName>
    <definedName name="_vena_DYNR_SMultiSiteS1_BMultiSiteB2_dc53a484_af1792eb">#REF!</definedName>
    <definedName name="_vena_DYNR_SMultiSiteS1_BMultiSiteB2_dc53a484_b78051cb">#REF!</definedName>
    <definedName name="_vena_DYNR_SMultiSiteS1_BMultiSiteB2_dc53a484_d054c5c8">#REF!</definedName>
    <definedName name="_vena_DYNR_SMultiSiteS1_BMultiSiteB2_dc53a484_d1ea2d9d">#REF!</definedName>
    <definedName name="_vena_DYNR_SMultiSiteS1_BMultiSiteB2_dc53a484_d4fcdc6f">#REF!</definedName>
    <definedName name="_vena_DYNR_SMultiSiteS1_BMultiSiteB2_dc53a484_de87f1fa">#REF!</definedName>
    <definedName name="_vena_DYNR_SMultiSiteS1_BMultiSiteB2_dc53a484_e333a16d">#REF!</definedName>
    <definedName name="_vena_DYNR_SMultiSiteS1_BMultiSiteB2_dc53a484_e874ad99">#REF!</definedName>
    <definedName name="_vena_DYNR_SMultiSiteS1_BMultiSiteB2_dc53a484_e88c5c6a">#REF!</definedName>
    <definedName name="_vena_DYNR_SMultiSiteS1_BMultiSiteB2_dc53a484_ee350a3a">#REF!</definedName>
    <definedName name="_vena_DYNR_SMultiSiteS1_BMultiSiteB2_dc53a484_f075af63">#REF!</definedName>
    <definedName name="_vena_DYNR_SMultiSiteS1_BMultiSiteB2_dc53a484_fa5cbe98">#REF!</definedName>
    <definedName name="_vena_DYNR_SMultiSiteS1_BMultiSiteB2_ddfb50e7">#REF!</definedName>
    <definedName name="_vena_DYNR_SMultiSiteS1_BMultiSiteB2_ddfb50e7_19e0fc8b">#REF!</definedName>
    <definedName name="_vena_DYNR_SMultiSiteS1_BMultiSiteB2_ddfb50e7_25c305b7">#REF!</definedName>
    <definedName name="_vena_DYNR_SMultiSiteS1_BMultiSiteB2_ddfb50e7_267ec81f">#REF!</definedName>
    <definedName name="_vena_DYNR_SMultiSiteS1_BMultiSiteB2_ddfb50e7_2810c5ed">#REF!</definedName>
    <definedName name="_vena_DYNR_SMultiSiteS1_BMultiSiteB2_ddfb50e7_2cd60090">#REF!</definedName>
    <definedName name="_vena_DYNR_SMultiSiteS1_BMultiSiteB2_ddfb50e7_35f45895">#REF!</definedName>
    <definedName name="_vena_DYNR_SMultiSiteS1_BMultiSiteB2_ddfb50e7_383021f8">#REF!</definedName>
    <definedName name="_vena_DYNR_SMultiSiteS1_BMultiSiteB2_ddfb50e7_3a6235c3">#REF!</definedName>
    <definedName name="_vena_DYNR_SMultiSiteS1_BMultiSiteB2_ddfb50e7_3bb86cc9">#REF!</definedName>
    <definedName name="_vena_DYNR_SMultiSiteS1_BMultiSiteB2_ddfb50e7_3efa73c2">#REF!</definedName>
    <definedName name="_vena_DYNR_SMultiSiteS1_BMultiSiteB2_ddfb50e7_476c121d">#REF!</definedName>
    <definedName name="_vena_DYNR_SMultiSiteS1_BMultiSiteB2_ddfb50e7_4d0ba3b5">#REF!</definedName>
    <definedName name="_vena_DYNR_SMultiSiteS1_BMultiSiteB2_ddfb50e7_5003cca5">#REF!</definedName>
    <definedName name="_vena_DYNR_SMultiSiteS1_BMultiSiteB2_ddfb50e7_515d5370">#REF!</definedName>
    <definedName name="_vena_DYNR_SMultiSiteS1_BMultiSiteB2_ddfb50e7_59709c68">#REF!</definedName>
    <definedName name="_vena_DYNR_SMultiSiteS1_BMultiSiteB2_ddfb50e7_791625c">#REF!</definedName>
    <definedName name="_vena_DYNR_SMultiSiteS1_BMultiSiteB2_ddfb50e7_7d146a23">#REF!</definedName>
    <definedName name="_vena_DYNR_SMultiSiteS1_BMultiSiteB2_ddfb50e7_9041b5ea">#REF!</definedName>
    <definedName name="_vena_DYNR_SMultiSiteS1_BMultiSiteB2_ddfb50e7_9373f6e0">#REF!</definedName>
    <definedName name="_vena_DYNR_SMultiSiteS1_BMultiSiteB2_ddfb50e7_97b31285">#REF!</definedName>
    <definedName name="_vena_DYNR_SMultiSiteS1_BMultiSiteB2_ddfb50e7_9eb7b314">#REF!</definedName>
    <definedName name="_vena_DYNR_SMultiSiteS1_BMultiSiteB2_ddfb50e7_ac20a3c5">#REF!</definedName>
    <definedName name="_vena_DYNR_SMultiSiteS1_BMultiSiteB2_ddfb50e7_c1797a2e">#REF!</definedName>
    <definedName name="_vena_DYNR_SMultiSiteS1_BMultiSiteB2_ddfb50e7_ca3c58d">#REF!</definedName>
    <definedName name="_vena_DYNR_SMultiSiteS1_BMultiSiteB2_ddfb50e7_cac75f5d">#REF!</definedName>
    <definedName name="_vena_DYNR_SMultiSiteS1_BMultiSiteB2_ddfb50e7_ed73a873">#REF!</definedName>
    <definedName name="_vena_DYNR_SMultiSiteS1_BMultiSiteB2_ddfb50e7_ede5f76b">#REF!</definedName>
    <definedName name="_vena_DYNR_SMultiSiteS1_BMultiSiteB2_ddfb50e7_f0d9c96f">#REF!</definedName>
    <definedName name="_vena_DYNR_SMultiSiteS1_BMultiSiteB2_ddfb50e7_f23852ef">#REF!</definedName>
    <definedName name="_vena_DYNR_SMultiSiteS1_BMultiSiteB2_ddfb50e7_f266d131">#REF!</definedName>
    <definedName name="_vena_DYNR_SMultiSiteS1_BMultiSiteB2_ddfb50e7_f93c9cab">#REF!</definedName>
    <definedName name="_vena_DYNR_SMultiSiteS1_BMultiSiteB2_ddfb50e7_fa88e1c4">#REF!</definedName>
    <definedName name="_vena_DYNR_SMultiSiteS1_BMultiSiteB2_e15c2ba7">#REF!</definedName>
    <definedName name="_vena_DYNR_SMultiSiteS1_BMultiSiteB2_e15c2ba7_33ec5f2e">#REF!</definedName>
    <definedName name="_vena_DYNR_SMultiSiteS1_BMultiSiteB2_e15c2ba7_44065926">#REF!</definedName>
    <definedName name="_vena_DYNR_SMultiSiteS1_BMultiSiteB2_e15c2ba7_449bf8a8">#REF!</definedName>
    <definedName name="_vena_DYNR_SMultiSiteS1_BMultiSiteB2_e15c2ba7_5764673f">#REF!</definedName>
    <definedName name="_vena_DYNR_SMultiSiteS1_BMultiSiteB2_e15c2ba7_69ee0a59">#REF!</definedName>
    <definedName name="_vena_DYNR_SMultiSiteS1_BMultiSiteB2_e15c2ba7_7db04a">#REF!</definedName>
    <definedName name="_vena_DYNR_SMultiSiteS1_BMultiSiteB2_e15c2ba7_7f76230d">#REF!</definedName>
    <definedName name="_vena_DYNR_SMultiSiteS1_BMultiSiteB2_e15c2ba7_80985ed1">#REF!</definedName>
    <definedName name="_vena_DYNR_SMultiSiteS1_BMultiSiteB2_e15c2ba7_892a258a">#REF!</definedName>
    <definedName name="_vena_DYNR_SMultiSiteS1_BMultiSiteB2_e15c2ba7_9c3652f0">#REF!</definedName>
    <definedName name="_vena_DYNR_SMultiSiteS1_BMultiSiteB2_e15c2ba7_9d85709f">#REF!</definedName>
    <definedName name="_vena_DYNR_SMultiSiteS1_BMultiSiteB2_e15c2ba7_b3cc797a">#REF!</definedName>
    <definedName name="_vena_DYNR_SMultiSiteS1_BMultiSiteB2_e15c2ba7_ba73e471">#REF!</definedName>
    <definedName name="_vena_DYNR_SMultiSiteS1_BMultiSiteB2_e15c2ba7_c2185a21">#REF!</definedName>
    <definedName name="_vena_DYNR_SMultiSiteS1_BMultiSiteB2_e15c2ba7_d391d022">#REF!</definedName>
    <definedName name="_vena_DYNR_SMultiSiteS1_BMultiSiteB2_e15c2ba7_d82e9b89">#REF!</definedName>
    <definedName name="_vena_DYNR_SMultiSiteS1_BMultiSiteB2_e15c2ba7_db45df25">#REF!</definedName>
    <definedName name="_vena_DYNR_SMultiSiteS1_BMultiSiteB2_e15c2ba7_de023428">#REF!</definedName>
    <definedName name="_vena_DYNR_SMultiSiteS1_BMultiSiteB2_e15c2ba7_e823a2e7">#REF!</definedName>
    <definedName name="_vena_DYNR_SMultiSiteS1_BMultiSiteB2_e15c2ba7_e9984a08">#REF!</definedName>
    <definedName name="_vena_DYNR_SMultiSiteS1_BMultiSiteB2_e15c2ba7_eeb2de56">#REF!</definedName>
    <definedName name="_vena_DYNR_SMultiSiteS1_BMultiSiteB2_e15c2ba7_f94d35cf">#REF!</definedName>
    <definedName name="_vena_DYNR_SMultiSiteS1_BMultiSiteB2_e3d65d08" localSheetId="4">#REF!</definedName>
    <definedName name="_vena_DYNR_SMultiSiteS1_BMultiSiteB2_e3d65d08" localSheetId="5">#REF!</definedName>
    <definedName name="_vena_DYNR_SMultiSiteS1_BMultiSiteB2_e3d65d08" localSheetId="8">'[1]FY26 MYP-Multisite'!#REF!</definedName>
    <definedName name="_vena_DYNR_SMultiSiteS1_BMultiSiteB2_e3d65d08" localSheetId="3">#REF!</definedName>
    <definedName name="_vena_DYNR_SMultiSiteS1_BMultiSiteB2_e3d65d08">#REF!</definedName>
    <definedName name="_vena_DYNR_SMultiSiteS1_BMultiSiteB2_e3d65d08_2ec95bee" localSheetId="4">#REF!</definedName>
    <definedName name="_vena_DYNR_SMultiSiteS1_BMultiSiteB2_e3d65d08_2ec95bee" localSheetId="5">#REF!</definedName>
    <definedName name="_vena_DYNR_SMultiSiteS1_BMultiSiteB2_e3d65d08_2ec95bee" localSheetId="8">'[1]FY26 MYP-Multisite'!#REF!</definedName>
    <definedName name="_vena_DYNR_SMultiSiteS1_BMultiSiteB2_e3d65d08_2ec95bee" localSheetId="3">#REF!</definedName>
    <definedName name="_vena_DYNR_SMultiSiteS1_BMultiSiteB2_e3d65d08_2ec95bee">#REF!</definedName>
    <definedName name="_vena_DYNR_SMultiSiteS1_BMultiSiteB2_e3d65d08_49074353" localSheetId="4">#REF!</definedName>
    <definedName name="_vena_DYNR_SMultiSiteS1_BMultiSiteB2_e3d65d08_49074353" localSheetId="5">#REF!</definedName>
    <definedName name="_vena_DYNR_SMultiSiteS1_BMultiSiteB2_e3d65d08_49074353" localSheetId="8">'[1]FY26 MYP-Multisite'!#REF!</definedName>
    <definedName name="_vena_DYNR_SMultiSiteS1_BMultiSiteB2_e3d65d08_49074353" localSheetId="3">#REF!</definedName>
    <definedName name="_vena_DYNR_SMultiSiteS1_BMultiSiteB2_e3d65d08_49074353">#REF!</definedName>
    <definedName name="_vena_DYNR_SMultiSiteS1_BMultiSiteB2_e3d65d08_5ab23180" localSheetId="4">#REF!</definedName>
    <definedName name="_vena_DYNR_SMultiSiteS1_BMultiSiteB2_e3d65d08_5ab23180" localSheetId="5">#REF!</definedName>
    <definedName name="_vena_DYNR_SMultiSiteS1_BMultiSiteB2_e3d65d08_5ab23180" localSheetId="8">'[1]FY26 MYP-Multisite'!#REF!</definedName>
    <definedName name="_vena_DYNR_SMultiSiteS1_BMultiSiteB2_e3d65d08_5ab23180" localSheetId="3">#REF!</definedName>
    <definedName name="_vena_DYNR_SMultiSiteS1_BMultiSiteB2_e3d65d08_5ab23180">#REF!</definedName>
    <definedName name="_vena_DYNR_SMultiSiteS1_BMultiSiteB2_e3d65d08_5c7e0db2" localSheetId="4">#REF!</definedName>
    <definedName name="_vena_DYNR_SMultiSiteS1_BMultiSiteB2_e3d65d08_5c7e0db2" localSheetId="5">#REF!</definedName>
    <definedName name="_vena_DYNR_SMultiSiteS1_BMultiSiteB2_e3d65d08_5c7e0db2" localSheetId="8">'[1]FY26 MYP-Multisite'!#REF!</definedName>
    <definedName name="_vena_DYNR_SMultiSiteS1_BMultiSiteB2_e3d65d08_5c7e0db2" localSheetId="3">#REF!</definedName>
    <definedName name="_vena_DYNR_SMultiSiteS1_BMultiSiteB2_e3d65d08_5c7e0db2">#REF!</definedName>
    <definedName name="_vena_DYNR_SMultiSiteS1_BMultiSiteB2_e3d65d08_79801d31" localSheetId="4">#REF!</definedName>
    <definedName name="_vena_DYNR_SMultiSiteS1_BMultiSiteB2_e3d65d08_79801d31" localSheetId="5">#REF!</definedName>
    <definedName name="_vena_DYNR_SMultiSiteS1_BMultiSiteB2_e3d65d08_79801d31" localSheetId="8">'[1]FY26 MYP-Multisite'!#REF!</definedName>
    <definedName name="_vena_DYNR_SMultiSiteS1_BMultiSiteB2_e3d65d08_79801d31" localSheetId="3">#REF!</definedName>
    <definedName name="_vena_DYNR_SMultiSiteS1_BMultiSiteB2_e3d65d08_79801d31">#REF!</definedName>
    <definedName name="_vena_DYNR_SMultiSiteS1_BMultiSiteB2_e3d65d08_7ee99e4f" localSheetId="4">#REF!</definedName>
    <definedName name="_vena_DYNR_SMultiSiteS1_BMultiSiteB2_e3d65d08_7ee99e4f" localSheetId="5">#REF!</definedName>
    <definedName name="_vena_DYNR_SMultiSiteS1_BMultiSiteB2_e3d65d08_7ee99e4f" localSheetId="8">'[1]FY26 MYP-Multisite'!#REF!</definedName>
    <definedName name="_vena_DYNR_SMultiSiteS1_BMultiSiteB2_e3d65d08_7ee99e4f" localSheetId="3">#REF!</definedName>
    <definedName name="_vena_DYNR_SMultiSiteS1_BMultiSiteB2_e3d65d08_7ee99e4f">#REF!</definedName>
    <definedName name="_vena_DYNR_SMultiSiteS1_BMultiSiteB2_e3d65d08_8070d035" localSheetId="4">#REF!</definedName>
    <definedName name="_vena_DYNR_SMultiSiteS1_BMultiSiteB2_e3d65d08_8070d035" localSheetId="5">#REF!</definedName>
    <definedName name="_vena_DYNR_SMultiSiteS1_BMultiSiteB2_e3d65d08_8070d035" localSheetId="8">'[1]FY26 MYP-Multisite'!#REF!</definedName>
    <definedName name="_vena_DYNR_SMultiSiteS1_BMultiSiteB2_e3d65d08_8070d035" localSheetId="3">#REF!</definedName>
    <definedName name="_vena_DYNR_SMultiSiteS1_BMultiSiteB2_e3d65d08_8070d035">#REF!</definedName>
    <definedName name="_vena_DYNR_SMultiSiteS1_BMultiSiteB2_e3d65d08_9c310e1" localSheetId="4">#REF!</definedName>
    <definedName name="_vena_DYNR_SMultiSiteS1_BMultiSiteB2_e3d65d08_9c310e1" localSheetId="5">#REF!</definedName>
    <definedName name="_vena_DYNR_SMultiSiteS1_BMultiSiteB2_e3d65d08_9c310e1" localSheetId="8">'[1]FY26 MYP-Multisite'!#REF!</definedName>
    <definedName name="_vena_DYNR_SMultiSiteS1_BMultiSiteB2_e3d65d08_9c310e1" localSheetId="3">#REF!</definedName>
    <definedName name="_vena_DYNR_SMultiSiteS1_BMultiSiteB2_e3d65d08_9c310e1">#REF!</definedName>
    <definedName name="_vena_DYNR_SMultiSiteS1_BMultiSiteB2_e3d65d08_9d7711cc" localSheetId="4">#REF!</definedName>
    <definedName name="_vena_DYNR_SMultiSiteS1_BMultiSiteB2_e3d65d08_9d7711cc" localSheetId="5">#REF!</definedName>
    <definedName name="_vena_DYNR_SMultiSiteS1_BMultiSiteB2_e3d65d08_9d7711cc" localSheetId="8">'[1]FY26 MYP-Multisite'!#REF!</definedName>
    <definedName name="_vena_DYNR_SMultiSiteS1_BMultiSiteB2_e3d65d08_9d7711cc" localSheetId="3">#REF!</definedName>
    <definedName name="_vena_DYNR_SMultiSiteS1_BMultiSiteB2_e3d65d08_9d7711cc">#REF!</definedName>
    <definedName name="_vena_DYNR_SMultiSiteS1_BMultiSiteB2_e3d65d08_ad7f1abd" localSheetId="4">#REF!</definedName>
    <definedName name="_vena_DYNR_SMultiSiteS1_BMultiSiteB2_e3d65d08_ad7f1abd" localSheetId="5">#REF!</definedName>
    <definedName name="_vena_DYNR_SMultiSiteS1_BMultiSiteB2_e3d65d08_ad7f1abd" localSheetId="8">'[1]FY26 MYP-Multisite'!#REF!</definedName>
    <definedName name="_vena_DYNR_SMultiSiteS1_BMultiSiteB2_e3d65d08_ad7f1abd" localSheetId="3">#REF!</definedName>
    <definedName name="_vena_DYNR_SMultiSiteS1_BMultiSiteB2_e3d65d08_ad7f1abd">#REF!</definedName>
    <definedName name="_vena_DYNR_SMultiSiteS1_BMultiSiteB2_e3d65d08_d5813faa" localSheetId="4">#REF!</definedName>
    <definedName name="_vena_DYNR_SMultiSiteS1_BMultiSiteB2_e3d65d08_d5813faa" localSheetId="5">#REF!</definedName>
    <definedName name="_vena_DYNR_SMultiSiteS1_BMultiSiteB2_e3d65d08_d5813faa" localSheetId="8">'[1]FY26 MYP-Multisite'!#REF!</definedName>
    <definedName name="_vena_DYNR_SMultiSiteS1_BMultiSiteB2_e3d65d08_d5813faa" localSheetId="3">#REF!</definedName>
    <definedName name="_vena_DYNR_SMultiSiteS1_BMultiSiteB2_e3d65d08_d5813faa">#REF!</definedName>
    <definedName name="_vena_DYNR_SMultiSiteS1_BMultiSiteB2_e3d65d08_d5ce12df" localSheetId="4">#REF!</definedName>
    <definedName name="_vena_DYNR_SMultiSiteS1_BMultiSiteB2_e3d65d08_d5ce12df" localSheetId="5">#REF!</definedName>
    <definedName name="_vena_DYNR_SMultiSiteS1_BMultiSiteB2_e3d65d08_d5ce12df" localSheetId="8">'[1]FY26 MYP-Multisite'!#REF!</definedName>
    <definedName name="_vena_DYNR_SMultiSiteS1_BMultiSiteB2_e3d65d08_d5ce12df" localSheetId="3">#REF!</definedName>
    <definedName name="_vena_DYNR_SMultiSiteS1_BMultiSiteB2_e3d65d08_d5ce12df">#REF!</definedName>
    <definedName name="_vena_DYNR_SMultiSiteS1_BMultiSiteB2_e3d65d08_ddb9168a" localSheetId="4">#REF!</definedName>
    <definedName name="_vena_DYNR_SMultiSiteS1_BMultiSiteB2_e3d65d08_ddb9168a" localSheetId="5">#REF!</definedName>
    <definedName name="_vena_DYNR_SMultiSiteS1_BMultiSiteB2_e3d65d08_ddb9168a" localSheetId="8">'[1]FY26 MYP-Multisite'!#REF!</definedName>
    <definedName name="_vena_DYNR_SMultiSiteS1_BMultiSiteB2_e3d65d08_ddb9168a" localSheetId="3">#REF!</definedName>
    <definedName name="_vena_DYNR_SMultiSiteS1_BMultiSiteB2_e3d65d08_ddb9168a">#REF!</definedName>
    <definedName name="_vena_DYNR_SMultiSiteS1_BMultiSiteB2_e3d65d08_e7f4ac82" localSheetId="4">#REF!</definedName>
    <definedName name="_vena_DYNR_SMultiSiteS1_BMultiSiteB2_e3d65d08_e7f4ac82" localSheetId="5">#REF!</definedName>
    <definedName name="_vena_DYNR_SMultiSiteS1_BMultiSiteB2_e3d65d08_e7f4ac82" localSheetId="8">'[1]FY26 MYP-Multisite'!#REF!</definedName>
    <definedName name="_vena_DYNR_SMultiSiteS1_BMultiSiteB2_e3d65d08_e7f4ac82" localSheetId="3">#REF!</definedName>
    <definedName name="_vena_DYNR_SMultiSiteS1_BMultiSiteB2_e3d65d08_e7f4ac82">#REF!</definedName>
    <definedName name="_vena_DYNR_SMultiSiteS1_BMultiSiteB2_e3d65d08_eaf8a385" localSheetId="4">#REF!</definedName>
    <definedName name="_vena_DYNR_SMultiSiteS1_BMultiSiteB2_e3d65d08_eaf8a385" localSheetId="5">#REF!</definedName>
    <definedName name="_vena_DYNR_SMultiSiteS1_BMultiSiteB2_e3d65d08_eaf8a385" localSheetId="8">'[1]FY26 MYP-Multisite'!#REF!</definedName>
    <definedName name="_vena_DYNR_SMultiSiteS1_BMultiSiteB2_e3d65d08_eaf8a385" localSheetId="3">#REF!</definedName>
    <definedName name="_vena_DYNR_SMultiSiteS1_BMultiSiteB2_e3d65d08_eaf8a385">#REF!</definedName>
    <definedName name="_vena_DYNR_SMultiSiteS1_BMultiSiteB2_f834db7f">#REF!</definedName>
    <definedName name="_vena_DYNR_SMultiSiteS1_BMultiSiteB2_f834db7f_15e5515a">#REF!</definedName>
    <definedName name="_vena_DYNR_SMultiSiteS1_BMultiSiteB2_f834db7f_1f8d6080">#REF!</definedName>
    <definedName name="_vena_DYNR_SMultiSiteS1_BMultiSiteB2_f834db7f_215be7e8">#REF!</definedName>
    <definedName name="_vena_DYNR_SMultiSiteS1_BMultiSiteB2_f834db7f_2302fc02">#REF!</definedName>
    <definedName name="_vena_DYNR_SMultiSiteS1_BMultiSiteB2_f834db7f_2640a0c7">#REF!</definedName>
    <definedName name="_vena_DYNR_SMultiSiteS1_BMultiSiteB2_f834db7f_2a03e1f1">#REF!</definedName>
    <definedName name="_vena_DYNR_SMultiSiteS1_BMultiSiteB2_f834db7f_34dc726c">#REF!</definedName>
    <definedName name="_vena_DYNR_SMultiSiteS1_BMultiSiteB2_f834db7f_4d46f050">#REF!</definedName>
    <definedName name="_vena_DYNR_SMultiSiteS1_BMultiSiteB2_f834db7f_50f4e599">#REF!</definedName>
    <definedName name="_vena_DYNR_SMultiSiteS1_BMultiSiteB2_f834db7f_559c6951">#REF!</definedName>
    <definedName name="_vena_DYNR_SMultiSiteS1_BMultiSiteB2_f834db7f_5bdd795e">#REF!</definedName>
    <definedName name="_vena_DYNR_SMultiSiteS1_BMultiSiteB2_f834db7f_6014b3fb">#REF!</definedName>
    <definedName name="_vena_DYNR_SMultiSiteS1_BMultiSiteB2_f834db7f_648bced8">#REF!</definedName>
    <definedName name="_vena_DYNR_SMultiSiteS1_BMultiSiteB2_f834db7f_66aa0677">#REF!</definedName>
    <definedName name="_vena_DYNR_SMultiSiteS1_BMultiSiteB2_f834db7f_690f5381">#REF!</definedName>
    <definedName name="_vena_DYNR_SMultiSiteS1_BMultiSiteB2_f834db7f_6c1345a1">#REF!</definedName>
    <definedName name="_vena_DYNR_SMultiSiteS1_BMultiSiteB2_f834db7f_72ad0e28">#REF!</definedName>
    <definedName name="_vena_DYNR_SMultiSiteS1_BMultiSiteB2_f834db7f_84b093b6">#REF!</definedName>
    <definedName name="_vena_DYNR_SMultiSiteS1_BMultiSiteB2_f834db7f_8657bed4">#REF!</definedName>
    <definedName name="_vena_DYNR_SMultiSiteS1_BMultiSiteB2_f834db7f_865b04e1">#REF!</definedName>
    <definedName name="_vena_DYNR_SMultiSiteS1_BMultiSiteB2_f834db7f_8bfc3245">#REF!</definedName>
    <definedName name="_vena_DYNR_SMultiSiteS1_BMultiSiteB2_f834db7f_8f5742fd">#REF!</definedName>
    <definedName name="_vena_DYNR_SMultiSiteS1_BMultiSiteB2_f834db7f_9511d40c">#REF!</definedName>
    <definedName name="_vena_DYNR_SMultiSiteS1_BMultiSiteB2_f834db7f_95591944">#REF!</definedName>
    <definedName name="_vena_DYNR_SMultiSiteS1_BMultiSiteB2_f834db7f_9bf51f87">#REF!</definedName>
    <definedName name="_vena_DYNR_SMultiSiteS1_BMultiSiteB2_f834db7f_a5c8267b">#REF!</definedName>
    <definedName name="_vena_DYNR_SMultiSiteS1_BMultiSiteB2_f834db7f_accf89cc">#REF!</definedName>
    <definedName name="_vena_DYNR_SMultiSiteS1_BMultiSiteB2_f834db7f_ad17d412">#REF!</definedName>
    <definedName name="_vena_DYNR_SMultiSiteS1_BMultiSiteB2_f834db7f_b6e62a69">#REF!</definedName>
    <definedName name="_vena_DYNR_SMultiSiteS1_BMultiSiteB2_f834db7f_b8b225c7">#REF!</definedName>
    <definedName name="_vena_DYNR_SMultiSiteS1_BMultiSiteB2_f834db7f_bb3ea502">#REF!</definedName>
    <definedName name="_vena_DYNR_SMultiSiteS1_BMultiSiteB2_f834db7f_bf3bd5e0">#REF!</definedName>
    <definedName name="_vena_DYNR_SMultiSiteS1_BMultiSiteB2_f834db7f_c5428fd1">#REF!</definedName>
    <definedName name="_vena_DYNR_SMultiSiteS1_BMultiSiteB2_f834db7f_c59a4f36">#REF!</definedName>
    <definedName name="_vena_DYNR_SMultiSiteS1_BMultiSiteB2_f834db7f_cad0576b">#REF!</definedName>
    <definedName name="_vena_DYNR_SMultiSiteS1_BMultiSiteB2_f834db7f_cb1a5a4">#REF!</definedName>
    <definedName name="_vena_DYNR_SMultiSiteS1_BMultiSiteB2_f834db7f_d3c5a7fd">#REF!</definedName>
    <definedName name="_vena_DYNR_SMultiSiteS1_BMultiSiteB2_f834db7f_d7d1ac8">#REF!</definedName>
    <definedName name="_vena_DYNR_SMultiSiteS1_BMultiSiteB2_f834db7f_d81b8130">#REF!</definedName>
    <definedName name="_vena_DYNR_SMultiSiteS1_BMultiSiteB2_f834db7f_ec8deac4">#REF!</definedName>
    <definedName name="_vena_DYNR_SMultiSiteS1_BMultiSiteB2_f834db7f_f3429e25">#REF!</definedName>
    <definedName name="_vena_DYNR_SMultiSiteS1_BMultiSiteB2_f834db7f_fbdfbb4">#REF!</definedName>
    <definedName name="_vena_DYNR_SMultiSiteS1_BMultiSiteB2_fb127404">#REF!</definedName>
    <definedName name="_vena_DYNR_SMultiSiteS1_BMultiSiteB2_fb127404_119876ef">#REF!</definedName>
    <definedName name="_vena_DYNR_SMultiSiteS1_BMultiSiteB2_fb127404_14adefbb">#REF!</definedName>
    <definedName name="_vena_DYNR_SMultiSiteS1_BMultiSiteB2_fb127404_1a017674">#REF!</definedName>
    <definedName name="_vena_DYNR_SMultiSiteS1_BMultiSiteB2_fb127404_1b943ddc">#REF!</definedName>
    <definedName name="_vena_DYNR_SMultiSiteS1_BMultiSiteB2_fb127404_2f0a81bf">#REF!</definedName>
    <definedName name="_vena_DYNR_SMultiSiteS1_BMultiSiteB2_fb127404_32900272">#REF!</definedName>
    <definedName name="_vena_DYNR_SMultiSiteS1_BMultiSiteB2_fb127404_36100e5">#REF!</definedName>
    <definedName name="_vena_DYNR_SMultiSiteS1_BMultiSiteB2_fb127404_37fa709e">#REF!</definedName>
    <definedName name="_vena_DYNR_SMultiSiteS1_BMultiSiteB2_fb127404_3c854a50">#REF!</definedName>
    <definedName name="_vena_DYNR_SMultiSiteS1_BMultiSiteB2_fb127404_4377779d">#REF!</definedName>
    <definedName name="_vena_DYNR_SMultiSiteS1_BMultiSiteB2_fb127404_45e75434">#REF!</definedName>
    <definedName name="_vena_DYNR_SMultiSiteS1_BMultiSiteB2_fb127404_49d25f18">#REF!</definedName>
    <definedName name="_vena_DYNR_SMultiSiteS1_BMultiSiteB2_fb127404_4b70a2d5">#REF!</definedName>
    <definedName name="_vena_DYNR_SMultiSiteS1_BMultiSiteB2_fb127404_62b858fe">#REF!</definedName>
    <definedName name="_vena_DYNR_SMultiSiteS1_BMultiSiteB2_fb127404_7fef576a">#REF!</definedName>
    <definedName name="_vena_DYNR_SMultiSiteS1_BMultiSiteB2_fb127404_82430b7d">#REF!</definedName>
    <definedName name="_vena_DYNR_SMultiSiteS1_BMultiSiteB2_fb127404_82ceacd8">#REF!</definedName>
    <definedName name="_vena_DYNR_SMultiSiteS1_BMultiSiteB2_fb127404_85c3745d">#REF!</definedName>
    <definedName name="_vena_DYNR_SMultiSiteS1_BMultiSiteB2_fb127404_8a92ff63">#REF!</definedName>
    <definedName name="_vena_DYNR_SMultiSiteS1_BMultiSiteB2_fb127404_8ae7a38">#REF!</definedName>
    <definedName name="_vena_DYNR_SMultiSiteS1_BMultiSiteB2_fb127404_8e4f0efa">#REF!</definedName>
    <definedName name="_vena_DYNR_SMultiSiteS1_BMultiSiteB2_fb127404_90c2695">#REF!</definedName>
    <definedName name="_vena_DYNR_SMultiSiteS1_BMultiSiteB2_fb127404_a4d15e03">#REF!</definedName>
    <definedName name="_vena_DYNR_SMultiSiteS1_BMultiSiteB2_fb127404_a840e6eb">#REF!</definedName>
    <definedName name="_vena_DYNR_SMultiSiteS1_BMultiSiteB2_fb127404_adb9e093">#REF!</definedName>
    <definedName name="_vena_DYNR_SMultiSiteS1_BMultiSiteB2_fb127404_b528cd8">#REF!</definedName>
    <definedName name="_vena_DYNR_SMultiSiteS1_BMultiSiteB2_fb127404_b659a876">#REF!</definedName>
    <definedName name="_vena_DYNR_SMultiSiteS1_BMultiSiteB2_fb127404_beaeb1f2">#REF!</definedName>
    <definedName name="_vena_DYNR_SMultiSiteS1_BMultiSiteB2_fb127404_d086f5de">#REF!</definedName>
    <definedName name="_vena_DYNR_SMultiSiteS1_BMultiSiteB2_fb127404_e485ad6">#REF!</definedName>
    <definedName name="_vena_DYNR_SMultiSiteS1_BMultiSiteB2_fb127404_e8736792">#REF!</definedName>
    <definedName name="_vena_DYNR_SMultiSiteS1_BMultiSiteB2_fb127404_f8656144">#REF!</definedName>
    <definedName name="_vena_DYNR_SMYPS1_BMYPB1_2d9e9a42">#REF!</definedName>
    <definedName name="_vena_DYNR_SMYPS1_BMYPB1_2d9e9a42_1225b8b4">#REF!</definedName>
    <definedName name="_vena_DYNR_SMYPS1_BMYPB1_2d9e9a42_1971daa5">#REF!</definedName>
    <definedName name="_vena_DYNR_SMYPS1_BMYPB1_2d9e9a42_21424615">#REF!</definedName>
    <definedName name="_vena_DYNR_SMYPS1_BMYPB1_2d9e9a42_218bd6a5">#REF!</definedName>
    <definedName name="_vena_DYNR_SMYPS1_BMYPB1_2d9e9a42_278c3eef">#REF!</definedName>
    <definedName name="_vena_DYNR_SMYPS1_BMYPB1_2d9e9a42_32de09cd">#REF!</definedName>
    <definedName name="_vena_DYNR_SMYPS1_BMYPB1_2d9e9a42_3a7b3b2">#REF!</definedName>
    <definedName name="_vena_DYNR_SMYPS1_BMYPB1_2d9e9a42_44e02e65">#REF!</definedName>
    <definedName name="_vena_DYNR_SMYPS1_BMYPB1_2d9e9a42_4f8d2071">#REF!</definedName>
    <definedName name="_vena_DYNR_SMYPS1_BMYPB1_2d9e9a42_5ad41606">#REF!</definedName>
    <definedName name="_vena_DYNR_SMYPS1_BMYPB1_2d9e9a42_5b834c28">#REF!</definedName>
    <definedName name="_vena_DYNR_SMYPS1_BMYPB1_2d9e9a42_6144d915">#REF!</definedName>
    <definedName name="_vena_DYNR_SMYPS1_BMYPB1_2d9e9a42_6842cf8f">#REF!</definedName>
    <definedName name="_vena_DYNR_SMYPS1_BMYPB1_2d9e9a42_77775922">#REF!</definedName>
    <definedName name="_vena_DYNR_SMYPS1_BMYPB1_2d9e9a42_7ca7764d">#REF!</definedName>
    <definedName name="_vena_DYNR_SMYPS1_BMYPB1_2d9e9a42_8450b92a">#REF!</definedName>
    <definedName name="_vena_DYNR_SMYPS1_BMYPB1_2d9e9a42_84bb2689">#REF!</definedName>
    <definedName name="_vena_DYNR_SMYPS1_BMYPB1_2d9e9a42_867748b2">#REF!</definedName>
    <definedName name="_vena_DYNR_SMYPS1_BMYPB1_2d9e9a42_8e192810">#REF!</definedName>
    <definedName name="_vena_DYNR_SMYPS1_BMYPB1_2d9e9a42_9639a5b5">#REF!</definedName>
    <definedName name="_vena_DYNR_SMYPS1_BMYPB1_2d9e9a42_9dcc7dd5">#REF!</definedName>
    <definedName name="_vena_DYNR_SMYPS1_BMYPB1_2d9e9a42_a6591c05">#REF!</definedName>
    <definedName name="_vena_DYNR_SMYPS1_BMYPB1_2d9e9a42_af656a4b">#REF!</definedName>
    <definedName name="_vena_DYNR_SMYPS1_BMYPB1_2d9e9a42_be3b92eb">#REF!</definedName>
    <definedName name="_vena_DYNR_SMYPS1_BMYPB1_2d9e9a42_c116bdc9">#REF!</definedName>
    <definedName name="_vena_DYNR_SMYPS1_BMYPB1_2d9e9a42_c3cffe14">#REF!</definedName>
    <definedName name="_vena_DYNR_SMYPS1_BMYPB1_2d9e9a42_cedd0be9">#REF!</definedName>
    <definedName name="_vena_DYNR_SMYPS1_BMYPB1_2d9e9a42_e6813e72">#REF!</definedName>
    <definedName name="_vena_DYNR_SMYPS1_BMYPB1_2d9e9a42_f3be9259">#REF!</definedName>
    <definedName name="_vena_DYNR_SMYPS1_BMYPB1_2d9e9a42_f75f9791">#REF!</definedName>
    <definedName name="_vena_DYNR_SMYPS1_BMYPB1_2d9e9a42_f9d4cdcb">#REF!</definedName>
    <definedName name="_vena_DYNR_SMYPS1_BMYPB1_2d9e9a42_fbba2ac1">#REF!</definedName>
    <definedName name="_vena_DYNR_SMYPS1_BMYPB1_2d9e9a42_fd5d4fa7">#REF!</definedName>
    <definedName name="_vena_DYNR_SMYPS1_BMYPB1_5b046100">#REF!</definedName>
    <definedName name="_vena_DYNR_SMYPS1_BMYPB1_5b046100_1c6f1b4b">#REF!</definedName>
    <definedName name="_vena_DYNR_SMYPS1_BMYPB1_5b046100_2e68f262">#REF!</definedName>
    <definedName name="_vena_DYNR_SMYPS1_BMYPB1_5b046100_30548792">#REF!</definedName>
    <definedName name="_vena_DYNR_SMYPS1_BMYPB1_5b046100_3c239245">#REF!</definedName>
    <definedName name="_vena_DYNR_SMYPS1_BMYPB1_5b046100_40107518">#REF!</definedName>
    <definedName name="_vena_DYNR_SMYPS1_BMYPB1_5b046100_462af5e6">#REF!</definedName>
    <definedName name="_vena_DYNR_SMYPS1_BMYPB1_5b046100_67195819">#REF!</definedName>
    <definedName name="_vena_DYNR_SMYPS1_BMYPB1_5b046100_6a199cac">#REF!</definedName>
    <definedName name="_vena_DYNR_SMYPS1_BMYPB1_5b046100_6be18931">#REF!</definedName>
    <definedName name="_vena_DYNR_SMYPS1_BMYPB1_5b046100_6d4313c1">#REF!</definedName>
    <definedName name="_vena_DYNR_SMYPS1_BMYPB1_5b046100_6f8b2f21">#REF!</definedName>
    <definedName name="_vena_DYNR_SMYPS1_BMYPB1_5b046100_7fee523c">#REF!</definedName>
    <definedName name="_vena_DYNR_SMYPS1_BMYPB1_5b046100_88906611">#REF!</definedName>
    <definedName name="_vena_DYNR_SMYPS1_BMYPB1_5b046100_8f9934fe">#REF!</definedName>
    <definedName name="_vena_DYNR_SMYPS1_BMYPB1_5b046100_c70bfe08">#REF!</definedName>
    <definedName name="_vena_DYNR_SMYPS1_BMYPB1_5b046100_c79cd084">#REF!</definedName>
    <definedName name="_vena_DYNR_SMYPS1_BMYPB1_5b046100_d36bfc9d">#REF!</definedName>
    <definedName name="_vena_DYNR_SMYPS1_BMYPB1_5b046100_d617dbee">#REF!</definedName>
    <definedName name="_vena_DYNR_SMYPS1_BMYPB1_5b046100_dcc8747c">#REF!</definedName>
    <definedName name="_vena_DYNR_SMYPS1_BMYPB1_5b046100_e75f4c02">#REF!</definedName>
    <definedName name="_vena_DYNR_SMYPS1_BMYPB1_70977934">#REF!</definedName>
    <definedName name="_vena_DYNR_SMYPS1_BMYPB1_70977934_2836722f">#REF!</definedName>
    <definedName name="_vena_DYNR_SMYPS1_BMYPB1_70977934_2cd9ebd2">#REF!</definedName>
    <definedName name="_vena_DYNR_SMYPS1_BMYPB1_70977934_3bc87ffe">#REF!</definedName>
    <definedName name="_vena_DYNR_SMYPS1_BMYPB1_70977934_486fb1cc">#REF!</definedName>
    <definedName name="_vena_DYNR_SMYPS1_BMYPB1_70977934_48b432aa">#REF!</definedName>
    <definedName name="_vena_DYNR_SMYPS1_BMYPB1_70977934_515307c6">#REF!</definedName>
    <definedName name="_vena_DYNR_SMYPS1_BMYPB1_70977934_5a80748d">#REF!</definedName>
    <definedName name="_vena_DYNR_SMYPS1_BMYPB1_70977934_684869d0">#REF!</definedName>
    <definedName name="_vena_DYNR_SMYPS1_BMYPB1_70977934_696a4fd6">#REF!</definedName>
    <definedName name="_vena_DYNR_SMYPS1_BMYPB1_70977934_7397c549">#REF!</definedName>
    <definedName name="_vena_DYNR_SMYPS1_BMYPB1_70977934_77c364fb">#REF!</definedName>
    <definedName name="_vena_DYNR_SMYPS1_BMYPB1_70977934_7c4aca3d">#REF!</definedName>
    <definedName name="_vena_DYNR_SMYPS1_BMYPB1_70977934_871f00bb">#REF!</definedName>
    <definedName name="_vena_DYNR_SMYPS1_BMYPB1_70977934_8d74b8ce">#REF!</definedName>
    <definedName name="_vena_DYNR_SMYPS1_BMYPB1_70977934_90ad4654">#REF!</definedName>
    <definedName name="_vena_DYNR_SMYPS1_BMYPB1_70977934_93b41ce8">#REF!</definedName>
    <definedName name="_vena_DYNR_SMYPS1_BMYPB1_70977934_9701fff">#REF!</definedName>
    <definedName name="_vena_DYNR_SMYPS1_BMYPB1_70977934_985ff063">#REF!</definedName>
    <definedName name="_vena_DYNR_SMYPS1_BMYPB1_70977934_98fd852c">#REF!</definedName>
    <definedName name="_vena_DYNR_SMYPS1_BMYPB1_70977934_9a2f542e">#REF!</definedName>
    <definedName name="_vena_DYNR_SMYPS1_BMYPB1_70977934_a12d53e0">#REF!</definedName>
    <definedName name="_vena_DYNR_SMYPS1_BMYPB1_70977934_a57b314b">#REF!</definedName>
    <definedName name="_vena_DYNR_SMYPS1_BMYPB1_70977934_b11710e">#REF!</definedName>
    <definedName name="_vena_DYNR_SMYPS1_BMYPB1_70977934_b934197e">#REF!</definedName>
    <definedName name="_vena_DYNR_SMYPS1_BMYPB1_70977934_c011decc">#REF!</definedName>
    <definedName name="_vena_DYNR_SMYPS1_BMYPB1_70977934_c23eda36">#REF!</definedName>
    <definedName name="_vena_DYNR_SMYPS1_BMYPB1_70977934_d1f7222b">#REF!</definedName>
    <definedName name="_vena_DYNR_SMYPS1_BMYPB1_70977934_d2f77bc3">#REF!</definedName>
    <definedName name="_vena_DYNR_SMYPS1_BMYPB1_70977934_dabaf1de">#REF!</definedName>
    <definedName name="_vena_DYNR_SMYPS1_BMYPB1_70977934_dd3e64eb">#REF!</definedName>
    <definedName name="_vena_DYNR_SMYPS1_BMYPB1_70977934_e5231ad5">#REF!</definedName>
    <definedName name="_vena_DYNR_SMYPS1_BMYPB1_70977934_ef1ba233">#REF!</definedName>
    <definedName name="_vena_DYNR_SMYPS1_BMYPB1_70977934_f477bfd8">#REF!</definedName>
    <definedName name="_vena_DYNR_SMYPS1_BMYPB1_780d6323">#REF!</definedName>
    <definedName name="_vena_DYNR_SMYPS1_BMYPB1_780d6323_102b7b34">#REF!</definedName>
    <definedName name="_vena_DYNR_SMYPS1_BMYPB1_780d6323_1b3e721a">#REF!</definedName>
    <definedName name="_vena_DYNR_SMYPS1_BMYPB1_780d6323_1de0e997">#REF!</definedName>
    <definedName name="_vena_DYNR_SMYPS1_BMYPB1_780d6323_204c83ef">#REF!</definedName>
    <definedName name="_vena_DYNR_SMYPS1_BMYPB1_780d6323_282493a0">#REF!</definedName>
    <definedName name="_vena_DYNR_SMYPS1_BMYPB1_780d6323_2e49dc28">#REF!</definedName>
    <definedName name="_vena_DYNR_SMYPS1_BMYPB1_780d6323_3061c2f7">#REF!</definedName>
    <definedName name="_vena_DYNR_SMYPS1_BMYPB1_780d6323_360163d9">#REF!</definedName>
    <definedName name="_vena_DYNR_SMYPS1_BMYPB1_780d6323_3e5cad3c">#REF!</definedName>
    <definedName name="_vena_DYNR_SMYPS1_BMYPB1_780d6323_4117a37b">#REF!</definedName>
    <definedName name="_vena_DYNR_SMYPS1_BMYPB1_780d6323_43424e46">#REF!</definedName>
    <definedName name="_vena_DYNR_SMYPS1_BMYPB1_780d6323_4382fef5">#REF!</definedName>
    <definedName name="_vena_DYNR_SMYPS1_BMYPB1_780d6323_464d4d">#REF!</definedName>
    <definedName name="_vena_DYNR_SMYPS1_BMYPB1_780d6323_4c3aa96a">#REF!</definedName>
    <definedName name="_vena_DYNR_SMYPS1_BMYPB1_780d6323_4debfd25">#REF!</definedName>
    <definedName name="_vena_DYNR_SMYPS1_BMYPB1_780d6323_4e30cc6a">#REF!</definedName>
    <definedName name="_vena_DYNR_SMYPS1_BMYPB1_780d6323_503d7438">#REF!</definedName>
    <definedName name="_vena_DYNR_SMYPS1_BMYPB1_780d6323_51bf0b90">#REF!</definedName>
    <definedName name="_vena_DYNR_SMYPS1_BMYPB1_780d6323_52488957">#REF!</definedName>
    <definedName name="_vena_DYNR_SMYPS1_BMYPB1_780d6323_595db5b">#REF!</definedName>
    <definedName name="_vena_DYNR_SMYPS1_BMYPB1_780d6323_655704f2">#REF!</definedName>
    <definedName name="_vena_DYNR_SMYPS1_BMYPB1_780d6323_6883f49a">#REF!</definedName>
    <definedName name="_vena_DYNR_SMYPS1_BMYPB1_780d6323_7780792">#REF!</definedName>
    <definedName name="_vena_DYNR_SMYPS1_BMYPB1_780d6323_79f5f128">#REF!</definedName>
    <definedName name="_vena_DYNR_SMYPS1_BMYPB1_780d6323_8d926ee1">#REF!</definedName>
    <definedName name="_vena_DYNR_SMYPS1_BMYPB1_780d6323_9180927f">#REF!</definedName>
    <definedName name="_vena_DYNR_SMYPS1_BMYPB1_780d6323_a6feda10">#REF!</definedName>
    <definedName name="_vena_DYNR_SMYPS1_BMYPB1_780d6323_a83f97a8">#REF!</definedName>
    <definedName name="_vena_DYNR_SMYPS1_BMYPB1_780d6323_b142d708">#REF!</definedName>
    <definedName name="_vena_DYNR_SMYPS1_BMYPB1_780d6323_b4b1f5bd">#REF!</definedName>
    <definedName name="_vena_DYNR_SMYPS1_BMYPB1_780d6323_b8b2c535">#REF!</definedName>
    <definedName name="_vena_DYNR_SMYPS1_BMYPB1_780d6323_c65f7ad5">#REF!</definedName>
    <definedName name="_vena_DYNR_SMYPS1_BMYPB1_780d6323_c7ea5811">#REF!</definedName>
    <definedName name="_vena_DYNR_SMYPS1_BMYPB1_780d6323_d205ae3f">#REF!</definedName>
    <definedName name="_vena_DYNR_SMYPS1_BMYPB1_780d6323_d78ddc3d">#REF!</definedName>
    <definedName name="_vena_DYNR_SMYPS1_BMYPB1_780d6323_d99af67e">#REF!</definedName>
    <definedName name="_vena_DYNR_SMYPS1_BMYPB1_780d6323_e9bcdff9">#REF!</definedName>
    <definedName name="_vena_DYNR_SMYPS1_BMYPB1_780d6323_e9d7931b">#REF!</definedName>
    <definedName name="_vena_DYNR_SMYPS1_BMYPB1_780d6323_f0ada28e">#REF!</definedName>
    <definedName name="_vena_DYNR_SMYPS1_BMYPB1_780d6323_f1385088">#REF!</definedName>
    <definedName name="_vena_DYNR_SMYPS1_BMYPB1_780d6323_f4469045">#REF!</definedName>
    <definedName name="_vena_DYNR_SMYPS1_BMYPB1_780d6323_fd68c1f1">#REF!</definedName>
    <definedName name="_vena_DYNR_SMYPS1_BMYPB1_83797157">#REF!</definedName>
    <definedName name="_vena_DYNR_SMYPS1_BMYPB1_83797157_17659e3b">#REF!</definedName>
    <definedName name="_vena_DYNR_SMYPS1_BMYPB1_83797157_17687934">#REF!</definedName>
    <definedName name="_vena_DYNR_SMYPS1_BMYPB1_83797157_178509d4">#REF!</definedName>
    <definedName name="_vena_DYNR_SMYPS1_BMYPB1_83797157_1a6bddc4">#REF!</definedName>
    <definedName name="_vena_DYNR_SMYPS1_BMYPB1_83797157_1aa2ff1e">#REF!</definedName>
    <definedName name="_vena_DYNR_SMYPS1_BMYPB1_83797157_269df48c">#REF!</definedName>
    <definedName name="_vena_DYNR_SMYPS1_BMYPB1_83797157_2a96b4ae">#REF!</definedName>
    <definedName name="_vena_DYNR_SMYPS1_BMYPB1_83797157_2c0650b0">#REF!</definedName>
    <definedName name="_vena_DYNR_SMYPS1_BMYPB1_83797157_39250825">#REF!</definedName>
    <definedName name="_vena_DYNR_SMYPS1_BMYPB1_83797157_3aee39c0">#REF!</definedName>
    <definedName name="_vena_DYNR_SMYPS1_BMYPB1_83797157_3da68c35">#REF!</definedName>
    <definedName name="_vena_DYNR_SMYPS1_BMYPB1_83797157_4133db22">#REF!</definedName>
    <definedName name="_vena_DYNR_SMYPS1_BMYPB1_83797157_43332375">#REF!</definedName>
    <definedName name="_vena_DYNR_SMYPS1_BMYPB1_83797157_45febcc9">#REF!</definedName>
    <definedName name="_vena_DYNR_SMYPS1_BMYPB1_83797157_4b96c855">#REF!</definedName>
    <definedName name="_vena_DYNR_SMYPS1_BMYPB1_83797157_4eff848f">#REF!</definedName>
    <definedName name="_vena_DYNR_SMYPS1_BMYPB1_83797157_4f5c22c">#REF!</definedName>
    <definedName name="_vena_DYNR_SMYPS1_BMYPB1_83797157_4fbcefd6">#REF!</definedName>
    <definedName name="_vena_DYNR_SMYPS1_BMYPB1_83797157_55059811">#REF!</definedName>
    <definedName name="_vena_DYNR_SMYPS1_BMYPB1_83797157_556c38d1">#REF!</definedName>
    <definedName name="_vena_DYNR_SMYPS1_BMYPB1_83797157_55b4a956">#REF!</definedName>
    <definedName name="_vena_DYNR_SMYPS1_BMYPB1_83797157_55d2bd66">#REF!</definedName>
    <definedName name="_vena_DYNR_SMYPS1_BMYPB1_83797157_56c2d9ac">#REF!</definedName>
    <definedName name="_vena_DYNR_SMYPS1_BMYPB1_83797157_5a8ae198">#REF!</definedName>
    <definedName name="_vena_DYNR_SMYPS1_BMYPB1_83797157_62ea91d1">#REF!</definedName>
    <definedName name="_vena_DYNR_SMYPS1_BMYPB1_83797157_63b614e">#REF!</definedName>
    <definedName name="_vena_DYNR_SMYPS1_BMYPB1_83797157_664a9b5b">#REF!</definedName>
    <definedName name="_vena_DYNR_SMYPS1_BMYPB1_83797157_67f7ac1d">#REF!</definedName>
    <definedName name="_vena_DYNR_SMYPS1_BMYPB1_83797157_6ac9e550">#REF!</definedName>
    <definedName name="_vena_DYNR_SMYPS1_BMYPB1_83797157_6ad85d5f">#REF!</definedName>
    <definedName name="_vena_DYNR_SMYPS1_BMYPB1_83797157_705a6764">#REF!</definedName>
    <definedName name="_vena_DYNR_SMYPS1_BMYPB1_83797157_713f0173">#REF!</definedName>
    <definedName name="_vena_DYNR_SMYPS1_BMYPB1_83797157_76b783a0">#REF!</definedName>
    <definedName name="_vena_DYNR_SMYPS1_BMYPB1_83797157_7eb6c931">#REF!</definedName>
    <definedName name="_vena_DYNR_SMYPS1_BMYPB1_83797157_85f45d10">#REF!</definedName>
    <definedName name="_vena_DYNR_SMYPS1_BMYPB1_83797157_88c7fc86">#REF!</definedName>
    <definedName name="_vena_DYNR_SMYPS1_BMYPB1_83797157_89b245b2">#REF!</definedName>
    <definedName name="_vena_DYNR_SMYPS1_BMYPB1_83797157_8c63eefa">#REF!</definedName>
    <definedName name="_vena_DYNR_SMYPS1_BMYPB1_83797157_907ef13d">#REF!</definedName>
    <definedName name="_vena_DYNR_SMYPS1_BMYPB1_83797157_95a660d2">#REF!</definedName>
    <definedName name="_vena_DYNR_SMYPS1_BMYPB1_83797157_97285da5">#REF!</definedName>
    <definedName name="_vena_DYNR_SMYPS1_BMYPB1_83797157_980f610c">#REF!</definedName>
    <definedName name="_vena_DYNR_SMYPS1_BMYPB1_83797157_a0c22a94">#REF!</definedName>
    <definedName name="_vena_DYNR_SMYPS1_BMYPB1_83797157_a3a8c381">#REF!</definedName>
    <definedName name="_vena_DYNR_SMYPS1_BMYPB1_83797157_a7c3047f">#REF!</definedName>
    <definedName name="_vena_DYNR_SMYPS1_BMYPB1_83797157_aadeb532">#REF!</definedName>
    <definedName name="_vena_DYNR_SMYPS1_BMYPB1_83797157_ab838b3a">#REF!</definedName>
    <definedName name="_vena_DYNR_SMYPS1_BMYPB1_83797157_ac7f29c7">#REF!</definedName>
    <definedName name="_vena_DYNR_SMYPS1_BMYPB1_83797157_ad5941b1">#REF!</definedName>
    <definedName name="_vena_DYNR_SMYPS1_BMYPB1_83797157_b148e867">#REF!</definedName>
    <definedName name="_vena_DYNR_SMYPS1_BMYPB1_83797157_b1e8b9af">#REF!</definedName>
    <definedName name="_vena_DYNR_SMYPS1_BMYPB1_83797157_b353b0be">#REF!</definedName>
    <definedName name="_vena_DYNR_SMYPS1_BMYPB1_83797157_c0a7b0ac">#REF!</definedName>
    <definedName name="_vena_DYNR_SMYPS1_BMYPB1_83797157_c1b56054">#REF!</definedName>
    <definedName name="_vena_DYNR_SMYPS1_BMYPB1_83797157_c1d75c8b">#REF!</definedName>
    <definedName name="_vena_DYNR_SMYPS1_BMYPB1_83797157_cceb2beb">#REF!</definedName>
    <definedName name="_vena_DYNR_SMYPS1_BMYPB1_83797157_d065cf9d">#REF!</definedName>
    <definedName name="_vena_DYNR_SMYPS1_BMYPB1_83797157_d20ece60">#REF!</definedName>
    <definedName name="_vena_DYNR_SMYPS1_BMYPB1_83797157_d3715300">#REF!</definedName>
    <definedName name="_vena_DYNR_SMYPS1_BMYPB1_83797157_d42f3cb7">#REF!</definedName>
    <definedName name="_vena_DYNR_SMYPS1_BMYPB1_83797157_d8804440">#REF!</definedName>
    <definedName name="_vena_DYNR_SMYPS1_BMYPB1_83797157_d935a4ac">#REF!</definedName>
    <definedName name="_vena_DYNR_SMYPS1_BMYPB1_83797157_d936c11e">#REF!</definedName>
    <definedName name="_vena_DYNR_SMYPS1_BMYPB1_83797157_da4ff06c">#REF!</definedName>
    <definedName name="_vena_DYNR_SMYPS1_BMYPB1_83797157_ddd6a68e">#REF!</definedName>
    <definedName name="_vena_DYNR_SMYPS1_BMYPB1_83797157_e1ca7179">#REF!</definedName>
    <definedName name="_vena_DYNR_SMYPS1_BMYPB1_83797157_e3c00485">#REF!</definedName>
    <definedName name="_vena_DYNR_SMYPS1_BMYPB1_83797157_ec0fea5a">#REF!</definedName>
    <definedName name="_vena_DYNR_SMYPS1_BMYPB1_83797157_ec341533">#REF!</definedName>
    <definedName name="_vena_DYNR_SMYPS1_BMYPB1_83797157_ee5ee787">#REF!</definedName>
    <definedName name="_vena_DYNR_SMYPS1_BMYPB1_83797157_f323bd31">#REF!</definedName>
    <definedName name="_vena_DYNR_SMYPS1_BMYPB1_83797157_fe11af52">#REF!</definedName>
    <definedName name="_vena_DYNR_SMYPS1_BMYPB1_83797157_ff93c51e">#REF!</definedName>
    <definedName name="_vena_DYNR_SMYPS1_BMYPB1_922a4b33">#REF!</definedName>
    <definedName name="_vena_DYNR_SMYPS1_BMYPB1_922a4b33_372ff3fd">#REF!</definedName>
    <definedName name="_vena_DYNR_SMYPS1_BMYPB1_922a4b33_374daec0">#REF!</definedName>
    <definedName name="_vena_DYNR_SMYPS1_BMYPB1_922a4b33_58e8725f">#REF!</definedName>
    <definedName name="_vena_DYNR_SMYPS1_BMYPB1_922a4b33_688b32f4">#REF!</definedName>
    <definedName name="_vena_DYNR_SMYPS1_BMYPB1_922a4b33_7e52e276">#REF!</definedName>
    <definedName name="_vena_DYNR_SMYPS1_BMYPB1_922a4b33_7e917093">#REF!</definedName>
    <definedName name="_vena_DYNR_SMYPS1_BMYPB1_922a4b33_992dcecb">#REF!</definedName>
    <definedName name="_vena_DYNR_SMYPS1_BMYPB1_922a4b33_9e2876c6">#REF!</definedName>
    <definedName name="_vena_DYNR_SMYPS1_BMYPB1_922a4b33_c4a98b9f">#REF!</definedName>
    <definedName name="_vena_DYNR_SMYPS1_BMYPB1_922a4b33_d12d039c">#REF!</definedName>
    <definedName name="_vena_DYNR_SMYPS1_BMYPB1_922a4b33_d4e4a824">#REF!</definedName>
    <definedName name="_vena_DYNR_SMYPS1_BMYPB1_922a4b33_d5fd7f73">#REF!</definedName>
    <definedName name="_vena_DYNR_SMYPS1_BMYPB1_922a4b33_dd22f17a">#REF!</definedName>
    <definedName name="_vena_DYNR_SMYPS1_BMYPB1_922a4b33_df8b2768">#REF!</definedName>
    <definedName name="_vena_DYNR_SMYPS1_BMYPB1_922a4b33_f43a22a5">#REF!</definedName>
    <definedName name="_vena_DYNR_SMYPS1_BMYPB1_922a4b33_f4e559a6">#REF!</definedName>
    <definedName name="_vena_DYNR_SMYPS1_BMYPB1_9e1b2218">#REF!</definedName>
    <definedName name="_vena_DYNR_SMYPS1_BMYPB1_9e1b2218_16f9a6e6">#REF!</definedName>
    <definedName name="_vena_DYNR_SMYPS1_BMYPB1_9e1b2218_17bdc4f">#REF!</definedName>
    <definedName name="_vena_DYNR_SMYPS1_BMYPB1_9e1b2218_24f26108">#REF!</definedName>
    <definedName name="_vena_DYNR_SMYPS1_BMYPB1_9e1b2218_2dce1811">#REF!</definedName>
    <definedName name="_vena_DYNR_SMYPS1_BMYPB1_9e1b2218_300cba7e">#REF!</definedName>
    <definedName name="_vena_DYNR_SMYPS1_BMYPB1_9e1b2218_355154c4">#REF!</definedName>
    <definedName name="_vena_DYNR_SMYPS1_BMYPB1_9e1b2218_3cf255c8">#REF!</definedName>
    <definedName name="_vena_DYNR_SMYPS1_BMYPB1_9e1b2218_4b52e45c">#REF!</definedName>
    <definedName name="_vena_DYNR_SMYPS1_BMYPB1_9e1b2218_5230ee19">#REF!</definedName>
    <definedName name="_vena_DYNR_SMYPS1_BMYPB1_9e1b2218_592d9de5">#REF!</definedName>
    <definedName name="_vena_DYNR_SMYPS1_BMYPB1_9e1b2218_59e81c6e">#REF!</definedName>
    <definedName name="_vena_DYNR_SMYPS1_BMYPB1_9e1b2218_5ffa67b7">#REF!</definedName>
    <definedName name="_vena_DYNR_SMYPS1_BMYPB1_9e1b2218_635b703e">#REF!</definedName>
    <definedName name="_vena_DYNR_SMYPS1_BMYPB1_9e1b2218_64384bd2">#REF!</definedName>
    <definedName name="_vena_DYNR_SMYPS1_BMYPB1_9e1b2218_6c78beb">#REF!</definedName>
    <definedName name="_vena_DYNR_SMYPS1_BMYPB1_9e1b2218_6caa7093">#REF!</definedName>
    <definedName name="_vena_DYNR_SMYPS1_BMYPB1_9e1b2218_6e4fa2c1">#REF!</definedName>
    <definedName name="_vena_DYNR_SMYPS1_BMYPB1_9e1b2218_754c7428">#REF!</definedName>
    <definedName name="_vena_DYNR_SMYPS1_BMYPB1_9e1b2218_7647aa0c">#REF!</definedName>
    <definedName name="_vena_DYNR_SMYPS1_BMYPB1_9e1b2218_76644b8">#REF!</definedName>
    <definedName name="_vena_DYNR_SMYPS1_BMYPB1_9e1b2218_7a549047">#REF!</definedName>
    <definedName name="_vena_DYNR_SMYPS1_BMYPB1_9e1b2218_7a662eb3">#REF!</definedName>
    <definedName name="_vena_DYNR_SMYPS1_BMYPB1_9e1b2218_7efc634e">#REF!</definedName>
    <definedName name="_vena_DYNR_SMYPS1_BMYPB1_9e1b2218_8586d639">#REF!</definedName>
    <definedName name="_vena_DYNR_SMYPS1_BMYPB1_9e1b2218_8a09e957">#REF!</definedName>
    <definedName name="_vena_DYNR_SMYPS1_BMYPB1_9e1b2218_8ac2905c">#REF!</definedName>
    <definedName name="_vena_DYNR_SMYPS1_BMYPB1_9e1b2218_8e00dee3">#REF!</definedName>
    <definedName name="_vena_DYNR_SMYPS1_BMYPB1_9e1b2218_98116c69">#REF!</definedName>
    <definedName name="_vena_DYNR_SMYPS1_BMYPB1_9e1b2218_9f96e67e">#REF!</definedName>
    <definedName name="_vena_DYNR_SMYPS1_BMYPB1_9e1b2218_a7c9e6db">#REF!</definedName>
    <definedName name="_vena_DYNR_SMYPS1_BMYPB1_9e1b2218_a888d25">#REF!</definedName>
    <definedName name="_vena_DYNR_SMYPS1_BMYPB1_9e1b2218_a9728cdd">#REF!</definedName>
    <definedName name="_vena_DYNR_SMYPS1_BMYPB1_9e1b2218_ac102ab9">#REF!</definedName>
    <definedName name="_vena_DYNR_SMYPS1_BMYPB1_9e1b2218_b1f729d1">#REF!</definedName>
    <definedName name="_vena_DYNR_SMYPS1_BMYPB1_9e1b2218_b29f4f61">#REF!</definedName>
    <definedName name="_vena_DYNR_SMYPS1_BMYPB1_9e1b2218_b571a24a">#REF!</definedName>
    <definedName name="_vena_DYNR_SMYPS1_BMYPB1_9e1b2218_b99987c8">#REF!</definedName>
    <definedName name="_vena_DYNR_SMYPS1_BMYPB1_9e1b2218_be1ddb19">#REF!</definedName>
    <definedName name="_vena_DYNR_SMYPS1_BMYPB1_9e1b2218_c01c162">#REF!</definedName>
    <definedName name="_vena_DYNR_SMYPS1_BMYPB1_9e1b2218_c496b3c5">#REF!</definedName>
    <definedName name="_vena_DYNR_SMYPS1_BMYPB1_9e1b2218_d5440631">#REF!</definedName>
    <definedName name="_vena_DYNR_SMYPS1_BMYPB1_9e1b2218_d8c04f09">#REF!</definedName>
    <definedName name="_vena_DYNR_SMYPS1_BMYPB1_9e1b2218_de9c5425">#REF!</definedName>
    <definedName name="_vena_DYNR_SMYPS1_BMYPB1_9e1b2218_dfa19fcc">#REF!</definedName>
    <definedName name="_vena_DYNR_SMYPS1_BMYPB1_9e1b2218_dffafd8a">#REF!</definedName>
    <definedName name="_vena_DYNR_SMYPS1_BMYPB1_9e1b2218_e40e7925">#REF!</definedName>
    <definedName name="_vena_DYNR_SMYPS1_BMYPB1_9e1b2218_e7c1a26">#REF!</definedName>
    <definedName name="_vena_DYNR_SMYPS1_BMYPB1_9e1b2218_eac03fa1">#REF!</definedName>
    <definedName name="_vena_DYNR_SMYPS1_BMYPB1_9e1b2218_eaed8b4c">#REF!</definedName>
    <definedName name="_vena_DYNR_SMYPS1_BMYPB1_9e1b2218_eea372ae">#REF!</definedName>
    <definedName name="_vena_DYNR_SMYPS1_BMYPB1_9e1b2218_f4040dd3">#REF!</definedName>
    <definedName name="_vena_DYNR_SMYPS1_BMYPB1_9e1b2218_f61f27fa">#REF!</definedName>
    <definedName name="_vena_DYNR_SMYPS1_BMYPB1_9e1b2218_f6599cab">#REF!</definedName>
    <definedName name="_vena_DYNR_SMYPS1_BMYPB1_9e1b2218_fbae636c">#REF!</definedName>
    <definedName name="_vena_DYNR_SMYPS1_BMYPB1_aecde55">#REF!</definedName>
    <definedName name="_vena_DYNR_SMYPS1_BMYPB1_aecde55_434a162f">#REF!</definedName>
    <definedName name="_vena_DYNR_SMYPS1_BMYPB1_aecde55_5945e8ef">#REF!</definedName>
    <definedName name="_vena_DYNR_SMYPS1_BMYPB1_aecde55_74b4ff9a">#REF!</definedName>
    <definedName name="_vena_DYNR_SMYPS1_BMYPB1_aecde55_7e6ae041">#REF!</definedName>
    <definedName name="_vena_DYNR_SMYPS1_BMYPB1_aecde55_99ad7acb">#REF!</definedName>
    <definedName name="_vena_DYNR_SMYPS1_BMYPB1_aecde55_a0c28317">#REF!</definedName>
    <definedName name="_vena_DYNR_SMYPS1_BMYPB1_aecde55_a7e99b5d">#REF!</definedName>
    <definedName name="_vena_DYNR_SMYPS1_BMYPB1_aecde55_b485db99">#REF!</definedName>
    <definedName name="_vena_DYNR_SMYPS1_BMYPB1_aecde55_c4eb6888">#REF!</definedName>
    <definedName name="_vena_DYNR_SMYPS1_BMYPB1_aecde55_dd0627d">#REF!</definedName>
    <definedName name="_vena_DYNR_SMYPS1_BMYPB1_aecde55_e65a734d">#REF!</definedName>
    <definedName name="_vena_DYNR_SMYPS1_BMYPB1_b1756ba0">#REF!</definedName>
    <definedName name="_vena_DYNR_SMYPS1_BMYPB1_b1756ba0_17bff8b3">#REF!</definedName>
    <definedName name="_vena_DYNR_SMYPS1_BMYPB1_b1756ba0_22979a47">#REF!</definedName>
    <definedName name="_vena_DYNR_SMYPS1_BMYPB1_b1756ba0_2492ae58">#REF!</definedName>
    <definedName name="_vena_DYNR_SMYPS1_BMYPB1_b1756ba0_37bff5b5">#REF!</definedName>
    <definedName name="_vena_DYNR_SMYPS1_BMYPB1_b1756ba0_671af972">#REF!</definedName>
    <definedName name="_vena_DYNR_SMYPS1_BMYPB1_b1756ba0_68b3550f">#REF!</definedName>
    <definedName name="_vena_DYNR_SMYPS1_BMYPB1_b1756ba0_6d2afe73">#REF!</definedName>
    <definedName name="_vena_DYNR_SMYPS1_BMYPB1_b1756ba0_73b187b0">#REF!</definedName>
    <definedName name="_vena_DYNR_SMYPS1_BMYPB1_b1756ba0_9c86bb80">#REF!</definedName>
    <definedName name="_vena_DYNR_SMYPS1_BMYPB1_b1756ba0_a7f6afe1">#REF!</definedName>
    <definedName name="_vena_DYNR_SMYPS1_BMYPB1_b1756ba0_abb27a62">#REF!</definedName>
    <definedName name="_vena_DYNR_SMYPS1_BMYPB1_b1756ba0_b63ab6c3">#REF!</definedName>
    <definedName name="_vena_DYNR_SMYPS1_BMYPB1_b1756ba0_b972b4e3">#REF!</definedName>
    <definedName name="_vena_DYNR_SMYPS1_BMYPB1_b1756ba0_bcd57fe1">#REF!</definedName>
    <definedName name="_vena_DYNR_SMYPS1_BMYPB1_b1756ba0_ec4e7b6f">#REF!</definedName>
    <definedName name="_vena_DYNR_SMYPS1_BMYPB1_b6854a67">#REF!</definedName>
    <definedName name="_vena_DYNR_SMYPS1_BMYPB1_b6854a67_10da7cc4">#REF!</definedName>
    <definedName name="_vena_DYNR_SMYPS1_BMYPB1_b6854a67_127bc79a">#REF!</definedName>
    <definedName name="_vena_DYNR_SMYPS1_BMYPB1_b6854a67_1641c3">#REF!</definedName>
    <definedName name="_vena_DYNR_SMYPS1_BMYPB1_b6854a67_199bad33">#REF!</definedName>
    <definedName name="_vena_DYNR_SMYPS1_BMYPB1_b6854a67_1cd62571">#REF!</definedName>
    <definedName name="_vena_DYNR_SMYPS1_BMYPB1_b6854a67_1e367b2c">#REF!</definedName>
    <definedName name="_vena_DYNR_SMYPS1_BMYPB1_b6854a67_272a4fbf">#REF!</definedName>
    <definedName name="_vena_DYNR_SMYPS1_BMYPB1_b6854a67_2767d04a">#REF!</definedName>
    <definedName name="_vena_DYNR_SMYPS1_BMYPB1_b6854a67_28d2915">#REF!</definedName>
    <definedName name="_vena_DYNR_SMYPS1_BMYPB1_b6854a67_35e03f10">#REF!</definedName>
    <definedName name="_vena_DYNR_SMYPS1_BMYPB1_b6854a67_362be506">#REF!</definedName>
    <definedName name="_vena_DYNR_SMYPS1_BMYPB1_b6854a67_3927af58">#REF!</definedName>
    <definedName name="_vena_DYNR_SMYPS1_BMYPB1_b6854a67_422939a7">#REF!</definedName>
    <definedName name="_vena_DYNR_SMYPS1_BMYPB1_b6854a67_462437c0">#REF!</definedName>
    <definedName name="_vena_DYNR_SMYPS1_BMYPB1_b6854a67_4cf7b6ba">#REF!</definedName>
    <definedName name="_vena_DYNR_SMYPS1_BMYPB1_b6854a67_55e3dd6c">#REF!</definedName>
    <definedName name="_vena_DYNR_SMYPS1_BMYPB1_b6854a67_6f3f9d2">#REF!</definedName>
    <definedName name="_vena_DYNR_SMYPS1_BMYPB1_b6854a67_72775635">#REF!</definedName>
    <definedName name="_vena_DYNR_SMYPS1_BMYPB1_b6854a67_77372e44">#REF!</definedName>
    <definedName name="_vena_DYNR_SMYPS1_BMYPB1_b6854a67_80a4b303">#REF!</definedName>
    <definedName name="_vena_DYNR_SMYPS1_BMYPB1_b6854a67_80a8d6e3">#REF!</definedName>
    <definedName name="_vena_DYNR_SMYPS1_BMYPB1_b6854a67_8100746c">#REF!</definedName>
    <definedName name="_vena_DYNR_SMYPS1_BMYPB1_b6854a67_866b621b">#REF!</definedName>
    <definedName name="_vena_DYNR_SMYPS1_BMYPB1_b6854a67_8c30155a">#REF!</definedName>
    <definedName name="_vena_DYNR_SMYPS1_BMYPB1_b6854a67_91044d22">#REF!</definedName>
    <definedName name="_vena_DYNR_SMYPS1_BMYPB1_b6854a67_94538a8">#REF!</definedName>
    <definedName name="_vena_DYNR_SMYPS1_BMYPB1_b6854a67_9ebd90ac">#REF!</definedName>
    <definedName name="_vena_DYNR_SMYPS1_BMYPB1_b6854a67_a2359adf">#REF!</definedName>
    <definedName name="_vena_DYNR_SMYPS1_BMYPB1_b6854a67_a3b352e9">#REF!</definedName>
    <definedName name="_vena_DYNR_SMYPS1_BMYPB1_b6854a67_a97c26bc">#REF!</definedName>
    <definedName name="_vena_DYNR_SMYPS1_BMYPB1_b6854a67_af8edeb8">#REF!</definedName>
    <definedName name="_vena_DYNR_SMYPS1_BMYPB1_b6854a67_b021c941">#REF!</definedName>
    <definedName name="_vena_DYNR_SMYPS1_BMYPB1_b6854a67_b278b2f4">#REF!</definedName>
    <definedName name="_vena_DYNR_SMYPS1_BMYPB1_b6854a67_b6a38585">#REF!</definedName>
    <definedName name="_vena_DYNR_SMYPS1_BMYPB1_b6854a67_b7f17608">#REF!</definedName>
    <definedName name="_vena_DYNR_SMYPS1_BMYPB1_b6854a67_f0047864">#REF!</definedName>
    <definedName name="_vena_DYNR_SMYPS1_BMYPB1_cd68cee4">#REF!</definedName>
    <definedName name="_vena_DYNR_SMYPS1_BMYPB1_cd68cee4_16ddc18a">#REF!</definedName>
    <definedName name="_vena_DYNR_SMYPS1_BMYPB1_cd68cee4_17d3d356">#REF!</definedName>
    <definedName name="_vena_DYNR_SMYPS1_BMYPB1_cd68cee4_19322099">#REF!</definedName>
    <definedName name="_vena_DYNR_SMYPS1_BMYPB1_cd68cee4_1b3daa5f">#REF!</definedName>
    <definedName name="_vena_DYNR_SMYPS1_BMYPB1_cd68cee4_1b609f7d">#REF!</definedName>
    <definedName name="_vena_DYNR_SMYPS1_BMYPB1_cd68cee4_1cf0d739">#REF!</definedName>
    <definedName name="_vena_DYNR_SMYPS1_BMYPB1_cd68cee4_1e5b7177">#REF!</definedName>
    <definedName name="_vena_DYNR_SMYPS1_BMYPB1_cd68cee4_207351ba">#REF!</definedName>
    <definedName name="_vena_DYNR_SMYPS1_BMYPB1_cd68cee4_215a76e2">#REF!</definedName>
    <definedName name="_vena_DYNR_SMYPS1_BMYPB1_cd68cee4_254e3bfb">#REF!</definedName>
    <definedName name="_vena_DYNR_SMYPS1_BMYPB1_cd68cee4_29113fe1">#REF!</definedName>
    <definedName name="_vena_DYNR_SMYPS1_BMYPB1_cd68cee4_29e4ef0c">#REF!</definedName>
    <definedName name="_vena_DYNR_SMYPS1_BMYPB1_cd68cee4_2d6ef3b8">#REF!</definedName>
    <definedName name="_vena_DYNR_SMYPS1_BMYPB1_cd68cee4_2f3e24f">#REF!</definedName>
    <definedName name="_vena_DYNR_SMYPS1_BMYPB1_cd68cee4_3171c24d">#REF!</definedName>
    <definedName name="_vena_DYNR_SMYPS1_BMYPB1_cd68cee4_32d84cbd">#REF!</definedName>
    <definedName name="_vena_DYNR_SMYPS1_BMYPB1_cd68cee4_337b8a08">#REF!</definedName>
    <definedName name="_vena_DYNR_SMYPS1_BMYPB1_cd68cee4_36051fdb">#REF!</definedName>
    <definedName name="_vena_DYNR_SMYPS1_BMYPB1_cd68cee4_3639eb90">#REF!</definedName>
    <definedName name="_vena_DYNR_SMYPS1_BMYPB1_cd68cee4_3daac772">#REF!</definedName>
    <definedName name="_vena_DYNR_SMYPS1_BMYPB1_cd68cee4_3dfb96d">#REF!</definedName>
    <definedName name="_vena_DYNR_SMYPS1_BMYPB1_cd68cee4_3e68d9c">#REF!</definedName>
    <definedName name="_vena_DYNR_SMYPS1_BMYPB1_cd68cee4_412a0e04">#REF!</definedName>
    <definedName name="_vena_DYNR_SMYPS1_BMYPB1_cd68cee4_41960903">#REF!</definedName>
    <definedName name="_vena_DYNR_SMYPS1_BMYPB1_cd68cee4_437a5c8e">#REF!</definedName>
    <definedName name="_vena_DYNR_SMYPS1_BMYPB1_cd68cee4_453d3c16">#REF!</definedName>
    <definedName name="_vena_DYNR_SMYPS1_BMYPB1_cd68cee4_460f34e8">#REF!</definedName>
    <definedName name="_vena_DYNR_SMYPS1_BMYPB1_cd68cee4_4756645f">#REF!</definedName>
    <definedName name="_vena_DYNR_SMYPS1_BMYPB1_cd68cee4_479298a2">#REF!</definedName>
    <definedName name="_vena_DYNR_SMYPS1_BMYPB1_cd68cee4_47d74452">#REF!</definedName>
    <definedName name="_vena_DYNR_SMYPS1_BMYPB1_cd68cee4_4815ca84">#REF!</definedName>
    <definedName name="_vena_DYNR_SMYPS1_BMYPB1_cd68cee4_48a46adb">#REF!</definedName>
    <definedName name="_vena_DYNR_SMYPS1_BMYPB1_cd68cee4_48ab5d4d">#REF!</definedName>
    <definedName name="_vena_DYNR_SMYPS1_BMYPB1_cd68cee4_499a619a">#REF!</definedName>
    <definedName name="_vena_DYNR_SMYPS1_BMYPB1_cd68cee4_4d234410">#REF!</definedName>
    <definedName name="_vena_DYNR_SMYPS1_BMYPB1_cd68cee4_4e5940b0">#REF!</definedName>
    <definedName name="_vena_DYNR_SMYPS1_BMYPB1_cd68cee4_4faa9db6">#REF!</definedName>
    <definedName name="_vena_DYNR_SMYPS1_BMYPB1_cd68cee4_50380177">#REF!</definedName>
    <definedName name="_vena_DYNR_SMYPS1_BMYPB1_cd68cee4_50fdbe54">#REF!</definedName>
    <definedName name="_vena_DYNR_SMYPS1_BMYPB1_cd68cee4_52533d12">#REF!</definedName>
    <definedName name="_vena_DYNR_SMYPS1_BMYPB1_cd68cee4_546dcf1f">#REF!</definedName>
    <definedName name="_vena_DYNR_SMYPS1_BMYPB1_cd68cee4_54fa336c">#REF!</definedName>
    <definedName name="_vena_DYNR_SMYPS1_BMYPB1_cd68cee4_59d13cb4">#REF!</definedName>
    <definedName name="_vena_DYNR_SMYPS1_BMYPB1_cd68cee4_60851229">#REF!</definedName>
    <definedName name="_vena_DYNR_SMYPS1_BMYPB1_cd68cee4_629f77ba">#REF!</definedName>
    <definedName name="_vena_DYNR_SMYPS1_BMYPB1_cd68cee4_65c4a89a">#REF!</definedName>
    <definedName name="_vena_DYNR_SMYPS1_BMYPB1_cd68cee4_6818cf8f">#REF!</definedName>
    <definedName name="_vena_DYNR_SMYPS1_BMYPB1_cd68cee4_6b8dec90">#REF!</definedName>
    <definedName name="_vena_DYNR_SMYPS1_BMYPB1_cd68cee4_6bbec123">#REF!</definedName>
    <definedName name="_vena_DYNR_SMYPS1_BMYPB1_cd68cee4_6c4f8869">#REF!</definedName>
    <definedName name="_vena_DYNR_SMYPS1_BMYPB1_cd68cee4_6dcb8492">#REF!</definedName>
    <definedName name="_vena_DYNR_SMYPS1_BMYPB1_cd68cee4_6e712a80">#REF!</definedName>
    <definedName name="_vena_DYNR_SMYPS1_BMYPB1_cd68cee4_6edff473">#REF!</definedName>
    <definedName name="_vena_DYNR_SMYPS1_BMYPB1_cd68cee4_6f0b59f0">#REF!</definedName>
    <definedName name="_vena_DYNR_SMYPS1_BMYPB1_cd68cee4_71bbb4ca">#REF!</definedName>
    <definedName name="_vena_DYNR_SMYPS1_BMYPB1_cd68cee4_71c76295">#REF!</definedName>
    <definedName name="_vena_DYNR_SMYPS1_BMYPB1_cd68cee4_71cf5cb9">#REF!</definedName>
    <definedName name="_vena_DYNR_SMYPS1_BMYPB1_cd68cee4_776db23">#REF!</definedName>
    <definedName name="_vena_DYNR_SMYPS1_BMYPB1_cd68cee4_780facde">#REF!</definedName>
    <definedName name="_vena_DYNR_SMYPS1_BMYPB1_cd68cee4_79f96690">#REF!</definedName>
    <definedName name="_vena_DYNR_SMYPS1_BMYPB1_cd68cee4_7d7a8ed4">#REF!</definedName>
    <definedName name="_vena_DYNR_SMYPS1_BMYPB1_cd68cee4_813a262d">#REF!</definedName>
    <definedName name="_vena_DYNR_SMYPS1_BMYPB1_cd68cee4_81b23b2">#REF!</definedName>
    <definedName name="_vena_DYNR_SMYPS1_BMYPB1_cd68cee4_82f8fc29">#REF!</definedName>
    <definedName name="_vena_DYNR_SMYPS1_BMYPB1_cd68cee4_856e8d23">#REF!</definedName>
    <definedName name="_vena_DYNR_SMYPS1_BMYPB1_cd68cee4_8776b34c">#REF!</definedName>
    <definedName name="_vena_DYNR_SMYPS1_BMYPB1_cd68cee4_8d87f528">#REF!</definedName>
    <definedName name="_vena_DYNR_SMYPS1_BMYPB1_cd68cee4_91cb77f3">#REF!</definedName>
    <definedName name="_vena_DYNR_SMYPS1_BMYPB1_cd68cee4_92527bc9">#REF!</definedName>
    <definedName name="_vena_DYNR_SMYPS1_BMYPB1_cd68cee4_94d38350">#REF!</definedName>
    <definedName name="_vena_DYNR_SMYPS1_BMYPB1_cd68cee4_9512132b">#REF!</definedName>
    <definedName name="_vena_DYNR_SMYPS1_BMYPB1_cd68cee4_95e3bcd2">#REF!</definedName>
    <definedName name="_vena_DYNR_SMYPS1_BMYPB1_cd68cee4_9706f8e">#REF!</definedName>
    <definedName name="_vena_DYNR_SMYPS1_BMYPB1_cd68cee4_98c697f5">#REF!</definedName>
    <definedName name="_vena_DYNR_SMYPS1_BMYPB1_cd68cee4_9c271138">#REF!</definedName>
    <definedName name="_vena_DYNR_SMYPS1_BMYPB1_cd68cee4_9ecac997">#REF!</definedName>
    <definedName name="_vena_DYNR_SMYPS1_BMYPB1_cd68cee4_a0eb1156">#REF!</definedName>
    <definedName name="_vena_DYNR_SMYPS1_BMYPB1_cd68cee4_a33d98c1">#REF!</definedName>
    <definedName name="_vena_DYNR_SMYPS1_BMYPB1_cd68cee4_a39af25a">#REF!</definedName>
    <definedName name="_vena_DYNR_SMYPS1_BMYPB1_cd68cee4_a3eff880">#REF!</definedName>
    <definedName name="_vena_DYNR_SMYPS1_BMYPB1_cd68cee4_a66f4d5d">#REF!</definedName>
    <definedName name="_vena_DYNR_SMYPS1_BMYPB1_cd68cee4_a7e52147">#REF!</definedName>
    <definedName name="_vena_DYNR_SMYPS1_BMYPB1_cd68cee4_a9220d39">#REF!</definedName>
    <definedName name="_vena_DYNR_SMYPS1_BMYPB1_cd68cee4_a9fcc946">#REF!</definedName>
    <definedName name="_vena_DYNR_SMYPS1_BMYPB1_cd68cee4_ac67959e">#REF!</definedName>
    <definedName name="_vena_DYNR_SMYPS1_BMYPB1_cd68cee4_aca796a2">#REF!</definedName>
    <definedName name="_vena_DYNR_SMYPS1_BMYPB1_cd68cee4_ad35e7e">#REF!</definedName>
    <definedName name="_vena_DYNR_SMYPS1_BMYPB1_cd68cee4_b442fd13">#REF!</definedName>
    <definedName name="_vena_DYNR_SMYPS1_BMYPB1_cd68cee4_b534ce">#REF!</definedName>
    <definedName name="_vena_DYNR_SMYPS1_BMYPB1_cd68cee4_bd7009c">#REF!</definedName>
    <definedName name="_vena_DYNR_SMYPS1_BMYPB1_cd68cee4_c26a45b5">#REF!</definedName>
    <definedName name="_vena_DYNR_SMYPS1_BMYPB1_cd68cee4_c8a59729">#REF!</definedName>
    <definedName name="_vena_DYNR_SMYPS1_BMYPB1_cd68cee4_ca733e22">#REF!</definedName>
    <definedName name="_vena_DYNR_SMYPS1_BMYPB1_cd68cee4_cd7bff0e">#REF!</definedName>
    <definedName name="_vena_DYNR_SMYPS1_BMYPB1_cd68cee4_d0ce571d">#REF!</definedName>
    <definedName name="_vena_DYNR_SMYPS1_BMYPB1_cd68cee4_d434b206">#REF!</definedName>
    <definedName name="_vena_DYNR_SMYPS1_BMYPB1_cd68cee4_da779444">#REF!</definedName>
    <definedName name="_vena_DYNR_SMYPS1_BMYPB1_cd68cee4_e517db61">#REF!</definedName>
    <definedName name="_vena_DYNR_SMYPS1_BMYPB1_cd68cee4_ea3bf831">#REF!</definedName>
    <definedName name="_vena_DYNR_SMYPS1_BMYPB1_cd68cee4_eae55">#REF!</definedName>
    <definedName name="_vena_DYNR_SMYPS1_BMYPB1_cd68cee4_ed90f6cd">#REF!</definedName>
    <definedName name="_vena_DYNR_SMYPS1_BMYPB1_cd68cee4_f3f00b7f">#REF!</definedName>
    <definedName name="_vena_DYNR_SMYPS1_BMYPB1_cd68cee4_f482832e">#REF!</definedName>
    <definedName name="_vena_DYNR_SMYPS1_BMYPB1_cd68cee4_fa04207a">#REF!</definedName>
    <definedName name="_vena_DYNR_SMYPS1_BMYPB1_cd68cee4_ff39defd">#REF!</definedName>
    <definedName name="_vena_DYNR_SMYPS1_BMYPB1_f231b200">#REF!</definedName>
    <definedName name="_vena_DYNR_SMYPS1_BMYPB1_f231b200_13d87548">#REF!</definedName>
    <definedName name="_vena_DYNR_SMYPS1_BMYPB1_f231b200_1ee55c98">#REF!</definedName>
    <definedName name="_vena_DYNR_SMYPS1_BMYPB1_f231b200_265e6141">#REF!</definedName>
    <definedName name="_vena_DYNR_SMYPS1_BMYPB1_f231b200_2f249354">#REF!</definedName>
    <definedName name="_vena_DYNR_SMYPS1_BMYPB1_f231b200_3294cc46">#REF!</definedName>
    <definedName name="_vena_DYNR_SMYPS1_BMYPB1_f231b200_353fa31">#REF!</definedName>
    <definedName name="_vena_DYNR_SMYPS1_BMYPB1_f231b200_3822e394">#REF!</definedName>
    <definedName name="_vena_DYNR_SMYPS1_BMYPB1_f231b200_39a0931f">#REF!</definedName>
    <definedName name="_vena_DYNR_SMYPS1_BMYPB1_f231b200_47d47a40">#REF!</definedName>
    <definedName name="_vena_DYNR_SMYPS1_BMYPB1_f231b200_4d27981">#REF!</definedName>
    <definedName name="_vena_DYNR_SMYPS1_BMYPB1_f231b200_4fb49163">#REF!</definedName>
    <definedName name="_vena_DYNR_SMYPS1_BMYPB1_f231b200_59e34379">#REF!</definedName>
    <definedName name="_vena_DYNR_SMYPS1_BMYPB1_f231b200_70603a97">#REF!</definedName>
    <definedName name="_vena_DYNR_SMYPS1_BMYPB1_f231b200_70bdbe2d">#REF!</definedName>
    <definedName name="_vena_DYNR_SMYPS1_BMYPB1_f231b200_7970f6d3">#REF!</definedName>
    <definedName name="_vena_DYNR_SMYPS1_BMYPB1_f231b200_877cdcec">#REF!</definedName>
    <definedName name="_vena_DYNR_SMYPS1_BMYPB1_f231b200_899ebb63">#REF!</definedName>
    <definedName name="_vena_DYNR_SMYPS1_BMYPB1_f231b200_8d2c83c0">#REF!</definedName>
    <definedName name="_vena_DYNR_SMYPS1_BMYPB1_f231b200_95e5afb3">#REF!</definedName>
    <definedName name="_vena_DYNR_SMYPS1_BMYPB1_f231b200_a638ec00">#REF!</definedName>
    <definedName name="_vena_DYNR_SMYPS1_BMYPB1_f231b200_a7477cf3">#REF!</definedName>
    <definedName name="_vena_DYNR_SMYPS1_BMYPB1_f231b200_a98ec4d4">#REF!</definedName>
    <definedName name="_vena_DYNR_SMYPS1_BMYPB1_f231b200_b4ae987d">#REF!</definedName>
    <definedName name="_vena_DYNR_SMYPS1_BMYPB1_f231b200_bec37bb5">#REF!</definedName>
    <definedName name="_vena_DYNR_SMYPS1_BMYPB1_f231b200_c94b5ccd">#REF!</definedName>
    <definedName name="_vena_DYNR_SMYPS1_BMYPB1_f231b200_cc93e694">#REF!</definedName>
    <definedName name="_vena_DYNR_SMYPS1_BMYPB1_f231b200_cf1e5d39">#REF!</definedName>
    <definedName name="_vena_DYNR_SMYPS1_BMYPB1_f231b200_e571d933">#REF!</definedName>
    <definedName name="_vena_DYNR_SMYPS1_BMYPB1_f231b200_ecb6a94d">#REF!</definedName>
    <definedName name="_vena_DYNR_SMYPS1_BMYPB1_f231b200_ede38cf4">#REF!</definedName>
    <definedName name="_vena_DYNR_SMYPS1_BMYPB1_f231b200_f10121e1">#REF!</definedName>
    <definedName name="_vena_DYNR_SMYPS1_BMYPB1_f231b200_f10870a0">#REF!</definedName>
    <definedName name="_vena_DYNR_SMYPS1_BMYPB2_1a7f522f">#REF!</definedName>
    <definedName name="_vena_DYNR_SMYPS1_BMYPB2_1a7f522f_1a5f847e">#REF!</definedName>
    <definedName name="_vena_DYNR_SMYPS1_BMYPB2_1a7f522f_1e9b23c3">#REF!</definedName>
    <definedName name="_vena_DYNR_SMYPS1_BMYPB2_1a7f522f_30d751d7">#REF!</definedName>
    <definedName name="_vena_DYNR_SMYPS1_BMYPB2_1a7f522f_3209ec54">#REF!</definedName>
    <definedName name="_vena_DYNR_SMYPS1_BMYPB2_1a7f522f_372039bc">#REF!</definedName>
    <definedName name="_vena_DYNR_SMYPS1_BMYPB2_1a7f522f_41d13056">#REF!</definedName>
    <definedName name="_vena_DYNR_SMYPS1_BMYPB2_1a7f522f_45cee20a">#REF!</definedName>
    <definedName name="_vena_DYNR_SMYPS1_BMYPB2_1a7f522f_4a5ab19e">#REF!</definedName>
    <definedName name="_vena_DYNR_SMYPS1_BMYPB2_1a7f522f_547b02d5">#REF!</definedName>
    <definedName name="_vena_DYNR_SMYPS1_BMYPB2_1a7f522f_562631d2">#REF!</definedName>
    <definedName name="_vena_DYNR_SMYPS1_BMYPB2_1a7f522f_56451b7d">#REF!</definedName>
    <definedName name="_vena_DYNR_SMYPS1_BMYPB2_1a7f522f_5856035c">#REF!</definedName>
    <definedName name="_vena_DYNR_SMYPS1_BMYPB2_1a7f522f_829a9937">#REF!</definedName>
    <definedName name="_vena_DYNR_SMYPS1_BMYPB2_1a7f522f_84489739">#REF!</definedName>
    <definedName name="_vena_DYNR_SMYPS1_BMYPB2_1a7f522f_846259e5">#REF!</definedName>
    <definedName name="_vena_DYNR_SMYPS1_BMYPB2_1a7f522f_9354fe9">#REF!</definedName>
    <definedName name="_vena_DYNR_SMYPS1_BMYPB2_1a7f522f_948f4b2c">#REF!</definedName>
    <definedName name="_vena_DYNR_SMYPS1_BMYPB2_1a7f522f_a1094f2d">#REF!</definedName>
    <definedName name="_vena_DYNR_SMYPS1_BMYPB2_1a7f522f_a1d9ede5">#REF!</definedName>
    <definedName name="_vena_DYNR_SMYPS1_BMYPB2_1a7f522f_a45bc3ac">#REF!</definedName>
    <definedName name="_vena_DYNR_SMYPS1_BMYPB2_1a7f522f_ab87c3f6">#REF!</definedName>
    <definedName name="_vena_DYNR_SMYPS1_BMYPB2_1a7f522f_adfe01b3">#REF!</definedName>
    <definedName name="_vena_DYNR_SMYPS1_BMYPB2_1a7f522f_aeeaffa7">#REF!</definedName>
    <definedName name="_vena_DYNR_SMYPS1_BMYPB2_1a7f522f_b60557a3">#REF!</definedName>
    <definedName name="_vena_DYNR_SMYPS1_BMYPB2_1a7f522f_be9367b5">#REF!</definedName>
    <definedName name="_vena_DYNR_SMYPS1_BMYPB2_1a7f522f_c59c1d53">#REF!</definedName>
    <definedName name="_vena_DYNR_SMYPS1_BMYPB2_1a7f522f_c6411543">#REF!</definedName>
    <definedName name="_vena_DYNR_SMYPS1_BMYPB2_1a7f522f_d729ac5">#REF!</definedName>
    <definedName name="_vena_DYNR_SMYPS1_BMYPB2_1a7f522f_e2e0098">#REF!</definedName>
    <definedName name="_vena_DYNR_SMYPS1_BMYPB2_1a7f522f_e6d2299b">#REF!</definedName>
    <definedName name="_vena_DYNR_SMYPS1_BMYPB2_1a7f522f_e84378dd">#REF!</definedName>
    <definedName name="_vena_DYNR_SMYPS1_BMYPB2_1a7f522f_f4b4e26b">#REF!</definedName>
    <definedName name="_vena_DYNR_SMYPS1_BMYPB2_1a7f522f_f539a54e">#REF!</definedName>
    <definedName name="_vena_DYNR_SMYPS1_BMYPB2_1bc2f789">#REF!</definedName>
    <definedName name="_vena_DYNR_SMYPS1_BMYPB2_1bc2f789_1d25d4e7">#REF!</definedName>
    <definedName name="_vena_DYNR_SMYPS1_BMYPB2_1bc2f789_27c860df">#REF!</definedName>
    <definedName name="_vena_DYNR_SMYPS1_BMYPB2_1bc2f789_2dba3351">#REF!</definedName>
    <definedName name="_vena_DYNR_SMYPS1_BMYPB2_1bc2f789_48e56012">#REF!</definedName>
    <definedName name="_vena_DYNR_SMYPS1_BMYPB2_1bc2f789_4e3f9cc1">#REF!</definedName>
    <definedName name="_vena_DYNR_SMYPS1_BMYPB2_1bc2f789_5953ae86">#REF!</definedName>
    <definedName name="_vena_DYNR_SMYPS1_BMYPB2_1bc2f789_60e53d21">#REF!</definedName>
    <definedName name="_vena_DYNR_SMYPS1_BMYPB2_1bc2f789_71d3e799">#REF!</definedName>
    <definedName name="_vena_DYNR_SMYPS1_BMYPB2_1bc2f789_845a9aab">#REF!</definedName>
    <definedName name="_vena_DYNR_SMYPS1_BMYPB2_1bc2f789_94ff2a7b">#REF!</definedName>
    <definedName name="_vena_DYNR_SMYPS1_BMYPB2_1bc2f789_9f215689">#REF!</definedName>
    <definedName name="_vena_DYNR_SMYPS1_BMYPB2_1bc2f789_a25f1950">#REF!</definedName>
    <definedName name="_vena_DYNR_SMYPS1_BMYPB2_1bc2f789_a93c1b6f">#REF!</definedName>
    <definedName name="_vena_DYNR_SMYPS1_BMYPB2_1bc2f789_bac4e91d">#REF!</definedName>
    <definedName name="_vena_DYNR_SMYPS1_BMYPB2_1bc2f789_bd79f470">#REF!</definedName>
    <definedName name="_vena_DYNR_SMYPS1_BMYPB2_1bc2f789_c42106f0">#REF!</definedName>
    <definedName name="_vena_DYNR_SMYPS1_BMYPB2_1bc2f789_dd91bb26">#REF!</definedName>
    <definedName name="_vena_DYNR_SMYPS1_BMYPB2_1bc2f789_e1093906">#REF!</definedName>
    <definedName name="_vena_DYNR_SMYPS1_BMYPB2_1bc2f789_f430123c">#REF!</definedName>
    <definedName name="_vena_DYNR_SMYPS1_BMYPB2_1bc2f789_f984884e">#REF!</definedName>
    <definedName name="_vena_DYNR_SMYPS1_BMYPB2_224038a1">#REF!</definedName>
    <definedName name="_vena_DYNR_SMYPS1_BMYPB2_224038a1_1381e94d">#REF!</definedName>
    <definedName name="_vena_DYNR_SMYPS1_BMYPB2_224038a1_16c7077b">#REF!</definedName>
    <definedName name="_vena_DYNR_SMYPS1_BMYPB2_224038a1_2e29a68a">#REF!</definedName>
    <definedName name="_vena_DYNR_SMYPS1_BMYPB2_224038a1_593637ca">#REF!</definedName>
    <definedName name="_vena_DYNR_SMYPS1_BMYPB2_224038a1_6a8b126a">#REF!</definedName>
    <definedName name="_vena_DYNR_SMYPS1_BMYPB2_224038a1_7001e1fd">#REF!</definedName>
    <definedName name="_vena_DYNR_SMYPS1_BMYPB2_224038a1_7bfeaf1">#REF!</definedName>
    <definedName name="_vena_DYNR_SMYPS1_BMYPB2_224038a1_7e64bcb0">#REF!</definedName>
    <definedName name="_vena_DYNR_SMYPS1_BMYPB2_224038a1_8dcc8913">#REF!</definedName>
    <definedName name="_vena_DYNR_SMYPS1_BMYPB2_224038a1_8e2f5d5">#REF!</definedName>
    <definedName name="_vena_DYNR_SMYPS1_BMYPB2_224038a1_ba417fd2">#REF!</definedName>
    <definedName name="_vena_DYNR_SMYPS1_BMYPB2_224038a1_cc7eacb2">#REF!</definedName>
    <definedName name="_vena_DYNR_SMYPS1_BMYPB2_224038a1_ea1ab6a5">#REF!</definedName>
    <definedName name="_vena_DYNR_SMYPS1_BMYPB2_224038a1_ee08b3f5">#REF!</definedName>
    <definedName name="_vena_DYNR_SMYPS1_BMYPB2_224038a1_fafcd69e">#REF!</definedName>
    <definedName name="_vena_DYNR_SMYPS1_BMYPB2_227294d3">#REF!</definedName>
    <definedName name="_vena_DYNR_SMYPS1_BMYPB2_227294d3_11301a21">#REF!</definedName>
    <definedName name="_vena_DYNR_SMYPS1_BMYPB2_227294d3_1428a636">#REF!</definedName>
    <definedName name="_vena_DYNR_SMYPS1_BMYPB2_227294d3_1b053328">#REF!</definedName>
    <definedName name="_vena_DYNR_SMYPS1_BMYPB2_227294d3_1fac0f1e">#REF!</definedName>
    <definedName name="_vena_DYNR_SMYPS1_BMYPB2_227294d3_242a5c79">#REF!</definedName>
    <definedName name="_vena_DYNR_SMYPS1_BMYPB2_227294d3_42729446">#REF!</definedName>
    <definedName name="_vena_DYNR_SMYPS1_BMYPB2_227294d3_81237e2a">#REF!</definedName>
    <definedName name="_vena_DYNR_SMYPS1_BMYPB2_227294d3_818fa319">#REF!</definedName>
    <definedName name="_vena_DYNR_SMYPS1_BMYPB2_227294d3_81fa8306">#REF!</definedName>
    <definedName name="_vena_DYNR_SMYPS1_BMYPB2_227294d3_84195277">#REF!</definedName>
    <definedName name="_vena_DYNR_SMYPS1_BMYPB2_227294d3_9689b474">#REF!</definedName>
    <definedName name="_vena_DYNR_SMYPS1_BMYPB2_227294d3_b12ad5ac">#REF!</definedName>
    <definedName name="_vena_DYNR_SMYPS1_BMYPB2_227294d3_c0e1c8dc">#REF!</definedName>
    <definedName name="_vena_DYNR_SMYPS1_BMYPB2_227294d3_cfdb62bc">#REF!</definedName>
    <definedName name="_vena_DYNR_SMYPS1_BMYPB2_233264ed">#REF!</definedName>
    <definedName name="_vena_DYNR_SMYPS1_BMYPB2_233264ed_15ef5d">#REF!</definedName>
    <definedName name="_vena_DYNR_SMYPS1_BMYPB2_233264ed_17712931">#REF!</definedName>
    <definedName name="_vena_DYNR_SMYPS1_BMYPB2_233264ed_1a2929bc">#REF!</definedName>
    <definedName name="_vena_DYNR_SMYPS1_BMYPB2_233264ed_1b82093e">#REF!</definedName>
    <definedName name="_vena_DYNR_SMYPS1_BMYPB2_233264ed_1fe19f72">#REF!</definedName>
    <definedName name="_vena_DYNR_SMYPS1_BMYPB2_233264ed_249088a2">#REF!</definedName>
    <definedName name="_vena_DYNR_SMYPS1_BMYPB2_233264ed_25b42384">#REF!</definedName>
    <definedName name="_vena_DYNR_SMYPS1_BMYPB2_233264ed_2616d5f4">#REF!</definedName>
    <definedName name="_vena_DYNR_SMYPS1_BMYPB2_233264ed_2a2db4ab">#REF!</definedName>
    <definedName name="_vena_DYNR_SMYPS1_BMYPB2_233264ed_2f5e9f40">#REF!</definedName>
    <definedName name="_vena_DYNR_SMYPS1_BMYPB2_233264ed_37079fe3">#REF!</definedName>
    <definedName name="_vena_DYNR_SMYPS1_BMYPB2_233264ed_3f832ec3">#REF!</definedName>
    <definedName name="_vena_DYNR_SMYPS1_BMYPB2_233264ed_5ddb482b">#REF!</definedName>
    <definedName name="_vena_DYNR_SMYPS1_BMYPB2_233264ed_5f9f47c6">#REF!</definedName>
    <definedName name="_vena_DYNR_SMYPS1_BMYPB2_233264ed_6230a82e">#REF!</definedName>
    <definedName name="_vena_DYNR_SMYPS1_BMYPB2_233264ed_631606a2">#REF!</definedName>
    <definedName name="_vena_DYNR_SMYPS1_BMYPB2_233264ed_63a92194">#REF!</definedName>
    <definedName name="_vena_DYNR_SMYPS1_BMYPB2_233264ed_6493bbc4">#REF!</definedName>
    <definedName name="_vena_DYNR_SMYPS1_BMYPB2_233264ed_65d26306">#REF!</definedName>
    <definedName name="_vena_DYNR_SMYPS1_BMYPB2_233264ed_68f54adc">#REF!</definedName>
    <definedName name="_vena_DYNR_SMYPS1_BMYPB2_233264ed_6b7a5a0c">#REF!</definedName>
    <definedName name="_vena_DYNR_SMYPS1_BMYPB2_233264ed_72605c0b">#REF!</definedName>
    <definedName name="_vena_DYNR_SMYPS1_BMYPB2_233264ed_7654a39f">#REF!</definedName>
    <definedName name="_vena_DYNR_SMYPS1_BMYPB2_233264ed_8b5aa802">#REF!</definedName>
    <definedName name="_vena_DYNR_SMYPS1_BMYPB2_233264ed_8b830988">#REF!</definedName>
    <definedName name="_vena_DYNR_SMYPS1_BMYPB2_233264ed_8ca687ac">#REF!</definedName>
    <definedName name="_vena_DYNR_SMYPS1_BMYPB2_233264ed_8cede404">#REF!</definedName>
    <definedName name="_vena_DYNR_SMYPS1_BMYPB2_233264ed_8f4927ab">#REF!</definedName>
    <definedName name="_vena_DYNR_SMYPS1_BMYPB2_233264ed_92e0bd4f">#REF!</definedName>
    <definedName name="_vena_DYNR_SMYPS1_BMYPB2_233264ed_99d1c58d">#REF!</definedName>
    <definedName name="_vena_DYNR_SMYPS1_BMYPB2_233264ed_9b753dff">#REF!</definedName>
    <definedName name="_vena_DYNR_SMYPS1_BMYPB2_233264ed_a0219a1a">#REF!</definedName>
    <definedName name="_vena_DYNR_SMYPS1_BMYPB2_233264ed_a46bc1f">#REF!</definedName>
    <definedName name="_vena_DYNR_SMYPS1_BMYPB2_233264ed_a599d5b3">#REF!</definedName>
    <definedName name="_vena_DYNR_SMYPS1_BMYPB2_233264ed_addf21d2">#REF!</definedName>
    <definedName name="_vena_DYNR_SMYPS1_BMYPB2_233264ed_ae23b9fe">#REF!</definedName>
    <definedName name="_vena_DYNR_SMYPS1_BMYPB2_233264ed_b10a4fef">#REF!</definedName>
    <definedName name="_vena_DYNR_SMYPS1_BMYPB2_233264ed_b1d4f588">#REF!</definedName>
    <definedName name="_vena_DYNR_SMYPS1_BMYPB2_233264ed_b2e3550e">#REF!</definedName>
    <definedName name="_vena_DYNR_SMYPS1_BMYPB2_233264ed_b5fc0bc7">#REF!</definedName>
    <definedName name="_vena_DYNR_SMYPS1_BMYPB2_233264ed_ba347f5f">#REF!</definedName>
    <definedName name="_vena_DYNR_SMYPS1_BMYPB2_233264ed_c075aee">#REF!</definedName>
    <definedName name="_vena_DYNR_SMYPS1_BMYPB2_233264ed_c09ae091">#REF!</definedName>
    <definedName name="_vena_DYNR_SMYPS1_BMYPB2_233264ed_c2a00552">#REF!</definedName>
    <definedName name="_vena_DYNR_SMYPS1_BMYPB2_233264ed_c2d5134a">#REF!</definedName>
    <definedName name="_vena_DYNR_SMYPS1_BMYPB2_233264ed_c2ffadb5">#REF!</definedName>
    <definedName name="_vena_DYNR_SMYPS1_BMYPB2_233264ed_c7dfaf3c">#REF!</definedName>
    <definedName name="_vena_DYNR_SMYPS1_BMYPB2_233264ed_cf94702a">#REF!</definedName>
    <definedName name="_vena_DYNR_SMYPS1_BMYPB2_233264ed_d1075455">#REF!</definedName>
    <definedName name="_vena_DYNR_SMYPS1_BMYPB2_233264ed_d9ccd7a8">#REF!</definedName>
    <definedName name="_vena_DYNR_SMYPS1_BMYPB2_233264ed_db92de34">#REF!</definedName>
    <definedName name="_vena_DYNR_SMYPS1_BMYPB2_233264ed_dd5698f2">#REF!</definedName>
    <definedName name="_vena_DYNR_SMYPS1_BMYPB2_233264ed_e524a10e">#REF!</definedName>
    <definedName name="_vena_DYNR_SMYPS1_BMYPB2_233264ed_e7bc90e6">#REF!</definedName>
    <definedName name="_vena_DYNR_SMYPS1_BMYPB2_233264ed_e7d43539">#REF!</definedName>
    <definedName name="_vena_DYNR_SMYPS1_BMYPB2_233264ed_ea00e881">#REF!</definedName>
    <definedName name="_vena_DYNR_SMYPS1_BMYPB2_233264ed_edef95cc">#REF!</definedName>
    <definedName name="_vena_DYNR_SMYPS1_BMYPB2_233264ed_f33e4623">#REF!</definedName>
    <definedName name="_vena_DYNR_SMYPS1_BMYPB2_28ed3621">#REF!</definedName>
    <definedName name="_vena_DYNR_SMYPS1_BMYPB2_28ed3621_63255bc3">#REF!</definedName>
    <definedName name="_vena_DYNR_SMYPS1_BMYPB2_28ed3621_65f61e19">#REF!</definedName>
    <definedName name="_vena_DYNR_SMYPS1_BMYPB2_28ed3621_87ace550">#REF!</definedName>
    <definedName name="_vena_DYNR_SMYPS1_BMYPB2_28ed3621_b29e7ffe">#REF!</definedName>
    <definedName name="_vena_DYNR_SMYPS1_BMYPB2_28ed3621_e072e730">#REF!</definedName>
    <definedName name="_vena_DYNR_SMYPS1_BMYPB2_28ed3621_e9ce450a">#REF!</definedName>
    <definedName name="_vena_DYNR_SMYPS1_BMYPB2_28ed3621_f5e057bd">#REF!</definedName>
    <definedName name="_vena_DYNR_SMYPS1_BMYPB2_294fcea5">#REF!</definedName>
    <definedName name="_vena_DYNR_SMYPS1_BMYPB2_294fcea5_1b8b9e0d">#REF!</definedName>
    <definedName name="_vena_DYNR_SMYPS1_BMYPB2_294fcea5_1ce59d5d">#REF!</definedName>
    <definedName name="_vena_DYNR_SMYPS1_BMYPB2_294fcea5_23bb3ae0">#REF!</definedName>
    <definedName name="_vena_DYNR_SMYPS1_BMYPB2_294fcea5_2a2afab8">#REF!</definedName>
    <definedName name="_vena_DYNR_SMYPS1_BMYPB2_294fcea5_2e8c7e4b">#REF!</definedName>
    <definedName name="_vena_DYNR_SMYPS1_BMYPB2_294fcea5_34e6317">#REF!</definedName>
    <definedName name="_vena_DYNR_SMYPS1_BMYPB2_294fcea5_3540b4ef">#REF!</definedName>
    <definedName name="_vena_DYNR_SMYPS1_BMYPB2_294fcea5_37be4bc6">#REF!</definedName>
    <definedName name="_vena_DYNR_SMYPS1_BMYPB2_294fcea5_381def72">#REF!</definedName>
    <definedName name="_vena_DYNR_SMYPS1_BMYPB2_294fcea5_3c77209">#REF!</definedName>
    <definedName name="_vena_DYNR_SMYPS1_BMYPB2_294fcea5_418434c9">#REF!</definedName>
    <definedName name="_vena_DYNR_SMYPS1_BMYPB2_294fcea5_4c434b6e">#REF!</definedName>
    <definedName name="_vena_DYNR_SMYPS1_BMYPB2_294fcea5_54fdf3f1">#REF!</definedName>
    <definedName name="_vena_DYNR_SMYPS1_BMYPB2_294fcea5_56ce03f">#REF!</definedName>
    <definedName name="_vena_DYNR_SMYPS1_BMYPB2_294fcea5_572a904b">#REF!</definedName>
    <definedName name="_vena_DYNR_SMYPS1_BMYPB2_294fcea5_596eaa52">#REF!</definedName>
    <definedName name="_vena_DYNR_SMYPS1_BMYPB2_294fcea5_6d1664d3">#REF!</definedName>
    <definedName name="_vena_DYNR_SMYPS1_BMYPB2_294fcea5_6d75884">#REF!</definedName>
    <definedName name="_vena_DYNR_SMYPS1_BMYPB2_294fcea5_6e78ab5d">#REF!</definedName>
    <definedName name="_vena_DYNR_SMYPS1_BMYPB2_294fcea5_6e8d7725">#REF!</definedName>
    <definedName name="_vena_DYNR_SMYPS1_BMYPB2_294fcea5_70b06980">#REF!</definedName>
    <definedName name="_vena_DYNR_SMYPS1_BMYPB2_294fcea5_75051c30">#REF!</definedName>
    <definedName name="_vena_DYNR_SMYPS1_BMYPB2_294fcea5_79ea3bdb">#REF!</definedName>
    <definedName name="_vena_DYNR_SMYPS1_BMYPB2_294fcea5_7b475593">#REF!</definedName>
    <definedName name="_vena_DYNR_SMYPS1_BMYPB2_294fcea5_80439fa1">#REF!</definedName>
    <definedName name="_vena_DYNR_SMYPS1_BMYPB2_294fcea5_853b7887">#REF!</definedName>
    <definedName name="_vena_DYNR_SMYPS1_BMYPB2_294fcea5_87c6df34">#REF!</definedName>
    <definedName name="_vena_DYNR_SMYPS1_BMYPB2_294fcea5_888501a">#REF!</definedName>
    <definedName name="_vena_DYNR_SMYPS1_BMYPB2_294fcea5_8c0b4c76">#REF!</definedName>
    <definedName name="_vena_DYNR_SMYPS1_BMYPB2_294fcea5_8e316572">#REF!</definedName>
    <definedName name="_vena_DYNR_SMYPS1_BMYPB2_294fcea5_92328ab3">#REF!</definedName>
    <definedName name="_vena_DYNR_SMYPS1_BMYPB2_294fcea5_94c78126">#REF!</definedName>
    <definedName name="_vena_DYNR_SMYPS1_BMYPB2_294fcea5_9ac7a1c4">#REF!</definedName>
    <definedName name="_vena_DYNR_SMYPS1_BMYPB2_294fcea5_a4dd69ec">#REF!</definedName>
    <definedName name="_vena_DYNR_SMYPS1_BMYPB2_294fcea5_a85f69f2">#REF!</definedName>
    <definedName name="_vena_DYNR_SMYPS1_BMYPB2_294fcea5_a9ead6aa">#REF!</definedName>
    <definedName name="_vena_DYNR_SMYPS1_BMYPB2_294fcea5_b22b85a7">#REF!</definedName>
    <definedName name="_vena_DYNR_SMYPS1_BMYPB2_294fcea5_b92fa4b2">#REF!</definedName>
    <definedName name="_vena_DYNR_SMYPS1_BMYPB2_294fcea5_badb66ca">#REF!</definedName>
    <definedName name="_vena_DYNR_SMYPS1_BMYPB2_294fcea5_c71ab789">#REF!</definedName>
    <definedName name="_vena_DYNR_SMYPS1_BMYPB2_294fcea5_cdbbd057">#REF!</definedName>
    <definedName name="_vena_DYNR_SMYPS1_BMYPB2_294fcea5_d50eda91">#REF!</definedName>
    <definedName name="_vena_DYNR_SMYPS1_BMYPB2_294fcea5_e0fdbe3c">#REF!</definedName>
    <definedName name="_vena_DYNR_SMYPS1_BMYPB2_294fcea5_eea4e6d0">#REF!</definedName>
    <definedName name="_vena_DYNR_SMYPS1_BMYPB2_294fcea5_f03b09be">#REF!</definedName>
    <definedName name="_vena_DYNR_SMYPS1_BMYPB2_294fcea5_f1af074c">#REF!</definedName>
    <definedName name="_vena_DYNR_SMYPS1_BMYPB2_31e0af96">#REF!</definedName>
    <definedName name="_vena_DYNR_SMYPS1_BMYPB2_31e0af96_12f89662">#REF!</definedName>
    <definedName name="_vena_DYNR_SMYPS1_BMYPB2_31e0af96_161a0c83">#REF!</definedName>
    <definedName name="_vena_DYNR_SMYPS1_BMYPB2_31e0af96_167941ff">#REF!</definedName>
    <definedName name="_vena_DYNR_SMYPS1_BMYPB2_31e0af96_190b618b">#REF!</definedName>
    <definedName name="_vena_DYNR_SMYPS1_BMYPB2_31e0af96_1a54ba97">#REF!</definedName>
    <definedName name="_vena_DYNR_SMYPS1_BMYPB2_31e0af96_2234bc89">#REF!</definedName>
    <definedName name="_vena_DYNR_SMYPS1_BMYPB2_31e0af96_2bcaa41d">#REF!</definedName>
    <definedName name="_vena_DYNR_SMYPS1_BMYPB2_31e0af96_357f19b3">#REF!</definedName>
    <definedName name="_vena_DYNR_SMYPS1_BMYPB2_31e0af96_3ae351e1">#REF!</definedName>
    <definedName name="_vena_DYNR_SMYPS1_BMYPB2_31e0af96_412800ac">#REF!</definedName>
    <definedName name="_vena_DYNR_SMYPS1_BMYPB2_31e0af96_44f17357">#REF!</definedName>
    <definedName name="_vena_DYNR_SMYPS1_BMYPB2_31e0af96_450a6b32">#REF!</definedName>
    <definedName name="_vena_DYNR_SMYPS1_BMYPB2_31e0af96_465182ea">#REF!</definedName>
    <definedName name="_vena_DYNR_SMYPS1_BMYPB2_31e0af96_4699b5c9">#REF!</definedName>
    <definedName name="_vena_DYNR_SMYPS1_BMYPB2_31e0af96_49ae59a1">#REF!</definedName>
    <definedName name="_vena_DYNR_SMYPS1_BMYPB2_31e0af96_52eafc8f">#REF!</definedName>
    <definedName name="_vena_DYNR_SMYPS1_BMYPB2_31e0af96_539d0b12">#REF!</definedName>
    <definedName name="_vena_DYNR_SMYPS1_BMYPB2_31e0af96_57653344">#REF!</definedName>
    <definedName name="_vena_DYNR_SMYPS1_BMYPB2_31e0af96_58f6d74e">#REF!</definedName>
    <definedName name="_vena_DYNR_SMYPS1_BMYPB2_31e0af96_657bb90c">#REF!</definedName>
    <definedName name="_vena_DYNR_SMYPS1_BMYPB2_31e0af96_68bcc5d3">#REF!</definedName>
    <definedName name="_vena_DYNR_SMYPS1_BMYPB2_31e0af96_68dc8c4b">#REF!</definedName>
    <definedName name="_vena_DYNR_SMYPS1_BMYPB2_31e0af96_700ba908">#REF!</definedName>
    <definedName name="_vena_DYNR_SMYPS1_BMYPB2_31e0af96_784906c4">#REF!</definedName>
    <definedName name="_vena_DYNR_SMYPS1_BMYPB2_31e0af96_7ab80aa">#REF!</definedName>
    <definedName name="_vena_DYNR_SMYPS1_BMYPB2_31e0af96_7aefcf87">#REF!</definedName>
    <definedName name="_vena_DYNR_SMYPS1_BMYPB2_31e0af96_8ce2743c">#REF!</definedName>
    <definedName name="_vena_DYNR_SMYPS1_BMYPB2_31e0af96_9023631d">#REF!</definedName>
    <definedName name="_vena_DYNR_SMYPS1_BMYPB2_31e0af96_91b49647">#REF!</definedName>
    <definedName name="_vena_DYNR_SMYPS1_BMYPB2_31e0af96_95817b13">#REF!</definedName>
    <definedName name="_vena_DYNR_SMYPS1_BMYPB2_31e0af96_961a1e0f">#REF!</definedName>
    <definedName name="_vena_DYNR_SMYPS1_BMYPB2_31e0af96_97d4aef">#REF!</definedName>
    <definedName name="_vena_DYNR_SMYPS1_BMYPB2_31e0af96_97e4fe60">#REF!</definedName>
    <definedName name="_vena_DYNR_SMYPS1_BMYPB2_31e0af96_9eb8d93b">#REF!</definedName>
    <definedName name="_vena_DYNR_SMYPS1_BMYPB2_31e0af96_a51179e6">#REF!</definedName>
    <definedName name="_vena_DYNR_SMYPS1_BMYPB2_31e0af96_a7a55798">#REF!</definedName>
    <definedName name="_vena_DYNR_SMYPS1_BMYPB2_31e0af96_a7dc30f5">#REF!</definedName>
    <definedName name="_vena_DYNR_SMYPS1_BMYPB2_31e0af96_ac10503b">#REF!</definedName>
    <definedName name="_vena_DYNR_SMYPS1_BMYPB2_31e0af96_adbf4b60">#REF!</definedName>
    <definedName name="_vena_DYNR_SMYPS1_BMYPB2_31e0af96_b1c5b2a1">#REF!</definedName>
    <definedName name="_vena_DYNR_SMYPS1_BMYPB2_31e0af96_b5ed27f1">#REF!</definedName>
    <definedName name="_vena_DYNR_SMYPS1_BMYPB2_31e0af96_b667307f">#REF!</definedName>
    <definedName name="_vena_DYNR_SMYPS1_BMYPB2_31e0af96_bb474ab0">#REF!</definedName>
    <definedName name="_vena_DYNR_SMYPS1_BMYPB2_31e0af96_bc01deff">#REF!</definedName>
    <definedName name="_vena_DYNR_SMYPS1_BMYPB2_31e0af96_cbfeb826">#REF!</definedName>
    <definedName name="_vena_DYNR_SMYPS1_BMYPB2_31e0af96_d79acb36">#REF!</definedName>
    <definedName name="_vena_DYNR_SMYPS1_BMYPB2_31e0af96_d9fd4c59">#REF!</definedName>
    <definedName name="_vena_DYNR_SMYPS1_BMYPB2_31e0af96_dfab8a8b">#REF!</definedName>
    <definedName name="_vena_DYNR_SMYPS1_BMYPB2_31e0af96_e1a51338">#REF!</definedName>
    <definedName name="_vena_DYNR_SMYPS1_BMYPB2_31e0af96_e6984c0">#REF!</definedName>
    <definedName name="_vena_DYNR_SMYPS1_BMYPB2_31e0af96_ed51abdf">#REF!</definedName>
    <definedName name="_vena_DYNR_SMYPS1_BMYPB2_31e0af96_f00a7f9">#REF!</definedName>
    <definedName name="_vena_DYNR_SMYPS1_BMYPB2_31e0af96_f61d858e">#REF!</definedName>
    <definedName name="_vena_DYNR_SMYPS1_BMYPB2_31e0af96_fef0be54">#REF!</definedName>
    <definedName name="_vena_DYNR_SMYPS1_BMYPB2_3f214087">#REF!</definedName>
    <definedName name="_vena_DYNR_SMYPS1_BMYPB2_3f214087_26a59549">#REF!</definedName>
    <definedName name="_vena_DYNR_SMYPS1_BMYPB2_3f214087_296331ed">#REF!</definedName>
    <definedName name="_vena_DYNR_SMYPS1_BMYPB2_3f214087_2b7d2c22">#REF!</definedName>
    <definedName name="_vena_DYNR_SMYPS1_BMYPB2_3f214087_39295ea0">#REF!</definedName>
    <definedName name="_vena_DYNR_SMYPS1_BMYPB2_3f214087_5d8773ba">#REF!</definedName>
    <definedName name="_vena_DYNR_SMYPS1_BMYPB2_3f214087_6be703ba">#REF!</definedName>
    <definedName name="_vena_DYNR_SMYPS1_BMYPB2_3f214087_6daf7ae4">#REF!</definedName>
    <definedName name="_vena_DYNR_SMYPS1_BMYPB2_3f214087_8f1b2473">#REF!</definedName>
    <definedName name="_vena_DYNR_SMYPS1_BMYPB2_3f214087_a17fc89d">#REF!</definedName>
    <definedName name="_vena_DYNR_SMYPS1_BMYPB2_3f214087_d8a494b">#REF!</definedName>
    <definedName name="_vena_DYNR_SMYPS1_BMYPB2_3f214087_da662745">#REF!</definedName>
    <definedName name="_vena_DYNR_SMYPS1_BMYPB2_3f214087_f1227458">#REF!</definedName>
    <definedName name="_vena_DYNR_SMYPS1_BMYPB2_3f214087_f1ef5a9a">#REF!</definedName>
    <definedName name="_vena_DYNR_SMYPS1_BMYPB2_4a29fae4">#REF!</definedName>
    <definedName name="_vena_DYNR_SMYPS1_BMYPB2_4a29fae4_13a6a149">#REF!</definedName>
    <definedName name="_vena_DYNR_SMYPS1_BMYPB2_4a29fae4_155f727a">#REF!</definedName>
    <definedName name="_vena_DYNR_SMYPS1_BMYPB2_4a29fae4_16a7a19a">#REF!</definedName>
    <definedName name="_vena_DYNR_SMYPS1_BMYPB2_4a29fae4_1b8b646e">#REF!</definedName>
    <definedName name="_vena_DYNR_SMYPS1_BMYPB2_4a29fae4_2ea38c6b">#REF!</definedName>
    <definedName name="_vena_DYNR_SMYPS1_BMYPB2_4a29fae4_347dda20">#REF!</definedName>
    <definedName name="_vena_DYNR_SMYPS1_BMYPB2_4a29fae4_3a52f81b">#REF!</definedName>
    <definedName name="_vena_DYNR_SMYPS1_BMYPB2_4a29fae4_4b93afbc">#REF!</definedName>
    <definedName name="_vena_DYNR_SMYPS1_BMYPB2_4a29fae4_50b56be5">#REF!</definedName>
    <definedName name="_vena_DYNR_SMYPS1_BMYPB2_4a29fae4_5d72b81b">#REF!</definedName>
    <definedName name="_vena_DYNR_SMYPS1_BMYPB2_4a29fae4_5f292c9f">#REF!</definedName>
    <definedName name="_vena_DYNR_SMYPS1_BMYPB2_4a29fae4_6195c2ec">#REF!</definedName>
    <definedName name="_vena_DYNR_SMYPS1_BMYPB2_4a29fae4_67621e1e">#REF!</definedName>
    <definedName name="_vena_DYNR_SMYPS1_BMYPB2_4a29fae4_68d37ddf">#REF!</definedName>
    <definedName name="_vena_DYNR_SMYPS1_BMYPB2_4a29fae4_6a8ab7ab">#REF!</definedName>
    <definedName name="_vena_DYNR_SMYPS1_BMYPB2_4a29fae4_6c9896fd">#REF!</definedName>
    <definedName name="_vena_DYNR_SMYPS1_BMYPB2_4a29fae4_7c11c0f">#REF!</definedName>
    <definedName name="_vena_DYNR_SMYPS1_BMYPB2_4a29fae4_7e1b3091">#REF!</definedName>
    <definedName name="_vena_DYNR_SMYPS1_BMYPB2_4a29fae4_7f082796">#REF!</definedName>
    <definedName name="_vena_DYNR_SMYPS1_BMYPB2_4a29fae4_87348567">#REF!</definedName>
    <definedName name="_vena_DYNR_SMYPS1_BMYPB2_4a29fae4_8a381895">#REF!</definedName>
    <definedName name="_vena_DYNR_SMYPS1_BMYPB2_4a29fae4_8a489196">#REF!</definedName>
    <definedName name="_vena_DYNR_SMYPS1_BMYPB2_4a29fae4_92c56adf">#REF!</definedName>
    <definedName name="_vena_DYNR_SMYPS1_BMYPB2_4a29fae4_94b63e76">#REF!</definedName>
    <definedName name="_vena_DYNR_SMYPS1_BMYPB2_4a29fae4_9daab5eb">#REF!</definedName>
    <definedName name="_vena_DYNR_SMYPS1_BMYPB2_4a29fae4_a53751d8">#REF!</definedName>
    <definedName name="_vena_DYNR_SMYPS1_BMYPB2_4a29fae4_af35170c">#REF!</definedName>
    <definedName name="_vena_DYNR_SMYPS1_BMYPB2_4a29fae4_b15aa069">#REF!</definedName>
    <definedName name="_vena_DYNR_SMYPS1_BMYPB2_4a29fae4_b1c1609b">#REF!</definedName>
    <definedName name="_vena_DYNR_SMYPS1_BMYPB2_4a29fae4_b2522985">#REF!</definedName>
    <definedName name="_vena_DYNR_SMYPS1_BMYPB2_4a29fae4_c009d062">#REF!</definedName>
    <definedName name="_vena_DYNR_SMYPS1_BMYPB2_4a29fae4_c431bb4a">#REF!</definedName>
    <definedName name="_vena_DYNR_SMYPS1_BMYPB2_4a29fae4_c89f6166">#REF!</definedName>
    <definedName name="_vena_DYNR_SMYPS1_BMYPB2_4a29fae4_d78fb3b3">#REF!</definedName>
    <definedName name="_vena_DYNR_SMYPS1_BMYPB2_4a29fae4_de25221d">#REF!</definedName>
    <definedName name="_vena_DYNR_SMYPS1_BMYPB2_4a29fae4_de938c50">#REF!</definedName>
    <definedName name="_vena_DYNR_SMYPS1_BMYPB2_4a29fae4_e00eed52">#REF!</definedName>
    <definedName name="_vena_DYNR_SMYPS1_BMYPB2_4a29fae4_e3aa9c2e">#REF!</definedName>
    <definedName name="_vena_DYNR_SMYPS1_BMYPB2_4a29fae4_f31026fd">#REF!</definedName>
    <definedName name="_vena_DYNR_SMYPS1_BMYPB2_4a29fae4_f388be40">#REF!</definedName>
    <definedName name="_vena_DYNR_SMYPS1_BMYPB2_4a29fae4_f3daa74d">#REF!</definedName>
    <definedName name="_vena_DYNR_SMYPS1_BMYPB2_4a29fae4_fbfd9a5d">#REF!</definedName>
    <definedName name="_vena_DYNR_SMYPS1_BMYPB2_53be4ed6">#REF!</definedName>
    <definedName name="_vena_DYNR_SMYPS1_BMYPB2_53be4ed6_130356fd">#REF!</definedName>
    <definedName name="_vena_DYNR_SMYPS1_BMYPB2_53be4ed6_157690b1">#REF!</definedName>
    <definedName name="_vena_DYNR_SMYPS1_BMYPB2_53be4ed6_209c5b2a">#REF!</definedName>
    <definedName name="_vena_DYNR_SMYPS1_BMYPB2_53be4ed6_2f8ce9e1">#REF!</definedName>
    <definedName name="_vena_DYNR_SMYPS1_BMYPB2_53be4ed6_3b19d1f6">#REF!</definedName>
    <definedName name="_vena_DYNR_SMYPS1_BMYPB2_53be4ed6_3d3657f1">#REF!</definedName>
    <definedName name="_vena_DYNR_SMYPS1_BMYPB2_53be4ed6_4064062d">#REF!</definedName>
    <definedName name="_vena_DYNR_SMYPS1_BMYPB2_53be4ed6_45ebf2fe">#REF!</definedName>
    <definedName name="_vena_DYNR_SMYPS1_BMYPB2_53be4ed6_48d760e8">#REF!</definedName>
    <definedName name="_vena_DYNR_SMYPS1_BMYPB2_53be4ed6_48d86dbc">#REF!</definedName>
    <definedName name="_vena_DYNR_SMYPS1_BMYPB2_53be4ed6_4e3b70c6">#REF!</definedName>
    <definedName name="_vena_DYNR_SMYPS1_BMYPB2_53be4ed6_4e79bbed">#REF!</definedName>
    <definedName name="_vena_DYNR_SMYPS1_BMYPB2_53be4ed6_50d6fb2c">#REF!</definedName>
    <definedName name="_vena_DYNR_SMYPS1_BMYPB2_53be4ed6_559dfb13">#REF!</definedName>
    <definedName name="_vena_DYNR_SMYPS1_BMYPB2_53be4ed6_628b5216">#REF!</definedName>
    <definedName name="_vena_DYNR_SMYPS1_BMYPB2_53be4ed6_634d7a69">#REF!</definedName>
    <definedName name="_vena_DYNR_SMYPS1_BMYPB2_53be4ed6_7471d850">#REF!</definedName>
    <definedName name="_vena_DYNR_SMYPS1_BMYPB2_53be4ed6_85f055e6">#REF!</definedName>
    <definedName name="_vena_DYNR_SMYPS1_BMYPB2_53be4ed6_9054f593">#REF!</definedName>
    <definedName name="_vena_DYNR_SMYPS1_BMYPB2_53be4ed6_a510f211">#REF!</definedName>
    <definedName name="_vena_DYNR_SMYPS1_BMYPB2_53be4ed6_ada1ac2d">#REF!</definedName>
    <definedName name="_vena_DYNR_SMYPS1_BMYPB2_53be4ed6_b101b128">#REF!</definedName>
    <definedName name="_vena_DYNR_SMYPS1_BMYPB2_53be4ed6_ba1cc6cb">#REF!</definedName>
    <definedName name="_vena_DYNR_SMYPS1_BMYPB2_53be4ed6_be4caca6">#REF!</definedName>
    <definedName name="_vena_DYNR_SMYPS1_BMYPB2_53be4ed6_c0f294ee">#REF!</definedName>
    <definedName name="_vena_DYNR_SMYPS1_BMYPB2_53be4ed6_cf6d8650">#REF!</definedName>
    <definedName name="_vena_DYNR_SMYPS1_BMYPB2_53be4ed6_d0d8d72b">#REF!</definedName>
    <definedName name="_vena_DYNR_SMYPS1_BMYPB2_53be4ed6_d2e555a8">#REF!</definedName>
    <definedName name="_vena_DYNR_SMYPS1_BMYPB2_53be4ed6_d32f80bf">#REF!</definedName>
    <definedName name="_vena_DYNR_SMYPS1_BMYPB2_53be4ed6_e90ba4ac">#REF!</definedName>
    <definedName name="_vena_DYNR_SMYPS1_BMYPB2_53be4ed6_faea3606">#REF!</definedName>
    <definedName name="_vena_DYNR_SMYPS1_BMYPB2_53be4ed6_fbdede7d">#REF!</definedName>
    <definedName name="_vena_DYNR_SMYPS1_BMYPB2_58b6147f">#REF!</definedName>
    <definedName name="_vena_DYNR_SMYPS1_BMYPB2_58b6147f_105242f1">#REF!</definedName>
    <definedName name="_vena_DYNR_SMYPS1_BMYPB2_58b6147f_1340b4c3">#REF!</definedName>
    <definedName name="_vena_DYNR_SMYPS1_BMYPB2_58b6147f_13c71f40">#REF!</definedName>
    <definedName name="_vena_DYNR_SMYPS1_BMYPB2_58b6147f_178cff5e">#REF!</definedName>
    <definedName name="_vena_DYNR_SMYPS1_BMYPB2_58b6147f_1aced856">#REF!</definedName>
    <definedName name="_vena_DYNR_SMYPS1_BMYPB2_58b6147f_1c25d47a">#REF!</definedName>
    <definedName name="_vena_DYNR_SMYPS1_BMYPB2_58b6147f_1cbdaa84">#REF!</definedName>
    <definedName name="_vena_DYNR_SMYPS1_BMYPB2_58b6147f_1dabdb66">#REF!</definedName>
    <definedName name="_vena_DYNR_SMYPS1_BMYPB2_58b6147f_1e2a19e0">#REF!</definedName>
    <definedName name="_vena_DYNR_SMYPS1_BMYPB2_58b6147f_1e3ea137">#REF!</definedName>
    <definedName name="_vena_DYNR_SMYPS1_BMYPB2_58b6147f_2026c027">#REF!</definedName>
    <definedName name="_vena_DYNR_SMYPS1_BMYPB2_58b6147f_212bf524">#REF!</definedName>
    <definedName name="_vena_DYNR_SMYPS1_BMYPB2_58b6147f_25a2e98d">#REF!</definedName>
    <definedName name="_vena_DYNR_SMYPS1_BMYPB2_58b6147f_271a0828">#REF!</definedName>
    <definedName name="_vena_DYNR_SMYPS1_BMYPB2_58b6147f_2b184b47">#REF!</definedName>
    <definedName name="_vena_DYNR_SMYPS1_BMYPB2_58b6147f_2f35b69f">#REF!</definedName>
    <definedName name="_vena_DYNR_SMYPS1_BMYPB2_58b6147f_2f753fc2">#REF!</definedName>
    <definedName name="_vena_DYNR_SMYPS1_BMYPB2_58b6147f_30f688dd">#REF!</definedName>
    <definedName name="_vena_DYNR_SMYPS1_BMYPB2_58b6147f_35b2016c">#REF!</definedName>
    <definedName name="_vena_DYNR_SMYPS1_BMYPB2_58b6147f_37d7b06e">#REF!</definedName>
    <definedName name="_vena_DYNR_SMYPS1_BMYPB2_58b6147f_38c9a1a1">#REF!</definedName>
    <definedName name="_vena_DYNR_SMYPS1_BMYPB2_58b6147f_3b3d1617">#REF!</definedName>
    <definedName name="_vena_DYNR_SMYPS1_BMYPB2_58b6147f_3dbe6141">#REF!</definedName>
    <definedName name="_vena_DYNR_SMYPS1_BMYPB2_58b6147f_41f29e4b">#REF!</definedName>
    <definedName name="_vena_DYNR_SMYPS1_BMYPB2_58b6147f_4249dd75">#REF!</definedName>
    <definedName name="_vena_DYNR_SMYPS1_BMYPB2_58b6147f_44c756ee">#REF!</definedName>
    <definedName name="_vena_DYNR_SMYPS1_BMYPB2_58b6147f_45a37d43">#REF!</definedName>
    <definedName name="_vena_DYNR_SMYPS1_BMYPB2_58b6147f_47a5657e">#REF!</definedName>
    <definedName name="_vena_DYNR_SMYPS1_BMYPB2_58b6147f_49435941">#REF!</definedName>
    <definedName name="_vena_DYNR_SMYPS1_BMYPB2_58b6147f_49fa44f4">#REF!</definedName>
    <definedName name="_vena_DYNR_SMYPS1_BMYPB2_58b6147f_4dd82096">#REF!</definedName>
    <definedName name="_vena_DYNR_SMYPS1_BMYPB2_58b6147f_5018ee2b">#REF!</definedName>
    <definedName name="_vena_DYNR_SMYPS1_BMYPB2_58b6147f_509bb4ee">#REF!</definedName>
    <definedName name="_vena_DYNR_SMYPS1_BMYPB2_58b6147f_50d515e">#REF!</definedName>
    <definedName name="_vena_DYNR_SMYPS1_BMYPB2_58b6147f_54450be3">#REF!</definedName>
    <definedName name="_vena_DYNR_SMYPS1_BMYPB2_58b6147f_552dcdfd">#REF!</definedName>
    <definedName name="_vena_DYNR_SMYPS1_BMYPB2_58b6147f_56026e89">#REF!</definedName>
    <definedName name="_vena_DYNR_SMYPS1_BMYPB2_58b6147f_5616ec49">#REF!</definedName>
    <definedName name="_vena_DYNR_SMYPS1_BMYPB2_58b6147f_568d5a90">#REF!</definedName>
    <definedName name="_vena_DYNR_SMYPS1_BMYPB2_58b6147f_5ad29351">#REF!</definedName>
    <definedName name="_vena_DYNR_SMYPS1_BMYPB2_58b6147f_608d1846">#REF!</definedName>
    <definedName name="_vena_DYNR_SMYPS1_BMYPB2_58b6147f_61099e02">#REF!</definedName>
    <definedName name="_vena_DYNR_SMYPS1_BMYPB2_58b6147f_64809955">#REF!</definedName>
    <definedName name="_vena_DYNR_SMYPS1_BMYPB2_58b6147f_660771aa">#REF!</definedName>
    <definedName name="_vena_DYNR_SMYPS1_BMYPB2_58b6147f_66ae7784">#REF!</definedName>
    <definedName name="_vena_DYNR_SMYPS1_BMYPB2_58b6147f_67f63fbb">#REF!</definedName>
    <definedName name="_vena_DYNR_SMYPS1_BMYPB2_58b6147f_68460d3a">#REF!</definedName>
    <definedName name="_vena_DYNR_SMYPS1_BMYPB2_58b6147f_6b00f62a">#REF!</definedName>
    <definedName name="_vena_DYNR_SMYPS1_BMYPB2_58b6147f_6bd6c1bd">#REF!</definedName>
    <definedName name="_vena_DYNR_SMYPS1_BMYPB2_58b6147f_72befaa5">#REF!</definedName>
    <definedName name="_vena_DYNR_SMYPS1_BMYPB2_58b6147f_73b650cd">#REF!</definedName>
    <definedName name="_vena_DYNR_SMYPS1_BMYPB2_58b6147f_74102b0f">#REF!</definedName>
    <definedName name="_vena_DYNR_SMYPS1_BMYPB2_58b6147f_7519a724">#REF!</definedName>
    <definedName name="_vena_DYNR_SMYPS1_BMYPB2_58b6147f_7814a841">#REF!</definedName>
    <definedName name="_vena_DYNR_SMYPS1_BMYPB2_58b6147f_79414ceb">#REF!</definedName>
    <definedName name="_vena_DYNR_SMYPS1_BMYPB2_58b6147f_79d6407a">#REF!</definedName>
    <definedName name="_vena_DYNR_SMYPS1_BMYPB2_58b6147f_7cc9322b">#REF!</definedName>
    <definedName name="_vena_DYNR_SMYPS1_BMYPB2_58b6147f_7e34c015">#REF!</definedName>
    <definedName name="_vena_DYNR_SMYPS1_BMYPB2_58b6147f_82e1ed42">#REF!</definedName>
    <definedName name="_vena_DYNR_SMYPS1_BMYPB2_58b6147f_8865327f">#REF!</definedName>
    <definedName name="_vena_DYNR_SMYPS1_BMYPB2_58b6147f_8a17674">#REF!</definedName>
    <definedName name="_vena_DYNR_SMYPS1_BMYPB2_58b6147f_8af127e">#REF!</definedName>
    <definedName name="_vena_DYNR_SMYPS1_BMYPB2_58b6147f_8d2d1d6c">#REF!</definedName>
    <definedName name="_vena_DYNR_SMYPS1_BMYPB2_58b6147f_8e8ecb14">#REF!</definedName>
    <definedName name="_vena_DYNR_SMYPS1_BMYPB2_58b6147f_91e3bf86">#REF!</definedName>
    <definedName name="_vena_DYNR_SMYPS1_BMYPB2_58b6147f_92b960dd">#REF!</definedName>
    <definedName name="_vena_DYNR_SMYPS1_BMYPB2_58b6147f_9915f8a0">#REF!</definedName>
    <definedName name="_vena_DYNR_SMYPS1_BMYPB2_58b6147f_99731e8c">#REF!</definedName>
    <definedName name="_vena_DYNR_SMYPS1_BMYPB2_58b6147f_9be73b2">#REF!</definedName>
    <definedName name="_vena_DYNR_SMYPS1_BMYPB2_58b6147f_a401f95b">#REF!</definedName>
    <definedName name="_vena_DYNR_SMYPS1_BMYPB2_58b6147f_a6ac1a66">#REF!</definedName>
    <definedName name="_vena_DYNR_SMYPS1_BMYPB2_58b6147f_a7494a44">#REF!</definedName>
    <definedName name="_vena_DYNR_SMYPS1_BMYPB2_58b6147f_a81b1b6e">#REF!</definedName>
    <definedName name="_vena_DYNR_SMYPS1_BMYPB2_58b6147f_a89f5f81">#REF!</definedName>
    <definedName name="_vena_DYNR_SMYPS1_BMYPB2_58b6147f_a8ee7092">#REF!</definedName>
    <definedName name="_vena_DYNR_SMYPS1_BMYPB2_58b6147f_ac51ea1f">#REF!</definedName>
    <definedName name="_vena_DYNR_SMYPS1_BMYPB2_58b6147f_ad7b72fd">#REF!</definedName>
    <definedName name="_vena_DYNR_SMYPS1_BMYPB2_58b6147f_b05c7024">#REF!</definedName>
    <definedName name="_vena_DYNR_SMYPS1_BMYPB2_58b6147f_b2f4b9b4">#REF!</definedName>
    <definedName name="_vena_DYNR_SMYPS1_BMYPB2_58b6147f_b4b9f6a2">#REF!</definedName>
    <definedName name="_vena_DYNR_SMYPS1_BMYPB2_58b6147f_b84ad7b3">#REF!</definedName>
    <definedName name="_vena_DYNR_SMYPS1_BMYPB2_58b6147f_ba2f1724">#REF!</definedName>
    <definedName name="_vena_DYNR_SMYPS1_BMYPB2_58b6147f_bb1039c9">#REF!</definedName>
    <definedName name="_vena_DYNR_SMYPS1_BMYPB2_58b6147f_bbbd0c86">#REF!</definedName>
    <definedName name="_vena_DYNR_SMYPS1_BMYPB2_58b6147f_bc7c07a8">#REF!</definedName>
    <definedName name="_vena_DYNR_SMYPS1_BMYPB2_58b6147f_bff12c8f">#REF!</definedName>
    <definedName name="_vena_DYNR_SMYPS1_BMYPB2_58b6147f_c2be35e8">#REF!</definedName>
    <definedName name="_vena_DYNR_SMYPS1_BMYPB2_58b6147f_c32c671f">#REF!</definedName>
    <definedName name="_vena_DYNR_SMYPS1_BMYPB2_58b6147f_c7113ffc">#REF!</definedName>
    <definedName name="_vena_DYNR_SMYPS1_BMYPB2_58b6147f_c77b83c0">#REF!</definedName>
    <definedName name="_vena_DYNR_SMYPS1_BMYPB2_58b6147f_c8f6f1c4">#REF!</definedName>
    <definedName name="_vena_DYNR_SMYPS1_BMYPB2_58b6147f_caaa4d5c">#REF!</definedName>
    <definedName name="_vena_DYNR_SMYPS1_BMYPB2_58b6147f_cb33dd86">#REF!</definedName>
    <definedName name="_vena_DYNR_SMYPS1_BMYPB2_58b6147f_cb59ea63">#REF!</definedName>
    <definedName name="_vena_DYNR_SMYPS1_BMYPB2_58b6147f_cbc0f401">#REF!</definedName>
    <definedName name="_vena_DYNR_SMYPS1_BMYPB2_58b6147f_cc534cfc">#REF!</definedName>
    <definedName name="_vena_DYNR_SMYPS1_BMYPB2_58b6147f_ccf3d11a">#REF!</definedName>
    <definedName name="_vena_DYNR_SMYPS1_BMYPB2_58b6147f_cd6550f8">#REF!</definedName>
    <definedName name="_vena_DYNR_SMYPS1_BMYPB2_58b6147f_cdd88f70">#REF!</definedName>
    <definedName name="_vena_DYNR_SMYPS1_BMYPB2_58b6147f_ce97ff21">#REF!</definedName>
    <definedName name="_vena_DYNR_SMYPS1_BMYPB2_58b6147f_d06a20d2">#REF!</definedName>
    <definedName name="_vena_DYNR_SMYPS1_BMYPB2_58b6147f_d0772aa4">#REF!</definedName>
    <definedName name="_vena_DYNR_SMYPS1_BMYPB2_58b6147f_d22af7e2">#REF!</definedName>
    <definedName name="_vena_DYNR_SMYPS1_BMYPB2_58b6147f_d35ec6d7">#REF!</definedName>
    <definedName name="_vena_DYNR_SMYPS1_BMYPB2_58b6147f_d6aeb722">#REF!</definedName>
    <definedName name="_vena_DYNR_SMYPS1_BMYPB2_58b6147f_d7fae7ec">#REF!</definedName>
    <definedName name="_vena_DYNR_SMYPS1_BMYPB2_58b6147f_d8311ded">#REF!</definedName>
    <definedName name="_vena_DYNR_SMYPS1_BMYPB2_58b6147f_d8381d6c">#REF!</definedName>
    <definedName name="_vena_DYNR_SMYPS1_BMYPB2_58b6147f_da6a0372">#REF!</definedName>
    <definedName name="_vena_DYNR_SMYPS1_BMYPB2_58b6147f_dd4ea6dc">#REF!</definedName>
    <definedName name="_vena_DYNR_SMYPS1_BMYPB2_58b6147f_de8a961">#REF!</definedName>
    <definedName name="_vena_DYNR_SMYPS1_BMYPB2_58b6147f_df82b558">#REF!</definedName>
    <definedName name="_vena_DYNR_SMYPS1_BMYPB2_58b6147f_e581c372">#REF!</definedName>
    <definedName name="_vena_DYNR_SMYPS1_BMYPB2_58b6147f_e9a5ce01">#REF!</definedName>
    <definedName name="_vena_DYNR_SMYPS1_BMYPB2_58b6147f_ec1a2086">#REF!</definedName>
    <definedName name="_vena_DYNR_SMYPS1_BMYPB2_58b6147f_ef5d4646">#REF!</definedName>
    <definedName name="_vena_DYNR_SMYPS1_BMYPB2_58b6147f_f12a89f6">#REF!</definedName>
    <definedName name="_vena_DYNR_SMYPS1_BMYPB2_58b6147f_f1b9e54d">#REF!</definedName>
    <definedName name="_vena_DYNR_SMYPS1_BMYPB2_58b6147f_f2588ac5">#REF!</definedName>
    <definedName name="_vena_DYNR_SMYPS1_BMYPB2_58b6147f_f3fed27e">#REF!</definedName>
    <definedName name="_vena_DYNR_SMYPS1_BMYPB2_58b6147f_f5f606e7">#REF!</definedName>
    <definedName name="_vena_DYNR_SMYPS1_BMYPB2_58b6147f_f62f3ec3">#REF!</definedName>
    <definedName name="_vena_DYNR_SMYPS1_BMYPB2_58b6147f_faddb93">#REF!</definedName>
    <definedName name="_vena_DYNR_SMYPS1_BMYPB2_58b6147f_fe703847">#REF!</definedName>
    <definedName name="_vena_DYNR_SMYPS1_BMYPB2_688f7f8f">#REF!</definedName>
    <definedName name="_vena_DYNR_SMYPS1_BMYPB2_688f7f8f_10a5f58f">#REF!</definedName>
    <definedName name="_vena_DYNR_SMYPS1_BMYPB2_688f7f8f_12ea6284">#REF!</definedName>
    <definedName name="_vena_DYNR_SMYPS1_BMYPB2_688f7f8f_1dd0ace8">#REF!</definedName>
    <definedName name="_vena_DYNR_SMYPS1_BMYPB2_688f7f8f_1e17d327">#REF!</definedName>
    <definedName name="_vena_DYNR_SMYPS1_BMYPB2_688f7f8f_21d06519">#REF!</definedName>
    <definedName name="_vena_DYNR_SMYPS1_BMYPB2_688f7f8f_22456c7f">#REF!</definedName>
    <definedName name="_vena_DYNR_SMYPS1_BMYPB2_688f7f8f_25923acf">#REF!</definedName>
    <definedName name="_vena_DYNR_SMYPS1_BMYPB2_688f7f8f_27d99a6c">#REF!</definedName>
    <definedName name="_vena_DYNR_SMYPS1_BMYPB2_688f7f8f_2b88a26d">#REF!</definedName>
    <definedName name="_vena_DYNR_SMYPS1_BMYPB2_688f7f8f_31ae5ede">#REF!</definedName>
    <definedName name="_vena_DYNR_SMYPS1_BMYPB2_688f7f8f_359edbff">#REF!</definedName>
    <definedName name="_vena_DYNR_SMYPS1_BMYPB2_688f7f8f_39c40d84">#REF!</definedName>
    <definedName name="_vena_DYNR_SMYPS1_BMYPB2_688f7f8f_39f05306">#REF!</definedName>
    <definedName name="_vena_DYNR_SMYPS1_BMYPB2_688f7f8f_4176bd1f">#REF!</definedName>
    <definedName name="_vena_DYNR_SMYPS1_BMYPB2_688f7f8f_4386dbb3">#REF!</definedName>
    <definedName name="_vena_DYNR_SMYPS1_BMYPB2_688f7f8f_444fc704">#REF!</definedName>
    <definedName name="_vena_DYNR_SMYPS1_BMYPB2_688f7f8f_4d153025">#REF!</definedName>
    <definedName name="_vena_DYNR_SMYPS1_BMYPB2_688f7f8f_4d48628">#REF!</definedName>
    <definedName name="_vena_DYNR_SMYPS1_BMYPB2_688f7f8f_4e060b62">#REF!</definedName>
    <definedName name="_vena_DYNR_SMYPS1_BMYPB2_688f7f8f_51da89bd">#REF!</definedName>
    <definedName name="_vena_DYNR_SMYPS1_BMYPB2_688f7f8f_548160e4">#REF!</definedName>
    <definedName name="_vena_DYNR_SMYPS1_BMYPB2_688f7f8f_586156bd">#REF!</definedName>
    <definedName name="_vena_DYNR_SMYPS1_BMYPB2_688f7f8f_5b226b51">#REF!</definedName>
    <definedName name="_vena_DYNR_SMYPS1_BMYPB2_688f7f8f_602f2f86">#REF!</definedName>
    <definedName name="_vena_DYNR_SMYPS1_BMYPB2_688f7f8f_60f0b90a">#REF!</definedName>
    <definedName name="_vena_DYNR_SMYPS1_BMYPB2_688f7f8f_65d573">#REF!</definedName>
    <definedName name="_vena_DYNR_SMYPS1_BMYPB2_688f7f8f_66065a5e">#REF!</definedName>
    <definedName name="_vena_DYNR_SMYPS1_BMYPB2_688f7f8f_6bec24a5">#REF!</definedName>
    <definedName name="_vena_DYNR_SMYPS1_BMYPB2_688f7f8f_6e2ffbcb">#REF!</definedName>
    <definedName name="_vena_DYNR_SMYPS1_BMYPB2_688f7f8f_7000c95a">#REF!</definedName>
    <definedName name="_vena_DYNR_SMYPS1_BMYPB2_688f7f8f_712f4a4f">#REF!</definedName>
    <definedName name="_vena_DYNR_SMYPS1_BMYPB2_688f7f8f_755a4c32">#REF!</definedName>
    <definedName name="_vena_DYNR_SMYPS1_BMYPB2_688f7f8f_77be62c2">#REF!</definedName>
    <definedName name="_vena_DYNR_SMYPS1_BMYPB2_688f7f8f_7ab4c4e6">#REF!</definedName>
    <definedName name="_vena_DYNR_SMYPS1_BMYPB2_688f7f8f_7c582a9c">#REF!</definedName>
    <definedName name="_vena_DYNR_SMYPS1_BMYPB2_688f7f8f_7eb36b99">#REF!</definedName>
    <definedName name="_vena_DYNR_SMYPS1_BMYPB2_688f7f8f_851287e">#REF!</definedName>
    <definedName name="_vena_DYNR_SMYPS1_BMYPB2_688f7f8f_86c58cbb">#REF!</definedName>
    <definedName name="_vena_DYNR_SMYPS1_BMYPB2_688f7f8f_8764801a">#REF!</definedName>
    <definedName name="_vena_DYNR_SMYPS1_BMYPB2_688f7f8f_8951ac55">#REF!</definedName>
    <definedName name="_vena_DYNR_SMYPS1_BMYPB2_688f7f8f_8b53cc12">#REF!</definedName>
    <definedName name="_vena_DYNR_SMYPS1_BMYPB2_688f7f8f_8b972401">#REF!</definedName>
    <definedName name="_vena_DYNR_SMYPS1_BMYPB2_688f7f8f_8e3100a2">#REF!</definedName>
    <definedName name="_vena_DYNR_SMYPS1_BMYPB2_688f7f8f_8ed05a41">#REF!</definedName>
    <definedName name="_vena_DYNR_SMYPS1_BMYPB2_688f7f8f_8efeb9d7">#REF!</definedName>
    <definedName name="_vena_DYNR_SMYPS1_BMYPB2_688f7f8f_98b06e73">#REF!</definedName>
    <definedName name="_vena_DYNR_SMYPS1_BMYPB2_688f7f8f_99b9a88c">#REF!</definedName>
    <definedName name="_vena_DYNR_SMYPS1_BMYPB2_688f7f8f_9bb41c0e">#REF!</definedName>
    <definedName name="_vena_DYNR_SMYPS1_BMYPB2_688f7f8f_9e6264a1">#REF!</definedName>
    <definedName name="_vena_DYNR_SMYPS1_BMYPB2_688f7f8f_a4d0dca5">#REF!</definedName>
    <definedName name="_vena_DYNR_SMYPS1_BMYPB2_688f7f8f_a533b54a">#REF!</definedName>
    <definedName name="_vena_DYNR_SMYPS1_BMYPB2_688f7f8f_a8acda4c">#REF!</definedName>
    <definedName name="_vena_DYNR_SMYPS1_BMYPB2_688f7f8f_a8aec83a">#REF!</definedName>
    <definedName name="_vena_DYNR_SMYPS1_BMYPB2_688f7f8f_acb3d14e">#REF!</definedName>
    <definedName name="_vena_DYNR_SMYPS1_BMYPB2_688f7f8f_ad80e754">#REF!</definedName>
    <definedName name="_vena_DYNR_SMYPS1_BMYPB2_688f7f8f_ae19dccd">#REF!</definedName>
    <definedName name="_vena_DYNR_SMYPS1_BMYPB2_688f7f8f_b21e5b58">#REF!</definedName>
    <definedName name="_vena_DYNR_SMYPS1_BMYPB2_688f7f8f_c2d5b9f1">#REF!</definedName>
    <definedName name="_vena_DYNR_SMYPS1_BMYPB2_688f7f8f_c3df17cb">#REF!</definedName>
    <definedName name="_vena_DYNR_SMYPS1_BMYPB2_688f7f8f_c4cfa8d6">#REF!</definedName>
    <definedName name="_vena_DYNR_SMYPS1_BMYPB2_688f7f8f_cad5041b">#REF!</definedName>
    <definedName name="_vena_DYNR_SMYPS1_BMYPB2_688f7f8f_ccbfad82">#REF!</definedName>
    <definedName name="_vena_DYNR_SMYPS1_BMYPB2_688f7f8f_d24fff5d">#REF!</definedName>
    <definedName name="_vena_DYNR_SMYPS1_BMYPB2_688f7f8f_d6edb35">#REF!</definedName>
    <definedName name="_vena_DYNR_SMYPS1_BMYPB2_688f7f8f_d77694d4">#REF!</definedName>
    <definedName name="_vena_DYNR_SMYPS1_BMYPB2_688f7f8f_ddd5ebf9">#REF!</definedName>
    <definedName name="_vena_DYNR_SMYPS1_BMYPB2_688f7f8f_e34cd0bc">#REF!</definedName>
    <definedName name="_vena_DYNR_SMYPS1_BMYPB2_688f7f8f_e8ba7dad">#REF!</definedName>
    <definedName name="_vena_DYNR_SMYPS1_BMYPB2_688f7f8f_e9c2cea1">#REF!</definedName>
    <definedName name="_vena_DYNR_SMYPS1_BMYPB2_688f7f8f_f2739912">#REF!</definedName>
    <definedName name="_vena_DYNR_SMYPS1_BMYPB2_688f7f8f_f60831fb">#REF!</definedName>
    <definedName name="_vena_DYNR_SMYPS1_BMYPB2_688f7f8f_fbbbe92f">#REF!</definedName>
    <definedName name="_vena_DYNR_SMYPS1_BMYPB2_688f7f8f_fcce45d7">#REF!</definedName>
    <definedName name="_vena_DYNR_SMYPS1_BMYPB2_7194b44e">#REF!</definedName>
    <definedName name="_vena_DYNR_SMYPS1_BMYPB2_7194b44e_13e0a332">#REF!</definedName>
    <definedName name="_vena_DYNR_SMYPS1_BMYPB2_7194b44e_1998bb1a">#REF!</definedName>
    <definedName name="_vena_DYNR_SMYPS1_BMYPB2_7194b44e_1cecf221">#REF!</definedName>
    <definedName name="_vena_DYNR_SMYPS1_BMYPB2_7194b44e_20602d95">#REF!</definedName>
    <definedName name="_vena_DYNR_SMYPS1_BMYPB2_7194b44e_21616ad6">#REF!</definedName>
    <definedName name="_vena_DYNR_SMYPS1_BMYPB2_7194b44e_25250a52">#REF!</definedName>
    <definedName name="_vena_DYNR_SMYPS1_BMYPB2_7194b44e_26006543">#REF!</definedName>
    <definedName name="_vena_DYNR_SMYPS1_BMYPB2_7194b44e_28d9b8f2">#REF!</definedName>
    <definedName name="_vena_DYNR_SMYPS1_BMYPB2_7194b44e_2d3413bb">#REF!</definedName>
    <definedName name="_vena_DYNR_SMYPS1_BMYPB2_7194b44e_2f4182a">#REF!</definedName>
    <definedName name="_vena_DYNR_SMYPS1_BMYPB2_7194b44e_2ff9f39b">#REF!</definedName>
    <definedName name="_vena_DYNR_SMYPS1_BMYPB2_7194b44e_329bfdd9">#REF!</definedName>
    <definedName name="_vena_DYNR_SMYPS1_BMYPB2_7194b44e_355dfeb1">#REF!</definedName>
    <definedName name="_vena_DYNR_SMYPS1_BMYPB2_7194b44e_37bb8325">#REF!</definedName>
    <definedName name="_vena_DYNR_SMYPS1_BMYPB2_7194b44e_37d32d7f">#REF!</definedName>
    <definedName name="_vena_DYNR_SMYPS1_BMYPB2_7194b44e_39452307">#REF!</definedName>
    <definedName name="_vena_DYNR_SMYPS1_BMYPB2_7194b44e_3eb9c8ee">#REF!</definedName>
    <definedName name="_vena_DYNR_SMYPS1_BMYPB2_7194b44e_43d6d16d">#REF!</definedName>
    <definedName name="_vena_DYNR_SMYPS1_BMYPB2_7194b44e_5670f188">#REF!</definedName>
    <definedName name="_vena_DYNR_SMYPS1_BMYPB2_7194b44e_574796d2">#REF!</definedName>
    <definedName name="_vena_DYNR_SMYPS1_BMYPB2_7194b44e_5938701d">#REF!</definedName>
    <definedName name="_vena_DYNR_SMYPS1_BMYPB2_7194b44e_5fb8a88c">#REF!</definedName>
    <definedName name="_vena_DYNR_SMYPS1_BMYPB2_7194b44e_60ef2291">#REF!</definedName>
    <definedName name="_vena_DYNR_SMYPS1_BMYPB2_7194b44e_61e58d85">#REF!</definedName>
    <definedName name="_vena_DYNR_SMYPS1_BMYPB2_7194b44e_640d516c">#REF!</definedName>
    <definedName name="_vena_DYNR_SMYPS1_BMYPB2_7194b44e_641265b0">#REF!</definedName>
    <definedName name="_vena_DYNR_SMYPS1_BMYPB2_7194b44e_669c094f">#REF!</definedName>
    <definedName name="_vena_DYNR_SMYPS1_BMYPB2_7194b44e_686fb0e3">#REF!</definedName>
    <definedName name="_vena_DYNR_SMYPS1_BMYPB2_7194b44e_6a99267a">#REF!</definedName>
    <definedName name="_vena_DYNR_SMYPS1_BMYPB2_7194b44e_6bba9347">#REF!</definedName>
    <definedName name="_vena_DYNR_SMYPS1_BMYPB2_7194b44e_71270bf2">#REF!</definedName>
    <definedName name="_vena_DYNR_SMYPS1_BMYPB2_7194b44e_76f475d5">#REF!</definedName>
    <definedName name="_vena_DYNR_SMYPS1_BMYPB2_7194b44e_795ddcc3">#REF!</definedName>
    <definedName name="_vena_DYNR_SMYPS1_BMYPB2_7194b44e_7ce38f4e">#REF!</definedName>
    <definedName name="_vena_DYNR_SMYPS1_BMYPB2_7194b44e_8b702e14">#REF!</definedName>
    <definedName name="_vena_DYNR_SMYPS1_BMYPB2_7194b44e_8e21f16">#REF!</definedName>
    <definedName name="_vena_DYNR_SMYPS1_BMYPB2_7194b44e_8fa7f0e6">#REF!</definedName>
    <definedName name="_vena_DYNR_SMYPS1_BMYPB2_7194b44e_90169458">#REF!</definedName>
    <definedName name="_vena_DYNR_SMYPS1_BMYPB2_7194b44e_904065e3">#REF!</definedName>
    <definedName name="_vena_DYNR_SMYPS1_BMYPB2_7194b44e_91512e31">#REF!</definedName>
    <definedName name="_vena_DYNR_SMYPS1_BMYPB2_7194b44e_91f72030">#REF!</definedName>
    <definedName name="_vena_DYNR_SMYPS1_BMYPB2_7194b44e_96c135a2">#REF!</definedName>
    <definedName name="_vena_DYNR_SMYPS1_BMYPB2_7194b44e_b3af2e53">#REF!</definedName>
    <definedName name="_vena_DYNR_SMYPS1_BMYPB2_7194b44e_b48d68df">#REF!</definedName>
    <definedName name="_vena_DYNR_SMYPS1_BMYPB2_7194b44e_b58d7171">#REF!</definedName>
    <definedName name="_vena_DYNR_SMYPS1_BMYPB2_7194b44e_b78e43ff">#REF!</definedName>
    <definedName name="_vena_DYNR_SMYPS1_BMYPB2_7194b44e_bea18b0d">#REF!</definedName>
    <definedName name="_vena_DYNR_SMYPS1_BMYPB2_7194b44e_c15baf20">#REF!</definedName>
    <definedName name="_vena_DYNR_SMYPS1_BMYPB2_7194b44e_c443ed50">#REF!</definedName>
    <definedName name="_vena_DYNR_SMYPS1_BMYPB2_7194b44e_cf7b083c">#REF!</definedName>
    <definedName name="_vena_DYNR_SMYPS1_BMYPB2_7194b44e_cfcc3ea7">#REF!</definedName>
    <definedName name="_vena_DYNR_SMYPS1_BMYPB2_7194b44e_d26ef578">#REF!</definedName>
    <definedName name="_vena_DYNR_SMYPS1_BMYPB2_7194b44e_d2f0170">#REF!</definedName>
    <definedName name="_vena_DYNR_SMYPS1_BMYPB2_7194b44e_d46cb08a">#REF!</definedName>
    <definedName name="_vena_DYNR_SMYPS1_BMYPB2_7194b44e_d75d8b41">#REF!</definedName>
    <definedName name="_vena_DYNR_SMYPS1_BMYPB2_7194b44e_d75e656a">#REF!</definedName>
    <definedName name="_vena_DYNR_SMYPS1_BMYPB2_7194b44e_d776ff86">#REF!</definedName>
    <definedName name="_vena_DYNR_SMYPS1_BMYPB2_7194b44e_d7c831d4">#REF!</definedName>
    <definedName name="_vena_DYNR_SMYPS1_BMYPB2_7194b44e_d833ca3b">#REF!</definedName>
    <definedName name="_vena_DYNR_SMYPS1_BMYPB2_7194b44e_d9ef9fe2">#REF!</definedName>
    <definedName name="_vena_DYNR_SMYPS1_BMYPB2_7194b44e_dac546e">#REF!</definedName>
    <definedName name="_vena_DYNR_SMYPS1_BMYPB2_7194b44e_db6e5d93">#REF!</definedName>
    <definedName name="_vena_DYNR_SMYPS1_BMYPB2_7194b44e_dc004006">#REF!</definedName>
    <definedName name="_vena_DYNR_SMYPS1_BMYPB2_7194b44e_dd95e45e">#REF!</definedName>
    <definedName name="_vena_DYNR_SMYPS1_BMYPB2_7194b44e_de69f134">#REF!</definedName>
    <definedName name="_vena_DYNR_SMYPS1_BMYPB2_7194b44e_df1914b2">#REF!</definedName>
    <definedName name="_vena_DYNR_SMYPS1_BMYPB2_7194b44e_e0be0ec6">#REF!</definedName>
    <definedName name="_vena_DYNR_SMYPS1_BMYPB2_7194b44e_e127356c">#REF!</definedName>
    <definedName name="_vena_DYNR_SMYPS1_BMYPB2_7194b44e_e2eac861">#REF!</definedName>
    <definedName name="_vena_DYNR_SMYPS1_BMYPB2_7194b44e_e56ecec6">#REF!</definedName>
    <definedName name="_vena_DYNR_SMYPS1_BMYPB2_7194b44e_e99c8fbf">#REF!</definedName>
    <definedName name="_vena_DYNR_SMYPS1_BMYPB2_7194b44e_eae5a3ab">#REF!</definedName>
    <definedName name="_vena_DYNR_SMYPS1_BMYPB2_7194b44e_eea7ae94">#REF!</definedName>
    <definedName name="_vena_DYNR_SMYPS1_BMYPB2_7194b44e_efc8fee1">#REF!</definedName>
    <definedName name="_vena_DYNR_SMYPS1_BMYPB2_7194b44e_f137ca32">#REF!</definedName>
    <definedName name="_vena_DYNR_SMYPS1_BMYPB2_7194b44e_f29543fc">#REF!</definedName>
    <definedName name="_vena_DYNR_SMYPS1_BMYPB2_7194b44e_fa009725">#REF!</definedName>
    <definedName name="_vena_DYNR_SMYPS1_BMYPB2_7194b44e_fb43497e">#REF!</definedName>
    <definedName name="_vena_DYNR_SMYPS1_BMYPB2_8e076ab7">#REF!</definedName>
    <definedName name="_vena_DYNR_SMYPS1_BMYPB2_8e076ab7_14bef61c">#REF!</definedName>
    <definedName name="_vena_DYNR_SMYPS1_BMYPB2_8e076ab7_1eb5d548">#REF!</definedName>
    <definedName name="_vena_DYNR_SMYPS1_BMYPB2_8e076ab7_1f3288d">#REF!</definedName>
    <definedName name="_vena_DYNR_SMYPS1_BMYPB2_8e076ab7_2709eff9">#REF!</definedName>
    <definedName name="_vena_DYNR_SMYPS1_BMYPB2_8e076ab7_2a89a7fc">#REF!</definedName>
    <definedName name="_vena_DYNR_SMYPS1_BMYPB2_8e076ab7_2bb9b824">#REF!</definedName>
    <definedName name="_vena_DYNR_SMYPS1_BMYPB2_8e076ab7_3c69f8b1">#REF!</definedName>
    <definedName name="_vena_DYNR_SMYPS1_BMYPB2_8e076ab7_431ddab3">#REF!</definedName>
    <definedName name="_vena_DYNR_SMYPS1_BMYPB2_8e076ab7_52c7a1aa">#REF!</definedName>
    <definedName name="_vena_DYNR_SMYPS1_BMYPB2_8e076ab7_542b1d56">#REF!</definedName>
    <definedName name="_vena_DYNR_SMYPS1_BMYPB2_8e076ab7_571ab3a2">#REF!</definedName>
    <definedName name="_vena_DYNR_SMYPS1_BMYPB2_8e076ab7_63c590bf">#REF!</definedName>
    <definedName name="_vena_DYNR_SMYPS1_BMYPB2_8e076ab7_655d497d">#REF!</definedName>
    <definedName name="_vena_DYNR_SMYPS1_BMYPB2_8e076ab7_67c1b57">#REF!</definedName>
    <definedName name="_vena_DYNR_SMYPS1_BMYPB2_8e076ab7_69dac5be">#REF!</definedName>
    <definedName name="_vena_DYNR_SMYPS1_BMYPB2_8e076ab7_70e377c7">#REF!</definedName>
    <definedName name="_vena_DYNR_SMYPS1_BMYPB2_8e076ab7_7c289faa">#REF!</definedName>
    <definedName name="_vena_DYNR_SMYPS1_BMYPB2_8e076ab7_7f54f99a">#REF!</definedName>
    <definedName name="_vena_DYNR_SMYPS1_BMYPB2_8e076ab7_991f14c2">#REF!</definedName>
    <definedName name="_vena_DYNR_SMYPS1_BMYPB2_8e076ab7_9b9aa4cb">#REF!</definedName>
    <definedName name="_vena_DYNR_SMYPS1_BMYPB2_8e076ab7_9e30db65">#REF!</definedName>
    <definedName name="_vena_DYNR_SMYPS1_BMYPB2_8e076ab7_a043806f">#REF!</definedName>
    <definedName name="_vena_DYNR_SMYPS1_BMYPB2_8e076ab7_a940f844">#REF!</definedName>
    <definedName name="_vena_DYNR_SMYPS1_BMYPB2_8e076ab7_a9b62457">#REF!</definedName>
    <definedName name="_vena_DYNR_SMYPS1_BMYPB2_8e076ab7_acf227c7">#REF!</definedName>
    <definedName name="_vena_DYNR_SMYPS1_BMYPB2_8e076ab7_ad0aaaf7">#REF!</definedName>
    <definedName name="_vena_DYNR_SMYPS1_BMYPB2_8e076ab7_ada90780">#REF!</definedName>
    <definedName name="_vena_DYNR_SMYPS1_BMYPB2_8e076ab7_c459b38d">#REF!</definedName>
    <definedName name="_vena_DYNR_SMYPS1_BMYPB2_8e076ab7_c48af73d">#REF!</definedName>
    <definedName name="_vena_DYNR_SMYPS1_BMYPB2_8e076ab7_cec5aed8">#REF!</definedName>
    <definedName name="_vena_DYNR_SMYPS1_BMYPB2_8e076ab7_d00f4ae9">#REF!</definedName>
    <definedName name="_vena_DYNR_SMYPS1_BMYPB2_8e076ab7_dbeddcd9">#REF!</definedName>
    <definedName name="_vena_DYNR_SMYPS1_BMYPB2_8e076ab7_e3a02a4d">#REF!</definedName>
    <definedName name="_vena_DYNR_SMYPS1_BMYPB2_8e076ab7_ea13eef9">#REF!</definedName>
    <definedName name="_vena_DYNR_SMYPS1_BMYPB2_8e076ab7_f2a200ca">#REF!</definedName>
    <definedName name="_vena_DYNR_SMYPS1_BMYPB2_8e076ab7_f70eb36b">#REF!</definedName>
    <definedName name="_vena_DYNR_SMYPS1_BMYPB2_9b9c8a98">#REF!</definedName>
    <definedName name="_vena_DYNR_SMYPS1_BMYPB2_9b9c8a98_1a28efec">#REF!</definedName>
    <definedName name="_vena_DYNR_SMYPS1_BMYPB2_9b9c8a98_37ff454f">#REF!</definedName>
    <definedName name="_vena_DYNR_SMYPS1_BMYPB2_9b9c8a98_447d1619">#REF!</definedName>
    <definedName name="_vena_DYNR_SMYPS1_BMYPB2_9b9c8a98_4a27f2a2">#REF!</definedName>
    <definedName name="_vena_DYNR_SMYPS1_BMYPB2_9b9c8a98_5a328c2e">#REF!</definedName>
    <definedName name="_vena_DYNR_SMYPS1_BMYPB2_9b9c8a98_6422f9ff">#REF!</definedName>
    <definedName name="_vena_DYNR_SMYPS1_BMYPB2_9b9c8a98_9c1e200f">#REF!</definedName>
    <definedName name="_vena_DYNR_SMYPS1_BMYPB2_9b9c8a98_c96dbeec">#REF!</definedName>
    <definedName name="_vena_DYNR_SMYPS1_BMYPB2_9b9c8a98_d084eac">#REF!</definedName>
    <definedName name="_vena_DYNR_SMYPS1_BMYPB2_9b9c8a98_d3ffa54e">#REF!</definedName>
    <definedName name="_vena_DYNR_SMYPS1_BMYPB2_9b9c8a98_dd27a951">#REF!</definedName>
    <definedName name="_vena_DYNR_SMYPS1_BMYPB2_9b9c8a98_ecc32d0c">#REF!</definedName>
    <definedName name="_vena_DYNR_SMYPS1_BMYPB2_9b9c8a98_eeffa433">#REF!</definedName>
    <definedName name="_vena_DYNR_SMYPS1_BMYPB2_9b9c8a98_efe5d513">#REF!</definedName>
    <definedName name="_vena_DYNR_SMYPS1_BMYPB2_9b9c8a98_ffde590a">#REF!</definedName>
    <definedName name="_vena_DYNR_SMYPS1_BMYPB2_ab6f3ec7">#REF!</definedName>
    <definedName name="_vena_DYNR_SMYPS1_BMYPB2_ab6f3ec7_154cb46d">#REF!</definedName>
    <definedName name="_vena_DYNR_SMYPS1_BMYPB2_ab6f3ec7_16afecd7">#REF!</definedName>
    <definedName name="_vena_DYNR_SMYPS1_BMYPB2_ab6f3ec7_2d60794f">#REF!</definedName>
    <definedName name="_vena_DYNR_SMYPS1_BMYPB2_ab6f3ec7_3267d42d">#REF!</definedName>
    <definedName name="_vena_DYNR_SMYPS1_BMYPB2_ab6f3ec7_44760cc9">#REF!</definedName>
    <definedName name="_vena_DYNR_SMYPS1_BMYPB2_ab6f3ec7_4d922bb0">#REF!</definedName>
    <definedName name="_vena_DYNR_SMYPS1_BMYPB2_ab6f3ec7_7a9fe31f">#REF!</definedName>
    <definedName name="_vena_DYNR_SMYPS1_BMYPB2_ab6f3ec7_803891c2">#REF!</definedName>
    <definedName name="_vena_DYNR_SMYPS1_BMYPB2_ab6f3ec7_89ebef8a">#REF!</definedName>
    <definedName name="_vena_DYNR_SMYPS1_BMYPB2_ab6f3ec7_94ae2cef">#REF!</definedName>
    <definedName name="_vena_DYNR_SMYPS1_BMYPB2_ab6f3ec7_98373092">#REF!</definedName>
    <definedName name="_vena_DYNR_SMYPS1_BMYPB2_ab6f3ec7_9bd223e8">#REF!</definedName>
    <definedName name="_vena_DYNR_SMYPS1_BMYPB2_ab6f3ec7_b2697201">#REF!</definedName>
    <definedName name="_vena_DYNR_SMYPS1_BMYPB2_ab6f3ec7_bb7e3e01">#REF!</definedName>
    <definedName name="_vena_DYNR_SMYPS1_BMYPB2_ab6f3ec7_bc36c5f8">#REF!</definedName>
    <definedName name="_vena_DYNR_SMYPS1_BMYPB2_ab6f3ec7_d17cbe75">#REF!</definedName>
    <definedName name="_vena_DYNR_SMYPS1_BMYPB2_ab6f3ec7_d868f940">#REF!</definedName>
    <definedName name="_vena_DYNR_SMYPS1_BMYPB2_ab6f3ec7_d916e4f6">#REF!</definedName>
    <definedName name="_vena_DYNR_SMYPS1_BMYPB2_ab6f3ec7_de6bfce8">#REF!</definedName>
    <definedName name="_vena_DYNR_SMYPS1_BMYPB2_ab6f3ec7_e3f40d0f">#REF!</definedName>
    <definedName name="_vena_DYNR_SMYPS1_BMYPB2_ab6f3ec7_ef7b7e10">#REF!</definedName>
    <definedName name="_vena_DYNR_SMYPS1_BMYPB2_ab6f3ec7_f04ddf96">#REF!</definedName>
    <definedName name="_vena_DYNR_SMYPS1_BMYPB2_b6e56aef">#REF!</definedName>
    <definedName name="_vena_DYNR_SMYPS1_BMYPB2_b6e56aef_146b3170">#REF!</definedName>
    <definedName name="_vena_DYNR_SMYPS1_BMYPB2_b6e56aef_18d41921">#REF!</definedName>
    <definedName name="_vena_DYNR_SMYPS1_BMYPB2_b6e56aef_5780c5e6">#REF!</definedName>
    <definedName name="_vena_DYNR_SMYPS1_BMYPB2_b6e56aef_7dcd61e3">#REF!</definedName>
    <definedName name="_vena_DYNR_SMYPS1_BMYPB2_b6e56aef_820ae965">#REF!</definedName>
    <definedName name="_vena_DYNR_SMYPS1_BMYPB2_b6e56aef_88bd069b">#REF!</definedName>
    <definedName name="_vena_DYNR_SMYPS1_BMYPB2_b6e56aef_949be29e">#REF!</definedName>
    <definedName name="_vena_DYNR_SMYPS1_BMYPB2_b6e56aef_9d05ee59">#REF!</definedName>
    <definedName name="_vena_DYNR_SMYPS1_BMYPB2_b6e56aef_a2dea73a">#REF!</definedName>
    <definedName name="_vena_DYNR_SMYPS1_BMYPB2_b6e56aef_a7eb0347">#REF!</definedName>
    <definedName name="_vena_DYNR_SMYPS1_BMYPB2_b6e56aef_ae9d39a0">#REF!</definedName>
    <definedName name="_vena_DYNR_SMYPS1_BMYPB2_b6e56aef_b1742ee5">#REF!</definedName>
    <definedName name="_vena_DYNR_SMYPS1_BMYPB2_b6e56aef_c9fe687b">#REF!</definedName>
    <definedName name="_vena_DYNR_SMYPS1_BMYPB2_b6e56aef_dcfc27d5">#REF!</definedName>
    <definedName name="_vena_DYNR_SMYPS1_BMYPB2_b6e56aef_ef34f6ca">#REF!</definedName>
    <definedName name="_vena_DYNR_SMYPS1_BMYPB2_b6e56aef_f02189a0">#REF!</definedName>
    <definedName name="_vena_DYNR_SMYPS1_BMYPB2_bd9b371f">#REF!</definedName>
    <definedName name="_vena_DYNR_SMYPS1_BMYPB2_bd9b371f_1a4132d7">#REF!</definedName>
    <definedName name="_vena_DYNR_SMYPS1_BMYPB2_bd9b371f_25b1d6e9">#REF!</definedName>
    <definedName name="_vena_DYNR_SMYPS1_BMYPB2_bd9b371f_2aee0e5d">#REF!</definedName>
    <definedName name="_vena_DYNR_SMYPS1_BMYPB2_bd9b371f_305adab6">#REF!</definedName>
    <definedName name="_vena_DYNR_SMYPS1_BMYPB2_bd9b371f_409a4461">#REF!</definedName>
    <definedName name="_vena_DYNR_SMYPS1_BMYPB2_bd9b371f_46a32103">#REF!</definedName>
    <definedName name="_vena_DYNR_SMYPS1_BMYPB2_bd9b371f_7f8981e0">#REF!</definedName>
    <definedName name="_vena_DYNR_SMYPS1_BMYPB2_bd9b371f_aa167d56">#REF!</definedName>
    <definedName name="_vena_DYNR_SMYPS1_BMYPB2_bd9b371f_da76cf31">#REF!</definedName>
    <definedName name="_vena_DYNR_SMYPS1_BMYPB2_bd9b371f_e55ea325">#REF!</definedName>
    <definedName name="_vena_DYNR_SMYPS1_BMYPB2_bd9b371f_e86ce133">#REF!</definedName>
    <definedName name="_vena_DYNR_SMYPS1_BMYPB2_c1a57d65">#REF!</definedName>
    <definedName name="_vena_DYNR_SMYPS1_BMYPB2_c1a57d65_19403175">#REF!</definedName>
    <definedName name="_vena_DYNR_SMYPS1_BMYPB2_c1a57d65_2562af8f">#REF!</definedName>
    <definedName name="_vena_DYNR_SMYPS1_BMYPB2_c1a57d65_324e11ce">#REF!</definedName>
    <definedName name="_vena_DYNR_SMYPS1_BMYPB2_c1a57d65_3d882d2b">#REF!</definedName>
    <definedName name="_vena_DYNR_SMYPS1_BMYPB2_c1a57d65_4268ebf1">#REF!</definedName>
    <definedName name="_vena_DYNR_SMYPS1_BMYPB2_c1a57d65_4e28943d">#REF!</definedName>
    <definedName name="_vena_DYNR_SMYPS1_BMYPB2_c1a57d65_606edac4">#REF!</definedName>
    <definedName name="_vena_DYNR_SMYPS1_BMYPB2_c1a57d65_6226bacd">#REF!</definedName>
    <definedName name="_vena_DYNR_SMYPS1_BMYPB2_c1a57d65_a1482daa">#REF!</definedName>
    <definedName name="_vena_DYNR_SMYPS1_BMYPB2_c1a57d65_b456c04f">#REF!</definedName>
    <definedName name="_vena_DYNR_SMYPS1_BMYPB2_c1a57d65_c5d92244">#REF!</definedName>
    <definedName name="_vena_DYNR_SMYPS1_BMYPB2_c1a57d65_d9dd778b">#REF!</definedName>
    <definedName name="_vena_DYNR_SMYPS1_BMYPB2_c44b9cff">#REF!</definedName>
    <definedName name="_vena_DYNR_SMYPS1_BMYPB2_c44b9cff_16450e70">#REF!</definedName>
    <definedName name="_vena_DYNR_SMYPS1_BMYPB2_c44b9cff_184df179">#REF!</definedName>
    <definedName name="_vena_DYNR_SMYPS1_BMYPB2_c44b9cff_18a3792f">#REF!</definedName>
    <definedName name="_vena_DYNR_SMYPS1_BMYPB2_c44b9cff_1bc564e9">#REF!</definedName>
    <definedName name="_vena_DYNR_SMYPS1_BMYPB2_c44b9cff_1cea437c">#REF!</definedName>
    <definedName name="_vena_DYNR_SMYPS1_BMYPB2_c44b9cff_26a45bba">#REF!</definedName>
    <definedName name="_vena_DYNR_SMYPS1_BMYPB2_c44b9cff_2828585c">#REF!</definedName>
    <definedName name="_vena_DYNR_SMYPS1_BMYPB2_c44b9cff_2c71ed0">#REF!</definedName>
    <definedName name="_vena_DYNR_SMYPS1_BMYPB2_c44b9cff_35b302b2">#REF!</definedName>
    <definedName name="_vena_DYNR_SMYPS1_BMYPB2_c44b9cff_391e0b38">#REF!</definedName>
    <definedName name="_vena_DYNR_SMYPS1_BMYPB2_c44b9cff_3cbf50d6">#REF!</definedName>
    <definedName name="_vena_DYNR_SMYPS1_BMYPB2_c44b9cff_3ded5cd3">#REF!</definedName>
    <definedName name="_vena_DYNR_SMYPS1_BMYPB2_c44b9cff_400e3c9">#REF!</definedName>
    <definedName name="_vena_DYNR_SMYPS1_BMYPB2_c44b9cff_42d77a41">#REF!</definedName>
    <definedName name="_vena_DYNR_SMYPS1_BMYPB2_c44b9cff_43a710e7">#REF!</definedName>
    <definedName name="_vena_DYNR_SMYPS1_BMYPB2_c44b9cff_48dadb5">#REF!</definedName>
    <definedName name="_vena_DYNR_SMYPS1_BMYPB2_c44b9cff_4b5e5c26">#REF!</definedName>
    <definedName name="_vena_DYNR_SMYPS1_BMYPB2_c44b9cff_50f38396">#REF!</definedName>
    <definedName name="_vena_DYNR_SMYPS1_BMYPB2_c44b9cff_52e47b40">#REF!</definedName>
    <definedName name="_vena_DYNR_SMYPS1_BMYPB2_c44b9cff_5890fcda">#REF!</definedName>
    <definedName name="_vena_DYNR_SMYPS1_BMYPB2_c44b9cff_5d705235">#REF!</definedName>
    <definedName name="_vena_DYNR_SMYPS1_BMYPB2_c44b9cff_6272231f">#REF!</definedName>
    <definedName name="_vena_DYNR_SMYPS1_BMYPB2_c44b9cff_638d16d5">#REF!</definedName>
    <definedName name="_vena_DYNR_SMYPS1_BMYPB2_c44b9cff_646bfa20">#REF!</definedName>
    <definedName name="_vena_DYNR_SMYPS1_BMYPB2_c44b9cff_64771fab">#REF!</definedName>
    <definedName name="_vena_DYNR_SMYPS1_BMYPB2_c44b9cff_6614ef28">#REF!</definedName>
    <definedName name="_vena_DYNR_SMYPS1_BMYPB2_c44b9cff_7275cb85">#REF!</definedName>
    <definedName name="_vena_DYNR_SMYPS1_BMYPB2_c44b9cff_7fe7c177">#REF!</definedName>
    <definedName name="_vena_DYNR_SMYPS1_BMYPB2_c44b9cff_81419ff">#REF!</definedName>
    <definedName name="_vena_DYNR_SMYPS1_BMYPB2_c44b9cff_8446bf87">#REF!</definedName>
    <definedName name="_vena_DYNR_SMYPS1_BMYPB2_c44b9cff_84a5b001">#REF!</definedName>
    <definedName name="_vena_DYNR_SMYPS1_BMYPB2_c44b9cff_8db76254">#REF!</definedName>
    <definedName name="_vena_DYNR_SMYPS1_BMYPB2_c44b9cff_91ecc8b1">#REF!</definedName>
    <definedName name="_vena_DYNR_SMYPS1_BMYPB2_c44b9cff_9951b775">#REF!</definedName>
    <definedName name="_vena_DYNR_SMYPS1_BMYPB2_c44b9cff_995e72a6">#REF!</definedName>
    <definedName name="_vena_DYNR_SMYPS1_BMYPB2_c44b9cff_9e318435">#REF!</definedName>
    <definedName name="_vena_DYNR_SMYPS1_BMYPB2_c44b9cff_9fb4e327">#REF!</definedName>
    <definedName name="_vena_DYNR_SMYPS1_BMYPB2_c44b9cff_a38d8e7f">#REF!</definedName>
    <definedName name="_vena_DYNR_SMYPS1_BMYPB2_c44b9cff_a59ae867">#REF!</definedName>
    <definedName name="_vena_DYNR_SMYPS1_BMYPB2_c44b9cff_a66f9d73">#REF!</definedName>
    <definedName name="_vena_DYNR_SMYPS1_BMYPB2_c44b9cff_a8980d9d">#REF!</definedName>
    <definedName name="_vena_DYNR_SMYPS1_BMYPB2_c44b9cff_a9af4275">#REF!</definedName>
    <definedName name="_vena_DYNR_SMYPS1_BMYPB2_c44b9cff_a9db8bfd">#REF!</definedName>
    <definedName name="_vena_DYNR_SMYPS1_BMYPB2_c44b9cff_ae14a107">#REF!</definedName>
    <definedName name="_vena_DYNR_SMYPS1_BMYPB2_c44b9cff_b14773d2">#REF!</definedName>
    <definedName name="_vena_DYNR_SMYPS1_BMYPB2_c44b9cff_b4c4f254">#REF!</definedName>
    <definedName name="_vena_DYNR_SMYPS1_BMYPB2_c44b9cff_c0442d81">#REF!</definedName>
    <definedName name="_vena_DYNR_SMYPS1_BMYPB2_c44b9cff_c6f23150">#REF!</definedName>
    <definedName name="_vena_DYNR_SMYPS1_BMYPB2_c44b9cff_cd86a563">#REF!</definedName>
    <definedName name="_vena_DYNR_SMYPS1_BMYPB2_c44b9cff_cfc13ebd">#REF!</definedName>
    <definedName name="_vena_DYNR_SMYPS1_BMYPB2_c44b9cff_d5fba392">#REF!</definedName>
    <definedName name="_vena_DYNR_SMYPS1_BMYPB2_c44b9cff_d63d73d7">#REF!</definedName>
    <definedName name="_vena_DYNR_SMYPS1_BMYPB2_c44b9cff_d659345e">#REF!</definedName>
    <definedName name="_vena_DYNR_SMYPS1_BMYPB2_c44b9cff_d9650566">#REF!</definedName>
    <definedName name="_vena_DYNR_SMYPS1_BMYPB2_c44b9cff_dc11c8af">#REF!</definedName>
    <definedName name="_vena_DYNR_SMYPS1_BMYPB2_c44b9cff_dc98236f">#REF!</definedName>
    <definedName name="_vena_DYNR_SMYPS1_BMYPB2_c44b9cff_dd39975e">#REF!</definedName>
    <definedName name="_vena_DYNR_SMYPS1_BMYPB2_c44b9cff_dd99efa0">#REF!</definedName>
    <definedName name="_vena_DYNR_SMYPS1_BMYPB2_c44b9cff_e7a727fe">#REF!</definedName>
    <definedName name="_vena_DYNR_SMYPS1_BMYPB2_c44b9cff_eba52380">#REF!</definedName>
    <definedName name="_vena_DYNR_SMYPS1_BMYPB2_c44b9cff_ecf68956">#REF!</definedName>
    <definedName name="_vena_DYNR_SMYPS1_BMYPB2_c44b9cff_f53cc822">#REF!</definedName>
    <definedName name="_vena_DYNR_SMYPS1_BMYPB2_db9999c3">#REF!</definedName>
    <definedName name="_vena_DYNR_SMYPS1_BMYPB2_db9999c3_112149b5">#REF!</definedName>
    <definedName name="_vena_DYNR_SMYPS1_BMYPB2_db9999c3_12072dd5">#REF!</definedName>
    <definedName name="_vena_DYNR_SMYPS1_BMYPB2_db9999c3_1847bf15">#REF!</definedName>
    <definedName name="_vena_DYNR_SMYPS1_BMYPB2_db9999c3_19442eb5">#REF!</definedName>
    <definedName name="_vena_DYNR_SMYPS1_BMYPB2_db9999c3_1f815e3a">#REF!</definedName>
    <definedName name="_vena_DYNR_SMYPS1_BMYPB2_db9999c3_1faf072e">#REF!</definedName>
    <definedName name="_vena_DYNR_SMYPS1_BMYPB2_db9999c3_246c5be8">#REF!</definedName>
    <definedName name="_vena_DYNR_SMYPS1_BMYPB2_db9999c3_2af0bd80">#REF!</definedName>
    <definedName name="_vena_DYNR_SMYPS1_BMYPB2_db9999c3_2e2cd328">#REF!</definedName>
    <definedName name="_vena_DYNR_SMYPS1_BMYPB2_db9999c3_2e93e75a">#REF!</definedName>
    <definedName name="_vena_DYNR_SMYPS1_BMYPB2_db9999c3_2fc62e47">#REF!</definedName>
    <definedName name="_vena_DYNR_SMYPS1_BMYPB2_db9999c3_30c1b17f">#REF!</definedName>
    <definedName name="_vena_DYNR_SMYPS1_BMYPB2_db9999c3_31d47621">#REF!</definedName>
    <definedName name="_vena_DYNR_SMYPS1_BMYPB2_db9999c3_34816d3f">#REF!</definedName>
    <definedName name="_vena_DYNR_SMYPS1_BMYPB2_db9999c3_380eb976">#REF!</definedName>
    <definedName name="_vena_DYNR_SMYPS1_BMYPB2_db9999c3_399e53fd">#REF!</definedName>
    <definedName name="_vena_DYNR_SMYPS1_BMYPB2_db9999c3_3b3c2f39">#REF!</definedName>
    <definedName name="_vena_DYNR_SMYPS1_BMYPB2_db9999c3_3e7c5c46">#REF!</definedName>
    <definedName name="_vena_DYNR_SMYPS1_BMYPB2_db9999c3_3e84c637">#REF!</definedName>
    <definedName name="_vena_DYNR_SMYPS1_BMYPB2_db9999c3_3ea4724e">#REF!</definedName>
    <definedName name="_vena_DYNR_SMYPS1_BMYPB2_db9999c3_440199d4">#REF!</definedName>
    <definedName name="_vena_DYNR_SMYPS1_BMYPB2_db9999c3_4548bf8f">#REF!</definedName>
    <definedName name="_vena_DYNR_SMYPS1_BMYPB2_db9999c3_4602ad36">#REF!</definedName>
    <definedName name="_vena_DYNR_SMYPS1_BMYPB2_db9999c3_4b465d69">#REF!</definedName>
    <definedName name="_vena_DYNR_SMYPS1_BMYPB2_db9999c3_4b5f73fb">#REF!</definedName>
    <definedName name="_vena_DYNR_SMYPS1_BMYPB2_db9999c3_4faa1147">#REF!</definedName>
    <definedName name="_vena_DYNR_SMYPS1_BMYPB2_db9999c3_51cd5fac">#REF!</definedName>
    <definedName name="_vena_DYNR_SMYPS1_BMYPB2_db9999c3_52d9ce52">#REF!</definedName>
    <definedName name="_vena_DYNR_SMYPS1_BMYPB2_db9999c3_569e3b89">#REF!</definedName>
    <definedName name="_vena_DYNR_SMYPS1_BMYPB2_db9999c3_5912cab0">#REF!</definedName>
    <definedName name="_vena_DYNR_SMYPS1_BMYPB2_db9999c3_59327e0">#REF!</definedName>
    <definedName name="_vena_DYNR_SMYPS1_BMYPB2_db9999c3_5944913a">#REF!</definedName>
    <definedName name="_vena_DYNR_SMYPS1_BMYPB2_db9999c3_5bc17075">#REF!</definedName>
    <definedName name="_vena_DYNR_SMYPS1_BMYPB2_db9999c3_5d23a30d">#REF!</definedName>
    <definedName name="_vena_DYNR_SMYPS1_BMYPB2_db9999c3_63307304">#REF!</definedName>
    <definedName name="_vena_DYNR_SMYPS1_BMYPB2_db9999c3_6346d5da">#REF!</definedName>
    <definedName name="_vena_DYNR_SMYPS1_BMYPB2_db9999c3_63f3bf36">#REF!</definedName>
    <definedName name="_vena_DYNR_SMYPS1_BMYPB2_db9999c3_64b2462f">#REF!</definedName>
    <definedName name="_vena_DYNR_SMYPS1_BMYPB2_db9999c3_6d335086">#REF!</definedName>
    <definedName name="_vena_DYNR_SMYPS1_BMYPB2_db9999c3_712def51">#REF!</definedName>
    <definedName name="_vena_DYNR_SMYPS1_BMYPB2_db9999c3_73b594fc">#REF!</definedName>
    <definedName name="_vena_DYNR_SMYPS1_BMYPB2_db9999c3_73cfb183">#REF!</definedName>
    <definedName name="_vena_DYNR_SMYPS1_BMYPB2_db9999c3_77067eb8">#REF!</definedName>
    <definedName name="_vena_DYNR_SMYPS1_BMYPB2_db9999c3_7a0fa5ac">#REF!</definedName>
    <definedName name="_vena_DYNR_SMYPS1_BMYPB2_db9999c3_7f94234c">#REF!</definedName>
    <definedName name="_vena_DYNR_SMYPS1_BMYPB2_db9999c3_895e489f">#REF!</definedName>
    <definedName name="_vena_DYNR_SMYPS1_BMYPB2_db9999c3_899e6a37">#REF!</definedName>
    <definedName name="_vena_DYNR_SMYPS1_BMYPB2_db9999c3_8d58561b">#REF!</definedName>
    <definedName name="_vena_DYNR_SMYPS1_BMYPB2_db9999c3_8f31dee3">#REF!</definedName>
    <definedName name="_vena_DYNR_SMYPS1_BMYPB2_db9999c3_8fad297e">#REF!</definedName>
    <definedName name="_vena_DYNR_SMYPS1_BMYPB2_db9999c3_90e7fa4">#REF!</definedName>
    <definedName name="_vena_DYNR_SMYPS1_BMYPB2_db9999c3_93ad2d7a">#REF!</definedName>
    <definedName name="_vena_DYNR_SMYPS1_BMYPB2_db9999c3_9743df7a">#REF!</definedName>
    <definedName name="_vena_DYNR_SMYPS1_BMYPB2_db9999c3_97dc9c56">#REF!</definedName>
    <definedName name="_vena_DYNR_SMYPS1_BMYPB2_db9999c3_97fd63ab">#REF!</definedName>
    <definedName name="_vena_DYNR_SMYPS1_BMYPB2_db9999c3_9dacac28">#REF!</definedName>
    <definedName name="_vena_DYNR_SMYPS1_BMYPB2_db9999c3_a26018f2">#REF!</definedName>
    <definedName name="_vena_DYNR_SMYPS1_BMYPB2_db9999c3_a323ffff">#REF!</definedName>
    <definedName name="_vena_DYNR_SMYPS1_BMYPB2_db9999c3_a3cd5de9">#REF!</definedName>
    <definedName name="_vena_DYNR_SMYPS1_BMYPB2_db9999c3_a9282a1c">#REF!</definedName>
    <definedName name="_vena_DYNR_SMYPS1_BMYPB2_db9999c3_a9901571">#REF!</definedName>
    <definedName name="_vena_DYNR_SMYPS1_BMYPB2_db9999c3_ab1a8011">#REF!</definedName>
    <definedName name="_vena_DYNR_SMYPS1_BMYPB2_db9999c3_ab219f07">#REF!</definedName>
    <definedName name="_vena_DYNR_SMYPS1_BMYPB2_db9999c3_ad6be1bf">#REF!</definedName>
    <definedName name="_vena_DYNR_SMYPS1_BMYPB2_db9999c3_ad78d25c">#REF!</definedName>
    <definedName name="_vena_DYNR_SMYPS1_BMYPB2_db9999c3_ad96ce53">#REF!</definedName>
    <definedName name="_vena_DYNR_SMYPS1_BMYPB2_db9999c3_ae0e580b">#REF!</definedName>
    <definedName name="_vena_DYNR_SMYPS1_BMYPB2_db9999c3_af46222c">#REF!</definedName>
    <definedName name="_vena_DYNR_SMYPS1_BMYPB2_db9999c3_b39a73eb">#REF!</definedName>
    <definedName name="_vena_DYNR_SMYPS1_BMYPB2_db9999c3_b409c71">#REF!</definedName>
    <definedName name="_vena_DYNR_SMYPS1_BMYPB2_db9999c3_b4d35b9e">#REF!</definedName>
    <definedName name="_vena_DYNR_SMYPS1_BMYPB2_db9999c3_b5a1ff9">#REF!</definedName>
    <definedName name="_vena_DYNR_SMYPS1_BMYPB2_db9999c3_bafd1990">#REF!</definedName>
    <definedName name="_vena_DYNR_SMYPS1_BMYPB2_db9999c3_bc41d75f">#REF!</definedName>
    <definedName name="_vena_DYNR_SMYPS1_BMYPB2_db9999c3_bd41f849">#REF!</definedName>
    <definedName name="_vena_DYNR_SMYPS1_BMYPB2_db9999c3_be67c06d">#REF!</definedName>
    <definedName name="_vena_DYNR_SMYPS1_BMYPB2_db9999c3_bf022155">#REF!</definedName>
    <definedName name="_vena_DYNR_SMYPS1_BMYPB2_db9999c3_c5ee6b2c">#REF!</definedName>
    <definedName name="_vena_DYNR_SMYPS1_BMYPB2_db9999c3_c71bb24b">#REF!</definedName>
    <definedName name="_vena_DYNR_SMYPS1_BMYPB2_db9999c3_d0d6cbad">#REF!</definedName>
    <definedName name="_vena_DYNR_SMYPS1_BMYPB2_db9999c3_d26b3ccc">#REF!</definedName>
    <definedName name="_vena_DYNR_SMYPS1_BMYPB2_db9999c3_d36d337d">#REF!</definedName>
    <definedName name="_vena_DYNR_SMYPS1_BMYPB2_db9999c3_d519b6d6">#REF!</definedName>
    <definedName name="_vena_DYNR_SMYPS1_BMYPB2_db9999c3_d5a8e12c">#REF!</definedName>
    <definedName name="_vena_DYNR_SMYPS1_BMYPB2_db9999c3_d6375100">#REF!</definedName>
    <definedName name="_vena_DYNR_SMYPS1_BMYPB2_db9999c3_d6633048">#REF!</definedName>
    <definedName name="_vena_DYNR_SMYPS1_BMYPB2_db9999c3_d8a03e7e">#REF!</definedName>
    <definedName name="_vena_DYNR_SMYPS1_BMYPB2_db9999c3_d8c74d2b">#REF!</definedName>
    <definedName name="_vena_DYNR_SMYPS1_BMYPB2_db9999c3_d8d0e648">#REF!</definedName>
    <definedName name="_vena_DYNR_SMYPS1_BMYPB2_db9999c3_db1e5b14">#REF!</definedName>
    <definedName name="_vena_DYNR_SMYPS1_BMYPB2_db9999c3_de67c645">#REF!</definedName>
    <definedName name="_vena_DYNR_SMYPS1_BMYPB2_db9999c3_e6083dd8">#REF!</definedName>
    <definedName name="_vena_DYNR_SMYPS1_BMYPB2_db9999c3_ebcde190">#REF!</definedName>
    <definedName name="_vena_DYNR_SMYPS1_BMYPB2_db9999c3_ec8d988b">#REF!</definedName>
    <definedName name="_vena_DYNR_SMYPS1_BMYPB2_db9999c3_ed651c8e">#REF!</definedName>
    <definedName name="_vena_DYNR_SMYPS1_BMYPB2_db9999c3_ee22f87f">#REF!</definedName>
    <definedName name="_vena_DYNR_SMYPS1_BMYPB2_db9999c3_f29ea45">#REF!</definedName>
    <definedName name="_vena_DYNR_SMYPS1_BMYPB2_db9999c3_f3e634e9">#REF!</definedName>
    <definedName name="_vena_DYNR_SMYPS1_BMYPB2_db9999c3_f485e236">#REF!</definedName>
    <definedName name="_vena_DYNR_SMYPS1_BMYPB2_db9999c3_f95a6486">#REF!</definedName>
    <definedName name="_vena_DYNR_SMYPS1_BMYPB2_db9999c3_f967dde0">#REF!</definedName>
    <definedName name="_vena_DYNR_SMYPS1_BMYPB2_db9999c3_fda7443d">#REF!</definedName>
    <definedName name="_vena_DYNR_SMYPS1_BMYPB2_db9999c3_fdee7ace">#REF!</definedName>
    <definedName name="_vena_DYNR_SMYPS1_BMYPB2_db9999c3_ff2062c7">#REF!</definedName>
    <definedName name="_vena_DYNR_SMYPS1_BMYPB2_db9999c3_ff629912">#REF!</definedName>
    <definedName name="_vena_DYNR_SMYPS1_BMYPB2_f1aeab7c">#REF!</definedName>
    <definedName name="_vena_DYNR_SMYPS1_BMYPB2_f1aeab7c_10029464">#REF!</definedName>
    <definedName name="_vena_DYNR_SMYPS1_BMYPB2_f1aeab7c_162f31b">#REF!</definedName>
    <definedName name="_vena_DYNR_SMYPS1_BMYPB2_f1aeab7c_20d3e8f1">#REF!</definedName>
    <definedName name="_vena_DYNR_SMYPS1_BMYPB2_f1aeab7c_2327815d">#REF!</definedName>
    <definedName name="_vena_DYNR_SMYPS1_BMYPB2_f1aeab7c_232e8f0e">#REF!</definedName>
    <definedName name="_vena_DYNR_SMYPS1_BMYPB2_f1aeab7c_27d3e1b">#REF!</definedName>
    <definedName name="_vena_DYNR_SMYPS1_BMYPB2_f1aeab7c_2e18227f">#REF!</definedName>
    <definedName name="_vena_DYNR_SMYPS1_BMYPB2_f1aeab7c_3943beaa">#REF!</definedName>
    <definedName name="_vena_DYNR_SMYPS1_BMYPB2_f1aeab7c_4a591652">#REF!</definedName>
    <definedName name="_vena_DYNR_SMYPS1_BMYPB2_f1aeab7c_4c869586">#REF!</definedName>
    <definedName name="_vena_DYNR_SMYPS1_BMYPB2_f1aeab7c_4eca39fd">#REF!</definedName>
    <definedName name="_vena_DYNR_SMYPS1_BMYPB2_f1aeab7c_512e1809">#REF!</definedName>
    <definedName name="_vena_DYNR_SMYPS1_BMYPB2_f1aeab7c_52e99a59">#REF!</definedName>
    <definedName name="_vena_DYNR_SMYPS1_BMYPB2_f1aeab7c_5e327634">#REF!</definedName>
    <definedName name="_vena_DYNR_SMYPS1_BMYPB2_f1aeab7c_623650cb">#REF!</definedName>
    <definedName name="_vena_DYNR_SMYPS1_BMYPB2_f1aeab7c_67b3a240">#REF!</definedName>
    <definedName name="_vena_DYNR_SMYPS1_BMYPB2_f1aeab7c_6a00d793">#REF!</definedName>
    <definedName name="_vena_DYNR_SMYPS1_BMYPB2_f1aeab7c_79232af8">#REF!</definedName>
    <definedName name="_vena_DYNR_SMYPS1_BMYPB2_f1aeab7c_80c00898">#REF!</definedName>
    <definedName name="_vena_DYNR_SMYPS1_BMYPB2_f1aeab7c_960ceb1f">#REF!</definedName>
    <definedName name="_vena_DYNR_SMYPS1_BMYPB2_f1aeab7c_ad8ae621">#REF!</definedName>
    <definedName name="_vena_DYNR_SMYPS1_BMYPB2_f1aeab7c_af0c213d">#REF!</definedName>
    <definedName name="_vena_DYNR_SMYPS1_BMYPB2_f1aeab7c_b40f0520">#REF!</definedName>
    <definedName name="_vena_DYNR_SMYPS1_BMYPB2_f1aeab7c_bca6d509">#REF!</definedName>
    <definedName name="_vena_DYNR_SMYPS1_BMYPB2_f1aeab7c_bdcb4877">#REF!</definedName>
    <definedName name="_vena_DYNR_SMYPS1_BMYPB2_f1aeab7c_bea10eb5">#REF!</definedName>
    <definedName name="_vena_DYNR_SMYPS1_BMYPB2_f1aeab7c_cb15a9b9">#REF!</definedName>
    <definedName name="_vena_DYNR_SMYPS1_BMYPB2_f1aeab7c_d2c8c92a">#REF!</definedName>
    <definedName name="_vena_DYNR_SMYPS1_BMYPB2_f1aeab7c_d6d274b8">#REF!</definedName>
    <definedName name="_vena_DYNR_SMYPS1_BMYPB2_f1aeab7c_e004d3a5">#REF!</definedName>
    <definedName name="_vena_DYNR_SMYPS1_BMYPB2_f1aeab7c_e1ca3582">#REF!</definedName>
    <definedName name="_vena_DYNR_SMYPS1_BMYPB2_f1aeab7c_eb7d0790">#REF!</definedName>
    <definedName name="_vena_DYNR_SMYPS1_BMYPB2_f1aeab7c_f93e6efd">#REF!</definedName>
    <definedName name="_vena_DYNR_SPayrollS1_BPayrollB3_7942e270">#REF!</definedName>
    <definedName name="_vena_DYNR_SPayrollS1_BPayrollB3_7942e270_126511f3">#REF!</definedName>
    <definedName name="_vena_DYNR_SPayrollS1_BPayrollB3_7942e270_1627972">#REF!</definedName>
    <definedName name="_vena_DYNR_SPayrollS1_BPayrollB3_7942e270_163310af">#REF!</definedName>
    <definedName name="_vena_DYNR_SPayrollS1_BPayrollB3_7942e270_1677a93a">#REF!</definedName>
    <definedName name="_vena_DYNR_SPayrollS1_BPayrollB3_7942e270_18f1ce6f">#REF!</definedName>
    <definedName name="_vena_DYNR_SPayrollS1_BPayrollB3_7942e270_1cb537d8">#REF!</definedName>
    <definedName name="_vena_DYNR_SPayrollS1_BPayrollB3_7942e270_20e5b654">#REF!</definedName>
    <definedName name="_vena_DYNR_SPayrollS1_BPayrollB3_7942e270_27b16e65">#REF!</definedName>
    <definedName name="_vena_DYNR_SPayrollS1_BPayrollB3_7942e270_2c131a48">#REF!</definedName>
    <definedName name="_vena_DYNR_SPayrollS1_BPayrollB3_7942e270_3a0fffa7">#REF!</definedName>
    <definedName name="_vena_DYNR_SPayrollS1_BPayrollB3_7942e270_3a37c705">#REF!</definedName>
    <definedName name="_vena_DYNR_SPayrollS1_BPayrollB3_7942e270_3ba13c5d">#REF!</definedName>
    <definedName name="_vena_DYNR_SPayrollS1_BPayrollB3_7942e270_3be3a88b">#REF!</definedName>
    <definedName name="_vena_DYNR_SPayrollS1_BPayrollB3_7942e270_3d78db96">#REF!</definedName>
    <definedName name="_vena_DYNR_SPayrollS1_BPayrollB3_7942e270_3d8bbcdf">#REF!</definedName>
    <definedName name="_vena_DYNR_SPayrollS1_BPayrollB3_7942e270_3f9bbd8b">#REF!</definedName>
    <definedName name="_vena_DYNR_SPayrollS1_BPayrollB3_7942e270_490f41ab">#REF!</definedName>
    <definedName name="_vena_DYNR_SPayrollS1_BPayrollB3_7942e270_4a744fc2">#REF!</definedName>
    <definedName name="_vena_DYNR_SPayrollS1_BPayrollB3_7942e270_4aecd9ed">#REF!</definedName>
    <definedName name="_vena_DYNR_SPayrollS1_BPayrollB3_7942e270_4fb74e3b">#REF!</definedName>
    <definedName name="_vena_DYNR_SPayrollS1_BPayrollB3_7942e270_50dac0e">#REF!</definedName>
    <definedName name="_vena_DYNR_SPayrollS1_BPayrollB3_7942e270_554cd896">#REF!</definedName>
    <definedName name="_vena_DYNR_SPayrollS1_BPayrollB3_7942e270_5b453dbc">#REF!</definedName>
    <definedName name="_vena_DYNR_SPayrollS1_BPayrollB3_7942e270_5bf0a07b">#REF!</definedName>
    <definedName name="_vena_DYNR_SPayrollS1_BPayrollB3_7942e270_5da73cfe">#REF!</definedName>
    <definedName name="_vena_DYNR_SPayrollS1_BPayrollB3_7942e270_6229b560">#REF!</definedName>
    <definedName name="_vena_DYNR_SPayrollS1_BPayrollB3_7942e270_668d4bdd">#REF!</definedName>
    <definedName name="_vena_DYNR_SPayrollS1_BPayrollB3_7942e270_7abd1796">#REF!</definedName>
    <definedName name="_vena_DYNR_SPayrollS1_BPayrollB3_7942e270_7e49930c">#REF!</definedName>
    <definedName name="_vena_DYNR_SPayrollS1_BPayrollB3_7942e270_83f5d7a9">#REF!</definedName>
    <definedName name="_vena_DYNR_SPayrollS1_BPayrollB3_7942e270_86f4af60">#REF!</definedName>
    <definedName name="_vena_DYNR_SPayrollS1_BPayrollB3_7942e270_8cc9134d">#REF!</definedName>
    <definedName name="_vena_DYNR_SPayrollS1_BPayrollB3_7942e270_924cf427">#REF!</definedName>
    <definedName name="_vena_DYNR_SPayrollS1_BPayrollB3_7942e270_928a96f7">#REF!</definedName>
    <definedName name="_vena_DYNR_SPayrollS1_BPayrollB3_7942e270_94250f3e">#REF!</definedName>
    <definedName name="_vena_DYNR_SPayrollS1_BPayrollB3_7942e270_95c674b8">#REF!</definedName>
    <definedName name="_vena_DYNR_SPayrollS1_BPayrollB3_7942e270_98abde55">#REF!</definedName>
    <definedName name="_vena_DYNR_SPayrollS1_BPayrollB3_7942e270_9b76b614">#REF!</definedName>
    <definedName name="_vena_DYNR_SPayrollS1_BPayrollB3_7942e270_a3730123">#REF!</definedName>
    <definedName name="_vena_DYNR_SPayrollS1_BPayrollB3_7942e270_a6a04c2b">#REF!</definedName>
    <definedName name="_vena_DYNR_SPayrollS1_BPayrollB3_7942e270_a74d10a">#REF!</definedName>
    <definedName name="_vena_DYNR_SPayrollS1_BPayrollB3_7942e270_acc7b85a">#REF!</definedName>
    <definedName name="_vena_DYNR_SPayrollS1_BPayrollB3_7942e270_ae843046">#REF!</definedName>
    <definedName name="_vena_DYNR_SPayrollS1_BPayrollB3_7942e270_b4045c2d">#REF!</definedName>
    <definedName name="_vena_DYNR_SPayrollS1_BPayrollB3_7942e270_b7aee71d">#REF!</definedName>
    <definedName name="_vena_DYNR_SPayrollS1_BPayrollB3_7942e270_c3782a66">#REF!</definedName>
    <definedName name="_vena_DYNR_SPayrollS1_BPayrollB3_7942e270_c781e6b">#REF!</definedName>
    <definedName name="_vena_DYNR_SPayrollS1_BPayrollB3_7942e270_cc974e3">#REF!</definedName>
    <definedName name="_vena_DYNR_SPayrollS1_BPayrollB3_7942e270_cf1336a5">#REF!</definedName>
    <definedName name="_vena_DYNR_SPayrollS1_BPayrollB3_7942e270_d4ba030f">#REF!</definedName>
    <definedName name="_vena_DYNR_SPayrollS1_BPayrollB3_7942e270_d69ab5ca">#REF!</definedName>
    <definedName name="_vena_DYNR_SPayrollS1_BPayrollB3_7942e270_d8283f75">#REF!</definedName>
    <definedName name="_vena_DYNR_SPayrollS1_BPayrollB3_7942e270_e003cbd4">#REF!</definedName>
    <definedName name="_vena_DYNR_SPayrollS1_BPayrollB3_7942e270_e0823ad5">#REF!</definedName>
    <definedName name="_vena_DYNR_SPayrollS1_BPayrollB3_7942e270_ec163113">#REF!</definedName>
    <definedName name="_vena_DYNR_SPayrollS1_BPayrollB3_7942e270_f2b8db91">#REF!</definedName>
    <definedName name="_vena_DYNR_SPayrollS1_BPayrollB3_7942e270_f2ea69a">#REF!</definedName>
    <definedName name="_vena_DYNR_SPayrollS1_BPayrollB3_7942e270_f89130f9">#REF!</definedName>
    <definedName name="_vena_DYNR_SPayrollS1_BPayrollB3_7942e270_fac41757">#REF!</definedName>
    <definedName name="_vena_DYNR_SPayrollS1_BPayrollB3_7942e270_fc4f0aca">#REF!</definedName>
    <definedName name="_vena_DYNR_SPayrollS1_BPayrollB3_7942e270_fd0b2cfb">#REF!</definedName>
    <definedName name="_vena_DYNR_SPayrollS1_BPayrollB3_7942e270_fe384423">#REF!</definedName>
    <definedName name="_vena_DYNR_SPayrollS1_BPayrollB3_81106fa">#REF!</definedName>
    <definedName name="_vena_DYNR_SPayrollS1_BPayrollB3_81106fa_11ddee86">#REF!</definedName>
    <definedName name="_vena_DYNR_SPayrollS1_BPayrollB3_81106fa_1306a76e">#REF!</definedName>
    <definedName name="_vena_DYNR_SPayrollS1_BPayrollB3_81106fa_1cce8a38">#REF!</definedName>
    <definedName name="_vena_DYNR_SPayrollS1_BPayrollB3_81106fa_207dec5a">#REF!</definedName>
    <definedName name="_vena_DYNR_SPayrollS1_BPayrollB3_81106fa_219d233c">#REF!</definedName>
    <definedName name="_vena_DYNR_SPayrollS1_BPayrollB3_81106fa_2b05a1a6">#REF!</definedName>
    <definedName name="_vena_DYNR_SPayrollS1_BPayrollB3_81106fa_2dc4f394">#REF!</definedName>
    <definedName name="_vena_DYNR_SPayrollS1_BPayrollB3_81106fa_391daa0e">#REF!</definedName>
    <definedName name="_vena_DYNR_SPayrollS1_BPayrollB3_81106fa_3fa3039d">#REF!</definedName>
    <definedName name="_vena_DYNR_SPayrollS1_BPayrollB3_81106fa_40641f31">#REF!</definedName>
    <definedName name="_vena_DYNR_SPayrollS1_BPayrollB3_81106fa_40d2683a">#REF!</definedName>
    <definedName name="_vena_DYNR_SPayrollS1_BPayrollB3_81106fa_5125ed82">#REF!</definedName>
    <definedName name="_vena_DYNR_SPayrollS1_BPayrollB3_81106fa_60c0d25f">#REF!</definedName>
    <definedName name="_vena_DYNR_SPayrollS1_BPayrollB3_81106fa_629ddacb">#REF!</definedName>
    <definedName name="_vena_DYNR_SPayrollS1_BPayrollB3_81106fa_6af8f66a">#REF!</definedName>
    <definedName name="_vena_DYNR_SPayrollS1_BPayrollB3_81106fa_6d98a90b">#REF!</definedName>
    <definedName name="_vena_DYNR_SPayrollS1_BPayrollB3_81106fa_7113dc02">#REF!</definedName>
    <definedName name="_vena_DYNR_SPayrollS1_BPayrollB3_81106fa_75bfd722">#REF!</definedName>
    <definedName name="_vena_DYNR_SPayrollS1_BPayrollB3_81106fa_7791e944">#REF!</definedName>
    <definedName name="_vena_DYNR_SPayrollS1_BPayrollB3_81106fa_77d4509a">#REF!</definedName>
    <definedName name="_vena_DYNR_SPayrollS1_BPayrollB3_81106fa_81330ecb">#REF!</definedName>
    <definedName name="_vena_DYNR_SPayrollS1_BPayrollB3_81106fa_81776ad2">#REF!</definedName>
    <definedName name="_vena_DYNR_SPayrollS1_BPayrollB3_81106fa_81eeb908">#REF!</definedName>
    <definedName name="_vena_DYNR_SPayrollS1_BPayrollB3_81106fa_9185be8f">#REF!</definedName>
    <definedName name="_vena_DYNR_SPayrollS1_BPayrollB3_81106fa_926b9a5a">#REF!</definedName>
    <definedName name="_vena_DYNR_SPayrollS1_BPayrollB3_81106fa_97dc80e6">#REF!</definedName>
    <definedName name="_vena_DYNR_SPayrollS1_BPayrollB3_81106fa_9b257cf7">#REF!</definedName>
    <definedName name="_vena_DYNR_SPayrollS1_BPayrollB3_81106fa_a0e322e5">#REF!</definedName>
    <definedName name="_vena_DYNR_SPayrollS1_BPayrollB3_81106fa_a22ee228">#REF!</definedName>
    <definedName name="_vena_DYNR_SPayrollS1_BPayrollB3_81106fa_a3ba4532">#REF!</definedName>
    <definedName name="_vena_DYNR_SPayrollS1_BPayrollB3_81106fa_a5785346">#REF!</definedName>
    <definedName name="_vena_DYNR_SPayrollS1_BPayrollB3_81106fa_aaf20ece">#REF!</definedName>
    <definedName name="_vena_DYNR_SPayrollS1_BPayrollB3_81106fa_b15fcf05">#REF!</definedName>
    <definedName name="_vena_DYNR_SPayrollS1_BPayrollB3_81106fa_b6067f25">#REF!</definedName>
    <definedName name="_vena_DYNR_SPayrollS1_BPayrollB3_81106fa_b8ce8b4a">#REF!</definedName>
    <definedName name="_vena_DYNR_SPayrollS1_BPayrollB3_81106fa_b9435fa4">#REF!</definedName>
    <definedName name="_vena_DYNR_SPayrollS1_BPayrollB3_81106fa_bdd4dbb">#REF!</definedName>
    <definedName name="_vena_DYNR_SPayrollS1_BPayrollB3_81106fa_bf07490d">#REF!</definedName>
    <definedName name="_vena_DYNR_SPayrollS1_BPayrollB3_81106fa_d100c7b9">#REF!</definedName>
    <definedName name="_vena_DYNR_SPayrollS1_BPayrollB3_81106fa_d17bc34d">#REF!</definedName>
    <definedName name="_vena_DYNR_SPayrollS1_BPayrollB3_81106fa_d882981d">#REF!</definedName>
    <definedName name="_vena_DYNR_SPayrollS1_BPayrollB3_81106fa_e009689e">#REF!</definedName>
    <definedName name="_vena_DYNR_SPayrollS1_BPayrollB3_81106fa_e10794ff">#REF!</definedName>
    <definedName name="_vena_DYNR_SPayrollS1_BPayrollB3_81106fa_f2b55f6e">#REF!</definedName>
    <definedName name="_vena_DYNR_SPayrollS1_BPayrollB3_81106fa_f7ec520d">#REF!</definedName>
    <definedName name="_vena_DYNR_SPayrollS1_BPayrollB3_81106fa_fccd3ee3">#REF!</definedName>
    <definedName name="_vena_DYNR_SPayrollS1_BPayrollB3_c92c7476">#REF!</definedName>
    <definedName name="_vena_DYNR_SPayrollS1_BPayrollB3_c92c7476_1420f8ce">#REF!</definedName>
    <definedName name="_vena_DYNR_SPayrollS1_BPayrollB3_c92c7476_16d03566">#REF!</definedName>
    <definedName name="_vena_DYNR_SPayrollS1_BPayrollB3_c92c7476_1a846ad5">#REF!</definedName>
    <definedName name="_vena_DYNR_SPayrollS1_BPayrollB3_c92c7476_1bb4f1a2">#REF!</definedName>
    <definedName name="_vena_DYNR_SPayrollS1_BPayrollB3_c92c7476_1c21a2b8">#REF!</definedName>
    <definedName name="_vena_DYNR_SPayrollS1_BPayrollB3_c92c7476_1e6485d0">#REF!</definedName>
    <definedName name="_vena_DYNR_SPayrollS1_BPayrollB3_c92c7476_20580f67">#REF!</definedName>
    <definedName name="_vena_DYNR_SPayrollS1_BPayrollB3_c92c7476_216db129">#REF!</definedName>
    <definedName name="_vena_DYNR_SPayrollS1_BPayrollB3_c92c7476_2df57a15">#REF!</definedName>
    <definedName name="_vena_DYNR_SPayrollS1_BPayrollB3_c92c7476_2fc7b48d">#REF!</definedName>
    <definedName name="_vena_DYNR_SPayrollS1_BPayrollB3_c92c7476_3066028b">#REF!</definedName>
    <definedName name="_vena_DYNR_SPayrollS1_BPayrollB3_c92c7476_3149c1f7">#REF!</definedName>
    <definedName name="_vena_DYNR_SPayrollS1_BPayrollB3_c92c7476_33143f93">#REF!</definedName>
    <definedName name="_vena_DYNR_SPayrollS1_BPayrollB3_c92c7476_33e6f1b">#REF!</definedName>
    <definedName name="_vena_DYNR_SPayrollS1_BPayrollB3_c92c7476_3451e7d8">#REF!</definedName>
    <definedName name="_vena_DYNR_SPayrollS1_BPayrollB3_c92c7476_35b41401">#REF!</definedName>
    <definedName name="_vena_DYNR_SPayrollS1_BPayrollB3_c92c7476_3685a941">#REF!</definedName>
    <definedName name="_vena_DYNR_SPayrollS1_BPayrollB3_c92c7476_38c3aaf5">#REF!</definedName>
    <definedName name="_vena_DYNR_SPayrollS1_BPayrollB3_c92c7476_3c87e685">#REF!</definedName>
    <definedName name="_vena_DYNR_SPayrollS1_BPayrollB3_c92c7476_3cd68c7">#REF!</definedName>
    <definedName name="_vena_DYNR_SPayrollS1_BPayrollB3_c92c7476_3d1fbb49">#REF!</definedName>
    <definedName name="_vena_DYNR_SPayrollS1_BPayrollB3_c92c7476_40a4c40e">#REF!</definedName>
    <definedName name="_vena_DYNR_SPayrollS1_BPayrollB3_c92c7476_42b292c8">#REF!</definedName>
    <definedName name="_vena_DYNR_SPayrollS1_BPayrollB3_c92c7476_45e2bad8">#REF!</definedName>
    <definedName name="_vena_DYNR_SPayrollS1_BPayrollB3_c92c7476_4646567d">#REF!</definedName>
    <definedName name="_vena_DYNR_SPayrollS1_BPayrollB3_c92c7476_47b3b6fc">#REF!</definedName>
    <definedName name="_vena_DYNR_SPayrollS1_BPayrollB3_c92c7476_4b58b635">#REF!</definedName>
    <definedName name="_vena_DYNR_SPayrollS1_BPayrollB3_c92c7476_5033ade4">#REF!</definedName>
    <definedName name="_vena_DYNR_SPayrollS1_BPayrollB3_c92c7476_5042a06a">#REF!</definedName>
    <definedName name="_vena_DYNR_SPayrollS1_BPayrollB3_c92c7476_508f77b8">#REF!</definedName>
    <definedName name="_vena_DYNR_SPayrollS1_BPayrollB3_c92c7476_5234517f">#REF!</definedName>
    <definedName name="_vena_DYNR_SPayrollS1_BPayrollB3_c92c7476_548507a0">#REF!</definedName>
    <definedName name="_vena_DYNR_SPayrollS1_BPayrollB3_c92c7476_5610ce7f">#REF!</definedName>
    <definedName name="_vena_DYNR_SPayrollS1_BPayrollB3_c92c7476_56408b15">#REF!</definedName>
    <definedName name="_vena_DYNR_SPayrollS1_BPayrollB3_c92c7476_56f42d36">#REF!</definedName>
    <definedName name="_vena_DYNR_SPayrollS1_BPayrollB3_c92c7476_572add28">#REF!</definedName>
    <definedName name="_vena_DYNR_SPayrollS1_BPayrollB3_c92c7476_572f1a59">#REF!</definedName>
    <definedName name="_vena_DYNR_SPayrollS1_BPayrollB3_c92c7476_58d3e0b2">#REF!</definedName>
    <definedName name="_vena_DYNR_SPayrollS1_BPayrollB3_c92c7476_59babca9">#REF!</definedName>
    <definedName name="_vena_DYNR_SPayrollS1_BPayrollB3_c92c7476_5a903be0">#REF!</definedName>
    <definedName name="_vena_DYNR_SPayrollS1_BPayrollB3_c92c7476_5d6726a7">#REF!</definedName>
    <definedName name="_vena_DYNR_SPayrollS1_BPayrollB3_c92c7476_5da9fe0a">#REF!</definedName>
    <definedName name="_vena_DYNR_SPayrollS1_BPayrollB3_c92c7476_5dc7d8df">#REF!</definedName>
    <definedName name="_vena_DYNR_SPayrollS1_BPayrollB3_c92c7476_60dd421b">#REF!</definedName>
    <definedName name="_vena_DYNR_SPayrollS1_BPayrollB3_c92c7476_60e5c0f6">#REF!</definedName>
    <definedName name="_vena_DYNR_SPayrollS1_BPayrollB3_c92c7476_616f4a90">#REF!</definedName>
    <definedName name="_vena_DYNR_SPayrollS1_BPayrollB3_c92c7476_620baf8e">#REF!</definedName>
    <definedName name="_vena_DYNR_SPayrollS1_BPayrollB3_c92c7476_62fcb2d3">#REF!</definedName>
    <definedName name="_vena_DYNR_SPayrollS1_BPayrollB3_c92c7476_7433f895">#REF!</definedName>
    <definedName name="_vena_DYNR_SPayrollS1_BPayrollB3_c92c7476_7645f1be">#REF!</definedName>
    <definedName name="_vena_DYNR_SPayrollS1_BPayrollB3_c92c7476_782e9919">#REF!</definedName>
    <definedName name="_vena_DYNR_SPayrollS1_BPayrollB3_c92c7476_7be1e8db">#REF!</definedName>
    <definedName name="_vena_DYNR_SPayrollS1_BPayrollB3_c92c7476_7d65b08e">#REF!</definedName>
    <definedName name="_vena_DYNR_SPayrollS1_BPayrollB3_c92c7476_86592995">#REF!</definedName>
    <definedName name="_vena_DYNR_SPayrollS1_BPayrollB3_c92c7476_865b5f99">#REF!</definedName>
    <definedName name="_vena_DYNR_SPayrollS1_BPayrollB3_c92c7476_87125837">#REF!</definedName>
    <definedName name="_vena_DYNR_SPayrollS1_BPayrollB3_c92c7476_87c765e4">#REF!</definedName>
    <definedName name="_vena_DYNR_SPayrollS1_BPayrollB3_c92c7476_88231454">#REF!</definedName>
    <definedName name="_vena_DYNR_SPayrollS1_BPayrollB3_c92c7476_8a79a014">#REF!</definedName>
    <definedName name="_vena_DYNR_SPayrollS1_BPayrollB3_c92c7476_8a93a0b4">#REF!</definedName>
    <definedName name="_vena_DYNR_SPayrollS1_BPayrollB3_c92c7476_8aedb094">#REF!</definedName>
    <definedName name="_vena_DYNR_SPayrollS1_BPayrollB3_c92c7476_8e8f8c2e">#REF!</definedName>
    <definedName name="_vena_DYNR_SPayrollS1_BPayrollB3_c92c7476_8f70aaf3">#REF!</definedName>
    <definedName name="_vena_DYNR_SPayrollS1_BPayrollB3_c92c7476_92f34592">#REF!</definedName>
    <definedName name="_vena_DYNR_SPayrollS1_BPayrollB3_c92c7476_934b9ff2">#REF!</definedName>
    <definedName name="_vena_DYNR_SPayrollS1_BPayrollB3_c92c7476_95a66927">#REF!</definedName>
    <definedName name="_vena_DYNR_SPayrollS1_BPayrollB3_c92c7476_964d8e04">#REF!</definedName>
    <definedName name="_vena_DYNR_SPayrollS1_BPayrollB3_c92c7476_96fd13bf">#REF!</definedName>
    <definedName name="_vena_DYNR_SPayrollS1_BPayrollB3_c92c7476_98245e6a">#REF!</definedName>
    <definedName name="_vena_DYNR_SPayrollS1_BPayrollB3_c92c7476_984aef0">#REF!</definedName>
    <definedName name="_vena_DYNR_SPayrollS1_BPayrollB3_c92c7476_9e3abc61">#REF!</definedName>
    <definedName name="_vena_DYNR_SPayrollS1_BPayrollB3_c92c7476_9eb35dbc">#REF!</definedName>
    <definedName name="_vena_DYNR_SPayrollS1_BPayrollB3_c92c7476_9f5e3490">#REF!</definedName>
    <definedName name="_vena_DYNR_SPayrollS1_BPayrollB3_c92c7476_a3099244">#REF!</definedName>
    <definedName name="_vena_DYNR_SPayrollS1_BPayrollB3_c92c7476_a62fe4b3">#REF!</definedName>
    <definedName name="_vena_DYNR_SPayrollS1_BPayrollB3_c92c7476_a81496f4">#REF!</definedName>
    <definedName name="_vena_DYNR_SPayrollS1_BPayrollB3_c92c7476_aeb66115">#REF!</definedName>
    <definedName name="_vena_DYNR_SPayrollS1_BPayrollB3_c92c7476_afac626a">#REF!</definedName>
    <definedName name="_vena_DYNR_SPayrollS1_BPayrollB3_c92c7476_affe174f">#REF!</definedName>
    <definedName name="_vena_DYNR_SPayrollS1_BPayrollB3_c92c7476_b0aad636">#REF!</definedName>
    <definedName name="_vena_DYNR_SPayrollS1_BPayrollB3_c92c7476_b22c20a8">#REF!</definedName>
    <definedName name="_vena_DYNR_SPayrollS1_BPayrollB3_c92c7476_b68ea6aa">#REF!</definedName>
    <definedName name="_vena_DYNR_SPayrollS1_BPayrollB3_c92c7476_b7df00d0">#REF!</definedName>
    <definedName name="_vena_DYNR_SPayrollS1_BPayrollB3_c92c7476_ba2d91ab">#REF!</definedName>
    <definedName name="_vena_DYNR_SPayrollS1_BPayrollB3_c92c7476_bd999253">#REF!</definedName>
    <definedName name="_vena_DYNR_SPayrollS1_BPayrollB3_c92c7476_c067cb2b">#REF!</definedName>
    <definedName name="_vena_DYNR_SPayrollS1_BPayrollB3_c92c7476_c1017751">#REF!</definedName>
    <definedName name="_vena_DYNR_SPayrollS1_BPayrollB3_c92c7476_c1c853c7">#REF!</definedName>
    <definedName name="_vena_DYNR_SPayrollS1_BPayrollB3_c92c7476_c4c228d4">#REF!</definedName>
    <definedName name="_vena_DYNR_SPayrollS1_BPayrollB3_c92c7476_c5917254">#REF!</definedName>
    <definedName name="_vena_DYNR_SPayrollS1_BPayrollB3_c92c7476_d22730d4">#REF!</definedName>
    <definedName name="_vena_DYNR_SPayrollS1_BPayrollB3_c92c7476_d3fa878b">#REF!</definedName>
    <definedName name="_vena_DYNR_SPayrollS1_BPayrollB3_c92c7476_d71976ff">#REF!</definedName>
    <definedName name="_vena_DYNR_SPayrollS1_BPayrollB3_c92c7476_d9f5a5fb">#REF!</definedName>
    <definedName name="_vena_DYNR_SPayrollS1_BPayrollB3_c92c7476_da2f8785">#REF!</definedName>
    <definedName name="_vena_DYNR_SPayrollS1_BPayrollB3_c92c7476_dca6d687">#REF!</definedName>
    <definedName name="_vena_DYNR_SPayrollS1_BPayrollB3_c92c7476_dd200972">#REF!</definedName>
    <definedName name="_vena_DYNR_SPayrollS1_BPayrollB3_c92c7476_e273da2">#REF!</definedName>
    <definedName name="_vena_DYNR_SPayrollS1_BPayrollB3_c92c7476_e58811ab">#REF!</definedName>
    <definedName name="_vena_DYNR_SPayrollS1_BPayrollB3_c92c7476_e5ef7fe5">#REF!</definedName>
    <definedName name="_vena_DYNR_SPayrollS1_BPayrollB3_c92c7476_e8029c5b">#REF!</definedName>
    <definedName name="_vena_DYNR_SPayrollS1_BPayrollB3_c92c7476_ea52a151">#REF!</definedName>
    <definedName name="_vena_DYNR_SPayrollS1_BPayrollB3_c92c7476_ecd0189f">#REF!</definedName>
    <definedName name="_vena_DYNR_SPayrollS1_BPayrollB3_c92c7476_f10bad76">#REF!</definedName>
    <definedName name="_vena_DYNR_SPayrollS1_BPayrollB3_c92c7476_f261fb2e">#REF!</definedName>
    <definedName name="_vena_DYNR_SPayrollS1_BPayrollB3_c92c7476_fa7f6658">#REF!</definedName>
    <definedName name="_vena_DYNR_SPayrollS1_BPayrollB3_c92c7476_fe6acae2">#REF!</definedName>
    <definedName name="_vena_DYNR_SPayrollS1_BPayrollB3_c92c7476_ff563638">#REF!</definedName>
    <definedName name="_vena_DYNR_SYTDS1_BYTDB1_36730e11">#REF!</definedName>
    <definedName name="_vena_DYNR_SYTDS1_BYTDB1_36730e11_12b6b74b">#REF!</definedName>
    <definedName name="_vena_DYNR_SYTDS1_BYTDB1_36730e11_298d3f02">#REF!</definedName>
    <definedName name="_vena_DYNR_SYTDS1_BYTDB1_36730e11_3c11cacd">#REF!</definedName>
    <definedName name="_vena_DYNR_SYTDS1_BYTDB1_36730e11_3e615ce5">#REF!</definedName>
    <definedName name="_vena_DYNR_SYTDS1_BYTDB1_36730e11_45451601">#REF!</definedName>
    <definedName name="_vena_DYNR_SYTDS1_BYTDB1_36730e11_483e134">#REF!</definedName>
    <definedName name="_vena_DYNR_SYTDS1_BYTDB1_36730e11_515fe79f">#REF!</definedName>
    <definedName name="_vena_DYNR_SYTDS1_BYTDB1_36730e11_5a477101">#REF!</definedName>
    <definedName name="_vena_DYNR_SYTDS1_BYTDB1_36730e11_5cd05c4f">#REF!</definedName>
    <definedName name="_vena_DYNR_SYTDS1_BYTDB1_36730e11_64860bf0">#REF!</definedName>
    <definedName name="_vena_DYNR_SYTDS1_BYTDB1_36730e11_68f46c07">#REF!</definedName>
    <definedName name="_vena_DYNR_SYTDS1_BYTDB1_36730e11_6ff5db89">#REF!</definedName>
    <definedName name="_vena_DYNR_SYTDS1_BYTDB1_36730e11_77844b37">#REF!</definedName>
    <definedName name="_vena_DYNR_SYTDS1_BYTDB1_36730e11_79b9f1eb">#REF!</definedName>
    <definedName name="_vena_DYNR_SYTDS1_BYTDB1_36730e11_846e014e">#REF!</definedName>
    <definedName name="_vena_DYNR_SYTDS1_BYTDB1_36730e11_90bdb540">#REF!</definedName>
    <definedName name="_vena_DYNR_SYTDS1_BYTDB1_36730e11_a358c207">#REF!</definedName>
    <definedName name="_vena_DYNR_SYTDS1_BYTDB1_36730e11_a68bb389">#REF!</definedName>
    <definedName name="_vena_DYNR_SYTDS1_BYTDB1_36730e11_ada7eb58">#REF!</definedName>
    <definedName name="_vena_DYNR_SYTDS1_BYTDB1_36730e11_b01d149e">#REF!</definedName>
    <definedName name="_vena_DYNR_SYTDS1_BYTDB1_36730e11_cb324060">#REF!</definedName>
    <definedName name="_vena_DYNR_SYTDS1_BYTDB1_36730e11_cdb3b2be">#REF!</definedName>
    <definedName name="_vena_DYNR_SYTDS1_BYTDB1_36730e11_ce0b9c77">#REF!</definedName>
    <definedName name="_vena_DYNR_SYTDS1_BYTDB1_36730e11_d3aaeec5">#REF!</definedName>
    <definedName name="_vena_DYNR_SYTDS1_BYTDB1_36730e11_d3ce0e7b">#REF!</definedName>
    <definedName name="_vena_DYNR_SYTDS1_BYTDB1_36730e11_d86453c4">#REF!</definedName>
    <definedName name="_vena_DYNR_SYTDS1_BYTDB1_36730e11_dd9927f6">#REF!</definedName>
    <definedName name="_vena_DYNR_SYTDS1_BYTDB1_36730e11_e731aef7">#REF!</definedName>
    <definedName name="_vena_DYNR_SYTDS1_BYTDB1_36730e11_ec39db6d">#REF!</definedName>
    <definedName name="_vena_DYNR_SYTDS1_BYTDB1_36730e11_f13e2916">#REF!</definedName>
    <definedName name="_vena_DYNR_SYTDS1_BYTDB1_36730e11_f2693fbb">#REF!</definedName>
    <definedName name="_vena_DYNR_SYTDS1_BYTDB1_36730e11_f9ce472f">#REF!</definedName>
    <definedName name="_vena_DYNR_SYTDS1_BYTDB1_36730e11_fa6f9bb4">#REF!</definedName>
    <definedName name="_vena_DYNR_SYTDS1_BYTDB1_483c9ff1">#REF!</definedName>
    <definedName name="_vena_DYNR_SYTDS1_BYTDB1_483c9ff1_17d88d61">#REF!</definedName>
    <definedName name="_vena_DYNR_SYTDS1_BYTDB1_483c9ff1_182ab96b">#REF!</definedName>
    <definedName name="_vena_DYNR_SYTDS1_BYTDB1_483c9ff1_1ad955a7">#REF!</definedName>
    <definedName name="_vena_DYNR_SYTDS1_BYTDB1_483c9ff1_2020193e">#REF!</definedName>
    <definedName name="_vena_DYNR_SYTDS1_BYTDB1_483c9ff1_252aec11">#REF!</definedName>
    <definedName name="_vena_DYNR_SYTDS1_BYTDB1_483c9ff1_2ac72be9">#REF!</definedName>
    <definedName name="_vena_DYNR_SYTDS1_BYTDB1_483c9ff1_2c18f033">#REF!</definedName>
    <definedName name="_vena_DYNR_SYTDS1_BYTDB1_483c9ff1_2d0f1e7">#REF!</definedName>
    <definedName name="_vena_DYNR_SYTDS1_BYTDB1_483c9ff1_2e56ea04">#REF!</definedName>
    <definedName name="_vena_DYNR_SYTDS1_BYTDB1_483c9ff1_30ca5337">#REF!</definedName>
    <definedName name="_vena_DYNR_SYTDS1_BYTDB1_483c9ff1_3468982e">#REF!</definedName>
    <definedName name="_vena_DYNR_SYTDS1_BYTDB1_483c9ff1_38aaf72f">#REF!</definedName>
    <definedName name="_vena_DYNR_SYTDS1_BYTDB1_483c9ff1_39ce90cf">#REF!</definedName>
    <definedName name="_vena_DYNR_SYTDS1_BYTDB1_483c9ff1_3b617a47">#REF!</definedName>
    <definedName name="_vena_DYNR_SYTDS1_BYTDB1_483c9ff1_3d40e203">#REF!</definedName>
    <definedName name="_vena_DYNR_SYTDS1_BYTDB1_483c9ff1_3d7accc0">#REF!</definedName>
    <definedName name="_vena_DYNR_SYTDS1_BYTDB1_483c9ff1_41efb5cb">#REF!</definedName>
    <definedName name="_vena_DYNR_SYTDS1_BYTDB1_483c9ff1_4229ee22">#REF!</definedName>
    <definedName name="_vena_DYNR_SYTDS1_BYTDB1_483c9ff1_4e1455b8">#REF!</definedName>
    <definedName name="_vena_DYNR_SYTDS1_BYTDB1_483c9ff1_51add353">#REF!</definedName>
    <definedName name="_vena_DYNR_SYTDS1_BYTDB1_483c9ff1_5a5f7a38">#REF!</definedName>
    <definedName name="_vena_DYNR_SYTDS1_BYTDB1_483c9ff1_5a6d4b92">#REF!</definedName>
    <definedName name="_vena_DYNR_SYTDS1_BYTDB1_483c9ff1_5e8674c7">#REF!</definedName>
    <definedName name="_vena_DYNR_SYTDS1_BYTDB1_483c9ff1_615bd109">#REF!</definedName>
    <definedName name="_vena_DYNR_SYTDS1_BYTDB1_483c9ff1_63ea69c6">#REF!</definedName>
    <definedName name="_vena_DYNR_SYTDS1_BYTDB1_483c9ff1_680e925">#REF!</definedName>
    <definedName name="_vena_DYNR_SYTDS1_BYTDB1_483c9ff1_6e9e9125">#REF!</definedName>
    <definedName name="_vena_DYNR_SYTDS1_BYTDB1_483c9ff1_7136cb96">#REF!</definedName>
    <definedName name="_vena_DYNR_SYTDS1_BYTDB1_483c9ff1_78bec740">#REF!</definedName>
    <definedName name="_vena_DYNR_SYTDS1_BYTDB1_483c9ff1_80fec74b">#REF!</definedName>
    <definedName name="_vena_DYNR_SYTDS1_BYTDB1_483c9ff1_8a2b718f">#REF!</definedName>
    <definedName name="_vena_DYNR_SYTDS1_BYTDB1_483c9ff1_8fdc78d5">#REF!</definedName>
    <definedName name="_vena_DYNR_SYTDS1_BYTDB1_483c9ff1_90d5801d">#REF!</definedName>
    <definedName name="_vena_DYNR_SYTDS1_BYTDB1_483c9ff1_917d796">#REF!</definedName>
    <definedName name="_vena_DYNR_SYTDS1_BYTDB1_483c9ff1_9d890ad9">#REF!</definedName>
    <definedName name="_vena_DYNR_SYTDS1_BYTDB1_483c9ff1_9fde4ab8">#REF!</definedName>
    <definedName name="_vena_DYNR_SYTDS1_BYTDB1_483c9ff1_9ff9365">#REF!</definedName>
    <definedName name="_vena_DYNR_SYTDS1_BYTDB1_483c9ff1_a147d0cb">#REF!</definedName>
    <definedName name="_vena_DYNR_SYTDS1_BYTDB1_483c9ff1_a8d41ba5">#REF!</definedName>
    <definedName name="_vena_DYNR_SYTDS1_BYTDB1_483c9ff1_aa2c8d7c">#REF!</definedName>
    <definedName name="_vena_DYNR_SYTDS1_BYTDB1_483c9ff1_acd76946">#REF!</definedName>
    <definedName name="_vena_DYNR_SYTDS1_BYTDB1_483c9ff1_ae378b8e">#REF!</definedName>
    <definedName name="_vena_DYNR_SYTDS1_BYTDB1_483c9ff1_b4214543">#REF!</definedName>
    <definedName name="_vena_DYNR_SYTDS1_BYTDB1_483c9ff1_bcb678ca">#REF!</definedName>
    <definedName name="_vena_DYNR_SYTDS1_BYTDB1_483c9ff1_bd15efde">#REF!</definedName>
    <definedName name="_vena_DYNR_SYTDS1_BYTDB1_483c9ff1_cd4d8a94">#REF!</definedName>
    <definedName name="_vena_DYNR_SYTDS1_BYTDB1_483c9ff1_cf81ba5a">#REF!</definedName>
    <definedName name="_vena_DYNR_SYTDS1_BYTDB1_483c9ff1_d7aecf20">#REF!</definedName>
    <definedName name="_vena_DYNR_SYTDS1_BYTDB1_483c9ff1_da159b95">#REF!</definedName>
    <definedName name="_vena_DYNR_SYTDS1_BYTDB1_483c9ff1_de95d868">#REF!</definedName>
    <definedName name="_vena_DYNR_SYTDS1_BYTDB1_483c9ff1_e97bb4ea">#REF!</definedName>
    <definedName name="_vena_DYNR_SYTDS1_BYTDB1_483c9ff1_ee45b5e8">#REF!</definedName>
    <definedName name="_vena_DYNR_SYTDS1_BYTDB1_483c9ff1_f315f19f">#REF!</definedName>
    <definedName name="_vena_DYNR_SYTDS1_BYTDB1_483c9ff1_fdfd9588">#REF!</definedName>
    <definedName name="_vena_DYNR_SYTDS1_BYTDB1_4d09c066">#REF!</definedName>
    <definedName name="_vena_DYNR_SYTDS1_BYTDB1_4d09c066_19c163d0">#REF!</definedName>
    <definedName name="_vena_DYNR_SYTDS1_BYTDB1_4d09c066_2e2bf908">#REF!</definedName>
    <definedName name="_vena_DYNR_SYTDS1_BYTDB1_4d09c066_378eaa30">#REF!</definedName>
    <definedName name="_vena_DYNR_SYTDS1_BYTDB1_4d09c066_3ac21e12">#REF!</definedName>
    <definedName name="_vena_DYNR_SYTDS1_BYTDB1_4d09c066_3de372fd">#REF!</definedName>
    <definedName name="_vena_DYNR_SYTDS1_BYTDB1_4d09c066_4accbf57">#REF!</definedName>
    <definedName name="_vena_DYNR_SYTDS1_BYTDB1_4d09c066_4f46c29e">#REF!</definedName>
    <definedName name="_vena_DYNR_SYTDS1_BYTDB1_4d09c066_5a4128dc">#REF!</definedName>
    <definedName name="_vena_DYNR_SYTDS1_BYTDB1_4d09c066_5ed9738d">#REF!</definedName>
    <definedName name="_vena_DYNR_SYTDS1_BYTDB1_4d09c066_69dac307">#REF!</definedName>
    <definedName name="_vena_DYNR_SYTDS1_BYTDB1_4d09c066_6b8fcfc">#REF!</definedName>
    <definedName name="_vena_DYNR_SYTDS1_BYTDB1_4d09c066_6f663ae9">#REF!</definedName>
    <definedName name="_vena_DYNR_SYTDS1_BYTDB1_4d09c066_7ccb33a2">#REF!</definedName>
    <definedName name="_vena_DYNR_SYTDS1_BYTDB1_4d09c066_82776ac9">#REF!</definedName>
    <definedName name="_vena_DYNR_SYTDS1_BYTDB1_4d09c066_830f8714">#REF!</definedName>
    <definedName name="_vena_DYNR_SYTDS1_BYTDB1_4d09c066_8a2b40e7">#REF!</definedName>
    <definedName name="_vena_DYNR_SYTDS1_BYTDB1_4d09c066_8d6e9af7">#REF!</definedName>
    <definedName name="_vena_DYNR_SYTDS1_BYTDB1_4d09c066_974c4eeb">#REF!</definedName>
    <definedName name="_vena_DYNR_SYTDS1_BYTDB1_4d09c066_995a3609">#REF!</definedName>
    <definedName name="_vena_DYNR_SYTDS1_BYTDB1_4d09c066_99c03589">#REF!</definedName>
    <definedName name="_vena_DYNR_SYTDS1_BYTDB1_4d09c066_9bbb305e">#REF!</definedName>
    <definedName name="_vena_DYNR_SYTDS1_BYTDB1_4d09c066_abf3da85">#REF!</definedName>
    <definedName name="_vena_DYNR_SYTDS1_BYTDB1_4d09c066_b04e8a2">#REF!</definedName>
    <definedName name="_vena_DYNR_SYTDS1_BYTDB1_4d09c066_b0e5b046">#REF!</definedName>
    <definedName name="_vena_DYNR_SYTDS1_BYTDB1_4d09c066_b5247388">#REF!</definedName>
    <definedName name="_vena_DYNR_SYTDS1_BYTDB1_4d09c066_bc37620e">#REF!</definedName>
    <definedName name="_vena_DYNR_SYTDS1_BYTDB1_4d09c066_bc5e0bda">#REF!</definedName>
    <definedName name="_vena_DYNR_SYTDS1_BYTDB1_4d09c066_bcd7e842">#REF!</definedName>
    <definedName name="_vena_DYNR_SYTDS1_BYTDB1_4d09c066_be55e1fc">#REF!</definedName>
    <definedName name="_vena_DYNR_SYTDS1_BYTDB1_4d09c066_cf73c74">#REF!</definedName>
    <definedName name="_vena_DYNR_SYTDS1_BYTDB1_4d09c066_d14ee633">#REF!</definedName>
    <definedName name="_vena_DYNR_SYTDS1_BYTDB1_4d09c066_d1f8553a">#REF!</definedName>
    <definedName name="_vena_DYNR_SYTDS1_BYTDB1_4d09c066_d753e9d7">#REF!</definedName>
    <definedName name="_vena_DYNR_SYTDS1_BYTDB1_4d09c066_d827109b">#REF!</definedName>
    <definedName name="_vena_DYNR_SYTDS1_BYTDB1_4d09c066_dcfbafaf">#REF!</definedName>
    <definedName name="_vena_DYNR_SYTDS1_BYTDB1_4d09c066_ec5ac768">#REF!</definedName>
    <definedName name="_vena_DYNR_SYTDS1_BYTDB1_592ec4c">#REF!</definedName>
    <definedName name="_vena_DYNR_SYTDS1_BYTDB1_592ec4c_1a371aff">#REF!</definedName>
    <definedName name="_vena_DYNR_SYTDS1_BYTDB1_592ec4c_2bbba1f4">#REF!</definedName>
    <definedName name="_vena_DYNR_SYTDS1_BYTDB1_592ec4c_2dce1ccd">#REF!</definedName>
    <definedName name="_vena_DYNR_SYTDS1_BYTDB1_592ec4c_370a512d">#REF!</definedName>
    <definedName name="_vena_DYNR_SYTDS1_BYTDB1_592ec4c_42e2cada">#REF!</definedName>
    <definedName name="_vena_DYNR_SYTDS1_BYTDB1_592ec4c_44d260e0">#REF!</definedName>
    <definedName name="_vena_DYNR_SYTDS1_BYTDB1_592ec4c_62615be6">#REF!</definedName>
    <definedName name="_vena_DYNR_SYTDS1_BYTDB1_592ec4c_7035c41e">#REF!</definedName>
    <definedName name="_vena_DYNR_SYTDS1_BYTDB1_592ec4c_7f37ad5d">#REF!</definedName>
    <definedName name="_vena_DYNR_SYTDS1_BYTDB1_592ec4c_81008ecd">#REF!</definedName>
    <definedName name="_vena_DYNR_SYTDS1_BYTDB1_592ec4c_82008998">#REF!</definedName>
    <definedName name="_vena_DYNR_SYTDS1_BYTDB1_592ec4c_96b7e26e">#REF!</definedName>
    <definedName name="_vena_DYNR_SYTDS1_BYTDB1_592ec4c_9f7f01f5">#REF!</definedName>
    <definedName name="_vena_DYNR_SYTDS1_BYTDB1_592ec4c_aa662d6d">#REF!</definedName>
    <definedName name="_vena_DYNR_SYTDS1_BYTDB1_592ec4c_b3d10fba">#REF!</definedName>
    <definedName name="_vena_DYNR_SYTDS1_BYTDB1_592ec4c_b4213144">#REF!</definedName>
    <definedName name="_vena_DYNR_SYTDS1_BYTDB1_592ec4c_ba105f4f">#REF!</definedName>
    <definedName name="_vena_DYNR_SYTDS1_BYTDB1_592ec4c_cfffcfe9">#REF!</definedName>
    <definedName name="_vena_DYNR_SYTDS1_BYTDB1_592ec4c_fa2ed311">#REF!</definedName>
    <definedName name="_vena_DYNR_SYTDS1_BYTDB1_592ec4c_fd0dc1ea">#REF!</definedName>
    <definedName name="_vena_DYNR_SYTDS1_BYTDB1_64613313">#REF!</definedName>
    <definedName name="_vena_DYNR_SYTDS1_BYTDB1_64613313_10114863">#REF!</definedName>
    <definedName name="_vena_DYNR_SYTDS1_BYTDB1_64613313_13fac089">#REF!</definedName>
    <definedName name="_vena_DYNR_SYTDS1_BYTDB1_64613313_1aa1b150">#REF!</definedName>
    <definedName name="_vena_DYNR_SYTDS1_BYTDB1_64613313_1d4c7ca0">#REF!</definedName>
    <definedName name="_vena_DYNR_SYTDS1_BYTDB1_64613313_27cd9d12">#REF!</definedName>
    <definedName name="_vena_DYNR_SYTDS1_BYTDB1_64613313_36715ab4">#REF!</definedName>
    <definedName name="_vena_DYNR_SYTDS1_BYTDB1_64613313_376a8ab">#REF!</definedName>
    <definedName name="_vena_DYNR_SYTDS1_BYTDB1_64613313_412f491f">#REF!</definedName>
    <definedName name="_vena_DYNR_SYTDS1_BYTDB1_64613313_41bafc8">#REF!</definedName>
    <definedName name="_vena_DYNR_SYTDS1_BYTDB1_64613313_519bba95">#REF!</definedName>
    <definedName name="_vena_DYNR_SYTDS1_BYTDB1_64613313_6c4aff9b">#REF!</definedName>
    <definedName name="_vena_DYNR_SYTDS1_BYTDB1_64613313_79f8e28c">#REF!</definedName>
    <definedName name="_vena_DYNR_SYTDS1_BYTDB1_64613313_7d055b52">#REF!</definedName>
    <definedName name="_vena_DYNR_SYTDS1_BYTDB1_64613313_7d126455">#REF!</definedName>
    <definedName name="_vena_DYNR_SYTDS1_BYTDB1_64613313_8150a7ae">#REF!</definedName>
    <definedName name="_vena_DYNR_SYTDS1_BYTDB1_64613313_836ab961">#REF!</definedName>
    <definedName name="_vena_DYNR_SYTDS1_BYTDB1_64613313_85232a7">#REF!</definedName>
    <definedName name="_vena_DYNR_SYTDS1_BYTDB1_64613313_877b1d4d">#REF!</definedName>
    <definedName name="_vena_DYNR_SYTDS1_BYTDB1_64613313_8d4e5736">#REF!</definedName>
    <definedName name="_vena_DYNR_SYTDS1_BYTDB1_64613313_a0ff0cc6">#REF!</definedName>
    <definedName name="_vena_DYNR_SYTDS1_BYTDB1_64613313_a4be041e">#REF!</definedName>
    <definedName name="_vena_DYNR_SYTDS1_BYTDB1_64613313_a4c2d45e">#REF!</definedName>
    <definedName name="_vena_DYNR_SYTDS1_BYTDB1_64613313_a75fafcf">#REF!</definedName>
    <definedName name="_vena_DYNR_SYTDS1_BYTDB1_64613313_a849a6a2">#REF!</definedName>
    <definedName name="_vena_DYNR_SYTDS1_BYTDB1_64613313_bcd5e41a">#REF!</definedName>
    <definedName name="_vena_DYNR_SYTDS1_BYTDB1_64613313_bf2f5346">#REF!</definedName>
    <definedName name="_vena_DYNR_SYTDS1_BYTDB1_64613313_d1a053a6">#REF!</definedName>
    <definedName name="_vena_DYNR_SYTDS1_BYTDB1_64613313_d21b631d">#REF!</definedName>
    <definedName name="_vena_DYNR_SYTDS1_BYTDB1_64613313_d2e6a96e">#REF!</definedName>
    <definedName name="_vena_DYNR_SYTDS1_BYTDB1_64613313_db77d89e">#REF!</definedName>
    <definedName name="_vena_DYNR_SYTDS1_BYTDB1_64613313_f912b8c5">#REF!</definedName>
    <definedName name="_vena_DYNR_SYTDS1_BYTDB1_64613313_fe18d812">#REF!</definedName>
    <definedName name="_vena_DYNR_SYTDS1_BYTDB1_7eaec168">#REF!</definedName>
    <definedName name="_vena_DYNR_SYTDS1_BYTDB1_7eaec168_16e5a175">#REF!</definedName>
    <definedName name="_vena_DYNR_SYTDS1_BYTDB1_7eaec168_420bb629">#REF!</definedName>
    <definedName name="_vena_DYNR_SYTDS1_BYTDB1_7eaec168_43a3c293">#REF!</definedName>
    <definedName name="_vena_DYNR_SYTDS1_BYTDB1_7eaec168_4675ab96">#REF!</definedName>
    <definedName name="_vena_DYNR_SYTDS1_BYTDB1_7eaec168_61de17fe">#REF!</definedName>
    <definedName name="_vena_DYNR_SYTDS1_BYTDB1_7eaec168_8a2d69b">#REF!</definedName>
    <definedName name="_vena_DYNR_SYTDS1_BYTDB1_7eaec168_8da45c92">#REF!</definedName>
    <definedName name="_vena_DYNR_SYTDS1_BYTDB1_7eaec168_b5903332">#REF!</definedName>
    <definedName name="_vena_DYNR_SYTDS1_BYTDB1_7eaec168_bcdce630">#REF!</definedName>
    <definedName name="_vena_DYNR_SYTDS1_BYTDB1_7eaec168_cb7d1da9">#REF!</definedName>
    <definedName name="_vena_DYNR_SYTDS1_BYTDB1_7eaec168_cdfd7b6f">#REF!</definedName>
    <definedName name="_vena_DYNR_SYTDS1_BYTDB1_7eaec168_cf5adb45">#REF!</definedName>
    <definedName name="_vena_DYNR_SYTDS1_BYTDB1_7eaec168_ed145b69">#REF!</definedName>
    <definedName name="_vena_DYNR_SYTDS1_BYTDB1_7eaec168_ede21d4f">#REF!</definedName>
    <definedName name="_vena_DYNR_SYTDS1_BYTDB1_7eaec168_f2330a10">#REF!</definedName>
    <definedName name="_vena_DYNR_SYTDS1_BYTDB1_7eaec168_f472cc18">#REF!</definedName>
    <definedName name="_vena_DYNR_SYTDS1_BYTDB1_be80c48f">#REF!</definedName>
    <definedName name="_vena_DYNR_SYTDS1_BYTDB1_be80c48f_133fc2e5">#REF!</definedName>
    <definedName name="_vena_DYNR_SYTDS1_BYTDB1_be80c48f_13fad11d">#REF!</definedName>
    <definedName name="_vena_DYNR_SYTDS1_BYTDB1_be80c48f_18824440">#REF!</definedName>
    <definedName name="_vena_DYNR_SYTDS1_BYTDB1_be80c48f_194ff4f8">#REF!</definedName>
    <definedName name="_vena_DYNR_SYTDS1_BYTDB1_be80c48f_1ff2fa85">#REF!</definedName>
    <definedName name="_vena_DYNR_SYTDS1_BYTDB1_be80c48f_20386a83">#REF!</definedName>
    <definedName name="_vena_DYNR_SYTDS1_BYTDB1_be80c48f_252af5ba">#REF!</definedName>
    <definedName name="_vena_DYNR_SYTDS1_BYTDB1_be80c48f_25e98ed5">#REF!</definedName>
    <definedName name="_vena_DYNR_SYTDS1_BYTDB1_be80c48f_27729e49">#REF!</definedName>
    <definedName name="_vena_DYNR_SYTDS1_BYTDB1_be80c48f_28a8528d">#REF!</definedName>
    <definedName name="_vena_DYNR_SYTDS1_BYTDB1_be80c48f_29161e64">#REF!</definedName>
    <definedName name="_vena_DYNR_SYTDS1_BYTDB1_be80c48f_29e24bbd">#REF!</definedName>
    <definedName name="_vena_DYNR_SYTDS1_BYTDB1_be80c48f_2f4768bd">#REF!</definedName>
    <definedName name="_vena_DYNR_SYTDS1_BYTDB1_be80c48f_3100d485">#REF!</definedName>
    <definedName name="_vena_DYNR_SYTDS1_BYTDB1_be80c48f_329effca">#REF!</definedName>
    <definedName name="_vena_DYNR_SYTDS1_BYTDB1_be80c48f_33b12b97">#REF!</definedName>
    <definedName name="_vena_DYNR_SYTDS1_BYTDB1_be80c48f_38b51ec8">#REF!</definedName>
    <definedName name="_vena_DYNR_SYTDS1_BYTDB1_be80c48f_38c963b9">#REF!</definedName>
    <definedName name="_vena_DYNR_SYTDS1_BYTDB1_be80c48f_390c92d7">#REF!</definedName>
    <definedName name="_vena_DYNR_SYTDS1_BYTDB1_be80c48f_3ed4a743">#REF!</definedName>
    <definedName name="_vena_DYNR_SYTDS1_BYTDB1_be80c48f_459765ed">#REF!</definedName>
    <definedName name="_vena_DYNR_SYTDS1_BYTDB1_be80c48f_478540ca">#REF!</definedName>
    <definedName name="_vena_DYNR_SYTDS1_BYTDB1_be80c48f_517199d8">#REF!</definedName>
    <definedName name="_vena_DYNR_SYTDS1_BYTDB1_be80c48f_5664bcb6">#REF!</definedName>
    <definedName name="_vena_DYNR_SYTDS1_BYTDB1_be80c48f_573c7bfc">#REF!</definedName>
    <definedName name="_vena_DYNR_SYTDS1_BYTDB1_be80c48f_592d4000">#REF!</definedName>
    <definedName name="_vena_DYNR_SYTDS1_BYTDB1_be80c48f_5a224a15">#REF!</definedName>
    <definedName name="_vena_DYNR_SYTDS1_BYTDB1_be80c48f_5baf12fe">#REF!</definedName>
    <definedName name="_vena_DYNR_SYTDS1_BYTDB1_be80c48f_6aa5dd00">#REF!</definedName>
    <definedName name="_vena_DYNR_SYTDS1_BYTDB1_be80c48f_6b2aa023">#REF!</definedName>
    <definedName name="_vena_DYNR_SYTDS1_BYTDB1_be80c48f_6cff09f3">#REF!</definedName>
    <definedName name="_vena_DYNR_SYTDS1_BYTDB1_be80c48f_6f842102">#REF!</definedName>
    <definedName name="_vena_DYNR_SYTDS1_BYTDB1_be80c48f_70638ebc">#REF!</definedName>
    <definedName name="_vena_DYNR_SYTDS1_BYTDB1_be80c48f_743e9349">#REF!</definedName>
    <definedName name="_vena_DYNR_SYTDS1_BYTDB1_be80c48f_75324353">#REF!</definedName>
    <definedName name="_vena_DYNR_SYTDS1_BYTDB1_be80c48f_7c0a5fde">#REF!</definedName>
    <definedName name="_vena_DYNR_SYTDS1_BYTDB1_be80c48f_7fa54243">#REF!</definedName>
    <definedName name="_vena_DYNR_SYTDS1_BYTDB1_be80c48f_82dd6248">#REF!</definedName>
    <definedName name="_vena_DYNR_SYTDS1_BYTDB1_be80c48f_85f7c65f">#REF!</definedName>
    <definedName name="_vena_DYNR_SYTDS1_BYTDB1_be80c48f_89420bf5">#REF!</definedName>
    <definedName name="_vena_DYNR_SYTDS1_BYTDB1_be80c48f_8ecf264">#REF!</definedName>
    <definedName name="_vena_DYNR_SYTDS1_BYTDB1_be80c48f_9036834f">#REF!</definedName>
    <definedName name="_vena_DYNR_SYTDS1_BYTDB1_be80c48f_918a78b9">#REF!</definedName>
    <definedName name="_vena_DYNR_SYTDS1_BYTDB1_be80c48f_99b9a8d0">#REF!</definedName>
    <definedName name="_vena_DYNR_SYTDS1_BYTDB1_be80c48f_9b0fc4f">#REF!</definedName>
    <definedName name="_vena_DYNR_SYTDS1_BYTDB1_be80c48f_9b97b0e9">#REF!</definedName>
    <definedName name="_vena_DYNR_SYTDS1_BYTDB1_be80c48f_a1c69c36">#REF!</definedName>
    <definedName name="_vena_DYNR_SYTDS1_BYTDB1_be80c48f_a33bdcd">#REF!</definedName>
    <definedName name="_vena_DYNR_SYTDS1_BYTDB1_be80c48f_a4ab7c81">#REF!</definedName>
    <definedName name="_vena_DYNR_SYTDS1_BYTDB1_be80c48f_a818f606">#REF!</definedName>
    <definedName name="_vena_DYNR_SYTDS1_BYTDB1_be80c48f_a933034a">#REF!</definedName>
    <definedName name="_vena_DYNR_SYTDS1_BYTDB1_be80c48f_aa39f9c6">#REF!</definedName>
    <definedName name="_vena_DYNR_SYTDS1_BYTDB1_be80c48f_aedbb3e">#REF!</definedName>
    <definedName name="_vena_DYNR_SYTDS1_BYTDB1_be80c48f_b3eede58">#REF!</definedName>
    <definedName name="_vena_DYNR_SYTDS1_BYTDB1_be80c48f_c0ab4022">#REF!</definedName>
    <definedName name="_vena_DYNR_SYTDS1_BYTDB1_be80c48f_c1ecea5d">#REF!</definedName>
    <definedName name="_vena_DYNR_SYTDS1_BYTDB1_be80c48f_c2bd32ee">#REF!</definedName>
    <definedName name="_vena_DYNR_SYTDS1_BYTDB1_be80c48f_c7bdeb84">#REF!</definedName>
    <definedName name="_vena_DYNR_SYTDS1_BYTDB1_be80c48f_ccc4532a">#REF!</definedName>
    <definedName name="_vena_DYNR_SYTDS1_BYTDB1_be80c48f_d17c2f16">#REF!</definedName>
    <definedName name="_vena_DYNR_SYTDS1_BYTDB1_be80c48f_d254297f">#REF!</definedName>
    <definedName name="_vena_DYNR_SYTDS1_BYTDB1_be80c48f_d3e886e3">#REF!</definedName>
    <definedName name="_vena_DYNR_SYTDS1_BYTDB1_be80c48f_d7fc8398">#REF!</definedName>
    <definedName name="_vena_DYNR_SYTDS1_BYTDB1_be80c48f_dbcd8227">#REF!</definedName>
    <definedName name="_vena_DYNR_SYTDS1_BYTDB1_be80c48f_ddf8975f">#REF!</definedName>
    <definedName name="_vena_DYNR_SYTDS1_BYTDB1_be80c48f_e2a9d986">#REF!</definedName>
    <definedName name="_vena_DYNR_SYTDS1_BYTDB1_be80c48f_e4ec3e99">#REF!</definedName>
    <definedName name="_vena_DYNR_SYTDS1_BYTDB1_be80c48f_ea089000">#REF!</definedName>
    <definedName name="_vena_DYNR_SYTDS1_BYTDB1_be80c48f_eb4e7c9b">#REF!</definedName>
    <definedName name="_vena_DYNR_SYTDS1_BYTDB1_be80c48f_f066af31">#REF!</definedName>
    <definedName name="_vena_DYNR_SYTDS1_BYTDB1_be80c48f_f498d043">#REF!</definedName>
    <definedName name="_vena_DYNR_SYTDS1_BYTDB1_be80c48f_f98f62ad">#REF!</definedName>
    <definedName name="_vena_DYNR_SYTDS1_BYTDB1_be80c48f_f9b6d637">#REF!</definedName>
    <definedName name="_vena_DYNR_SYTDS1_BYTDB1_be80c48f_fbbdd63a">#REF!</definedName>
    <definedName name="_vena_DYNR_SYTDS1_BYTDB1_d164a04b">#REF!</definedName>
    <definedName name="_vena_DYNR_SYTDS1_BYTDB1_d164a04b_144037f2">#REF!</definedName>
    <definedName name="_vena_DYNR_SYTDS1_BYTDB1_d164a04b_1850c090">#REF!</definedName>
    <definedName name="_vena_DYNR_SYTDS1_BYTDB1_d164a04b_1d169b78">#REF!</definedName>
    <definedName name="_vena_DYNR_SYTDS1_BYTDB1_d164a04b_1fb85a33">#REF!</definedName>
    <definedName name="_vena_DYNR_SYTDS1_BYTDB1_d164a04b_20b6f202">#REF!</definedName>
    <definedName name="_vena_DYNR_SYTDS1_BYTDB1_d164a04b_30a07e06">#REF!</definedName>
    <definedName name="_vena_DYNR_SYTDS1_BYTDB1_d164a04b_33495247">#REF!</definedName>
    <definedName name="_vena_DYNR_SYTDS1_BYTDB1_d164a04b_367c2c96">#REF!</definedName>
    <definedName name="_vena_DYNR_SYTDS1_BYTDB1_d164a04b_39c83cba">#REF!</definedName>
    <definedName name="_vena_DYNR_SYTDS1_BYTDB1_d164a04b_421b6ccb">#REF!</definedName>
    <definedName name="_vena_DYNR_SYTDS1_BYTDB1_d164a04b_4a5c79d4">#REF!</definedName>
    <definedName name="_vena_DYNR_SYTDS1_BYTDB1_d164a04b_529e9e9a">#REF!</definedName>
    <definedName name="_vena_DYNR_SYTDS1_BYTDB1_d164a04b_54e71ceb">#REF!</definedName>
    <definedName name="_vena_DYNR_SYTDS1_BYTDB1_d164a04b_5b001f40">#REF!</definedName>
    <definedName name="_vena_DYNR_SYTDS1_BYTDB1_d164a04b_6058d929">#REF!</definedName>
    <definedName name="_vena_DYNR_SYTDS1_BYTDB1_d164a04b_640d2692">#REF!</definedName>
    <definedName name="_vena_DYNR_SYTDS1_BYTDB1_d164a04b_6598065d">#REF!</definedName>
    <definedName name="_vena_DYNR_SYTDS1_BYTDB1_d164a04b_66084db4">#REF!</definedName>
    <definedName name="_vena_DYNR_SYTDS1_BYTDB1_d164a04b_6f857ef1">#REF!</definedName>
    <definedName name="_vena_DYNR_SYTDS1_BYTDB1_d164a04b_74706e43">#REF!</definedName>
    <definedName name="_vena_DYNR_SYTDS1_BYTDB1_d164a04b_82c0dc1e">#REF!</definedName>
    <definedName name="_vena_DYNR_SYTDS1_BYTDB1_d164a04b_879f6f16">#REF!</definedName>
    <definedName name="_vena_DYNR_SYTDS1_BYTDB1_d164a04b_88707d21">#REF!</definedName>
    <definedName name="_vena_DYNR_SYTDS1_BYTDB1_d164a04b_8d91517b">#REF!</definedName>
    <definedName name="_vena_DYNR_SYTDS1_BYTDB1_d164a04b_a5b9db08">#REF!</definedName>
    <definedName name="_vena_DYNR_SYTDS1_BYTDB1_d164a04b_a75c63f6">#REF!</definedName>
    <definedName name="_vena_DYNR_SYTDS1_BYTDB1_d164a04b_a84fb9e3">#REF!</definedName>
    <definedName name="_vena_DYNR_SYTDS1_BYTDB1_d164a04b_b0829381">#REF!</definedName>
    <definedName name="_vena_DYNR_SYTDS1_BYTDB1_d164a04b_b3e8d774">#REF!</definedName>
    <definedName name="_vena_DYNR_SYTDS1_BYTDB1_d164a04b_c06c8f82">#REF!</definedName>
    <definedName name="_vena_DYNR_SYTDS1_BYTDB1_d164a04b_c3517942">#REF!</definedName>
    <definedName name="_vena_DYNR_SYTDS1_BYTDB1_d164a04b_c72241c8">#REF!</definedName>
    <definedName name="_vena_DYNR_SYTDS1_BYTDB1_d164a04b_ca8491ba">#REF!</definedName>
    <definedName name="_vena_DYNR_SYTDS1_BYTDB1_d164a04b_f666d654">#REF!</definedName>
    <definedName name="_vena_DYNR_SYTDS1_BYTDB1_d2ee324d">#REF!</definedName>
    <definedName name="_vena_DYNR_SYTDS1_BYTDB1_d2ee324d_12c5b4c7">#REF!</definedName>
    <definedName name="_vena_DYNR_SYTDS1_BYTDB1_d2ee324d_18e6e8d9">#REF!</definedName>
    <definedName name="_vena_DYNR_SYTDS1_BYTDB1_d2ee324d_1b7e273a">#REF!</definedName>
    <definedName name="_vena_DYNR_SYTDS1_BYTDB1_d2ee324d_25349daa">#REF!</definedName>
    <definedName name="_vena_DYNR_SYTDS1_BYTDB1_d2ee324d_42b452f6">#REF!</definedName>
    <definedName name="_vena_DYNR_SYTDS1_BYTDB1_d2ee324d_5f22c746">#REF!</definedName>
    <definedName name="_vena_DYNR_SYTDS1_BYTDB1_d2ee324d_8006ac6e">#REF!</definedName>
    <definedName name="_vena_DYNR_SYTDS1_BYTDB1_d2ee324d_977882dc">#REF!</definedName>
    <definedName name="_vena_DYNR_SYTDS1_BYTDB1_d2ee324d_bb3a9f2b">#REF!</definedName>
    <definedName name="_vena_DYNR_SYTDS1_BYTDB1_d2ee324d_c3eb29fc">#REF!</definedName>
    <definedName name="_vena_DYNR_SYTDS1_BYTDB1_d2ee324d_d369bf36">#REF!</definedName>
    <definedName name="_vena_DYNR_SYTDS1_BYTDB1_da0e1e2">#REF!</definedName>
    <definedName name="_vena_DYNR_SYTDS1_BYTDB1_da0e1e2_117b7a89">#REF!</definedName>
    <definedName name="_vena_DYNR_SYTDS1_BYTDB1_da0e1e2_2213d691">#REF!</definedName>
    <definedName name="_vena_DYNR_SYTDS1_BYTDB1_da0e1e2_26fc475a">#REF!</definedName>
    <definedName name="_vena_DYNR_SYTDS1_BYTDB1_da0e1e2_316054da">#REF!</definedName>
    <definedName name="_vena_DYNR_SYTDS1_BYTDB1_da0e1e2_57dc6766">#REF!</definedName>
    <definedName name="_vena_DYNR_SYTDS1_BYTDB1_da0e1e2_59713d6b">#REF!</definedName>
    <definedName name="_vena_DYNR_SYTDS1_BYTDB1_da0e1e2_5d69e197">#REF!</definedName>
    <definedName name="_vena_DYNR_SYTDS1_BYTDB1_da0e1e2_74e8ab4d">#REF!</definedName>
    <definedName name="_vena_DYNR_SYTDS1_BYTDB1_da0e1e2_75c33be2">#REF!</definedName>
    <definedName name="_vena_DYNR_SYTDS1_BYTDB1_da0e1e2_8b0f74d1">#REF!</definedName>
    <definedName name="_vena_DYNR_SYTDS1_BYTDB1_da0e1e2_9dafabb6">#REF!</definedName>
    <definedName name="_vena_DYNR_SYTDS1_BYTDB1_da0e1e2_aa800a02">#REF!</definedName>
    <definedName name="_vena_DYNR_SYTDS1_BYTDB1_da0e1e2_d3bc5b5">#REF!</definedName>
    <definedName name="_vena_DYNR_SYTDS1_BYTDB1_da0e1e2_edb1ea76">#REF!</definedName>
    <definedName name="_vena_DYNR_SYTDS1_BYTDB1_da0e1e2_f170562b">#REF!</definedName>
    <definedName name="_vena_DYNR_SYTDS1_BYTDB1_da0e1e2_f1c0972c">#REF!</definedName>
    <definedName name="_vena_DYNR_SYTDS1_BYTDB1_eb2a44e5">#REF!</definedName>
    <definedName name="_vena_DYNR_SYTDS1_BYTDB1_eb2a44e5_15d0ff72">#REF!</definedName>
    <definedName name="_vena_DYNR_SYTDS1_BYTDB1_eb2a44e5_18fa1ae3">#REF!</definedName>
    <definedName name="_vena_DYNR_SYTDS1_BYTDB1_eb2a44e5_1e33bdd0">#REF!</definedName>
    <definedName name="_vena_DYNR_SYTDS1_BYTDB1_eb2a44e5_2ab3b90f">#REF!</definedName>
    <definedName name="_vena_DYNR_SYTDS1_BYTDB1_eb2a44e5_2f4bd35d">#REF!</definedName>
    <definedName name="_vena_DYNR_SYTDS1_BYTDB1_eb2a44e5_3f176831">#REF!</definedName>
    <definedName name="_vena_DYNR_SYTDS1_BYTDB1_eb2a44e5_454d0c4f">#REF!</definedName>
    <definedName name="_vena_DYNR_SYTDS1_BYTDB1_eb2a44e5_54686b20">#REF!</definedName>
    <definedName name="_vena_DYNR_SYTDS1_BYTDB1_eb2a44e5_5d3143f8">#REF!</definedName>
    <definedName name="_vena_DYNR_SYTDS1_BYTDB1_eb2a44e5_610c885b">#REF!</definedName>
    <definedName name="_vena_DYNR_SYTDS1_BYTDB1_eb2a44e5_6bc15ea7">#REF!</definedName>
    <definedName name="_vena_DYNR_SYTDS1_BYTDB1_eb2a44e5_707e8fa1">#REF!</definedName>
    <definedName name="_vena_DYNR_SYTDS1_BYTDB1_eb2a44e5_720c9719">#REF!</definedName>
    <definedName name="_vena_DYNR_SYTDS1_BYTDB1_eb2a44e5_7362a239">#REF!</definedName>
    <definedName name="_vena_DYNR_SYTDS1_BYTDB1_eb2a44e5_942f7257">#REF!</definedName>
    <definedName name="_vena_DYNR_SYTDS1_BYTDB1_eb2a44e5_95e0f34c">#REF!</definedName>
    <definedName name="_vena_DYNR_SYTDS1_BYTDB1_eb2a44e5_9810e9b">#REF!</definedName>
    <definedName name="_vena_DYNR_SYTDS1_BYTDB1_eb2a44e5_a42a4134">#REF!</definedName>
    <definedName name="_vena_DYNR_SYTDS1_BYTDB1_eb2a44e5_b00f1886">#REF!</definedName>
    <definedName name="_vena_DYNR_SYTDS1_BYTDB1_eb2a44e5_b4d8e3ea">#REF!</definedName>
    <definedName name="_vena_DYNR_SYTDS1_BYTDB1_eb2a44e5_b4ecb044">#REF!</definedName>
    <definedName name="_vena_DYNR_SYTDS1_BYTDB1_eb2a44e5_b6542fbd">#REF!</definedName>
    <definedName name="_vena_DYNR_SYTDS1_BYTDB1_eb2a44e5_b96fe3bd">#REF!</definedName>
    <definedName name="_vena_DYNR_SYTDS1_BYTDB1_eb2a44e5_bc303519">#REF!</definedName>
    <definedName name="_vena_DYNR_SYTDS1_BYTDB1_eb2a44e5_c2280cf7">#REF!</definedName>
    <definedName name="_vena_DYNR_SYTDS1_BYTDB1_eb2a44e5_c2852b2a">#REF!</definedName>
    <definedName name="_vena_DYNR_SYTDS1_BYTDB1_eb2a44e5_c64612b7">#REF!</definedName>
    <definedName name="_vena_DYNR_SYTDS1_BYTDB1_eb2a44e5_c67415e9">#REF!</definedName>
    <definedName name="_vena_DYNR_SYTDS1_BYTDB1_eb2a44e5_cc4cafdc">#REF!</definedName>
    <definedName name="_vena_DYNR_SYTDS1_BYTDB1_eb2a44e5_cdb6c2ab">#REF!</definedName>
    <definedName name="_vena_DYNR_SYTDS1_BYTDB1_eb2a44e5_cfe0347f">#REF!</definedName>
    <definedName name="_vena_DYNR_SYTDS1_BYTDB1_eb2a44e5_d17b7506">#REF!</definedName>
    <definedName name="_vena_DYNR_SYTDS1_BYTDB1_eb2a44e5_d620e15a">#REF!</definedName>
    <definedName name="_vena_DYNR_SYTDS1_BYTDB1_eb2a44e5_dde229ac">#REF!</definedName>
    <definedName name="_vena_DYNR_SYTDS1_BYTDB1_eb2a44e5_e0bcfe04">#REF!</definedName>
    <definedName name="_vena_DYNR_SYTDS1_BYTDB1_eb2a44e5_e0daa4b9">#REF!</definedName>
    <definedName name="_vena_DYNR_SYTDS1_BYTDB1_eb2a44e5_e1bb9fe9">#REF!</definedName>
    <definedName name="_vena_DYNR_SYTDS1_BYTDB1_eb2a44e5_e7840d2b">#REF!</definedName>
    <definedName name="_vena_DYNR_SYTDS1_BYTDB1_eb2a44e5_e9c69c0b">#REF!</definedName>
    <definedName name="_vena_DYNR_SYTDS1_BYTDB1_eb2a44e5_ead6f1c4">#REF!</definedName>
    <definedName name="_vena_DYNR_SYTDS1_BYTDB1_eb2a44e5_f0af01b6">#REF!</definedName>
    <definedName name="_vena_DYNR_SYTDS1_BYTDB1_eb2a44e5_ffeaefd0">#REF!</definedName>
    <definedName name="_vena_DYNR_SYTDS1_BYTDB1_eedaad30">#REF!</definedName>
    <definedName name="_vena_DYNR_SYTDS1_BYTDB1_eedaad30_11ed7b47">#REF!</definedName>
    <definedName name="_vena_DYNR_SYTDS1_BYTDB1_eedaad30_12024875">#REF!</definedName>
    <definedName name="_vena_DYNR_SYTDS1_BYTDB1_eedaad30_1544ad87">#REF!</definedName>
    <definedName name="_vena_DYNR_SYTDS1_BYTDB1_eedaad30_15eca48e">#REF!</definedName>
    <definedName name="_vena_DYNR_SYTDS1_BYTDB1_eedaad30_1699c07e">#REF!</definedName>
    <definedName name="_vena_DYNR_SYTDS1_BYTDB1_eedaad30_1997ae83">#REF!</definedName>
    <definedName name="_vena_DYNR_SYTDS1_BYTDB1_eedaad30_1e2efff0">#REF!</definedName>
    <definedName name="_vena_DYNR_SYTDS1_BYTDB1_eedaad30_202891c5">#REF!</definedName>
    <definedName name="_vena_DYNR_SYTDS1_BYTDB1_eedaad30_207182cc">#REF!</definedName>
    <definedName name="_vena_DYNR_SYTDS1_BYTDB1_eedaad30_22aa649d">#REF!</definedName>
    <definedName name="_vena_DYNR_SYTDS1_BYTDB1_eedaad30_26f3c0ca">#REF!</definedName>
    <definedName name="_vena_DYNR_SYTDS1_BYTDB1_eedaad30_2b3a9141">#REF!</definedName>
    <definedName name="_vena_DYNR_SYTDS1_BYTDB1_eedaad30_2df7ee7a">#REF!</definedName>
    <definedName name="_vena_DYNR_SYTDS1_BYTDB1_eedaad30_2e57697f">#REF!</definedName>
    <definedName name="_vena_DYNR_SYTDS1_BYTDB1_eedaad30_339f5016">#REF!</definedName>
    <definedName name="_vena_DYNR_SYTDS1_BYTDB1_eedaad30_364e5347">#REF!</definedName>
    <definedName name="_vena_DYNR_SYTDS1_BYTDB1_eedaad30_3739c197">#REF!</definedName>
    <definedName name="_vena_DYNR_SYTDS1_BYTDB1_eedaad30_37cd4897">#REF!</definedName>
    <definedName name="_vena_DYNR_SYTDS1_BYTDB1_eedaad30_3b52fece">#REF!</definedName>
    <definedName name="_vena_DYNR_SYTDS1_BYTDB1_eedaad30_3cb32c05">#REF!</definedName>
    <definedName name="_vena_DYNR_SYTDS1_BYTDB1_eedaad30_3ce6fa61">#REF!</definedName>
    <definedName name="_vena_DYNR_SYTDS1_BYTDB1_eedaad30_3e91a4f0">#REF!</definedName>
    <definedName name="_vena_DYNR_SYTDS1_BYTDB1_eedaad30_3ff9c6f4">#REF!</definedName>
    <definedName name="_vena_DYNR_SYTDS1_BYTDB1_eedaad30_4100ad8c">#REF!</definedName>
    <definedName name="_vena_DYNR_SYTDS1_BYTDB1_eedaad30_439c202f">#REF!</definedName>
    <definedName name="_vena_DYNR_SYTDS1_BYTDB1_eedaad30_4438c764">#REF!</definedName>
    <definedName name="_vena_DYNR_SYTDS1_BYTDB1_eedaad30_443948fc">#REF!</definedName>
    <definedName name="_vena_DYNR_SYTDS1_BYTDB1_eedaad30_448a47d">#REF!</definedName>
    <definedName name="_vena_DYNR_SYTDS1_BYTDB1_eedaad30_49e502d3">#REF!</definedName>
    <definedName name="_vena_DYNR_SYTDS1_BYTDB1_eedaad30_4d64b1d6">#REF!</definedName>
    <definedName name="_vena_DYNR_SYTDS1_BYTDB1_eedaad30_50076997">#REF!</definedName>
    <definedName name="_vena_DYNR_SYTDS1_BYTDB1_eedaad30_50a1db62">#REF!</definedName>
    <definedName name="_vena_DYNR_SYTDS1_BYTDB1_eedaad30_5400197a">#REF!</definedName>
    <definedName name="_vena_DYNR_SYTDS1_BYTDB1_eedaad30_551e5104">#REF!</definedName>
    <definedName name="_vena_DYNR_SYTDS1_BYTDB1_eedaad30_58254c8e">#REF!</definedName>
    <definedName name="_vena_DYNR_SYTDS1_BYTDB1_eedaad30_58fb09ab">#REF!</definedName>
    <definedName name="_vena_DYNR_SYTDS1_BYTDB1_eedaad30_5fd31d8f">#REF!</definedName>
    <definedName name="_vena_DYNR_SYTDS1_BYTDB1_eedaad30_61e54541">#REF!</definedName>
    <definedName name="_vena_DYNR_SYTDS1_BYTDB1_eedaad30_6406ff4a">#REF!</definedName>
    <definedName name="_vena_DYNR_SYTDS1_BYTDB1_eedaad30_66a62a1a">#REF!</definedName>
    <definedName name="_vena_DYNR_SYTDS1_BYTDB1_eedaad30_68869289">#REF!</definedName>
    <definedName name="_vena_DYNR_SYTDS1_BYTDB1_eedaad30_693930bc">#REF!</definedName>
    <definedName name="_vena_DYNR_SYTDS1_BYTDB1_eedaad30_694b832a">#REF!</definedName>
    <definedName name="_vena_DYNR_SYTDS1_BYTDB1_eedaad30_6bac07ca">#REF!</definedName>
    <definedName name="_vena_DYNR_SYTDS1_BYTDB1_eedaad30_6e78d241">#REF!</definedName>
    <definedName name="_vena_DYNR_SYTDS1_BYTDB1_eedaad30_6f8fe759">#REF!</definedName>
    <definedName name="_vena_DYNR_SYTDS1_BYTDB1_eedaad30_73d6ea39">#REF!</definedName>
    <definedName name="_vena_DYNR_SYTDS1_BYTDB1_eedaad30_747bd385">#REF!</definedName>
    <definedName name="_vena_DYNR_SYTDS1_BYTDB1_eedaad30_750187a1">#REF!</definedName>
    <definedName name="_vena_DYNR_SYTDS1_BYTDB1_eedaad30_79d07226">#REF!</definedName>
    <definedName name="_vena_DYNR_SYTDS1_BYTDB1_eedaad30_79ec0fe8">#REF!</definedName>
    <definedName name="_vena_DYNR_SYTDS1_BYTDB1_eedaad30_7b893ad7">#REF!</definedName>
    <definedName name="_vena_DYNR_SYTDS1_BYTDB1_eedaad30_82db7e87">#REF!</definedName>
    <definedName name="_vena_DYNR_SYTDS1_BYTDB1_eedaad30_84dd208c">#REF!</definedName>
    <definedName name="_vena_DYNR_SYTDS1_BYTDB1_eedaad30_8523b320">#REF!</definedName>
    <definedName name="_vena_DYNR_SYTDS1_BYTDB1_eedaad30_8a457262">#REF!</definedName>
    <definedName name="_vena_DYNR_SYTDS1_BYTDB1_eedaad30_93e688f1">#REF!</definedName>
    <definedName name="_vena_DYNR_SYTDS1_BYTDB1_eedaad30_986523a0">#REF!</definedName>
    <definedName name="_vena_DYNR_SYTDS1_BYTDB1_eedaad30_9d8e9ecc">#REF!</definedName>
    <definedName name="_vena_DYNR_SYTDS1_BYTDB1_eedaad30_9da58d0f">#REF!</definedName>
    <definedName name="_vena_DYNR_SYTDS1_BYTDB1_eedaad30_a1a42cdf">#REF!</definedName>
    <definedName name="_vena_DYNR_SYTDS1_BYTDB1_eedaad30_a320de98">#REF!</definedName>
    <definedName name="_vena_DYNR_SYTDS1_BYTDB1_eedaad30_a454e21b">#REF!</definedName>
    <definedName name="_vena_DYNR_SYTDS1_BYTDB1_eedaad30_a98d2f3">#REF!</definedName>
    <definedName name="_vena_DYNR_SYTDS1_BYTDB1_eedaad30_aa26dc74">#REF!</definedName>
    <definedName name="_vena_DYNR_SYTDS1_BYTDB1_eedaad30_aa9cadd6">#REF!</definedName>
    <definedName name="_vena_DYNR_SYTDS1_BYTDB1_eedaad30_adad36e4">#REF!</definedName>
    <definedName name="_vena_DYNR_SYTDS1_BYTDB1_eedaad30_ae74f774">#REF!</definedName>
    <definedName name="_vena_DYNR_SYTDS1_BYTDB1_eedaad30_b049a2ca">#REF!</definedName>
    <definedName name="_vena_DYNR_SYTDS1_BYTDB1_eedaad30_b5c06bfe">#REF!</definedName>
    <definedName name="_vena_DYNR_SYTDS1_BYTDB1_eedaad30_b69903c7">#REF!</definedName>
    <definedName name="_vena_DYNR_SYTDS1_BYTDB1_eedaad30_b8136a4b">#REF!</definedName>
    <definedName name="_vena_DYNR_SYTDS1_BYTDB1_eedaad30_b8b6a8b7">#REF!</definedName>
    <definedName name="_vena_DYNR_SYTDS1_BYTDB1_eedaad30_ba2a47f">#REF!</definedName>
    <definedName name="_vena_DYNR_SYTDS1_BYTDB1_eedaad30_be273404">#REF!</definedName>
    <definedName name="_vena_DYNR_SYTDS1_BYTDB1_eedaad30_c2fad12a">#REF!</definedName>
    <definedName name="_vena_DYNR_SYTDS1_BYTDB1_eedaad30_c36d18c7">#REF!</definedName>
    <definedName name="_vena_DYNR_SYTDS1_BYTDB1_eedaad30_c40691c8">#REF!</definedName>
    <definedName name="_vena_DYNR_SYTDS1_BYTDB1_eedaad30_c4ebc04c">#REF!</definedName>
    <definedName name="_vena_DYNR_SYTDS1_BYTDB1_eedaad30_c6c0a811">#REF!</definedName>
    <definedName name="_vena_DYNR_SYTDS1_BYTDB1_eedaad30_c74fd036">#REF!</definedName>
    <definedName name="_vena_DYNR_SYTDS1_BYTDB1_eedaad30_ca3fe8f">#REF!</definedName>
    <definedName name="_vena_DYNR_SYTDS1_BYTDB1_eedaad30_cb4bcc58">#REF!</definedName>
    <definedName name="_vena_DYNR_SYTDS1_BYTDB1_eedaad30_d30948d0">#REF!</definedName>
    <definedName name="_vena_DYNR_SYTDS1_BYTDB1_eedaad30_d51081ac">#REF!</definedName>
    <definedName name="_vena_DYNR_SYTDS1_BYTDB1_eedaad30_d84f8ed8">#REF!</definedName>
    <definedName name="_vena_DYNR_SYTDS1_BYTDB1_eedaad30_d9c66dc9">#REF!</definedName>
    <definedName name="_vena_DYNR_SYTDS1_BYTDB1_eedaad30_ddf6d30c">#REF!</definedName>
    <definedName name="_vena_DYNR_SYTDS1_BYTDB1_eedaad30_e0c7c00">#REF!</definedName>
    <definedName name="_vena_DYNR_SYTDS1_BYTDB1_eedaad30_e17dcf07">#REF!</definedName>
    <definedName name="_vena_DYNR_SYTDS1_BYTDB1_eedaad30_e33cf403">#REF!</definedName>
    <definedName name="_vena_DYNR_SYTDS1_BYTDB1_eedaad30_e44c872c">#REF!</definedName>
    <definedName name="_vena_DYNR_SYTDS1_BYTDB1_eedaad30_e6d715b7">#REF!</definedName>
    <definedName name="_vena_DYNR_SYTDS1_BYTDB1_eedaad30_e6f3e03d">#REF!</definedName>
    <definedName name="_vena_DYNR_SYTDS1_BYTDB1_eedaad30_eb583b43">#REF!</definedName>
    <definedName name="_vena_DYNR_SYTDS1_BYTDB1_eedaad30_ecf4c919">#REF!</definedName>
    <definedName name="_vena_DYNR_SYTDS1_BYTDB1_eedaad30_f03393d1">#REF!</definedName>
    <definedName name="_vena_DYNR_SYTDS1_BYTDB1_eedaad30_f0d65182">#REF!</definedName>
    <definedName name="_vena_DYNR_SYTDS1_BYTDB1_eedaad30_f20ec77f">#REF!</definedName>
    <definedName name="_vena_DYNR_SYTDS1_BYTDB1_eedaad30_f36a4e72">#REF!</definedName>
    <definedName name="_vena_DYNR_SYTDS1_BYTDB1_eedaad30_f44a9b8e">#REF!</definedName>
    <definedName name="_vena_DYNR_SYTDS1_BYTDB1_eedaad30_f4548072">#REF!</definedName>
    <definedName name="_vena_DYNR_SYTDS1_BYTDB1_eedaad30_f57d42a5">#REF!</definedName>
    <definedName name="_vena_DYNR_SYTDS1_BYTDB1_eedaad30_fd9bbc71">#REF!</definedName>
    <definedName name="_vena_DYNR_SYTDS1_BYTDB1_eedaad30_ff0c86fc">#REF!</definedName>
    <definedName name="_vena_GraphsS1_GraphsB1_C_2_632005310785781764">#REF!</definedName>
    <definedName name="_vena_GraphsS1_GraphsB1_C_2_632005310785781764_1">#REF!</definedName>
    <definedName name="_vena_GraphsS1_GraphsB1_C_2_632005310785781764_2">#REF!</definedName>
    <definedName name="_vena_GraphsS1_GraphsB1_C_8_685788888694390784">#REF!</definedName>
    <definedName name="_vena_GraphsS1_GraphsB1_C_8_685788940917014528">#REF!</definedName>
    <definedName name="_vena_GraphsS1_GraphsB1_C_8_685788958658920448">#REF!</definedName>
    <definedName name="_vena_GraphsS1_GraphsB1_C_8_728535862916546560">#REF!</definedName>
    <definedName name="_vena_GraphsS1_GraphsB1_R_5_685788586292936704">#REF!</definedName>
    <definedName name="_vena_GraphsS1_GraphsB1_R_5_728535660654624768">#REF!</definedName>
    <definedName name="_vena_GraphsS1_GraphsB1_R_5_728535700609302528">#REF!</definedName>
    <definedName name="_vena_GraphsS1_GraphsB1_R_5_730323418129367040">#REF!</definedName>
    <definedName name="_vena_GraphsS1_GraphsB1_R_5_730323446269214720">#REF!</definedName>
    <definedName name="_vena_GraphsS1_GraphsB2_C_2_632005310785781764_1">#REF!</definedName>
    <definedName name="_vena_GraphsS1_GraphsB2_C_8_632005313629519872">#REF!</definedName>
    <definedName name="_vena_GraphsS1_GraphsB2_R_5_685788648188149760">#REF!</definedName>
    <definedName name="_vena_GraphsS1_GraphsB3_C_2_632005310785781764">#REF!</definedName>
    <definedName name="_vena_GraphsS1_GraphsB3_C_8_632005313629519872">#REF!</definedName>
    <definedName name="_vena_GraphsS1_GraphsB3_R_5_685788694481207296">#REF!</definedName>
    <definedName name="_vena_GraphsS1_GraphsB3_R_5_685788727548706816">#REF!</definedName>
    <definedName name="_vena_GraphsS1_GraphsB4_C_8_632005313629519872">#REF!</definedName>
    <definedName name="_vena_GraphsS1_GraphsB4_C_FV_e3545e3dcc52420a84dcdae3a23a4597">#REF!</definedName>
    <definedName name="_vena_GraphsS1_GraphsB4_R_5_1038665828302979072">#REF!</definedName>
    <definedName name="_vena_GraphsS1_GraphsB4_R_5_1038665841716101121">#REF!</definedName>
    <definedName name="_vena_GraphsS1_GraphsB4_R_5_1038665855469355009">#REF!</definedName>
    <definedName name="_vena_GraphsS1_GraphsB4_R_5_1038665867246698497">#REF!</definedName>
    <definedName name="_vena_GraphsS1_GraphsB4_R_5_1038665867246698497_1">#REF!</definedName>
    <definedName name="_vena_GraphsS1_GraphsB4_R_5_1038665881490948096">#REF!</definedName>
    <definedName name="_vena_GraphsS1_GraphsB4_R_5_1038665893067227136">#REF!</definedName>
    <definedName name="_vena_GraphsS1_GraphsB4_R_5_1038665903544467457">#REF!</definedName>
    <definedName name="_vena_GraphsS1_GraphsB4_R_5_1038665915208695808">#REF!</definedName>
    <definedName name="_vena_GraphsS1_GraphsB4_R_5_1038665930807181312">#REF!</definedName>
    <definedName name="_vena_GraphsS1_GraphsB4_R_5_1038665941737799680">#REF!</definedName>
    <definedName name="_vena_GraphsS1_GraphsB4_R_5_1038665951095291904">#REF!</definedName>
    <definedName name="_vena_GraphsS1_GraphsB4_R_5_1038665962000613377">#REF!</definedName>
    <definedName name="_vena_GraphsS1_GraphsB4_R_5_1038665973882945537">#REF!</definedName>
    <definedName name="_vena_GraphsS1_GraphsB4_R_5_1038665983592759297">#REF!</definedName>
    <definedName name="_vena_GraphsS1_GraphsB4_R_5_1038666000105734145">#REF!</definedName>
    <definedName name="_vena_GraphsS1_GraphsB4_R_5_1038666014127161344">#REF!</definedName>
    <definedName name="_vena_GraphsS1_GraphsB4_R_5_1038666024671641601">#REF!</definedName>
    <definedName name="_vena_GraphsS1_GraphsB4_R_5_1038666038303391746">#REF!</definedName>
    <definedName name="_vena_GraphsS1_P_2_431662182272335873" comment="*">#REF!</definedName>
    <definedName name="_vena_GraphsS1_P_2_632005310785781764" comment="*">#REF!</definedName>
    <definedName name="_vena_GraphsS1_P_3_431662182406553601" comment="*">#REF!</definedName>
    <definedName name="_vena_GraphsS1_P_3_632005310022418436" comment="*">#REF!</definedName>
    <definedName name="_vena_GraphsS1_P_4_451234991058452480" comment="*">#REF!</definedName>
    <definedName name="_vena_GraphsS1_P_4_632005309959503878" comment="*">#REF!</definedName>
    <definedName name="_vena_GraphsS1_P_6_431662182054232065" comment="*">#REF!</definedName>
    <definedName name="_vena_GraphsS1_P_6_632005313063288832" comment="*">#REF!</definedName>
    <definedName name="_vena_GraphsS1_P_7_431662179290185729" comment="*">#REF!</definedName>
    <definedName name="_vena_GraphsS1_P_7_632005313256226820" comment="*">#REF!</definedName>
    <definedName name="_vena_GraphsS1_P_FV_56493ffece784c5db4cd0fd3b40a250d" comment="*">#REF!</definedName>
    <definedName name="_vena_GraphsS1_P_FV_9b0abd7578fb42018b1ba18b8b26d3ae" comment="*">#REF!</definedName>
    <definedName name="_vena_GraphsS2_GraphsB1_C_FV_a398e917565c475b8f0c5e9ebb5e002d">#REF!</definedName>
    <definedName name="_vena_GraphsS2_GraphsB1_C_FV_a398e917565c475b8f0c5e9ebb5e002d_1">#REF!</definedName>
    <definedName name="_vena_GraphsS2_GraphsB1_C_FV_a398e917565c475b8f0c5e9ebb5e002d_2">#REF!</definedName>
    <definedName name="_vena_GraphsS2_GraphsB1_C_FV_a398e917565c475b8f0c5e9ebb5e002d_3">#REF!</definedName>
    <definedName name="_vena_GraphsS2_GraphsB1_C_FV_a398e917565c475b8f0c5e9ebb5e002d_4">#REF!</definedName>
    <definedName name="_vena_GraphsS2_GraphsB1_C_FV_a398e917565c475b8f0c5e9ebb5e002d_5">#REF!</definedName>
    <definedName name="_vena_GraphsS2_GraphsB1_C_FV_a398e917565c475b8f0c5e9ebb5e002d_6">#REF!</definedName>
    <definedName name="_vena_GraphsS2_GraphsB1_C_FV_a398e917565c475b8f0c5e9ebb5e002d_7">#REF!</definedName>
    <definedName name="_vena_GraphsS2_GraphsB1_C_FV_e1c3a244dc3d4f149ecdf7d748811086">#REF!</definedName>
    <definedName name="_vena_GraphsS2_GraphsB1_C_FV_e1c3a244dc3d4f149ecdf7d748811086_1">#REF!</definedName>
    <definedName name="_vena_GraphsS2_GraphsB1_C_FV_e1c3a244dc3d4f149ecdf7d748811086_2">#REF!</definedName>
    <definedName name="_vena_GraphsS2_GraphsB1_C_FV_e1c3a244dc3d4f149ecdf7d748811086_3">#REF!</definedName>
    <definedName name="_vena_GraphsS2_GraphsB1_C_FV_e1c3a244dc3d4f149ecdf7d748811086_4">#REF!</definedName>
    <definedName name="_vena_GraphsS2_GraphsB1_C_FV_e1c3a244dc3d4f149ecdf7d748811086_5">#REF!</definedName>
    <definedName name="_vena_GraphsS2_GraphsB1_C_FV_e1c3a244dc3d4f149ecdf7d748811086_6">#REF!</definedName>
    <definedName name="_vena_GraphsS2_GraphsB1_C_FV_e1c3a244dc3d4f149ecdf7d748811086_7">#REF!</definedName>
    <definedName name="_vena_GraphsS2_GraphsB1_R_5_453691236339941376">#REF!</definedName>
    <definedName name="_vena_GraphsS2_GraphsB1_R_5_632005312237010948">#REF!</definedName>
    <definedName name="_vena_GraphsS2_P_2_431662182159089665" comment="*">#REF!</definedName>
    <definedName name="_vena_GraphsS2_P_2_632005310802558978" comment="*">#REF!</definedName>
    <definedName name="_vena_GraphsS2_P_6_431662179294380035" comment="*">#REF!</definedName>
    <definedName name="_vena_GraphsS2_P_6_632005313059094533" comment="*">#REF!</definedName>
    <definedName name="_vena_GraphsS2_P_7_431662176576471041" comment="*">#REF!</definedName>
    <definedName name="_vena_GraphsS2_P_7_632005313260421126" comment="*">#REF!</definedName>
    <definedName name="_vena_GraphsS2_P_8_467161758927421440" comment="*">#REF!</definedName>
    <definedName name="_vena_GraphsS2_P_8_632005313667268610" comment="*">#REF!</definedName>
    <definedName name="_vena_GraphsS2_P_FV_56493ffece784c5db4cd0fd3b40a250d" comment="*">#REF!</definedName>
    <definedName name="_vena_GraphsS3_GraphsB1_C_8_431662182280724481">#REF!</definedName>
    <definedName name="_vena_GraphsS3_GraphsB1_C_8_632005313629519872">#REF!</definedName>
    <definedName name="_vena_GraphsS3_GraphsB1_R_5_431662131944882177">#REF!</definedName>
    <definedName name="_vena_GraphsS3_GraphsB1_R_5_688576163291594752">#REF!</definedName>
    <definedName name="_vena_GraphsS3_GraphsB1_R_5_688576232678621184">#REF!</definedName>
    <definedName name="_vena_GraphsS3_GraphsB1_R_5_688576300244271104">#REF!</definedName>
    <definedName name="_vena_GraphsS3_GraphsB1_R_5_688576370583011748">#REF!</definedName>
    <definedName name="_vena_GraphsS3_GraphsB1_R_5_688576425360228684">#REF!</definedName>
    <definedName name="_vena_GraphsS3_GraphsB1_R_5_688576738414952448">#REF!</definedName>
    <definedName name="_vena_GraphsS3_GraphsB1_R_5_688576786469224854">#REF!</definedName>
    <definedName name="_vena_GraphsS3_GraphsB1_R_5_688576866361933824">#REF!</definedName>
    <definedName name="_vena_GraphsS3_GraphsB1_R_5_688576917272657920">#REF!</definedName>
    <definedName name="_vena_GraphsS3_GraphsB1_R_5_688576963691020288">#REF!</definedName>
    <definedName name="_vena_GraphsS3_GraphsB1_R_5_688577020859122163">#REF!</definedName>
    <definedName name="_vena_GraphsS3_GraphsB1_R_5_688577085216522240">#REF!</definedName>
    <definedName name="_vena_GraphsS3_GraphsB1_R_5_688649748823932928">#REF!</definedName>
    <definedName name="_vena_GraphsS3_GraphsB1_R_5_688649809280892928">#REF!</definedName>
    <definedName name="_vena_GraphsS3_GraphsB1_R_5_688649866826743808">#REF!</definedName>
    <definedName name="_vena_GraphsS3_GraphsB1_R_5_688649953304641536">#REF!</definedName>
    <definedName name="_vena_GraphsS3_GraphsB1_R_5_688649997134987264">#REF!</definedName>
    <definedName name="_vena_GraphsS3_GraphsB1_R_5_688651476332052480">#REF!</definedName>
    <definedName name="_vena_GraphsS3_GraphsB1_R_5_688651520238026752">#REF!</definedName>
    <definedName name="_vena_GraphsS3_GraphsB1_R_5_688654327355539456">#REF!</definedName>
    <definedName name="_vena_GraphsS3_GraphsB1_R_5_688654369424146432">#REF!</definedName>
    <definedName name="_vena_GraphsS3_P_3_431662182406553601" comment="*">#REF!</definedName>
    <definedName name="_vena_GraphsS3_P_3_632005310022418436" comment="*">#REF!</definedName>
    <definedName name="_vena_GraphsS3_P_6_431662182054232065" comment="*">#REF!</definedName>
    <definedName name="_vena_GraphsS3_P_6_632005313063288832" comment="*">#REF!</definedName>
    <definedName name="_vena_GraphsS3_P_7_431662179290185729" comment="*">#REF!</definedName>
    <definedName name="_vena_GraphsS3_P_7_632005313256226820" comment="*">#REF!</definedName>
    <definedName name="_vena_GraphsS3_P_FV_56493ffece784c5db4cd0fd3b40a250d" comment="*">#REF!</definedName>
    <definedName name="_vena_GraphsS3_P_FV_e1c3a244dc3d4f149ecdf7d748811086" comment="*">#REF!</definedName>
    <definedName name="_vena_GraphsS3_P_FV_e3545e3dcc52420a84dcdae3a23a4597" comment="*">#REF!</definedName>
    <definedName name="_vena_LI_Blank1cb199c8">#REF!</definedName>
    <definedName name="_vena_LI_Blank1d3576d2">#REF!</definedName>
    <definedName name="_vena_LI_Blank1da9b13c">#REF!</definedName>
    <definedName name="_vena_LI_Blank2ad343c">#REF!</definedName>
    <definedName name="_vena_LI_Blank2c027afd">#REF!</definedName>
    <definedName name="_vena_LI_Blank36a42abb">#REF!</definedName>
    <definedName name="_vena_LI_Blank36cd3931">#REF!</definedName>
    <definedName name="_vena_LI_Blank3c9d992a">#REF!</definedName>
    <definedName name="_vena_LI_Blank47556649">#REF!</definedName>
    <definedName name="_vena_LI_Blank47dca06d">#REF!</definedName>
    <definedName name="_vena_LI_Blank4a6cf0f0">#REF!</definedName>
    <definedName name="_vena_LI_Blank4c94991c">#REF!</definedName>
    <definedName name="_vena_LI_Blank4cf3a506">#REF!</definedName>
    <definedName name="_vena_LI_Blank4e10d1a2">#REF!</definedName>
    <definedName name="_vena_LI_Blank4f20987c">#REF!</definedName>
    <definedName name="_vena_LI_Blank53b75e9c">#REF!</definedName>
    <definedName name="_vena_LI_Blank55ef2d3">#REF!</definedName>
    <definedName name="_vena_LI_Blank5cc34bd1">#REF!</definedName>
    <definedName name="_vena_LI_Blank5dd6bb3f">#REF!</definedName>
    <definedName name="_vena_LI_Blank5f16a9a8">#REF!</definedName>
    <definedName name="_vena_LI_Blank63f6f845">#REF!</definedName>
    <definedName name="_vena_LI_Blank65bf0cd0">#REF!</definedName>
    <definedName name="_vena_LI_Blank683321a">#REF!</definedName>
    <definedName name="_vena_LI_Blank6c9b80b0">#REF!</definedName>
    <definedName name="_vena_LI_Blank6f4a86a6">#REF!</definedName>
    <definedName name="_vena_LI_Blank74f60530">#REF!</definedName>
    <definedName name="_vena_LI_Blank77d6abe0">#REF!</definedName>
    <definedName name="_vena_LI_Blank784e2eab">#REF!</definedName>
    <definedName name="_vena_LI_Blank79984188">#REF!</definedName>
    <definedName name="_vena_LI_Blank7a300e18">#REF!</definedName>
    <definedName name="_vena_LI_Blank7d5a2bed">#REF!</definedName>
    <definedName name="_vena_LI_Blank7f4ea775">#REF!</definedName>
    <definedName name="_vena_LI_Blank80f7cbbe">#REF!</definedName>
    <definedName name="_vena_LI_Blank8a97ce33">#REF!</definedName>
    <definedName name="_vena_LI_Blank8b779f18">#REF!</definedName>
    <definedName name="_vena_LI_Blank8ec78d15">#REF!</definedName>
    <definedName name="_vena_LI_Blank908867ae">#REF!</definedName>
    <definedName name="_vena_LI_Blank91e42c05">#REF!</definedName>
    <definedName name="_vena_LI_Blank91fd518d">#REF!</definedName>
    <definedName name="_vena_LI_Blank938c55f2">#REF!</definedName>
    <definedName name="_vena_LI_Blank95c3f711">#REF!</definedName>
    <definedName name="_vena_LI_Blank961c2f67">#REF!</definedName>
    <definedName name="_vena_LI_Blank9884950a">#REF!</definedName>
    <definedName name="_vena_LI_Blank9b947612">#REF!</definedName>
    <definedName name="_vena_LI_Blank9c58829a">#REF!</definedName>
    <definedName name="_vena_LI_Blanka1954496">#REF!</definedName>
    <definedName name="_vena_LI_Blanka4c40ce1">#REF!</definedName>
    <definedName name="_vena_LI_Blanka5fd101c">#REF!</definedName>
    <definedName name="_vena_LI_Blanka77534f7">#REF!</definedName>
    <definedName name="_vena_LI_Blanka7a8eeef">#REF!</definedName>
    <definedName name="_vena_LI_Blankad628d7e">#REF!</definedName>
    <definedName name="_vena_LI_Blankb776f10d">#REF!</definedName>
    <definedName name="_vena_LI_Blankbc03ea50">#REF!</definedName>
    <definedName name="_vena_LI_Blankbd4d40ce">#REF!</definedName>
    <definedName name="_vena_LI_Blankbea312f3">#REF!</definedName>
    <definedName name="_vena_LI_Blankbf9cca37">#REF!</definedName>
    <definedName name="_vena_LI_Blankc18ef528">#REF!</definedName>
    <definedName name="_vena_LI_Blankc414e51c">#REF!</definedName>
    <definedName name="_vena_LI_Blankc6ef57a3">#REF!</definedName>
    <definedName name="_vena_LI_Blankc89caf01">#REF!</definedName>
    <definedName name="_vena_LI_Blankcdf8d574">#REF!</definedName>
    <definedName name="_vena_LI_Blankce8cd21b">#REF!</definedName>
    <definedName name="_vena_LI_Blankd23bb77e">#REF!</definedName>
    <definedName name="_vena_LI_Blankd6183268">#REF!</definedName>
    <definedName name="_vena_LI_Blankdb9c7c60">#REF!</definedName>
    <definedName name="_vena_LI_Blankdea6614c">#REF!</definedName>
    <definedName name="_vena_LI_Blanke2a6d67e">#REF!</definedName>
    <definedName name="_vena_LI_Blanke35d3fd">#REF!</definedName>
    <definedName name="_vena_LI_Blanke444a9e2">#REF!</definedName>
    <definedName name="_vena_LI_Blankec8890e">#REF!</definedName>
    <definedName name="_vena_LI_Blankecd44037">#REF!</definedName>
    <definedName name="_vena_LI_Blankeddd8b0c">#REF!</definedName>
    <definedName name="_vena_LI_Blankee336bca">#REF!</definedName>
    <definedName name="_vena_LI_Blankef0f1ae0">#REF!</definedName>
    <definedName name="_vena_LI_Blankf9f42f6">#REF!</definedName>
    <definedName name="_vena_LI_Blankfaa0d437">#REF!</definedName>
    <definedName name="_vena_LI_SCapExS1_BCapExB1_c414e51c">#REF!</definedName>
    <definedName name="_vena_LI_SCapExS1_BCapExB1_c414e51c_1">#REF!</definedName>
    <definedName name="_vena_LI_SCapExS1_BCapExB1_c414e51c_10">#REF!</definedName>
    <definedName name="_vena_LI_SCapExS1_BCapExB1_c414e51c_11">#REF!</definedName>
    <definedName name="_vena_LI_SCapExS1_BCapExB1_c414e51c_12">#REF!</definedName>
    <definedName name="_vena_LI_SCapExS1_BCapExB1_c414e51c_13">#REF!</definedName>
    <definedName name="_vena_LI_SCapExS1_BCapExB1_c414e51c_14">#REF!</definedName>
    <definedName name="_vena_LI_SCapExS1_BCapExB1_c414e51c_15">#REF!</definedName>
    <definedName name="_vena_LI_SCapExS1_BCapExB1_c414e51c_16">#REF!</definedName>
    <definedName name="_vena_LI_SCapExS1_BCapExB1_c414e51c_17">#REF!</definedName>
    <definedName name="_vena_LI_SCapExS1_BCapExB1_c414e51c_18">#REF!</definedName>
    <definedName name="_vena_LI_SCapExS1_BCapExB1_c414e51c_19">#REF!</definedName>
    <definedName name="_vena_LI_SCapExS1_BCapExB1_c414e51c_2">#REF!</definedName>
    <definedName name="_vena_LI_SCapExS1_BCapExB1_c414e51c_20">#REF!</definedName>
    <definedName name="_vena_LI_SCapExS1_BCapExB1_c414e51c_3">#REF!</definedName>
    <definedName name="_vena_LI_SCapExS1_BCapExB1_c414e51c_4">#REF!</definedName>
    <definedName name="_vena_LI_SCapExS1_BCapExB1_c414e51c_5">#REF!</definedName>
    <definedName name="_vena_LI_SCapExS1_BCapExB1_c414e51c_6">#REF!</definedName>
    <definedName name="_vena_LI_SCapExS1_BCapExB1_c414e51c_7">#REF!</definedName>
    <definedName name="_vena_LI_SCapExS1_BCapExB1_c414e51c_8">#REF!</definedName>
    <definedName name="_vena_LI_SCapExS1_BCapExB1_c414e51c_9">#REF!</definedName>
    <definedName name="_vena_LI_SCapExS1_BCapExB2_eac30d85">#REF!</definedName>
    <definedName name="_vena_LI_SCapExS2_BCapExB2_ad628d7e">#REF!</definedName>
    <definedName name="_vena_LI_SCapExS2_BCapExB2_ad628d7e_1">#REF!</definedName>
    <definedName name="_vena_LI_SCapExS2_BCapExB2_ad628d7e_10">#REF!</definedName>
    <definedName name="_vena_LI_SCapExS2_BCapExB2_ad628d7e_11">#REF!</definedName>
    <definedName name="_vena_LI_SCapExS2_BCapExB2_ad628d7e_12">#REF!</definedName>
    <definedName name="_vena_LI_SCapExS2_BCapExB2_ad628d7e_13">#REF!</definedName>
    <definedName name="_vena_LI_SCapExS2_BCapExB2_ad628d7e_14">#REF!</definedName>
    <definedName name="_vena_LI_SCapExS2_BCapExB2_ad628d7e_15">#REF!</definedName>
    <definedName name="_vena_LI_SCapExS2_BCapExB2_ad628d7e_16">#REF!</definedName>
    <definedName name="_vena_LI_SCapExS2_BCapExB2_ad628d7e_17">#REF!</definedName>
    <definedName name="_vena_LI_SCapExS2_BCapExB2_ad628d7e_18">#REF!</definedName>
    <definedName name="_vena_LI_SCapExS2_BCapExB2_ad628d7e_19">#REF!</definedName>
    <definedName name="_vena_LI_SCapExS2_BCapExB2_ad628d7e_2">#REF!</definedName>
    <definedName name="_vena_LI_SCapExS2_BCapExB2_ad628d7e_20">#REF!</definedName>
    <definedName name="_vena_LI_SCapExS2_BCapExB2_ad628d7e_3">#REF!</definedName>
    <definedName name="_vena_LI_SCapExS2_BCapExB2_ad628d7e_4">#REF!</definedName>
    <definedName name="_vena_LI_SCapExS2_BCapExB2_ad628d7e_5">#REF!</definedName>
    <definedName name="_vena_LI_SCapExS2_BCapExB2_ad628d7e_6">#REF!</definedName>
    <definedName name="_vena_LI_SCapExS2_BCapExB2_ad628d7e_7">#REF!</definedName>
    <definedName name="_vena_LI_SCapExS2_BCapExB2_ad628d7e_8">#REF!</definedName>
    <definedName name="_vena_LI_SCapExS2_BCapExB2_ad628d7e_9">#REF!</definedName>
    <definedName name="_vena_LI_SDetailS1_BDetailB1_109da112">#REF!</definedName>
    <definedName name="_vena_LI_SDetailS1_BDetailB1_10b6f2cd">#REF!</definedName>
    <definedName name="_vena_LI_SDetailS1_BDetailB1_10d0c478">#REF!</definedName>
    <definedName name="_vena_LI_SDetailS1_BDetailB1_1167fa4d">#REF!</definedName>
    <definedName name="_vena_LI_SDetailS1_BDetailB1_11d34a66">#REF!</definedName>
    <definedName name="_vena_LI_SDetailS1_BDetailB1_1219fdc0">#REF!</definedName>
    <definedName name="_vena_LI_SDetailS1_BDetailB1_12247a37">#REF!</definedName>
    <definedName name="_vena_LI_SDetailS1_BDetailB1_12d970b7">#REF!</definedName>
    <definedName name="_vena_LI_SDetailS1_BDetailB1_13208877">#REF!</definedName>
    <definedName name="_vena_LI_SDetailS1_BDetailB1_1431bc5">#REF!</definedName>
    <definedName name="_vena_LI_SDetailS1_BDetailB1_14d969d8">#REF!</definedName>
    <definedName name="_vena_LI_SDetailS1_BDetailB1_14dbef47">#REF!</definedName>
    <definedName name="_vena_LI_SDetailS1_BDetailB1_151af88f">#REF!</definedName>
    <definedName name="_vena_LI_SDetailS1_BDetailB1_15eb8264">#REF!</definedName>
    <definedName name="_vena_LI_SDetailS1_BDetailB1_1640d1ed">#REF!</definedName>
    <definedName name="_vena_LI_SDetailS1_BDetailB1_167aad76">#REF!</definedName>
    <definedName name="_vena_LI_SDetailS1_BDetailB1_16948bdc">#REF!</definedName>
    <definedName name="_vena_LI_SDetailS1_BDetailB1_17558e4f">#REF!</definedName>
    <definedName name="_vena_LI_SDetailS1_BDetailB1_17b929b8">#REF!</definedName>
    <definedName name="_vena_LI_SDetailS1_BDetailB1_17fba96d">#REF!</definedName>
    <definedName name="_vena_LI_SDetailS1_BDetailB1_183df0da">#REF!</definedName>
    <definedName name="_vena_LI_SDetailS1_BDetailB1_192a253a">#REF!</definedName>
    <definedName name="_vena_LI_SDetailS1_BDetailB1_1938264c">#REF!</definedName>
    <definedName name="_vena_LI_SDetailS1_BDetailB1_1abbee07">#REF!</definedName>
    <definedName name="_vena_LI_SDetailS1_BDetailB1_1c27ceeb">#REF!</definedName>
    <definedName name="_vena_LI_SDetailS1_BDetailB1_1c3d2159">#REF!</definedName>
    <definedName name="_vena_LI_SDetailS1_BDetailB1_1cfd5b68">#REF!</definedName>
    <definedName name="_vena_LI_SDetailS1_BDetailB1_1d2d272e">#REF!</definedName>
    <definedName name="_vena_LI_SDetailS1_BDetailB1_1d3a7c0e">#REF!</definedName>
    <definedName name="_vena_LI_SDetailS1_BDetailB1_1dab81a7">#REF!</definedName>
    <definedName name="_vena_LI_SDetailS1_BDetailB1_1ded8c46">#REF!</definedName>
    <definedName name="_vena_LI_SDetailS1_BDetailB1_1e566092">#REF!</definedName>
    <definedName name="_vena_LI_SDetailS1_BDetailB1_1ff284de">#REF!</definedName>
    <definedName name="_vena_LI_SDetailS1_BDetailB1_2146c54f">#REF!</definedName>
    <definedName name="_vena_LI_SDetailS1_BDetailB1_21601350">#REF!</definedName>
    <definedName name="_vena_LI_SDetailS1_BDetailB1_21a8691">#REF!</definedName>
    <definedName name="_vena_LI_SDetailS1_BDetailB1_23e69ebe">#REF!</definedName>
    <definedName name="_vena_LI_SDetailS1_BDetailB1_23fbbc84">#REF!</definedName>
    <definedName name="_vena_LI_SDetailS1_BDetailB1_2408e715">#REF!</definedName>
    <definedName name="_vena_LI_SDetailS1_BDetailB1_2477d3da">#REF!</definedName>
    <definedName name="_vena_LI_SDetailS1_BDetailB1_24ed9db2">#REF!</definedName>
    <definedName name="_vena_LI_SDetailS1_BDetailB1_261e4303">#REF!</definedName>
    <definedName name="_vena_LI_SDetailS1_BDetailB1_27074be1">#REF!</definedName>
    <definedName name="_vena_LI_SDetailS1_BDetailB1_27c04bd5">#REF!</definedName>
    <definedName name="_vena_LI_SDetailS1_BDetailB1_286956c6">#REF!</definedName>
    <definedName name="_vena_LI_SDetailS1_BDetailB1_2892c359">#REF!</definedName>
    <definedName name="_vena_LI_SDetailS1_BDetailB1_29f469fb">#REF!</definedName>
    <definedName name="_vena_LI_SDetailS1_BDetailB1_29f90162">#REF!</definedName>
    <definedName name="_vena_LI_SDetailS1_BDetailB1_2b041770">#REF!</definedName>
    <definedName name="_vena_LI_SDetailS1_BDetailB1_2cc4c094">#REF!</definedName>
    <definedName name="_vena_LI_SDetailS1_BDetailB1_2cf51ca0">#REF!</definedName>
    <definedName name="_vena_LI_SDetailS1_BDetailB1_2dbdfe4">#REF!</definedName>
    <definedName name="_vena_LI_SDetailS1_BDetailB1_2e57589">#REF!</definedName>
    <definedName name="_vena_LI_SDetailS1_BDetailB1_2e84f4f6">#REF!</definedName>
    <definedName name="_vena_LI_SDetailS1_BDetailB1_2e8db4c5">#REF!</definedName>
    <definedName name="_vena_LI_SDetailS1_BDetailB1_2f545f5d">#REF!</definedName>
    <definedName name="_vena_LI_SDetailS1_BDetailB1_2f7a8193">#REF!</definedName>
    <definedName name="_vena_LI_SDetailS1_BDetailB1_302fe69e">#REF!</definedName>
    <definedName name="_vena_LI_SDetailS1_BDetailB1_30b9c8a4">#REF!</definedName>
    <definedName name="_vena_LI_SDetailS1_BDetailB1_30e9edb0">#REF!</definedName>
    <definedName name="_vena_LI_SDetailS1_BDetailB1_3271bc58">#REF!</definedName>
    <definedName name="_vena_LI_SDetailS1_BDetailB1_32cd96a5">#REF!</definedName>
    <definedName name="_vena_LI_SDetailS1_BDetailB1_32f22f5e">#REF!</definedName>
    <definedName name="_vena_LI_SDetailS1_BDetailB1_33278ae">#REF!</definedName>
    <definedName name="_vena_LI_SDetailS1_BDetailB1_33381849">#REF!</definedName>
    <definedName name="_vena_LI_SDetailS1_BDetailB1_3364f708">#REF!</definedName>
    <definedName name="_vena_LI_SDetailS1_BDetailB1_339945a3">#REF!</definedName>
    <definedName name="_vena_LI_SDetailS1_BDetailB1_339ce3cf">#REF!</definedName>
    <definedName name="_vena_LI_SDetailS1_BDetailB1_34181a3">#REF!</definedName>
    <definedName name="_vena_LI_SDetailS1_BDetailB1_341bd30e">#REF!</definedName>
    <definedName name="_vena_LI_SDetailS1_BDetailB1_3452af2b">#REF!</definedName>
    <definedName name="_vena_LI_SDetailS1_BDetailB1_35e76863">#REF!</definedName>
    <definedName name="_vena_LI_SDetailS1_BDetailB1_35ebadac">#REF!</definedName>
    <definedName name="_vena_LI_SDetailS1_BDetailB1_364449">#REF!</definedName>
    <definedName name="_vena_LI_SDetailS1_BDetailB1_36cd3931">#REF!</definedName>
    <definedName name="_vena_LI_SDetailS1_BDetailB1_36cd3931_1">#REF!</definedName>
    <definedName name="_vena_LI_SDetailS1_BDetailB1_36cd3931_2">#REF!</definedName>
    <definedName name="_vena_LI_SDetailS1_BDetailB1_36cd3931_3">#REF!</definedName>
    <definedName name="_vena_LI_SDetailS1_BDetailB1_36d182c8">#REF!</definedName>
    <definedName name="_vena_LI_SDetailS1_BDetailB1_36e213f5">#REF!</definedName>
    <definedName name="_vena_LI_SDetailS1_BDetailB1_370bfb65">#REF!</definedName>
    <definedName name="_vena_LI_SDetailS1_BDetailB1_3764cf89">#REF!</definedName>
    <definedName name="_vena_LI_SDetailS1_BDetailB1_3930e275">#REF!</definedName>
    <definedName name="_vena_LI_SDetailS1_BDetailB1_3969094c">#REF!</definedName>
    <definedName name="_vena_LI_SDetailS1_BDetailB1_3987a21b">#REF!</definedName>
    <definedName name="_vena_LI_SDetailS1_BDetailB1_3a9fe92c">#REF!</definedName>
    <definedName name="_vena_LI_SDetailS1_BDetailB1_3c44d948">#REF!</definedName>
    <definedName name="_vena_LI_SDetailS1_BDetailB1_3c9d992a">#REF!</definedName>
    <definedName name="_vena_LI_SDetailS1_BDetailB1_3c9d992a_1">#REF!</definedName>
    <definedName name="_vena_LI_SDetailS1_BDetailB1_3c9d992a_2">#REF!</definedName>
    <definedName name="_vena_LI_SDetailS1_BDetailB1_3d06294c">#REF!</definedName>
    <definedName name="_vena_LI_SDetailS1_BDetailB1_3d223427">#REF!</definedName>
    <definedName name="_vena_LI_SDetailS1_BDetailB1_3fa4047">#REF!</definedName>
    <definedName name="_vena_LI_SDetailS1_BDetailB1_3fc3d0a1">#REF!</definedName>
    <definedName name="_vena_LI_SDetailS1_BDetailB1_3fca3c11">#REF!</definedName>
    <definedName name="_vena_LI_SDetailS1_BDetailB1_4066cbce">#REF!</definedName>
    <definedName name="_vena_LI_SDetailS1_BDetailB1_40c92a63">#REF!</definedName>
    <definedName name="_vena_LI_SDetailS1_BDetailB1_40d4b505">#REF!</definedName>
    <definedName name="_vena_LI_SDetailS1_BDetailB1_410f2677">#REF!</definedName>
    <definedName name="_vena_LI_SDetailS1_BDetailB1_42d712b2">#REF!</definedName>
    <definedName name="_vena_LI_SDetailS1_BDetailB1_431f81a0">#REF!</definedName>
    <definedName name="_vena_LI_SDetailS1_BDetailB1_434ad36b">#REF!</definedName>
    <definedName name="_vena_LI_SDetailS1_BDetailB1_43e09ece">#REF!</definedName>
    <definedName name="_vena_LI_SDetailS1_BDetailB1_441fd88">#REF!</definedName>
    <definedName name="_vena_LI_SDetailS1_BDetailB1_446c6847">#REF!</definedName>
    <definedName name="_vena_LI_SDetailS1_BDetailB1_4517b121">#REF!</definedName>
    <definedName name="_vena_LI_SDetailS1_BDetailB1_45193da0">#REF!</definedName>
    <definedName name="_vena_LI_SDetailS1_BDetailB1_454a0973">#REF!</definedName>
    <definedName name="_vena_LI_SDetailS1_BDetailB1_4559f959">#REF!</definedName>
    <definedName name="_vena_LI_SDetailS1_BDetailB1_4560b0c3">#REF!</definedName>
    <definedName name="_vena_LI_SDetailS1_BDetailB1_45a760db">#REF!</definedName>
    <definedName name="_vena_LI_SDetailS1_BDetailB1_45c40a34">#REF!</definedName>
    <definedName name="_vena_LI_SDetailS1_BDetailB1_45f47b93">#REF!</definedName>
    <definedName name="_vena_LI_SDetailS1_BDetailB1_466653b3">#REF!</definedName>
    <definedName name="_vena_LI_SDetailS1_BDetailB1_47556649">#REF!</definedName>
    <definedName name="_vena_LI_SDetailS1_BDetailB1_47556649_1">#REF!</definedName>
    <definedName name="_vena_LI_SDetailS1_BDetailB1_47556649_2">#REF!</definedName>
    <definedName name="_vena_LI_SDetailS1_BDetailB1_47556649_3">#REF!</definedName>
    <definedName name="_vena_LI_SDetailS1_BDetailB1_49cfbe75">#REF!</definedName>
    <definedName name="_vena_LI_SDetailS1_BDetailB1_4a2cb6ff">#REF!</definedName>
    <definedName name="_vena_LI_SDetailS1_BDetailB1_4adb6e31">#REF!</definedName>
    <definedName name="_vena_LI_SDetailS1_BDetailB1_4af7a46f">#REF!</definedName>
    <definedName name="_vena_LI_SDetailS1_BDetailB1_4b84fe4c">#REF!</definedName>
    <definedName name="_vena_LI_SDetailS1_BDetailB1_4bf56693">#REF!</definedName>
    <definedName name="_vena_LI_SDetailS1_BDetailB1_4c48d477">#REF!</definedName>
    <definedName name="_vena_LI_SDetailS1_BDetailB1_4cb27965">#REF!</definedName>
    <definedName name="_vena_LI_SDetailS1_BDetailB1_4cf3a506">#REF!</definedName>
    <definedName name="_vena_LI_SDetailS1_BDetailB1_4cf3a506_1">#REF!</definedName>
    <definedName name="_vena_LI_SDetailS1_BDetailB1_4cf3a506_2">#REF!</definedName>
    <definedName name="_vena_LI_SDetailS1_BDetailB1_4cf48d26">#REF!</definedName>
    <definedName name="_vena_LI_SDetailS1_BDetailB1_4e10d1a2">#REF!</definedName>
    <definedName name="_vena_LI_SDetailS1_BDetailB1_4e10d1a2_1">#REF!</definedName>
    <definedName name="_vena_LI_SDetailS1_BDetailB1_4e10d1a2_2">#REF!</definedName>
    <definedName name="_vena_LI_SDetailS1_BDetailB1_4e77f844">#REF!</definedName>
    <definedName name="_vena_LI_SDetailS1_BDetailB1_4e818a09">#REF!</definedName>
    <definedName name="_vena_LI_SDetailS1_BDetailB1_4e8558bd">#REF!</definedName>
    <definedName name="_vena_LI_SDetailS1_BDetailB1_4ef6030b">#REF!</definedName>
    <definedName name="_vena_LI_SDetailS1_BDetailB1_4f140066">#REF!</definedName>
    <definedName name="_vena_LI_SDetailS1_BDetailB1_4f20987c">#REF!</definedName>
    <definedName name="_vena_LI_SDetailS1_BDetailB1_4f20987c_1">#REF!</definedName>
    <definedName name="_vena_LI_SDetailS1_BDetailB1_4f20987c_2">#REF!</definedName>
    <definedName name="_vena_LI_SDetailS1_BDetailB1_4fc124c1">#REF!</definedName>
    <definedName name="_vena_LI_SDetailS1_BDetailB1_508864e3">#REF!</definedName>
    <definedName name="_vena_LI_SDetailS1_BDetailB1_50c2b16c">#REF!</definedName>
    <definedName name="_vena_LI_SDetailS1_BDetailB1_5112e5bf">#REF!</definedName>
    <definedName name="_vena_LI_SDetailS1_BDetailB1_512a556c">#REF!</definedName>
    <definedName name="_vena_LI_SDetailS1_BDetailB1_5132d20f">#REF!</definedName>
    <definedName name="_vena_LI_SDetailS1_BDetailB1_5257efb2">#REF!</definedName>
    <definedName name="_vena_LI_SDetailS1_BDetailB1_5273adc4">#REF!</definedName>
    <definedName name="_vena_LI_SDetailS1_BDetailB1_531bbd91">#REF!</definedName>
    <definedName name="_vena_LI_SDetailS1_BDetailB1_537f5d11">#REF!</definedName>
    <definedName name="_vena_LI_SDetailS1_BDetailB1_53b75e9c">#REF!</definedName>
    <definedName name="_vena_LI_SDetailS1_BDetailB1_53b75e9c_1">#REF!</definedName>
    <definedName name="_vena_LI_SDetailS1_BDetailB1_53b75e9c_2">#REF!</definedName>
    <definedName name="_vena_LI_SDetailS1_BDetailB1_53b75e9c_3">#REF!</definedName>
    <definedName name="_vena_LI_SDetailS1_BDetailB1_54085eba">#REF!</definedName>
    <definedName name="_vena_LI_SDetailS1_BDetailB1_540c1b5a">#REF!</definedName>
    <definedName name="_vena_LI_SDetailS1_BDetailB1_5567ac72">#REF!</definedName>
    <definedName name="_vena_LI_SDetailS1_BDetailB1_55879268">#REF!</definedName>
    <definedName name="_vena_LI_SDetailS1_BDetailB1_55ef2d3">#REF!</definedName>
    <definedName name="_vena_LI_SDetailS1_BDetailB1_55ef2d3_1">#REF!</definedName>
    <definedName name="_vena_LI_SDetailS1_BDetailB1_5636409c">#REF!</definedName>
    <definedName name="_vena_LI_SDetailS1_BDetailB1_563e3524">#REF!</definedName>
    <definedName name="_vena_LI_SDetailS1_BDetailB1_569a468b">#REF!</definedName>
    <definedName name="_vena_LI_SDetailS1_BDetailB1_56d5611">#REF!</definedName>
    <definedName name="_vena_LI_SDetailS1_BDetailB1_56f49c41">#REF!</definedName>
    <definedName name="_vena_LI_SDetailS1_BDetailB1_572beb30">#REF!</definedName>
    <definedName name="_vena_LI_SDetailS1_BDetailB1_573ae550">#REF!</definedName>
    <definedName name="_vena_LI_SDetailS1_BDetailB1_584c4003">#REF!</definedName>
    <definedName name="_vena_LI_SDetailS1_BDetailB1_58a511bc">#REF!</definedName>
    <definedName name="_vena_LI_SDetailS1_BDetailB1_5949f5d1">#REF!</definedName>
    <definedName name="_vena_LI_SDetailS1_BDetailB1_5a9e5884">#REF!</definedName>
    <definedName name="_vena_LI_SDetailS1_BDetailB1_5b46748a">#REF!</definedName>
    <definedName name="_vena_LI_SDetailS1_BDetailB1_5ba62fef">#REF!</definedName>
    <definedName name="_vena_LI_SDetailS1_BDetailB1_5bfd6fda">#REF!</definedName>
    <definedName name="_vena_LI_SDetailS1_BDetailB1_5c49c53c">#REF!</definedName>
    <definedName name="_vena_LI_SDetailS1_BDetailB1_5cb929db">#REF!</definedName>
    <definedName name="_vena_LI_SDetailS1_BDetailB1_5cc34bd1">#REF!</definedName>
    <definedName name="_vena_LI_SDetailS1_BDetailB1_5cc34bd1_1">#REF!</definedName>
    <definedName name="_vena_LI_SDetailS1_BDetailB1_5cc34bd1_2">#REF!</definedName>
    <definedName name="_vena_LI_SDetailS1_BDetailB1_5cc34bd1_3">#REF!</definedName>
    <definedName name="_vena_LI_SDetailS1_BDetailB1_5d4837cc">#REF!</definedName>
    <definedName name="_vena_LI_SDetailS1_BDetailB1_5d84b57f">#REF!</definedName>
    <definedName name="_vena_LI_SDetailS1_BDetailB1_5d9f33ea">#REF!</definedName>
    <definedName name="_vena_LI_SDetailS1_BDetailB1_5dddf7ae">#REF!</definedName>
    <definedName name="_vena_LI_SDetailS1_BDetailB1_5ddf69bd">#REF!</definedName>
    <definedName name="_vena_LI_SDetailS1_BDetailB1_5e55a28b">#REF!</definedName>
    <definedName name="_vena_LI_SDetailS1_BDetailB1_5f8db7e0">#REF!</definedName>
    <definedName name="_vena_LI_SDetailS1_BDetailB1_5f96c28d">#REF!</definedName>
    <definedName name="_vena_LI_SDetailS1_BDetailB1_60b82b9d">#REF!</definedName>
    <definedName name="_vena_LI_SDetailS1_BDetailB1_6235dc4b">#REF!</definedName>
    <definedName name="_vena_LI_SDetailS1_BDetailB1_62d5b476">#REF!</definedName>
    <definedName name="_vena_LI_SDetailS1_BDetailB1_6332f69a">#REF!</definedName>
    <definedName name="_vena_LI_SDetailS1_BDetailB1_63f6f845">#REF!</definedName>
    <definedName name="_vena_LI_SDetailS1_BDetailB1_63f6f845_1">#REF!</definedName>
    <definedName name="_vena_LI_SDetailS1_BDetailB1_63f6f845_2">#REF!</definedName>
    <definedName name="_vena_LI_SDetailS1_BDetailB1_63f6f845_3">#REF!</definedName>
    <definedName name="_vena_LI_SDetailS1_BDetailB1_63f6f845_4">#REF!</definedName>
    <definedName name="_vena_LI_SDetailS1_BDetailB1_64835fcd">#REF!</definedName>
    <definedName name="_vena_LI_SDetailS1_BDetailB1_648d0047">#REF!</definedName>
    <definedName name="_vena_LI_SDetailS1_BDetailB1_649413d3">#REF!</definedName>
    <definedName name="_vena_LI_SDetailS1_BDetailB1_64f40fb0">#REF!</definedName>
    <definedName name="_vena_LI_SDetailS1_BDetailB1_6520dc4e">#REF!</definedName>
    <definedName name="_vena_LI_SDetailS1_BDetailB1_65fe053">#REF!</definedName>
    <definedName name="_vena_LI_SDetailS1_BDetailB1_664271a8">#REF!</definedName>
    <definedName name="_vena_LI_SDetailS1_BDetailB1_666f9270">#REF!</definedName>
    <definedName name="_vena_LI_SDetailS1_BDetailB1_66c7b370">#REF!</definedName>
    <definedName name="_vena_LI_SDetailS1_BDetailB1_677030e6">#REF!</definedName>
    <definedName name="_vena_LI_SDetailS1_BDetailB1_67982b25">#REF!</definedName>
    <definedName name="_vena_LI_SDetailS1_BDetailB1_68ead955">#REF!</definedName>
    <definedName name="_vena_LI_SDetailS1_BDetailB1_6ab87380">#REF!</definedName>
    <definedName name="_vena_LI_SDetailS1_BDetailB1_6b5886b5">#REF!</definedName>
    <definedName name="_vena_LI_SDetailS1_BDetailB1_6b870c9d">#REF!</definedName>
    <definedName name="_vena_LI_SDetailS1_BDetailB1_6c8b8f5">#REF!</definedName>
    <definedName name="_vena_LI_SDetailS1_BDetailB1_6c9b80b0">#REF!</definedName>
    <definedName name="_vena_LI_SDetailS1_BDetailB1_6c9b80b0_1">#REF!</definedName>
    <definedName name="_vena_LI_SDetailS1_BDetailB1_6c9b80b0_2">#REF!</definedName>
    <definedName name="_vena_LI_SDetailS1_BDetailB1_6c9b80b0_3">#REF!</definedName>
    <definedName name="_vena_LI_SDetailS1_BDetailB1_6cba9d9a">#REF!</definedName>
    <definedName name="_vena_LI_SDetailS1_BDetailB1_6d004bab">#REF!</definedName>
    <definedName name="_vena_LI_SDetailS1_BDetailB1_6d48c2af">#REF!</definedName>
    <definedName name="_vena_LI_SDetailS1_BDetailB1_6e82ec38">#REF!</definedName>
    <definedName name="_vena_LI_SDetailS1_BDetailB1_6ef1075c">#REF!</definedName>
    <definedName name="_vena_LI_SDetailS1_BDetailB1_705f82f4">#REF!</definedName>
    <definedName name="_vena_LI_SDetailS1_BDetailB1_70a0cbd4">#REF!</definedName>
    <definedName name="_vena_LI_SDetailS1_BDetailB1_70ff64d2">#REF!</definedName>
    <definedName name="_vena_LI_SDetailS1_BDetailB1_710a6374">#REF!</definedName>
    <definedName name="_vena_LI_SDetailS1_BDetailB1_71366a9d">#REF!</definedName>
    <definedName name="_vena_LI_SDetailS1_BDetailB1_738c5a09">#REF!</definedName>
    <definedName name="_vena_LI_SDetailS1_BDetailB1_7545acf1">#REF!</definedName>
    <definedName name="_vena_LI_SDetailS1_BDetailB1_75972489">#REF!</definedName>
    <definedName name="_vena_LI_SDetailS1_BDetailB1_75c56126">#REF!</definedName>
    <definedName name="_vena_LI_SDetailS1_BDetailB1_77445e75">#REF!</definedName>
    <definedName name="_vena_LI_SDetailS1_BDetailB1_77d6abe0">#REF!</definedName>
    <definedName name="_vena_LI_SDetailS1_BDetailB1_77d6abe0_1">#REF!</definedName>
    <definedName name="_vena_LI_SDetailS1_BDetailB1_77ec488b">#REF!</definedName>
    <definedName name="_vena_LI_SDetailS1_BDetailB1_77ffe02a">#REF!</definedName>
    <definedName name="_vena_LI_SDetailS1_BDetailB1_7802b801">#REF!</definedName>
    <definedName name="_vena_LI_SDetailS1_BDetailB1_7855b72">#REF!</definedName>
    <definedName name="_vena_LI_SDetailS1_BDetailB1_78afab27">#REF!</definedName>
    <definedName name="_vena_LI_SDetailS1_BDetailB1_78dc1bb5">#REF!</definedName>
    <definedName name="_vena_LI_SDetailS1_BDetailB1_7908f685">#REF!</definedName>
    <definedName name="_vena_LI_SDetailS1_BDetailB1_799e9fe1">#REF!</definedName>
    <definedName name="_vena_LI_SDetailS1_BDetailB1_79bf86a0">#REF!</definedName>
    <definedName name="_vena_LI_SDetailS1_BDetailB1_7a01fb60">#REF!</definedName>
    <definedName name="_vena_LI_SDetailS1_BDetailB1_7a28a1cf">#REF!</definedName>
    <definedName name="_vena_LI_SDetailS1_BDetailB1_7a3d5952">#REF!</definedName>
    <definedName name="_vena_LI_SDetailS1_BDetailB1_7a695197">#REF!</definedName>
    <definedName name="_vena_LI_SDetailS1_BDetailB1_7aef5e1">#REF!</definedName>
    <definedName name="_vena_LI_SDetailS1_BDetailB1_7b1a128">#REF!</definedName>
    <definedName name="_vena_LI_SDetailS1_BDetailB1_7b87e926">#REF!</definedName>
    <definedName name="_vena_LI_SDetailS1_BDetailB1_7cd29b83">#REF!</definedName>
    <definedName name="_vena_LI_SDetailS1_BDetailB1_7d5a2bed">#REF!</definedName>
    <definedName name="_vena_LI_SDetailS1_BDetailB1_7d5a2bed_1">#REF!</definedName>
    <definedName name="_vena_LI_SDetailS1_BDetailB1_7d5a2bed_2">#REF!</definedName>
    <definedName name="_vena_LI_SDetailS1_BDetailB1_7d5a2bed_3">#REF!</definedName>
    <definedName name="_vena_LI_SDetailS1_BDetailB1_7d5a2bed_4">#REF!</definedName>
    <definedName name="_vena_LI_SDetailS1_BDetailB1_7d5a2bed_5">#REF!</definedName>
    <definedName name="_vena_LI_SDetailS1_BDetailB1_7d5a2bed_6">#REF!</definedName>
    <definedName name="_vena_LI_SDetailS1_BDetailB1_7dc838d2">#REF!</definedName>
    <definedName name="_vena_LI_SDetailS1_BDetailB1_7e4e2fcf">#REF!</definedName>
    <definedName name="_vena_LI_SDetailS1_BDetailB1_7f01220b">#REF!</definedName>
    <definedName name="_vena_LI_SDetailS1_BDetailB1_7f4ea775">#REF!</definedName>
    <definedName name="_vena_LI_SDetailS1_BDetailB1_7f4ea775_1">#REF!</definedName>
    <definedName name="_vena_LI_SDetailS1_BDetailB1_7f4ea775_2">#REF!</definedName>
    <definedName name="_vena_LI_SDetailS1_BDetailB1_7f7b2f9d">#REF!</definedName>
    <definedName name="_vena_LI_SDetailS1_BDetailB1_7fadaa06">#REF!</definedName>
    <definedName name="_vena_LI_SDetailS1_BDetailB1_7ffa4b56">#REF!</definedName>
    <definedName name="_vena_LI_SDetailS1_BDetailB1_8019d1e5">#REF!</definedName>
    <definedName name="_vena_LI_SDetailS1_BDetailB1_805fcc7a">#REF!</definedName>
    <definedName name="_vena_LI_SDetailS1_BDetailB1_808666fe">#REF!</definedName>
    <definedName name="_vena_LI_SDetailS1_BDetailB1_80af33f5">#REF!</definedName>
    <definedName name="_vena_LI_SDetailS1_BDetailB1_80e90397">#REF!</definedName>
    <definedName name="_vena_LI_SDetailS1_BDetailB1_81c31742">#REF!</definedName>
    <definedName name="_vena_LI_SDetailS1_BDetailB1_81d5b8fd">#REF!</definedName>
    <definedName name="_vena_LI_SDetailS1_BDetailB1_8440be63">#REF!</definedName>
    <definedName name="_vena_LI_SDetailS1_BDetailB1_844fb466">#REF!</definedName>
    <definedName name="_vena_LI_SDetailS1_BDetailB1_84a7a9ea">#REF!</definedName>
    <definedName name="_vena_LI_SDetailS1_BDetailB1_85127d01">#REF!</definedName>
    <definedName name="_vena_LI_SDetailS1_BDetailB1_8573ee05">#REF!</definedName>
    <definedName name="_vena_LI_SDetailS1_BDetailB1_8589ec4d">#REF!</definedName>
    <definedName name="_vena_LI_SDetailS1_BDetailB1_86dbf3c0">#REF!</definedName>
    <definedName name="_vena_LI_SDetailS1_BDetailB1_86f81a96">#REF!</definedName>
    <definedName name="_vena_LI_SDetailS1_BDetailB1_87525d69">#REF!</definedName>
    <definedName name="_vena_LI_SDetailS1_BDetailB1_87c82798">#REF!</definedName>
    <definedName name="_vena_LI_SDetailS1_BDetailB1_887dad64">#REF!</definedName>
    <definedName name="_vena_LI_SDetailS1_BDetailB1_8880e17a">#REF!</definedName>
    <definedName name="_vena_LI_SDetailS1_BDetailB1_8942361c">#REF!</definedName>
    <definedName name="_vena_LI_SDetailS1_BDetailB1_89bf0dde">#REF!</definedName>
    <definedName name="_vena_LI_SDetailS1_BDetailB1_89d40a02">#REF!</definedName>
    <definedName name="_vena_LI_SDetailS1_BDetailB1_8a31ae08">#REF!</definedName>
    <definedName name="_vena_LI_SDetailS1_BDetailB1_8a461b4d">#REF!</definedName>
    <definedName name="_vena_LI_SDetailS1_BDetailB1_8a97ce33">#REF!</definedName>
    <definedName name="_vena_LI_SDetailS1_BDetailB1_8a97ce33_1">#REF!</definedName>
    <definedName name="_vena_LI_SDetailS1_BDetailB1_8a97ce33_2">#REF!</definedName>
    <definedName name="_vena_LI_SDetailS1_BDetailB1_8a97ce33_3">#REF!</definedName>
    <definedName name="_vena_LI_SDetailS1_BDetailB1_8a97ce33_4">#REF!</definedName>
    <definedName name="_vena_LI_SDetailS1_BDetailB1_8affa784">#REF!</definedName>
    <definedName name="_vena_LI_SDetailS1_BDetailB1_8b3e4626">#REF!</definedName>
    <definedName name="_vena_LI_SDetailS1_BDetailB1_8b779f18">#REF!</definedName>
    <definedName name="_vena_LI_SDetailS1_BDetailB1_8b779f18_1">#REF!</definedName>
    <definedName name="_vena_LI_SDetailS1_BDetailB1_8b779f18_2">#REF!</definedName>
    <definedName name="_vena_LI_SDetailS1_BDetailB1_8cae04a5">#REF!</definedName>
    <definedName name="_vena_LI_SDetailS1_BDetailB1_8d9efdb2">#REF!</definedName>
    <definedName name="_vena_LI_SDetailS1_BDetailB1_8db545d8">#REF!</definedName>
    <definedName name="_vena_LI_SDetailS1_BDetailB1_8de436f4">#REF!</definedName>
    <definedName name="_vena_LI_SDetailS1_BDetailB1_900b4d9">#REF!</definedName>
    <definedName name="_vena_LI_SDetailS1_BDetailB1_908867ae">#REF!</definedName>
    <definedName name="_vena_LI_SDetailS1_BDetailB1_908867ae_1">#REF!</definedName>
    <definedName name="_vena_LI_SDetailS1_BDetailB1_908867ae_10">#REF!</definedName>
    <definedName name="_vena_LI_SDetailS1_BDetailB1_908867ae_11">#REF!</definedName>
    <definedName name="_vena_LI_SDetailS1_BDetailB1_908867ae_12">#REF!</definedName>
    <definedName name="_vena_LI_SDetailS1_BDetailB1_908867ae_13">#REF!</definedName>
    <definedName name="_vena_LI_SDetailS1_BDetailB1_908867ae_2">#REF!</definedName>
    <definedName name="_vena_LI_SDetailS1_BDetailB1_908867ae_3">#REF!</definedName>
    <definedName name="_vena_LI_SDetailS1_BDetailB1_908867ae_4">#REF!</definedName>
    <definedName name="_vena_LI_SDetailS1_BDetailB1_908867ae_5">#REF!</definedName>
    <definedName name="_vena_LI_SDetailS1_BDetailB1_908867ae_6">#REF!</definedName>
    <definedName name="_vena_LI_SDetailS1_BDetailB1_908867ae_7">#REF!</definedName>
    <definedName name="_vena_LI_SDetailS1_BDetailB1_908867ae_8">#REF!</definedName>
    <definedName name="_vena_LI_SDetailS1_BDetailB1_908867ae_9">#REF!</definedName>
    <definedName name="_vena_LI_SDetailS1_BDetailB1_91b9b62f">#REF!</definedName>
    <definedName name="_vena_LI_SDetailS1_BDetailB1_927763d2">#REF!</definedName>
    <definedName name="_vena_LI_SDetailS1_BDetailB1_9282467">#REF!</definedName>
    <definedName name="_vena_LI_SDetailS1_BDetailB1_93344036">#REF!</definedName>
    <definedName name="_vena_LI_SDetailS1_BDetailB1_9347fadb">#REF!</definedName>
    <definedName name="_vena_LI_SDetailS1_BDetailB1_93c3e161">#REF!</definedName>
    <definedName name="_vena_LI_SDetailS1_BDetailB1_93eafe40">#REF!</definedName>
    <definedName name="_vena_LI_SDetailS1_BDetailB1_94c2370b">#REF!</definedName>
    <definedName name="_vena_LI_SDetailS1_BDetailB1_950aa539">#REF!</definedName>
    <definedName name="_vena_LI_SDetailS1_BDetailB1_95563959">#REF!</definedName>
    <definedName name="_vena_LI_SDetailS1_BDetailB1_9568b5a">#REF!</definedName>
    <definedName name="_vena_LI_SDetailS1_BDetailB1_95d12ca7">#REF!</definedName>
    <definedName name="_vena_LI_SDetailS1_BDetailB1_9624825e">#REF!</definedName>
    <definedName name="_vena_LI_SDetailS1_BDetailB1_96736134">#REF!</definedName>
    <definedName name="_vena_LI_SDetailS1_BDetailB1_9687cf31">#REF!</definedName>
    <definedName name="_vena_LI_SDetailS1_BDetailB1_96ac5127">#REF!</definedName>
    <definedName name="_vena_LI_SDetailS1_BDetailB1_97f32236">#REF!</definedName>
    <definedName name="_vena_LI_SDetailS1_BDetailB1_981295b6">#REF!</definedName>
    <definedName name="_vena_LI_SDetailS1_BDetailB1_985d65e9">#REF!</definedName>
    <definedName name="_vena_LI_SDetailS1_BDetailB1_98c7b711">#REF!</definedName>
    <definedName name="_vena_LI_SDetailS1_BDetailB1_98f49cd0">#REF!</definedName>
    <definedName name="_vena_LI_SDetailS1_BDetailB1_9c2d470d">#REF!</definedName>
    <definedName name="_vena_LI_SDetailS1_BDetailB1_9c58829a">#REF!</definedName>
    <definedName name="_vena_LI_SDetailS1_BDetailB1_9c58829a_1">#REF!</definedName>
    <definedName name="_vena_LI_SDetailS1_BDetailB1_9c58829a_2">#REF!</definedName>
    <definedName name="_vena_LI_SDetailS1_BDetailB1_9c58829a_3">#REF!</definedName>
    <definedName name="_vena_LI_SDetailS1_BDetailB1_9c58829a_4">#REF!</definedName>
    <definedName name="_vena_LI_SDetailS1_BDetailB1_9c58829a_5">#REF!</definedName>
    <definedName name="_vena_LI_SDetailS1_BDetailB1_9c598ea8">#REF!</definedName>
    <definedName name="_vena_LI_SDetailS1_BDetailB1_9cd71538">#REF!</definedName>
    <definedName name="_vena_LI_SDetailS1_BDetailB1_9d7f3922">#REF!</definedName>
    <definedName name="_vena_LI_SDetailS1_BDetailB1_9d8aabe2">#REF!</definedName>
    <definedName name="_vena_LI_SDetailS1_BDetailB1_9db035d9">#REF!</definedName>
    <definedName name="_vena_LI_SDetailS1_BDetailB1_9ecfa679">#REF!</definedName>
    <definedName name="_vena_LI_SDetailS1_BDetailB1_a0efba07">#REF!</definedName>
    <definedName name="_vena_LI_SDetailS1_BDetailB1_a1954496">#REF!</definedName>
    <definedName name="_vena_LI_SDetailS1_BDetailB1_a1954496_1">#REF!</definedName>
    <definedName name="_vena_LI_SDetailS1_BDetailB1_a1954496_2">#REF!</definedName>
    <definedName name="_vena_LI_SDetailS1_BDetailB1_a1954496_3">#REF!</definedName>
    <definedName name="_vena_LI_SDetailS1_BDetailB1_a1954496_4">#REF!</definedName>
    <definedName name="_vena_LI_SDetailS1_BDetailB1_a1954496_5">#REF!</definedName>
    <definedName name="_vena_LI_SDetailS1_BDetailB1_a25b463a">#REF!</definedName>
    <definedName name="_vena_LI_SDetailS1_BDetailB1_a361b77b">#REF!</definedName>
    <definedName name="_vena_LI_SDetailS1_BDetailB1_a3d91ca5">#REF!</definedName>
    <definedName name="_vena_LI_SDetailS1_BDetailB1_a4c40ce1">#REF!</definedName>
    <definedName name="_vena_LI_SDetailS1_BDetailB1_a4c40ce1_1">#REF!</definedName>
    <definedName name="_vena_LI_SDetailS1_BDetailB1_a4c40ce1_2">#REF!</definedName>
    <definedName name="_vena_LI_SDetailS1_BDetailB1_a4c40ce1_3">#REF!</definedName>
    <definedName name="_vena_LI_SDetailS1_BDetailB1_a59de4b0">#REF!</definedName>
    <definedName name="_vena_LI_SDetailS1_BDetailB1_a5ebfaeb">#REF!</definedName>
    <definedName name="_vena_LI_SDetailS1_BDetailB1_a62ef17f">#REF!</definedName>
    <definedName name="_vena_LI_SDetailS1_BDetailB1_a656b347">#REF!</definedName>
    <definedName name="_vena_LI_SDetailS1_BDetailB1_a714d873">#REF!</definedName>
    <definedName name="_vena_LI_SDetailS1_BDetailB1_a7a8eeef">#REF!</definedName>
    <definedName name="_vena_LI_SDetailS1_BDetailB1_a7a8eeef_1">#REF!</definedName>
    <definedName name="_vena_LI_SDetailS1_BDetailB1_a7b77221">#REF!</definedName>
    <definedName name="_vena_LI_SDetailS1_BDetailB1_a88c52e4">#REF!</definedName>
    <definedName name="_vena_LI_SDetailS1_BDetailB1_a8982ce6">#REF!</definedName>
    <definedName name="_vena_LI_SDetailS1_BDetailB1_a8b3340">#REF!</definedName>
    <definedName name="_vena_LI_SDetailS1_BDetailB1_a8f00f70">#REF!</definedName>
    <definedName name="_vena_LI_SDetailS1_BDetailB1_aac76844">#REF!</definedName>
    <definedName name="_vena_LI_SDetailS1_BDetailB1_aaf01857">#REF!</definedName>
    <definedName name="_vena_LI_SDetailS1_BDetailB1_ab018433">#REF!</definedName>
    <definedName name="_vena_LI_SDetailS1_BDetailB1_ab90f785">#REF!</definedName>
    <definedName name="_vena_LI_SDetailS1_BDetailB1_abd54440">#REF!</definedName>
    <definedName name="_vena_LI_SDetailS1_BDetailB1_ac0a80c">#REF!</definedName>
    <definedName name="_vena_LI_SDetailS1_BDetailB1_ac9d3949">#REF!</definedName>
    <definedName name="_vena_LI_SDetailS1_BDetailB1_adfd24ab">#REF!</definedName>
    <definedName name="_vena_LI_SDetailS1_BDetailB1_aeb5d8ef">#REF!</definedName>
    <definedName name="_vena_LI_SDetailS1_BDetailB1_aeec0842">#REF!</definedName>
    <definedName name="_vena_LI_SDetailS1_BDetailB1_af1a2ad5">#REF!</definedName>
    <definedName name="_vena_LI_SDetailS1_BDetailB1_af6c756f">#REF!</definedName>
    <definedName name="_vena_LI_SDetailS1_BDetailB1_afeccdf8">#REF!</definedName>
    <definedName name="_vena_LI_SDetailS1_BDetailB1_b012409c">#REF!</definedName>
    <definedName name="_vena_LI_SDetailS1_BDetailB1_b0c3325a">#REF!</definedName>
    <definedName name="_vena_LI_SDetailS1_BDetailB1_b0cbc7df">#REF!</definedName>
    <definedName name="_vena_LI_SDetailS1_BDetailB1_b12f1c6f">#REF!</definedName>
    <definedName name="_vena_LI_SDetailS1_BDetailB1_b16d7dc7">#REF!</definedName>
    <definedName name="_vena_LI_SDetailS1_BDetailB1_b19111a7">#REF!</definedName>
    <definedName name="_vena_LI_SDetailS1_BDetailB1_b2348bd2">#REF!</definedName>
    <definedName name="_vena_LI_SDetailS1_BDetailB1_b272ced7">#REF!</definedName>
    <definedName name="_vena_LI_SDetailS1_BDetailB1_b27e7100">#REF!</definedName>
    <definedName name="_vena_LI_SDetailS1_BDetailB1_b281f248">#REF!</definedName>
    <definedName name="_vena_LI_SDetailS1_BDetailB1_b2cd9282">#REF!</definedName>
    <definedName name="_vena_LI_SDetailS1_BDetailB1_b312ae7c">#REF!</definedName>
    <definedName name="_vena_LI_SDetailS1_BDetailB1_b4cd2bdf">#REF!</definedName>
    <definedName name="_vena_LI_SDetailS1_BDetailB1_b4f3565d">#REF!</definedName>
    <definedName name="_vena_LI_SDetailS1_BDetailB1_b76189d7">#REF!</definedName>
    <definedName name="_vena_LI_SDetailS1_BDetailB1_b776f10d">#REF!</definedName>
    <definedName name="_vena_LI_SDetailS1_BDetailB1_b776f10d_1">#REF!</definedName>
    <definedName name="_vena_LI_SDetailS1_BDetailB1_b776f10d_2">#REF!</definedName>
    <definedName name="_vena_LI_SDetailS1_BDetailB1_b776f10d_3">#REF!</definedName>
    <definedName name="_vena_LI_SDetailS1_BDetailB1_b776f10d_4">#REF!</definedName>
    <definedName name="_vena_LI_SDetailS1_BDetailB1_b8970d34">#REF!</definedName>
    <definedName name="_vena_LI_SDetailS1_BDetailB1_b92489f7">#REF!</definedName>
    <definedName name="_vena_LI_SDetailS1_BDetailB1_ba5d0a58">#REF!</definedName>
    <definedName name="_vena_LI_SDetailS1_BDetailB1_bb61ee6b">#REF!</definedName>
    <definedName name="_vena_LI_SDetailS1_BDetailB1_bc03ea50">#REF!</definedName>
    <definedName name="_vena_LI_SDetailS1_BDetailB1_bc03ea50_1">#REF!</definedName>
    <definedName name="_vena_LI_SDetailS1_BDetailB1_bc03ea50_2">#REF!</definedName>
    <definedName name="_vena_LI_SDetailS1_BDetailB1_bc825f01">#REF!</definedName>
    <definedName name="_vena_LI_SDetailS1_BDetailB1_bd078d65">#REF!</definedName>
    <definedName name="_vena_LI_SDetailS1_BDetailB1_bd4d40ce">#REF!</definedName>
    <definedName name="_vena_LI_SDetailS1_BDetailB1_bd4d40ce_1">#REF!</definedName>
    <definedName name="_vena_LI_SDetailS1_BDetailB1_bd4d40ce_2">#REF!</definedName>
    <definedName name="_vena_LI_SDetailS1_BDetailB1_bd7133f">#REF!</definedName>
    <definedName name="_vena_LI_SDetailS1_BDetailB1_bd8e1089">#REF!</definedName>
    <definedName name="_vena_LI_SDetailS1_BDetailB1_bdbd2e9c">#REF!</definedName>
    <definedName name="_vena_LI_SDetailS1_BDetailB1_be705f65">#REF!</definedName>
    <definedName name="_vena_LI_SDetailS1_BDetailB1_bea312f3">#REF!</definedName>
    <definedName name="_vena_LI_SDetailS1_BDetailB1_bea312f3_1">#REF!</definedName>
    <definedName name="_vena_LI_SDetailS1_BDetailB1_c0d79c51">#REF!</definedName>
    <definedName name="_vena_LI_SDetailS1_BDetailB1_c1778ef">#REF!</definedName>
    <definedName name="_vena_LI_SDetailS1_BDetailB1_c18ef528">#REF!</definedName>
    <definedName name="_vena_LI_SDetailS1_BDetailB1_c18ef528_1">#REF!</definedName>
    <definedName name="_vena_LI_SDetailS1_BDetailB1_c18ef528_2">#REF!</definedName>
    <definedName name="_vena_LI_SDetailS1_BDetailB1_c18ef528_3">#REF!</definedName>
    <definedName name="_vena_LI_SDetailS1_BDetailB1_c18ef528_4">#REF!</definedName>
    <definedName name="_vena_LI_SDetailS1_BDetailB1_c18ef528_5">#REF!</definedName>
    <definedName name="_vena_LI_SDetailS1_BDetailB1_c18ef528_6">#REF!</definedName>
    <definedName name="_vena_LI_SDetailS1_BDetailB1_c227d4ea">#REF!</definedName>
    <definedName name="_vena_LI_SDetailS1_BDetailB1_c23355f">#REF!</definedName>
    <definedName name="_vena_LI_SDetailS1_BDetailB1_c24105ac">#REF!</definedName>
    <definedName name="_vena_LI_SDetailS1_BDetailB1_c305b462">#REF!</definedName>
    <definedName name="_vena_LI_SDetailS1_BDetailB1_c34c019e">#REF!</definedName>
    <definedName name="_vena_LI_SDetailS1_BDetailB1_c414f007">#REF!</definedName>
    <definedName name="_vena_LI_SDetailS1_BDetailB1_c45ac012">#REF!</definedName>
    <definedName name="_vena_LI_SDetailS1_BDetailB1_c5392b25">#REF!</definedName>
    <definedName name="_vena_LI_SDetailS1_BDetailB1_c55780c8">#REF!</definedName>
    <definedName name="_vena_LI_SDetailS1_BDetailB1_c6a46d88">#REF!</definedName>
    <definedName name="_vena_LI_SDetailS1_BDetailB1_c79a731">#REF!</definedName>
    <definedName name="_vena_LI_SDetailS1_BDetailB1_c7a5a44">#REF!</definedName>
    <definedName name="_vena_LI_SDetailS1_BDetailB1_c80ce5f0">#REF!</definedName>
    <definedName name="_vena_LI_SDetailS1_BDetailB1_c80ddae">#REF!</definedName>
    <definedName name="_vena_LI_SDetailS1_BDetailB1_c81c6ec3">#REF!</definedName>
    <definedName name="_vena_LI_SDetailS1_BDetailB1_c877f8fb">#REF!</definedName>
    <definedName name="_vena_LI_SDetailS1_BDetailB1_c89caf01">#REF!</definedName>
    <definedName name="_vena_LI_SDetailS1_BDetailB1_c89caf01_1">#REF!</definedName>
    <definedName name="_vena_LI_SDetailS1_BDetailB1_c89caf01_2">#REF!</definedName>
    <definedName name="_vena_LI_SDetailS1_BDetailB1_c8b49117">#REF!</definedName>
    <definedName name="_vena_LI_SDetailS1_BDetailB1_c909bde">#REF!</definedName>
    <definedName name="_vena_LI_SDetailS1_BDetailB1_ca35b175">#REF!</definedName>
    <definedName name="_vena_LI_SDetailS1_BDetailB1_cbb5487a">#REF!</definedName>
    <definedName name="_vena_LI_SDetailS1_BDetailB1_cc92cae7">#REF!</definedName>
    <definedName name="_vena_LI_SDetailS1_BDetailB1_cce76076">#REF!</definedName>
    <definedName name="_vena_LI_SDetailS1_BDetailB1_cd2958ef">#REF!</definedName>
    <definedName name="_vena_LI_SDetailS1_BDetailB1_cd3df6d5">#REF!</definedName>
    <definedName name="_vena_LI_SDetailS1_BDetailB1_cdafd0bc">#REF!</definedName>
    <definedName name="_vena_LI_SDetailS1_BDetailB1_cdf8d574">#REF!</definedName>
    <definedName name="_vena_LI_SDetailS1_BDetailB1_cdf8d574_1">#REF!</definedName>
    <definedName name="_vena_LI_SDetailS1_BDetailB1_ce3a7236">#REF!</definedName>
    <definedName name="_vena_LI_SDetailS1_BDetailB1_cecf166a">#REF!</definedName>
    <definedName name="_vena_LI_SDetailS1_BDetailB1_cef5e81f">#REF!</definedName>
    <definedName name="_vena_LI_SDetailS1_BDetailB1_cf1bd466">#REF!</definedName>
    <definedName name="_vena_LI_SDetailS1_BDetailB1_cfb077c1">#REF!</definedName>
    <definedName name="_vena_LI_SDetailS1_BDetailB1_d23b5120">#REF!</definedName>
    <definedName name="_vena_LI_SDetailS1_BDetailB1_d2ec4f50">#REF!</definedName>
    <definedName name="_vena_LI_SDetailS1_BDetailB1_d350093f">#REF!</definedName>
    <definedName name="_vena_LI_SDetailS1_BDetailB1_d3b8030e">#REF!</definedName>
    <definedName name="_vena_LI_SDetailS1_BDetailB1_d45eff3">#REF!</definedName>
    <definedName name="_vena_LI_SDetailS1_BDetailB1_d4648eb2">#REF!</definedName>
    <definedName name="_vena_LI_SDetailS1_BDetailB1_d46d0d95">#REF!</definedName>
    <definedName name="_vena_LI_SDetailS1_BDetailB1_d489779a">#REF!</definedName>
    <definedName name="_vena_LI_SDetailS1_BDetailB1_d48e01e7">#REF!</definedName>
    <definedName name="_vena_LI_SDetailS1_BDetailB1_d521cd4e">#REF!</definedName>
    <definedName name="_vena_LI_SDetailS1_BDetailB1_d6085bd9">#REF!</definedName>
    <definedName name="_vena_LI_SDetailS1_BDetailB1_d60facb8">#REF!</definedName>
    <definedName name="_vena_LI_SDetailS1_BDetailB1_d6fb97f0">#REF!</definedName>
    <definedName name="_vena_LI_SDetailS1_BDetailB1_d87381b3">#REF!</definedName>
    <definedName name="_vena_LI_SDetailS1_BDetailB1_d8a2e2d1">#REF!</definedName>
    <definedName name="_vena_LI_SDetailS1_BDetailB1_d9194ffa">#REF!</definedName>
    <definedName name="_vena_LI_SDetailS1_BDetailB1_d92ab321">#REF!</definedName>
    <definedName name="_vena_LI_SDetailS1_BDetailB1_d99ea028">#REF!</definedName>
    <definedName name="_vena_LI_SDetailS1_BDetailB1_d9ba8a0">#REF!</definedName>
    <definedName name="_vena_LI_SDetailS1_BDetailB1_d9cfbb73">#REF!</definedName>
    <definedName name="_vena_LI_SDetailS1_BDetailB1_daa62acb">#REF!</definedName>
    <definedName name="_vena_LI_SDetailS1_BDetailB1_dac30ee6">#REF!</definedName>
    <definedName name="_vena_LI_SDetailS1_BDetailB1_db0e1360">#REF!</definedName>
    <definedName name="_vena_LI_SDetailS1_BDetailB1_db29e728">#REF!</definedName>
    <definedName name="_vena_LI_SDetailS1_BDetailB1_db9c7c60">#REF!</definedName>
    <definedName name="_vena_LI_SDetailS1_BDetailB1_db9c7c60_1">#REF!</definedName>
    <definedName name="_vena_LI_SDetailS1_BDetailB1_db9c7c60_2">#REF!</definedName>
    <definedName name="_vena_LI_SDetailS1_BDetailB1_db9e9d55">#REF!</definedName>
    <definedName name="_vena_LI_SDetailS1_BDetailB1_dbe0aa8b">#REF!</definedName>
    <definedName name="_vena_LI_SDetailS1_BDetailB1_dc044be8">#REF!</definedName>
    <definedName name="_vena_LI_SDetailS1_BDetailB1_de66e12e">#REF!</definedName>
    <definedName name="_vena_LI_SDetailS1_BDetailB1_dea6614c">#REF!</definedName>
    <definedName name="_vena_LI_SDetailS1_BDetailB1_dea6614c_1">#REF!</definedName>
    <definedName name="_vena_LI_SDetailS1_BDetailB1_dea6614c_2">#REF!</definedName>
    <definedName name="_vena_LI_SDetailS1_BDetailB1_dea6614c_3">#REF!</definedName>
    <definedName name="_vena_LI_SDetailS1_BDetailB1_decb268c">#REF!</definedName>
    <definedName name="_vena_LI_SDetailS1_BDetailB1_dece2194">#REF!</definedName>
    <definedName name="_vena_LI_SDetailS1_BDetailB1_df2a5184">#REF!</definedName>
    <definedName name="_vena_LI_SDetailS1_BDetailB1_df5b4979">#REF!</definedName>
    <definedName name="_vena_LI_SDetailS1_BDetailB1_df7b961a">#REF!</definedName>
    <definedName name="_vena_LI_SDetailS1_BDetailB1_dfd7a19a">#REF!</definedName>
    <definedName name="_vena_LI_SDetailS1_BDetailB1_dffa86aa">#REF!</definedName>
    <definedName name="_vena_LI_SDetailS1_BDetailB1_e06bcc2a">#REF!</definedName>
    <definedName name="_vena_LI_SDetailS1_BDetailB1_e0c6de45">#REF!</definedName>
    <definedName name="_vena_LI_SDetailS1_BDetailB1_e0cd287b">#REF!</definedName>
    <definedName name="_vena_LI_SDetailS1_BDetailB1_e0efd0ac">#REF!</definedName>
    <definedName name="_vena_LI_SDetailS1_BDetailB1_e183d962">#REF!</definedName>
    <definedName name="_vena_LI_SDetailS1_BDetailB1_e1ffe940">#REF!</definedName>
    <definedName name="_vena_LI_SDetailS1_BDetailB1_e2a6d67e">#REF!</definedName>
    <definedName name="_vena_LI_SDetailS1_BDetailB1_e2a6d67e_1">#REF!</definedName>
    <definedName name="_vena_LI_SDetailS1_BDetailB1_e2a6d67e_2">#REF!</definedName>
    <definedName name="_vena_LI_SDetailS1_BDetailB1_e3f914c7">#REF!</definedName>
    <definedName name="_vena_LI_SDetailS1_BDetailB1_e413b312">#REF!</definedName>
    <definedName name="_vena_LI_SDetailS1_BDetailB1_e4525ed2">#REF!</definedName>
    <definedName name="_vena_LI_SDetailS1_BDetailB1_e52c3e0b">#REF!</definedName>
    <definedName name="_vena_LI_SDetailS1_BDetailB1_e61be163">#REF!</definedName>
    <definedName name="_vena_LI_SDetailS1_BDetailB1_e69dfa3">#REF!</definedName>
    <definedName name="_vena_LI_SDetailS1_BDetailB1_e7fdd9bb">#REF!</definedName>
    <definedName name="_vena_LI_SDetailS1_BDetailB1_e8f89f67">#REF!</definedName>
    <definedName name="_vena_LI_SDetailS1_BDetailB1_e93a51ed">#REF!</definedName>
    <definedName name="_vena_LI_SDetailS1_BDetailB1_ea856aa2">#REF!</definedName>
    <definedName name="_vena_LI_SDetailS1_BDetailB1_eba9c701">#REF!</definedName>
    <definedName name="_vena_LI_SDetailS1_BDetailB1_ec8890e">#REF!</definedName>
    <definedName name="_vena_LI_SDetailS1_BDetailB1_ec8890e_1">#REF!</definedName>
    <definedName name="_vena_LI_SDetailS1_BDetailB1_ec8890e_2">#REF!</definedName>
    <definedName name="_vena_LI_SDetailS1_BDetailB1_ec8890e_3">#REF!</definedName>
    <definedName name="_vena_LI_SDetailS1_BDetailB1_ec8890e_4">#REF!</definedName>
    <definedName name="_vena_LI_SDetailS1_BDetailB1_ec8890e_5">#REF!</definedName>
    <definedName name="_vena_LI_SDetailS1_BDetailB1_ec8890e_6">#REF!</definedName>
    <definedName name="_vena_LI_SDetailS1_BDetailB1_ec8890e_7">#REF!</definedName>
    <definedName name="_vena_LI_SDetailS1_BDetailB1_ece66347">#REF!</definedName>
    <definedName name="_vena_LI_SDetailS1_BDetailB1_edc66bb9">#REF!</definedName>
    <definedName name="_vena_LI_SDetailS1_BDetailB1_eddd8b0c">#REF!</definedName>
    <definedName name="_vena_LI_SDetailS1_BDetailB1_eddd8b0c_1">#REF!</definedName>
    <definedName name="_vena_LI_SDetailS1_BDetailB1_eea65e37">#REF!</definedName>
    <definedName name="_vena_LI_SDetailS1_BDetailB1_ef5f0ac">#REF!</definedName>
    <definedName name="_vena_LI_SDetailS1_BDetailB1_f05b0326">#REF!</definedName>
    <definedName name="_vena_LI_SDetailS1_BDetailB1_f3c90ba7">#REF!</definedName>
    <definedName name="_vena_LI_SDetailS1_BDetailB1_f40ac3e9">#REF!</definedName>
    <definedName name="_vena_LI_SDetailS1_BDetailB1_f4c40393">#REF!</definedName>
    <definedName name="_vena_LI_SDetailS1_BDetailB1_f6715cbf">#REF!</definedName>
    <definedName name="_vena_LI_SDetailS1_BDetailB1_f67baee1">#REF!</definedName>
    <definedName name="_vena_LI_SDetailS1_BDetailB1_f6f8e2d1">#REF!</definedName>
    <definedName name="_vena_LI_SDetailS1_BDetailB1_f737582e">#REF!</definedName>
    <definedName name="_vena_LI_SDetailS1_BDetailB1_f754dd93">#REF!</definedName>
    <definedName name="_vena_LI_SDetailS1_BDetailB1_f78d40f">#REF!</definedName>
    <definedName name="_vena_LI_SDetailS1_BDetailB1_f8bc9653">#REF!</definedName>
    <definedName name="_vena_LI_SDetailS1_BDetailB1_f8f42abf">#REF!</definedName>
    <definedName name="_vena_LI_SDetailS1_BDetailB1_f9ead131">#REF!</definedName>
    <definedName name="_vena_LI_SDetailS1_BDetailB1_f9f42f6">#REF!</definedName>
    <definedName name="_vena_LI_SDetailS1_BDetailB1_f9f42f6_1">#REF!</definedName>
    <definedName name="_vena_LI_SDetailS1_BDetailB1_f9f42f6_2">#REF!</definedName>
    <definedName name="_vena_LI_SDetailS1_BDetailB1_fa0bff06">#REF!</definedName>
    <definedName name="_vena_LI_SDetailS1_BDetailB1_faa0d437">#REF!</definedName>
    <definedName name="_vena_LI_SDetailS1_BDetailB1_faa0d437_1">#REF!</definedName>
    <definedName name="_vena_LI_SDetailS1_BDetailB1_faa0d437_2">#REF!</definedName>
    <definedName name="_vena_LI_SDetailS1_BDetailB1_faa0d437_3">#REF!</definedName>
    <definedName name="_vena_LI_SDetailS1_BDetailB1_faa0d437_4">#REF!</definedName>
    <definedName name="_vena_LI_SDetailS1_BDetailB1_faa0d437_5">#REF!</definedName>
    <definedName name="_vena_LI_SDetailS1_BDetailB1_faa0d437_6">#REF!</definedName>
    <definedName name="_vena_LI_SDetailS1_BDetailB1_faa0d437_7">#REF!</definedName>
    <definedName name="_vena_LI_SDetailS1_BDetailB1_fb0da325">#REF!</definedName>
    <definedName name="_vena_LI_SDetailS1_BDetailB1_fb8e488b">#REF!</definedName>
    <definedName name="_vena_LI_SDetailS1_BDetailB1_fc2c446a">#REF!</definedName>
    <definedName name="_vena_LI_SDetailS1_BDetailB1_fc7e48e1">#REF!</definedName>
    <definedName name="_vena_LI_SDetailS1_BDetailB1_fceb728a">#REF!</definedName>
    <definedName name="_vena_LI_SDetailS1_BDetailB1_fdb7ba19">#REF!</definedName>
    <definedName name="_vena_LI_SDetailS1_BDetailB1_fe99775f">#REF!</definedName>
    <definedName name="_vena_LI_SDetailS1_BDetailB1_ff0b822d">#REF!</definedName>
    <definedName name="_vena_LI_SMYPS1_BMYPB1_1000dc59">#REF!</definedName>
    <definedName name="_vena_LI_SMYPS1_BMYPB1_1110cd2e">#REF!</definedName>
    <definedName name="_vena_LI_SMYPS1_BMYPB1_12efbeac">#REF!</definedName>
    <definedName name="_vena_LI_SMYPS1_BMYPB1_1337eba">#REF!</definedName>
    <definedName name="_vena_LI_SMYPS1_BMYPB1_13cb87ca">#REF!</definedName>
    <definedName name="_vena_LI_SMYPS1_BMYPB1_13f47722">#REF!</definedName>
    <definedName name="_vena_LI_SMYPS1_BMYPB1_13feb9ad">#REF!</definedName>
    <definedName name="_vena_LI_SMYPS1_BMYPB1_15e711ce">#REF!</definedName>
    <definedName name="_vena_LI_SMYPS1_BMYPB1_165e7223">#REF!</definedName>
    <definedName name="_vena_LI_SMYPS1_BMYPB1_16b83e47">#REF!</definedName>
    <definedName name="_vena_LI_SMYPS1_BMYPB1_16f2e837">#REF!</definedName>
    <definedName name="_vena_LI_SMYPS1_BMYPB1_175fb262">#REF!</definedName>
    <definedName name="_vena_LI_SMYPS1_BMYPB1_1763b724">#REF!</definedName>
    <definedName name="_vena_LI_SMYPS1_BMYPB1_17c85758">#REF!</definedName>
    <definedName name="_vena_LI_SMYPS1_BMYPB1_17ee0624">#REF!</definedName>
    <definedName name="_vena_LI_SMYPS1_BMYPB1_189cb273">#REF!</definedName>
    <definedName name="_vena_LI_SMYPS1_BMYPB1_18e5b7c6">#REF!</definedName>
    <definedName name="_vena_LI_SMYPS1_BMYPB1_18ff3cb8">#REF!</definedName>
    <definedName name="_vena_LI_SMYPS1_BMYPB1_199d26a3">#REF!</definedName>
    <definedName name="_vena_LI_SMYPS1_BMYPB1_19cbe99b">#REF!</definedName>
    <definedName name="_vena_LI_SMYPS1_BMYPB1_19f70c10">#REF!</definedName>
    <definedName name="_vena_LI_SMYPS1_BMYPB1_1d1204e2">#REF!</definedName>
    <definedName name="_vena_LI_SMYPS1_BMYPB1_1d3576d2">#REF!</definedName>
    <definedName name="_vena_LI_SMYPS1_BMYPB1_1d3576d2_1">#REF!</definedName>
    <definedName name="_vena_LI_SMYPS1_BMYPB1_1d3576d2_2">#REF!</definedName>
    <definedName name="_vena_LI_SMYPS1_BMYPB1_1da9b13c">#REF!</definedName>
    <definedName name="_vena_LI_SMYPS1_BMYPB1_1da9b13c_1">#REF!</definedName>
    <definedName name="_vena_LI_SMYPS1_BMYPB1_1dbe3e32">#REF!</definedName>
    <definedName name="_vena_LI_SMYPS1_BMYPB1_1dbf92c6">#REF!</definedName>
    <definedName name="_vena_LI_SMYPS1_BMYPB1_1e1b1f50">#REF!</definedName>
    <definedName name="_vena_LI_SMYPS1_BMYPB1_1eec6b48">#REF!</definedName>
    <definedName name="_vena_LI_SMYPS1_BMYPB1_1f8559d4">#REF!</definedName>
    <definedName name="_vena_LI_SMYPS1_BMYPB1_1ff1b668">#REF!</definedName>
    <definedName name="_vena_LI_SMYPS1_BMYPB1_2063779d">#REF!</definedName>
    <definedName name="_vena_LI_SMYPS1_BMYPB1_206c07f8">#REF!</definedName>
    <definedName name="_vena_LI_SMYPS1_BMYPB1_20e1e6b1">#REF!</definedName>
    <definedName name="_vena_LI_SMYPS1_BMYPB1_21bc0840">#REF!</definedName>
    <definedName name="_vena_LI_SMYPS1_BMYPB1_21e68df4">#REF!</definedName>
    <definedName name="_vena_LI_SMYPS1_BMYPB1_223d2198">#REF!</definedName>
    <definedName name="_vena_LI_SMYPS1_BMYPB1_231e944f">#REF!</definedName>
    <definedName name="_vena_LI_SMYPS1_BMYPB1_243860ff">#REF!</definedName>
    <definedName name="_vena_LI_SMYPS1_BMYPB1_24eda78b">#REF!</definedName>
    <definedName name="_vena_LI_SMYPS1_BMYPB1_25b14eae">#REF!</definedName>
    <definedName name="_vena_LI_SMYPS1_BMYPB1_25fbc63e">#REF!</definedName>
    <definedName name="_vena_LI_SMYPS1_BMYPB1_2612495b">#REF!</definedName>
    <definedName name="_vena_LI_SMYPS1_BMYPB1_2713c316">#REF!</definedName>
    <definedName name="_vena_LI_SMYPS1_BMYPB1_2753e385">#REF!</definedName>
    <definedName name="_vena_LI_SMYPS1_BMYPB1_276bfdc0">#REF!</definedName>
    <definedName name="_vena_LI_SMYPS1_BMYPB1_2778bce9">#REF!</definedName>
    <definedName name="_vena_LI_SMYPS1_BMYPB1_27f6b199">#REF!</definedName>
    <definedName name="_vena_LI_SMYPS1_BMYPB1_27fc94f2">#REF!</definedName>
    <definedName name="_vena_LI_SMYPS1_BMYPB1_28471810">#REF!</definedName>
    <definedName name="_vena_LI_SMYPS1_BMYPB1_2856a00d">#REF!</definedName>
    <definedName name="_vena_LI_SMYPS1_BMYPB1_28c7d0e6">#REF!</definedName>
    <definedName name="_vena_LI_SMYPS1_BMYPB1_28e3c95d">#REF!</definedName>
    <definedName name="_vena_LI_SMYPS1_BMYPB1_28ea57c1">#REF!</definedName>
    <definedName name="_vena_LI_SMYPS1_BMYPB1_297cb858">#REF!</definedName>
    <definedName name="_vena_LI_SMYPS1_BMYPB1_2995e4f0">#REF!</definedName>
    <definedName name="_vena_LI_SMYPS1_BMYPB1_2a8e1fae">#REF!</definedName>
    <definedName name="_vena_LI_SMYPS1_BMYPB1_2aab1aa3">#REF!</definedName>
    <definedName name="_vena_LI_SMYPS1_BMYPB1_2ad343c">#REF!</definedName>
    <definedName name="_vena_LI_SMYPS1_BMYPB1_2ad343c_1">#REF!</definedName>
    <definedName name="_vena_LI_SMYPS1_BMYPB1_2ad343c_2">#REF!</definedName>
    <definedName name="_vena_LI_SMYPS1_BMYPB1_2ad343c_3">#REF!</definedName>
    <definedName name="_vena_LI_SMYPS1_BMYPB1_2ad343c_4">#REF!</definedName>
    <definedName name="_vena_LI_SMYPS1_BMYPB1_2b4f39f1">#REF!</definedName>
    <definedName name="_vena_LI_SMYPS1_BMYPB1_2b89ca49">#REF!</definedName>
    <definedName name="_vena_LI_SMYPS1_BMYPB1_2be9bfb5">#REF!</definedName>
    <definedName name="_vena_LI_SMYPS1_BMYPB1_2c027afd">#REF!</definedName>
    <definedName name="_vena_LI_SMYPS1_BMYPB1_2c027afd_1">#REF!</definedName>
    <definedName name="_vena_LI_SMYPS1_BMYPB1_2c027afd_2">#REF!</definedName>
    <definedName name="_vena_LI_SMYPS1_BMYPB1_2c027afd_3">#REF!</definedName>
    <definedName name="_vena_LI_SMYPS1_BMYPB1_2cbacb65">#REF!</definedName>
    <definedName name="_vena_LI_SMYPS1_BMYPB1_2d386b24">#REF!</definedName>
    <definedName name="_vena_LI_SMYPS1_BMYPB1_2d4e2ef3">#REF!</definedName>
    <definedName name="_vena_LI_SMYPS1_BMYPB1_2e55c159">#REF!</definedName>
    <definedName name="_vena_LI_SMYPS1_BMYPB1_2eff4a45">#REF!</definedName>
    <definedName name="_vena_LI_SMYPS1_BMYPB1_2f322702">#REF!</definedName>
    <definedName name="_vena_LI_SMYPS1_BMYPB1_2f76072d">#REF!</definedName>
    <definedName name="_vena_LI_SMYPS1_BMYPB1_3169e96b">#REF!</definedName>
    <definedName name="_vena_LI_SMYPS1_BMYPB1_317ebddc">#REF!</definedName>
    <definedName name="_vena_LI_SMYPS1_BMYPB1_318ffbed">#REF!</definedName>
    <definedName name="_vena_LI_SMYPS1_BMYPB1_3217d4dc">#REF!</definedName>
    <definedName name="_vena_LI_SMYPS1_BMYPB1_32e3cc2d">#REF!</definedName>
    <definedName name="_vena_LI_SMYPS1_BMYPB1_334e3a62">#REF!</definedName>
    <definedName name="_vena_LI_SMYPS1_BMYPB1_34b9384b">#REF!</definedName>
    <definedName name="_vena_LI_SMYPS1_BMYPB1_34ea6729">#REF!</definedName>
    <definedName name="_vena_LI_SMYPS1_BMYPB1_34f920a8">#REF!</definedName>
    <definedName name="_vena_LI_SMYPS1_BMYPB1_357db6fe">#REF!</definedName>
    <definedName name="_vena_LI_SMYPS1_BMYPB1_35ba7f5a">#REF!</definedName>
    <definedName name="_vena_LI_SMYPS1_BMYPB1_36a42abb">#REF!</definedName>
    <definedName name="_vena_LI_SMYPS1_BMYPB1_36a42abb_1">#REF!</definedName>
    <definedName name="_vena_LI_SMYPS1_BMYPB1_36a42abb_2">#REF!</definedName>
    <definedName name="_vena_LI_SMYPS1_BMYPB1_36a42abb_3">#REF!</definedName>
    <definedName name="_vena_LI_SMYPS1_BMYPB1_36a42abb_4">#REF!</definedName>
    <definedName name="_vena_LI_SMYPS1_BMYPB1_36a42abb_5">#REF!</definedName>
    <definedName name="_vena_LI_SMYPS1_BMYPB1_36c6c185">#REF!</definedName>
    <definedName name="_vena_LI_SMYPS1_BMYPB1_376b11f3">#REF!</definedName>
    <definedName name="_vena_LI_SMYPS1_BMYPB1_379bad38">#REF!</definedName>
    <definedName name="_vena_LI_SMYPS1_BMYPB1_37e81f2d">#REF!</definedName>
    <definedName name="_vena_LI_SMYPS1_BMYPB1_3878a0c6">#REF!</definedName>
    <definedName name="_vena_LI_SMYPS1_BMYPB1_396a09ec">#REF!</definedName>
    <definedName name="_vena_LI_SMYPS1_BMYPB1_39d39b30">#REF!</definedName>
    <definedName name="_vena_LI_SMYPS1_BMYPB1_3a6ca69f">#REF!</definedName>
    <definedName name="_vena_LI_SMYPS1_BMYPB1_3b397131">#REF!</definedName>
    <definedName name="_vena_LI_SMYPS1_BMYPB1_3b898381">#REF!</definedName>
    <definedName name="_vena_LI_SMYPS1_BMYPB1_3bd6148">#REF!</definedName>
    <definedName name="_vena_LI_SMYPS1_BMYPB1_3bdd8b3c">#REF!</definedName>
    <definedName name="_vena_LI_SMYPS1_BMYPB1_3cda595b">#REF!</definedName>
    <definedName name="_vena_LI_SMYPS1_BMYPB1_3cee6295">#REF!</definedName>
    <definedName name="_vena_LI_SMYPS1_BMYPB1_3e20e866">#REF!</definedName>
    <definedName name="_vena_LI_SMYPS1_BMYPB1_3e590f6e">#REF!</definedName>
    <definedName name="_vena_LI_SMYPS1_BMYPB1_3f33d96f">#REF!</definedName>
    <definedName name="_vena_LI_SMYPS1_BMYPB1_401e8b26">#REF!</definedName>
    <definedName name="_vena_LI_SMYPS1_BMYPB1_4106ec86">#REF!</definedName>
    <definedName name="_vena_LI_SMYPS1_BMYPB1_4202424a">#REF!</definedName>
    <definedName name="_vena_LI_SMYPS1_BMYPB1_428f509d">#REF!</definedName>
    <definedName name="_vena_LI_SMYPS1_BMYPB1_428f759">#REF!</definedName>
    <definedName name="_vena_LI_SMYPS1_BMYPB1_435e9c7">#REF!</definedName>
    <definedName name="_vena_LI_SMYPS1_BMYPB1_438d8f68">#REF!</definedName>
    <definedName name="_vena_LI_SMYPS1_BMYPB1_443f78e9">#REF!</definedName>
    <definedName name="_vena_LI_SMYPS1_BMYPB1_446ba546">#REF!</definedName>
    <definedName name="_vena_LI_SMYPS1_BMYPB1_44c186ff">#REF!</definedName>
    <definedName name="_vena_LI_SMYPS1_BMYPB1_44c34c67">#REF!</definedName>
    <definedName name="_vena_LI_SMYPS1_BMYPB1_4576485a">#REF!</definedName>
    <definedName name="_vena_LI_SMYPS1_BMYPB1_457cb824">#REF!</definedName>
    <definedName name="_vena_LI_SMYPS1_BMYPB1_45fbed25">#REF!</definedName>
    <definedName name="_vena_LI_SMYPS1_BMYPB1_46b2e908">#REF!</definedName>
    <definedName name="_vena_LI_SMYPS1_BMYPB1_47320ce5">#REF!</definedName>
    <definedName name="_vena_LI_SMYPS1_BMYPB1_4761855e">#REF!</definedName>
    <definedName name="_vena_LI_SMYPS1_BMYPB1_4776f653">#REF!</definedName>
    <definedName name="_vena_LI_SMYPS1_BMYPB1_47c74806">#REF!</definedName>
    <definedName name="_vena_LI_SMYPS1_BMYPB1_47dca06d">#REF!</definedName>
    <definedName name="_vena_LI_SMYPS1_BMYPB1_47dca06d_1">#REF!</definedName>
    <definedName name="_vena_LI_SMYPS1_BMYPB1_47dca06d_2">#REF!</definedName>
    <definedName name="_vena_LI_SMYPS1_BMYPB1_48353aec">#REF!</definedName>
    <definedName name="_vena_LI_SMYPS1_BMYPB1_486edc39">#REF!</definedName>
    <definedName name="_vena_LI_SMYPS1_BMYPB1_4880a192">#REF!</definedName>
    <definedName name="_vena_LI_SMYPS1_BMYPB1_4920c424">#REF!</definedName>
    <definedName name="_vena_LI_SMYPS1_BMYPB1_49438e35">#REF!</definedName>
    <definedName name="_vena_LI_SMYPS1_BMYPB1_4959726b">#REF!</definedName>
    <definedName name="_vena_LI_SMYPS1_BMYPB1_49d6b82b">#REF!</definedName>
    <definedName name="_vena_LI_SMYPS1_BMYPB1_4a6cf0f0">#REF!</definedName>
    <definedName name="_vena_LI_SMYPS1_BMYPB1_4a6cf0f0_1">#REF!</definedName>
    <definedName name="_vena_LI_SMYPS1_BMYPB1_4a6cf0f0_2">#REF!</definedName>
    <definedName name="_vena_LI_SMYPS1_BMYPB1_4a6cf0f0_3">#REF!</definedName>
    <definedName name="_vena_LI_SMYPS1_BMYPB1_4a6cf0f0_4">#REF!</definedName>
    <definedName name="_vena_LI_SMYPS1_BMYPB1_4a6cf0f0_5">#REF!</definedName>
    <definedName name="_vena_LI_SMYPS1_BMYPB1_4a6cf0f0_6">#REF!</definedName>
    <definedName name="_vena_LI_SMYPS1_BMYPB1_4a6cf0f0_7">#REF!</definedName>
    <definedName name="_vena_LI_SMYPS1_BMYPB1_4a7c49bf">#REF!</definedName>
    <definedName name="_vena_LI_SMYPS1_BMYPB1_4b49eb99">#REF!</definedName>
    <definedName name="_vena_LI_SMYPS1_BMYPB1_4b8fc5af">#REF!</definedName>
    <definedName name="_vena_LI_SMYPS1_BMYPB1_4b9eb9df">#REF!</definedName>
    <definedName name="_vena_LI_SMYPS1_BMYPB1_4c94991c">#REF!</definedName>
    <definedName name="_vena_LI_SMYPS1_BMYPB1_4c94991c_1">#REF!</definedName>
    <definedName name="_vena_LI_SMYPS1_BMYPB1_4c94991c_2">#REF!</definedName>
    <definedName name="_vena_LI_SMYPS1_BMYPB1_4c94991c_3">#REF!</definedName>
    <definedName name="_vena_LI_SMYPS1_BMYPB1_4c94991c_4">#REF!</definedName>
    <definedName name="_vena_LI_SMYPS1_BMYPB1_4c94991c_5">#REF!</definedName>
    <definedName name="_vena_LI_SMYPS1_BMYPB1_4c94991c_6">#REF!</definedName>
    <definedName name="_vena_LI_SMYPS1_BMYPB1_4cf90c2e">#REF!</definedName>
    <definedName name="_vena_LI_SMYPS1_BMYPB1_4d8361f1">#REF!</definedName>
    <definedName name="_vena_LI_SMYPS1_BMYPB1_4d84e58b">#REF!</definedName>
    <definedName name="_vena_LI_SMYPS1_BMYPB1_4e2d3987">#REF!</definedName>
    <definedName name="_vena_LI_SMYPS1_BMYPB1_4e41d914">#REF!</definedName>
    <definedName name="_vena_LI_SMYPS1_BMYPB1_4f179fd8">#REF!</definedName>
    <definedName name="_vena_LI_SMYPS1_BMYPB1_5004d73">#REF!</definedName>
    <definedName name="_vena_LI_SMYPS1_BMYPB1_504b0c45">#REF!</definedName>
    <definedName name="_vena_LI_SMYPS1_BMYPB1_50df62f7">#REF!</definedName>
    <definedName name="_vena_LI_SMYPS1_BMYPB1_51e150b5">#REF!</definedName>
    <definedName name="_vena_LI_SMYPS1_BMYPB1_52a239f">#REF!</definedName>
    <definedName name="_vena_LI_SMYPS1_BMYPB1_538a3bdc">#REF!</definedName>
    <definedName name="_vena_LI_SMYPS1_BMYPB1_53da4557">#REF!</definedName>
    <definedName name="_vena_LI_SMYPS1_BMYPB1_5436342e">#REF!</definedName>
    <definedName name="_vena_LI_SMYPS1_BMYPB1_543bfde9">#REF!</definedName>
    <definedName name="_vena_LI_SMYPS1_BMYPB1_543d5b73">#REF!</definedName>
    <definedName name="_vena_LI_SMYPS1_BMYPB1_54af8a50">#REF!</definedName>
    <definedName name="_vena_LI_SMYPS1_BMYPB1_54b33998">#REF!</definedName>
    <definedName name="_vena_LI_SMYPS1_BMYPB1_5548f8ea">#REF!</definedName>
    <definedName name="_vena_LI_SMYPS1_BMYPB1_5612e2b9">#REF!</definedName>
    <definedName name="_vena_LI_SMYPS1_BMYPB1_571f9050">#REF!</definedName>
    <definedName name="_vena_LI_SMYPS1_BMYPB1_57d95195">#REF!</definedName>
    <definedName name="_vena_LI_SMYPS1_BMYPB1_57ece44d">#REF!</definedName>
    <definedName name="_vena_LI_SMYPS1_BMYPB1_57fb7bb2">#REF!</definedName>
    <definedName name="_vena_LI_SMYPS1_BMYPB1_5828eebb">#REF!</definedName>
    <definedName name="_vena_LI_SMYPS1_BMYPB1_58b04a00">#REF!</definedName>
    <definedName name="_vena_LI_SMYPS1_BMYPB1_59984b69">#REF!</definedName>
    <definedName name="_vena_LI_SMYPS1_BMYPB1_59ced547">#REF!</definedName>
    <definedName name="_vena_LI_SMYPS1_BMYPB1_59e7a461">#REF!</definedName>
    <definedName name="_vena_LI_SMYPS1_BMYPB1_5a757df3">#REF!</definedName>
    <definedName name="_vena_LI_SMYPS1_BMYPB1_5a9896e">#REF!</definedName>
    <definedName name="_vena_LI_SMYPS1_BMYPB1_5a9c8518">#REF!</definedName>
    <definedName name="_vena_LI_SMYPS1_BMYPB1_5ac40b44">#REF!</definedName>
    <definedName name="_vena_LI_SMYPS1_BMYPB1_5ad51ff9">#REF!</definedName>
    <definedName name="_vena_LI_SMYPS1_BMYPB1_5b67402">#REF!</definedName>
    <definedName name="_vena_LI_SMYPS1_BMYPB1_5b9df2e5">#REF!</definedName>
    <definedName name="_vena_LI_SMYPS1_BMYPB1_5c5ed7c3">#REF!</definedName>
    <definedName name="_vena_LI_SMYPS1_BMYPB1_5dd6bb3f">#REF!</definedName>
    <definedName name="_vena_LI_SMYPS1_BMYPB1_5dd6bb3f_1">#REF!</definedName>
    <definedName name="_vena_LI_SMYPS1_BMYPB1_5dd6bb3f_2">#REF!</definedName>
    <definedName name="_vena_LI_SMYPS1_BMYPB1_5f16a9a8">#REF!</definedName>
    <definedName name="_vena_LI_SMYPS1_BMYPB1_5f16a9a8_1">#REF!</definedName>
    <definedName name="_vena_LI_SMYPS1_BMYPB1_5f16a9a8_10">#REF!</definedName>
    <definedName name="_vena_LI_SMYPS1_BMYPB1_5f16a9a8_11">#REF!</definedName>
    <definedName name="_vena_LI_SMYPS1_BMYPB1_5f16a9a8_12">#REF!</definedName>
    <definedName name="_vena_LI_SMYPS1_BMYPB1_5f16a9a8_13">#REF!</definedName>
    <definedName name="_vena_LI_SMYPS1_BMYPB1_5f16a9a8_2">#REF!</definedName>
    <definedName name="_vena_LI_SMYPS1_BMYPB1_5f16a9a8_3">#REF!</definedName>
    <definedName name="_vena_LI_SMYPS1_BMYPB1_5f16a9a8_4">#REF!</definedName>
    <definedName name="_vena_LI_SMYPS1_BMYPB1_5f16a9a8_5">#REF!</definedName>
    <definedName name="_vena_LI_SMYPS1_BMYPB1_5f16a9a8_6">#REF!</definedName>
    <definedName name="_vena_LI_SMYPS1_BMYPB1_5f16a9a8_7">#REF!</definedName>
    <definedName name="_vena_LI_SMYPS1_BMYPB1_5f16a9a8_8">#REF!</definedName>
    <definedName name="_vena_LI_SMYPS1_BMYPB1_5f16a9a8_9">#REF!</definedName>
    <definedName name="_vena_LI_SMYPS1_BMYPB1_5f35dc75">#REF!</definedName>
    <definedName name="_vena_LI_SMYPS1_BMYPB1_60446f0d">#REF!</definedName>
    <definedName name="_vena_LI_SMYPS1_BMYPB1_60f27f77">#REF!</definedName>
    <definedName name="_vena_LI_SMYPS1_BMYPB1_624a6da6">#REF!</definedName>
    <definedName name="_vena_LI_SMYPS1_BMYPB1_62991432">#REF!</definedName>
    <definedName name="_vena_LI_SMYPS1_BMYPB1_63cea67a">#REF!</definedName>
    <definedName name="_vena_LI_SMYPS1_BMYPB1_64284043">#REF!</definedName>
    <definedName name="_vena_LI_SMYPS1_BMYPB1_6520a142">#REF!</definedName>
    <definedName name="_vena_LI_SMYPS1_BMYPB1_65dcd737">#REF!</definedName>
    <definedName name="_vena_LI_SMYPS1_BMYPB1_65df1043">#REF!</definedName>
    <definedName name="_vena_LI_SMYPS1_BMYPB1_667a295c">#REF!</definedName>
    <definedName name="_vena_LI_SMYPS1_BMYPB1_67291af9">#REF!</definedName>
    <definedName name="_vena_LI_SMYPS1_BMYPB1_67e1c51c">#REF!</definedName>
    <definedName name="_vena_LI_SMYPS1_BMYPB1_682d6174">#REF!</definedName>
    <definedName name="_vena_LI_SMYPS1_BMYPB1_683321a">#REF!</definedName>
    <definedName name="_vena_LI_SMYPS1_BMYPB1_683321a_1">#REF!</definedName>
    <definedName name="_vena_LI_SMYPS1_BMYPB1_683321a_2">#REF!</definedName>
    <definedName name="_vena_LI_SMYPS1_BMYPB1_683321a_3">#REF!</definedName>
    <definedName name="_vena_LI_SMYPS1_BMYPB1_683321a_4">#REF!</definedName>
    <definedName name="_vena_LI_SMYPS1_BMYPB1_683321a_5">#REF!</definedName>
    <definedName name="_vena_LI_SMYPS1_BMYPB1_683321a_6">#REF!</definedName>
    <definedName name="_vena_LI_SMYPS1_BMYPB1_69dc5676">#REF!</definedName>
    <definedName name="_vena_LI_SMYPS1_BMYPB1_6a5e8d4d">#REF!</definedName>
    <definedName name="_vena_LI_SMYPS1_BMYPB1_6b21197c">#REF!</definedName>
    <definedName name="_vena_LI_SMYPS1_BMYPB1_6b417b69">#REF!</definedName>
    <definedName name="_vena_LI_SMYPS1_BMYPB1_6b6085ef">#REF!</definedName>
    <definedName name="_vena_LI_SMYPS1_BMYPB1_6ba22b26">#REF!</definedName>
    <definedName name="_vena_LI_SMYPS1_BMYPB1_6be39725">#REF!</definedName>
    <definedName name="_vena_LI_SMYPS1_BMYPB1_6c24f177">#REF!</definedName>
    <definedName name="_vena_LI_SMYPS1_BMYPB1_6c485a">#REF!</definedName>
    <definedName name="_vena_LI_SMYPS1_BMYPB1_6c90433b">#REF!</definedName>
    <definedName name="_vena_LI_SMYPS1_BMYPB1_6cded730">#REF!</definedName>
    <definedName name="_vena_LI_SMYPS1_BMYPB1_6eae27c3">#REF!</definedName>
    <definedName name="_vena_LI_SMYPS1_BMYPB1_6f4a86a6">#REF!</definedName>
    <definedName name="_vena_LI_SMYPS1_BMYPB1_6f4a86a6_1">#REF!</definedName>
    <definedName name="_vena_LI_SMYPS1_BMYPB1_6fee8b5">#REF!</definedName>
    <definedName name="_vena_LI_SMYPS1_BMYPB1_715d33b5">#REF!</definedName>
    <definedName name="_vena_LI_SMYPS1_BMYPB1_71da3fec">#REF!</definedName>
    <definedName name="_vena_LI_SMYPS1_BMYPB1_7282bf4d">#REF!</definedName>
    <definedName name="_vena_LI_SMYPS1_BMYPB1_732292b5">#REF!</definedName>
    <definedName name="_vena_LI_SMYPS1_BMYPB1_73eba6b6">#REF!</definedName>
    <definedName name="_vena_LI_SMYPS1_BMYPB1_7428206f">#REF!</definedName>
    <definedName name="_vena_LI_SMYPS1_BMYPB1_747e7520">#REF!</definedName>
    <definedName name="_vena_LI_SMYPS1_BMYPB1_74f60530">#REF!</definedName>
    <definedName name="_vena_LI_SMYPS1_BMYPB1_74f60530_1">#REF!</definedName>
    <definedName name="_vena_LI_SMYPS1_BMYPB1_74f60530_2">#REF!</definedName>
    <definedName name="_vena_LI_SMYPS1_BMYPB1_76418e7d">#REF!</definedName>
    <definedName name="_vena_LI_SMYPS1_BMYPB1_76864016">#REF!</definedName>
    <definedName name="_vena_LI_SMYPS1_BMYPB1_7722df81">#REF!</definedName>
    <definedName name="_vena_LI_SMYPS1_BMYPB1_77b04962">#REF!</definedName>
    <definedName name="_vena_LI_SMYPS1_BMYPB1_77c779f8">#REF!</definedName>
    <definedName name="_vena_LI_SMYPS1_BMYPB1_78178610">#REF!</definedName>
    <definedName name="_vena_LI_SMYPS1_BMYPB1_784e2eab">#REF!</definedName>
    <definedName name="_vena_LI_SMYPS1_BMYPB1_784e2eab_1">#REF!</definedName>
    <definedName name="_vena_LI_SMYPS1_BMYPB1_784e2eab_2">#REF!</definedName>
    <definedName name="_vena_LI_SMYPS1_BMYPB1_78c05b13">#REF!</definedName>
    <definedName name="_vena_LI_SMYPS1_BMYPB1_78e4f30b">#REF!</definedName>
    <definedName name="_vena_LI_SMYPS1_BMYPB1_79984188">#REF!</definedName>
    <definedName name="_vena_LI_SMYPS1_BMYPB1_79984188_1">#REF!</definedName>
    <definedName name="_vena_LI_SMYPS1_BMYPB1_79984188_2">#REF!</definedName>
    <definedName name="_vena_LI_SMYPS1_BMYPB1_79984188_3">#REF!</definedName>
    <definedName name="_vena_LI_SMYPS1_BMYPB1_7a01c5ea">#REF!</definedName>
    <definedName name="_vena_LI_SMYPS1_BMYPB1_7a0264ef">#REF!</definedName>
    <definedName name="_vena_LI_SMYPS1_BMYPB1_7a300e18">#REF!</definedName>
    <definedName name="_vena_LI_SMYPS1_BMYPB1_7a300e18_1">#REF!</definedName>
    <definedName name="_vena_LI_SMYPS1_BMYPB1_7a300e18_2">#REF!</definedName>
    <definedName name="_vena_LI_SMYPS1_BMYPB1_7a351ce6">#REF!</definedName>
    <definedName name="_vena_LI_SMYPS1_BMYPB1_7aa118cd">#REF!</definedName>
    <definedName name="_vena_LI_SMYPS1_BMYPB1_7accb0f4">#REF!</definedName>
    <definedName name="_vena_LI_SMYPS1_BMYPB1_7b05e8df">#REF!</definedName>
    <definedName name="_vena_LI_SMYPS1_BMYPB1_7bd197eb">#REF!</definedName>
    <definedName name="_vena_LI_SMYPS1_BMYPB1_7cbb3ce1">#REF!</definedName>
    <definedName name="_vena_LI_SMYPS1_BMYPB1_7d5e7560">#REF!</definedName>
    <definedName name="_vena_LI_SMYPS1_BMYPB1_7de76d4a">#REF!</definedName>
    <definedName name="_vena_LI_SMYPS1_BMYPB1_7df6c041">#REF!</definedName>
    <definedName name="_vena_LI_SMYPS1_BMYPB1_7e39a5e5">#REF!</definedName>
    <definedName name="_vena_LI_SMYPS1_BMYPB1_7fd7fe6e">#REF!</definedName>
    <definedName name="_vena_LI_SMYPS1_BMYPB1_8008c816">#REF!</definedName>
    <definedName name="_vena_LI_SMYPS1_BMYPB1_808afee4">#REF!</definedName>
    <definedName name="_vena_LI_SMYPS1_BMYPB1_80f43b85">#REF!</definedName>
    <definedName name="_vena_LI_SMYPS1_BMYPB1_81083819">#REF!</definedName>
    <definedName name="_vena_LI_SMYPS1_BMYPB1_8168fb82">#REF!</definedName>
    <definedName name="_vena_LI_SMYPS1_BMYPB1_8199cb45">#REF!</definedName>
    <definedName name="_vena_LI_SMYPS1_BMYPB1_82e72bd7">#REF!</definedName>
    <definedName name="_vena_LI_SMYPS1_BMYPB1_83917aa4">#REF!</definedName>
    <definedName name="_vena_LI_SMYPS1_BMYPB1_83e0cb63">#REF!</definedName>
    <definedName name="_vena_LI_SMYPS1_BMYPB1_84ceb0a9">#REF!</definedName>
    <definedName name="_vena_LI_SMYPS1_BMYPB1_851484e8">#REF!</definedName>
    <definedName name="_vena_LI_SMYPS1_BMYPB1_8546fd2f">#REF!</definedName>
    <definedName name="_vena_LI_SMYPS1_BMYPB1_858e66d2">#REF!</definedName>
    <definedName name="_vena_LI_SMYPS1_BMYPB1_861278cf">#REF!</definedName>
    <definedName name="_vena_LI_SMYPS1_BMYPB1_86a25c23">#REF!</definedName>
    <definedName name="_vena_LI_SMYPS1_BMYPB1_87ed790">#REF!</definedName>
    <definedName name="_vena_LI_SMYPS1_BMYPB1_88270e4">#REF!</definedName>
    <definedName name="_vena_LI_SMYPS1_BMYPB1_88605112">#REF!</definedName>
    <definedName name="_vena_LI_SMYPS1_BMYPB1_8870001">#REF!</definedName>
    <definedName name="_vena_LI_SMYPS1_BMYPB1_89c29192">#REF!</definedName>
    <definedName name="_vena_LI_SMYPS1_BMYPB1_8ad8749e">#REF!</definedName>
    <definedName name="_vena_LI_SMYPS1_BMYPB1_8b6e2aec">#REF!</definedName>
    <definedName name="_vena_LI_SMYPS1_BMYPB1_8cfcbb9e">#REF!</definedName>
    <definedName name="_vena_LI_SMYPS1_BMYPB1_8d61aba4">#REF!</definedName>
    <definedName name="_vena_LI_SMYPS1_BMYPB1_8d6ce95f">#REF!</definedName>
    <definedName name="_vena_LI_SMYPS1_BMYPB1_8d947841">#REF!</definedName>
    <definedName name="_vena_LI_SMYPS1_BMYPB1_8ec1a272">#REF!</definedName>
    <definedName name="_vena_LI_SMYPS1_BMYPB1_8ec78d15">#REF!</definedName>
    <definedName name="_vena_LI_SMYPS1_BMYPB1_8ec78d15_1">#REF!</definedName>
    <definedName name="_vena_LI_SMYPS1_BMYPB1_8ec78d15_2">#REF!</definedName>
    <definedName name="_vena_LI_SMYPS1_BMYPB1_90d52580">#REF!</definedName>
    <definedName name="_vena_LI_SMYPS1_BMYPB1_90eb2cbf">#REF!</definedName>
    <definedName name="_vena_LI_SMYPS1_BMYPB1_911e5598">#REF!</definedName>
    <definedName name="_vena_LI_SMYPS1_BMYPB1_91e42c05">#REF!</definedName>
    <definedName name="_vena_LI_SMYPS1_BMYPB1_91e42c05_1">#REF!</definedName>
    <definedName name="_vena_LI_SMYPS1_BMYPB1_91eee302">#REF!</definedName>
    <definedName name="_vena_LI_SMYPS1_BMYPB1_91f831a">#REF!</definedName>
    <definedName name="_vena_LI_SMYPS1_BMYPB1_91fd518d">#REF!</definedName>
    <definedName name="_vena_LI_SMYPS1_BMYPB1_91fd518d_1">#REF!</definedName>
    <definedName name="_vena_LI_SMYPS1_BMYPB1_92033207">#REF!</definedName>
    <definedName name="_vena_LI_SMYPS1_BMYPB1_9298110d">#REF!</definedName>
    <definedName name="_vena_LI_SMYPS1_BMYPB1_938c55f2">#REF!</definedName>
    <definedName name="_vena_LI_SMYPS1_BMYPB1_938c55f2_1">#REF!</definedName>
    <definedName name="_vena_LI_SMYPS1_BMYPB1_938c55f2_2">#REF!</definedName>
    <definedName name="_vena_LI_SMYPS1_BMYPB1_938c55f2_3">#REF!</definedName>
    <definedName name="_vena_LI_SMYPS1_BMYPB1_94d39e09">#REF!</definedName>
    <definedName name="_vena_LI_SMYPS1_BMYPB1_967b85e6">#REF!</definedName>
    <definedName name="_vena_LI_SMYPS1_BMYPB1_976887f6">#REF!</definedName>
    <definedName name="_vena_LI_SMYPS1_BMYPB1_97900948">#REF!</definedName>
    <definedName name="_vena_LI_SMYPS1_BMYPB1_9807dd5f">#REF!</definedName>
    <definedName name="_vena_LI_SMYPS1_BMYPB1_9884950a">#REF!</definedName>
    <definedName name="_vena_LI_SMYPS1_BMYPB1_9884950a_1">#REF!</definedName>
    <definedName name="_vena_LI_SMYPS1_BMYPB1_98e31108">#REF!</definedName>
    <definedName name="_vena_LI_SMYPS1_BMYPB1_99af5529">#REF!</definedName>
    <definedName name="_vena_LI_SMYPS1_BMYPB1_99d4f5f">#REF!</definedName>
    <definedName name="_vena_LI_SMYPS1_BMYPB1_9a2665d5">#REF!</definedName>
    <definedName name="_vena_LI_SMYPS1_BMYPB1_9a2bd3d7">#REF!</definedName>
    <definedName name="_vena_LI_SMYPS1_BMYPB1_9a6aed52">#REF!</definedName>
    <definedName name="_vena_LI_SMYPS1_BMYPB1_9add6c42">#REF!</definedName>
    <definedName name="_vena_LI_SMYPS1_BMYPB1_9af9f8f4">#REF!</definedName>
    <definedName name="_vena_LI_SMYPS1_BMYPB1_9b1c03a0">#REF!</definedName>
    <definedName name="_vena_LI_SMYPS1_BMYPB1_9b947612">#REF!</definedName>
    <definedName name="_vena_LI_SMYPS1_BMYPB1_9b947612_1">#REF!</definedName>
    <definedName name="_vena_LI_SMYPS1_BMYPB1_9b947612_2">#REF!</definedName>
    <definedName name="_vena_LI_SMYPS1_BMYPB1_9b947612_3">#REF!</definedName>
    <definedName name="_vena_LI_SMYPS1_BMYPB1_9b947612_4">#REF!</definedName>
    <definedName name="_vena_LI_SMYPS1_BMYPB1_9b947612_5">#REF!</definedName>
    <definedName name="_vena_LI_SMYPS1_BMYPB1_9b947612_6">#REF!</definedName>
    <definedName name="_vena_LI_SMYPS1_BMYPB1_9bcc5b66">#REF!</definedName>
    <definedName name="_vena_LI_SMYPS1_BMYPB1_9bf0b30f">#REF!</definedName>
    <definedName name="_vena_LI_SMYPS1_BMYPB1_9c1d6dc6">#REF!</definedName>
    <definedName name="_vena_LI_SMYPS1_BMYPB1_9cd7d0e4">#REF!</definedName>
    <definedName name="_vena_LI_SMYPS1_BMYPB1_9dc5b91">#REF!</definedName>
    <definedName name="_vena_LI_SMYPS1_BMYPB1_9e9ffb54">#REF!</definedName>
    <definedName name="_vena_LI_SMYPS1_BMYPB1_a0efc90c">#REF!</definedName>
    <definedName name="_vena_LI_SMYPS1_BMYPB1_a10435a">#REF!</definedName>
    <definedName name="_vena_LI_SMYPS1_BMYPB1_a32a87f6">#REF!</definedName>
    <definedName name="_vena_LI_SMYPS1_BMYPB1_a34e72b9">#REF!</definedName>
    <definedName name="_vena_LI_SMYPS1_BMYPB1_a384e9b">#REF!</definedName>
    <definedName name="_vena_LI_SMYPS1_BMYPB1_a38a8959">#REF!</definedName>
    <definedName name="_vena_LI_SMYPS1_BMYPB1_a39233ca">#REF!</definedName>
    <definedName name="_vena_LI_SMYPS1_BMYPB1_a42b18c0">#REF!</definedName>
    <definedName name="_vena_LI_SMYPS1_BMYPB1_a5177284">#REF!</definedName>
    <definedName name="_vena_LI_SMYPS1_BMYPB1_a54d502">#REF!</definedName>
    <definedName name="_vena_LI_SMYPS1_BMYPB1_a55ac973">#REF!</definedName>
    <definedName name="_vena_LI_SMYPS1_BMYPB1_a5abb837">#REF!</definedName>
    <definedName name="_vena_LI_SMYPS1_BMYPB1_a5fd101c">#REF!</definedName>
    <definedName name="_vena_LI_SMYPS1_BMYPB1_a5fd101c_1">#REF!</definedName>
    <definedName name="_vena_LI_SMYPS1_BMYPB1_a5fd101c_2">#REF!</definedName>
    <definedName name="_vena_LI_SMYPS1_BMYPB1_a5fd101c_3">#REF!</definedName>
    <definedName name="_vena_LI_SMYPS1_BMYPB1_a60e7875">#REF!</definedName>
    <definedName name="_vena_LI_SMYPS1_BMYPB1_a64046bf">#REF!</definedName>
    <definedName name="_vena_LI_SMYPS1_BMYPB1_a685bcd6">#REF!</definedName>
    <definedName name="_vena_LI_SMYPS1_BMYPB1_a710973c">#REF!</definedName>
    <definedName name="_vena_LI_SMYPS1_BMYPB1_a77534f7">#REF!</definedName>
    <definedName name="_vena_LI_SMYPS1_BMYPB1_a77534f7_1">#REF!</definedName>
    <definedName name="_vena_LI_SMYPS1_BMYPB1_a77534f7_2">#REF!</definedName>
    <definedName name="_vena_LI_SMYPS1_BMYPB1_a77534f7_3">#REF!</definedName>
    <definedName name="_vena_LI_SMYPS1_BMYPB1_a7b80a2">#REF!</definedName>
    <definedName name="_vena_LI_SMYPS1_BMYPB1_a88af485">#REF!</definedName>
    <definedName name="_vena_LI_SMYPS1_BMYPB1_a93b210a">#REF!</definedName>
    <definedName name="_vena_LI_SMYPS1_BMYPB1_aaadd7de">#REF!</definedName>
    <definedName name="_vena_LI_SMYPS1_BMYPB1_ab1da2fc">#REF!</definedName>
    <definedName name="_vena_LI_SMYPS1_BMYPB1_ab44448f">#REF!</definedName>
    <definedName name="_vena_LI_SMYPS1_BMYPB1_ac9fd2a2">#REF!</definedName>
    <definedName name="_vena_LI_SMYPS1_BMYPB1_ad450b61">#REF!</definedName>
    <definedName name="_vena_LI_SMYPS1_BMYPB1_adfcf320">#REF!</definedName>
    <definedName name="_vena_LI_SMYPS1_BMYPB1_ae26b99f">#REF!</definedName>
    <definedName name="_vena_LI_SMYPS1_BMYPB1_af6dce16">#REF!</definedName>
    <definedName name="_vena_LI_SMYPS1_BMYPB1_afc7f0e7">#REF!</definedName>
    <definedName name="_vena_LI_SMYPS1_BMYPB1_b0d43ae3">#REF!</definedName>
    <definedName name="_vena_LI_SMYPS1_BMYPB1_b2791dc0">#REF!</definedName>
    <definedName name="_vena_LI_SMYPS1_BMYPB1_b2a50037">#REF!</definedName>
    <definedName name="_vena_LI_SMYPS1_BMYPB1_b37a0de7">#REF!</definedName>
    <definedName name="_vena_LI_SMYPS1_BMYPB1_b3e9c20a">#REF!</definedName>
    <definedName name="_vena_LI_SMYPS1_BMYPB1_b520a0e0">#REF!</definedName>
    <definedName name="_vena_LI_SMYPS1_BMYPB1_b5456a1e">#REF!</definedName>
    <definedName name="_vena_LI_SMYPS1_BMYPB1_b606a9bb">#REF!</definedName>
    <definedName name="_vena_LI_SMYPS1_BMYPB1_b76715e1">#REF!</definedName>
    <definedName name="_vena_LI_SMYPS1_BMYPB1_b8173685">#REF!</definedName>
    <definedName name="_vena_LI_SMYPS1_BMYPB1_b8f645ac">#REF!</definedName>
    <definedName name="_vena_LI_SMYPS1_BMYPB1_b93e6a48">#REF!</definedName>
    <definedName name="_vena_LI_SMYPS1_BMYPB1_b9eb6f34">#REF!</definedName>
    <definedName name="_vena_LI_SMYPS1_BMYPB1_ba4c7908">#REF!</definedName>
    <definedName name="_vena_LI_SMYPS1_BMYPB1_bb01038b">#REF!</definedName>
    <definedName name="_vena_LI_SMYPS1_BMYPB1_bba32263">#REF!</definedName>
    <definedName name="_vena_LI_SMYPS1_BMYPB1_bbf8ca83">#REF!</definedName>
    <definedName name="_vena_LI_SMYPS1_BMYPB1_bd0aa858">#REF!</definedName>
    <definedName name="_vena_LI_SMYPS1_BMYPB1_bd10366a">#REF!</definedName>
    <definedName name="_vena_LI_SMYPS1_BMYPB1_bd4ea783">#REF!</definedName>
    <definedName name="_vena_LI_SMYPS1_BMYPB1_bd910484">#REF!</definedName>
    <definedName name="_vena_LI_SMYPS1_BMYPB1_bd91c821">#REF!</definedName>
    <definedName name="_vena_LI_SMYPS1_BMYPB1_bdf54b8a">#REF!</definedName>
    <definedName name="_vena_LI_SMYPS1_BMYPB1_be266ebf">#REF!</definedName>
    <definedName name="_vena_LI_SMYPS1_BMYPB1_be5f0f15">#REF!</definedName>
    <definedName name="_vena_LI_SMYPS1_BMYPB1_bea874fc">#REF!</definedName>
    <definedName name="_vena_LI_SMYPS1_BMYPB1_bed9a0af">#REF!</definedName>
    <definedName name="_vena_LI_SMYPS1_BMYPB1_bf698634">#REF!</definedName>
    <definedName name="_vena_LI_SMYPS1_BMYPB1_bf9cca37">#REF!</definedName>
    <definedName name="_vena_LI_SMYPS1_BMYPB1_bf9cca37_1">#REF!</definedName>
    <definedName name="_vena_LI_SMYPS1_BMYPB1_bf9cca37_2">#REF!</definedName>
    <definedName name="_vena_LI_SMYPS1_BMYPB1_bf9da3c4">#REF!</definedName>
    <definedName name="_vena_LI_SMYPS1_BMYPB1_c0527ab8">#REF!</definedName>
    <definedName name="_vena_LI_SMYPS1_BMYPB1_c0fbe603">#REF!</definedName>
    <definedName name="_vena_LI_SMYPS1_BMYPB1_c103c10">#REF!</definedName>
    <definedName name="_vena_LI_SMYPS1_BMYPB1_c232e09e">#REF!</definedName>
    <definedName name="_vena_LI_SMYPS1_BMYPB1_c3d6c435">#REF!</definedName>
    <definedName name="_vena_LI_SMYPS1_BMYPB1_c52538dc">#REF!</definedName>
    <definedName name="_vena_LI_SMYPS1_BMYPB1_c53bcd52">#REF!</definedName>
    <definedName name="_vena_LI_SMYPS1_BMYPB1_c580134d">#REF!</definedName>
    <definedName name="_vena_LI_SMYPS1_BMYPB1_c5936f1c">#REF!</definedName>
    <definedName name="_vena_LI_SMYPS1_BMYPB1_c5a55a07">#REF!</definedName>
    <definedName name="_vena_LI_SMYPS1_BMYPB1_c64fc71a">#REF!</definedName>
    <definedName name="_vena_LI_SMYPS1_BMYPB1_c6ef57a3">#REF!</definedName>
    <definedName name="_vena_LI_SMYPS1_BMYPB1_c6ef57a3_1">#REF!</definedName>
    <definedName name="_vena_LI_SMYPS1_BMYPB1_c6ef57a3_2">#REF!</definedName>
    <definedName name="_vena_LI_SMYPS1_BMYPB1_c6ef57a3_3">#REF!</definedName>
    <definedName name="_vena_LI_SMYPS1_BMYPB1_c8f7bc1a">#REF!</definedName>
    <definedName name="_vena_LI_SMYPS1_BMYPB1_c9057e2">#REF!</definedName>
    <definedName name="_vena_LI_SMYPS1_BMYPB1_c98c191d">#REF!</definedName>
    <definedName name="_vena_LI_SMYPS1_BMYPB1_c9eb879d">#REF!</definedName>
    <definedName name="_vena_LI_SMYPS1_BMYPB1_ca2083f2">#REF!</definedName>
    <definedName name="_vena_LI_SMYPS1_BMYPB1_ca3b4858">#REF!</definedName>
    <definedName name="_vena_LI_SMYPS1_BMYPB1_ca721633">#REF!</definedName>
    <definedName name="_vena_LI_SMYPS1_BMYPB1_cb24cfb7">#REF!</definedName>
    <definedName name="_vena_LI_SMYPS1_BMYPB1_cba7feab">#REF!</definedName>
    <definedName name="_vena_LI_SMYPS1_BMYPB1_ccea2e21">#REF!</definedName>
    <definedName name="_vena_LI_SMYPS1_BMYPB1_cd30d672">#REF!</definedName>
    <definedName name="_vena_LI_SMYPS1_BMYPB1_cdd78f17">#REF!</definedName>
    <definedName name="_vena_LI_SMYPS1_BMYPB1_ce8cd21b">#REF!</definedName>
    <definedName name="_vena_LI_SMYPS1_BMYPB1_ce8cd21b_1">#REF!</definedName>
    <definedName name="_vena_LI_SMYPS1_BMYPB1_ce8cd21b_2">#REF!</definedName>
    <definedName name="_vena_LI_SMYPS1_BMYPB1_ce8cd21b_3">#REF!</definedName>
    <definedName name="_vena_LI_SMYPS1_BMYPB1_cf3e0764">#REF!</definedName>
    <definedName name="_vena_LI_SMYPS1_BMYPB1_cf4374c3">#REF!</definedName>
    <definedName name="_vena_LI_SMYPS1_BMYPB1_cfa551d9">#REF!</definedName>
    <definedName name="_vena_LI_SMYPS1_BMYPB1_d1034ed1">#REF!</definedName>
    <definedName name="_vena_LI_SMYPS1_BMYPB1_d1159548">#REF!</definedName>
    <definedName name="_vena_LI_SMYPS1_BMYPB1_d17f12f8">#REF!</definedName>
    <definedName name="_vena_LI_SMYPS1_BMYPB1_d189afc6">#REF!</definedName>
    <definedName name="_vena_LI_SMYPS1_BMYPB1_d1d195c3">#REF!</definedName>
    <definedName name="_vena_LI_SMYPS1_BMYPB1_d23bb77e">#REF!</definedName>
    <definedName name="_vena_LI_SMYPS1_BMYPB1_d23bb77e_1">#REF!</definedName>
    <definedName name="_vena_LI_SMYPS1_BMYPB1_d23bb77e_2">#REF!</definedName>
    <definedName name="_vena_LI_SMYPS1_BMYPB1_d23bb77e_3">#REF!</definedName>
    <definedName name="_vena_LI_SMYPS1_BMYPB1_d23bb77e_4">#REF!</definedName>
    <definedName name="_vena_LI_SMYPS1_BMYPB1_d29dc790">#REF!</definedName>
    <definedName name="_vena_LI_SMYPS1_BMYPB1_d2ec791c">#REF!</definedName>
    <definedName name="_vena_LI_SMYPS1_BMYPB1_d33e47e4">#REF!</definedName>
    <definedName name="_vena_LI_SMYPS1_BMYPB1_d38e311">#REF!</definedName>
    <definedName name="_vena_LI_SMYPS1_BMYPB1_d4baebdf">#REF!</definedName>
    <definedName name="_vena_LI_SMYPS1_BMYPB1_d5028cdc">#REF!</definedName>
    <definedName name="_vena_LI_SMYPS1_BMYPB1_d50aa614">#REF!</definedName>
    <definedName name="_vena_LI_SMYPS1_BMYPB1_d5903829">#REF!</definedName>
    <definedName name="_vena_LI_SMYPS1_BMYPB1_d5e8a7af">#REF!</definedName>
    <definedName name="_vena_LI_SMYPS1_BMYPB1_d6183268">#REF!</definedName>
    <definedName name="_vena_LI_SMYPS1_BMYPB1_d6183268_1">#REF!</definedName>
    <definedName name="_vena_LI_SMYPS1_BMYPB1_d6183268_2">#REF!</definedName>
    <definedName name="_vena_LI_SMYPS1_BMYPB1_d6183268_3">#REF!</definedName>
    <definedName name="_vena_LI_SMYPS1_BMYPB1_d6183268_4">#REF!</definedName>
    <definedName name="_vena_LI_SMYPS1_BMYPB1_d6b1e85c">#REF!</definedName>
    <definedName name="_vena_LI_SMYPS1_BMYPB1_d73d0497">#REF!</definedName>
    <definedName name="_vena_LI_SMYPS1_BMYPB1_d7fb5a45">#REF!</definedName>
    <definedName name="_vena_LI_SMYPS1_BMYPB1_d8c374bb">#REF!</definedName>
    <definedName name="_vena_LI_SMYPS1_BMYPB1_d8d1cd02">#REF!</definedName>
    <definedName name="_vena_LI_SMYPS1_BMYPB1_d981281b">#REF!</definedName>
    <definedName name="_vena_LI_SMYPS1_BMYPB1_da3e6db7">#REF!</definedName>
    <definedName name="_vena_LI_SMYPS1_BMYPB1_da58916f">#REF!</definedName>
    <definedName name="_vena_LI_SMYPS1_BMYPB1_da7c4db9">#REF!</definedName>
    <definedName name="_vena_LI_SMYPS1_BMYPB1_da8fd209">#REF!</definedName>
    <definedName name="_vena_LI_SMYPS1_BMYPB1_dbcf3a5b">#REF!</definedName>
    <definedName name="_vena_LI_SMYPS1_BMYPB1_dbe3eeac">#REF!</definedName>
    <definedName name="_vena_LI_SMYPS1_BMYPB1_ddea22ab">#REF!</definedName>
    <definedName name="_vena_LI_SMYPS1_BMYPB1_de083ab7">#REF!</definedName>
    <definedName name="_vena_LI_SMYPS1_BMYPB1_dfa1f8ef">#REF!</definedName>
    <definedName name="_vena_LI_SMYPS1_BMYPB1_dfa572a6">#REF!</definedName>
    <definedName name="_vena_LI_SMYPS1_BMYPB1_e01b6fa3">#REF!</definedName>
    <definedName name="_vena_LI_SMYPS1_BMYPB1_e0a7a65c">#REF!</definedName>
    <definedName name="_vena_LI_SMYPS1_BMYPB1_e1445393">#REF!</definedName>
    <definedName name="_vena_LI_SMYPS1_BMYPB1_e20e72c8">#REF!</definedName>
    <definedName name="_vena_LI_SMYPS1_BMYPB1_e35d3fd">#REF!</definedName>
    <definedName name="_vena_LI_SMYPS1_BMYPB1_e35d3fd_1">#REF!</definedName>
    <definedName name="_vena_LI_SMYPS1_BMYPB1_e35d3fd_2">#REF!</definedName>
    <definedName name="_vena_LI_SMYPS1_BMYPB1_e431be1">#REF!</definedName>
    <definedName name="_vena_LI_SMYPS1_BMYPB1_e444a9e2">#REF!</definedName>
    <definedName name="_vena_LI_SMYPS1_BMYPB1_e444a9e2_1">#REF!</definedName>
    <definedName name="_vena_LI_SMYPS1_BMYPB1_e444a9e2_2">#REF!</definedName>
    <definedName name="_vena_LI_SMYPS1_BMYPB1_e44872c0">#REF!</definedName>
    <definedName name="_vena_LI_SMYPS1_BMYPB1_e5658ec7">#REF!</definedName>
    <definedName name="_vena_LI_SMYPS1_BMYPB1_e63ad66a">#REF!</definedName>
    <definedName name="_vena_LI_SMYPS1_BMYPB1_e669234c">#REF!</definedName>
    <definedName name="_vena_LI_SMYPS1_BMYPB1_e7d366f0">#REF!</definedName>
    <definedName name="_vena_LI_SMYPS1_BMYPB1_e80a977b">#REF!</definedName>
    <definedName name="_vena_LI_SMYPS1_BMYPB1_e84ffd1c">#REF!</definedName>
    <definedName name="_vena_LI_SMYPS1_BMYPB1_e9453654">#REF!</definedName>
    <definedName name="_vena_LI_SMYPS1_BMYPB1_ea024cb7">#REF!</definedName>
    <definedName name="_vena_LI_SMYPS1_BMYPB1_ea7805d">#REF!</definedName>
    <definedName name="_vena_LI_SMYPS1_BMYPB1_ebe08be9">#REF!</definedName>
    <definedName name="_vena_LI_SMYPS1_BMYPB1_ebf1b064">#REF!</definedName>
    <definedName name="_vena_LI_SMYPS1_BMYPB1_ec9a6d59">#REF!</definedName>
    <definedName name="_vena_LI_SMYPS1_BMYPB1_ecce3dbe">#REF!</definedName>
    <definedName name="_vena_LI_SMYPS1_BMYPB1_ecd44037">#REF!</definedName>
    <definedName name="_vena_LI_SMYPS1_BMYPB1_ecd44037_1">#REF!</definedName>
    <definedName name="_vena_LI_SMYPS1_BMYPB1_ecd44037_2">#REF!</definedName>
    <definedName name="_vena_LI_SMYPS1_BMYPB1_ecd44037_3">#REF!</definedName>
    <definedName name="_vena_LI_SMYPS1_BMYPB1_ecd44037_4">#REF!</definedName>
    <definedName name="_vena_LI_SMYPS1_BMYPB1_ecd44037_5">#REF!</definedName>
    <definedName name="_vena_LI_SMYPS1_BMYPB1_ecf885d2">#REF!</definedName>
    <definedName name="_vena_LI_SMYPS1_BMYPB1_ed93caf5">#REF!</definedName>
    <definedName name="_vena_LI_SMYPS1_BMYPB1_eebae8ff">#REF!</definedName>
    <definedName name="_vena_LI_SMYPS1_BMYPB1_eef0f0b6">#REF!</definedName>
    <definedName name="_vena_LI_SMYPS1_BMYPB1_ef0f1ae0">#REF!</definedName>
    <definedName name="_vena_LI_SMYPS1_BMYPB1_ef0f1ae0_1">#REF!</definedName>
    <definedName name="_vena_LI_SMYPS1_BMYPB1_ef0f1ae0_2">#REF!</definedName>
    <definedName name="_vena_LI_SMYPS1_BMYPB1_f0a6d78d">#REF!</definedName>
    <definedName name="_vena_LI_SMYPS1_BMYPB1_f0f24baf">#REF!</definedName>
    <definedName name="_vena_LI_SMYPS1_BMYPB1_f13a336a">#REF!</definedName>
    <definedName name="_vena_LI_SMYPS1_BMYPB1_f1633ac9">#REF!</definedName>
    <definedName name="_vena_LI_SMYPS1_BMYPB1_f1843b7f">#REF!</definedName>
    <definedName name="_vena_LI_SMYPS1_BMYPB1_f38fc8c5">#REF!</definedName>
    <definedName name="_vena_LI_SMYPS1_BMYPB1_f464abee">#REF!</definedName>
    <definedName name="_vena_LI_SMYPS1_BMYPB1_f4e03db3">#REF!</definedName>
    <definedName name="_vena_LI_SMYPS1_BMYPB1_f50f6f41">#REF!</definedName>
    <definedName name="_vena_LI_SMYPS1_BMYPB1_f593b9a0">#REF!</definedName>
    <definedName name="_vena_LI_SMYPS1_BMYPB1_f64ea92d">#REF!</definedName>
    <definedName name="_vena_LI_SMYPS1_BMYPB1_f67e3f72">#REF!</definedName>
    <definedName name="_vena_LI_SMYPS1_BMYPB1_f6d3a6cf">#REF!</definedName>
    <definedName name="_vena_LI_SMYPS1_BMYPB1_f6d3b0a4">#REF!</definedName>
    <definedName name="_vena_LI_SMYPS1_BMYPB1_f75cd638">#REF!</definedName>
    <definedName name="_vena_LI_SMYPS1_BMYPB1_f8151b08">#REF!</definedName>
    <definedName name="_vena_LI_SMYPS1_BMYPB1_f8427718">#REF!</definedName>
    <definedName name="_vena_LI_SMYPS1_BMYPB1_f85394e2">#REF!</definedName>
    <definedName name="_vena_LI_SMYPS1_BMYPB1_f89fea89">#REF!</definedName>
    <definedName name="_vena_LI_SMYPS1_BMYPB1_f92ce1b6">#REF!</definedName>
    <definedName name="_vena_LI_SMYPS1_BMYPB1_f9631cbb">#REF!</definedName>
    <definedName name="_vena_LI_SMYPS1_BMYPB1_f99c5f61">#REF!</definedName>
    <definedName name="_vena_LI_SMYPS1_BMYPB1_f9f5025f">#REF!</definedName>
    <definedName name="_vena_LI_SMYPS1_BMYPB1_fa6a2612">#REF!</definedName>
    <definedName name="_vena_LI_SMYPS1_BMYPB1_fb579c45">#REF!</definedName>
    <definedName name="_vena_LI_SMYPS1_BMYPB1_fc346eed">#REF!</definedName>
    <definedName name="_vena_LI_SMYPS1_BMYPB1_fe58ca80">#REF!</definedName>
    <definedName name="_vena_LI_SMYPS1_BMYPB1_feaef122">#REF!</definedName>
    <definedName name="_vena_LI_SMYPS1_BMYPB1_ff191293">#REF!</definedName>
    <definedName name="_vena_LI_SMYPS1_BMYPB1_ff78b751">#REF!</definedName>
    <definedName name="_vena_LI_SMYPS1_BMYPB1_fffacffd">#REF!</definedName>
    <definedName name="_vena_LI_SMYPS1_BMYPB1_fffb67af">#REF!</definedName>
    <definedName name="_vena_LI_SMYPS1_BMYPB2_10ee9e5a">#REF!</definedName>
    <definedName name="_vena_LI_SMYPS1_BMYPB2_1140aa7a">#REF!</definedName>
    <definedName name="_vena_LI_SMYPS1_BMYPB2_11680975">#REF!</definedName>
    <definedName name="_vena_LI_SMYPS1_BMYPB2_11d88611">#REF!</definedName>
    <definedName name="_vena_LI_SMYPS1_BMYPB2_11fda952">#REF!</definedName>
    <definedName name="_vena_LI_SMYPS1_BMYPB2_12af8aeb">#REF!</definedName>
    <definedName name="_vena_LI_SMYPS1_BMYPB2_12c26c44">#REF!</definedName>
    <definedName name="_vena_LI_SMYPS1_BMYPB2_1338cb26">#REF!</definedName>
    <definedName name="_vena_LI_SMYPS1_BMYPB2_138807ac">#REF!</definedName>
    <definedName name="_vena_LI_SMYPS1_BMYPB2_14d1f8e">#REF!</definedName>
    <definedName name="_vena_LI_SMYPS1_BMYPB2_14fb2ad1">#REF!</definedName>
    <definedName name="_vena_LI_SMYPS1_BMYPB2_1516f727">#REF!</definedName>
    <definedName name="_vena_LI_SMYPS1_BMYPB2_1586d86a">#REF!</definedName>
    <definedName name="_vena_LI_SMYPS1_BMYPB2_15e770d2">#REF!</definedName>
    <definedName name="_vena_LI_SMYPS1_BMYPB2_1714b58e">#REF!</definedName>
    <definedName name="_vena_LI_SMYPS1_BMYPB2_17fd19e4">#REF!</definedName>
    <definedName name="_vena_LI_SMYPS1_BMYPB2_1833090b">#REF!</definedName>
    <definedName name="_vena_LI_SMYPS1_BMYPB2_187cdf85">#REF!</definedName>
    <definedName name="_vena_LI_SMYPS1_BMYPB2_189bd44c">#REF!</definedName>
    <definedName name="_vena_LI_SMYPS1_BMYPB2_18ed754a">#REF!</definedName>
    <definedName name="_vena_LI_SMYPS1_BMYPB2_191db2cb">#REF!</definedName>
    <definedName name="_vena_LI_SMYPS1_BMYPB2_1961c6f9">#REF!</definedName>
    <definedName name="_vena_LI_SMYPS1_BMYPB2_19705e72">#REF!</definedName>
    <definedName name="_vena_LI_SMYPS1_BMYPB2_197b3b7">#REF!</definedName>
    <definedName name="_vena_LI_SMYPS1_BMYPB2_19c0b0f">#REF!</definedName>
    <definedName name="_vena_LI_SMYPS1_BMYPB2_1a7e16d3">#REF!</definedName>
    <definedName name="_vena_LI_SMYPS1_BMYPB2_1a7e9dce">#REF!</definedName>
    <definedName name="_vena_LI_SMYPS1_BMYPB2_1b54b38e">#REF!</definedName>
    <definedName name="_vena_LI_SMYPS1_BMYPB2_1bbc15ff">#REF!</definedName>
    <definedName name="_vena_LI_SMYPS1_BMYPB2_1be0dbfe">#REF!</definedName>
    <definedName name="_vena_LI_SMYPS1_BMYPB2_1bed62f0">#REF!</definedName>
    <definedName name="_vena_LI_SMYPS1_BMYPB2_1c21503">#REF!</definedName>
    <definedName name="_vena_LI_SMYPS1_BMYPB2_1cdae5f9">#REF!</definedName>
    <definedName name="_vena_LI_SMYPS1_BMYPB2_1cf38bc1">#REF!</definedName>
    <definedName name="_vena_LI_SMYPS1_BMYPB2_1de732de">#REF!</definedName>
    <definedName name="_vena_LI_SMYPS1_BMYPB2_1ebdbfb9">#REF!</definedName>
    <definedName name="_vena_LI_SMYPS1_BMYPB2_1f9b4c57">#REF!</definedName>
    <definedName name="_vena_LI_SMYPS1_BMYPB2_2080209a">#REF!</definedName>
    <definedName name="_vena_LI_SMYPS1_BMYPB2_20f29e12">#REF!</definedName>
    <definedName name="_vena_LI_SMYPS1_BMYPB2_22d80a5f">#REF!</definedName>
    <definedName name="_vena_LI_SMYPS1_BMYPB2_2305b6c">#REF!</definedName>
    <definedName name="_vena_LI_SMYPS1_BMYPB2_23d94a02">#REF!</definedName>
    <definedName name="_vena_LI_SMYPS1_BMYPB2_24cfe295">#REF!</definedName>
    <definedName name="_vena_LI_SMYPS1_BMYPB2_25c0072e">#REF!</definedName>
    <definedName name="_vena_LI_SMYPS1_BMYPB2_25f8cd28">#REF!</definedName>
    <definedName name="_vena_LI_SMYPS1_BMYPB2_26c59e1d">#REF!</definedName>
    <definedName name="_vena_LI_SMYPS1_BMYPB2_288209e9">#REF!</definedName>
    <definedName name="_vena_LI_SMYPS1_BMYPB2_295eeab0">#REF!</definedName>
    <definedName name="_vena_LI_SMYPS1_BMYPB2_29686a7d">#REF!</definedName>
    <definedName name="_vena_LI_SMYPS1_BMYPB2_29f72680">#REF!</definedName>
    <definedName name="_vena_LI_SMYPS1_BMYPB2_2b1f4f3b">#REF!</definedName>
    <definedName name="_vena_LI_SMYPS1_BMYPB2_2b98966d">#REF!</definedName>
    <definedName name="_vena_LI_SMYPS1_BMYPB2_2c53d19c">#REF!</definedName>
    <definedName name="_vena_LI_SMYPS1_BMYPB2_2ca83ce5">#REF!</definedName>
    <definedName name="_vena_LI_SMYPS1_BMYPB2_2e805d76">#REF!</definedName>
    <definedName name="_vena_LI_SMYPS1_BMYPB2_2fa75d15">#REF!</definedName>
    <definedName name="_vena_LI_SMYPS1_BMYPB2_2ff746f3">#REF!</definedName>
    <definedName name="_vena_LI_SMYPS1_BMYPB2_2fff99b6">#REF!</definedName>
    <definedName name="_vena_LI_SMYPS1_BMYPB2_3044f93a">#REF!</definedName>
    <definedName name="_vena_LI_SMYPS1_BMYPB2_30717574">#REF!</definedName>
    <definedName name="_vena_LI_SMYPS1_BMYPB2_32ee6c21">#REF!</definedName>
    <definedName name="_vena_LI_SMYPS1_BMYPB2_33063f27">#REF!</definedName>
    <definedName name="_vena_LI_SMYPS1_BMYPB2_338c2878">#REF!</definedName>
    <definedName name="_vena_LI_SMYPS1_BMYPB2_33ab6729">#REF!</definedName>
    <definedName name="_vena_LI_SMYPS1_BMYPB2_33aebea6">#REF!</definedName>
    <definedName name="_vena_LI_SMYPS1_BMYPB2_34234931">#REF!</definedName>
    <definedName name="_vena_LI_SMYPS1_BMYPB2_354cef37">#REF!</definedName>
    <definedName name="_vena_LI_SMYPS1_BMYPB2_35cd646d">#REF!</definedName>
    <definedName name="_vena_LI_SMYPS1_BMYPB2_3647446d">#REF!</definedName>
    <definedName name="_vena_LI_SMYPS1_BMYPB2_3694d963">#REF!</definedName>
    <definedName name="_vena_LI_SMYPS1_BMYPB2_36cd8238">#REF!</definedName>
    <definedName name="_vena_LI_SMYPS1_BMYPB2_3719fb78">#REF!</definedName>
    <definedName name="_vena_LI_SMYPS1_BMYPB2_37660c28">#REF!</definedName>
    <definedName name="_vena_LI_SMYPS1_BMYPB2_37dc3924">#REF!</definedName>
    <definedName name="_vena_LI_SMYPS1_BMYPB2_37efa819">#REF!</definedName>
    <definedName name="_vena_LI_SMYPS1_BMYPB2_3864d7d3">#REF!</definedName>
    <definedName name="_vena_LI_SMYPS1_BMYPB2_38bb63b8">#REF!</definedName>
    <definedName name="_vena_LI_SMYPS1_BMYPB2_3ab2021e">#REF!</definedName>
    <definedName name="_vena_LI_SMYPS1_BMYPB2_3cad893f">#REF!</definedName>
    <definedName name="_vena_LI_SMYPS1_BMYPB2_3d5a31dc">#REF!</definedName>
    <definedName name="_vena_LI_SMYPS1_BMYPB2_3e1fe2b4">#REF!</definedName>
    <definedName name="_vena_LI_SMYPS1_BMYPB2_3e4636c0">#REF!</definedName>
    <definedName name="_vena_LI_SMYPS1_BMYPB2_3f3389f7">#REF!</definedName>
    <definedName name="_vena_LI_SMYPS1_BMYPB2_3f3f5876">#REF!</definedName>
    <definedName name="_vena_LI_SMYPS1_BMYPB2_3fa7517c">#REF!</definedName>
    <definedName name="_vena_LI_SMYPS1_BMYPB2_40dc1ac7">#REF!</definedName>
    <definedName name="_vena_LI_SMYPS1_BMYPB2_4227a060">#REF!</definedName>
    <definedName name="_vena_LI_SMYPS1_BMYPB2_43684f0f">#REF!</definedName>
    <definedName name="_vena_LI_SMYPS1_BMYPB2_43a21ddb">#REF!</definedName>
    <definedName name="_vena_LI_SMYPS1_BMYPB2_4444ec1f">#REF!</definedName>
    <definedName name="_vena_LI_SMYPS1_BMYPB2_44f34610">#REF!</definedName>
    <definedName name="_vena_LI_SMYPS1_BMYPB2_4571d2e0">#REF!</definedName>
    <definedName name="_vena_LI_SMYPS1_BMYPB2_459980ed">#REF!</definedName>
    <definedName name="_vena_LI_SMYPS1_BMYPB2_47347bff">#REF!</definedName>
    <definedName name="_vena_LI_SMYPS1_BMYPB2_47831dc5">#REF!</definedName>
    <definedName name="_vena_LI_SMYPS1_BMYPB2_47dd74c1">#REF!</definedName>
    <definedName name="_vena_LI_SMYPS1_BMYPB2_47ecab12">#REF!</definedName>
    <definedName name="_vena_LI_SMYPS1_BMYPB2_4913e7e1">#REF!</definedName>
    <definedName name="_vena_LI_SMYPS1_BMYPB2_492f8a44">#REF!</definedName>
    <definedName name="_vena_LI_SMYPS1_BMYPB2_49684790">#REF!</definedName>
    <definedName name="_vena_LI_SMYPS1_BMYPB2_4a0ba064">#REF!</definedName>
    <definedName name="_vena_LI_SMYPS1_BMYPB2_4a58458">#REF!</definedName>
    <definedName name="_vena_LI_SMYPS1_BMYPB2_4b66468a">#REF!</definedName>
    <definedName name="_vena_LI_SMYPS1_BMYPB2_4b7c8914">#REF!</definedName>
    <definedName name="_vena_LI_SMYPS1_BMYPB2_4c08d6c9">#REF!</definedName>
    <definedName name="_vena_LI_SMYPS1_BMYPB2_4c671bf1">#REF!</definedName>
    <definedName name="_vena_LI_SMYPS1_BMYPB2_4cd51210">#REF!</definedName>
    <definedName name="_vena_LI_SMYPS1_BMYPB2_4d55fc64">#REF!</definedName>
    <definedName name="_vena_LI_SMYPS1_BMYPB2_4dc3f99">#REF!</definedName>
    <definedName name="_vena_LI_SMYPS1_BMYPB2_4df0cbfe">#REF!</definedName>
    <definedName name="_vena_LI_SMYPS1_BMYPB2_4e19f0d4">#REF!</definedName>
    <definedName name="_vena_LI_SMYPS1_BMYPB2_4e35f6e7">#REF!</definedName>
    <definedName name="_vena_LI_SMYPS1_BMYPB2_4e6439e8">#REF!</definedName>
    <definedName name="_vena_LI_SMYPS1_BMYPB2_4f3b1340">#REF!</definedName>
    <definedName name="_vena_LI_SMYPS1_BMYPB2_4f99697b">#REF!</definedName>
    <definedName name="_vena_LI_SMYPS1_BMYPB2_50f6854b">#REF!</definedName>
    <definedName name="_vena_LI_SMYPS1_BMYPB2_51869ff2">#REF!</definedName>
    <definedName name="_vena_LI_SMYPS1_BMYPB2_51a98052">#REF!</definedName>
    <definedName name="_vena_LI_SMYPS1_BMYPB2_51d42193">#REF!</definedName>
    <definedName name="_vena_LI_SMYPS1_BMYPB2_525905dd">#REF!</definedName>
    <definedName name="_vena_LI_SMYPS1_BMYPB2_52ef6a39">#REF!</definedName>
    <definedName name="_vena_LI_SMYPS1_BMYPB2_531552b7">#REF!</definedName>
    <definedName name="_vena_LI_SMYPS1_BMYPB2_54ed91e7">#REF!</definedName>
    <definedName name="_vena_LI_SMYPS1_BMYPB2_55e64ceb">#REF!</definedName>
    <definedName name="_vena_LI_SMYPS1_BMYPB2_572615e7">#REF!</definedName>
    <definedName name="_vena_LI_SMYPS1_BMYPB2_57434db6">#REF!</definedName>
    <definedName name="_vena_LI_SMYPS1_BMYPB2_577fb471">#REF!</definedName>
    <definedName name="_vena_LI_SMYPS1_BMYPB2_57a24b7b">#REF!</definedName>
    <definedName name="_vena_LI_SMYPS1_BMYPB2_57acba6e">#REF!</definedName>
    <definedName name="_vena_LI_SMYPS1_BMYPB2_57b18852">#REF!</definedName>
    <definedName name="_vena_LI_SMYPS1_BMYPB2_57e3f8fe">#REF!</definedName>
    <definedName name="_vena_LI_SMYPS1_BMYPB2_587fbadb">#REF!</definedName>
    <definedName name="_vena_LI_SMYPS1_BMYPB2_5894037d">#REF!</definedName>
    <definedName name="_vena_LI_SMYPS1_BMYPB2_58c8e24">#REF!</definedName>
    <definedName name="_vena_LI_SMYPS1_BMYPB2_58cd59f2">#REF!</definedName>
    <definedName name="_vena_LI_SMYPS1_BMYPB2_593b3f78">#REF!</definedName>
    <definedName name="_vena_LI_SMYPS1_BMYPB2_59a0327a">#REF!</definedName>
    <definedName name="_vena_LI_SMYPS1_BMYPB2_5bbdc3f7">#REF!</definedName>
    <definedName name="_vena_LI_SMYPS1_BMYPB2_5bbf566c">#REF!</definedName>
    <definedName name="_vena_LI_SMYPS1_BMYPB2_5bf9595b">#REF!</definedName>
    <definedName name="_vena_LI_SMYPS1_BMYPB2_5c6506a3">#REF!</definedName>
    <definedName name="_vena_LI_SMYPS1_BMYPB2_5c6bd7eb">#REF!</definedName>
    <definedName name="_vena_LI_SMYPS1_BMYPB2_5d2b52a1">#REF!</definedName>
    <definedName name="_vena_LI_SMYPS1_BMYPB2_5d4a5c09">#REF!</definedName>
    <definedName name="_vena_LI_SMYPS1_BMYPB2_5d61e314">#REF!</definedName>
    <definedName name="_vena_LI_SMYPS1_BMYPB2_5f81659">#REF!</definedName>
    <definedName name="_vena_LI_SMYPS1_BMYPB2_5fdad429">#REF!</definedName>
    <definedName name="_vena_LI_SMYPS1_BMYPB2_6000e994">#REF!</definedName>
    <definedName name="_vena_LI_SMYPS1_BMYPB2_605b1150">#REF!</definedName>
    <definedName name="_vena_LI_SMYPS1_BMYPB2_60751fd8">#REF!</definedName>
    <definedName name="_vena_LI_SMYPS1_BMYPB2_61bccaa6">#REF!</definedName>
    <definedName name="_vena_LI_SMYPS1_BMYPB2_61c39b02">#REF!</definedName>
    <definedName name="_vena_LI_SMYPS1_BMYPB2_61cea231">#REF!</definedName>
    <definedName name="_vena_LI_SMYPS1_BMYPB2_61dab60e">#REF!</definedName>
    <definedName name="_vena_LI_SMYPS1_BMYPB2_624d382d">#REF!</definedName>
    <definedName name="_vena_LI_SMYPS1_BMYPB2_62a20c38">#REF!</definedName>
    <definedName name="_vena_LI_SMYPS1_BMYPB2_637fd14f">#REF!</definedName>
    <definedName name="_vena_LI_SMYPS1_BMYPB2_639e45ae">#REF!</definedName>
    <definedName name="_vena_LI_SMYPS1_BMYPB2_63ca7df8">#REF!</definedName>
    <definedName name="_vena_LI_SMYPS1_BMYPB2_6437a019">#REF!</definedName>
    <definedName name="_vena_LI_SMYPS1_BMYPB2_646be581">#REF!</definedName>
    <definedName name="_vena_LI_SMYPS1_BMYPB2_6474ed53">#REF!</definedName>
    <definedName name="_vena_LI_SMYPS1_BMYPB2_65b10d49">#REF!</definedName>
    <definedName name="_vena_LI_SMYPS1_BMYPB2_672ec5df">#REF!</definedName>
    <definedName name="_vena_LI_SMYPS1_BMYPB2_67631f3d">#REF!</definedName>
    <definedName name="_vena_LI_SMYPS1_BMYPB2_6787fbd9">#REF!</definedName>
    <definedName name="_vena_LI_SMYPS1_BMYPB2_67ca528e">#REF!</definedName>
    <definedName name="_vena_LI_SMYPS1_BMYPB2_6920fd99">#REF!</definedName>
    <definedName name="_vena_LI_SMYPS1_BMYPB2_697642">#REF!</definedName>
    <definedName name="_vena_LI_SMYPS1_BMYPB2_6a8dc353">#REF!</definedName>
    <definedName name="_vena_LI_SMYPS1_BMYPB2_6a96d02e">#REF!</definedName>
    <definedName name="_vena_LI_SMYPS1_BMYPB2_6bc1242c">#REF!</definedName>
    <definedName name="_vena_LI_SMYPS1_BMYPB2_6c8c4a83">#REF!</definedName>
    <definedName name="_vena_LI_SMYPS1_BMYPB2_6dd3edf7">#REF!</definedName>
    <definedName name="_vena_LI_SMYPS1_BMYPB2_6e2159ec">#REF!</definedName>
    <definedName name="_vena_LI_SMYPS1_BMYPB2_6f8f83f8">#REF!</definedName>
    <definedName name="_vena_LI_SMYPS1_BMYPB2_6faeb4cd">#REF!</definedName>
    <definedName name="_vena_LI_SMYPS1_BMYPB2_70681d1d">#REF!</definedName>
    <definedName name="_vena_LI_SMYPS1_BMYPB2_71174bae">#REF!</definedName>
    <definedName name="_vena_LI_SMYPS1_BMYPB2_715451de">#REF!</definedName>
    <definedName name="_vena_LI_SMYPS1_BMYPB2_71fbecf8">#REF!</definedName>
    <definedName name="_vena_LI_SMYPS1_BMYPB2_722a378a">#REF!</definedName>
    <definedName name="_vena_LI_SMYPS1_BMYPB2_7342d5fb">#REF!</definedName>
    <definedName name="_vena_LI_SMYPS1_BMYPB2_73a4643e">#REF!</definedName>
    <definedName name="_vena_LI_SMYPS1_BMYPB2_73bff025">#REF!</definedName>
    <definedName name="_vena_LI_SMYPS1_BMYPB2_73e9d630">#REF!</definedName>
    <definedName name="_vena_LI_SMYPS1_BMYPB2_74086cfe">#REF!</definedName>
    <definedName name="_vena_LI_SMYPS1_BMYPB2_751d27d">#REF!</definedName>
    <definedName name="_vena_LI_SMYPS1_BMYPB2_753e7b14">#REF!</definedName>
    <definedName name="_vena_LI_SMYPS1_BMYPB2_7592737d">#REF!</definedName>
    <definedName name="_vena_LI_SMYPS1_BMYPB2_7693af8e">#REF!</definedName>
    <definedName name="_vena_LI_SMYPS1_BMYPB2_76975d05">#REF!</definedName>
    <definedName name="_vena_LI_SMYPS1_BMYPB2_77c98020">#REF!</definedName>
    <definedName name="_vena_LI_SMYPS1_BMYPB2_780e5d97">#REF!</definedName>
    <definedName name="_vena_LI_SMYPS1_BMYPB2_78b62bb9">#REF!</definedName>
    <definedName name="_vena_LI_SMYPS1_BMYPB2_791bc225">#REF!</definedName>
    <definedName name="_vena_LI_SMYPS1_BMYPB2_798e1489">#REF!</definedName>
    <definedName name="_vena_LI_SMYPS1_BMYPB2_7a288584">#REF!</definedName>
    <definedName name="_vena_LI_SMYPS1_BMYPB2_7ab41d5a">#REF!</definedName>
    <definedName name="_vena_LI_SMYPS1_BMYPB2_7ac33364">#REF!</definedName>
    <definedName name="_vena_LI_SMYPS1_BMYPB2_7b091484">#REF!</definedName>
    <definedName name="_vena_LI_SMYPS1_BMYPB2_7c38aee">#REF!</definedName>
    <definedName name="_vena_LI_SMYPS1_BMYPB2_7c7c7fa5">#REF!</definedName>
    <definedName name="_vena_LI_SMYPS1_BMYPB2_7ceb9fd5">#REF!</definedName>
    <definedName name="_vena_LI_SMYPS1_BMYPB2_7f96239c">#REF!</definedName>
    <definedName name="_vena_LI_SMYPS1_BMYPB2_7fa6d5d6">#REF!</definedName>
    <definedName name="_vena_LI_SMYPS1_BMYPB2_7fd12d7a">#REF!</definedName>
    <definedName name="_vena_LI_SMYPS1_BMYPB2_8030a025">#REF!</definedName>
    <definedName name="_vena_LI_SMYPS1_BMYPB2_80e0288b">#REF!</definedName>
    <definedName name="_vena_LI_SMYPS1_BMYPB2_81b50960">#REF!</definedName>
    <definedName name="_vena_LI_SMYPS1_BMYPB2_838bcea">#REF!</definedName>
    <definedName name="_vena_LI_SMYPS1_BMYPB2_83e34a0b">#REF!</definedName>
    <definedName name="_vena_LI_SMYPS1_BMYPB2_840bcc10">#REF!</definedName>
    <definedName name="_vena_LI_SMYPS1_BMYPB2_84cc9caf">#REF!</definedName>
    <definedName name="_vena_LI_SMYPS1_BMYPB2_857778d1">#REF!</definedName>
    <definedName name="_vena_LI_SMYPS1_BMYPB2_862b4423">#REF!</definedName>
    <definedName name="_vena_LI_SMYPS1_BMYPB2_8644eaab">#REF!</definedName>
    <definedName name="_vena_LI_SMYPS1_BMYPB2_8715a198">#REF!</definedName>
    <definedName name="_vena_LI_SMYPS1_BMYPB2_871b6a20">#REF!</definedName>
    <definedName name="_vena_LI_SMYPS1_BMYPB2_8720e147">#REF!</definedName>
    <definedName name="_vena_LI_SMYPS1_BMYPB2_88c575ad">#REF!</definedName>
    <definedName name="_vena_LI_SMYPS1_BMYPB2_88fc4626">#REF!</definedName>
    <definedName name="_vena_LI_SMYPS1_BMYPB2_8960d5bf">#REF!</definedName>
    <definedName name="_vena_LI_SMYPS1_BMYPB2_8975e2d1">#REF!</definedName>
    <definedName name="_vena_LI_SMYPS1_BMYPB2_8987afe8">#REF!</definedName>
    <definedName name="_vena_LI_SMYPS1_BMYPB2_899ecc3c">#REF!</definedName>
    <definedName name="_vena_LI_SMYPS1_BMYPB2_8bae6e76">#REF!</definedName>
    <definedName name="_vena_LI_SMYPS1_BMYPB2_8d44b245">#REF!</definedName>
    <definedName name="_vena_LI_SMYPS1_BMYPB2_8dbe7e38">#REF!</definedName>
    <definedName name="_vena_LI_SMYPS1_BMYPB2_8dc9e71f">#REF!</definedName>
    <definedName name="_vena_LI_SMYPS1_BMYPB2_8dee09eb">#REF!</definedName>
    <definedName name="_vena_LI_SMYPS1_BMYPB2_8e1e0cd0">#REF!</definedName>
    <definedName name="_vena_LI_SMYPS1_BMYPB2_8e2c9a5">#REF!</definedName>
    <definedName name="_vena_LI_SMYPS1_BMYPB2_8f6d8d3d">#REF!</definedName>
    <definedName name="_vena_LI_SMYPS1_BMYPB2_901f6c52">#REF!</definedName>
    <definedName name="_vena_LI_SMYPS1_BMYPB2_90aa2ece">#REF!</definedName>
    <definedName name="_vena_LI_SMYPS1_BMYPB2_912ba3a2">#REF!</definedName>
    <definedName name="_vena_LI_SMYPS1_BMYPB2_9146bb3e">#REF!</definedName>
    <definedName name="_vena_LI_SMYPS1_BMYPB2_91b0243f">#REF!</definedName>
    <definedName name="_vena_LI_SMYPS1_BMYPB2_91cc530b">#REF!</definedName>
    <definedName name="_vena_LI_SMYPS1_BMYPB2_9280d9a1">#REF!</definedName>
    <definedName name="_vena_LI_SMYPS1_BMYPB2_92eed800">#REF!</definedName>
    <definedName name="_vena_LI_SMYPS1_BMYPB2_9364f4b8">#REF!</definedName>
    <definedName name="_vena_LI_SMYPS1_BMYPB2_94a62823">#REF!</definedName>
    <definedName name="_vena_LI_SMYPS1_BMYPB2_94aeb7fe">#REF!</definedName>
    <definedName name="_vena_LI_SMYPS1_BMYPB2_94c28d1a">#REF!</definedName>
    <definedName name="_vena_LI_SMYPS1_BMYPB2_94c9979f">#REF!</definedName>
    <definedName name="_vena_LI_SMYPS1_BMYPB2_9563a24a">#REF!</definedName>
    <definedName name="_vena_LI_SMYPS1_BMYPB2_9587e9ce">#REF!</definedName>
    <definedName name="_vena_LI_SMYPS1_BMYPB2_95d79eef">#REF!</definedName>
    <definedName name="_vena_LI_SMYPS1_BMYPB2_9631db0">#REF!</definedName>
    <definedName name="_vena_LI_SMYPS1_BMYPB2_9790fdfd">#REF!</definedName>
    <definedName name="_vena_LI_SMYPS1_BMYPB2_97f01e59">#REF!</definedName>
    <definedName name="_vena_LI_SMYPS1_BMYPB2_98441ea5">#REF!</definedName>
    <definedName name="_vena_LI_SMYPS1_BMYPB2_984dcd68">#REF!</definedName>
    <definedName name="_vena_LI_SMYPS1_BMYPB2_98c86db6">#REF!</definedName>
    <definedName name="_vena_LI_SMYPS1_BMYPB2_98f65fe3">#REF!</definedName>
    <definedName name="_vena_LI_SMYPS1_BMYPB2_999d54e4">#REF!</definedName>
    <definedName name="_vena_LI_SMYPS1_BMYPB2_9a24945a">#REF!</definedName>
    <definedName name="_vena_LI_SMYPS1_BMYPB2_9a9d4a4a">#REF!</definedName>
    <definedName name="_vena_LI_SMYPS1_BMYPB2_9ad73ff9">#REF!</definedName>
    <definedName name="_vena_LI_SMYPS1_BMYPB2_9b91a46f">#REF!</definedName>
    <definedName name="_vena_LI_SMYPS1_BMYPB2_9c0c2d2a">#REF!</definedName>
    <definedName name="_vena_LI_SMYPS1_BMYPB2_9cfa0963">#REF!</definedName>
    <definedName name="_vena_LI_SMYPS1_BMYPB2_9d152757">#REF!</definedName>
    <definedName name="_vena_LI_SMYPS1_BMYPB2_9d406570">#REF!</definedName>
    <definedName name="_vena_LI_SMYPS1_BMYPB2_9d518804">#REF!</definedName>
    <definedName name="_vena_LI_SMYPS1_BMYPB2_9e61dc2f">#REF!</definedName>
    <definedName name="_vena_LI_SMYPS1_BMYPB2_9e83eff3">#REF!</definedName>
    <definedName name="_vena_LI_SMYPS1_BMYPB2_9e85a3">#REF!</definedName>
    <definedName name="_vena_LI_SMYPS1_BMYPB2_9f0b6098">#REF!</definedName>
    <definedName name="_vena_LI_SMYPS1_BMYPB2_9f0f4c42">#REF!</definedName>
    <definedName name="_vena_LI_SMYPS1_BMYPB2_9fd5468e">#REF!</definedName>
    <definedName name="_vena_LI_SMYPS1_BMYPB2_9ff3c896">#REF!</definedName>
    <definedName name="_vena_LI_SMYPS1_BMYPB2_a00b0985">#REF!</definedName>
    <definedName name="_vena_LI_SMYPS1_BMYPB2_a1308940">#REF!</definedName>
    <definedName name="_vena_LI_SMYPS1_BMYPB2_a275f0b">#REF!</definedName>
    <definedName name="_vena_LI_SMYPS1_BMYPB2_a2984166">#REF!</definedName>
    <definedName name="_vena_LI_SMYPS1_BMYPB2_a396dcbe">#REF!</definedName>
    <definedName name="_vena_LI_SMYPS1_BMYPB2_a4b0d46b">#REF!</definedName>
    <definedName name="_vena_LI_SMYPS1_BMYPB2_a69d4cc0">#REF!</definedName>
    <definedName name="_vena_LI_SMYPS1_BMYPB2_a6ad7085">#REF!</definedName>
    <definedName name="_vena_LI_SMYPS1_BMYPB2_a6db5320">#REF!</definedName>
    <definedName name="_vena_LI_SMYPS1_BMYPB2_a6f7b9cb">#REF!</definedName>
    <definedName name="_vena_LI_SMYPS1_BMYPB2_a70a4b3b">#REF!</definedName>
    <definedName name="_vena_LI_SMYPS1_BMYPB2_a802398b">#REF!</definedName>
    <definedName name="_vena_LI_SMYPS1_BMYPB2_a847c913">#REF!</definedName>
    <definedName name="_vena_LI_SMYPS1_BMYPB2_a8802f4">#REF!</definedName>
    <definedName name="_vena_LI_SMYPS1_BMYPB2_aa74e7c5">#REF!</definedName>
    <definedName name="_vena_LI_SMYPS1_BMYPB2_aaa0f243">#REF!</definedName>
    <definedName name="_vena_LI_SMYPS1_BMYPB2_ac6730f4">#REF!</definedName>
    <definedName name="_vena_LI_SMYPS1_BMYPB2_ad72bfab">#REF!</definedName>
    <definedName name="_vena_LI_SMYPS1_BMYPB2_adca1ae">#REF!</definedName>
    <definedName name="_vena_LI_SMYPS1_BMYPB2_adf06948">#REF!</definedName>
    <definedName name="_vena_LI_SMYPS1_BMYPB2_adfabafe">#REF!</definedName>
    <definedName name="_vena_LI_SMYPS1_BMYPB2_af02c8c8">#REF!</definedName>
    <definedName name="_vena_LI_SMYPS1_BMYPB2_af50ca10">#REF!</definedName>
    <definedName name="_vena_LI_SMYPS1_BMYPB2_b031a836">#REF!</definedName>
    <definedName name="_vena_LI_SMYPS1_BMYPB2_b0426c8c">#REF!</definedName>
    <definedName name="_vena_LI_SMYPS1_BMYPB2_b0bde871">#REF!</definedName>
    <definedName name="_vena_LI_SMYPS1_BMYPB2_b0f0fda0">#REF!</definedName>
    <definedName name="_vena_LI_SMYPS1_BMYPB2_b113f996">#REF!</definedName>
    <definedName name="_vena_LI_SMYPS1_BMYPB2_b1466687">#REF!</definedName>
    <definedName name="_vena_LI_SMYPS1_BMYPB2_b1a6eb13">#REF!</definedName>
    <definedName name="_vena_LI_SMYPS1_BMYPB2_b1bc5073">#REF!</definedName>
    <definedName name="_vena_LI_SMYPS1_BMYPB2_b1d7a055">#REF!</definedName>
    <definedName name="_vena_LI_SMYPS1_BMYPB2_b2098ed2">#REF!</definedName>
    <definedName name="_vena_LI_SMYPS1_BMYPB2_b2a3b3ed">#REF!</definedName>
    <definedName name="_vena_LI_SMYPS1_BMYPB2_b2c1e1a7">#REF!</definedName>
    <definedName name="_vena_LI_SMYPS1_BMYPB2_b2f40abb">#REF!</definedName>
    <definedName name="_vena_LI_SMYPS1_BMYPB2_b308fecb">#REF!</definedName>
    <definedName name="_vena_LI_SMYPS1_BMYPB2_b3a19b20">#REF!</definedName>
    <definedName name="_vena_LI_SMYPS1_BMYPB2_b46f441d">#REF!</definedName>
    <definedName name="_vena_LI_SMYPS1_BMYPB2_b4898dd1">#REF!</definedName>
    <definedName name="_vena_LI_SMYPS1_BMYPB2_b4dac248">#REF!</definedName>
    <definedName name="_vena_LI_SMYPS1_BMYPB2_b5b2c3c2">#REF!</definedName>
    <definedName name="_vena_LI_SMYPS1_BMYPB2_b5e22ebe">#REF!</definedName>
    <definedName name="_vena_LI_SMYPS1_BMYPB2_b64a0b8d">#REF!</definedName>
    <definedName name="_vena_LI_SMYPS1_BMYPB2_b6537b9d">#REF!</definedName>
    <definedName name="_vena_LI_SMYPS1_BMYPB2_b6cab698">#REF!</definedName>
    <definedName name="_vena_LI_SMYPS1_BMYPB2_b713a253">#REF!</definedName>
    <definedName name="_vena_LI_SMYPS1_BMYPB2_b7472def">#REF!</definedName>
    <definedName name="_vena_LI_SMYPS1_BMYPB2_b76e876b">#REF!</definedName>
    <definedName name="_vena_LI_SMYPS1_BMYPB2_ba6ab9e2">#REF!</definedName>
    <definedName name="_vena_LI_SMYPS1_BMYPB2_babc9e10">#REF!</definedName>
    <definedName name="_vena_LI_SMYPS1_BMYPB2_bb3e474f">#REF!</definedName>
    <definedName name="_vena_LI_SMYPS1_BMYPB2_bcb6e995">#REF!</definedName>
    <definedName name="_vena_LI_SMYPS1_BMYPB2_be4df7b3">#REF!</definedName>
    <definedName name="_vena_LI_SMYPS1_BMYPB2_be74ab66">#REF!</definedName>
    <definedName name="_vena_LI_SMYPS1_BMYPB2_beadf1">#REF!</definedName>
    <definedName name="_vena_LI_SMYPS1_BMYPB2_c041ee5a">#REF!</definedName>
    <definedName name="_vena_LI_SMYPS1_BMYPB2_c06b5c73">#REF!</definedName>
    <definedName name="_vena_LI_SMYPS1_BMYPB2_c086d050">#REF!</definedName>
    <definedName name="_vena_LI_SMYPS1_BMYPB2_c0bbbfa9">#REF!</definedName>
    <definedName name="_vena_LI_SMYPS1_BMYPB2_c1168856">#REF!</definedName>
    <definedName name="_vena_LI_SMYPS1_BMYPB2_c1648d06">#REF!</definedName>
    <definedName name="_vena_LI_SMYPS1_BMYPB2_c16c045f">#REF!</definedName>
    <definedName name="_vena_LI_SMYPS1_BMYPB2_c2d669b1">#REF!</definedName>
    <definedName name="_vena_LI_SMYPS1_BMYPB2_c2ed3a5e">#REF!</definedName>
    <definedName name="_vena_LI_SMYPS1_BMYPB2_c2fe2b9c">#REF!</definedName>
    <definedName name="_vena_LI_SMYPS1_BMYPB2_c345d63a">#REF!</definedName>
    <definedName name="_vena_LI_SMYPS1_BMYPB2_c355c0d1">#REF!</definedName>
    <definedName name="_vena_LI_SMYPS1_BMYPB2_c377689c">#REF!</definedName>
    <definedName name="_vena_LI_SMYPS1_BMYPB2_c3a6f81d">#REF!</definedName>
    <definedName name="_vena_LI_SMYPS1_BMYPB2_c3ef609e">#REF!</definedName>
    <definedName name="_vena_LI_SMYPS1_BMYPB2_c41970d">#REF!</definedName>
    <definedName name="_vena_LI_SMYPS1_BMYPB2_c48eebc5">#REF!</definedName>
    <definedName name="_vena_LI_SMYPS1_BMYPB2_c541b022">#REF!</definedName>
    <definedName name="_vena_LI_SMYPS1_BMYPB2_c55fcfd9">#REF!</definedName>
    <definedName name="_vena_LI_SMYPS1_BMYPB2_c56bc6c7">#REF!</definedName>
    <definedName name="_vena_LI_SMYPS1_BMYPB2_c6586c26">#REF!</definedName>
    <definedName name="_vena_LI_SMYPS1_BMYPB2_c68fb329">#REF!</definedName>
    <definedName name="_vena_LI_SMYPS1_BMYPB2_c7237625">#REF!</definedName>
    <definedName name="_vena_LI_SMYPS1_BMYPB2_c733d4af">#REF!</definedName>
    <definedName name="_vena_LI_SMYPS1_BMYPB2_c74046ca">#REF!</definedName>
    <definedName name="_vena_LI_SMYPS1_BMYPB2_c8631547">#REF!</definedName>
    <definedName name="_vena_LI_SMYPS1_BMYPB2_c8d253e2">#REF!</definedName>
    <definedName name="_vena_LI_SMYPS1_BMYPB2_c8dc371d">#REF!</definedName>
    <definedName name="_vena_LI_SMYPS1_BMYPB2_c905d181">#REF!</definedName>
    <definedName name="_vena_LI_SMYPS1_BMYPB2_ca4fbe7a">#REF!</definedName>
    <definedName name="_vena_LI_SMYPS1_BMYPB2_ca5625b7">#REF!</definedName>
    <definedName name="_vena_LI_SMYPS1_BMYPB2_cbcacd15">#REF!</definedName>
    <definedName name="_vena_LI_SMYPS1_BMYPB2_ccc0d1b1">#REF!</definedName>
    <definedName name="_vena_LI_SMYPS1_BMYPB2_ccd8507f">#REF!</definedName>
    <definedName name="_vena_LI_SMYPS1_BMYPB2_ce49d876">#REF!</definedName>
    <definedName name="_vena_LI_SMYPS1_BMYPB2_ce8b9c8a">#REF!</definedName>
    <definedName name="_vena_LI_SMYPS1_BMYPB2_cf878410">#REF!</definedName>
    <definedName name="_vena_LI_SMYPS1_BMYPB2_d0070a35">#REF!</definedName>
    <definedName name="_vena_LI_SMYPS1_BMYPB2_d1969868">#REF!</definedName>
    <definedName name="_vena_LI_SMYPS1_BMYPB2_d19aa00e">#REF!</definedName>
    <definedName name="_vena_LI_SMYPS1_BMYPB2_d274d9f3">#REF!</definedName>
    <definedName name="_vena_LI_SMYPS1_BMYPB2_d2974cf7">#REF!</definedName>
    <definedName name="_vena_LI_SMYPS1_BMYPB2_d2c00a0e">#REF!</definedName>
    <definedName name="_vena_LI_SMYPS1_BMYPB2_d324a395">#REF!</definedName>
    <definedName name="_vena_LI_SMYPS1_BMYPB2_d3305076">#REF!</definedName>
    <definedName name="_vena_LI_SMYPS1_BMYPB2_d33fe8dd">#REF!</definedName>
    <definedName name="_vena_LI_SMYPS1_BMYPB2_d40db162">#REF!</definedName>
    <definedName name="_vena_LI_SMYPS1_BMYPB2_d427c0ea">#REF!</definedName>
    <definedName name="_vena_LI_SMYPS1_BMYPB2_d4c92bba">#REF!</definedName>
    <definedName name="_vena_LI_SMYPS1_BMYPB2_d5886635">#REF!</definedName>
    <definedName name="_vena_LI_SMYPS1_BMYPB2_d5d66d65">#REF!</definedName>
    <definedName name="_vena_LI_SMYPS1_BMYPB2_d5dddba0">#REF!</definedName>
    <definedName name="_vena_LI_SMYPS1_BMYPB2_d68ef7ea">#REF!</definedName>
    <definedName name="_vena_LI_SMYPS1_BMYPB2_d79e0894">#REF!</definedName>
    <definedName name="_vena_LI_SMYPS1_BMYPB2_d7f139cd">#REF!</definedName>
    <definedName name="_vena_LI_SMYPS1_BMYPB2_d980c1ee">#REF!</definedName>
    <definedName name="_vena_LI_SMYPS1_BMYPB2_d9b86538">#REF!</definedName>
    <definedName name="_vena_LI_SMYPS1_BMYPB2_da671b97">#REF!</definedName>
    <definedName name="_vena_LI_SMYPS1_BMYPB2_da86a0f7">#REF!</definedName>
    <definedName name="_vena_LI_SMYPS1_BMYPB2_da9cee9a">#REF!</definedName>
    <definedName name="_vena_LI_SMYPS1_BMYPB2_dbf502c2">#REF!</definedName>
    <definedName name="_vena_LI_SMYPS1_BMYPB2_dc44198b">#REF!</definedName>
    <definedName name="_vena_LI_SMYPS1_BMYPB2_dc5b0739">#REF!</definedName>
    <definedName name="_vena_LI_SMYPS1_BMYPB2_dcfba0f8">#REF!</definedName>
    <definedName name="_vena_LI_SMYPS1_BMYPB2_dd2284be">#REF!</definedName>
    <definedName name="_vena_LI_SMYPS1_BMYPB2_dd4e56c8">#REF!</definedName>
    <definedName name="_vena_LI_SMYPS1_BMYPB2_dd63f38b">#REF!</definedName>
    <definedName name="_vena_LI_SMYPS1_BMYPB2_ddd4591d">#REF!</definedName>
    <definedName name="_vena_LI_SMYPS1_BMYPB2_de06b696">#REF!</definedName>
    <definedName name="_vena_LI_SMYPS1_BMYPB2_de09d49c">#REF!</definedName>
    <definedName name="_vena_LI_SMYPS1_BMYPB2_df5284a0">#REF!</definedName>
    <definedName name="_vena_LI_SMYPS1_BMYPB2_dfe5296c">#REF!</definedName>
    <definedName name="_vena_LI_SMYPS1_BMYPB2_e03f85c2">#REF!</definedName>
    <definedName name="_vena_LI_SMYPS1_BMYPB2_e15a75c0">#REF!</definedName>
    <definedName name="_vena_LI_SMYPS1_BMYPB2_e16b3fc">#REF!</definedName>
    <definedName name="_vena_LI_SMYPS1_BMYPB2_e1cfe89a">#REF!</definedName>
    <definedName name="_vena_LI_SMYPS1_BMYPB2_e33b4a9e">#REF!</definedName>
    <definedName name="_vena_LI_SMYPS1_BMYPB2_e3e1eee4">#REF!</definedName>
    <definedName name="_vena_LI_SMYPS1_BMYPB2_e4004c29">#REF!</definedName>
    <definedName name="_vena_LI_SMYPS1_BMYPB2_e43739f1">#REF!</definedName>
    <definedName name="_vena_LI_SMYPS1_BMYPB2_e556aaa1">#REF!</definedName>
    <definedName name="_vena_LI_SMYPS1_BMYPB2_e7202f0b">#REF!</definedName>
    <definedName name="_vena_LI_SMYPS1_BMYPB2_e7eb6022">#REF!</definedName>
    <definedName name="_vena_LI_SMYPS1_BMYPB2_e80e347c">#REF!</definedName>
    <definedName name="_vena_LI_SMYPS1_BMYPB2_e8523a7">#REF!</definedName>
    <definedName name="_vena_LI_SMYPS1_BMYPB2_e8931863">#REF!</definedName>
    <definedName name="_vena_LI_SMYPS1_BMYPB2_e89b4039">#REF!</definedName>
    <definedName name="_vena_LI_SMYPS1_BMYPB2_e8dfd4f3">#REF!</definedName>
    <definedName name="_vena_LI_SMYPS1_BMYPB2_e90f22cb">#REF!</definedName>
    <definedName name="_vena_LI_SMYPS1_BMYPB2_e970a1fc">#REF!</definedName>
    <definedName name="_vena_LI_SMYPS1_BMYPB2_e9b8eb0">#REF!</definedName>
    <definedName name="_vena_LI_SMYPS1_BMYPB2_ea43712f">#REF!</definedName>
    <definedName name="_vena_LI_SMYPS1_BMYPB2_ea9faa73">#REF!</definedName>
    <definedName name="_vena_LI_SMYPS1_BMYPB2_eaf5fe7b">#REF!</definedName>
    <definedName name="_vena_LI_SMYPS1_BMYPB2_ec64a82c">#REF!</definedName>
    <definedName name="_vena_LI_SMYPS1_BMYPB2_ec898a43">#REF!</definedName>
    <definedName name="_vena_LI_SMYPS1_BMYPB2_eca3fd5a">#REF!</definedName>
    <definedName name="_vena_LI_SMYPS1_BMYPB2_ed5c2ad">#REF!</definedName>
    <definedName name="_vena_LI_SMYPS1_BMYPB2_ee073415">#REF!</definedName>
    <definedName name="_vena_LI_SMYPS1_BMYPB2_ee3cb739">#REF!</definedName>
    <definedName name="_vena_LI_SMYPS1_BMYPB2_eea3a662">#REF!</definedName>
    <definedName name="_vena_LI_SMYPS1_BMYPB2_ef8241f2">#REF!</definedName>
    <definedName name="_vena_LI_SMYPS1_BMYPB2_eff23574">#REF!</definedName>
    <definedName name="_vena_LI_SMYPS1_BMYPB2_f04f94ea">#REF!</definedName>
    <definedName name="_vena_LI_SMYPS1_BMYPB2_f08d95ad">#REF!</definedName>
    <definedName name="_vena_LI_SMYPS1_BMYPB2_f08da1af">#REF!</definedName>
    <definedName name="_vena_LI_SMYPS1_BMYPB2_f0e57515">#REF!</definedName>
    <definedName name="_vena_LI_SMYPS1_BMYPB2_f1050d77">#REF!</definedName>
    <definedName name="_vena_LI_SMYPS1_BMYPB2_f12dbaa3">#REF!</definedName>
    <definedName name="_vena_LI_SMYPS1_BMYPB2_f1e2c2d2">#REF!</definedName>
    <definedName name="_vena_LI_SMYPS1_BMYPB2_f241e5b2">#REF!</definedName>
    <definedName name="_vena_LI_SMYPS1_BMYPB2_f319b146">#REF!</definedName>
    <definedName name="_vena_LI_SMYPS1_BMYPB2_f4862d14">#REF!</definedName>
    <definedName name="_vena_LI_SMYPS1_BMYPB2_f48aaf40">#REF!</definedName>
    <definedName name="_vena_LI_SMYPS1_BMYPB2_f49e80dd">#REF!</definedName>
    <definedName name="_vena_LI_SMYPS1_BMYPB2_f4c647e">#REF!</definedName>
    <definedName name="_vena_LI_SMYPS1_BMYPB2_f55553f">#REF!</definedName>
    <definedName name="_vena_LI_SMYPS1_BMYPB2_f57c0b18">#REF!</definedName>
    <definedName name="_vena_LI_SMYPS1_BMYPB2_f5b171c">#REF!</definedName>
    <definedName name="_vena_LI_SMYPS1_BMYPB2_f698fee2">#REF!</definedName>
    <definedName name="_vena_LI_SMYPS1_BMYPB2_f7eadaeb">#REF!</definedName>
    <definedName name="_vena_LI_SMYPS1_BMYPB2_f7f92244">#REF!</definedName>
    <definedName name="_vena_LI_SMYPS1_BMYPB2_f8746741">#REF!</definedName>
    <definedName name="_vena_LI_SMYPS1_BMYPB2_f9116691">#REF!</definedName>
    <definedName name="_vena_LI_SMYPS1_BMYPB2_f986593b">#REF!</definedName>
    <definedName name="_vena_LI_SMYPS1_BMYPB2_f9be6149">#REF!</definedName>
    <definedName name="_vena_LI_SMYPS1_BMYPB2_fa441893">#REF!</definedName>
    <definedName name="_vena_LI_SMYPS1_BMYPB2_fa9c4bcb">#REF!</definedName>
    <definedName name="_vena_LI_SMYPS1_BMYPB2_fac8eb9c">#REF!</definedName>
    <definedName name="_vena_LI_SMYPS1_BMYPB2_fb5e9a04">#REF!</definedName>
    <definedName name="_vena_LI_SMYPS1_BMYPB2_fbb0499b">#REF!</definedName>
    <definedName name="_vena_LI_SMYPS1_BMYPB2_fc0fb11e">#REF!</definedName>
    <definedName name="_vena_LI_SMYPS1_BMYPB2_fd1218d">#REF!</definedName>
    <definedName name="_vena_LI_SMYPS1_BMYPB2_fdc7d07e">#REF!</definedName>
    <definedName name="_vena_LI_SMYPS1_BMYPB2_fe243080">#REF!</definedName>
    <definedName name="_vena_LI_SMYPS1_BMYPB2_fea07f32">#REF!</definedName>
    <definedName name="_vena_LI_SMYPS1_BMYPB2_ff04f1e9">#REF!</definedName>
    <definedName name="_vena_LI_SMYPS1_BMYPB2_ff418ab4">#REF!</definedName>
    <definedName name="_vena_LI_SMYPS1_BMYPB2_ff5c94d9">#REF!</definedName>
    <definedName name="_vena_LI_SMYPS1_BMYPB2_ff96d9c4">#REF!</definedName>
    <definedName name="_vena_LI_SPayrollS1_BPayrollB1_65bf0cd0">#REF!</definedName>
    <definedName name="_vena_LI_SPayrollS1_BPayrollB1_65bf0cd0_1">#REF!</definedName>
    <definedName name="_vena_LI_SPayrollS1_BPayrollB1_65bf0cd0_10">#REF!</definedName>
    <definedName name="_vena_LI_SPayrollS1_BPayrollB1_65bf0cd0_100">#REF!</definedName>
    <definedName name="_vena_LI_SPayrollS1_BPayrollB1_65bf0cd0_101">#REF!</definedName>
    <definedName name="_vena_LI_SPayrollS1_BPayrollB1_65bf0cd0_102">#REF!</definedName>
    <definedName name="_vena_LI_SPayrollS1_BPayrollB1_65bf0cd0_103">#REF!</definedName>
    <definedName name="_vena_LI_SPayrollS1_BPayrollB1_65bf0cd0_104">#REF!</definedName>
    <definedName name="_vena_LI_SPayrollS1_BPayrollB1_65bf0cd0_105">#REF!</definedName>
    <definedName name="_vena_LI_SPayrollS1_BPayrollB1_65bf0cd0_106">#REF!</definedName>
    <definedName name="_vena_LI_SPayrollS1_BPayrollB1_65bf0cd0_107">#REF!</definedName>
    <definedName name="_vena_LI_SPayrollS1_BPayrollB1_65bf0cd0_108">#REF!</definedName>
    <definedName name="_vena_LI_SPayrollS1_BPayrollB1_65bf0cd0_109">#REF!</definedName>
    <definedName name="_vena_LI_SPayrollS1_BPayrollB1_65bf0cd0_11">#REF!</definedName>
    <definedName name="_vena_LI_SPayrollS1_BPayrollB1_65bf0cd0_110">#REF!</definedName>
    <definedName name="_vena_LI_SPayrollS1_BPayrollB1_65bf0cd0_111">#REF!</definedName>
    <definedName name="_vena_LI_SPayrollS1_BPayrollB1_65bf0cd0_112">#REF!</definedName>
    <definedName name="_vena_LI_SPayrollS1_BPayrollB1_65bf0cd0_113">#REF!</definedName>
    <definedName name="_vena_LI_SPayrollS1_BPayrollB1_65bf0cd0_114">#REF!</definedName>
    <definedName name="_vena_LI_SPayrollS1_BPayrollB1_65bf0cd0_115">#REF!</definedName>
    <definedName name="_vena_LI_SPayrollS1_BPayrollB1_65bf0cd0_116">#REF!</definedName>
    <definedName name="_vena_LI_SPayrollS1_BPayrollB1_65bf0cd0_117">#REF!</definedName>
    <definedName name="_vena_LI_SPayrollS1_BPayrollB1_65bf0cd0_118">#REF!</definedName>
    <definedName name="_vena_LI_SPayrollS1_BPayrollB1_65bf0cd0_119">#REF!</definedName>
    <definedName name="_vena_LI_SPayrollS1_BPayrollB1_65bf0cd0_12">#REF!</definedName>
    <definedName name="_vena_LI_SPayrollS1_BPayrollB1_65bf0cd0_120">#REF!</definedName>
    <definedName name="_vena_LI_SPayrollS1_BPayrollB1_65bf0cd0_121">#REF!</definedName>
    <definedName name="_vena_LI_SPayrollS1_BPayrollB1_65bf0cd0_122">#REF!</definedName>
    <definedName name="_vena_LI_SPayrollS1_BPayrollB1_65bf0cd0_123">#REF!</definedName>
    <definedName name="_vena_LI_SPayrollS1_BPayrollB1_65bf0cd0_124">#REF!</definedName>
    <definedName name="_vena_LI_SPayrollS1_BPayrollB1_65bf0cd0_125">#REF!</definedName>
    <definedName name="_vena_LI_SPayrollS1_BPayrollB1_65bf0cd0_126">#REF!</definedName>
    <definedName name="_vena_LI_SPayrollS1_BPayrollB1_65bf0cd0_127">#REF!</definedName>
    <definedName name="_vena_LI_SPayrollS1_BPayrollB1_65bf0cd0_128">#REF!</definedName>
    <definedName name="_vena_LI_SPayrollS1_BPayrollB1_65bf0cd0_129">#REF!</definedName>
    <definedName name="_vena_LI_SPayrollS1_BPayrollB1_65bf0cd0_13">#REF!</definedName>
    <definedName name="_vena_LI_SPayrollS1_BPayrollB1_65bf0cd0_130">#REF!</definedName>
    <definedName name="_vena_LI_SPayrollS1_BPayrollB1_65bf0cd0_131">#REF!</definedName>
    <definedName name="_vena_LI_SPayrollS1_BPayrollB1_65bf0cd0_132">#REF!</definedName>
    <definedName name="_vena_LI_SPayrollS1_BPayrollB1_65bf0cd0_133">#REF!</definedName>
    <definedName name="_vena_LI_SPayrollS1_BPayrollB1_65bf0cd0_134">#REF!</definedName>
    <definedName name="_vena_LI_SPayrollS1_BPayrollB1_65bf0cd0_135">#REF!</definedName>
    <definedName name="_vena_LI_SPayrollS1_BPayrollB1_65bf0cd0_136">#REF!</definedName>
    <definedName name="_vena_LI_SPayrollS1_BPayrollB1_65bf0cd0_137">#REF!</definedName>
    <definedName name="_vena_LI_SPayrollS1_BPayrollB1_65bf0cd0_138">#REF!</definedName>
    <definedName name="_vena_LI_SPayrollS1_BPayrollB1_65bf0cd0_139">#REF!</definedName>
    <definedName name="_vena_LI_SPayrollS1_BPayrollB1_65bf0cd0_14">#REF!</definedName>
    <definedName name="_vena_LI_SPayrollS1_BPayrollB1_65bf0cd0_140">#REF!</definedName>
    <definedName name="_vena_LI_SPayrollS1_BPayrollB1_65bf0cd0_141">#REF!</definedName>
    <definedName name="_vena_LI_SPayrollS1_BPayrollB1_65bf0cd0_142">#REF!</definedName>
    <definedName name="_vena_LI_SPayrollS1_BPayrollB1_65bf0cd0_143">#REF!</definedName>
    <definedName name="_vena_LI_SPayrollS1_BPayrollB1_65bf0cd0_144">#REF!</definedName>
    <definedName name="_vena_LI_SPayrollS1_BPayrollB1_65bf0cd0_145">#REF!</definedName>
    <definedName name="_vena_LI_SPayrollS1_BPayrollB1_65bf0cd0_146">#REF!</definedName>
    <definedName name="_vena_LI_SPayrollS1_BPayrollB1_65bf0cd0_147">#REF!</definedName>
    <definedName name="_vena_LI_SPayrollS1_BPayrollB1_65bf0cd0_148">#REF!</definedName>
    <definedName name="_vena_LI_SPayrollS1_BPayrollB1_65bf0cd0_149">#REF!</definedName>
    <definedName name="_vena_LI_SPayrollS1_BPayrollB1_65bf0cd0_15">#REF!</definedName>
    <definedName name="_vena_LI_SPayrollS1_BPayrollB1_65bf0cd0_150">#REF!</definedName>
    <definedName name="_vena_LI_SPayrollS1_BPayrollB1_65bf0cd0_151">#REF!</definedName>
    <definedName name="_vena_LI_SPayrollS1_BPayrollB1_65bf0cd0_152">#REF!</definedName>
    <definedName name="_vena_LI_SPayrollS1_BPayrollB1_65bf0cd0_153">#REF!</definedName>
    <definedName name="_vena_LI_SPayrollS1_BPayrollB1_65bf0cd0_154">#REF!</definedName>
    <definedName name="_vena_LI_SPayrollS1_BPayrollB1_65bf0cd0_155">#REF!</definedName>
    <definedName name="_vena_LI_SPayrollS1_BPayrollB1_65bf0cd0_156">#REF!</definedName>
    <definedName name="_vena_LI_SPayrollS1_BPayrollB1_65bf0cd0_157">#REF!</definedName>
    <definedName name="_vena_LI_SPayrollS1_BPayrollB1_65bf0cd0_158">#REF!</definedName>
    <definedName name="_vena_LI_SPayrollS1_BPayrollB1_65bf0cd0_159">#REF!</definedName>
    <definedName name="_vena_LI_SPayrollS1_BPayrollB1_65bf0cd0_16">#REF!</definedName>
    <definedName name="_vena_LI_SPayrollS1_BPayrollB1_65bf0cd0_160">#REF!</definedName>
    <definedName name="_vena_LI_SPayrollS1_BPayrollB1_65bf0cd0_161">#REF!</definedName>
    <definedName name="_vena_LI_SPayrollS1_BPayrollB1_65bf0cd0_17">#REF!</definedName>
    <definedName name="_vena_LI_SPayrollS1_BPayrollB1_65bf0cd0_18">#REF!</definedName>
    <definedName name="_vena_LI_SPayrollS1_BPayrollB1_65bf0cd0_19">#REF!</definedName>
    <definedName name="_vena_LI_SPayrollS1_BPayrollB1_65bf0cd0_2">#REF!</definedName>
    <definedName name="_vena_LI_SPayrollS1_BPayrollB1_65bf0cd0_20">#REF!</definedName>
    <definedName name="_vena_LI_SPayrollS1_BPayrollB1_65bf0cd0_21">#REF!</definedName>
    <definedName name="_vena_LI_SPayrollS1_BPayrollB1_65bf0cd0_22">#REF!</definedName>
    <definedName name="_vena_LI_SPayrollS1_BPayrollB1_65bf0cd0_23">#REF!</definedName>
    <definedName name="_vena_LI_SPayrollS1_BPayrollB1_65bf0cd0_24">#REF!</definedName>
    <definedName name="_vena_LI_SPayrollS1_BPayrollB1_65bf0cd0_25">#REF!</definedName>
    <definedName name="_vena_LI_SPayrollS1_BPayrollB1_65bf0cd0_26">#REF!</definedName>
    <definedName name="_vena_LI_SPayrollS1_BPayrollB1_65bf0cd0_27">#REF!</definedName>
    <definedName name="_vena_LI_SPayrollS1_BPayrollB1_65bf0cd0_28">#REF!</definedName>
    <definedName name="_vena_LI_SPayrollS1_BPayrollB1_65bf0cd0_29">#REF!</definedName>
    <definedName name="_vena_LI_SPayrollS1_BPayrollB1_65bf0cd0_3">#REF!</definedName>
    <definedName name="_vena_LI_SPayrollS1_BPayrollB1_65bf0cd0_30">#REF!</definedName>
    <definedName name="_vena_LI_SPayrollS1_BPayrollB1_65bf0cd0_31">#REF!</definedName>
    <definedName name="_vena_LI_SPayrollS1_BPayrollB1_65bf0cd0_32">#REF!</definedName>
    <definedName name="_vena_LI_SPayrollS1_BPayrollB1_65bf0cd0_33">#REF!</definedName>
    <definedName name="_vena_LI_SPayrollS1_BPayrollB1_65bf0cd0_34">#REF!</definedName>
    <definedName name="_vena_LI_SPayrollS1_BPayrollB1_65bf0cd0_35">#REF!</definedName>
    <definedName name="_vena_LI_SPayrollS1_BPayrollB1_65bf0cd0_36">#REF!</definedName>
    <definedName name="_vena_LI_SPayrollS1_BPayrollB1_65bf0cd0_37">#REF!</definedName>
    <definedName name="_vena_LI_SPayrollS1_BPayrollB1_65bf0cd0_38">#REF!</definedName>
    <definedName name="_vena_LI_SPayrollS1_BPayrollB1_65bf0cd0_39">#REF!</definedName>
    <definedName name="_vena_LI_SPayrollS1_BPayrollB1_65bf0cd0_4">#REF!</definedName>
    <definedName name="_vena_LI_SPayrollS1_BPayrollB1_65bf0cd0_40">#REF!</definedName>
    <definedName name="_vena_LI_SPayrollS1_BPayrollB1_65bf0cd0_41">#REF!</definedName>
    <definedName name="_vena_LI_SPayrollS1_BPayrollB1_65bf0cd0_42">#REF!</definedName>
    <definedName name="_vena_LI_SPayrollS1_BPayrollB1_65bf0cd0_43">#REF!</definedName>
    <definedName name="_vena_LI_SPayrollS1_BPayrollB1_65bf0cd0_44">#REF!</definedName>
    <definedName name="_vena_LI_SPayrollS1_BPayrollB1_65bf0cd0_45">#REF!</definedName>
    <definedName name="_vena_LI_SPayrollS1_BPayrollB1_65bf0cd0_46">#REF!</definedName>
    <definedName name="_vena_LI_SPayrollS1_BPayrollB1_65bf0cd0_47">#REF!</definedName>
    <definedName name="_vena_LI_SPayrollS1_BPayrollB1_65bf0cd0_48">#REF!</definedName>
    <definedName name="_vena_LI_SPayrollS1_BPayrollB1_65bf0cd0_49">#REF!</definedName>
    <definedName name="_vena_LI_SPayrollS1_BPayrollB1_65bf0cd0_5">#REF!</definedName>
    <definedName name="_vena_LI_SPayrollS1_BPayrollB1_65bf0cd0_50">#REF!</definedName>
    <definedName name="_vena_LI_SPayrollS1_BPayrollB1_65bf0cd0_51">#REF!</definedName>
    <definedName name="_vena_LI_SPayrollS1_BPayrollB1_65bf0cd0_52">#REF!</definedName>
    <definedName name="_vena_LI_SPayrollS1_BPayrollB1_65bf0cd0_53">#REF!</definedName>
    <definedName name="_vena_LI_SPayrollS1_BPayrollB1_65bf0cd0_54">#REF!</definedName>
    <definedName name="_vena_LI_SPayrollS1_BPayrollB1_65bf0cd0_55">#REF!</definedName>
    <definedName name="_vena_LI_SPayrollS1_BPayrollB1_65bf0cd0_56">#REF!</definedName>
    <definedName name="_vena_LI_SPayrollS1_BPayrollB1_65bf0cd0_57">#REF!</definedName>
    <definedName name="_vena_LI_SPayrollS1_BPayrollB1_65bf0cd0_58">#REF!</definedName>
    <definedName name="_vena_LI_SPayrollS1_BPayrollB1_65bf0cd0_59">#REF!</definedName>
    <definedName name="_vena_LI_SPayrollS1_BPayrollB1_65bf0cd0_6">#REF!</definedName>
    <definedName name="_vena_LI_SPayrollS1_BPayrollB1_65bf0cd0_60">#REF!</definedName>
    <definedName name="_vena_LI_SPayrollS1_BPayrollB1_65bf0cd0_61">#REF!</definedName>
    <definedName name="_vena_LI_SPayrollS1_BPayrollB1_65bf0cd0_62">#REF!</definedName>
    <definedName name="_vena_LI_SPayrollS1_BPayrollB1_65bf0cd0_63">#REF!</definedName>
    <definedName name="_vena_LI_SPayrollS1_BPayrollB1_65bf0cd0_64">#REF!</definedName>
    <definedName name="_vena_LI_SPayrollS1_BPayrollB1_65bf0cd0_65">#REF!</definedName>
    <definedName name="_vena_LI_SPayrollS1_BPayrollB1_65bf0cd0_66">#REF!</definedName>
    <definedName name="_vena_LI_SPayrollS1_BPayrollB1_65bf0cd0_67">#REF!</definedName>
    <definedName name="_vena_LI_SPayrollS1_BPayrollB1_65bf0cd0_68">#REF!</definedName>
    <definedName name="_vena_LI_SPayrollS1_BPayrollB1_65bf0cd0_69">#REF!</definedName>
    <definedName name="_vena_LI_SPayrollS1_BPayrollB1_65bf0cd0_7">#REF!</definedName>
    <definedName name="_vena_LI_SPayrollS1_BPayrollB1_65bf0cd0_70">#REF!</definedName>
    <definedName name="_vena_LI_SPayrollS1_BPayrollB1_65bf0cd0_71">#REF!</definedName>
    <definedName name="_vena_LI_SPayrollS1_BPayrollB1_65bf0cd0_72">#REF!</definedName>
    <definedName name="_vena_LI_SPayrollS1_BPayrollB1_65bf0cd0_73">#REF!</definedName>
    <definedName name="_vena_LI_SPayrollS1_BPayrollB1_65bf0cd0_74">#REF!</definedName>
    <definedName name="_vena_LI_SPayrollS1_BPayrollB1_65bf0cd0_75">#REF!</definedName>
    <definedName name="_vena_LI_SPayrollS1_BPayrollB1_65bf0cd0_76">#REF!</definedName>
    <definedName name="_vena_LI_SPayrollS1_BPayrollB1_65bf0cd0_77">#REF!</definedName>
    <definedName name="_vena_LI_SPayrollS1_BPayrollB1_65bf0cd0_78">#REF!</definedName>
    <definedName name="_vena_LI_SPayrollS1_BPayrollB1_65bf0cd0_79">#REF!</definedName>
    <definedName name="_vena_LI_SPayrollS1_BPayrollB1_65bf0cd0_8">#REF!</definedName>
    <definedName name="_vena_LI_SPayrollS1_BPayrollB1_65bf0cd0_80">#REF!</definedName>
    <definedName name="_vena_LI_SPayrollS1_BPayrollB1_65bf0cd0_81">#REF!</definedName>
    <definedName name="_vena_LI_SPayrollS1_BPayrollB1_65bf0cd0_82">#REF!</definedName>
    <definedName name="_vena_LI_SPayrollS1_BPayrollB1_65bf0cd0_83">#REF!</definedName>
    <definedName name="_vena_LI_SPayrollS1_BPayrollB1_65bf0cd0_84">#REF!</definedName>
    <definedName name="_vena_LI_SPayrollS1_BPayrollB1_65bf0cd0_85">#REF!</definedName>
    <definedName name="_vena_LI_SPayrollS1_BPayrollB1_65bf0cd0_86">#REF!</definedName>
    <definedName name="_vena_LI_SPayrollS1_BPayrollB1_65bf0cd0_87">#REF!</definedName>
    <definedName name="_vena_LI_SPayrollS1_BPayrollB1_65bf0cd0_88">#REF!</definedName>
    <definedName name="_vena_LI_SPayrollS1_BPayrollB1_65bf0cd0_89">#REF!</definedName>
    <definedName name="_vena_LI_SPayrollS1_BPayrollB1_65bf0cd0_9">#REF!</definedName>
    <definedName name="_vena_LI_SPayrollS1_BPayrollB1_65bf0cd0_90">#REF!</definedName>
    <definedName name="_vena_LI_SPayrollS1_BPayrollB1_65bf0cd0_91">#REF!</definedName>
    <definedName name="_vena_LI_SPayrollS1_BPayrollB1_65bf0cd0_92">#REF!</definedName>
    <definedName name="_vena_LI_SPayrollS1_BPayrollB1_65bf0cd0_93">#REF!</definedName>
    <definedName name="_vena_LI_SPayrollS1_BPayrollB1_65bf0cd0_94">#REF!</definedName>
    <definedName name="_vena_LI_SPayrollS1_BPayrollB1_65bf0cd0_95">#REF!</definedName>
    <definedName name="_vena_LI_SPayrollS1_BPayrollB1_65bf0cd0_96">#REF!</definedName>
    <definedName name="_vena_LI_SPayrollS1_BPayrollB1_65bf0cd0_97">#REF!</definedName>
    <definedName name="_vena_LI_SPayrollS1_BPayrollB1_65bf0cd0_98">#REF!</definedName>
    <definedName name="_vena_LI_SPayrollS1_BPayrollB1_65bf0cd0_99">#REF!</definedName>
    <definedName name="_vena_LI_SPayrollS1_BPayrollB1_ee336bca">#REF!</definedName>
    <definedName name="_vena_LI_SPayrollS1_BPayrollB1_ee336bca_1">#REF!</definedName>
    <definedName name="_vena_LI_SPayrollS1_BPayrollB1_ee336bca_10">#REF!</definedName>
    <definedName name="_vena_LI_SPayrollS1_BPayrollB1_ee336bca_100">#REF!</definedName>
    <definedName name="_vena_LI_SPayrollS1_BPayrollB1_ee336bca_101">#REF!</definedName>
    <definedName name="_vena_LI_SPayrollS1_BPayrollB1_ee336bca_102">#REF!</definedName>
    <definedName name="_vena_LI_SPayrollS1_BPayrollB1_ee336bca_103">#REF!</definedName>
    <definedName name="_vena_LI_SPayrollS1_BPayrollB1_ee336bca_104">#REF!</definedName>
    <definedName name="_vena_LI_SPayrollS1_BPayrollB1_ee336bca_105">#REF!</definedName>
    <definedName name="_vena_LI_SPayrollS1_BPayrollB1_ee336bca_106">#REF!</definedName>
    <definedName name="_vena_LI_SPayrollS1_BPayrollB1_ee336bca_107">#REF!</definedName>
    <definedName name="_vena_LI_SPayrollS1_BPayrollB1_ee336bca_108">#REF!</definedName>
    <definedName name="_vena_LI_SPayrollS1_BPayrollB1_ee336bca_109">#REF!</definedName>
    <definedName name="_vena_LI_SPayrollS1_BPayrollB1_ee336bca_11">#REF!</definedName>
    <definedName name="_vena_LI_SPayrollS1_BPayrollB1_ee336bca_110">#REF!</definedName>
    <definedName name="_vena_LI_SPayrollS1_BPayrollB1_ee336bca_111">#REF!</definedName>
    <definedName name="_vena_LI_SPayrollS1_BPayrollB1_ee336bca_112">#REF!</definedName>
    <definedName name="_vena_LI_SPayrollS1_BPayrollB1_ee336bca_113">#REF!</definedName>
    <definedName name="_vena_LI_SPayrollS1_BPayrollB1_ee336bca_114">#REF!</definedName>
    <definedName name="_vena_LI_SPayrollS1_BPayrollB1_ee336bca_115">#REF!</definedName>
    <definedName name="_vena_LI_SPayrollS1_BPayrollB1_ee336bca_116">#REF!</definedName>
    <definedName name="_vena_LI_SPayrollS1_BPayrollB1_ee336bca_117">#REF!</definedName>
    <definedName name="_vena_LI_SPayrollS1_BPayrollB1_ee336bca_118">#REF!</definedName>
    <definedName name="_vena_LI_SPayrollS1_BPayrollB1_ee336bca_119">#REF!</definedName>
    <definedName name="_vena_LI_SPayrollS1_BPayrollB1_ee336bca_12">#REF!</definedName>
    <definedName name="_vena_LI_SPayrollS1_BPayrollB1_ee336bca_120">#REF!</definedName>
    <definedName name="_vena_LI_SPayrollS1_BPayrollB1_ee336bca_121">#REF!</definedName>
    <definedName name="_vena_LI_SPayrollS1_BPayrollB1_ee336bca_122">#REF!</definedName>
    <definedName name="_vena_LI_SPayrollS1_BPayrollB1_ee336bca_123">#REF!</definedName>
    <definedName name="_vena_LI_SPayrollS1_BPayrollB1_ee336bca_124">#REF!</definedName>
    <definedName name="_vena_LI_SPayrollS1_BPayrollB1_ee336bca_125">#REF!</definedName>
    <definedName name="_vena_LI_SPayrollS1_BPayrollB1_ee336bca_126">#REF!</definedName>
    <definedName name="_vena_LI_SPayrollS1_BPayrollB1_ee336bca_127">#REF!</definedName>
    <definedName name="_vena_LI_SPayrollS1_BPayrollB1_ee336bca_128">#REF!</definedName>
    <definedName name="_vena_LI_SPayrollS1_BPayrollB1_ee336bca_129">#REF!</definedName>
    <definedName name="_vena_LI_SPayrollS1_BPayrollB1_ee336bca_13">#REF!</definedName>
    <definedName name="_vena_LI_SPayrollS1_BPayrollB1_ee336bca_130">#REF!</definedName>
    <definedName name="_vena_LI_SPayrollS1_BPayrollB1_ee336bca_131">#REF!</definedName>
    <definedName name="_vena_LI_SPayrollS1_BPayrollB1_ee336bca_132">#REF!</definedName>
    <definedName name="_vena_LI_SPayrollS1_BPayrollB1_ee336bca_133">#REF!</definedName>
    <definedName name="_vena_LI_SPayrollS1_BPayrollB1_ee336bca_134">#REF!</definedName>
    <definedName name="_vena_LI_SPayrollS1_BPayrollB1_ee336bca_135">#REF!</definedName>
    <definedName name="_vena_LI_SPayrollS1_BPayrollB1_ee336bca_136">#REF!</definedName>
    <definedName name="_vena_LI_SPayrollS1_BPayrollB1_ee336bca_137">#REF!</definedName>
    <definedName name="_vena_LI_SPayrollS1_BPayrollB1_ee336bca_138">#REF!</definedName>
    <definedName name="_vena_LI_SPayrollS1_BPayrollB1_ee336bca_139">#REF!</definedName>
    <definedName name="_vena_LI_SPayrollS1_BPayrollB1_ee336bca_14">#REF!</definedName>
    <definedName name="_vena_LI_SPayrollS1_BPayrollB1_ee336bca_140">#REF!</definedName>
    <definedName name="_vena_LI_SPayrollS1_BPayrollB1_ee336bca_141">#REF!</definedName>
    <definedName name="_vena_LI_SPayrollS1_BPayrollB1_ee336bca_142">#REF!</definedName>
    <definedName name="_vena_LI_SPayrollS1_BPayrollB1_ee336bca_143">#REF!</definedName>
    <definedName name="_vena_LI_SPayrollS1_BPayrollB1_ee336bca_144">#REF!</definedName>
    <definedName name="_vena_LI_SPayrollS1_BPayrollB1_ee336bca_145">#REF!</definedName>
    <definedName name="_vena_LI_SPayrollS1_BPayrollB1_ee336bca_146">#REF!</definedName>
    <definedName name="_vena_LI_SPayrollS1_BPayrollB1_ee336bca_147">#REF!</definedName>
    <definedName name="_vena_LI_SPayrollS1_BPayrollB1_ee336bca_148">#REF!</definedName>
    <definedName name="_vena_LI_SPayrollS1_BPayrollB1_ee336bca_149">#REF!</definedName>
    <definedName name="_vena_LI_SPayrollS1_BPayrollB1_ee336bca_15">#REF!</definedName>
    <definedName name="_vena_LI_SPayrollS1_BPayrollB1_ee336bca_150">#REF!</definedName>
    <definedName name="_vena_LI_SPayrollS1_BPayrollB1_ee336bca_151">#REF!</definedName>
    <definedName name="_vena_LI_SPayrollS1_BPayrollB1_ee336bca_152">#REF!</definedName>
    <definedName name="_vena_LI_SPayrollS1_BPayrollB1_ee336bca_153">#REF!</definedName>
    <definedName name="_vena_LI_SPayrollS1_BPayrollB1_ee336bca_154">#REF!</definedName>
    <definedName name="_vena_LI_SPayrollS1_BPayrollB1_ee336bca_155">#REF!</definedName>
    <definedName name="_vena_LI_SPayrollS1_BPayrollB1_ee336bca_156">#REF!</definedName>
    <definedName name="_vena_LI_SPayrollS1_BPayrollB1_ee336bca_157">#REF!</definedName>
    <definedName name="_vena_LI_SPayrollS1_BPayrollB1_ee336bca_158">#REF!</definedName>
    <definedName name="_vena_LI_SPayrollS1_BPayrollB1_ee336bca_159">#REF!</definedName>
    <definedName name="_vena_LI_SPayrollS1_BPayrollB1_ee336bca_16">#REF!</definedName>
    <definedName name="_vena_LI_SPayrollS1_BPayrollB1_ee336bca_160">#REF!</definedName>
    <definedName name="_vena_LI_SPayrollS1_BPayrollB1_ee336bca_161">#REF!</definedName>
    <definedName name="_vena_LI_SPayrollS1_BPayrollB1_ee336bca_162">#REF!</definedName>
    <definedName name="_vena_LI_SPayrollS1_BPayrollB1_ee336bca_163">#REF!</definedName>
    <definedName name="_vena_LI_SPayrollS1_BPayrollB1_ee336bca_164">#REF!</definedName>
    <definedName name="_vena_LI_SPayrollS1_BPayrollB1_ee336bca_165">#REF!</definedName>
    <definedName name="_vena_LI_SPayrollS1_BPayrollB1_ee336bca_166">#REF!</definedName>
    <definedName name="_vena_LI_SPayrollS1_BPayrollB1_ee336bca_167">#REF!</definedName>
    <definedName name="_vena_LI_SPayrollS1_BPayrollB1_ee336bca_168">#REF!</definedName>
    <definedName name="_vena_LI_SPayrollS1_BPayrollB1_ee336bca_169">#REF!</definedName>
    <definedName name="_vena_LI_SPayrollS1_BPayrollB1_ee336bca_17">#REF!</definedName>
    <definedName name="_vena_LI_SPayrollS1_BPayrollB1_ee336bca_170">#REF!</definedName>
    <definedName name="_vena_LI_SPayrollS1_BPayrollB1_ee336bca_171">#REF!</definedName>
    <definedName name="_vena_LI_SPayrollS1_BPayrollB1_ee336bca_172">#REF!</definedName>
    <definedName name="_vena_LI_SPayrollS1_BPayrollB1_ee336bca_173">#REF!</definedName>
    <definedName name="_vena_LI_SPayrollS1_BPayrollB1_ee336bca_174">#REF!</definedName>
    <definedName name="_vena_LI_SPayrollS1_BPayrollB1_ee336bca_175">#REF!</definedName>
    <definedName name="_vena_LI_SPayrollS1_BPayrollB1_ee336bca_176">#REF!</definedName>
    <definedName name="_vena_LI_SPayrollS1_BPayrollB1_ee336bca_177">#REF!</definedName>
    <definedName name="_vena_LI_SPayrollS1_BPayrollB1_ee336bca_178">#REF!</definedName>
    <definedName name="_vena_LI_SPayrollS1_BPayrollB1_ee336bca_179">#REF!</definedName>
    <definedName name="_vena_LI_SPayrollS1_BPayrollB1_ee336bca_18">#REF!</definedName>
    <definedName name="_vena_LI_SPayrollS1_BPayrollB1_ee336bca_180">#REF!</definedName>
    <definedName name="_vena_LI_SPayrollS1_BPayrollB1_ee336bca_181">#REF!</definedName>
    <definedName name="_vena_LI_SPayrollS1_BPayrollB1_ee336bca_182">#REF!</definedName>
    <definedName name="_vena_LI_SPayrollS1_BPayrollB1_ee336bca_183">#REF!</definedName>
    <definedName name="_vena_LI_SPayrollS1_BPayrollB1_ee336bca_184">#REF!</definedName>
    <definedName name="_vena_LI_SPayrollS1_BPayrollB1_ee336bca_185">#REF!</definedName>
    <definedName name="_vena_LI_SPayrollS1_BPayrollB1_ee336bca_186">#REF!</definedName>
    <definedName name="_vena_LI_SPayrollS1_BPayrollB1_ee336bca_187">#REF!</definedName>
    <definedName name="_vena_LI_SPayrollS1_BPayrollB1_ee336bca_188">#REF!</definedName>
    <definedName name="_vena_LI_SPayrollS1_BPayrollB1_ee336bca_189">#REF!</definedName>
    <definedName name="_vena_LI_SPayrollS1_BPayrollB1_ee336bca_19">#REF!</definedName>
    <definedName name="_vena_LI_SPayrollS1_BPayrollB1_ee336bca_190">#REF!</definedName>
    <definedName name="_vena_LI_SPayrollS1_BPayrollB1_ee336bca_191">#REF!</definedName>
    <definedName name="_vena_LI_SPayrollS1_BPayrollB1_ee336bca_192">#REF!</definedName>
    <definedName name="_vena_LI_SPayrollS1_BPayrollB1_ee336bca_193">#REF!</definedName>
    <definedName name="_vena_LI_SPayrollS1_BPayrollB1_ee336bca_194">#REF!</definedName>
    <definedName name="_vena_LI_SPayrollS1_BPayrollB1_ee336bca_195">#REF!</definedName>
    <definedName name="_vena_LI_SPayrollS1_BPayrollB1_ee336bca_196">#REF!</definedName>
    <definedName name="_vena_LI_SPayrollS1_BPayrollB1_ee336bca_197">#REF!</definedName>
    <definedName name="_vena_LI_SPayrollS1_BPayrollB1_ee336bca_198">#REF!</definedName>
    <definedName name="_vena_LI_SPayrollS1_BPayrollB1_ee336bca_199">#REF!</definedName>
    <definedName name="_vena_LI_SPayrollS1_BPayrollB1_ee336bca_2">#REF!</definedName>
    <definedName name="_vena_LI_SPayrollS1_BPayrollB1_ee336bca_20">#REF!</definedName>
    <definedName name="_vena_LI_SPayrollS1_BPayrollB1_ee336bca_200">#REF!</definedName>
    <definedName name="_vena_LI_SPayrollS1_BPayrollB1_ee336bca_201">#REF!</definedName>
    <definedName name="_vena_LI_SPayrollS1_BPayrollB1_ee336bca_202">#REF!</definedName>
    <definedName name="_vena_LI_SPayrollS1_BPayrollB1_ee336bca_203">#REF!</definedName>
    <definedName name="_vena_LI_SPayrollS1_BPayrollB1_ee336bca_204">#REF!</definedName>
    <definedName name="_vena_LI_SPayrollS1_BPayrollB1_ee336bca_205">#REF!</definedName>
    <definedName name="_vena_LI_SPayrollS1_BPayrollB1_ee336bca_206">#REF!</definedName>
    <definedName name="_vena_LI_SPayrollS1_BPayrollB1_ee336bca_207">#REF!</definedName>
    <definedName name="_vena_LI_SPayrollS1_BPayrollB1_ee336bca_208">#REF!</definedName>
    <definedName name="_vena_LI_SPayrollS1_BPayrollB1_ee336bca_209">#REF!</definedName>
    <definedName name="_vena_LI_SPayrollS1_BPayrollB1_ee336bca_21">#REF!</definedName>
    <definedName name="_vena_LI_SPayrollS1_BPayrollB1_ee336bca_210">#REF!</definedName>
    <definedName name="_vena_LI_SPayrollS1_BPayrollB1_ee336bca_211">#REF!</definedName>
    <definedName name="_vena_LI_SPayrollS1_BPayrollB1_ee336bca_212">#REF!</definedName>
    <definedName name="_vena_LI_SPayrollS1_BPayrollB1_ee336bca_213">#REF!</definedName>
    <definedName name="_vena_LI_SPayrollS1_BPayrollB1_ee336bca_214">#REF!</definedName>
    <definedName name="_vena_LI_SPayrollS1_BPayrollB1_ee336bca_215">#REF!</definedName>
    <definedName name="_vena_LI_SPayrollS1_BPayrollB1_ee336bca_216">#REF!</definedName>
    <definedName name="_vena_LI_SPayrollS1_BPayrollB1_ee336bca_217">#REF!</definedName>
    <definedName name="_vena_LI_SPayrollS1_BPayrollB1_ee336bca_218">#REF!</definedName>
    <definedName name="_vena_LI_SPayrollS1_BPayrollB1_ee336bca_219">#REF!</definedName>
    <definedName name="_vena_LI_SPayrollS1_BPayrollB1_ee336bca_22">#REF!</definedName>
    <definedName name="_vena_LI_SPayrollS1_BPayrollB1_ee336bca_220">#REF!</definedName>
    <definedName name="_vena_LI_SPayrollS1_BPayrollB1_ee336bca_221">#REF!</definedName>
    <definedName name="_vena_LI_SPayrollS1_BPayrollB1_ee336bca_222">#REF!</definedName>
    <definedName name="_vena_LI_SPayrollS1_BPayrollB1_ee336bca_223">#REF!</definedName>
    <definedName name="_vena_LI_SPayrollS1_BPayrollB1_ee336bca_224">#REF!</definedName>
    <definedName name="_vena_LI_SPayrollS1_BPayrollB1_ee336bca_225">#REF!</definedName>
    <definedName name="_vena_LI_SPayrollS1_BPayrollB1_ee336bca_226">#REF!</definedName>
    <definedName name="_vena_LI_SPayrollS1_BPayrollB1_ee336bca_227">#REF!</definedName>
    <definedName name="_vena_LI_SPayrollS1_BPayrollB1_ee336bca_228">#REF!</definedName>
    <definedName name="_vena_LI_SPayrollS1_BPayrollB1_ee336bca_229">#REF!</definedName>
    <definedName name="_vena_LI_SPayrollS1_BPayrollB1_ee336bca_23">#REF!</definedName>
    <definedName name="_vena_LI_SPayrollS1_BPayrollB1_ee336bca_230">#REF!</definedName>
    <definedName name="_vena_LI_SPayrollS1_BPayrollB1_ee336bca_231">#REF!</definedName>
    <definedName name="_vena_LI_SPayrollS1_BPayrollB1_ee336bca_232">#REF!</definedName>
    <definedName name="_vena_LI_SPayrollS1_BPayrollB1_ee336bca_233">#REF!</definedName>
    <definedName name="_vena_LI_SPayrollS1_BPayrollB1_ee336bca_234">#REF!</definedName>
    <definedName name="_vena_LI_SPayrollS1_BPayrollB1_ee336bca_235">#REF!</definedName>
    <definedName name="_vena_LI_SPayrollS1_BPayrollB1_ee336bca_236">#REF!</definedName>
    <definedName name="_vena_LI_SPayrollS1_BPayrollB1_ee336bca_237">#REF!</definedName>
    <definedName name="_vena_LI_SPayrollS1_BPayrollB1_ee336bca_238">#REF!</definedName>
    <definedName name="_vena_LI_SPayrollS1_BPayrollB1_ee336bca_239">#REF!</definedName>
    <definedName name="_vena_LI_SPayrollS1_BPayrollB1_ee336bca_24">#REF!</definedName>
    <definedName name="_vena_LI_SPayrollS1_BPayrollB1_ee336bca_240">#REF!</definedName>
    <definedName name="_vena_LI_SPayrollS1_BPayrollB1_ee336bca_241">#REF!</definedName>
    <definedName name="_vena_LI_SPayrollS1_BPayrollB1_ee336bca_242">#REF!</definedName>
    <definedName name="_vena_LI_SPayrollS1_BPayrollB1_ee336bca_243">#REF!</definedName>
    <definedName name="_vena_LI_SPayrollS1_BPayrollB1_ee336bca_244">#REF!</definedName>
    <definedName name="_vena_LI_SPayrollS1_BPayrollB1_ee336bca_245">#REF!</definedName>
    <definedName name="_vena_LI_SPayrollS1_BPayrollB1_ee336bca_246">#REF!</definedName>
    <definedName name="_vena_LI_SPayrollS1_BPayrollB1_ee336bca_247">#REF!</definedName>
    <definedName name="_vena_LI_SPayrollS1_BPayrollB1_ee336bca_248">#REF!</definedName>
    <definedName name="_vena_LI_SPayrollS1_BPayrollB1_ee336bca_249">#REF!</definedName>
    <definedName name="_vena_LI_SPayrollS1_BPayrollB1_ee336bca_25">#REF!</definedName>
    <definedName name="_vena_LI_SPayrollS1_BPayrollB1_ee336bca_250">#REF!</definedName>
    <definedName name="_vena_LI_SPayrollS1_BPayrollB1_ee336bca_251">#REF!</definedName>
    <definedName name="_vena_LI_SPayrollS1_BPayrollB1_ee336bca_252">#REF!</definedName>
    <definedName name="_vena_LI_SPayrollS1_BPayrollB1_ee336bca_253">#REF!</definedName>
    <definedName name="_vena_LI_SPayrollS1_BPayrollB1_ee336bca_254">#REF!</definedName>
    <definedName name="_vena_LI_SPayrollS1_BPayrollB1_ee336bca_255">#REF!</definedName>
    <definedName name="_vena_LI_SPayrollS1_BPayrollB1_ee336bca_256">#REF!</definedName>
    <definedName name="_vena_LI_SPayrollS1_BPayrollB1_ee336bca_257">#REF!</definedName>
    <definedName name="_vena_LI_SPayrollS1_BPayrollB1_ee336bca_258">#REF!</definedName>
    <definedName name="_vena_LI_SPayrollS1_BPayrollB1_ee336bca_259">#REF!</definedName>
    <definedName name="_vena_LI_SPayrollS1_BPayrollB1_ee336bca_26">#REF!</definedName>
    <definedName name="_vena_LI_SPayrollS1_BPayrollB1_ee336bca_260">#REF!</definedName>
    <definedName name="_vena_LI_SPayrollS1_BPayrollB1_ee336bca_261">#REF!</definedName>
    <definedName name="_vena_LI_SPayrollS1_BPayrollB1_ee336bca_262">#REF!</definedName>
    <definedName name="_vena_LI_SPayrollS1_BPayrollB1_ee336bca_263">#REF!</definedName>
    <definedName name="_vena_LI_SPayrollS1_BPayrollB1_ee336bca_264">#REF!</definedName>
    <definedName name="_vena_LI_SPayrollS1_BPayrollB1_ee336bca_265">#REF!</definedName>
    <definedName name="_vena_LI_SPayrollS1_BPayrollB1_ee336bca_266">#REF!</definedName>
    <definedName name="_vena_LI_SPayrollS1_BPayrollB1_ee336bca_267">#REF!</definedName>
    <definedName name="_vena_LI_SPayrollS1_BPayrollB1_ee336bca_268">#REF!</definedName>
    <definedName name="_vena_LI_SPayrollS1_BPayrollB1_ee336bca_269">#REF!</definedName>
    <definedName name="_vena_LI_SPayrollS1_BPayrollB1_ee336bca_27">#REF!</definedName>
    <definedName name="_vena_LI_SPayrollS1_BPayrollB1_ee336bca_270">#REF!</definedName>
    <definedName name="_vena_LI_SPayrollS1_BPayrollB1_ee336bca_271">#REF!</definedName>
    <definedName name="_vena_LI_SPayrollS1_BPayrollB1_ee336bca_272">#REF!</definedName>
    <definedName name="_vena_LI_SPayrollS1_BPayrollB1_ee336bca_273">#REF!</definedName>
    <definedName name="_vena_LI_SPayrollS1_BPayrollB1_ee336bca_274">#REF!</definedName>
    <definedName name="_vena_LI_SPayrollS1_BPayrollB1_ee336bca_275">#REF!</definedName>
    <definedName name="_vena_LI_SPayrollS1_BPayrollB1_ee336bca_276">#REF!</definedName>
    <definedName name="_vena_LI_SPayrollS1_BPayrollB1_ee336bca_277">#REF!</definedName>
    <definedName name="_vena_LI_SPayrollS1_BPayrollB1_ee336bca_278">#REF!</definedName>
    <definedName name="_vena_LI_SPayrollS1_BPayrollB1_ee336bca_279">#REF!</definedName>
    <definedName name="_vena_LI_SPayrollS1_BPayrollB1_ee336bca_28">#REF!</definedName>
    <definedName name="_vena_LI_SPayrollS1_BPayrollB1_ee336bca_280">#REF!</definedName>
    <definedName name="_vena_LI_SPayrollS1_BPayrollB1_ee336bca_281">#REF!</definedName>
    <definedName name="_vena_LI_SPayrollS1_BPayrollB1_ee336bca_282">#REF!</definedName>
    <definedName name="_vena_LI_SPayrollS1_BPayrollB1_ee336bca_283">#REF!</definedName>
    <definedName name="_vena_LI_SPayrollS1_BPayrollB1_ee336bca_284">#REF!</definedName>
    <definedName name="_vena_LI_SPayrollS1_BPayrollB1_ee336bca_285">#REF!</definedName>
    <definedName name="_vena_LI_SPayrollS1_BPayrollB1_ee336bca_286">#REF!</definedName>
    <definedName name="_vena_LI_SPayrollS1_BPayrollB1_ee336bca_287">#REF!</definedName>
    <definedName name="_vena_LI_SPayrollS1_BPayrollB1_ee336bca_288">#REF!</definedName>
    <definedName name="_vena_LI_SPayrollS1_BPayrollB1_ee336bca_289">#REF!</definedName>
    <definedName name="_vena_LI_SPayrollS1_BPayrollB1_ee336bca_29">#REF!</definedName>
    <definedName name="_vena_LI_SPayrollS1_BPayrollB1_ee336bca_290">#REF!</definedName>
    <definedName name="_vena_LI_SPayrollS1_BPayrollB1_ee336bca_291">#REF!</definedName>
    <definedName name="_vena_LI_SPayrollS1_BPayrollB1_ee336bca_292">#REF!</definedName>
    <definedName name="_vena_LI_SPayrollS1_BPayrollB1_ee336bca_293">#REF!</definedName>
    <definedName name="_vena_LI_SPayrollS1_BPayrollB1_ee336bca_294">#REF!</definedName>
    <definedName name="_vena_LI_SPayrollS1_BPayrollB1_ee336bca_295">#REF!</definedName>
    <definedName name="_vena_LI_SPayrollS1_BPayrollB1_ee336bca_296">#REF!</definedName>
    <definedName name="_vena_LI_SPayrollS1_BPayrollB1_ee336bca_297">#REF!</definedName>
    <definedName name="_vena_LI_SPayrollS1_BPayrollB1_ee336bca_298">#REF!</definedName>
    <definedName name="_vena_LI_SPayrollS1_BPayrollB1_ee336bca_299">#REF!</definedName>
    <definedName name="_vena_LI_SPayrollS1_BPayrollB1_ee336bca_3">#REF!</definedName>
    <definedName name="_vena_LI_SPayrollS1_BPayrollB1_ee336bca_30">#REF!</definedName>
    <definedName name="_vena_LI_SPayrollS1_BPayrollB1_ee336bca_300">#REF!</definedName>
    <definedName name="_vena_LI_SPayrollS1_BPayrollB1_ee336bca_301">#REF!</definedName>
    <definedName name="_vena_LI_SPayrollS1_BPayrollB1_ee336bca_302">#REF!</definedName>
    <definedName name="_vena_LI_SPayrollS1_BPayrollB1_ee336bca_303">#REF!</definedName>
    <definedName name="_vena_LI_SPayrollS1_BPayrollB1_ee336bca_304">#REF!</definedName>
    <definedName name="_vena_LI_SPayrollS1_BPayrollB1_ee336bca_305">#REF!</definedName>
    <definedName name="_vena_LI_SPayrollS1_BPayrollB1_ee336bca_306">#REF!</definedName>
    <definedName name="_vena_LI_SPayrollS1_BPayrollB1_ee336bca_307">#REF!</definedName>
    <definedName name="_vena_LI_SPayrollS1_BPayrollB1_ee336bca_308">#REF!</definedName>
    <definedName name="_vena_LI_SPayrollS1_BPayrollB1_ee336bca_309">#REF!</definedName>
    <definedName name="_vena_LI_SPayrollS1_BPayrollB1_ee336bca_31">#REF!</definedName>
    <definedName name="_vena_LI_SPayrollS1_BPayrollB1_ee336bca_310">#REF!</definedName>
    <definedName name="_vena_LI_SPayrollS1_BPayrollB1_ee336bca_311">#REF!</definedName>
    <definedName name="_vena_LI_SPayrollS1_BPayrollB1_ee336bca_312">#REF!</definedName>
    <definedName name="_vena_LI_SPayrollS1_BPayrollB1_ee336bca_313">#REF!</definedName>
    <definedName name="_vena_LI_SPayrollS1_BPayrollB1_ee336bca_314">#REF!</definedName>
    <definedName name="_vena_LI_SPayrollS1_BPayrollB1_ee336bca_315">#REF!</definedName>
    <definedName name="_vena_LI_SPayrollS1_BPayrollB1_ee336bca_316">#REF!</definedName>
    <definedName name="_vena_LI_SPayrollS1_BPayrollB1_ee336bca_317">#REF!</definedName>
    <definedName name="_vena_LI_SPayrollS1_BPayrollB1_ee336bca_318">#REF!</definedName>
    <definedName name="_vena_LI_SPayrollS1_BPayrollB1_ee336bca_319">#REF!</definedName>
    <definedName name="_vena_LI_SPayrollS1_BPayrollB1_ee336bca_32">#REF!</definedName>
    <definedName name="_vena_LI_SPayrollS1_BPayrollB1_ee336bca_320">#REF!</definedName>
    <definedName name="_vena_LI_SPayrollS1_BPayrollB1_ee336bca_321">#REF!</definedName>
    <definedName name="_vena_LI_SPayrollS1_BPayrollB1_ee336bca_322">#REF!</definedName>
    <definedName name="_vena_LI_SPayrollS1_BPayrollB1_ee336bca_323">#REF!</definedName>
    <definedName name="_vena_LI_SPayrollS1_BPayrollB1_ee336bca_324">#REF!</definedName>
    <definedName name="_vena_LI_SPayrollS1_BPayrollB1_ee336bca_325">#REF!</definedName>
    <definedName name="_vena_LI_SPayrollS1_BPayrollB1_ee336bca_326">#REF!</definedName>
    <definedName name="_vena_LI_SPayrollS1_BPayrollB1_ee336bca_327">#REF!</definedName>
    <definedName name="_vena_LI_SPayrollS1_BPayrollB1_ee336bca_328">#REF!</definedName>
    <definedName name="_vena_LI_SPayrollS1_BPayrollB1_ee336bca_329">#REF!</definedName>
    <definedName name="_vena_LI_SPayrollS1_BPayrollB1_ee336bca_33">#REF!</definedName>
    <definedName name="_vena_LI_SPayrollS1_BPayrollB1_ee336bca_330">#REF!</definedName>
    <definedName name="_vena_LI_SPayrollS1_BPayrollB1_ee336bca_331">#REF!</definedName>
    <definedName name="_vena_LI_SPayrollS1_BPayrollB1_ee336bca_332">#REF!</definedName>
    <definedName name="_vena_LI_SPayrollS1_BPayrollB1_ee336bca_333">#REF!</definedName>
    <definedName name="_vena_LI_SPayrollS1_BPayrollB1_ee336bca_334">#REF!</definedName>
    <definedName name="_vena_LI_SPayrollS1_BPayrollB1_ee336bca_335">#REF!</definedName>
    <definedName name="_vena_LI_SPayrollS1_BPayrollB1_ee336bca_336">#REF!</definedName>
    <definedName name="_vena_LI_SPayrollS1_BPayrollB1_ee336bca_337">#REF!</definedName>
    <definedName name="_vena_LI_SPayrollS1_BPayrollB1_ee336bca_338">#REF!</definedName>
    <definedName name="_vena_LI_SPayrollS1_BPayrollB1_ee336bca_339">#REF!</definedName>
    <definedName name="_vena_LI_SPayrollS1_BPayrollB1_ee336bca_34">#REF!</definedName>
    <definedName name="_vena_LI_SPayrollS1_BPayrollB1_ee336bca_340">#REF!</definedName>
    <definedName name="_vena_LI_SPayrollS1_BPayrollB1_ee336bca_341">#REF!</definedName>
    <definedName name="_vena_LI_SPayrollS1_BPayrollB1_ee336bca_342">#REF!</definedName>
    <definedName name="_vena_LI_SPayrollS1_BPayrollB1_ee336bca_343">#REF!</definedName>
    <definedName name="_vena_LI_SPayrollS1_BPayrollB1_ee336bca_344">#REF!</definedName>
    <definedName name="_vena_LI_SPayrollS1_BPayrollB1_ee336bca_345">#REF!</definedName>
    <definedName name="_vena_LI_SPayrollS1_BPayrollB1_ee336bca_346">#REF!</definedName>
    <definedName name="_vena_LI_SPayrollS1_BPayrollB1_ee336bca_347">#REF!</definedName>
    <definedName name="_vena_LI_SPayrollS1_BPayrollB1_ee336bca_348">#REF!</definedName>
    <definedName name="_vena_LI_SPayrollS1_BPayrollB1_ee336bca_349">#REF!</definedName>
    <definedName name="_vena_LI_SPayrollS1_BPayrollB1_ee336bca_35">#REF!</definedName>
    <definedName name="_vena_LI_SPayrollS1_BPayrollB1_ee336bca_350">#REF!</definedName>
    <definedName name="_vena_LI_SPayrollS1_BPayrollB1_ee336bca_351">#REF!</definedName>
    <definedName name="_vena_LI_SPayrollS1_BPayrollB1_ee336bca_352">#REF!</definedName>
    <definedName name="_vena_LI_SPayrollS1_BPayrollB1_ee336bca_353">#REF!</definedName>
    <definedName name="_vena_LI_SPayrollS1_BPayrollB1_ee336bca_354">#REF!</definedName>
    <definedName name="_vena_LI_SPayrollS1_BPayrollB1_ee336bca_355">#REF!</definedName>
    <definedName name="_vena_LI_SPayrollS1_BPayrollB1_ee336bca_356">#REF!</definedName>
    <definedName name="_vena_LI_SPayrollS1_BPayrollB1_ee336bca_357">#REF!</definedName>
    <definedName name="_vena_LI_SPayrollS1_BPayrollB1_ee336bca_358">#REF!</definedName>
    <definedName name="_vena_LI_SPayrollS1_BPayrollB1_ee336bca_359">#REF!</definedName>
    <definedName name="_vena_LI_SPayrollS1_BPayrollB1_ee336bca_36">#REF!</definedName>
    <definedName name="_vena_LI_SPayrollS1_BPayrollB1_ee336bca_360">#REF!</definedName>
    <definedName name="_vena_LI_SPayrollS1_BPayrollB1_ee336bca_361">#REF!</definedName>
    <definedName name="_vena_LI_SPayrollS1_BPayrollB1_ee336bca_362">#REF!</definedName>
    <definedName name="_vena_LI_SPayrollS1_BPayrollB1_ee336bca_363">#REF!</definedName>
    <definedName name="_vena_LI_SPayrollS1_BPayrollB1_ee336bca_364">#REF!</definedName>
    <definedName name="_vena_LI_SPayrollS1_BPayrollB1_ee336bca_365">#REF!</definedName>
    <definedName name="_vena_LI_SPayrollS1_BPayrollB1_ee336bca_366">#REF!</definedName>
    <definedName name="_vena_LI_SPayrollS1_BPayrollB1_ee336bca_367">#REF!</definedName>
    <definedName name="_vena_LI_SPayrollS1_BPayrollB1_ee336bca_368">#REF!</definedName>
    <definedName name="_vena_LI_SPayrollS1_BPayrollB1_ee336bca_369">#REF!</definedName>
    <definedName name="_vena_LI_SPayrollS1_BPayrollB1_ee336bca_37">#REF!</definedName>
    <definedName name="_vena_LI_SPayrollS1_BPayrollB1_ee336bca_370">#REF!</definedName>
    <definedName name="_vena_LI_SPayrollS1_BPayrollB1_ee336bca_371">#REF!</definedName>
    <definedName name="_vena_LI_SPayrollS1_BPayrollB1_ee336bca_372">#REF!</definedName>
    <definedName name="_vena_LI_SPayrollS1_BPayrollB1_ee336bca_373">#REF!</definedName>
    <definedName name="_vena_LI_SPayrollS1_BPayrollB1_ee336bca_374">#REF!</definedName>
    <definedName name="_vena_LI_SPayrollS1_BPayrollB1_ee336bca_375">#REF!</definedName>
    <definedName name="_vena_LI_SPayrollS1_BPayrollB1_ee336bca_376">#REF!</definedName>
    <definedName name="_vena_LI_SPayrollS1_BPayrollB1_ee336bca_377">#REF!</definedName>
    <definedName name="_vena_LI_SPayrollS1_BPayrollB1_ee336bca_378">#REF!</definedName>
    <definedName name="_vena_LI_SPayrollS1_BPayrollB1_ee336bca_379">#REF!</definedName>
    <definedName name="_vena_LI_SPayrollS1_BPayrollB1_ee336bca_38">#REF!</definedName>
    <definedName name="_vena_LI_SPayrollS1_BPayrollB1_ee336bca_380">#REF!</definedName>
    <definedName name="_vena_LI_SPayrollS1_BPayrollB1_ee336bca_381">#REF!</definedName>
    <definedName name="_vena_LI_SPayrollS1_BPayrollB1_ee336bca_39">#REF!</definedName>
    <definedName name="_vena_LI_SPayrollS1_BPayrollB1_ee336bca_4">#REF!</definedName>
    <definedName name="_vena_LI_SPayrollS1_BPayrollB1_ee336bca_40">#REF!</definedName>
    <definedName name="_vena_LI_SPayrollS1_BPayrollB1_ee336bca_41">#REF!</definedName>
    <definedName name="_vena_LI_SPayrollS1_BPayrollB1_ee336bca_42">#REF!</definedName>
    <definedName name="_vena_LI_SPayrollS1_BPayrollB1_ee336bca_43">#REF!</definedName>
    <definedName name="_vena_LI_SPayrollS1_BPayrollB1_ee336bca_44">#REF!</definedName>
    <definedName name="_vena_LI_SPayrollS1_BPayrollB1_ee336bca_45">#REF!</definedName>
    <definedName name="_vena_LI_SPayrollS1_BPayrollB1_ee336bca_46">#REF!</definedName>
    <definedName name="_vena_LI_SPayrollS1_BPayrollB1_ee336bca_47">#REF!</definedName>
    <definedName name="_vena_LI_SPayrollS1_BPayrollB1_ee336bca_48">#REF!</definedName>
    <definedName name="_vena_LI_SPayrollS1_BPayrollB1_ee336bca_49">#REF!</definedName>
    <definedName name="_vena_LI_SPayrollS1_BPayrollB1_ee336bca_5">#REF!</definedName>
    <definedName name="_vena_LI_SPayrollS1_BPayrollB1_ee336bca_50">#REF!</definedName>
    <definedName name="_vena_LI_SPayrollS1_BPayrollB1_ee336bca_51">#REF!</definedName>
    <definedName name="_vena_LI_SPayrollS1_BPayrollB1_ee336bca_52">#REF!</definedName>
    <definedName name="_vena_LI_SPayrollS1_BPayrollB1_ee336bca_53">#REF!</definedName>
    <definedName name="_vena_LI_SPayrollS1_BPayrollB1_ee336bca_54">#REF!</definedName>
    <definedName name="_vena_LI_SPayrollS1_BPayrollB1_ee336bca_55">#REF!</definedName>
    <definedName name="_vena_LI_SPayrollS1_BPayrollB1_ee336bca_56">#REF!</definedName>
    <definedName name="_vena_LI_SPayrollS1_BPayrollB1_ee336bca_57">#REF!</definedName>
    <definedName name="_vena_LI_SPayrollS1_BPayrollB1_ee336bca_58">#REF!</definedName>
    <definedName name="_vena_LI_SPayrollS1_BPayrollB1_ee336bca_59">#REF!</definedName>
    <definedName name="_vena_LI_SPayrollS1_BPayrollB1_ee336bca_6">#REF!</definedName>
    <definedName name="_vena_LI_SPayrollS1_BPayrollB1_ee336bca_60">#REF!</definedName>
    <definedName name="_vena_LI_SPayrollS1_BPayrollB1_ee336bca_61">#REF!</definedName>
    <definedName name="_vena_LI_SPayrollS1_BPayrollB1_ee336bca_62">#REF!</definedName>
    <definedName name="_vena_LI_SPayrollS1_BPayrollB1_ee336bca_63">#REF!</definedName>
    <definedName name="_vena_LI_SPayrollS1_BPayrollB1_ee336bca_64">#REF!</definedName>
    <definedName name="_vena_LI_SPayrollS1_BPayrollB1_ee336bca_65">#REF!</definedName>
    <definedName name="_vena_LI_SPayrollS1_BPayrollB1_ee336bca_66">#REF!</definedName>
    <definedName name="_vena_LI_SPayrollS1_BPayrollB1_ee336bca_67">#REF!</definedName>
    <definedName name="_vena_LI_SPayrollS1_BPayrollB1_ee336bca_68">#REF!</definedName>
    <definedName name="_vena_LI_SPayrollS1_BPayrollB1_ee336bca_69">#REF!</definedName>
    <definedName name="_vena_LI_SPayrollS1_BPayrollB1_ee336bca_7">#REF!</definedName>
    <definedName name="_vena_LI_SPayrollS1_BPayrollB1_ee336bca_70">#REF!</definedName>
    <definedName name="_vena_LI_SPayrollS1_BPayrollB1_ee336bca_71">#REF!</definedName>
    <definedName name="_vena_LI_SPayrollS1_BPayrollB1_ee336bca_72">#REF!</definedName>
    <definedName name="_vena_LI_SPayrollS1_BPayrollB1_ee336bca_73">#REF!</definedName>
    <definedName name="_vena_LI_SPayrollS1_BPayrollB1_ee336bca_74">#REF!</definedName>
    <definedName name="_vena_LI_SPayrollS1_BPayrollB1_ee336bca_75">#REF!</definedName>
    <definedName name="_vena_LI_SPayrollS1_BPayrollB1_ee336bca_76">#REF!</definedName>
    <definedName name="_vena_LI_SPayrollS1_BPayrollB1_ee336bca_77">#REF!</definedName>
    <definedName name="_vena_LI_SPayrollS1_BPayrollB1_ee336bca_78">#REF!</definedName>
    <definedName name="_vena_LI_SPayrollS1_BPayrollB1_ee336bca_79">#REF!</definedName>
    <definedName name="_vena_LI_SPayrollS1_BPayrollB1_ee336bca_8">#REF!</definedName>
    <definedName name="_vena_LI_SPayrollS1_BPayrollB1_ee336bca_80">#REF!</definedName>
    <definedName name="_vena_LI_SPayrollS1_BPayrollB1_ee336bca_81">#REF!</definedName>
    <definedName name="_vena_LI_SPayrollS1_BPayrollB1_ee336bca_82">#REF!</definedName>
    <definedName name="_vena_LI_SPayrollS1_BPayrollB1_ee336bca_83">#REF!</definedName>
    <definedName name="_vena_LI_SPayrollS1_BPayrollB1_ee336bca_84">#REF!</definedName>
    <definedName name="_vena_LI_SPayrollS1_BPayrollB1_ee336bca_85">#REF!</definedName>
    <definedName name="_vena_LI_SPayrollS1_BPayrollB1_ee336bca_86">#REF!</definedName>
    <definedName name="_vena_LI_SPayrollS1_BPayrollB1_ee336bca_87">#REF!</definedName>
    <definedName name="_vena_LI_SPayrollS1_BPayrollB1_ee336bca_88">#REF!</definedName>
    <definedName name="_vena_LI_SPayrollS1_BPayrollB1_ee336bca_89">#REF!</definedName>
    <definedName name="_vena_LI_SPayrollS1_BPayrollB1_ee336bca_9">#REF!</definedName>
    <definedName name="_vena_LI_SPayrollS1_BPayrollB1_ee336bca_90">#REF!</definedName>
    <definedName name="_vena_LI_SPayrollS1_BPayrollB1_ee336bca_91">#REF!</definedName>
    <definedName name="_vena_LI_SPayrollS1_BPayrollB1_ee336bca_92">#REF!</definedName>
    <definedName name="_vena_LI_SPayrollS1_BPayrollB1_ee336bca_93">#REF!</definedName>
    <definedName name="_vena_LI_SPayrollS1_BPayrollB1_ee336bca_94">#REF!</definedName>
    <definedName name="_vena_LI_SPayrollS1_BPayrollB1_ee336bca_95">#REF!</definedName>
    <definedName name="_vena_LI_SPayrollS1_BPayrollB1_ee336bca_96">#REF!</definedName>
    <definedName name="_vena_LI_SPayrollS1_BPayrollB1_ee336bca_97">#REF!</definedName>
    <definedName name="_vena_LI_SPayrollS1_BPayrollB1_ee336bca_98">#REF!</definedName>
    <definedName name="_vena_LI_SPayrollS1_BPayrollB1_ee336bca_99">#REF!</definedName>
    <definedName name="_vena_LI_SPayrollS1_BPayrollB2_80f7cbbe">#REF!</definedName>
    <definedName name="_vena_LI_SPayrollS1_BPayrollB2_80f7cbbe_1">#REF!</definedName>
    <definedName name="_vena_LI_SPayrollS1_BPayrollB2_80f7cbbe_10">#REF!</definedName>
    <definedName name="_vena_LI_SPayrollS1_BPayrollB2_80f7cbbe_100">#REF!</definedName>
    <definedName name="_vena_LI_SPayrollS1_BPayrollB2_80f7cbbe_101">#REF!</definedName>
    <definedName name="_vena_LI_SPayrollS1_BPayrollB2_80f7cbbe_102">#REF!</definedName>
    <definedName name="_vena_LI_SPayrollS1_BPayrollB2_80f7cbbe_103">#REF!</definedName>
    <definedName name="_vena_LI_SPayrollS1_BPayrollB2_80f7cbbe_104">#REF!</definedName>
    <definedName name="_vena_LI_SPayrollS1_BPayrollB2_80f7cbbe_105">#REF!</definedName>
    <definedName name="_vena_LI_SPayrollS1_BPayrollB2_80f7cbbe_106">#REF!</definedName>
    <definedName name="_vena_LI_SPayrollS1_BPayrollB2_80f7cbbe_107">#REF!</definedName>
    <definedName name="_vena_LI_SPayrollS1_BPayrollB2_80f7cbbe_108">#REF!</definedName>
    <definedName name="_vena_LI_SPayrollS1_BPayrollB2_80f7cbbe_109">#REF!</definedName>
    <definedName name="_vena_LI_SPayrollS1_BPayrollB2_80f7cbbe_11">#REF!</definedName>
    <definedName name="_vena_LI_SPayrollS1_BPayrollB2_80f7cbbe_110">#REF!</definedName>
    <definedName name="_vena_LI_SPayrollS1_BPayrollB2_80f7cbbe_111">#REF!</definedName>
    <definedName name="_vena_LI_SPayrollS1_BPayrollB2_80f7cbbe_112">#REF!</definedName>
    <definedName name="_vena_LI_SPayrollS1_BPayrollB2_80f7cbbe_113">#REF!</definedName>
    <definedName name="_vena_LI_SPayrollS1_BPayrollB2_80f7cbbe_12">#REF!</definedName>
    <definedName name="_vena_LI_SPayrollS1_BPayrollB2_80f7cbbe_13">#REF!</definedName>
    <definedName name="_vena_LI_SPayrollS1_BPayrollB2_80f7cbbe_14">#REF!</definedName>
    <definedName name="_vena_LI_SPayrollS1_BPayrollB2_80f7cbbe_15">#REF!</definedName>
    <definedName name="_vena_LI_SPayrollS1_BPayrollB2_80f7cbbe_16">#REF!</definedName>
    <definedName name="_vena_LI_SPayrollS1_BPayrollB2_80f7cbbe_17">#REF!</definedName>
    <definedName name="_vena_LI_SPayrollS1_BPayrollB2_80f7cbbe_18">#REF!</definedName>
    <definedName name="_vena_LI_SPayrollS1_BPayrollB2_80f7cbbe_19">#REF!</definedName>
    <definedName name="_vena_LI_SPayrollS1_BPayrollB2_80f7cbbe_2">#REF!</definedName>
    <definedName name="_vena_LI_SPayrollS1_BPayrollB2_80f7cbbe_20">#REF!</definedName>
    <definedName name="_vena_LI_SPayrollS1_BPayrollB2_80f7cbbe_21">#REF!</definedName>
    <definedName name="_vena_LI_SPayrollS1_BPayrollB2_80f7cbbe_22">#REF!</definedName>
    <definedName name="_vena_LI_SPayrollS1_BPayrollB2_80f7cbbe_23">#REF!</definedName>
    <definedName name="_vena_LI_SPayrollS1_BPayrollB2_80f7cbbe_24">#REF!</definedName>
    <definedName name="_vena_LI_SPayrollS1_BPayrollB2_80f7cbbe_25">#REF!</definedName>
    <definedName name="_vena_LI_SPayrollS1_BPayrollB2_80f7cbbe_26">#REF!</definedName>
    <definedName name="_vena_LI_SPayrollS1_BPayrollB2_80f7cbbe_27">#REF!</definedName>
    <definedName name="_vena_LI_SPayrollS1_BPayrollB2_80f7cbbe_28">#REF!</definedName>
    <definedName name="_vena_LI_SPayrollS1_BPayrollB2_80f7cbbe_29">#REF!</definedName>
    <definedName name="_vena_LI_SPayrollS1_BPayrollB2_80f7cbbe_3">#REF!</definedName>
    <definedName name="_vena_LI_SPayrollS1_BPayrollB2_80f7cbbe_30">#REF!</definedName>
    <definedName name="_vena_LI_SPayrollS1_BPayrollB2_80f7cbbe_31">#REF!</definedName>
    <definedName name="_vena_LI_SPayrollS1_BPayrollB2_80f7cbbe_32">#REF!</definedName>
    <definedName name="_vena_LI_SPayrollS1_BPayrollB2_80f7cbbe_33">#REF!</definedName>
    <definedName name="_vena_LI_SPayrollS1_BPayrollB2_80f7cbbe_34">#REF!</definedName>
    <definedName name="_vena_LI_SPayrollS1_BPayrollB2_80f7cbbe_35">#REF!</definedName>
    <definedName name="_vena_LI_SPayrollS1_BPayrollB2_80f7cbbe_36">#REF!</definedName>
    <definedName name="_vena_LI_SPayrollS1_BPayrollB2_80f7cbbe_37">#REF!</definedName>
    <definedName name="_vena_LI_SPayrollS1_BPayrollB2_80f7cbbe_38">#REF!</definedName>
    <definedName name="_vena_LI_SPayrollS1_BPayrollB2_80f7cbbe_39">#REF!</definedName>
    <definedName name="_vena_LI_SPayrollS1_BPayrollB2_80f7cbbe_4">#REF!</definedName>
    <definedName name="_vena_LI_SPayrollS1_BPayrollB2_80f7cbbe_40">#REF!</definedName>
    <definedName name="_vena_LI_SPayrollS1_BPayrollB2_80f7cbbe_41">#REF!</definedName>
    <definedName name="_vena_LI_SPayrollS1_BPayrollB2_80f7cbbe_42">#REF!</definedName>
    <definedName name="_vena_LI_SPayrollS1_BPayrollB2_80f7cbbe_43">#REF!</definedName>
    <definedName name="_vena_LI_SPayrollS1_BPayrollB2_80f7cbbe_44">#REF!</definedName>
    <definedName name="_vena_LI_SPayrollS1_BPayrollB2_80f7cbbe_45">#REF!</definedName>
    <definedName name="_vena_LI_SPayrollS1_BPayrollB2_80f7cbbe_46">#REF!</definedName>
    <definedName name="_vena_LI_SPayrollS1_BPayrollB2_80f7cbbe_47">#REF!</definedName>
    <definedName name="_vena_LI_SPayrollS1_BPayrollB2_80f7cbbe_48">#REF!</definedName>
    <definedName name="_vena_LI_SPayrollS1_BPayrollB2_80f7cbbe_49">#REF!</definedName>
    <definedName name="_vena_LI_SPayrollS1_BPayrollB2_80f7cbbe_5">#REF!</definedName>
    <definedName name="_vena_LI_SPayrollS1_BPayrollB2_80f7cbbe_50">#REF!</definedName>
    <definedName name="_vena_LI_SPayrollS1_BPayrollB2_80f7cbbe_51">#REF!</definedName>
    <definedName name="_vena_LI_SPayrollS1_BPayrollB2_80f7cbbe_52">#REF!</definedName>
    <definedName name="_vena_LI_SPayrollS1_BPayrollB2_80f7cbbe_53">#REF!</definedName>
    <definedName name="_vena_LI_SPayrollS1_BPayrollB2_80f7cbbe_54">#REF!</definedName>
    <definedName name="_vena_LI_SPayrollS1_BPayrollB2_80f7cbbe_55">#REF!</definedName>
    <definedName name="_vena_LI_SPayrollS1_BPayrollB2_80f7cbbe_56">#REF!</definedName>
    <definedName name="_vena_LI_SPayrollS1_BPayrollB2_80f7cbbe_57">#REF!</definedName>
    <definedName name="_vena_LI_SPayrollS1_BPayrollB2_80f7cbbe_58">#REF!</definedName>
    <definedName name="_vena_LI_SPayrollS1_BPayrollB2_80f7cbbe_59">#REF!</definedName>
    <definedName name="_vena_LI_SPayrollS1_BPayrollB2_80f7cbbe_6">#REF!</definedName>
    <definedName name="_vena_LI_SPayrollS1_BPayrollB2_80f7cbbe_60">#REF!</definedName>
    <definedName name="_vena_LI_SPayrollS1_BPayrollB2_80f7cbbe_61">#REF!</definedName>
    <definedName name="_vena_LI_SPayrollS1_BPayrollB2_80f7cbbe_62">#REF!</definedName>
    <definedName name="_vena_LI_SPayrollS1_BPayrollB2_80f7cbbe_63">#REF!</definedName>
    <definedName name="_vena_LI_SPayrollS1_BPayrollB2_80f7cbbe_64">#REF!</definedName>
    <definedName name="_vena_LI_SPayrollS1_BPayrollB2_80f7cbbe_65">#REF!</definedName>
    <definedName name="_vena_LI_SPayrollS1_BPayrollB2_80f7cbbe_66">#REF!</definedName>
    <definedName name="_vena_LI_SPayrollS1_BPayrollB2_80f7cbbe_67">#REF!</definedName>
    <definedName name="_vena_LI_SPayrollS1_BPayrollB2_80f7cbbe_68">#REF!</definedName>
    <definedName name="_vena_LI_SPayrollS1_BPayrollB2_80f7cbbe_69">#REF!</definedName>
    <definedName name="_vena_LI_SPayrollS1_BPayrollB2_80f7cbbe_7">#REF!</definedName>
    <definedName name="_vena_LI_SPayrollS1_BPayrollB2_80f7cbbe_70">#REF!</definedName>
    <definedName name="_vena_LI_SPayrollS1_BPayrollB2_80f7cbbe_71">#REF!</definedName>
    <definedName name="_vena_LI_SPayrollS1_BPayrollB2_80f7cbbe_72">#REF!</definedName>
    <definedName name="_vena_LI_SPayrollS1_BPayrollB2_80f7cbbe_73">#REF!</definedName>
    <definedName name="_vena_LI_SPayrollS1_BPayrollB2_80f7cbbe_74">#REF!</definedName>
    <definedName name="_vena_LI_SPayrollS1_BPayrollB2_80f7cbbe_75">#REF!</definedName>
    <definedName name="_vena_LI_SPayrollS1_BPayrollB2_80f7cbbe_76">#REF!</definedName>
    <definedName name="_vena_LI_SPayrollS1_BPayrollB2_80f7cbbe_77">#REF!</definedName>
    <definedName name="_vena_LI_SPayrollS1_BPayrollB2_80f7cbbe_78">#REF!</definedName>
    <definedName name="_vena_LI_SPayrollS1_BPayrollB2_80f7cbbe_79">#REF!</definedName>
    <definedName name="_vena_LI_SPayrollS1_BPayrollB2_80f7cbbe_8">#REF!</definedName>
    <definedName name="_vena_LI_SPayrollS1_BPayrollB2_80f7cbbe_80">#REF!</definedName>
    <definedName name="_vena_LI_SPayrollS1_BPayrollB2_80f7cbbe_81">#REF!</definedName>
    <definedName name="_vena_LI_SPayrollS1_BPayrollB2_80f7cbbe_82">#REF!</definedName>
    <definedName name="_vena_LI_SPayrollS1_BPayrollB2_80f7cbbe_83">#REF!</definedName>
    <definedName name="_vena_LI_SPayrollS1_BPayrollB2_80f7cbbe_84">#REF!</definedName>
    <definedName name="_vena_LI_SPayrollS1_BPayrollB2_80f7cbbe_85">#REF!</definedName>
    <definedName name="_vena_LI_SPayrollS1_BPayrollB2_80f7cbbe_86">#REF!</definedName>
    <definedName name="_vena_LI_SPayrollS1_BPayrollB2_80f7cbbe_87">#REF!</definedName>
    <definedName name="_vena_LI_SPayrollS1_BPayrollB2_80f7cbbe_88">#REF!</definedName>
    <definedName name="_vena_LI_SPayrollS1_BPayrollB2_80f7cbbe_89">#REF!</definedName>
    <definedName name="_vena_LI_SPayrollS1_BPayrollB2_80f7cbbe_9">#REF!</definedName>
    <definedName name="_vena_LI_SPayrollS1_BPayrollB2_80f7cbbe_90">#REF!</definedName>
    <definedName name="_vena_LI_SPayrollS1_BPayrollB2_80f7cbbe_91">#REF!</definedName>
    <definedName name="_vena_LI_SPayrollS1_BPayrollB2_80f7cbbe_92">#REF!</definedName>
    <definedName name="_vena_LI_SPayrollS1_BPayrollB2_80f7cbbe_93">#REF!</definedName>
    <definedName name="_vena_LI_SPayrollS1_BPayrollB2_80f7cbbe_94">#REF!</definedName>
    <definedName name="_vena_LI_SPayrollS1_BPayrollB2_80f7cbbe_95">#REF!</definedName>
    <definedName name="_vena_LI_SPayrollS1_BPayrollB2_80f7cbbe_96">#REF!</definedName>
    <definedName name="_vena_LI_SPayrollS1_BPayrollB2_80f7cbbe_97">#REF!</definedName>
    <definedName name="_vena_LI_SPayrollS1_BPayrollB2_80f7cbbe_98">#REF!</definedName>
    <definedName name="_vena_LI_SPayrollS1_BPayrollB2_80f7cbbe_99">#REF!</definedName>
    <definedName name="_vena_LI_SPayrollS1_BPayrollB2_961c2f67">#REF!</definedName>
    <definedName name="_vena_LI_SPayrollS1_BPayrollB2_961c2f67_1">#REF!</definedName>
    <definedName name="_vena_LI_SPayrollS1_BPayrollB2_961c2f67_10">#REF!</definedName>
    <definedName name="_vena_LI_SPayrollS1_BPayrollB2_961c2f67_100">#REF!</definedName>
    <definedName name="_vena_LI_SPayrollS1_BPayrollB2_961c2f67_101">#REF!</definedName>
    <definedName name="_vena_LI_SPayrollS1_BPayrollB2_961c2f67_102">#REF!</definedName>
    <definedName name="_vena_LI_SPayrollS1_BPayrollB2_961c2f67_103">#REF!</definedName>
    <definedName name="_vena_LI_SPayrollS1_BPayrollB2_961c2f67_104">#REF!</definedName>
    <definedName name="_vena_LI_SPayrollS1_BPayrollB2_961c2f67_105">#REF!</definedName>
    <definedName name="_vena_LI_SPayrollS1_BPayrollB2_961c2f67_106">#REF!</definedName>
    <definedName name="_vena_LI_SPayrollS1_BPayrollB2_961c2f67_107">#REF!</definedName>
    <definedName name="_vena_LI_SPayrollS1_BPayrollB2_961c2f67_108">#REF!</definedName>
    <definedName name="_vena_LI_SPayrollS1_BPayrollB2_961c2f67_109">#REF!</definedName>
    <definedName name="_vena_LI_SPayrollS1_BPayrollB2_961c2f67_11">#REF!</definedName>
    <definedName name="_vena_LI_SPayrollS1_BPayrollB2_961c2f67_110">#REF!</definedName>
    <definedName name="_vena_LI_SPayrollS1_BPayrollB2_961c2f67_111">#REF!</definedName>
    <definedName name="_vena_LI_SPayrollS1_BPayrollB2_961c2f67_112">#REF!</definedName>
    <definedName name="_vena_LI_SPayrollS1_BPayrollB2_961c2f67_113">#REF!</definedName>
    <definedName name="_vena_LI_SPayrollS1_BPayrollB2_961c2f67_12">#REF!</definedName>
    <definedName name="_vena_LI_SPayrollS1_BPayrollB2_961c2f67_13">#REF!</definedName>
    <definedName name="_vena_LI_SPayrollS1_BPayrollB2_961c2f67_14">#REF!</definedName>
    <definedName name="_vena_LI_SPayrollS1_BPayrollB2_961c2f67_15">#REF!</definedName>
    <definedName name="_vena_LI_SPayrollS1_BPayrollB2_961c2f67_16">#REF!</definedName>
    <definedName name="_vena_LI_SPayrollS1_BPayrollB2_961c2f67_17">#REF!</definedName>
    <definedName name="_vena_LI_SPayrollS1_BPayrollB2_961c2f67_18">#REF!</definedName>
    <definedName name="_vena_LI_SPayrollS1_BPayrollB2_961c2f67_19">#REF!</definedName>
    <definedName name="_vena_LI_SPayrollS1_BPayrollB2_961c2f67_2">#REF!</definedName>
    <definedName name="_vena_LI_SPayrollS1_BPayrollB2_961c2f67_20">#REF!</definedName>
    <definedName name="_vena_LI_SPayrollS1_BPayrollB2_961c2f67_21">#REF!</definedName>
    <definedName name="_vena_LI_SPayrollS1_BPayrollB2_961c2f67_22">#REF!</definedName>
    <definedName name="_vena_LI_SPayrollS1_BPayrollB2_961c2f67_23">#REF!</definedName>
    <definedName name="_vena_LI_SPayrollS1_BPayrollB2_961c2f67_24">#REF!</definedName>
    <definedName name="_vena_LI_SPayrollS1_BPayrollB2_961c2f67_25">#REF!</definedName>
    <definedName name="_vena_LI_SPayrollS1_BPayrollB2_961c2f67_26">#REF!</definedName>
    <definedName name="_vena_LI_SPayrollS1_BPayrollB2_961c2f67_27">#REF!</definedName>
    <definedName name="_vena_LI_SPayrollS1_BPayrollB2_961c2f67_28">#REF!</definedName>
    <definedName name="_vena_LI_SPayrollS1_BPayrollB2_961c2f67_29">#REF!</definedName>
    <definedName name="_vena_LI_SPayrollS1_BPayrollB2_961c2f67_3">#REF!</definedName>
    <definedName name="_vena_LI_SPayrollS1_BPayrollB2_961c2f67_30">#REF!</definedName>
    <definedName name="_vena_LI_SPayrollS1_BPayrollB2_961c2f67_31">#REF!</definedName>
    <definedName name="_vena_LI_SPayrollS1_BPayrollB2_961c2f67_32">#REF!</definedName>
    <definedName name="_vena_LI_SPayrollS1_BPayrollB2_961c2f67_33">#REF!</definedName>
    <definedName name="_vena_LI_SPayrollS1_BPayrollB2_961c2f67_34">#REF!</definedName>
    <definedName name="_vena_LI_SPayrollS1_BPayrollB2_961c2f67_35">#REF!</definedName>
    <definedName name="_vena_LI_SPayrollS1_BPayrollB2_961c2f67_36">#REF!</definedName>
    <definedName name="_vena_LI_SPayrollS1_BPayrollB2_961c2f67_37">#REF!</definedName>
    <definedName name="_vena_LI_SPayrollS1_BPayrollB2_961c2f67_38">#REF!</definedName>
    <definedName name="_vena_LI_SPayrollS1_BPayrollB2_961c2f67_39">#REF!</definedName>
    <definedName name="_vena_LI_SPayrollS1_BPayrollB2_961c2f67_4">#REF!</definedName>
    <definedName name="_vena_LI_SPayrollS1_BPayrollB2_961c2f67_40">#REF!</definedName>
    <definedName name="_vena_LI_SPayrollS1_BPayrollB2_961c2f67_41">#REF!</definedName>
    <definedName name="_vena_LI_SPayrollS1_BPayrollB2_961c2f67_42">#REF!</definedName>
    <definedName name="_vena_LI_SPayrollS1_BPayrollB2_961c2f67_43">#REF!</definedName>
    <definedName name="_vena_LI_SPayrollS1_BPayrollB2_961c2f67_44">#REF!</definedName>
    <definedName name="_vena_LI_SPayrollS1_BPayrollB2_961c2f67_45">#REF!</definedName>
    <definedName name="_vena_LI_SPayrollS1_BPayrollB2_961c2f67_46">#REF!</definedName>
    <definedName name="_vena_LI_SPayrollS1_BPayrollB2_961c2f67_47">#REF!</definedName>
    <definedName name="_vena_LI_SPayrollS1_BPayrollB2_961c2f67_48">#REF!</definedName>
    <definedName name="_vena_LI_SPayrollS1_BPayrollB2_961c2f67_49">#REF!</definedName>
    <definedName name="_vena_LI_SPayrollS1_BPayrollB2_961c2f67_5">#REF!</definedName>
    <definedName name="_vena_LI_SPayrollS1_BPayrollB2_961c2f67_50">#REF!</definedName>
    <definedName name="_vena_LI_SPayrollS1_BPayrollB2_961c2f67_51">#REF!</definedName>
    <definedName name="_vena_LI_SPayrollS1_BPayrollB2_961c2f67_52">#REF!</definedName>
    <definedName name="_vena_LI_SPayrollS1_BPayrollB2_961c2f67_53">#REF!</definedName>
    <definedName name="_vena_LI_SPayrollS1_BPayrollB2_961c2f67_54">#REF!</definedName>
    <definedName name="_vena_LI_SPayrollS1_BPayrollB2_961c2f67_55">#REF!</definedName>
    <definedName name="_vena_LI_SPayrollS1_BPayrollB2_961c2f67_56">#REF!</definedName>
    <definedName name="_vena_LI_SPayrollS1_BPayrollB2_961c2f67_57">#REF!</definedName>
    <definedName name="_vena_LI_SPayrollS1_BPayrollB2_961c2f67_58">#REF!</definedName>
    <definedName name="_vena_LI_SPayrollS1_BPayrollB2_961c2f67_59">#REF!</definedName>
    <definedName name="_vena_LI_SPayrollS1_BPayrollB2_961c2f67_6">#REF!</definedName>
    <definedName name="_vena_LI_SPayrollS1_BPayrollB2_961c2f67_60">#REF!</definedName>
    <definedName name="_vena_LI_SPayrollS1_BPayrollB2_961c2f67_61">#REF!</definedName>
    <definedName name="_vena_LI_SPayrollS1_BPayrollB2_961c2f67_62">#REF!</definedName>
    <definedName name="_vena_LI_SPayrollS1_BPayrollB2_961c2f67_63">#REF!</definedName>
    <definedName name="_vena_LI_SPayrollS1_BPayrollB2_961c2f67_64">#REF!</definedName>
    <definedName name="_vena_LI_SPayrollS1_BPayrollB2_961c2f67_65">#REF!</definedName>
    <definedName name="_vena_LI_SPayrollS1_BPayrollB2_961c2f67_66">#REF!</definedName>
    <definedName name="_vena_LI_SPayrollS1_BPayrollB2_961c2f67_67">#REF!</definedName>
    <definedName name="_vena_LI_SPayrollS1_BPayrollB2_961c2f67_68">#REF!</definedName>
    <definedName name="_vena_LI_SPayrollS1_BPayrollB2_961c2f67_69">#REF!</definedName>
    <definedName name="_vena_LI_SPayrollS1_BPayrollB2_961c2f67_7">#REF!</definedName>
    <definedName name="_vena_LI_SPayrollS1_BPayrollB2_961c2f67_70">#REF!</definedName>
    <definedName name="_vena_LI_SPayrollS1_BPayrollB2_961c2f67_71">#REF!</definedName>
    <definedName name="_vena_LI_SPayrollS1_BPayrollB2_961c2f67_72">#REF!</definedName>
    <definedName name="_vena_LI_SPayrollS1_BPayrollB2_961c2f67_73">#REF!</definedName>
    <definedName name="_vena_LI_SPayrollS1_BPayrollB2_961c2f67_74">#REF!</definedName>
    <definedName name="_vena_LI_SPayrollS1_BPayrollB2_961c2f67_75">#REF!</definedName>
    <definedName name="_vena_LI_SPayrollS1_BPayrollB2_961c2f67_76">#REF!</definedName>
    <definedName name="_vena_LI_SPayrollS1_BPayrollB2_961c2f67_77">#REF!</definedName>
    <definedName name="_vena_LI_SPayrollS1_BPayrollB2_961c2f67_78">#REF!</definedName>
    <definedName name="_vena_LI_SPayrollS1_BPayrollB2_961c2f67_79">#REF!</definedName>
    <definedName name="_vena_LI_SPayrollS1_BPayrollB2_961c2f67_8">#REF!</definedName>
    <definedName name="_vena_LI_SPayrollS1_BPayrollB2_961c2f67_80">#REF!</definedName>
    <definedName name="_vena_LI_SPayrollS1_BPayrollB2_961c2f67_81">#REF!</definedName>
    <definedName name="_vena_LI_SPayrollS1_BPayrollB2_961c2f67_82">#REF!</definedName>
    <definedName name="_vena_LI_SPayrollS1_BPayrollB2_961c2f67_83">#REF!</definedName>
    <definedName name="_vena_LI_SPayrollS1_BPayrollB2_961c2f67_84">#REF!</definedName>
    <definedName name="_vena_LI_SPayrollS1_BPayrollB2_961c2f67_85">#REF!</definedName>
    <definedName name="_vena_LI_SPayrollS1_BPayrollB2_961c2f67_86">#REF!</definedName>
    <definedName name="_vena_LI_SPayrollS1_BPayrollB2_961c2f67_87">#REF!</definedName>
    <definedName name="_vena_LI_SPayrollS1_BPayrollB2_961c2f67_88">#REF!</definedName>
    <definedName name="_vena_LI_SPayrollS1_BPayrollB2_961c2f67_89">#REF!</definedName>
    <definedName name="_vena_LI_SPayrollS1_BPayrollB2_961c2f67_9">#REF!</definedName>
    <definedName name="_vena_LI_SPayrollS1_BPayrollB2_961c2f67_90">#REF!</definedName>
    <definedName name="_vena_LI_SPayrollS1_BPayrollB2_961c2f67_91">#REF!</definedName>
    <definedName name="_vena_LI_SPayrollS1_BPayrollB2_961c2f67_92">#REF!</definedName>
    <definedName name="_vena_LI_SPayrollS1_BPayrollB2_961c2f67_93">#REF!</definedName>
    <definedName name="_vena_LI_SPayrollS1_BPayrollB2_961c2f67_94">#REF!</definedName>
    <definedName name="_vena_LI_SPayrollS1_BPayrollB2_961c2f67_95">#REF!</definedName>
    <definedName name="_vena_LI_SPayrollS1_BPayrollB2_961c2f67_96">#REF!</definedName>
    <definedName name="_vena_LI_SPayrollS1_BPayrollB2_961c2f67_97">#REF!</definedName>
    <definedName name="_vena_LI_SPayrollS1_BPayrollB2_961c2f67_98">#REF!</definedName>
    <definedName name="_vena_LI_SPayrollS1_BPayrollB2_961c2f67_99">#REF!</definedName>
    <definedName name="_vena_LI_SRatesS1_BRatesB2_95c3f711">#REF!</definedName>
    <definedName name="_vena_LI_SRatesS1_BRatesB2_95c3f711_1">#REF!</definedName>
    <definedName name="_vena_LI_SRatesS2_BRatesB4_1cb199c8">#REF!</definedName>
    <definedName name="_vena_LI_SRatesS2_BRatesB4_1cb199c8_1">#REF!</definedName>
    <definedName name="_vena_LI_SRatesS2_BRatesB4_1cb199c8_2">#REF!</definedName>
    <definedName name="_vena_LI_SRatesS2_BRatesB4_1cb199c8_3">#REF!</definedName>
    <definedName name="_vena_LIDT_CapExS1_CapExB1">#REF!</definedName>
    <definedName name="_vena_LIDT_CapExS2_CapExB2">#REF!</definedName>
    <definedName name="_vena_LIDT_DetailS1_DetailB1">#REF!</definedName>
    <definedName name="_vena_LIDT_MYPS1_MYPB1">#REF!</definedName>
    <definedName name="_vena_LIDT_PayrollS1_PayrollB1">#REF!</definedName>
    <definedName name="_vena_LIDT_PayrollS1_PayrollB2">#REF!</definedName>
    <definedName name="_vena_LIDT_RatesS1_RatesB2">#REF!</definedName>
    <definedName name="_vena_LIDT_RatesS2_RatesB4">#REF!</definedName>
    <definedName name="_vena_MultiSiteMYP_P_1_431662135119970305">#REF!</definedName>
    <definedName name="_vena_MultiSiteMYP_P_1_431662135346462721">#REF!</definedName>
    <definedName name="_vena_MultiSiteMYP_P_1_431662135388405760">#REF!</definedName>
    <definedName name="_vena_MultiSiteMYP_P_1_431662136017551360">#REF!</definedName>
    <definedName name="_vena_MultiSiteMYP_P_1_431662136038522880">#REF!</definedName>
    <definedName name="_vena_MultiSiteMYP_P_1_431662136063688704">#REF!</definedName>
    <definedName name="_vena_MultiSiteMYP_P_1_431662136130797568">#REF!</definedName>
    <definedName name="_vena_MultiSiteMYP_P_1_431662136151769088">#REF!</definedName>
    <definedName name="_vena_MultiSiteMYP_P_1_431662136168546304">#REF!</definedName>
    <definedName name="_vena_MultiSiteMYP_P_1_431662136189517824">#REF!</definedName>
    <definedName name="_vena_MultiSiteMYP_P_1_431662136227266560">#REF!</definedName>
    <definedName name="_vena_MultiSiteMYP_P_1_431662136248238080">#REF!</definedName>
    <definedName name="_vena_MultiSiteMYP_P_1_431662136265015296">#REF!</definedName>
    <definedName name="_vena_MultiSiteMYP_P_1_431662136285986816">#REF!</definedName>
    <definedName name="_vena_MultiSiteMYP_P_1_431662136361484289">#REF!</definedName>
    <definedName name="_vena_MultiSiteMYP_P_1_431662136416010241">#REF!</definedName>
    <definedName name="_vena_MultiSiteMYP_P_1_431662136525062145">#REF!</definedName>
    <definedName name="_vena_MultiSiteMYP_P_1_431662136558616577">#REF!</definedName>
    <definedName name="_vena_MultiSiteMYP_P_1_431662136600559616">#REF!</definedName>
    <definedName name="_vena_MultiSiteMYP_P_1_431662136650891265">#REF!</definedName>
    <definedName name="_vena_MultiSiteMYP_P_1_431662136713805824">#REF!</definedName>
    <definedName name="_vena_MultiSiteMYP_P_1_431662136734777344">#REF!</definedName>
    <definedName name="_vena_MultiSiteMYP_P_1_431662136772526081">#REF!</definedName>
    <definedName name="_vena_MultiSiteMYP_P_1_431662141021356033">#REF!</definedName>
    <definedName name="_vena_MultiSiteMYP_P_1_431662141109436419">#REF!</definedName>
    <definedName name="_vena_MultiSiteMYP_P_1_431662141130407939">#REF!</definedName>
    <definedName name="_vena_MultiSiteMYP_P_1_431662141231071237">#REF!</definedName>
    <definedName name="_vena_MultiSiteMYP_P_1_431662141252042757">#REF!</definedName>
    <definedName name="_vena_MultiSiteMYP_P_1_431662141277208577">#REF!</definedName>
    <definedName name="_vena_MultiSiteMYP_P_1_431662141331734530">#REF!</definedName>
    <definedName name="_vena_MultiSiteMYP_P_1_431662141432397833">#REF!</definedName>
    <definedName name="_vena_MultiSiteMYP_P_1_431662141507895298">#REF!</definedName>
    <definedName name="_vena_MultiSiteMYP_P_1_431662141558226944">#REF!</definedName>
    <definedName name="_vena_MultiSiteMYP_P_1_431662141965074433">#REF!</definedName>
    <definedName name="_vena_MultiSiteMYP_P_1_431662141986045952">#REF!</definedName>
    <definedName name="_vena_MultiSiteMYP_P_1_431662142065737728">#REF!</definedName>
    <definedName name="_vena_MultiSiteMYP_P_1_431662142099292162">#REF!</definedName>
    <definedName name="_vena_MultiSiteMYP_P_1_431662142116069376">#REF!</definedName>
    <definedName name="_vena_MultiSiteMYP_P_1_431662142137040896">#REF!</definedName>
    <definedName name="_vena_MultiSiteMYP_P_1_431662142158012418">#REF!</definedName>
    <definedName name="_vena_MultiSiteMYP_P_1_431662142267064320">#REF!</definedName>
    <definedName name="_vena_MultiSiteMYP_P_1_431662142288035840">#REF!</definedName>
    <definedName name="_vena_MultiSiteMYP_P_1_431662142304813056">#REF!</definedName>
    <definedName name="_vena_MultiSiteMYP_P_1_431662142342561793">#REF!</definedName>
    <definedName name="_vena_MultiSiteMYP_P_1_431662142401282049">#REF!</definedName>
    <definedName name="_vena_MultiSiteMYP_P_1_431662142468390913">#REF!</definedName>
    <definedName name="_vena_MultiSiteMYP_P_1_431662142501945345">#REF!</definedName>
    <definedName name="_vena_MultiSiteMYP_P_1_431662142615191552">#REF!</definedName>
    <definedName name="_vena_MultiSiteMYP_P_1_431662142665523201">#REF!</definedName>
    <definedName name="_vena_MultiSiteMYP_P_1_431662142715854850">#REF!</definedName>
    <definedName name="_vena_MultiSiteMYP_P_1_431662142866849792">#REF!</definedName>
    <definedName name="_vena_MultiSiteMYP_P_1_431662142900404225">#REF!</definedName>
    <definedName name="_vena_MultiSiteMYP_P_1_431662143135285249">#REF!</definedName>
    <definedName name="_vena_MultiSiteMYP_P_1_431662143173033984">#REF!</definedName>
    <definedName name="_vena_MultiSiteMYP_P_1_431662143189811200">#REF!</definedName>
    <definedName name="_vena_MultiSiteMYP_P_1_431662143227559937">#REF!</definedName>
    <definedName name="_vena_MultiSiteMYP_P_1_431662143265308672">#REF!</definedName>
    <definedName name="_vena_MultiSiteMYP_P_1_431662143282085888">#REF!</definedName>
    <definedName name="_vena_MultiSiteMYP_P_1_431662143319834624">#REF!</definedName>
    <definedName name="_vena_MultiSiteMYP_P_1_492905810105204975">#REF!</definedName>
    <definedName name="_vena_MultiSiteMYP_P_1_495042214327484416">#REF!</definedName>
    <definedName name="_vena_MultiSiteMYP_P_1_504860874692362240">#REF!</definedName>
    <definedName name="_vena_MultiSiteMYP_P_1_518244753050304512">#REF!</definedName>
    <definedName name="_vena_MultiSiteMYP_P_1_519712299360452608">#REF!</definedName>
    <definedName name="_vena_MultiSiteMYP_P_1_533803775723307008">#REF!</definedName>
    <definedName name="_vena_MultiSiteMYP_P_1_535590418382061569">#REF!</definedName>
    <definedName name="_vena_MultiSiteMYP_P_1_551209808318562304">#REF!</definedName>
    <definedName name="_vena_MultiSiteMYP_P_1_551278219405426688">#REF!</definedName>
    <definedName name="_vena_MultiSiteMYP_P_1_570728933809979392">#REF!</definedName>
    <definedName name="_vena_MultiSiteMYP_P_1_571419021648592896">#REF!</definedName>
    <definedName name="_vena_MultiSiteMYP_P_1_572948597911191552">#REF!</definedName>
    <definedName name="_vena_MultiSiteMYP_P_1_574467150631534592">#REF!</definedName>
    <definedName name="_vena_MultiSiteMYP_P_1_579169137830789120">#REF!</definedName>
    <definedName name="_vena_MultiSiteMYP_P_1_581718722391572480">#REF!</definedName>
    <definedName name="_vena_MultiSiteMYP_P_1_583847956316553216">#REF!</definedName>
    <definedName name="_vena_MultiSiteMYP_P_1_583848002608431105">#REF!</definedName>
    <definedName name="_vena_MultiSiteMYP_P_1_583848043125407744">#REF!</definedName>
    <definedName name="_vena_MultiSiteMYP_P_1_583894609274077184">#REF!</definedName>
    <definedName name="_vena_MultiSiteMYP_P_1_583895203594502144">#REF!</definedName>
    <definedName name="_vena_MultiSiteMYP_P_1_583895498231906304">#REF!</definedName>
    <definedName name="_vena_MultiSiteMYP_P_1_583895741312532480">#REF!</definedName>
    <definedName name="_vena_MultiSiteMYP_P_1_583895939250651136">#REF!</definedName>
    <definedName name="_vena_MultiSiteMYP_P_1_626243841255407616">#REF!</definedName>
    <definedName name="_vena_MultiSiteMYP_P_1_626244401836720128">#REF!</definedName>
    <definedName name="_vena_MultiSiteMYP_P_1_626244542434377728">#REF!</definedName>
    <definedName name="_vena_MultiSiteMYP_P_1_626244666732707840">#REF!</definedName>
    <definedName name="_vena_MultiSiteMYP_P_1_626244816598859776">#REF!</definedName>
    <definedName name="_vena_MultiSiteMYP_P_1_626244944948887552">#REF!</definedName>
    <definedName name="_vena_MultiSiteMYP_P_1_626245059415769088">#REF!</definedName>
    <definedName name="_vena_MultiSiteMYP_P_1_626245205884796928">#REF!</definedName>
    <definedName name="_vena_MultiSiteMYP_P_1_626245388668764160">#REF!</definedName>
    <definedName name="_vena_MultiSiteMYP_P_1_626245544667643904">#REF!</definedName>
    <definedName name="_vena_MultiSiteMYP_P_1_626245670157025280">#REF!</definedName>
    <definedName name="_vena_MultiSiteMYP_P_1_626245786170949632">#REF!</definedName>
    <definedName name="_vena_MultiSiteMYP_P_1_626245899795169280">#REF!</definedName>
    <definedName name="_vena_MultiSiteMYP_P_1_626246020410769408">#REF!</definedName>
    <definedName name="_vena_MultiSiteMYP_P_1_626246177558626304">#REF!</definedName>
    <definedName name="_vena_MultiSiteMYP_P_1_626594306178678784">#REF!</definedName>
    <definedName name="_vena_MultiSiteMYP_P_1_626594586912096256">#REF!</definedName>
    <definedName name="_vena_MultiSiteMYP_P_1_626594748275359744">#REF!</definedName>
    <definedName name="_vena_MultiSiteMYP_P_1_626594900712751104">#REF!</definedName>
    <definedName name="_vena_MultiSiteMYP_P_1_626595018392731648">#REF!</definedName>
    <definedName name="_vena_MultiSiteMYP_P_1_626595166367776768">#REF!</definedName>
    <definedName name="_vena_MultiSiteMYP_P_1_626595265131184128">#REF!</definedName>
    <definedName name="_vena_MultiSiteMYP_P_1_626595396215111680">#REF!</definedName>
    <definedName name="_vena_MultiSiteMYP_P_1_626595538767577088">#REF!</definedName>
    <definedName name="_vena_MultiSiteMYP_P_1_626595803801452544">#REF!</definedName>
    <definedName name="_vena_MultiSiteMYP_P_1_626595962756661248">#REF!</definedName>
    <definedName name="_vena_MultiSiteMYP_P_1_626596133858967552">#REF!</definedName>
    <definedName name="_vena_MultiSiteMYP_P_1_626596313232572416">#REF!</definedName>
    <definedName name="_vena_MultiSiteMYP_P_1_626596471282728960">#REF!</definedName>
    <definedName name="_vena_MultiSiteMYP_P_1_632461786280755200">#REF!</definedName>
    <definedName name="_vena_MultiSiteMYP_P_1_637887079787528192">#REF!</definedName>
    <definedName name="_vena_MultiSiteMYP_P_1_640081880603033600">#REF!</definedName>
    <definedName name="_vena_MultiSiteMYP_P_1_640083961669746688">#REF!</definedName>
    <definedName name="_vena_MultiSiteMYP_P_1_640084245742223360">#REF!</definedName>
    <definedName name="_vena_MultiSiteS1_MultiSiteB1_C_1_1007779170073837569" localSheetId="4">#REF!</definedName>
    <definedName name="_vena_MultiSiteS1_MultiSiteB1_C_1_1007779170073837569" localSheetId="5">#REF!</definedName>
    <definedName name="_vena_MultiSiteS1_MultiSiteB1_C_1_1007779170073837569" localSheetId="8">'[1]FY26 MYP-Multisite'!#REF!</definedName>
    <definedName name="_vena_MultiSiteS1_MultiSiteB1_C_1_1007779170073837569" localSheetId="3">#REF!</definedName>
    <definedName name="_vena_MultiSiteS1_MultiSiteB1_C_1_1007779170073837569">#REF!</definedName>
    <definedName name="_vena_MultiSiteS1_MultiSiteB1_C_1_1007779170073837569_1" localSheetId="4">#REF!</definedName>
    <definedName name="_vena_MultiSiteS1_MultiSiteB1_C_1_1007779170073837569_1" localSheetId="5">#REF!</definedName>
    <definedName name="_vena_MultiSiteS1_MultiSiteB1_C_1_1007779170073837569_1" localSheetId="8">'[1]FY26 MYP-Multisite'!#REF!</definedName>
    <definedName name="_vena_MultiSiteS1_MultiSiteB1_C_1_1007779170073837569_1" localSheetId="3">#REF!</definedName>
    <definedName name="_vena_MultiSiteS1_MultiSiteB1_C_1_1007779170073837569_1">#REF!</definedName>
    <definedName name="_vena_MultiSiteS1_MultiSiteB1_C_1_1007779170073837569_2" localSheetId="4">#REF!</definedName>
    <definedName name="_vena_MultiSiteS1_MultiSiteB1_C_1_1007779170073837569_2" localSheetId="5">#REF!</definedName>
    <definedName name="_vena_MultiSiteS1_MultiSiteB1_C_1_1007779170073837569_2" localSheetId="8">'[1]FY26 MYP-Multisite'!#REF!</definedName>
    <definedName name="_vena_MultiSiteS1_MultiSiteB1_C_1_1007779170073837569_2" localSheetId="3">#REF!</definedName>
    <definedName name="_vena_MultiSiteS1_MultiSiteB1_C_1_1007779170073837569_2">#REF!</definedName>
    <definedName name="_vena_MultiSiteS1_MultiSiteB1_C_1_1007779170073837569_3" localSheetId="4">#REF!</definedName>
    <definedName name="_vena_MultiSiteS1_MultiSiteB1_C_1_1007779170073837569_3" localSheetId="5">#REF!</definedName>
    <definedName name="_vena_MultiSiteS1_MultiSiteB1_C_1_1007779170073837569_3" localSheetId="8">'[1]FY26 MYP-Multisite'!#REF!</definedName>
    <definedName name="_vena_MultiSiteS1_MultiSiteB1_C_1_1007779170073837569_3" localSheetId="3">#REF!</definedName>
    <definedName name="_vena_MultiSiteS1_MultiSiteB1_C_1_1007779170073837569_3">#REF!</definedName>
    <definedName name="_vena_MultiSiteS1_MultiSiteB1_C_1_1007779170073837569_4" localSheetId="4">#REF!</definedName>
    <definedName name="_vena_MultiSiteS1_MultiSiteB1_C_1_1007779170073837569_4" localSheetId="5">#REF!</definedName>
    <definedName name="_vena_MultiSiteS1_MultiSiteB1_C_1_1007779170073837569_4" localSheetId="8">'[1]FY26 MYP-Multisite'!#REF!</definedName>
    <definedName name="_vena_MultiSiteS1_MultiSiteB1_C_1_1007779170073837569_4" localSheetId="3">#REF!</definedName>
    <definedName name="_vena_MultiSiteS1_MultiSiteB1_C_1_1007779170073837569_4">#REF!</definedName>
    <definedName name="_vena_MultiSiteS1_MultiSiteB1_C_1_1007779170073837569_5" localSheetId="4">#REF!</definedName>
    <definedName name="_vena_MultiSiteS1_MultiSiteB1_C_1_1007779170073837569_5" localSheetId="5">#REF!</definedName>
    <definedName name="_vena_MultiSiteS1_MultiSiteB1_C_1_1007779170073837569_5" localSheetId="8">'[1]FY26 MYP-Multisite'!#REF!</definedName>
    <definedName name="_vena_MultiSiteS1_MultiSiteB1_C_1_1007779170073837569_5" localSheetId="3">#REF!</definedName>
    <definedName name="_vena_MultiSiteS1_MultiSiteB1_C_1_1007779170073837569_5">#REF!</definedName>
    <definedName name="_vena_MultiSiteS1_MultiSiteB1_C_1_1007779170073837569_6" localSheetId="4">#REF!</definedName>
    <definedName name="_vena_MultiSiteS1_MultiSiteB1_C_1_1007779170073837569_6" localSheetId="5">#REF!</definedName>
    <definedName name="_vena_MultiSiteS1_MultiSiteB1_C_1_1007779170073837569_6" localSheetId="8">'[1]FY26 MYP-Multisite'!#REF!</definedName>
    <definedName name="_vena_MultiSiteS1_MultiSiteB1_C_1_1007779170073837569_6" localSheetId="3">#REF!</definedName>
    <definedName name="_vena_MultiSiteS1_MultiSiteB1_C_1_1007779170073837569_6">#REF!</definedName>
    <definedName name="_vena_MultiSiteS1_MultiSiteB1_C_1_1007779170073837569_7" localSheetId="4">#REF!</definedName>
    <definedName name="_vena_MultiSiteS1_MultiSiteB1_C_1_1007779170073837569_7" localSheetId="5">#REF!</definedName>
    <definedName name="_vena_MultiSiteS1_MultiSiteB1_C_1_1007779170073837569_7" localSheetId="8">'[1]FY26 MYP-Multisite'!#REF!</definedName>
    <definedName name="_vena_MultiSiteS1_MultiSiteB1_C_1_1007779170073837569_7" localSheetId="3">#REF!</definedName>
    <definedName name="_vena_MultiSiteS1_MultiSiteB1_C_1_1007779170073837569_7">#REF!</definedName>
    <definedName name="_vena_MultiSiteS1_MultiSiteB1_C_1_1007779170073837569_8" localSheetId="4">#REF!</definedName>
    <definedName name="_vena_MultiSiteS1_MultiSiteB1_C_1_1007779170073837569_8" localSheetId="5">#REF!</definedName>
    <definedName name="_vena_MultiSiteS1_MultiSiteB1_C_1_1007779170073837569_8" localSheetId="8">'[1]FY26 MYP-Multisite'!#REF!</definedName>
    <definedName name="_vena_MultiSiteS1_MultiSiteB1_C_1_1007779170073837569_8" localSheetId="3">#REF!</definedName>
    <definedName name="_vena_MultiSiteS1_MultiSiteB1_C_1_1007779170073837569_8">#REF!</definedName>
    <definedName name="_vena_MultiSiteS1_MultiSiteB1_C_1_1007779170073837569_9" localSheetId="4">#REF!</definedName>
    <definedName name="_vena_MultiSiteS1_MultiSiteB1_C_1_1007779170073837569_9" localSheetId="5">#REF!</definedName>
    <definedName name="_vena_MultiSiteS1_MultiSiteB1_C_1_1007779170073837569_9" localSheetId="8">'[1]FY26 MYP-Multisite'!#REF!</definedName>
    <definedName name="_vena_MultiSiteS1_MultiSiteB1_C_1_1007779170073837569_9" localSheetId="3">#REF!</definedName>
    <definedName name="_vena_MultiSiteS1_MultiSiteB1_C_1_1007779170073837569_9">#REF!</definedName>
    <definedName name="_vena_MultiSiteS1_MultiSiteB1_C_1_552738077766189056">#REF!</definedName>
    <definedName name="_vena_MultiSiteS1_MultiSiteB1_C_1_552738077766189056_1">#REF!</definedName>
    <definedName name="_vena_MultiSiteS1_MultiSiteB1_C_1_552738077766189056_2">#REF!</definedName>
    <definedName name="_vena_MultiSiteS1_MultiSiteB1_C_1_552738077766189056_3">#REF!</definedName>
    <definedName name="_vena_MultiSiteS1_MultiSiteB1_C_1_552738077766189056_4">#REF!</definedName>
    <definedName name="_vena_MultiSiteS1_MultiSiteB1_C_1_552738077766189056_5">#REF!</definedName>
    <definedName name="_vena_MultiSiteS1_MultiSiteB1_C_1_552738077766189056_6">#REF!</definedName>
    <definedName name="_vena_MultiSiteS1_MultiSiteB1_C_1_552738077766189056_7">#REF!</definedName>
    <definedName name="_vena_MultiSiteS1_MultiSiteB1_C_1_570729679678341120">#REF!</definedName>
    <definedName name="_vena_MultiSiteS1_MultiSiteB1_C_1_570729679678341120_1">#REF!</definedName>
    <definedName name="_vena_MultiSiteS1_MultiSiteB1_C_1_570729679678341120_2">#REF!</definedName>
    <definedName name="_vena_MultiSiteS1_MultiSiteB1_C_1_570729679678341120_3">#REF!</definedName>
    <definedName name="_vena_MultiSiteS1_MultiSiteB1_C_1_570729679678341120_4">#REF!</definedName>
    <definedName name="_vena_MultiSiteS1_MultiSiteB1_C_1_570729679678341120_5">#REF!</definedName>
    <definedName name="_vena_MultiSiteS1_MultiSiteB1_C_1_570729679678341120_6">#REF!</definedName>
    <definedName name="_vena_MultiSiteS1_MultiSiteB1_C_1_570729679678341120_7">#REF!</definedName>
    <definedName name="_vena_MultiSiteS1_MultiSiteB1_C_1_662882583268425730">#REF!</definedName>
    <definedName name="_vena_MultiSiteS1_MultiSiteB1_C_1_662882583268425730_1">#REF!</definedName>
    <definedName name="_vena_MultiSiteS1_MultiSiteB1_C_1_662882583268425730_2">#REF!</definedName>
    <definedName name="_vena_MultiSiteS1_MultiSiteB1_C_1_662882583268425730_3">#REF!</definedName>
    <definedName name="_vena_MultiSiteS1_MultiSiteB1_C_1_662882583268425730_4">#REF!</definedName>
    <definedName name="_vena_MultiSiteS1_MultiSiteB1_C_1_662882583268425730_5">#REF!</definedName>
    <definedName name="_vena_MultiSiteS1_MultiSiteB1_C_1_662882583268425730_6">#REF!</definedName>
    <definedName name="_vena_MultiSiteS1_MultiSiteB1_C_1_662882583268425730_7">#REF!</definedName>
    <definedName name="_vena_MultiSiteS1_MultiSiteB1_C_1_662882583268425730_8">#REF!</definedName>
    <definedName name="_vena_MultiSiteS1_MultiSiteB1_C_1_662882583268425730_9">#REF!</definedName>
    <definedName name="_vena_MultiSiteS1_MultiSiteB1_C_1_990031557271224322" localSheetId="4">#REF!</definedName>
    <definedName name="_vena_MultiSiteS1_MultiSiteB1_C_1_990031557271224322" localSheetId="5">#REF!</definedName>
    <definedName name="_vena_MultiSiteS1_MultiSiteB1_C_1_990031557271224322" localSheetId="8">'[1]FY26 MYP-Multisite'!#REF!</definedName>
    <definedName name="_vena_MultiSiteS1_MultiSiteB1_C_1_990031557271224322" localSheetId="3">#REF!</definedName>
    <definedName name="_vena_MultiSiteS1_MultiSiteB1_C_1_990031557271224322">#REF!</definedName>
    <definedName name="_vena_MultiSiteS1_MultiSiteB1_C_1_990031557271224322_1" localSheetId="4">#REF!</definedName>
    <definedName name="_vena_MultiSiteS1_MultiSiteB1_C_1_990031557271224322_1" localSheetId="5">#REF!</definedName>
    <definedName name="_vena_MultiSiteS1_MultiSiteB1_C_1_990031557271224322_1" localSheetId="8">'[1]FY26 MYP-Multisite'!#REF!</definedName>
    <definedName name="_vena_MultiSiteS1_MultiSiteB1_C_1_990031557271224322_1" localSheetId="3">#REF!</definedName>
    <definedName name="_vena_MultiSiteS1_MultiSiteB1_C_1_990031557271224322_1">#REF!</definedName>
    <definedName name="_vena_MultiSiteS1_MultiSiteB1_C_1_990031557271224322_2" localSheetId="4">#REF!</definedName>
    <definedName name="_vena_MultiSiteS1_MultiSiteB1_C_1_990031557271224322_2" localSheetId="5">#REF!</definedName>
    <definedName name="_vena_MultiSiteS1_MultiSiteB1_C_1_990031557271224322_2" localSheetId="8">'[1]FY26 MYP-Multisite'!#REF!</definedName>
    <definedName name="_vena_MultiSiteS1_MultiSiteB1_C_1_990031557271224322_2" localSheetId="3">#REF!</definedName>
    <definedName name="_vena_MultiSiteS1_MultiSiteB1_C_1_990031557271224322_2">#REF!</definedName>
    <definedName name="_vena_MultiSiteS1_MultiSiteB1_C_1_990031557271224322_3" localSheetId="4">#REF!</definedName>
    <definedName name="_vena_MultiSiteS1_MultiSiteB1_C_1_990031557271224322_3" localSheetId="5">#REF!</definedName>
    <definedName name="_vena_MultiSiteS1_MultiSiteB1_C_1_990031557271224322_3" localSheetId="8">'[1]FY26 MYP-Multisite'!#REF!</definedName>
    <definedName name="_vena_MultiSiteS1_MultiSiteB1_C_1_990031557271224322_3" localSheetId="3">#REF!</definedName>
    <definedName name="_vena_MultiSiteS1_MultiSiteB1_C_1_990031557271224322_3">#REF!</definedName>
    <definedName name="_vena_MultiSiteS1_MultiSiteB1_C_1_990031557271224322_4" localSheetId="4">#REF!</definedName>
    <definedName name="_vena_MultiSiteS1_MultiSiteB1_C_1_990031557271224322_4" localSheetId="5">#REF!</definedName>
    <definedName name="_vena_MultiSiteS1_MultiSiteB1_C_1_990031557271224322_4" localSheetId="8">'[1]FY26 MYP-Multisite'!#REF!</definedName>
    <definedName name="_vena_MultiSiteS1_MultiSiteB1_C_1_990031557271224322_4" localSheetId="3">#REF!</definedName>
    <definedName name="_vena_MultiSiteS1_MultiSiteB1_C_1_990031557271224322_4">#REF!</definedName>
    <definedName name="_vena_MultiSiteS1_MultiSiteB1_C_1_990031557271224322_5" localSheetId="4">#REF!</definedName>
    <definedName name="_vena_MultiSiteS1_MultiSiteB1_C_1_990031557271224322_5" localSheetId="5">#REF!</definedName>
    <definedName name="_vena_MultiSiteS1_MultiSiteB1_C_1_990031557271224322_5" localSheetId="8">'[1]FY26 MYP-Multisite'!#REF!</definedName>
    <definedName name="_vena_MultiSiteS1_MultiSiteB1_C_1_990031557271224322_5" localSheetId="3">#REF!</definedName>
    <definedName name="_vena_MultiSiteS1_MultiSiteB1_C_1_990031557271224322_5">#REF!</definedName>
    <definedName name="_vena_MultiSiteS1_MultiSiteB1_C_1_990031557271224322_6" localSheetId="4">#REF!</definedName>
    <definedName name="_vena_MultiSiteS1_MultiSiteB1_C_1_990031557271224322_6" localSheetId="5">#REF!</definedName>
    <definedName name="_vena_MultiSiteS1_MultiSiteB1_C_1_990031557271224322_6" localSheetId="8">'[1]FY26 MYP-Multisite'!#REF!</definedName>
    <definedName name="_vena_MultiSiteS1_MultiSiteB1_C_1_990031557271224322_6" localSheetId="3">#REF!</definedName>
    <definedName name="_vena_MultiSiteS1_MultiSiteB1_C_1_990031557271224322_6">#REF!</definedName>
    <definedName name="_vena_MultiSiteS1_MultiSiteB1_C_1_990031557271224322_7" localSheetId="4">#REF!</definedName>
    <definedName name="_vena_MultiSiteS1_MultiSiteB1_C_1_990031557271224322_7" localSheetId="5">#REF!</definedName>
    <definedName name="_vena_MultiSiteS1_MultiSiteB1_C_1_990031557271224322_7" localSheetId="8">'[1]FY26 MYP-Multisite'!#REF!</definedName>
    <definedName name="_vena_MultiSiteS1_MultiSiteB1_C_1_990031557271224322_7" localSheetId="3">#REF!</definedName>
    <definedName name="_vena_MultiSiteS1_MultiSiteB1_C_1_990031557271224322_7">#REF!</definedName>
    <definedName name="_vena_MultiSiteS1_MultiSiteB1_C_1_990031557271224322_8" localSheetId="4">#REF!</definedName>
    <definedName name="_vena_MultiSiteS1_MultiSiteB1_C_1_990031557271224322_8" localSheetId="5">#REF!</definedName>
    <definedName name="_vena_MultiSiteS1_MultiSiteB1_C_1_990031557271224322_8" localSheetId="8">'[1]FY26 MYP-Multisite'!#REF!</definedName>
    <definedName name="_vena_MultiSiteS1_MultiSiteB1_C_1_990031557271224322_8" localSheetId="3">#REF!</definedName>
    <definedName name="_vena_MultiSiteS1_MultiSiteB1_C_1_990031557271224322_8">#REF!</definedName>
    <definedName name="_vena_MultiSiteS1_MultiSiteB1_C_1_990031557271224322_9" localSheetId="4">#REF!</definedName>
    <definedName name="_vena_MultiSiteS1_MultiSiteB1_C_1_990031557271224322_9" localSheetId="5">#REF!</definedName>
    <definedName name="_vena_MultiSiteS1_MultiSiteB1_C_1_990031557271224322_9" localSheetId="8">'[1]FY26 MYP-Multisite'!#REF!</definedName>
    <definedName name="_vena_MultiSiteS1_MultiSiteB1_C_1_990031557271224322_9" localSheetId="3">#REF!</definedName>
    <definedName name="_vena_MultiSiteS1_MultiSiteB1_C_1_990031557271224322_9">#REF!</definedName>
    <definedName name="_vena_MultiSiteS1_MultiSiteB1_C_1_990031606353100801" localSheetId="4">#REF!</definedName>
    <definedName name="_vena_MultiSiteS1_MultiSiteB1_C_1_990031606353100801" localSheetId="5">#REF!</definedName>
    <definedName name="_vena_MultiSiteS1_MultiSiteB1_C_1_990031606353100801" localSheetId="8">'[1]FY26 MYP-Multisite'!#REF!</definedName>
    <definedName name="_vena_MultiSiteS1_MultiSiteB1_C_1_990031606353100801" localSheetId="3">#REF!</definedName>
    <definedName name="_vena_MultiSiteS1_MultiSiteB1_C_1_990031606353100801">#REF!</definedName>
    <definedName name="_vena_MultiSiteS1_MultiSiteB1_C_1_990031606353100801_1" localSheetId="4">#REF!</definedName>
    <definedName name="_vena_MultiSiteS1_MultiSiteB1_C_1_990031606353100801_1" localSheetId="5">#REF!</definedName>
    <definedName name="_vena_MultiSiteS1_MultiSiteB1_C_1_990031606353100801_1" localSheetId="8">'[1]FY26 MYP-Multisite'!#REF!</definedName>
    <definedName name="_vena_MultiSiteS1_MultiSiteB1_C_1_990031606353100801_1" localSheetId="3">#REF!</definedName>
    <definedName name="_vena_MultiSiteS1_MultiSiteB1_C_1_990031606353100801_1">#REF!</definedName>
    <definedName name="_vena_MultiSiteS1_MultiSiteB1_C_1_990031606353100801_2" localSheetId="4">#REF!</definedName>
    <definedName name="_vena_MultiSiteS1_MultiSiteB1_C_1_990031606353100801_2" localSheetId="5">#REF!</definedName>
    <definedName name="_vena_MultiSiteS1_MultiSiteB1_C_1_990031606353100801_2" localSheetId="8">'[1]FY26 MYP-Multisite'!#REF!</definedName>
    <definedName name="_vena_MultiSiteS1_MultiSiteB1_C_1_990031606353100801_2" localSheetId="3">#REF!</definedName>
    <definedName name="_vena_MultiSiteS1_MultiSiteB1_C_1_990031606353100801_2">#REF!</definedName>
    <definedName name="_vena_MultiSiteS1_MultiSiteB1_C_1_990031606353100801_3" localSheetId="4">#REF!</definedName>
    <definedName name="_vena_MultiSiteS1_MultiSiteB1_C_1_990031606353100801_3" localSheetId="5">#REF!</definedName>
    <definedName name="_vena_MultiSiteS1_MultiSiteB1_C_1_990031606353100801_3" localSheetId="8">'[1]FY26 MYP-Multisite'!#REF!</definedName>
    <definedName name="_vena_MultiSiteS1_MultiSiteB1_C_1_990031606353100801_3" localSheetId="3">#REF!</definedName>
    <definedName name="_vena_MultiSiteS1_MultiSiteB1_C_1_990031606353100801_3">#REF!</definedName>
    <definedName name="_vena_MultiSiteS1_MultiSiteB1_C_1_990031606353100801_4" localSheetId="4">#REF!</definedName>
    <definedName name="_vena_MultiSiteS1_MultiSiteB1_C_1_990031606353100801_4" localSheetId="5">#REF!</definedName>
    <definedName name="_vena_MultiSiteS1_MultiSiteB1_C_1_990031606353100801_4" localSheetId="8">'[1]FY26 MYP-Multisite'!#REF!</definedName>
    <definedName name="_vena_MultiSiteS1_MultiSiteB1_C_1_990031606353100801_4" localSheetId="3">#REF!</definedName>
    <definedName name="_vena_MultiSiteS1_MultiSiteB1_C_1_990031606353100801_4">#REF!</definedName>
    <definedName name="_vena_MultiSiteS1_MultiSiteB1_C_1_990031606353100801_5" localSheetId="4">#REF!</definedName>
    <definedName name="_vena_MultiSiteS1_MultiSiteB1_C_1_990031606353100801_5" localSheetId="5">#REF!</definedName>
    <definedName name="_vena_MultiSiteS1_MultiSiteB1_C_1_990031606353100801_5" localSheetId="8">'[1]FY26 MYP-Multisite'!#REF!</definedName>
    <definedName name="_vena_MultiSiteS1_MultiSiteB1_C_1_990031606353100801_5" localSheetId="3">#REF!</definedName>
    <definedName name="_vena_MultiSiteS1_MultiSiteB1_C_1_990031606353100801_5">#REF!</definedName>
    <definedName name="_vena_MultiSiteS1_MultiSiteB1_C_1_990031606353100801_6" localSheetId="4">#REF!</definedName>
    <definedName name="_vena_MultiSiteS1_MultiSiteB1_C_1_990031606353100801_6" localSheetId="5">#REF!</definedName>
    <definedName name="_vena_MultiSiteS1_MultiSiteB1_C_1_990031606353100801_6" localSheetId="8">'[1]FY26 MYP-Multisite'!#REF!</definedName>
    <definedName name="_vena_MultiSiteS1_MultiSiteB1_C_1_990031606353100801_6" localSheetId="3">#REF!</definedName>
    <definedName name="_vena_MultiSiteS1_MultiSiteB1_C_1_990031606353100801_6">#REF!</definedName>
    <definedName name="_vena_MultiSiteS1_MultiSiteB1_C_1_990031606353100801_7" localSheetId="4">#REF!</definedName>
    <definedName name="_vena_MultiSiteS1_MultiSiteB1_C_1_990031606353100801_7" localSheetId="5">#REF!</definedName>
    <definedName name="_vena_MultiSiteS1_MultiSiteB1_C_1_990031606353100801_7" localSheetId="8">'[1]FY26 MYP-Multisite'!#REF!</definedName>
    <definedName name="_vena_MultiSiteS1_MultiSiteB1_C_1_990031606353100801_7" localSheetId="3">#REF!</definedName>
    <definedName name="_vena_MultiSiteS1_MultiSiteB1_C_1_990031606353100801_7">#REF!</definedName>
    <definedName name="_vena_MultiSiteS1_MultiSiteB1_C_1_990031606353100801_8" localSheetId="4">#REF!</definedName>
    <definedName name="_vena_MultiSiteS1_MultiSiteB1_C_1_990031606353100801_8" localSheetId="5">#REF!</definedName>
    <definedName name="_vena_MultiSiteS1_MultiSiteB1_C_1_990031606353100801_8" localSheetId="8">'[1]FY26 MYP-Multisite'!#REF!</definedName>
    <definedName name="_vena_MultiSiteS1_MultiSiteB1_C_1_990031606353100801_8" localSheetId="3">#REF!</definedName>
    <definedName name="_vena_MultiSiteS1_MultiSiteB1_C_1_990031606353100801_8">#REF!</definedName>
    <definedName name="_vena_MultiSiteS1_MultiSiteB1_C_1_990031606353100801_9" localSheetId="4">#REF!</definedName>
    <definedName name="_vena_MultiSiteS1_MultiSiteB1_C_1_990031606353100801_9" localSheetId="5">#REF!</definedName>
    <definedName name="_vena_MultiSiteS1_MultiSiteB1_C_1_990031606353100801_9" localSheetId="8">'[1]FY26 MYP-Multisite'!#REF!</definedName>
    <definedName name="_vena_MultiSiteS1_MultiSiteB1_C_1_990031606353100801_9" localSheetId="3">#REF!</definedName>
    <definedName name="_vena_MultiSiteS1_MultiSiteB1_C_1_990031606353100801_9">#REF!</definedName>
    <definedName name="_vena_MultiSiteS1_MultiSiteB1_C_1_990031655673528321" localSheetId="4">#REF!</definedName>
    <definedName name="_vena_MultiSiteS1_MultiSiteB1_C_1_990031655673528321" localSheetId="5">#REF!</definedName>
    <definedName name="_vena_MultiSiteS1_MultiSiteB1_C_1_990031655673528321" localSheetId="8">'[1]FY26 MYP-Multisite'!#REF!</definedName>
    <definedName name="_vena_MultiSiteS1_MultiSiteB1_C_1_990031655673528321" localSheetId="3">#REF!</definedName>
    <definedName name="_vena_MultiSiteS1_MultiSiteB1_C_1_990031655673528321">#REF!</definedName>
    <definedName name="_vena_MultiSiteS1_MultiSiteB1_C_1_990031655673528321_1" localSheetId="4">#REF!</definedName>
    <definedName name="_vena_MultiSiteS1_MultiSiteB1_C_1_990031655673528321_1" localSheetId="5">#REF!</definedName>
    <definedName name="_vena_MultiSiteS1_MultiSiteB1_C_1_990031655673528321_1" localSheetId="8">'[1]FY26 MYP-Multisite'!#REF!</definedName>
    <definedName name="_vena_MultiSiteS1_MultiSiteB1_C_1_990031655673528321_1" localSheetId="3">#REF!</definedName>
    <definedName name="_vena_MultiSiteS1_MultiSiteB1_C_1_990031655673528321_1">#REF!</definedName>
    <definedName name="_vena_MultiSiteS1_MultiSiteB1_C_1_990031655673528321_2" localSheetId="4">#REF!</definedName>
    <definedName name="_vena_MultiSiteS1_MultiSiteB1_C_1_990031655673528321_2" localSheetId="5">#REF!</definedName>
    <definedName name="_vena_MultiSiteS1_MultiSiteB1_C_1_990031655673528321_2" localSheetId="8">'[1]FY26 MYP-Multisite'!#REF!</definedName>
    <definedName name="_vena_MultiSiteS1_MultiSiteB1_C_1_990031655673528321_2" localSheetId="3">#REF!</definedName>
    <definedName name="_vena_MultiSiteS1_MultiSiteB1_C_1_990031655673528321_2">#REF!</definedName>
    <definedName name="_vena_MultiSiteS1_MultiSiteB1_C_1_990031655673528321_3" localSheetId="4">#REF!</definedName>
    <definedName name="_vena_MultiSiteS1_MultiSiteB1_C_1_990031655673528321_3" localSheetId="5">#REF!</definedName>
    <definedName name="_vena_MultiSiteS1_MultiSiteB1_C_1_990031655673528321_3" localSheetId="8">'[1]FY26 MYP-Multisite'!#REF!</definedName>
    <definedName name="_vena_MultiSiteS1_MultiSiteB1_C_1_990031655673528321_3" localSheetId="3">#REF!</definedName>
    <definedName name="_vena_MultiSiteS1_MultiSiteB1_C_1_990031655673528321_3">#REF!</definedName>
    <definedName name="_vena_MultiSiteS1_MultiSiteB1_C_1_990031655673528321_4" localSheetId="4">#REF!</definedName>
    <definedName name="_vena_MultiSiteS1_MultiSiteB1_C_1_990031655673528321_4" localSheetId="5">#REF!</definedName>
    <definedName name="_vena_MultiSiteS1_MultiSiteB1_C_1_990031655673528321_4" localSheetId="8">'[1]FY26 MYP-Multisite'!#REF!</definedName>
    <definedName name="_vena_MultiSiteS1_MultiSiteB1_C_1_990031655673528321_4" localSheetId="3">#REF!</definedName>
    <definedName name="_vena_MultiSiteS1_MultiSiteB1_C_1_990031655673528321_4">#REF!</definedName>
    <definedName name="_vena_MultiSiteS1_MultiSiteB1_C_1_990031655673528321_5" localSheetId="4">#REF!</definedName>
    <definedName name="_vena_MultiSiteS1_MultiSiteB1_C_1_990031655673528321_5" localSheetId="5">#REF!</definedName>
    <definedName name="_vena_MultiSiteS1_MultiSiteB1_C_1_990031655673528321_5" localSheetId="8">'[1]FY26 MYP-Multisite'!#REF!</definedName>
    <definedName name="_vena_MultiSiteS1_MultiSiteB1_C_1_990031655673528321_5" localSheetId="3">#REF!</definedName>
    <definedName name="_vena_MultiSiteS1_MultiSiteB1_C_1_990031655673528321_5">#REF!</definedName>
    <definedName name="_vena_MultiSiteS1_MultiSiteB1_C_1_990031655673528321_6" localSheetId="4">#REF!</definedName>
    <definedName name="_vena_MultiSiteS1_MultiSiteB1_C_1_990031655673528321_6" localSheetId="5">#REF!</definedName>
    <definedName name="_vena_MultiSiteS1_MultiSiteB1_C_1_990031655673528321_6" localSheetId="8">'[1]FY26 MYP-Multisite'!#REF!</definedName>
    <definedName name="_vena_MultiSiteS1_MultiSiteB1_C_1_990031655673528321_6" localSheetId="3">#REF!</definedName>
    <definedName name="_vena_MultiSiteS1_MultiSiteB1_C_1_990031655673528321_6">#REF!</definedName>
    <definedName name="_vena_MultiSiteS1_MultiSiteB1_C_1_990031655673528321_7" localSheetId="4">#REF!</definedName>
    <definedName name="_vena_MultiSiteS1_MultiSiteB1_C_1_990031655673528321_7" localSheetId="5">#REF!</definedName>
    <definedName name="_vena_MultiSiteS1_MultiSiteB1_C_1_990031655673528321_7" localSheetId="8">'[1]FY26 MYP-Multisite'!#REF!</definedName>
    <definedName name="_vena_MultiSiteS1_MultiSiteB1_C_1_990031655673528321_7" localSheetId="3">#REF!</definedName>
    <definedName name="_vena_MultiSiteS1_MultiSiteB1_C_1_990031655673528321_7">#REF!</definedName>
    <definedName name="_vena_MultiSiteS1_MultiSiteB1_C_1_990031655673528321_8" localSheetId="4">#REF!</definedName>
    <definedName name="_vena_MultiSiteS1_MultiSiteB1_C_1_990031655673528321_8" localSheetId="5">#REF!</definedName>
    <definedName name="_vena_MultiSiteS1_MultiSiteB1_C_1_990031655673528321_8" localSheetId="8">'[1]FY26 MYP-Multisite'!#REF!</definedName>
    <definedName name="_vena_MultiSiteS1_MultiSiteB1_C_1_990031655673528321_8" localSheetId="3">#REF!</definedName>
    <definedName name="_vena_MultiSiteS1_MultiSiteB1_C_1_990031655673528321_8">#REF!</definedName>
    <definedName name="_vena_MultiSiteS1_MultiSiteB1_C_1_990031655673528321_9" localSheetId="4">#REF!</definedName>
    <definedName name="_vena_MultiSiteS1_MultiSiteB1_C_1_990031655673528321_9" localSheetId="5">#REF!</definedName>
    <definedName name="_vena_MultiSiteS1_MultiSiteB1_C_1_990031655673528321_9" localSheetId="8">'[1]FY26 MYP-Multisite'!#REF!</definedName>
    <definedName name="_vena_MultiSiteS1_MultiSiteB1_C_1_990031655673528321_9" localSheetId="3">#REF!</definedName>
    <definedName name="_vena_MultiSiteS1_MultiSiteB1_C_1_990031655673528321_9">#REF!</definedName>
    <definedName name="_vena_MultiSiteS1_MultiSiteB1_C_1_990031703077945345" localSheetId="4">#REF!</definedName>
    <definedName name="_vena_MultiSiteS1_MultiSiteB1_C_1_990031703077945345" localSheetId="5">#REF!</definedName>
    <definedName name="_vena_MultiSiteS1_MultiSiteB1_C_1_990031703077945345" localSheetId="8">'[1]FY26 MYP-Multisite'!#REF!</definedName>
    <definedName name="_vena_MultiSiteS1_MultiSiteB1_C_1_990031703077945345" localSheetId="3">#REF!</definedName>
    <definedName name="_vena_MultiSiteS1_MultiSiteB1_C_1_990031703077945345">#REF!</definedName>
    <definedName name="_vena_MultiSiteS1_MultiSiteB1_C_1_990031703077945345_1" localSheetId="4">#REF!</definedName>
    <definedName name="_vena_MultiSiteS1_MultiSiteB1_C_1_990031703077945345_1" localSheetId="5">#REF!</definedName>
    <definedName name="_vena_MultiSiteS1_MultiSiteB1_C_1_990031703077945345_1" localSheetId="8">'[1]FY26 MYP-Multisite'!#REF!</definedName>
    <definedName name="_vena_MultiSiteS1_MultiSiteB1_C_1_990031703077945345_1" localSheetId="3">#REF!</definedName>
    <definedName name="_vena_MultiSiteS1_MultiSiteB1_C_1_990031703077945345_1">#REF!</definedName>
    <definedName name="_vena_MultiSiteS1_MultiSiteB1_C_1_990031703077945345_2" localSheetId="4">#REF!</definedName>
    <definedName name="_vena_MultiSiteS1_MultiSiteB1_C_1_990031703077945345_2" localSheetId="5">#REF!</definedName>
    <definedName name="_vena_MultiSiteS1_MultiSiteB1_C_1_990031703077945345_2" localSheetId="8">'[1]FY26 MYP-Multisite'!#REF!</definedName>
    <definedName name="_vena_MultiSiteS1_MultiSiteB1_C_1_990031703077945345_2" localSheetId="3">#REF!</definedName>
    <definedName name="_vena_MultiSiteS1_MultiSiteB1_C_1_990031703077945345_2">#REF!</definedName>
    <definedName name="_vena_MultiSiteS1_MultiSiteB1_C_1_990031703077945345_3" localSheetId="4">#REF!</definedName>
    <definedName name="_vena_MultiSiteS1_MultiSiteB1_C_1_990031703077945345_3" localSheetId="5">#REF!</definedName>
    <definedName name="_vena_MultiSiteS1_MultiSiteB1_C_1_990031703077945345_3" localSheetId="8">'[1]FY26 MYP-Multisite'!#REF!</definedName>
    <definedName name="_vena_MultiSiteS1_MultiSiteB1_C_1_990031703077945345_3" localSheetId="3">#REF!</definedName>
    <definedName name="_vena_MultiSiteS1_MultiSiteB1_C_1_990031703077945345_3">#REF!</definedName>
    <definedName name="_vena_MultiSiteS1_MultiSiteB1_C_1_990031703077945345_4" localSheetId="4">#REF!</definedName>
    <definedName name="_vena_MultiSiteS1_MultiSiteB1_C_1_990031703077945345_4" localSheetId="5">#REF!</definedName>
    <definedName name="_vena_MultiSiteS1_MultiSiteB1_C_1_990031703077945345_4" localSheetId="8">'[1]FY26 MYP-Multisite'!#REF!</definedName>
    <definedName name="_vena_MultiSiteS1_MultiSiteB1_C_1_990031703077945345_4" localSheetId="3">#REF!</definedName>
    <definedName name="_vena_MultiSiteS1_MultiSiteB1_C_1_990031703077945345_4">#REF!</definedName>
    <definedName name="_vena_MultiSiteS1_MultiSiteB1_C_1_990031703077945345_5" localSheetId="4">#REF!</definedName>
    <definedName name="_vena_MultiSiteS1_MultiSiteB1_C_1_990031703077945345_5" localSheetId="5">#REF!</definedName>
    <definedName name="_vena_MultiSiteS1_MultiSiteB1_C_1_990031703077945345_5" localSheetId="8">'[1]FY26 MYP-Multisite'!#REF!</definedName>
    <definedName name="_vena_MultiSiteS1_MultiSiteB1_C_1_990031703077945345_5" localSheetId="3">#REF!</definedName>
    <definedName name="_vena_MultiSiteS1_MultiSiteB1_C_1_990031703077945345_5">#REF!</definedName>
    <definedName name="_vena_MultiSiteS1_MultiSiteB1_C_1_990031703077945345_6" localSheetId="4">#REF!</definedName>
    <definedName name="_vena_MultiSiteS1_MultiSiteB1_C_1_990031703077945345_6" localSheetId="5">#REF!</definedName>
    <definedName name="_vena_MultiSiteS1_MultiSiteB1_C_1_990031703077945345_6" localSheetId="8">'[1]FY26 MYP-Multisite'!#REF!</definedName>
    <definedName name="_vena_MultiSiteS1_MultiSiteB1_C_1_990031703077945345_6" localSheetId="3">#REF!</definedName>
    <definedName name="_vena_MultiSiteS1_MultiSiteB1_C_1_990031703077945345_6">#REF!</definedName>
    <definedName name="_vena_MultiSiteS1_MultiSiteB1_C_1_990031703077945345_7" localSheetId="4">#REF!</definedName>
    <definedName name="_vena_MultiSiteS1_MultiSiteB1_C_1_990031703077945345_7" localSheetId="5">#REF!</definedName>
    <definedName name="_vena_MultiSiteS1_MultiSiteB1_C_1_990031703077945345_7" localSheetId="8">'[1]FY26 MYP-Multisite'!#REF!</definedName>
    <definedName name="_vena_MultiSiteS1_MultiSiteB1_C_1_990031703077945345_7" localSheetId="3">#REF!</definedName>
    <definedName name="_vena_MultiSiteS1_MultiSiteB1_C_1_990031703077945345_7">#REF!</definedName>
    <definedName name="_vena_MultiSiteS1_MultiSiteB1_C_1_990031703077945345_8" localSheetId="4">#REF!</definedName>
    <definedName name="_vena_MultiSiteS1_MultiSiteB1_C_1_990031703077945345_8" localSheetId="5">#REF!</definedName>
    <definedName name="_vena_MultiSiteS1_MultiSiteB1_C_1_990031703077945345_8" localSheetId="8">'[1]FY26 MYP-Multisite'!#REF!</definedName>
    <definedName name="_vena_MultiSiteS1_MultiSiteB1_C_1_990031703077945345_8" localSheetId="3">#REF!</definedName>
    <definedName name="_vena_MultiSiteS1_MultiSiteB1_C_1_990031703077945345_8">#REF!</definedName>
    <definedName name="_vena_MultiSiteS1_MultiSiteB1_C_1_990031703077945345_9" localSheetId="4">#REF!</definedName>
    <definedName name="_vena_MultiSiteS1_MultiSiteB1_C_1_990031703077945345_9" localSheetId="5">#REF!</definedName>
    <definedName name="_vena_MultiSiteS1_MultiSiteB1_C_1_990031703077945345_9" localSheetId="8">'[1]FY26 MYP-Multisite'!#REF!</definedName>
    <definedName name="_vena_MultiSiteS1_MultiSiteB1_C_1_990031703077945345_9" localSheetId="3">#REF!</definedName>
    <definedName name="_vena_MultiSiteS1_MultiSiteB1_C_1_990031703077945345_9">#REF!</definedName>
    <definedName name="_vena_MultiSiteS1_MultiSiteB1_C_1_990031739471659008" localSheetId="4">#REF!</definedName>
    <definedName name="_vena_MultiSiteS1_MultiSiteB1_C_1_990031739471659008" localSheetId="5">#REF!</definedName>
    <definedName name="_vena_MultiSiteS1_MultiSiteB1_C_1_990031739471659008" localSheetId="8">'[1]FY26 MYP-Multisite'!#REF!</definedName>
    <definedName name="_vena_MultiSiteS1_MultiSiteB1_C_1_990031739471659008" localSheetId="3">#REF!</definedName>
    <definedName name="_vena_MultiSiteS1_MultiSiteB1_C_1_990031739471659008">#REF!</definedName>
    <definedName name="_vena_MultiSiteS1_MultiSiteB1_C_1_990031739471659008_1" localSheetId="4">#REF!</definedName>
    <definedName name="_vena_MultiSiteS1_MultiSiteB1_C_1_990031739471659008_1" localSheetId="5">#REF!</definedName>
    <definedName name="_vena_MultiSiteS1_MultiSiteB1_C_1_990031739471659008_1" localSheetId="8">'[1]FY26 MYP-Multisite'!#REF!</definedName>
    <definedName name="_vena_MultiSiteS1_MultiSiteB1_C_1_990031739471659008_1" localSheetId="3">#REF!</definedName>
    <definedName name="_vena_MultiSiteS1_MultiSiteB1_C_1_990031739471659008_1">#REF!</definedName>
    <definedName name="_vena_MultiSiteS1_MultiSiteB1_C_1_990031739471659008_2" localSheetId="4">#REF!</definedName>
    <definedName name="_vena_MultiSiteS1_MultiSiteB1_C_1_990031739471659008_2" localSheetId="5">#REF!</definedName>
    <definedName name="_vena_MultiSiteS1_MultiSiteB1_C_1_990031739471659008_2" localSheetId="8">'[1]FY26 MYP-Multisite'!#REF!</definedName>
    <definedName name="_vena_MultiSiteS1_MultiSiteB1_C_1_990031739471659008_2" localSheetId="3">#REF!</definedName>
    <definedName name="_vena_MultiSiteS1_MultiSiteB1_C_1_990031739471659008_2">#REF!</definedName>
    <definedName name="_vena_MultiSiteS1_MultiSiteB1_C_1_990031739471659008_3" localSheetId="4">#REF!</definedName>
    <definedName name="_vena_MultiSiteS1_MultiSiteB1_C_1_990031739471659008_3" localSheetId="5">#REF!</definedName>
    <definedName name="_vena_MultiSiteS1_MultiSiteB1_C_1_990031739471659008_3" localSheetId="8">'[1]FY26 MYP-Multisite'!#REF!</definedName>
    <definedName name="_vena_MultiSiteS1_MultiSiteB1_C_1_990031739471659008_3" localSheetId="3">#REF!</definedName>
    <definedName name="_vena_MultiSiteS1_MultiSiteB1_C_1_990031739471659008_3">#REF!</definedName>
    <definedName name="_vena_MultiSiteS1_MultiSiteB1_C_1_990031739471659008_4" localSheetId="4">#REF!</definedName>
    <definedName name="_vena_MultiSiteS1_MultiSiteB1_C_1_990031739471659008_4" localSheetId="5">#REF!</definedName>
    <definedName name="_vena_MultiSiteS1_MultiSiteB1_C_1_990031739471659008_4" localSheetId="8">'[1]FY26 MYP-Multisite'!#REF!</definedName>
    <definedName name="_vena_MultiSiteS1_MultiSiteB1_C_1_990031739471659008_4" localSheetId="3">#REF!</definedName>
    <definedName name="_vena_MultiSiteS1_MultiSiteB1_C_1_990031739471659008_4">#REF!</definedName>
    <definedName name="_vena_MultiSiteS1_MultiSiteB1_C_1_990031739471659008_5" localSheetId="4">#REF!</definedName>
    <definedName name="_vena_MultiSiteS1_MultiSiteB1_C_1_990031739471659008_5" localSheetId="5">#REF!</definedName>
    <definedName name="_vena_MultiSiteS1_MultiSiteB1_C_1_990031739471659008_5" localSheetId="8">'[1]FY26 MYP-Multisite'!#REF!</definedName>
    <definedName name="_vena_MultiSiteS1_MultiSiteB1_C_1_990031739471659008_5" localSheetId="3">#REF!</definedName>
    <definedName name="_vena_MultiSiteS1_MultiSiteB1_C_1_990031739471659008_5">#REF!</definedName>
    <definedName name="_vena_MultiSiteS1_MultiSiteB1_C_1_990031739471659008_6" localSheetId="4">#REF!</definedName>
    <definedName name="_vena_MultiSiteS1_MultiSiteB1_C_1_990031739471659008_6" localSheetId="5">#REF!</definedName>
    <definedName name="_vena_MultiSiteS1_MultiSiteB1_C_1_990031739471659008_6" localSheetId="8">'[1]FY26 MYP-Multisite'!#REF!</definedName>
    <definedName name="_vena_MultiSiteS1_MultiSiteB1_C_1_990031739471659008_6" localSheetId="3">#REF!</definedName>
    <definedName name="_vena_MultiSiteS1_MultiSiteB1_C_1_990031739471659008_6">#REF!</definedName>
    <definedName name="_vena_MultiSiteS1_MultiSiteB1_C_1_990031739471659008_7" localSheetId="4">#REF!</definedName>
    <definedName name="_vena_MultiSiteS1_MultiSiteB1_C_1_990031739471659008_7" localSheetId="5">#REF!</definedName>
    <definedName name="_vena_MultiSiteS1_MultiSiteB1_C_1_990031739471659008_7" localSheetId="8">'[1]FY26 MYP-Multisite'!#REF!</definedName>
    <definedName name="_vena_MultiSiteS1_MultiSiteB1_C_1_990031739471659008_7" localSheetId="3">#REF!</definedName>
    <definedName name="_vena_MultiSiteS1_MultiSiteB1_C_1_990031739471659008_7">#REF!</definedName>
    <definedName name="_vena_MultiSiteS1_MultiSiteB1_C_1_990031739471659008_8" localSheetId="4">#REF!</definedName>
    <definedName name="_vena_MultiSiteS1_MultiSiteB1_C_1_990031739471659008_8" localSheetId="5">#REF!</definedName>
    <definedName name="_vena_MultiSiteS1_MultiSiteB1_C_1_990031739471659008_8" localSheetId="8">'[1]FY26 MYP-Multisite'!#REF!</definedName>
    <definedName name="_vena_MultiSiteS1_MultiSiteB1_C_1_990031739471659008_8" localSheetId="3">#REF!</definedName>
    <definedName name="_vena_MultiSiteS1_MultiSiteB1_C_1_990031739471659008_8">#REF!</definedName>
    <definedName name="_vena_MultiSiteS1_MultiSiteB1_C_1_990031739471659008_9" localSheetId="4">#REF!</definedName>
    <definedName name="_vena_MultiSiteS1_MultiSiteB1_C_1_990031739471659008_9" localSheetId="5">#REF!</definedName>
    <definedName name="_vena_MultiSiteS1_MultiSiteB1_C_1_990031739471659008_9" localSheetId="8">'[1]FY26 MYP-Multisite'!#REF!</definedName>
    <definedName name="_vena_MultiSiteS1_MultiSiteB1_C_1_990031739471659008_9" localSheetId="3">#REF!</definedName>
    <definedName name="_vena_MultiSiteS1_MultiSiteB1_C_1_990031739471659008_9">#REF!</definedName>
    <definedName name="_vena_MultiSiteS1_MultiSiteB1_C_1_997291193972555776" localSheetId="4">#REF!</definedName>
    <definedName name="_vena_MultiSiteS1_MultiSiteB1_C_1_997291193972555776" localSheetId="5">#REF!</definedName>
    <definedName name="_vena_MultiSiteS1_MultiSiteB1_C_1_997291193972555776" localSheetId="8">'[1]FY26 MYP-Multisite'!#REF!</definedName>
    <definedName name="_vena_MultiSiteS1_MultiSiteB1_C_1_997291193972555776" localSheetId="3">#REF!</definedName>
    <definedName name="_vena_MultiSiteS1_MultiSiteB1_C_1_997291193972555776">#REF!</definedName>
    <definedName name="_vena_MultiSiteS1_MultiSiteB1_C_1_997291193972555776_1" localSheetId="4">#REF!</definedName>
    <definedName name="_vena_MultiSiteS1_MultiSiteB1_C_1_997291193972555776_1" localSheetId="5">#REF!</definedName>
    <definedName name="_vena_MultiSiteS1_MultiSiteB1_C_1_997291193972555776_1" localSheetId="8">'[1]FY26 MYP-Multisite'!#REF!</definedName>
    <definedName name="_vena_MultiSiteS1_MultiSiteB1_C_1_997291193972555776_1" localSheetId="3">#REF!</definedName>
    <definedName name="_vena_MultiSiteS1_MultiSiteB1_C_1_997291193972555776_1">#REF!</definedName>
    <definedName name="_vena_MultiSiteS1_MultiSiteB1_C_1_997291193972555776_2" localSheetId="4">#REF!</definedName>
    <definedName name="_vena_MultiSiteS1_MultiSiteB1_C_1_997291193972555776_2" localSheetId="5">#REF!</definedName>
    <definedName name="_vena_MultiSiteS1_MultiSiteB1_C_1_997291193972555776_2" localSheetId="8">'[1]FY26 MYP-Multisite'!#REF!</definedName>
    <definedName name="_vena_MultiSiteS1_MultiSiteB1_C_1_997291193972555776_2" localSheetId="3">#REF!</definedName>
    <definedName name="_vena_MultiSiteS1_MultiSiteB1_C_1_997291193972555776_2">#REF!</definedName>
    <definedName name="_vena_MultiSiteS1_MultiSiteB1_C_1_997291193972555776_3" localSheetId="4">#REF!</definedName>
    <definedName name="_vena_MultiSiteS1_MultiSiteB1_C_1_997291193972555776_3" localSheetId="5">#REF!</definedName>
    <definedName name="_vena_MultiSiteS1_MultiSiteB1_C_1_997291193972555776_3" localSheetId="8">'[1]FY26 MYP-Multisite'!#REF!</definedName>
    <definedName name="_vena_MultiSiteS1_MultiSiteB1_C_1_997291193972555776_3" localSheetId="3">#REF!</definedName>
    <definedName name="_vena_MultiSiteS1_MultiSiteB1_C_1_997291193972555776_3">#REF!</definedName>
    <definedName name="_vena_MultiSiteS1_MultiSiteB1_C_1_997291193972555776_4" localSheetId="4">#REF!</definedName>
    <definedName name="_vena_MultiSiteS1_MultiSiteB1_C_1_997291193972555776_4" localSheetId="5">#REF!</definedName>
    <definedName name="_vena_MultiSiteS1_MultiSiteB1_C_1_997291193972555776_4" localSheetId="8">'[1]FY26 MYP-Multisite'!#REF!</definedName>
    <definedName name="_vena_MultiSiteS1_MultiSiteB1_C_1_997291193972555776_4" localSheetId="3">#REF!</definedName>
    <definedName name="_vena_MultiSiteS1_MultiSiteB1_C_1_997291193972555776_4">#REF!</definedName>
    <definedName name="_vena_MultiSiteS1_MultiSiteB1_C_1_997291193972555776_5" localSheetId="4">#REF!</definedName>
    <definedName name="_vena_MultiSiteS1_MultiSiteB1_C_1_997291193972555776_5" localSheetId="5">#REF!</definedName>
    <definedName name="_vena_MultiSiteS1_MultiSiteB1_C_1_997291193972555776_5" localSheetId="8">'[1]FY26 MYP-Multisite'!#REF!</definedName>
    <definedName name="_vena_MultiSiteS1_MultiSiteB1_C_1_997291193972555776_5" localSheetId="3">#REF!</definedName>
    <definedName name="_vena_MultiSiteS1_MultiSiteB1_C_1_997291193972555776_5">#REF!</definedName>
    <definedName name="_vena_MultiSiteS1_MultiSiteB1_C_1_997291193972555776_6" localSheetId="4">#REF!</definedName>
    <definedName name="_vena_MultiSiteS1_MultiSiteB1_C_1_997291193972555776_6" localSheetId="5">#REF!</definedName>
    <definedName name="_vena_MultiSiteS1_MultiSiteB1_C_1_997291193972555776_6" localSheetId="8">'[1]FY26 MYP-Multisite'!#REF!</definedName>
    <definedName name="_vena_MultiSiteS1_MultiSiteB1_C_1_997291193972555776_6" localSheetId="3">#REF!</definedName>
    <definedName name="_vena_MultiSiteS1_MultiSiteB1_C_1_997291193972555776_6">#REF!</definedName>
    <definedName name="_vena_MultiSiteS1_MultiSiteB1_C_1_997291193972555776_7" localSheetId="4">#REF!</definedName>
    <definedName name="_vena_MultiSiteS1_MultiSiteB1_C_1_997291193972555776_7" localSheetId="5">#REF!</definedName>
    <definedName name="_vena_MultiSiteS1_MultiSiteB1_C_1_997291193972555776_7" localSheetId="8">'[1]FY26 MYP-Multisite'!#REF!</definedName>
    <definedName name="_vena_MultiSiteS1_MultiSiteB1_C_1_997291193972555776_7" localSheetId="3">#REF!</definedName>
    <definedName name="_vena_MultiSiteS1_MultiSiteB1_C_1_997291193972555776_7">#REF!</definedName>
    <definedName name="_vena_MultiSiteS1_MultiSiteB1_C_1_997291193972555776_8" localSheetId="4">#REF!</definedName>
    <definedName name="_vena_MultiSiteS1_MultiSiteB1_C_1_997291193972555776_8" localSheetId="5">#REF!</definedName>
    <definedName name="_vena_MultiSiteS1_MultiSiteB1_C_1_997291193972555776_8" localSheetId="8">'[1]FY26 MYP-Multisite'!#REF!</definedName>
    <definedName name="_vena_MultiSiteS1_MultiSiteB1_C_1_997291193972555776_8" localSheetId="3">#REF!</definedName>
    <definedName name="_vena_MultiSiteS1_MultiSiteB1_C_1_997291193972555776_8">#REF!</definedName>
    <definedName name="_vena_MultiSiteS1_MultiSiteB1_C_1_997291193972555776_9" localSheetId="4">#REF!</definedName>
    <definedName name="_vena_MultiSiteS1_MultiSiteB1_C_1_997291193972555776_9" localSheetId="5">#REF!</definedName>
    <definedName name="_vena_MultiSiteS1_MultiSiteB1_C_1_997291193972555776_9" localSheetId="8">'[1]FY26 MYP-Multisite'!#REF!</definedName>
    <definedName name="_vena_MultiSiteS1_MultiSiteB1_C_1_997291193972555776_9" localSheetId="3">#REF!</definedName>
    <definedName name="_vena_MultiSiteS1_MultiSiteB1_C_1_997291193972555776_9">#REF!</definedName>
    <definedName name="_vena_MultiSiteS1_MultiSiteB1_C_8_431662182280724481" localSheetId="4">#REF!</definedName>
    <definedName name="_vena_MultiSiteS1_MultiSiteB1_C_8_431662182280724481" localSheetId="5">#REF!</definedName>
    <definedName name="_vena_MultiSiteS1_MultiSiteB1_C_8_431662182280724481" localSheetId="8">'[1]FY26 MYP-Multisite'!#REF!</definedName>
    <definedName name="_vena_MultiSiteS1_MultiSiteB1_C_8_431662182280724481" localSheetId="3">#REF!</definedName>
    <definedName name="_vena_MultiSiteS1_MultiSiteB1_C_8_431662182280724481">#REF!</definedName>
    <definedName name="_vena_MultiSiteS1_MultiSiteB1_C_8_431662182280724481_1" localSheetId="4">#REF!</definedName>
    <definedName name="_vena_MultiSiteS1_MultiSiteB1_C_8_431662182280724481_1" localSheetId="5">#REF!</definedName>
    <definedName name="_vena_MultiSiteS1_MultiSiteB1_C_8_431662182280724481_1" localSheetId="8">'[1]FY26 MYP-Multisite'!#REF!</definedName>
    <definedName name="_vena_MultiSiteS1_MultiSiteB1_C_8_431662182280724481_1" localSheetId="3">#REF!</definedName>
    <definedName name="_vena_MultiSiteS1_MultiSiteB1_C_8_431662182280724481_1">#REF!</definedName>
    <definedName name="_vena_MultiSiteS1_MultiSiteB1_C_8_431662182280724481_10">#REF!</definedName>
    <definedName name="_vena_MultiSiteS1_MultiSiteB1_C_8_431662182280724481_11">#REF!</definedName>
    <definedName name="_vena_MultiSiteS1_MultiSiteB1_C_8_431662182280724481_12">#REF!</definedName>
    <definedName name="_vena_MultiSiteS1_MultiSiteB1_C_8_431662182280724481_13">#REF!</definedName>
    <definedName name="_vena_MultiSiteS1_MultiSiteB1_C_8_431662182280724481_14">#REF!</definedName>
    <definedName name="_vena_MultiSiteS1_MultiSiteB1_C_8_431662182280724481_15" localSheetId="4">#REF!</definedName>
    <definedName name="_vena_MultiSiteS1_MultiSiteB1_C_8_431662182280724481_15" localSheetId="5">#REF!</definedName>
    <definedName name="_vena_MultiSiteS1_MultiSiteB1_C_8_431662182280724481_15" localSheetId="8">'[1]FY26 MYP-Multisite'!#REF!</definedName>
    <definedName name="_vena_MultiSiteS1_MultiSiteB1_C_8_431662182280724481_15" localSheetId="3">#REF!</definedName>
    <definedName name="_vena_MultiSiteS1_MultiSiteB1_C_8_431662182280724481_15">#REF!</definedName>
    <definedName name="_vena_MultiSiteS1_MultiSiteB1_C_8_431662182280724481_16" localSheetId="4">#REF!</definedName>
    <definedName name="_vena_MultiSiteS1_MultiSiteB1_C_8_431662182280724481_16" localSheetId="5">#REF!</definedName>
    <definedName name="_vena_MultiSiteS1_MultiSiteB1_C_8_431662182280724481_16" localSheetId="8">'[1]FY26 MYP-Multisite'!#REF!</definedName>
    <definedName name="_vena_MultiSiteS1_MultiSiteB1_C_8_431662182280724481_16" localSheetId="3">#REF!</definedName>
    <definedName name="_vena_MultiSiteS1_MultiSiteB1_C_8_431662182280724481_16">#REF!</definedName>
    <definedName name="_vena_MultiSiteS1_MultiSiteB1_C_8_431662182280724481_17" localSheetId="4">#REF!</definedName>
    <definedName name="_vena_MultiSiteS1_MultiSiteB1_C_8_431662182280724481_17" localSheetId="5">#REF!</definedName>
    <definedName name="_vena_MultiSiteS1_MultiSiteB1_C_8_431662182280724481_17" localSheetId="8">'[1]FY26 MYP-Multisite'!#REF!</definedName>
    <definedName name="_vena_MultiSiteS1_MultiSiteB1_C_8_431662182280724481_17" localSheetId="3">#REF!</definedName>
    <definedName name="_vena_MultiSiteS1_MultiSiteB1_C_8_431662182280724481_17">#REF!</definedName>
    <definedName name="_vena_MultiSiteS1_MultiSiteB1_C_8_431662182280724481_18" localSheetId="4">#REF!</definedName>
    <definedName name="_vena_MultiSiteS1_MultiSiteB1_C_8_431662182280724481_18" localSheetId="5">#REF!</definedName>
    <definedName name="_vena_MultiSiteS1_MultiSiteB1_C_8_431662182280724481_18" localSheetId="8">'[1]FY26 MYP-Multisite'!#REF!</definedName>
    <definedName name="_vena_MultiSiteS1_MultiSiteB1_C_8_431662182280724481_18" localSheetId="3">#REF!</definedName>
    <definedName name="_vena_MultiSiteS1_MultiSiteB1_C_8_431662182280724481_18">#REF!</definedName>
    <definedName name="_vena_MultiSiteS1_MultiSiteB1_C_8_431662182280724481_19" localSheetId="4">#REF!</definedName>
    <definedName name="_vena_MultiSiteS1_MultiSiteB1_C_8_431662182280724481_19" localSheetId="5">#REF!</definedName>
    <definedName name="_vena_MultiSiteS1_MultiSiteB1_C_8_431662182280724481_19" localSheetId="8">'[1]FY26 MYP-Multisite'!#REF!</definedName>
    <definedName name="_vena_MultiSiteS1_MultiSiteB1_C_8_431662182280724481_19" localSheetId="3">#REF!</definedName>
    <definedName name="_vena_MultiSiteS1_MultiSiteB1_C_8_431662182280724481_19">#REF!</definedName>
    <definedName name="_vena_MultiSiteS1_MultiSiteB1_C_8_431662182280724481_20" localSheetId="4">#REF!</definedName>
    <definedName name="_vena_MultiSiteS1_MultiSiteB1_C_8_431662182280724481_20" localSheetId="5">#REF!</definedName>
    <definedName name="_vena_MultiSiteS1_MultiSiteB1_C_8_431662182280724481_20" localSheetId="8">'[1]FY26 MYP-Multisite'!#REF!</definedName>
    <definedName name="_vena_MultiSiteS1_MultiSiteB1_C_8_431662182280724481_20" localSheetId="3">#REF!</definedName>
    <definedName name="_vena_MultiSiteS1_MultiSiteB1_C_8_431662182280724481_20">#REF!</definedName>
    <definedName name="_vena_MultiSiteS1_MultiSiteB1_C_8_431662182280724481_21" localSheetId="4">#REF!</definedName>
    <definedName name="_vena_MultiSiteS1_MultiSiteB1_C_8_431662182280724481_21" localSheetId="5">#REF!</definedName>
    <definedName name="_vena_MultiSiteS1_MultiSiteB1_C_8_431662182280724481_21" localSheetId="8">'[1]FY26 MYP-Multisite'!#REF!</definedName>
    <definedName name="_vena_MultiSiteS1_MultiSiteB1_C_8_431662182280724481_21" localSheetId="3">#REF!</definedName>
    <definedName name="_vena_MultiSiteS1_MultiSiteB1_C_8_431662182280724481_21">#REF!</definedName>
    <definedName name="_vena_MultiSiteS1_MultiSiteB1_C_8_431662182280724481_22" localSheetId="4">#REF!</definedName>
    <definedName name="_vena_MultiSiteS1_MultiSiteB1_C_8_431662182280724481_22" localSheetId="5">#REF!</definedName>
    <definedName name="_vena_MultiSiteS1_MultiSiteB1_C_8_431662182280724481_22" localSheetId="8">'[1]FY26 MYP-Multisite'!#REF!</definedName>
    <definedName name="_vena_MultiSiteS1_MultiSiteB1_C_8_431662182280724481_22" localSheetId="3">#REF!</definedName>
    <definedName name="_vena_MultiSiteS1_MultiSiteB1_C_8_431662182280724481_22">#REF!</definedName>
    <definedName name="_vena_MultiSiteS1_MultiSiteB1_C_8_431662182280724481_23" localSheetId="4">#REF!</definedName>
    <definedName name="_vena_MultiSiteS1_MultiSiteB1_C_8_431662182280724481_23" localSheetId="5">#REF!</definedName>
    <definedName name="_vena_MultiSiteS1_MultiSiteB1_C_8_431662182280724481_23" localSheetId="8">'[1]FY26 MYP-Multisite'!#REF!</definedName>
    <definedName name="_vena_MultiSiteS1_MultiSiteB1_C_8_431662182280724481_23" localSheetId="3">#REF!</definedName>
    <definedName name="_vena_MultiSiteS1_MultiSiteB1_C_8_431662182280724481_23">#REF!</definedName>
    <definedName name="_vena_MultiSiteS1_MultiSiteB1_C_8_431662182280724481_24" localSheetId="4">#REF!</definedName>
    <definedName name="_vena_MultiSiteS1_MultiSiteB1_C_8_431662182280724481_24" localSheetId="5">#REF!</definedName>
    <definedName name="_vena_MultiSiteS1_MultiSiteB1_C_8_431662182280724481_24" localSheetId="8">'[1]FY26 MYP-Multisite'!#REF!</definedName>
    <definedName name="_vena_MultiSiteS1_MultiSiteB1_C_8_431662182280724481_24" localSheetId="3">#REF!</definedName>
    <definedName name="_vena_MultiSiteS1_MultiSiteB1_C_8_431662182280724481_24">#REF!</definedName>
    <definedName name="_vena_MultiSiteS1_MultiSiteB1_C_8_431662182280724481_25" localSheetId="4">#REF!</definedName>
    <definedName name="_vena_MultiSiteS1_MultiSiteB1_C_8_431662182280724481_25" localSheetId="5">#REF!</definedName>
    <definedName name="_vena_MultiSiteS1_MultiSiteB1_C_8_431662182280724481_25" localSheetId="8">'[1]FY26 MYP-Multisite'!#REF!</definedName>
    <definedName name="_vena_MultiSiteS1_MultiSiteB1_C_8_431662182280724481_25" localSheetId="3">#REF!</definedName>
    <definedName name="_vena_MultiSiteS1_MultiSiteB1_C_8_431662182280724481_25">#REF!</definedName>
    <definedName name="_vena_MultiSiteS1_MultiSiteB1_C_8_431662182280724481_26" localSheetId="4">#REF!</definedName>
    <definedName name="_vena_MultiSiteS1_MultiSiteB1_C_8_431662182280724481_26" localSheetId="5">#REF!</definedName>
    <definedName name="_vena_MultiSiteS1_MultiSiteB1_C_8_431662182280724481_26" localSheetId="8">'[1]FY26 MYP-Multisite'!#REF!</definedName>
    <definedName name="_vena_MultiSiteS1_MultiSiteB1_C_8_431662182280724481_26" localSheetId="3">#REF!</definedName>
    <definedName name="_vena_MultiSiteS1_MultiSiteB1_C_8_431662182280724481_26">#REF!</definedName>
    <definedName name="_vena_MultiSiteS1_MultiSiteB1_C_8_431662182280724481_27" localSheetId="4">#REF!</definedName>
    <definedName name="_vena_MultiSiteS1_MultiSiteB1_C_8_431662182280724481_27" localSheetId="5">#REF!</definedName>
    <definedName name="_vena_MultiSiteS1_MultiSiteB1_C_8_431662182280724481_27" localSheetId="8">'[1]FY26 MYP-Multisite'!#REF!</definedName>
    <definedName name="_vena_MultiSiteS1_MultiSiteB1_C_8_431662182280724481_27" localSheetId="3">#REF!</definedName>
    <definedName name="_vena_MultiSiteS1_MultiSiteB1_C_8_431662182280724481_27">#REF!</definedName>
    <definedName name="_vena_MultiSiteS1_MultiSiteB1_C_8_431662182280724481_28" localSheetId="4">#REF!</definedName>
    <definedName name="_vena_MultiSiteS1_MultiSiteB1_C_8_431662182280724481_28" localSheetId="5">#REF!</definedName>
    <definedName name="_vena_MultiSiteS1_MultiSiteB1_C_8_431662182280724481_28" localSheetId="8">'[1]FY26 MYP-Multisite'!#REF!</definedName>
    <definedName name="_vena_MultiSiteS1_MultiSiteB1_C_8_431662182280724481_28" localSheetId="3">#REF!</definedName>
    <definedName name="_vena_MultiSiteS1_MultiSiteB1_C_8_431662182280724481_28">#REF!</definedName>
    <definedName name="_vena_MultiSiteS1_MultiSiteB1_C_8_431662182280724481_29" localSheetId="4">#REF!</definedName>
    <definedName name="_vena_MultiSiteS1_MultiSiteB1_C_8_431662182280724481_29" localSheetId="5">#REF!</definedName>
    <definedName name="_vena_MultiSiteS1_MultiSiteB1_C_8_431662182280724481_29" localSheetId="8">'[1]FY26 MYP-Multisite'!#REF!</definedName>
    <definedName name="_vena_MultiSiteS1_MultiSiteB1_C_8_431662182280724481_29" localSheetId="3">#REF!</definedName>
    <definedName name="_vena_MultiSiteS1_MultiSiteB1_C_8_431662182280724481_29">#REF!</definedName>
    <definedName name="_vena_MultiSiteS1_MultiSiteB1_C_8_431662182280724481_3" localSheetId="4">#REF!</definedName>
    <definedName name="_vena_MultiSiteS1_MultiSiteB1_C_8_431662182280724481_3" localSheetId="5">#REF!</definedName>
    <definedName name="_vena_MultiSiteS1_MultiSiteB1_C_8_431662182280724481_3" localSheetId="8">'[1]FY26 MYP-Multisite'!#REF!</definedName>
    <definedName name="_vena_MultiSiteS1_MultiSiteB1_C_8_431662182280724481_3" localSheetId="3">#REF!</definedName>
    <definedName name="_vena_MultiSiteS1_MultiSiteB1_C_8_431662182280724481_3">#REF!</definedName>
    <definedName name="_vena_MultiSiteS1_MultiSiteB1_C_8_431662182280724481_30" localSheetId="4">#REF!</definedName>
    <definedName name="_vena_MultiSiteS1_MultiSiteB1_C_8_431662182280724481_30" localSheetId="5">#REF!</definedName>
    <definedName name="_vena_MultiSiteS1_MultiSiteB1_C_8_431662182280724481_30" localSheetId="8">'[1]FY26 MYP-Multisite'!#REF!</definedName>
    <definedName name="_vena_MultiSiteS1_MultiSiteB1_C_8_431662182280724481_30" localSheetId="3">#REF!</definedName>
    <definedName name="_vena_MultiSiteS1_MultiSiteB1_C_8_431662182280724481_30">#REF!</definedName>
    <definedName name="_vena_MultiSiteS1_MultiSiteB1_C_8_431662182280724481_31" localSheetId="4">#REF!</definedName>
    <definedName name="_vena_MultiSiteS1_MultiSiteB1_C_8_431662182280724481_31" localSheetId="5">#REF!</definedName>
    <definedName name="_vena_MultiSiteS1_MultiSiteB1_C_8_431662182280724481_31" localSheetId="8">'[1]FY26 MYP-Multisite'!#REF!</definedName>
    <definedName name="_vena_MultiSiteS1_MultiSiteB1_C_8_431662182280724481_31" localSheetId="3">#REF!</definedName>
    <definedName name="_vena_MultiSiteS1_MultiSiteB1_C_8_431662182280724481_31">#REF!</definedName>
    <definedName name="_vena_MultiSiteS1_MultiSiteB1_C_8_431662182280724481_32" localSheetId="4">#REF!</definedName>
    <definedName name="_vena_MultiSiteS1_MultiSiteB1_C_8_431662182280724481_32" localSheetId="5">#REF!</definedName>
    <definedName name="_vena_MultiSiteS1_MultiSiteB1_C_8_431662182280724481_32" localSheetId="8">'[1]FY26 MYP-Multisite'!#REF!</definedName>
    <definedName name="_vena_MultiSiteS1_MultiSiteB1_C_8_431662182280724481_32" localSheetId="3">#REF!</definedName>
    <definedName name="_vena_MultiSiteS1_MultiSiteB1_C_8_431662182280724481_32">#REF!</definedName>
    <definedName name="_vena_MultiSiteS1_MultiSiteB1_C_8_431662182280724481_33" localSheetId="4">#REF!</definedName>
    <definedName name="_vena_MultiSiteS1_MultiSiteB1_C_8_431662182280724481_33" localSheetId="5">#REF!</definedName>
    <definedName name="_vena_MultiSiteS1_MultiSiteB1_C_8_431662182280724481_33" localSheetId="8">'[1]FY26 MYP-Multisite'!#REF!</definedName>
    <definedName name="_vena_MultiSiteS1_MultiSiteB1_C_8_431662182280724481_33" localSheetId="3">#REF!</definedName>
    <definedName name="_vena_MultiSiteS1_MultiSiteB1_C_8_431662182280724481_33">#REF!</definedName>
    <definedName name="_vena_MultiSiteS1_MultiSiteB1_C_8_431662182280724481_34" localSheetId="4">#REF!</definedName>
    <definedName name="_vena_MultiSiteS1_MultiSiteB1_C_8_431662182280724481_34" localSheetId="5">#REF!</definedName>
    <definedName name="_vena_MultiSiteS1_MultiSiteB1_C_8_431662182280724481_34" localSheetId="8">'[1]FY26 MYP-Multisite'!#REF!</definedName>
    <definedName name="_vena_MultiSiteS1_MultiSiteB1_C_8_431662182280724481_34" localSheetId="3">#REF!</definedName>
    <definedName name="_vena_MultiSiteS1_MultiSiteB1_C_8_431662182280724481_34">#REF!</definedName>
    <definedName name="_vena_MultiSiteS1_MultiSiteB1_C_8_431662182280724481_35" localSheetId="4">#REF!</definedName>
    <definedName name="_vena_MultiSiteS1_MultiSiteB1_C_8_431662182280724481_35" localSheetId="5">#REF!</definedName>
    <definedName name="_vena_MultiSiteS1_MultiSiteB1_C_8_431662182280724481_35" localSheetId="8">'[1]FY26 MYP-Multisite'!#REF!</definedName>
    <definedName name="_vena_MultiSiteS1_MultiSiteB1_C_8_431662182280724481_35" localSheetId="3">#REF!</definedName>
    <definedName name="_vena_MultiSiteS1_MultiSiteB1_C_8_431662182280724481_35">#REF!</definedName>
    <definedName name="_vena_MultiSiteS1_MultiSiteB1_C_8_431662182280724481_36" localSheetId="4">#REF!</definedName>
    <definedName name="_vena_MultiSiteS1_MultiSiteB1_C_8_431662182280724481_36" localSheetId="5">#REF!</definedName>
    <definedName name="_vena_MultiSiteS1_MultiSiteB1_C_8_431662182280724481_36" localSheetId="8">'[1]FY26 MYP-Multisite'!#REF!</definedName>
    <definedName name="_vena_MultiSiteS1_MultiSiteB1_C_8_431662182280724481_36" localSheetId="3">#REF!</definedName>
    <definedName name="_vena_MultiSiteS1_MultiSiteB1_C_8_431662182280724481_36">#REF!</definedName>
    <definedName name="_vena_MultiSiteS1_MultiSiteB1_C_8_431662182280724481_37" localSheetId="4">#REF!</definedName>
    <definedName name="_vena_MultiSiteS1_MultiSiteB1_C_8_431662182280724481_37" localSheetId="5">#REF!</definedName>
    <definedName name="_vena_MultiSiteS1_MultiSiteB1_C_8_431662182280724481_37" localSheetId="8">'[1]FY26 MYP-Multisite'!#REF!</definedName>
    <definedName name="_vena_MultiSiteS1_MultiSiteB1_C_8_431662182280724481_37" localSheetId="3">#REF!</definedName>
    <definedName name="_vena_MultiSiteS1_MultiSiteB1_C_8_431662182280724481_37">#REF!</definedName>
    <definedName name="_vena_MultiSiteS1_MultiSiteB1_C_8_431662182280724481_38" localSheetId="4">#REF!</definedName>
    <definedName name="_vena_MultiSiteS1_MultiSiteB1_C_8_431662182280724481_38" localSheetId="5">#REF!</definedName>
    <definedName name="_vena_MultiSiteS1_MultiSiteB1_C_8_431662182280724481_38" localSheetId="8">'[1]FY26 MYP-Multisite'!#REF!</definedName>
    <definedName name="_vena_MultiSiteS1_MultiSiteB1_C_8_431662182280724481_38" localSheetId="3">#REF!</definedName>
    <definedName name="_vena_MultiSiteS1_MultiSiteB1_C_8_431662182280724481_38">#REF!</definedName>
    <definedName name="_vena_MultiSiteS1_MultiSiteB1_C_8_431662182280724481_39" localSheetId="4">#REF!</definedName>
    <definedName name="_vena_MultiSiteS1_MultiSiteB1_C_8_431662182280724481_39" localSheetId="5">#REF!</definedName>
    <definedName name="_vena_MultiSiteS1_MultiSiteB1_C_8_431662182280724481_39" localSheetId="8">'[1]FY26 MYP-Multisite'!#REF!</definedName>
    <definedName name="_vena_MultiSiteS1_MultiSiteB1_C_8_431662182280724481_39" localSheetId="3">#REF!</definedName>
    <definedName name="_vena_MultiSiteS1_MultiSiteB1_C_8_431662182280724481_39">#REF!</definedName>
    <definedName name="_vena_MultiSiteS1_MultiSiteB1_C_8_431662182280724481_4" localSheetId="4">#REF!</definedName>
    <definedName name="_vena_MultiSiteS1_MultiSiteB1_C_8_431662182280724481_4" localSheetId="5">#REF!</definedName>
    <definedName name="_vena_MultiSiteS1_MultiSiteB1_C_8_431662182280724481_4" localSheetId="8">'[1]FY26 MYP-Multisite'!#REF!</definedName>
    <definedName name="_vena_MultiSiteS1_MultiSiteB1_C_8_431662182280724481_4" localSheetId="3">#REF!</definedName>
    <definedName name="_vena_MultiSiteS1_MultiSiteB1_C_8_431662182280724481_4">#REF!</definedName>
    <definedName name="_vena_MultiSiteS1_MultiSiteB1_C_8_431662182280724481_40" localSheetId="4">#REF!</definedName>
    <definedName name="_vena_MultiSiteS1_MultiSiteB1_C_8_431662182280724481_40" localSheetId="5">#REF!</definedName>
    <definedName name="_vena_MultiSiteS1_MultiSiteB1_C_8_431662182280724481_40" localSheetId="8">'[1]FY26 MYP-Multisite'!#REF!</definedName>
    <definedName name="_vena_MultiSiteS1_MultiSiteB1_C_8_431662182280724481_40" localSheetId="3">#REF!</definedName>
    <definedName name="_vena_MultiSiteS1_MultiSiteB1_C_8_431662182280724481_40">#REF!</definedName>
    <definedName name="_vena_MultiSiteS1_MultiSiteB1_C_8_431662182280724481_41" localSheetId="4">#REF!</definedName>
    <definedName name="_vena_MultiSiteS1_MultiSiteB1_C_8_431662182280724481_41" localSheetId="5">#REF!</definedName>
    <definedName name="_vena_MultiSiteS1_MultiSiteB1_C_8_431662182280724481_41" localSheetId="8">'[1]FY26 MYP-Multisite'!#REF!</definedName>
    <definedName name="_vena_MultiSiteS1_MultiSiteB1_C_8_431662182280724481_41" localSheetId="3">#REF!</definedName>
    <definedName name="_vena_MultiSiteS1_MultiSiteB1_C_8_431662182280724481_41">#REF!</definedName>
    <definedName name="_vena_MultiSiteS1_MultiSiteB1_C_8_431662182280724481_42" localSheetId="4">#REF!</definedName>
    <definedName name="_vena_MultiSiteS1_MultiSiteB1_C_8_431662182280724481_42" localSheetId="5">#REF!</definedName>
    <definedName name="_vena_MultiSiteS1_MultiSiteB1_C_8_431662182280724481_42" localSheetId="8">'[1]FY26 MYP-Multisite'!#REF!</definedName>
    <definedName name="_vena_MultiSiteS1_MultiSiteB1_C_8_431662182280724481_42" localSheetId="3">#REF!</definedName>
    <definedName name="_vena_MultiSiteS1_MultiSiteB1_C_8_431662182280724481_42">#REF!</definedName>
    <definedName name="_vena_MultiSiteS1_MultiSiteB1_C_8_431662182280724481_43" localSheetId="4">#REF!</definedName>
    <definedName name="_vena_MultiSiteS1_MultiSiteB1_C_8_431662182280724481_43" localSheetId="5">#REF!</definedName>
    <definedName name="_vena_MultiSiteS1_MultiSiteB1_C_8_431662182280724481_43" localSheetId="8">'[1]FY26 MYP-Multisite'!#REF!</definedName>
    <definedName name="_vena_MultiSiteS1_MultiSiteB1_C_8_431662182280724481_43" localSheetId="3">#REF!</definedName>
    <definedName name="_vena_MultiSiteS1_MultiSiteB1_C_8_431662182280724481_43">#REF!</definedName>
    <definedName name="_vena_MultiSiteS1_MultiSiteB1_C_8_431662182280724481_44" localSheetId="4">#REF!</definedName>
    <definedName name="_vena_MultiSiteS1_MultiSiteB1_C_8_431662182280724481_44" localSheetId="5">#REF!</definedName>
    <definedName name="_vena_MultiSiteS1_MultiSiteB1_C_8_431662182280724481_44" localSheetId="8">'[1]FY26 MYP-Multisite'!#REF!</definedName>
    <definedName name="_vena_MultiSiteS1_MultiSiteB1_C_8_431662182280724481_44" localSheetId="3">#REF!</definedName>
    <definedName name="_vena_MultiSiteS1_MultiSiteB1_C_8_431662182280724481_44">#REF!</definedName>
    <definedName name="_vena_MultiSiteS1_MultiSiteB1_C_8_431662182280724481_45" localSheetId="4">#REF!</definedName>
    <definedName name="_vena_MultiSiteS1_MultiSiteB1_C_8_431662182280724481_45" localSheetId="5">#REF!</definedName>
    <definedName name="_vena_MultiSiteS1_MultiSiteB1_C_8_431662182280724481_45" localSheetId="8">'[1]FY26 MYP-Multisite'!#REF!</definedName>
    <definedName name="_vena_MultiSiteS1_MultiSiteB1_C_8_431662182280724481_45" localSheetId="3">#REF!</definedName>
    <definedName name="_vena_MultiSiteS1_MultiSiteB1_C_8_431662182280724481_45">#REF!</definedName>
    <definedName name="_vena_MultiSiteS1_MultiSiteB1_C_8_431662182280724481_46" localSheetId="4">#REF!</definedName>
    <definedName name="_vena_MultiSiteS1_MultiSiteB1_C_8_431662182280724481_46" localSheetId="5">#REF!</definedName>
    <definedName name="_vena_MultiSiteS1_MultiSiteB1_C_8_431662182280724481_46" localSheetId="8">'[1]FY26 MYP-Multisite'!#REF!</definedName>
    <definedName name="_vena_MultiSiteS1_MultiSiteB1_C_8_431662182280724481_46" localSheetId="3">#REF!</definedName>
    <definedName name="_vena_MultiSiteS1_MultiSiteB1_C_8_431662182280724481_46">#REF!</definedName>
    <definedName name="_vena_MultiSiteS1_MultiSiteB1_C_8_431662182280724481_47" localSheetId="4">#REF!</definedName>
    <definedName name="_vena_MultiSiteS1_MultiSiteB1_C_8_431662182280724481_47" localSheetId="5">#REF!</definedName>
    <definedName name="_vena_MultiSiteS1_MultiSiteB1_C_8_431662182280724481_47" localSheetId="8">'[1]FY26 MYP-Multisite'!#REF!</definedName>
    <definedName name="_vena_MultiSiteS1_MultiSiteB1_C_8_431662182280724481_47" localSheetId="3">#REF!</definedName>
    <definedName name="_vena_MultiSiteS1_MultiSiteB1_C_8_431662182280724481_47">#REF!</definedName>
    <definedName name="_vena_MultiSiteS1_MultiSiteB1_C_8_431662182280724481_48" localSheetId="4">#REF!</definedName>
    <definedName name="_vena_MultiSiteS1_MultiSiteB1_C_8_431662182280724481_48" localSheetId="5">#REF!</definedName>
    <definedName name="_vena_MultiSiteS1_MultiSiteB1_C_8_431662182280724481_48" localSheetId="8">'[1]FY26 MYP-Multisite'!#REF!</definedName>
    <definedName name="_vena_MultiSiteS1_MultiSiteB1_C_8_431662182280724481_48" localSheetId="3">#REF!</definedName>
    <definedName name="_vena_MultiSiteS1_MultiSiteB1_C_8_431662182280724481_48">#REF!</definedName>
    <definedName name="_vena_MultiSiteS1_MultiSiteB1_C_8_431662182280724481_49" localSheetId="4">#REF!</definedName>
    <definedName name="_vena_MultiSiteS1_MultiSiteB1_C_8_431662182280724481_49" localSheetId="5">#REF!</definedName>
    <definedName name="_vena_MultiSiteS1_MultiSiteB1_C_8_431662182280724481_49" localSheetId="8">'[1]FY26 MYP-Multisite'!#REF!</definedName>
    <definedName name="_vena_MultiSiteS1_MultiSiteB1_C_8_431662182280724481_49" localSheetId="3">#REF!</definedName>
    <definedName name="_vena_MultiSiteS1_MultiSiteB1_C_8_431662182280724481_49">#REF!</definedName>
    <definedName name="_vena_MultiSiteS1_MultiSiteB1_C_8_431662182280724481_5" localSheetId="4">#REF!</definedName>
    <definedName name="_vena_MultiSiteS1_MultiSiteB1_C_8_431662182280724481_5" localSheetId="5">#REF!</definedName>
    <definedName name="_vena_MultiSiteS1_MultiSiteB1_C_8_431662182280724481_5" localSheetId="8">'[1]FY26 MYP-Multisite'!#REF!</definedName>
    <definedName name="_vena_MultiSiteS1_MultiSiteB1_C_8_431662182280724481_5" localSheetId="3">#REF!</definedName>
    <definedName name="_vena_MultiSiteS1_MultiSiteB1_C_8_431662182280724481_5">#REF!</definedName>
    <definedName name="_vena_MultiSiteS1_MultiSiteB1_C_8_431662182280724481_50" localSheetId="4">#REF!</definedName>
    <definedName name="_vena_MultiSiteS1_MultiSiteB1_C_8_431662182280724481_50" localSheetId="5">#REF!</definedName>
    <definedName name="_vena_MultiSiteS1_MultiSiteB1_C_8_431662182280724481_50" localSheetId="8">'[1]FY26 MYP-Multisite'!#REF!</definedName>
    <definedName name="_vena_MultiSiteS1_MultiSiteB1_C_8_431662182280724481_50" localSheetId="3">#REF!</definedName>
    <definedName name="_vena_MultiSiteS1_MultiSiteB1_C_8_431662182280724481_50">#REF!</definedName>
    <definedName name="_vena_MultiSiteS1_MultiSiteB1_C_8_431662182280724481_51" localSheetId="4">#REF!</definedName>
    <definedName name="_vena_MultiSiteS1_MultiSiteB1_C_8_431662182280724481_51" localSheetId="5">#REF!</definedName>
    <definedName name="_vena_MultiSiteS1_MultiSiteB1_C_8_431662182280724481_51" localSheetId="8">'[1]FY26 MYP-Multisite'!#REF!</definedName>
    <definedName name="_vena_MultiSiteS1_MultiSiteB1_C_8_431662182280724481_51" localSheetId="3">#REF!</definedName>
    <definedName name="_vena_MultiSiteS1_MultiSiteB1_C_8_431662182280724481_51">#REF!</definedName>
    <definedName name="_vena_MultiSiteS1_MultiSiteB1_C_8_431662182280724481_52" localSheetId="4">#REF!</definedName>
    <definedName name="_vena_MultiSiteS1_MultiSiteB1_C_8_431662182280724481_52" localSheetId="5">#REF!</definedName>
    <definedName name="_vena_MultiSiteS1_MultiSiteB1_C_8_431662182280724481_52" localSheetId="8">'[1]FY26 MYP-Multisite'!#REF!</definedName>
    <definedName name="_vena_MultiSiteS1_MultiSiteB1_C_8_431662182280724481_52" localSheetId="3">#REF!</definedName>
    <definedName name="_vena_MultiSiteS1_MultiSiteB1_C_8_431662182280724481_52">#REF!</definedName>
    <definedName name="_vena_MultiSiteS1_MultiSiteB1_C_8_431662182280724481_53" localSheetId="4">#REF!</definedName>
    <definedName name="_vena_MultiSiteS1_MultiSiteB1_C_8_431662182280724481_53" localSheetId="5">#REF!</definedName>
    <definedName name="_vena_MultiSiteS1_MultiSiteB1_C_8_431662182280724481_53" localSheetId="8">'[1]FY26 MYP-Multisite'!#REF!</definedName>
    <definedName name="_vena_MultiSiteS1_MultiSiteB1_C_8_431662182280724481_53" localSheetId="3">#REF!</definedName>
    <definedName name="_vena_MultiSiteS1_MultiSiteB1_C_8_431662182280724481_53">#REF!</definedName>
    <definedName name="_vena_MultiSiteS1_MultiSiteB1_C_8_431662182280724481_54" localSheetId="4">#REF!</definedName>
    <definedName name="_vena_MultiSiteS1_MultiSiteB1_C_8_431662182280724481_54" localSheetId="5">#REF!</definedName>
    <definedName name="_vena_MultiSiteS1_MultiSiteB1_C_8_431662182280724481_54" localSheetId="8">'[1]FY26 MYP-Multisite'!#REF!</definedName>
    <definedName name="_vena_MultiSiteS1_MultiSiteB1_C_8_431662182280724481_54" localSheetId="3">#REF!</definedName>
    <definedName name="_vena_MultiSiteS1_MultiSiteB1_C_8_431662182280724481_54">#REF!</definedName>
    <definedName name="_vena_MultiSiteS1_MultiSiteB1_C_8_431662182280724481_55" localSheetId="4">#REF!</definedName>
    <definedName name="_vena_MultiSiteS1_MultiSiteB1_C_8_431662182280724481_55" localSheetId="5">#REF!</definedName>
    <definedName name="_vena_MultiSiteS1_MultiSiteB1_C_8_431662182280724481_55" localSheetId="8">'[1]FY26 MYP-Multisite'!#REF!</definedName>
    <definedName name="_vena_MultiSiteS1_MultiSiteB1_C_8_431662182280724481_55" localSheetId="3">#REF!</definedName>
    <definedName name="_vena_MultiSiteS1_MultiSiteB1_C_8_431662182280724481_55">#REF!</definedName>
    <definedName name="_vena_MultiSiteS1_MultiSiteB1_C_8_431662182280724481_56" localSheetId="4">#REF!</definedName>
    <definedName name="_vena_MultiSiteS1_MultiSiteB1_C_8_431662182280724481_56" localSheetId="5">#REF!</definedName>
    <definedName name="_vena_MultiSiteS1_MultiSiteB1_C_8_431662182280724481_56" localSheetId="8">'[1]FY26 MYP-Multisite'!#REF!</definedName>
    <definedName name="_vena_MultiSiteS1_MultiSiteB1_C_8_431662182280724481_56" localSheetId="3">#REF!</definedName>
    <definedName name="_vena_MultiSiteS1_MultiSiteB1_C_8_431662182280724481_56">#REF!</definedName>
    <definedName name="_vena_MultiSiteS1_MultiSiteB1_C_8_431662182280724481_57" localSheetId="4">#REF!</definedName>
    <definedName name="_vena_MultiSiteS1_MultiSiteB1_C_8_431662182280724481_57" localSheetId="5">#REF!</definedName>
    <definedName name="_vena_MultiSiteS1_MultiSiteB1_C_8_431662182280724481_57" localSheetId="8">'[1]FY26 MYP-Multisite'!#REF!</definedName>
    <definedName name="_vena_MultiSiteS1_MultiSiteB1_C_8_431662182280724481_57" localSheetId="3">#REF!</definedName>
    <definedName name="_vena_MultiSiteS1_MultiSiteB1_C_8_431662182280724481_57">#REF!</definedName>
    <definedName name="_vena_MultiSiteS1_MultiSiteB1_C_8_431662182280724481_58" localSheetId="4">#REF!</definedName>
    <definedName name="_vena_MultiSiteS1_MultiSiteB1_C_8_431662182280724481_58" localSheetId="5">#REF!</definedName>
    <definedName name="_vena_MultiSiteS1_MultiSiteB1_C_8_431662182280724481_58" localSheetId="8">'[1]FY26 MYP-Multisite'!#REF!</definedName>
    <definedName name="_vena_MultiSiteS1_MultiSiteB1_C_8_431662182280724481_58" localSheetId="3">#REF!</definedName>
    <definedName name="_vena_MultiSiteS1_MultiSiteB1_C_8_431662182280724481_58">#REF!</definedName>
    <definedName name="_vena_MultiSiteS1_MultiSiteB1_C_8_431662182280724481_59" localSheetId="4">#REF!</definedName>
    <definedName name="_vena_MultiSiteS1_MultiSiteB1_C_8_431662182280724481_59" localSheetId="5">#REF!</definedName>
    <definedName name="_vena_MultiSiteS1_MultiSiteB1_C_8_431662182280724481_59" localSheetId="8">'[1]FY26 MYP-Multisite'!#REF!</definedName>
    <definedName name="_vena_MultiSiteS1_MultiSiteB1_C_8_431662182280724481_59" localSheetId="3">#REF!</definedName>
    <definedName name="_vena_MultiSiteS1_MultiSiteB1_C_8_431662182280724481_59">#REF!</definedName>
    <definedName name="_vena_MultiSiteS1_MultiSiteB1_C_8_431662182280724481_6" localSheetId="4">#REF!</definedName>
    <definedName name="_vena_MultiSiteS1_MultiSiteB1_C_8_431662182280724481_6" localSheetId="5">#REF!</definedName>
    <definedName name="_vena_MultiSiteS1_MultiSiteB1_C_8_431662182280724481_6" localSheetId="8">'[1]FY26 MYP-Multisite'!#REF!</definedName>
    <definedName name="_vena_MultiSiteS1_MultiSiteB1_C_8_431662182280724481_6" localSheetId="3">#REF!</definedName>
    <definedName name="_vena_MultiSiteS1_MultiSiteB1_C_8_431662182280724481_6">#REF!</definedName>
    <definedName name="_vena_MultiSiteS1_MultiSiteB1_C_8_431662182280724481_60" localSheetId="4">#REF!</definedName>
    <definedName name="_vena_MultiSiteS1_MultiSiteB1_C_8_431662182280724481_60" localSheetId="5">#REF!</definedName>
    <definedName name="_vena_MultiSiteS1_MultiSiteB1_C_8_431662182280724481_60" localSheetId="8">'[1]FY26 MYP-Multisite'!#REF!</definedName>
    <definedName name="_vena_MultiSiteS1_MultiSiteB1_C_8_431662182280724481_60" localSheetId="3">#REF!</definedName>
    <definedName name="_vena_MultiSiteS1_MultiSiteB1_C_8_431662182280724481_60">#REF!</definedName>
    <definedName name="_vena_MultiSiteS1_MultiSiteB1_C_8_431662182280724481_61" localSheetId="4">#REF!</definedName>
    <definedName name="_vena_MultiSiteS1_MultiSiteB1_C_8_431662182280724481_61" localSheetId="5">#REF!</definedName>
    <definedName name="_vena_MultiSiteS1_MultiSiteB1_C_8_431662182280724481_61" localSheetId="8">'[1]FY26 MYP-Multisite'!#REF!</definedName>
    <definedName name="_vena_MultiSiteS1_MultiSiteB1_C_8_431662182280724481_61" localSheetId="3">#REF!</definedName>
    <definedName name="_vena_MultiSiteS1_MultiSiteB1_C_8_431662182280724481_61">#REF!</definedName>
    <definedName name="_vena_MultiSiteS1_MultiSiteB1_C_8_431662182280724481_62" localSheetId="4">#REF!</definedName>
    <definedName name="_vena_MultiSiteS1_MultiSiteB1_C_8_431662182280724481_62" localSheetId="5">#REF!</definedName>
    <definedName name="_vena_MultiSiteS1_MultiSiteB1_C_8_431662182280724481_62" localSheetId="8">'[1]FY26 MYP-Multisite'!#REF!</definedName>
    <definedName name="_vena_MultiSiteS1_MultiSiteB1_C_8_431662182280724481_62" localSheetId="3">#REF!</definedName>
    <definedName name="_vena_MultiSiteS1_MultiSiteB1_C_8_431662182280724481_62">#REF!</definedName>
    <definedName name="_vena_MultiSiteS1_MultiSiteB1_C_8_431662182280724481_63" localSheetId="4">#REF!</definedName>
    <definedName name="_vena_MultiSiteS1_MultiSiteB1_C_8_431662182280724481_63" localSheetId="5">#REF!</definedName>
    <definedName name="_vena_MultiSiteS1_MultiSiteB1_C_8_431662182280724481_63" localSheetId="8">'[1]FY26 MYP-Multisite'!#REF!</definedName>
    <definedName name="_vena_MultiSiteS1_MultiSiteB1_C_8_431662182280724481_63" localSheetId="3">#REF!</definedName>
    <definedName name="_vena_MultiSiteS1_MultiSiteB1_C_8_431662182280724481_63">#REF!</definedName>
    <definedName name="_vena_MultiSiteS1_MultiSiteB1_C_8_431662182280724481_64" localSheetId="4">#REF!</definedName>
    <definedName name="_vena_MultiSiteS1_MultiSiteB1_C_8_431662182280724481_64" localSheetId="5">#REF!</definedName>
    <definedName name="_vena_MultiSiteS1_MultiSiteB1_C_8_431662182280724481_64" localSheetId="8">'[1]FY26 MYP-Multisite'!#REF!</definedName>
    <definedName name="_vena_MultiSiteS1_MultiSiteB1_C_8_431662182280724481_64" localSheetId="3">#REF!</definedName>
    <definedName name="_vena_MultiSiteS1_MultiSiteB1_C_8_431662182280724481_64">#REF!</definedName>
    <definedName name="_vena_MultiSiteS1_MultiSiteB1_C_8_431662182280724481_65" localSheetId="4">#REF!</definedName>
    <definedName name="_vena_MultiSiteS1_MultiSiteB1_C_8_431662182280724481_65" localSheetId="5">#REF!</definedName>
    <definedName name="_vena_MultiSiteS1_MultiSiteB1_C_8_431662182280724481_65" localSheetId="8">'[1]FY26 MYP-Multisite'!#REF!</definedName>
    <definedName name="_vena_MultiSiteS1_MultiSiteB1_C_8_431662182280724481_65" localSheetId="3">#REF!</definedName>
    <definedName name="_vena_MultiSiteS1_MultiSiteB1_C_8_431662182280724481_65">#REF!</definedName>
    <definedName name="_vena_MultiSiteS1_MultiSiteB1_C_8_431662182280724481_66" localSheetId="4">#REF!</definedName>
    <definedName name="_vena_MultiSiteS1_MultiSiteB1_C_8_431662182280724481_66" localSheetId="5">#REF!</definedName>
    <definedName name="_vena_MultiSiteS1_MultiSiteB1_C_8_431662182280724481_66" localSheetId="8">'[1]FY26 MYP-Multisite'!#REF!</definedName>
    <definedName name="_vena_MultiSiteS1_MultiSiteB1_C_8_431662182280724481_66" localSheetId="3">#REF!</definedName>
    <definedName name="_vena_MultiSiteS1_MultiSiteB1_C_8_431662182280724481_66">#REF!</definedName>
    <definedName name="_vena_MultiSiteS1_MultiSiteB1_C_8_431662182280724481_67" localSheetId="4">#REF!</definedName>
    <definedName name="_vena_MultiSiteS1_MultiSiteB1_C_8_431662182280724481_67" localSheetId="5">#REF!</definedName>
    <definedName name="_vena_MultiSiteS1_MultiSiteB1_C_8_431662182280724481_67" localSheetId="8">'[1]FY26 MYP-Multisite'!#REF!</definedName>
    <definedName name="_vena_MultiSiteS1_MultiSiteB1_C_8_431662182280724481_67" localSheetId="3">#REF!</definedName>
    <definedName name="_vena_MultiSiteS1_MultiSiteB1_C_8_431662182280724481_67">#REF!</definedName>
    <definedName name="_vena_MultiSiteS1_MultiSiteB1_C_8_431662182280724481_68" localSheetId="4">#REF!</definedName>
    <definedName name="_vena_MultiSiteS1_MultiSiteB1_C_8_431662182280724481_68" localSheetId="5">#REF!</definedName>
    <definedName name="_vena_MultiSiteS1_MultiSiteB1_C_8_431662182280724481_68" localSheetId="8">'[1]FY26 MYP-Multisite'!#REF!</definedName>
    <definedName name="_vena_MultiSiteS1_MultiSiteB1_C_8_431662182280724481_68" localSheetId="3">#REF!</definedName>
    <definedName name="_vena_MultiSiteS1_MultiSiteB1_C_8_431662182280724481_68">#REF!</definedName>
    <definedName name="_vena_MultiSiteS1_MultiSiteB1_C_8_431662182280724481_69" localSheetId="4">#REF!</definedName>
    <definedName name="_vena_MultiSiteS1_MultiSiteB1_C_8_431662182280724481_69" localSheetId="5">#REF!</definedName>
    <definedName name="_vena_MultiSiteS1_MultiSiteB1_C_8_431662182280724481_69" localSheetId="8">'[1]FY26 MYP-Multisite'!#REF!</definedName>
    <definedName name="_vena_MultiSiteS1_MultiSiteB1_C_8_431662182280724481_69" localSheetId="3">#REF!</definedName>
    <definedName name="_vena_MultiSiteS1_MultiSiteB1_C_8_431662182280724481_69">#REF!</definedName>
    <definedName name="_vena_MultiSiteS1_MultiSiteB1_C_8_431662182280724481_7" localSheetId="4">#REF!</definedName>
    <definedName name="_vena_MultiSiteS1_MultiSiteB1_C_8_431662182280724481_7" localSheetId="5">#REF!</definedName>
    <definedName name="_vena_MultiSiteS1_MultiSiteB1_C_8_431662182280724481_7" localSheetId="8">'[1]FY26 MYP-Multisite'!#REF!</definedName>
    <definedName name="_vena_MultiSiteS1_MultiSiteB1_C_8_431662182280724481_7" localSheetId="3">#REF!</definedName>
    <definedName name="_vena_MultiSiteS1_MultiSiteB1_C_8_431662182280724481_7">#REF!</definedName>
    <definedName name="_vena_MultiSiteS1_MultiSiteB1_C_8_431662182280724481_70" localSheetId="4">#REF!</definedName>
    <definedName name="_vena_MultiSiteS1_MultiSiteB1_C_8_431662182280724481_70" localSheetId="5">#REF!</definedName>
    <definedName name="_vena_MultiSiteS1_MultiSiteB1_C_8_431662182280724481_70" localSheetId="8">'[1]FY26 MYP-Multisite'!#REF!</definedName>
    <definedName name="_vena_MultiSiteS1_MultiSiteB1_C_8_431662182280724481_70" localSheetId="3">#REF!</definedName>
    <definedName name="_vena_MultiSiteS1_MultiSiteB1_C_8_431662182280724481_70">#REF!</definedName>
    <definedName name="_vena_MultiSiteS1_MultiSiteB1_C_8_431662182280724481_71" localSheetId="4">#REF!</definedName>
    <definedName name="_vena_MultiSiteS1_MultiSiteB1_C_8_431662182280724481_71" localSheetId="5">#REF!</definedName>
    <definedName name="_vena_MultiSiteS1_MultiSiteB1_C_8_431662182280724481_71" localSheetId="8">'[1]FY26 MYP-Multisite'!#REF!</definedName>
    <definedName name="_vena_MultiSiteS1_MultiSiteB1_C_8_431662182280724481_71" localSheetId="3">#REF!</definedName>
    <definedName name="_vena_MultiSiteS1_MultiSiteB1_C_8_431662182280724481_71">#REF!</definedName>
    <definedName name="_vena_MultiSiteS1_MultiSiteB1_C_8_431662182280724481_8">#REF!</definedName>
    <definedName name="_vena_MultiSiteS1_MultiSiteB1_C_8_431662182280724481_9">#REF!</definedName>
    <definedName name="_vena_MultiSiteS1_MultiSiteB1_C_8_510640812208553984">#REF!</definedName>
    <definedName name="_vena_MultiSiteS1_MultiSiteB1_C_8_510640812208553984_1">#REF!</definedName>
    <definedName name="_vena_MultiSiteS1_MultiSiteB1_C_8_510640812208553984_10" localSheetId="4">#REF!</definedName>
    <definedName name="_vena_MultiSiteS1_MultiSiteB1_C_8_510640812208553984_10" localSheetId="5">#REF!</definedName>
    <definedName name="_vena_MultiSiteS1_MultiSiteB1_C_8_510640812208553984_10" localSheetId="8">'[1]FY26 MYP-Multisite'!#REF!</definedName>
    <definedName name="_vena_MultiSiteS1_MultiSiteB1_C_8_510640812208553984_10" localSheetId="3">#REF!</definedName>
    <definedName name="_vena_MultiSiteS1_MultiSiteB1_C_8_510640812208553984_10">#REF!</definedName>
    <definedName name="_vena_MultiSiteS1_MultiSiteB1_C_8_510640812208553984_11" localSheetId="4">#REF!</definedName>
    <definedName name="_vena_MultiSiteS1_MultiSiteB1_C_8_510640812208553984_11" localSheetId="5">#REF!</definedName>
    <definedName name="_vena_MultiSiteS1_MultiSiteB1_C_8_510640812208553984_11" localSheetId="8">'[1]FY26 MYP-Multisite'!#REF!</definedName>
    <definedName name="_vena_MultiSiteS1_MultiSiteB1_C_8_510640812208553984_11" localSheetId="3">#REF!</definedName>
    <definedName name="_vena_MultiSiteS1_MultiSiteB1_C_8_510640812208553984_11">#REF!</definedName>
    <definedName name="_vena_MultiSiteS1_MultiSiteB1_C_8_510640812208553984_12" localSheetId="4">#REF!</definedName>
    <definedName name="_vena_MultiSiteS1_MultiSiteB1_C_8_510640812208553984_12" localSheetId="5">#REF!</definedName>
    <definedName name="_vena_MultiSiteS1_MultiSiteB1_C_8_510640812208553984_12" localSheetId="8">'[1]FY26 MYP-Multisite'!#REF!</definedName>
    <definedName name="_vena_MultiSiteS1_MultiSiteB1_C_8_510640812208553984_12" localSheetId="3">#REF!</definedName>
    <definedName name="_vena_MultiSiteS1_MultiSiteB1_C_8_510640812208553984_12">#REF!</definedName>
    <definedName name="_vena_MultiSiteS1_MultiSiteB1_C_8_510640812208553984_13" localSheetId="4">#REF!</definedName>
    <definedName name="_vena_MultiSiteS1_MultiSiteB1_C_8_510640812208553984_13" localSheetId="5">#REF!</definedName>
    <definedName name="_vena_MultiSiteS1_MultiSiteB1_C_8_510640812208553984_13" localSheetId="8">'[1]FY26 MYP-Multisite'!#REF!</definedName>
    <definedName name="_vena_MultiSiteS1_MultiSiteB1_C_8_510640812208553984_13" localSheetId="3">#REF!</definedName>
    <definedName name="_vena_MultiSiteS1_MultiSiteB1_C_8_510640812208553984_13">#REF!</definedName>
    <definedName name="_vena_MultiSiteS1_MultiSiteB1_C_8_510640812208553984_14" localSheetId="4">#REF!</definedName>
    <definedName name="_vena_MultiSiteS1_MultiSiteB1_C_8_510640812208553984_14" localSheetId="5">#REF!</definedName>
    <definedName name="_vena_MultiSiteS1_MultiSiteB1_C_8_510640812208553984_14" localSheetId="8">'[1]FY26 MYP-Multisite'!#REF!</definedName>
    <definedName name="_vena_MultiSiteS1_MultiSiteB1_C_8_510640812208553984_14" localSheetId="3">#REF!</definedName>
    <definedName name="_vena_MultiSiteS1_MultiSiteB1_C_8_510640812208553984_14">#REF!</definedName>
    <definedName name="_vena_MultiSiteS1_MultiSiteB1_C_8_510640812208553984_15" localSheetId="4">#REF!</definedName>
    <definedName name="_vena_MultiSiteS1_MultiSiteB1_C_8_510640812208553984_15" localSheetId="5">#REF!</definedName>
    <definedName name="_vena_MultiSiteS1_MultiSiteB1_C_8_510640812208553984_15" localSheetId="8">'[1]FY26 MYP-Multisite'!#REF!</definedName>
    <definedName name="_vena_MultiSiteS1_MultiSiteB1_C_8_510640812208553984_15" localSheetId="3">#REF!</definedName>
    <definedName name="_vena_MultiSiteS1_MultiSiteB1_C_8_510640812208553984_15">#REF!</definedName>
    <definedName name="_vena_MultiSiteS1_MultiSiteB1_C_8_510640812208553984_16" localSheetId="4">#REF!</definedName>
    <definedName name="_vena_MultiSiteS1_MultiSiteB1_C_8_510640812208553984_16" localSheetId="5">#REF!</definedName>
    <definedName name="_vena_MultiSiteS1_MultiSiteB1_C_8_510640812208553984_16" localSheetId="8">'[1]FY26 MYP-Multisite'!#REF!</definedName>
    <definedName name="_vena_MultiSiteS1_MultiSiteB1_C_8_510640812208553984_16" localSheetId="3">#REF!</definedName>
    <definedName name="_vena_MultiSiteS1_MultiSiteB1_C_8_510640812208553984_16">#REF!</definedName>
    <definedName name="_vena_MultiSiteS1_MultiSiteB1_C_8_510640812208553984_17" localSheetId="4">#REF!</definedName>
    <definedName name="_vena_MultiSiteS1_MultiSiteB1_C_8_510640812208553984_17" localSheetId="5">#REF!</definedName>
    <definedName name="_vena_MultiSiteS1_MultiSiteB1_C_8_510640812208553984_17" localSheetId="8">'[1]FY26 MYP-Multisite'!#REF!</definedName>
    <definedName name="_vena_MultiSiteS1_MultiSiteB1_C_8_510640812208553984_17" localSheetId="3">#REF!</definedName>
    <definedName name="_vena_MultiSiteS1_MultiSiteB1_C_8_510640812208553984_17">#REF!</definedName>
    <definedName name="_vena_MultiSiteS1_MultiSiteB1_C_8_510640812208553984_2" localSheetId="4">#REF!</definedName>
    <definedName name="_vena_MultiSiteS1_MultiSiteB1_C_8_510640812208553984_2" localSheetId="5">#REF!</definedName>
    <definedName name="_vena_MultiSiteS1_MultiSiteB1_C_8_510640812208553984_2" localSheetId="8">'[1]FY26 MYP-Multisite'!#REF!</definedName>
    <definedName name="_vena_MultiSiteS1_MultiSiteB1_C_8_510640812208553984_2" localSheetId="3">#REF!</definedName>
    <definedName name="_vena_MultiSiteS1_MultiSiteB1_C_8_510640812208553984_2">#REF!</definedName>
    <definedName name="_vena_MultiSiteS1_MultiSiteB1_C_8_510640812208553984_3" localSheetId="4">#REF!</definedName>
    <definedName name="_vena_MultiSiteS1_MultiSiteB1_C_8_510640812208553984_3" localSheetId="5">#REF!</definedName>
    <definedName name="_vena_MultiSiteS1_MultiSiteB1_C_8_510640812208553984_3" localSheetId="8">'[1]FY26 MYP-Multisite'!#REF!</definedName>
    <definedName name="_vena_MultiSiteS1_MultiSiteB1_C_8_510640812208553984_3" localSheetId="3">#REF!</definedName>
    <definedName name="_vena_MultiSiteS1_MultiSiteB1_C_8_510640812208553984_3">#REF!</definedName>
    <definedName name="_vena_MultiSiteS1_MultiSiteB1_C_8_510640812208553984_4" localSheetId="4">#REF!</definedName>
    <definedName name="_vena_MultiSiteS1_MultiSiteB1_C_8_510640812208553984_4" localSheetId="5">#REF!</definedName>
    <definedName name="_vena_MultiSiteS1_MultiSiteB1_C_8_510640812208553984_4" localSheetId="8">'[1]FY26 MYP-Multisite'!#REF!</definedName>
    <definedName name="_vena_MultiSiteS1_MultiSiteB1_C_8_510640812208553984_4" localSheetId="3">#REF!</definedName>
    <definedName name="_vena_MultiSiteS1_MultiSiteB1_C_8_510640812208553984_4">#REF!</definedName>
    <definedName name="_vena_MultiSiteS1_MultiSiteB1_C_8_510640812208553984_5" localSheetId="4">#REF!</definedName>
    <definedName name="_vena_MultiSiteS1_MultiSiteB1_C_8_510640812208553984_5" localSheetId="5">#REF!</definedName>
    <definedName name="_vena_MultiSiteS1_MultiSiteB1_C_8_510640812208553984_5" localSheetId="8">'[1]FY26 MYP-Multisite'!#REF!</definedName>
    <definedName name="_vena_MultiSiteS1_MultiSiteB1_C_8_510640812208553984_5" localSheetId="3">#REF!</definedName>
    <definedName name="_vena_MultiSiteS1_MultiSiteB1_C_8_510640812208553984_5">#REF!</definedName>
    <definedName name="_vena_MultiSiteS1_MultiSiteB1_C_8_510640812208553984_6" localSheetId="4">#REF!</definedName>
    <definedName name="_vena_MultiSiteS1_MultiSiteB1_C_8_510640812208553984_6" localSheetId="5">#REF!</definedName>
    <definedName name="_vena_MultiSiteS1_MultiSiteB1_C_8_510640812208553984_6" localSheetId="8">'[1]FY26 MYP-Multisite'!#REF!</definedName>
    <definedName name="_vena_MultiSiteS1_MultiSiteB1_C_8_510640812208553984_6" localSheetId="3">#REF!</definedName>
    <definedName name="_vena_MultiSiteS1_MultiSiteB1_C_8_510640812208553984_6">#REF!</definedName>
    <definedName name="_vena_MultiSiteS1_MultiSiteB1_C_8_510640812208553984_7" localSheetId="4">#REF!</definedName>
    <definedName name="_vena_MultiSiteS1_MultiSiteB1_C_8_510640812208553984_7" localSheetId="5">#REF!</definedName>
    <definedName name="_vena_MultiSiteS1_MultiSiteB1_C_8_510640812208553984_7" localSheetId="8">'[1]FY26 MYP-Multisite'!#REF!</definedName>
    <definedName name="_vena_MultiSiteS1_MultiSiteB1_C_8_510640812208553984_7" localSheetId="3">#REF!</definedName>
    <definedName name="_vena_MultiSiteS1_MultiSiteB1_C_8_510640812208553984_7">#REF!</definedName>
    <definedName name="_vena_MultiSiteS1_MultiSiteB1_C_8_510640812208553984_8" localSheetId="4">#REF!</definedName>
    <definedName name="_vena_MultiSiteS1_MultiSiteB1_C_8_510640812208553984_8" localSheetId="5">#REF!</definedName>
    <definedName name="_vena_MultiSiteS1_MultiSiteB1_C_8_510640812208553984_8" localSheetId="8">'[1]FY26 MYP-Multisite'!#REF!</definedName>
    <definedName name="_vena_MultiSiteS1_MultiSiteB1_C_8_510640812208553984_8" localSheetId="3">#REF!</definedName>
    <definedName name="_vena_MultiSiteS1_MultiSiteB1_C_8_510640812208553984_8">#REF!</definedName>
    <definedName name="_vena_MultiSiteS1_MultiSiteB1_C_8_510640812208553984_9" localSheetId="4">#REF!</definedName>
    <definedName name="_vena_MultiSiteS1_MultiSiteB1_C_8_510640812208553984_9" localSheetId="5">#REF!</definedName>
    <definedName name="_vena_MultiSiteS1_MultiSiteB1_C_8_510640812208553984_9" localSheetId="8">'[1]FY26 MYP-Multisite'!#REF!</definedName>
    <definedName name="_vena_MultiSiteS1_MultiSiteB1_C_8_510640812208553984_9" localSheetId="3">#REF!</definedName>
    <definedName name="_vena_MultiSiteS1_MultiSiteB1_C_8_510640812208553984_9">#REF!</definedName>
    <definedName name="_vena_MultiSiteS1_MultiSiteB1_C_8_551651297725251586">#REF!</definedName>
    <definedName name="_vena_MultiSiteS1_MultiSiteB1_C_8_551651297725251586_1">#REF!</definedName>
    <definedName name="_vena_MultiSiteS1_MultiSiteB1_C_8_551651297725251586_10">#REF!</definedName>
    <definedName name="_vena_MultiSiteS1_MultiSiteB1_C_8_551651297725251586_11">#REF!</definedName>
    <definedName name="_vena_MultiSiteS1_MultiSiteB1_C_8_551651297725251586_12">#REF!</definedName>
    <definedName name="_vena_MultiSiteS1_MultiSiteB1_C_8_551651297725251586_13">#REF!</definedName>
    <definedName name="_vena_MultiSiteS1_MultiSiteB1_C_8_551651297725251586_14">#REF!</definedName>
    <definedName name="_vena_MultiSiteS1_MultiSiteB1_C_8_551651297725251586_3">#REF!</definedName>
    <definedName name="_vena_MultiSiteS1_MultiSiteB1_C_8_551651297725251586_4">#REF!</definedName>
    <definedName name="_vena_MultiSiteS1_MultiSiteB1_C_8_551651297725251586_5">#REF!</definedName>
    <definedName name="_vena_MultiSiteS1_MultiSiteB1_C_8_551651297725251586_6">#REF!</definedName>
    <definedName name="_vena_MultiSiteS1_MultiSiteB1_C_8_551651297725251586_7">#REF!</definedName>
    <definedName name="_vena_MultiSiteS1_MultiSiteB1_C_8_551651297725251586_8">#REF!</definedName>
    <definedName name="_vena_MultiSiteS1_MultiSiteB1_C_8_551651297725251586_9">#REF!</definedName>
    <definedName name="_vena_MultiSiteS1_MultiSiteB1_C_8_551651297771388930">#REF!</definedName>
    <definedName name="_vena_MultiSiteS1_MultiSiteB1_C_8_551651297771388930_1">#REF!</definedName>
    <definedName name="_vena_MultiSiteS1_MultiSiteB1_C_8_632005313595965442">#REF!</definedName>
    <definedName name="_vena_MultiSiteS1_MultiSiteB1_C_8_632005313595965442_1">#REF!</definedName>
    <definedName name="_vena_MultiSiteS1_MultiSiteB1_C_8_632005313595965442_2">#REF!</definedName>
    <definedName name="_vena_MultiSiteS1_MultiSiteB1_C_8_632005313595965442_3">#REF!</definedName>
    <definedName name="_vena_MultiSiteS1_MultiSiteB1_C_8_632005313629519872">#REF!</definedName>
    <definedName name="_vena_MultiSiteS1_MultiSiteB1_C_8_632005313629519872_1">#REF!</definedName>
    <definedName name="_vena_MultiSiteS1_MultiSiteB1_C_8_632005313629519872_10">#REF!</definedName>
    <definedName name="_vena_MultiSiteS1_MultiSiteB1_C_8_632005313629519872_11">#REF!</definedName>
    <definedName name="_vena_MultiSiteS1_MultiSiteB1_C_8_632005313629519872_12">#REF!</definedName>
    <definedName name="_vena_MultiSiteS1_MultiSiteB1_C_8_632005313629519872_13">#REF!</definedName>
    <definedName name="_vena_MultiSiteS1_MultiSiteB1_C_8_632005313629519872_14">#REF!</definedName>
    <definedName name="_vena_MultiSiteS1_MultiSiteB1_C_8_632005313629519872_15">#REF!</definedName>
    <definedName name="_vena_MultiSiteS1_MultiSiteB1_C_8_632005313629519872_16">#REF!</definedName>
    <definedName name="_vena_MultiSiteS1_MultiSiteB1_C_8_632005313629519872_17">#REF!</definedName>
    <definedName name="_vena_MultiSiteS1_MultiSiteB1_C_8_632005313629519872_4">#REF!</definedName>
    <definedName name="_vena_MultiSiteS1_MultiSiteB1_C_8_632005313629519872_5">#REF!</definedName>
    <definedName name="_vena_MultiSiteS1_MultiSiteB1_C_8_632005313629519872_6">#REF!</definedName>
    <definedName name="_vena_MultiSiteS1_MultiSiteB1_C_8_632005313629519872_7">#REF!</definedName>
    <definedName name="_vena_MultiSiteS1_MultiSiteB1_C_8_632005313629519872_8">#REF!</definedName>
    <definedName name="_vena_MultiSiteS1_MultiSiteB1_C_8_632005313629519872_9">#REF!</definedName>
    <definedName name="_vena_MultiSiteS1_MultiSiteB1_C_FV_e1c3a244dc3d4f149ecdf7d748811086" localSheetId="4">#REF!</definedName>
    <definedName name="_vena_MultiSiteS1_MultiSiteB1_C_FV_e1c3a244dc3d4f149ecdf7d748811086" localSheetId="5">#REF!</definedName>
    <definedName name="_vena_MultiSiteS1_MultiSiteB1_C_FV_e1c3a244dc3d4f149ecdf7d748811086" localSheetId="8">'[1]FY26 MYP-Multisite'!#REF!</definedName>
    <definedName name="_vena_MultiSiteS1_MultiSiteB1_C_FV_e1c3a244dc3d4f149ecdf7d748811086" localSheetId="3">#REF!</definedName>
    <definedName name="_vena_MultiSiteS1_MultiSiteB1_C_FV_e1c3a244dc3d4f149ecdf7d748811086">#REF!</definedName>
    <definedName name="_vena_MultiSiteS1_MultiSiteB1_C_FV_e1c3a244dc3d4f149ecdf7d748811086_1" localSheetId="4">#REF!</definedName>
    <definedName name="_vena_MultiSiteS1_MultiSiteB1_C_FV_e1c3a244dc3d4f149ecdf7d748811086_1" localSheetId="5">#REF!</definedName>
    <definedName name="_vena_MultiSiteS1_MultiSiteB1_C_FV_e1c3a244dc3d4f149ecdf7d748811086_1" localSheetId="8">'[1]FY26 MYP-Multisite'!#REF!</definedName>
    <definedName name="_vena_MultiSiteS1_MultiSiteB1_C_FV_e1c3a244dc3d4f149ecdf7d748811086_1" localSheetId="3">#REF!</definedName>
    <definedName name="_vena_MultiSiteS1_MultiSiteB1_C_FV_e1c3a244dc3d4f149ecdf7d748811086_1">#REF!</definedName>
    <definedName name="_vena_MultiSiteS1_MultiSiteB1_C_FV_e1c3a244dc3d4f149ecdf7d748811086_10">#REF!</definedName>
    <definedName name="_vena_MultiSiteS1_MultiSiteB1_C_FV_e1c3a244dc3d4f149ecdf7d748811086_11">#REF!</definedName>
    <definedName name="_vena_MultiSiteS1_MultiSiteB1_C_FV_e1c3a244dc3d4f149ecdf7d748811086_12">#REF!</definedName>
    <definedName name="_vena_MultiSiteS1_MultiSiteB1_C_FV_e1c3a244dc3d4f149ecdf7d748811086_13">#REF!</definedName>
    <definedName name="_vena_MultiSiteS1_MultiSiteB1_C_FV_e1c3a244dc3d4f149ecdf7d748811086_14">#REF!</definedName>
    <definedName name="_vena_MultiSiteS1_MultiSiteB1_C_FV_e1c3a244dc3d4f149ecdf7d748811086_15">#REF!</definedName>
    <definedName name="_vena_MultiSiteS1_MultiSiteB1_C_FV_e1c3a244dc3d4f149ecdf7d748811086_16" localSheetId="4">#REF!</definedName>
    <definedName name="_vena_MultiSiteS1_MultiSiteB1_C_FV_e1c3a244dc3d4f149ecdf7d748811086_16" localSheetId="5">#REF!</definedName>
    <definedName name="_vena_MultiSiteS1_MultiSiteB1_C_FV_e1c3a244dc3d4f149ecdf7d748811086_16" localSheetId="8">'[1]FY26 MYP-Multisite'!#REF!</definedName>
    <definedName name="_vena_MultiSiteS1_MultiSiteB1_C_FV_e1c3a244dc3d4f149ecdf7d748811086_16" localSheetId="3">#REF!</definedName>
    <definedName name="_vena_MultiSiteS1_MultiSiteB1_C_FV_e1c3a244dc3d4f149ecdf7d748811086_16">#REF!</definedName>
    <definedName name="_vena_MultiSiteS1_MultiSiteB1_C_FV_e1c3a244dc3d4f149ecdf7d748811086_17" localSheetId="4">#REF!</definedName>
    <definedName name="_vena_MultiSiteS1_MultiSiteB1_C_FV_e1c3a244dc3d4f149ecdf7d748811086_17" localSheetId="5">#REF!</definedName>
    <definedName name="_vena_MultiSiteS1_MultiSiteB1_C_FV_e1c3a244dc3d4f149ecdf7d748811086_17" localSheetId="8">'[1]FY26 MYP-Multisite'!#REF!</definedName>
    <definedName name="_vena_MultiSiteS1_MultiSiteB1_C_FV_e1c3a244dc3d4f149ecdf7d748811086_17" localSheetId="3">#REF!</definedName>
    <definedName name="_vena_MultiSiteS1_MultiSiteB1_C_FV_e1c3a244dc3d4f149ecdf7d748811086_17">#REF!</definedName>
    <definedName name="_vena_MultiSiteS1_MultiSiteB1_C_FV_e1c3a244dc3d4f149ecdf7d748811086_18" localSheetId="4">#REF!</definedName>
    <definedName name="_vena_MultiSiteS1_MultiSiteB1_C_FV_e1c3a244dc3d4f149ecdf7d748811086_18" localSheetId="5">#REF!</definedName>
    <definedName name="_vena_MultiSiteS1_MultiSiteB1_C_FV_e1c3a244dc3d4f149ecdf7d748811086_18" localSheetId="8">'[1]FY26 MYP-Multisite'!#REF!</definedName>
    <definedName name="_vena_MultiSiteS1_MultiSiteB1_C_FV_e1c3a244dc3d4f149ecdf7d748811086_18" localSheetId="3">#REF!</definedName>
    <definedName name="_vena_MultiSiteS1_MultiSiteB1_C_FV_e1c3a244dc3d4f149ecdf7d748811086_18">#REF!</definedName>
    <definedName name="_vena_MultiSiteS1_MultiSiteB1_C_FV_e1c3a244dc3d4f149ecdf7d748811086_19" localSheetId="4">#REF!</definedName>
    <definedName name="_vena_MultiSiteS1_MultiSiteB1_C_FV_e1c3a244dc3d4f149ecdf7d748811086_19" localSheetId="5">#REF!</definedName>
    <definedName name="_vena_MultiSiteS1_MultiSiteB1_C_FV_e1c3a244dc3d4f149ecdf7d748811086_19" localSheetId="8">'[1]FY26 MYP-Multisite'!#REF!</definedName>
    <definedName name="_vena_MultiSiteS1_MultiSiteB1_C_FV_e1c3a244dc3d4f149ecdf7d748811086_19" localSheetId="3">#REF!</definedName>
    <definedName name="_vena_MultiSiteS1_MultiSiteB1_C_FV_e1c3a244dc3d4f149ecdf7d748811086_19">#REF!</definedName>
    <definedName name="_vena_MultiSiteS1_MultiSiteB1_C_FV_e1c3a244dc3d4f149ecdf7d748811086_2">#REF!</definedName>
    <definedName name="_vena_MultiSiteS1_MultiSiteB1_C_FV_e1c3a244dc3d4f149ecdf7d748811086_20" localSheetId="4">#REF!</definedName>
    <definedName name="_vena_MultiSiteS1_MultiSiteB1_C_FV_e1c3a244dc3d4f149ecdf7d748811086_20" localSheetId="5">#REF!</definedName>
    <definedName name="_vena_MultiSiteS1_MultiSiteB1_C_FV_e1c3a244dc3d4f149ecdf7d748811086_20" localSheetId="8">'[1]FY26 MYP-Multisite'!#REF!</definedName>
    <definedName name="_vena_MultiSiteS1_MultiSiteB1_C_FV_e1c3a244dc3d4f149ecdf7d748811086_20" localSheetId="3">#REF!</definedName>
    <definedName name="_vena_MultiSiteS1_MultiSiteB1_C_FV_e1c3a244dc3d4f149ecdf7d748811086_20">#REF!</definedName>
    <definedName name="_vena_MultiSiteS1_MultiSiteB1_C_FV_e1c3a244dc3d4f149ecdf7d748811086_21" localSheetId="4">#REF!</definedName>
    <definedName name="_vena_MultiSiteS1_MultiSiteB1_C_FV_e1c3a244dc3d4f149ecdf7d748811086_21" localSheetId="5">#REF!</definedName>
    <definedName name="_vena_MultiSiteS1_MultiSiteB1_C_FV_e1c3a244dc3d4f149ecdf7d748811086_21" localSheetId="8">'[1]FY26 MYP-Multisite'!#REF!</definedName>
    <definedName name="_vena_MultiSiteS1_MultiSiteB1_C_FV_e1c3a244dc3d4f149ecdf7d748811086_21" localSheetId="3">#REF!</definedName>
    <definedName name="_vena_MultiSiteS1_MultiSiteB1_C_FV_e1c3a244dc3d4f149ecdf7d748811086_21">#REF!</definedName>
    <definedName name="_vena_MultiSiteS1_MultiSiteB1_C_FV_e1c3a244dc3d4f149ecdf7d748811086_22" localSheetId="4">#REF!</definedName>
    <definedName name="_vena_MultiSiteS1_MultiSiteB1_C_FV_e1c3a244dc3d4f149ecdf7d748811086_22" localSheetId="5">#REF!</definedName>
    <definedName name="_vena_MultiSiteS1_MultiSiteB1_C_FV_e1c3a244dc3d4f149ecdf7d748811086_22" localSheetId="8">'[1]FY26 MYP-Multisite'!#REF!</definedName>
    <definedName name="_vena_MultiSiteS1_MultiSiteB1_C_FV_e1c3a244dc3d4f149ecdf7d748811086_22" localSheetId="3">#REF!</definedName>
    <definedName name="_vena_MultiSiteS1_MultiSiteB1_C_FV_e1c3a244dc3d4f149ecdf7d748811086_22">#REF!</definedName>
    <definedName name="_vena_MultiSiteS1_MultiSiteB1_C_FV_e1c3a244dc3d4f149ecdf7d748811086_23" localSheetId="4">#REF!</definedName>
    <definedName name="_vena_MultiSiteS1_MultiSiteB1_C_FV_e1c3a244dc3d4f149ecdf7d748811086_23" localSheetId="5">#REF!</definedName>
    <definedName name="_vena_MultiSiteS1_MultiSiteB1_C_FV_e1c3a244dc3d4f149ecdf7d748811086_23" localSheetId="8">'[1]FY26 MYP-Multisite'!#REF!</definedName>
    <definedName name="_vena_MultiSiteS1_MultiSiteB1_C_FV_e1c3a244dc3d4f149ecdf7d748811086_23" localSheetId="3">#REF!</definedName>
    <definedName name="_vena_MultiSiteS1_MultiSiteB1_C_FV_e1c3a244dc3d4f149ecdf7d748811086_23">#REF!</definedName>
    <definedName name="_vena_MultiSiteS1_MultiSiteB1_C_FV_e1c3a244dc3d4f149ecdf7d748811086_24" localSheetId="4">#REF!</definedName>
    <definedName name="_vena_MultiSiteS1_MultiSiteB1_C_FV_e1c3a244dc3d4f149ecdf7d748811086_24" localSheetId="5">#REF!</definedName>
    <definedName name="_vena_MultiSiteS1_MultiSiteB1_C_FV_e1c3a244dc3d4f149ecdf7d748811086_24" localSheetId="8">'[1]FY26 MYP-Multisite'!#REF!</definedName>
    <definedName name="_vena_MultiSiteS1_MultiSiteB1_C_FV_e1c3a244dc3d4f149ecdf7d748811086_24" localSheetId="3">#REF!</definedName>
    <definedName name="_vena_MultiSiteS1_MultiSiteB1_C_FV_e1c3a244dc3d4f149ecdf7d748811086_24">#REF!</definedName>
    <definedName name="_vena_MultiSiteS1_MultiSiteB1_C_FV_e1c3a244dc3d4f149ecdf7d748811086_25" localSheetId="4">#REF!</definedName>
    <definedName name="_vena_MultiSiteS1_MultiSiteB1_C_FV_e1c3a244dc3d4f149ecdf7d748811086_25" localSheetId="5">#REF!</definedName>
    <definedName name="_vena_MultiSiteS1_MultiSiteB1_C_FV_e1c3a244dc3d4f149ecdf7d748811086_25" localSheetId="8">'[1]FY26 MYP-Multisite'!#REF!</definedName>
    <definedName name="_vena_MultiSiteS1_MultiSiteB1_C_FV_e1c3a244dc3d4f149ecdf7d748811086_25" localSheetId="3">#REF!</definedName>
    <definedName name="_vena_MultiSiteS1_MultiSiteB1_C_FV_e1c3a244dc3d4f149ecdf7d748811086_25">#REF!</definedName>
    <definedName name="_vena_MultiSiteS1_MultiSiteB1_C_FV_e1c3a244dc3d4f149ecdf7d748811086_26" localSheetId="4">#REF!</definedName>
    <definedName name="_vena_MultiSiteS1_MultiSiteB1_C_FV_e1c3a244dc3d4f149ecdf7d748811086_26" localSheetId="5">#REF!</definedName>
    <definedName name="_vena_MultiSiteS1_MultiSiteB1_C_FV_e1c3a244dc3d4f149ecdf7d748811086_26" localSheetId="8">'[1]FY26 MYP-Multisite'!#REF!</definedName>
    <definedName name="_vena_MultiSiteS1_MultiSiteB1_C_FV_e1c3a244dc3d4f149ecdf7d748811086_26" localSheetId="3">#REF!</definedName>
    <definedName name="_vena_MultiSiteS1_MultiSiteB1_C_FV_e1c3a244dc3d4f149ecdf7d748811086_26">#REF!</definedName>
    <definedName name="_vena_MultiSiteS1_MultiSiteB1_C_FV_e1c3a244dc3d4f149ecdf7d748811086_27" localSheetId="4">#REF!</definedName>
    <definedName name="_vena_MultiSiteS1_MultiSiteB1_C_FV_e1c3a244dc3d4f149ecdf7d748811086_27" localSheetId="5">#REF!</definedName>
    <definedName name="_vena_MultiSiteS1_MultiSiteB1_C_FV_e1c3a244dc3d4f149ecdf7d748811086_27" localSheetId="8">'[1]FY26 MYP-Multisite'!#REF!</definedName>
    <definedName name="_vena_MultiSiteS1_MultiSiteB1_C_FV_e1c3a244dc3d4f149ecdf7d748811086_27" localSheetId="3">#REF!</definedName>
    <definedName name="_vena_MultiSiteS1_MultiSiteB1_C_FV_e1c3a244dc3d4f149ecdf7d748811086_27">#REF!</definedName>
    <definedName name="_vena_MultiSiteS1_MultiSiteB1_C_FV_e1c3a244dc3d4f149ecdf7d748811086_28" localSheetId="4">#REF!</definedName>
    <definedName name="_vena_MultiSiteS1_MultiSiteB1_C_FV_e1c3a244dc3d4f149ecdf7d748811086_28" localSheetId="5">#REF!</definedName>
    <definedName name="_vena_MultiSiteS1_MultiSiteB1_C_FV_e1c3a244dc3d4f149ecdf7d748811086_28" localSheetId="8">'[1]FY26 MYP-Multisite'!#REF!</definedName>
    <definedName name="_vena_MultiSiteS1_MultiSiteB1_C_FV_e1c3a244dc3d4f149ecdf7d748811086_28" localSheetId="3">#REF!</definedName>
    <definedName name="_vena_MultiSiteS1_MultiSiteB1_C_FV_e1c3a244dc3d4f149ecdf7d748811086_28">#REF!</definedName>
    <definedName name="_vena_MultiSiteS1_MultiSiteB1_C_FV_e1c3a244dc3d4f149ecdf7d748811086_29" localSheetId="4">#REF!</definedName>
    <definedName name="_vena_MultiSiteS1_MultiSiteB1_C_FV_e1c3a244dc3d4f149ecdf7d748811086_29" localSheetId="5">#REF!</definedName>
    <definedName name="_vena_MultiSiteS1_MultiSiteB1_C_FV_e1c3a244dc3d4f149ecdf7d748811086_29" localSheetId="8">'[1]FY26 MYP-Multisite'!#REF!</definedName>
    <definedName name="_vena_MultiSiteS1_MultiSiteB1_C_FV_e1c3a244dc3d4f149ecdf7d748811086_29" localSheetId="3">#REF!</definedName>
    <definedName name="_vena_MultiSiteS1_MultiSiteB1_C_FV_e1c3a244dc3d4f149ecdf7d748811086_29">#REF!</definedName>
    <definedName name="_vena_MultiSiteS1_MultiSiteB1_C_FV_e1c3a244dc3d4f149ecdf7d748811086_3" localSheetId="4">#REF!</definedName>
    <definedName name="_vena_MultiSiteS1_MultiSiteB1_C_FV_e1c3a244dc3d4f149ecdf7d748811086_3" localSheetId="5">#REF!</definedName>
    <definedName name="_vena_MultiSiteS1_MultiSiteB1_C_FV_e1c3a244dc3d4f149ecdf7d748811086_3" localSheetId="8">'[1]FY26 MYP-Multisite'!#REF!</definedName>
    <definedName name="_vena_MultiSiteS1_MultiSiteB1_C_FV_e1c3a244dc3d4f149ecdf7d748811086_3" localSheetId="3">#REF!</definedName>
    <definedName name="_vena_MultiSiteS1_MultiSiteB1_C_FV_e1c3a244dc3d4f149ecdf7d748811086_3">#REF!</definedName>
    <definedName name="_vena_MultiSiteS1_MultiSiteB1_C_FV_e1c3a244dc3d4f149ecdf7d748811086_30" localSheetId="4">#REF!</definedName>
    <definedName name="_vena_MultiSiteS1_MultiSiteB1_C_FV_e1c3a244dc3d4f149ecdf7d748811086_30" localSheetId="5">#REF!</definedName>
    <definedName name="_vena_MultiSiteS1_MultiSiteB1_C_FV_e1c3a244dc3d4f149ecdf7d748811086_30" localSheetId="8">'[1]FY26 MYP-Multisite'!#REF!</definedName>
    <definedName name="_vena_MultiSiteS1_MultiSiteB1_C_FV_e1c3a244dc3d4f149ecdf7d748811086_30" localSheetId="3">#REF!</definedName>
    <definedName name="_vena_MultiSiteS1_MultiSiteB1_C_FV_e1c3a244dc3d4f149ecdf7d748811086_30">#REF!</definedName>
    <definedName name="_vena_MultiSiteS1_MultiSiteB1_C_FV_e1c3a244dc3d4f149ecdf7d748811086_31" localSheetId="4">#REF!</definedName>
    <definedName name="_vena_MultiSiteS1_MultiSiteB1_C_FV_e1c3a244dc3d4f149ecdf7d748811086_31" localSheetId="5">#REF!</definedName>
    <definedName name="_vena_MultiSiteS1_MultiSiteB1_C_FV_e1c3a244dc3d4f149ecdf7d748811086_31" localSheetId="8">'[1]FY26 MYP-Multisite'!#REF!</definedName>
    <definedName name="_vena_MultiSiteS1_MultiSiteB1_C_FV_e1c3a244dc3d4f149ecdf7d748811086_31" localSheetId="3">#REF!</definedName>
    <definedName name="_vena_MultiSiteS1_MultiSiteB1_C_FV_e1c3a244dc3d4f149ecdf7d748811086_31">#REF!</definedName>
    <definedName name="_vena_MultiSiteS1_MultiSiteB1_C_FV_e1c3a244dc3d4f149ecdf7d748811086_32" localSheetId="4">#REF!</definedName>
    <definedName name="_vena_MultiSiteS1_MultiSiteB1_C_FV_e1c3a244dc3d4f149ecdf7d748811086_32" localSheetId="5">#REF!</definedName>
    <definedName name="_vena_MultiSiteS1_MultiSiteB1_C_FV_e1c3a244dc3d4f149ecdf7d748811086_32" localSheetId="8">'[1]FY26 MYP-Multisite'!#REF!</definedName>
    <definedName name="_vena_MultiSiteS1_MultiSiteB1_C_FV_e1c3a244dc3d4f149ecdf7d748811086_32" localSheetId="3">#REF!</definedName>
    <definedName name="_vena_MultiSiteS1_MultiSiteB1_C_FV_e1c3a244dc3d4f149ecdf7d748811086_32">#REF!</definedName>
    <definedName name="_vena_MultiSiteS1_MultiSiteB1_C_FV_e1c3a244dc3d4f149ecdf7d748811086_33" localSheetId="4">#REF!</definedName>
    <definedName name="_vena_MultiSiteS1_MultiSiteB1_C_FV_e1c3a244dc3d4f149ecdf7d748811086_33" localSheetId="5">#REF!</definedName>
    <definedName name="_vena_MultiSiteS1_MultiSiteB1_C_FV_e1c3a244dc3d4f149ecdf7d748811086_33" localSheetId="8">'[1]FY26 MYP-Multisite'!#REF!</definedName>
    <definedName name="_vena_MultiSiteS1_MultiSiteB1_C_FV_e1c3a244dc3d4f149ecdf7d748811086_33" localSheetId="3">#REF!</definedName>
    <definedName name="_vena_MultiSiteS1_MultiSiteB1_C_FV_e1c3a244dc3d4f149ecdf7d748811086_33">#REF!</definedName>
    <definedName name="_vena_MultiSiteS1_MultiSiteB1_C_FV_e1c3a244dc3d4f149ecdf7d748811086_34" localSheetId="4">#REF!</definedName>
    <definedName name="_vena_MultiSiteS1_MultiSiteB1_C_FV_e1c3a244dc3d4f149ecdf7d748811086_34" localSheetId="5">#REF!</definedName>
    <definedName name="_vena_MultiSiteS1_MultiSiteB1_C_FV_e1c3a244dc3d4f149ecdf7d748811086_34" localSheetId="8">'[1]FY26 MYP-Multisite'!#REF!</definedName>
    <definedName name="_vena_MultiSiteS1_MultiSiteB1_C_FV_e1c3a244dc3d4f149ecdf7d748811086_34" localSheetId="3">#REF!</definedName>
    <definedName name="_vena_MultiSiteS1_MultiSiteB1_C_FV_e1c3a244dc3d4f149ecdf7d748811086_34">#REF!</definedName>
    <definedName name="_vena_MultiSiteS1_MultiSiteB1_C_FV_e1c3a244dc3d4f149ecdf7d748811086_35" localSheetId="4">#REF!</definedName>
    <definedName name="_vena_MultiSiteS1_MultiSiteB1_C_FV_e1c3a244dc3d4f149ecdf7d748811086_35" localSheetId="5">#REF!</definedName>
    <definedName name="_vena_MultiSiteS1_MultiSiteB1_C_FV_e1c3a244dc3d4f149ecdf7d748811086_35" localSheetId="8">'[1]FY26 MYP-Multisite'!#REF!</definedName>
    <definedName name="_vena_MultiSiteS1_MultiSiteB1_C_FV_e1c3a244dc3d4f149ecdf7d748811086_35" localSheetId="3">#REF!</definedName>
    <definedName name="_vena_MultiSiteS1_MultiSiteB1_C_FV_e1c3a244dc3d4f149ecdf7d748811086_35">#REF!</definedName>
    <definedName name="_vena_MultiSiteS1_MultiSiteB1_C_FV_e1c3a244dc3d4f149ecdf7d748811086_36" localSheetId="4">#REF!</definedName>
    <definedName name="_vena_MultiSiteS1_MultiSiteB1_C_FV_e1c3a244dc3d4f149ecdf7d748811086_36" localSheetId="5">#REF!</definedName>
    <definedName name="_vena_MultiSiteS1_MultiSiteB1_C_FV_e1c3a244dc3d4f149ecdf7d748811086_36" localSheetId="8">'[1]FY26 MYP-Multisite'!#REF!</definedName>
    <definedName name="_vena_MultiSiteS1_MultiSiteB1_C_FV_e1c3a244dc3d4f149ecdf7d748811086_36" localSheetId="3">#REF!</definedName>
    <definedName name="_vena_MultiSiteS1_MultiSiteB1_C_FV_e1c3a244dc3d4f149ecdf7d748811086_36">#REF!</definedName>
    <definedName name="_vena_MultiSiteS1_MultiSiteB1_C_FV_e1c3a244dc3d4f149ecdf7d748811086_37" localSheetId="4">#REF!</definedName>
    <definedName name="_vena_MultiSiteS1_MultiSiteB1_C_FV_e1c3a244dc3d4f149ecdf7d748811086_37" localSheetId="5">#REF!</definedName>
    <definedName name="_vena_MultiSiteS1_MultiSiteB1_C_FV_e1c3a244dc3d4f149ecdf7d748811086_37" localSheetId="8">'[1]FY26 MYP-Multisite'!#REF!</definedName>
    <definedName name="_vena_MultiSiteS1_MultiSiteB1_C_FV_e1c3a244dc3d4f149ecdf7d748811086_37" localSheetId="3">#REF!</definedName>
    <definedName name="_vena_MultiSiteS1_MultiSiteB1_C_FV_e1c3a244dc3d4f149ecdf7d748811086_37">#REF!</definedName>
    <definedName name="_vena_MultiSiteS1_MultiSiteB1_C_FV_e1c3a244dc3d4f149ecdf7d748811086_38" localSheetId="4">#REF!</definedName>
    <definedName name="_vena_MultiSiteS1_MultiSiteB1_C_FV_e1c3a244dc3d4f149ecdf7d748811086_38" localSheetId="5">#REF!</definedName>
    <definedName name="_vena_MultiSiteS1_MultiSiteB1_C_FV_e1c3a244dc3d4f149ecdf7d748811086_38" localSheetId="8">'[1]FY26 MYP-Multisite'!#REF!</definedName>
    <definedName name="_vena_MultiSiteS1_MultiSiteB1_C_FV_e1c3a244dc3d4f149ecdf7d748811086_38" localSheetId="3">#REF!</definedName>
    <definedName name="_vena_MultiSiteS1_MultiSiteB1_C_FV_e1c3a244dc3d4f149ecdf7d748811086_38">#REF!</definedName>
    <definedName name="_vena_MultiSiteS1_MultiSiteB1_C_FV_e1c3a244dc3d4f149ecdf7d748811086_39" localSheetId="4">#REF!</definedName>
    <definedName name="_vena_MultiSiteS1_MultiSiteB1_C_FV_e1c3a244dc3d4f149ecdf7d748811086_39" localSheetId="5">#REF!</definedName>
    <definedName name="_vena_MultiSiteS1_MultiSiteB1_C_FV_e1c3a244dc3d4f149ecdf7d748811086_39" localSheetId="8">'[1]FY26 MYP-Multisite'!#REF!</definedName>
    <definedName name="_vena_MultiSiteS1_MultiSiteB1_C_FV_e1c3a244dc3d4f149ecdf7d748811086_39" localSheetId="3">#REF!</definedName>
    <definedName name="_vena_MultiSiteS1_MultiSiteB1_C_FV_e1c3a244dc3d4f149ecdf7d748811086_39">#REF!</definedName>
    <definedName name="_vena_MultiSiteS1_MultiSiteB1_C_FV_e1c3a244dc3d4f149ecdf7d748811086_4" localSheetId="4">#REF!</definedName>
    <definedName name="_vena_MultiSiteS1_MultiSiteB1_C_FV_e1c3a244dc3d4f149ecdf7d748811086_4" localSheetId="5">#REF!</definedName>
    <definedName name="_vena_MultiSiteS1_MultiSiteB1_C_FV_e1c3a244dc3d4f149ecdf7d748811086_4" localSheetId="8">'[1]FY26 MYP-Multisite'!#REF!</definedName>
    <definedName name="_vena_MultiSiteS1_MultiSiteB1_C_FV_e1c3a244dc3d4f149ecdf7d748811086_4" localSheetId="3">#REF!</definedName>
    <definedName name="_vena_MultiSiteS1_MultiSiteB1_C_FV_e1c3a244dc3d4f149ecdf7d748811086_4">#REF!</definedName>
    <definedName name="_vena_MultiSiteS1_MultiSiteB1_C_FV_e1c3a244dc3d4f149ecdf7d748811086_40" localSheetId="4">#REF!</definedName>
    <definedName name="_vena_MultiSiteS1_MultiSiteB1_C_FV_e1c3a244dc3d4f149ecdf7d748811086_40" localSheetId="5">#REF!</definedName>
    <definedName name="_vena_MultiSiteS1_MultiSiteB1_C_FV_e1c3a244dc3d4f149ecdf7d748811086_40" localSheetId="8">'[1]FY26 MYP-Multisite'!#REF!</definedName>
    <definedName name="_vena_MultiSiteS1_MultiSiteB1_C_FV_e1c3a244dc3d4f149ecdf7d748811086_40" localSheetId="3">#REF!</definedName>
    <definedName name="_vena_MultiSiteS1_MultiSiteB1_C_FV_e1c3a244dc3d4f149ecdf7d748811086_40">#REF!</definedName>
    <definedName name="_vena_MultiSiteS1_MultiSiteB1_C_FV_e1c3a244dc3d4f149ecdf7d748811086_41" localSheetId="4">#REF!</definedName>
    <definedName name="_vena_MultiSiteS1_MultiSiteB1_C_FV_e1c3a244dc3d4f149ecdf7d748811086_41" localSheetId="5">#REF!</definedName>
    <definedName name="_vena_MultiSiteS1_MultiSiteB1_C_FV_e1c3a244dc3d4f149ecdf7d748811086_41" localSheetId="8">'[1]FY26 MYP-Multisite'!#REF!</definedName>
    <definedName name="_vena_MultiSiteS1_MultiSiteB1_C_FV_e1c3a244dc3d4f149ecdf7d748811086_41" localSheetId="3">#REF!</definedName>
    <definedName name="_vena_MultiSiteS1_MultiSiteB1_C_FV_e1c3a244dc3d4f149ecdf7d748811086_41">#REF!</definedName>
    <definedName name="_vena_MultiSiteS1_MultiSiteB1_C_FV_e1c3a244dc3d4f149ecdf7d748811086_42" localSheetId="4">#REF!</definedName>
    <definedName name="_vena_MultiSiteS1_MultiSiteB1_C_FV_e1c3a244dc3d4f149ecdf7d748811086_42" localSheetId="5">#REF!</definedName>
    <definedName name="_vena_MultiSiteS1_MultiSiteB1_C_FV_e1c3a244dc3d4f149ecdf7d748811086_42" localSheetId="8">'[1]FY26 MYP-Multisite'!#REF!</definedName>
    <definedName name="_vena_MultiSiteS1_MultiSiteB1_C_FV_e1c3a244dc3d4f149ecdf7d748811086_42" localSheetId="3">#REF!</definedName>
    <definedName name="_vena_MultiSiteS1_MultiSiteB1_C_FV_e1c3a244dc3d4f149ecdf7d748811086_42">#REF!</definedName>
    <definedName name="_vena_MultiSiteS1_MultiSiteB1_C_FV_e1c3a244dc3d4f149ecdf7d748811086_43" localSheetId="4">#REF!</definedName>
    <definedName name="_vena_MultiSiteS1_MultiSiteB1_C_FV_e1c3a244dc3d4f149ecdf7d748811086_43" localSheetId="5">#REF!</definedName>
    <definedName name="_vena_MultiSiteS1_MultiSiteB1_C_FV_e1c3a244dc3d4f149ecdf7d748811086_43" localSheetId="8">'[1]FY26 MYP-Multisite'!#REF!</definedName>
    <definedName name="_vena_MultiSiteS1_MultiSiteB1_C_FV_e1c3a244dc3d4f149ecdf7d748811086_43" localSheetId="3">#REF!</definedName>
    <definedName name="_vena_MultiSiteS1_MultiSiteB1_C_FV_e1c3a244dc3d4f149ecdf7d748811086_43">#REF!</definedName>
    <definedName name="_vena_MultiSiteS1_MultiSiteB1_C_FV_e1c3a244dc3d4f149ecdf7d748811086_44" localSheetId="4">#REF!</definedName>
    <definedName name="_vena_MultiSiteS1_MultiSiteB1_C_FV_e1c3a244dc3d4f149ecdf7d748811086_44" localSheetId="5">#REF!</definedName>
    <definedName name="_vena_MultiSiteS1_MultiSiteB1_C_FV_e1c3a244dc3d4f149ecdf7d748811086_44" localSheetId="8">'[1]FY26 MYP-Multisite'!#REF!</definedName>
    <definedName name="_vena_MultiSiteS1_MultiSiteB1_C_FV_e1c3a244dc3d4f149ecdf7d748811086_44" localSheetId="3">#REF!</definedName>
    <definedName name="_vena_MultiSiteS1_MultiSiteB1_C_FV_e1c3a244dc3d4f149ecdf7d748811086_44">#REF!</definedName>
    <definedName name="_vena_MultiSiteS1_MultiSiteB1_C_FV_e1c3a244dc3d4f149ecdf7d748811086_45" localSheetId="4">#REF!</definedName>
    <definedName name="_vena_MultiSiteS1_MultiSiteB1_C_FV_e1c3a244dc3d4f149ecdf7d748811086_45" localSheetId="5">#REF!</definedName>
    <definedName name="_vena_MultiSiteS1_MultiSiteB1_C_FV_e1c3a244dc3d4f149ecdf7d748811086_45" localSheetId="8">'[1]FY26 MYP-Multisite'!#REF!</definedName>
    <definedName name="_vena_MultiSiteS1_MultiSiteB1_C_FV_e1c3a244dc3d4f149ecdf7d748811086_45" localSheetId="3">#REF!</definedName>
    <definedName name="_vena_MultiSiteS1_MultiSiteB1_C_FV_e1c3a244dc3d4f149ecdf7d748811086_45">#REF!</definedName>
    <definedName name="_vena_MultiSiteS1_MultiSiteB1_C_FV_e1c3a244dc3d4f149ecdf7d748811086_46" localSheetId="4">#REF!</definedName>
    <definedName name="_vena_MultiSiteS1_MultiSiteB1_C_FV_e1c3a244dc3d4f149ecdf7d748811086_46" localSheetId="5">#REF!</definedName>
    <definedName name="_vena_MultiSiteS1_MultiSiteB1_C_FV_e1c3a244dc3d4f149ecdf7d748811086_46" localSheetId="8">'[1]FY26 MYP-Multisite'!#REF!</definedName>
    <definedName name="_vena_MultiSiteS1_MultiSiteB1_C_FV_e1c3a244dc3d4f149ecdf7d748811086_46" localSheetId="3">#REF!</definedName>
    <definedName name="_vena_MultiSiteS1_MultiSiteB1_C_FV_e1c3a244dc3d4f149ecdf7d748811086_46">#REF!</definedName>
    <definedName name="_vena_MultiSiteS1_MultiSiteB1_C_FV_e1c3a244dc3d4f149ecdf7d748811086_47" localSheetId="4">#REF!</definedName>
    <definedName name="_vena_MultiSiteS1_MultiSiteB1_C_FV_e1c3a244dc3d4f149ecdf7d748811086_47" localSheetId="5">#REF!</definedName>
    <definedName name="_vena_MultiSiteS1_MultiSiteB1_C_FV_e1c3a244dc3d4f149ecdf7d748811086_47" localSheetId="8">'[1]FY26 MYP-Multisite'!#REF!</definedName>
    <definedName name="_vena_MultiSiteS1_MultiSiteB1_C_FV_e1c3a244dc3d4f149ecdf7d748811086_47" localSheetId="3">#REF!</definedName>
    <definedName name="_vena_MultiSiteS1_MultiSiteB1_C_FV_e1c3a244dc3d4f149ecdf7d748811086_47">#REF!</definedName>
    <definedName name="_vena_MultiSiteS1_MultiSiteB1_C_FV_e1c3a244dc3d4f149ecdf7d748811086_48" localSheetId="4">#REF!</definedName>
    <definedName name="_vena_MultiSiteS1_MultiSiteB1_C_FV_e1c3a244dc3d4f149ecdf7d748811086_48" localSheetId="5">#REF!</definedName>
    <definedName name="_vena_MultiSiteS1_MultiSiteB1_C_FV_e1c3a244dc3d4f149ecdf7d748811086_48" localSheetId="8">'[1]FY26 MYP-Multisite'!#REF!</definedName>
    <definedName name="_vena_MultiSiteS1_MultiSiteB1_C_FV_e1c3a244dc3d4f149ecdf7d748811086_48" localSheetId="3">#REF!</definedName>
    <definedName name="_vena_MultiSiteS1_MultiSiteB1_C_FV_e1c3a244dc3d4f149ecdf7d748811086_48">#REF!</definedName>
    <definedName name="_vena_MultiSiteS1_MultiSiteB1_C_FV_e1c3a244dc3d4f149ecdf7d748811086_49" localSheetId="4">#REF!</definedName>
    <definedName name="_vena_MultiSiteS1_MultiSiteB1_C_FV_e1c3a244dc3d4f149ecdf7d748811086_49" localSheetId="5">#REF!</definedName>
    <definedName name="_vena_MultiSiteS1_MultiSiteB1_C_FV_e1c3a244dc3d4f149ecdf7d748811086_49" localSheetId="8">'[1]FY26 MYP-Multisite'!#REF!</definedName>
    <definedName name="_vena_MultiSiteS1_MultiSiteB1_C_FV_e1c3a244dc3d4f149ecdf7d748811086_49" localSheetId="3">#REF!</definedName>
    <definedName name="_vena_MultiSiteS1_MultiSiteB1_C_FV_e1c3a244dc3d4f149ecdf7d748811086_49">#REF!</definedName>
    <definedName name="_vena_MultiSiteS1_MultiSiteB1_C_FV_e1c3a244dc3d4f149ecdf7d748811086_5" localSheetId="4">#REF!</definedName>
    <definedName name="_vena_MultiSiteS1_MultiSiteB1_C_FV_e1c3a244dc3d4f149ecdf7d748811086_5" localSheetId="5">#REF!</definedName>
    <definedName name="_vena_MultiSiteS1_MultiSiteB1_C_FV_e1c3a244dc3d4f149ecdf7d748811086_5" localSheetId="8">'[1]FY26 MYP-Multisite'!#REF!</definedName>
    <definedName name="_vena_MultiSiteS1_MultiSiteB1_C_FV_e1c3a244dc3d4f149ecdf7d748811086_5" localSheetId="3">#REF!</definedName>
    <definedName name="_vena_MultiSiteS1_MultiSiteB1_C_FV_e1c3a244dc3d4f149ecdf7d748811086_5">#REF!</definedName>
    <definedName name="_vena_MultiSiteS1_MultiSiteB1_C_FV_e1c3a244dc3d4f149ecdf7d748811086_50" localSheetId="4">#REF!</definedName>
    <definedName name="_vena_MultiSiteS1_MultiSiteB1_C_FV_e1c3a244dc3d4f149ecdf7d748811086_50" localSheetId="5">#REF!</definedName>
    <definedName name="_vena_MultiSiteS1_MultiSiteB1_C_FV_e1c3a244dc3d4f149ecdf7d748811086_50" localSheetId="8">'[1]FY26 MYP-Multisite'!#REF!</definedName>
    <definedName name="_vena_MultiSiteS1_MultiSiteB1_C_FV_e1c3a244dc3d4f149ecdf7d748811086_50" localSheetId="3">#REF!</definedName>
    <definedName name="_vena_MultiSiteS1_MultiSiteB1_C_FV_e1c3a244dc3d4f149ecdf7d748811086_50">#REF!</definedName>
    <definedName name="_vena_MultiSiteS1_MultiSiteB1_C_FV_e1c3a244dc3d4f149ecdf7d748811086_51" localSheetId="4">#REF!</definedName>
    <definedName name="_vena_MultiSiteS1_MultiSiteB1_C_FV_e1c3a244dc3d4f149ecdf7d748811086_51" localSheetId="5">#REF!</definedName>
    <definedName name="_vena_MultiSiteS1_MultiSiteB1_C_FV_e1c3a244dc3d4f149ecdf7d748811086_51" localSheetId="8">'[1]FY26 MYP-Multisite'!#REF!</definedName>
    <definedName name="_vena_MultiSiteS1_MultiSiteB1_C_FV_e1c3a244dc3d4f149ecdf7d748811086_51" localSheetId="3">#REF!</definedName>
    <definedName name="_vena_MultiSiteS1_MultiSiteB1_C_FV_e1c3a244dc3d4f149ecdf7d748811086_51">#REF!</definedName>
    <definedName name="_vena_MultiSiteS1_MultiSiteB1_C_FV_e1c3a244dc3d4f149ecdf7d748811086_52" localSheetId="4">#REF!</definedName>
    <definedName name="_vena_MultiSiteS1_MultiSiteB1_C_FV_e1c3a244dc3d4f149ecdf7d748811086_52" localSheetId="5">#REF!</definedName>
    <definedName name="_vena_MultiSiteS1_MultiSiteB1_C_FV_e1c3a244dc3d4f149ecdf7d748811086_52" localSheetId="8">'[1]FY26 MYP-Multisite'!#REF!</definedName>
    <definedName name="_vena_MultiSiteS1_MultiSiteB1_C_FV_e1c3a244dc3d4f149ecdf7d748811086_52" localSheetId="3">#REF!</definedName>
    <definedName name="_vena_MultiSiteS1_MultiSiteB1_C_FV_e1c3a244dc3d4f149ecdf7d748811086_52">#REF!</definedName>
    <definedName name="_vena_MultiSiteS1_MultiSiteB1_C_FV_e1c3a244dc3d4f149ecdf7d748811086_53" localSheetId="4">#REF!</definedName>
    <definedName name="_vena_MultiSiteS1_MultiSiteB1_C_FV_e1c3a244dc3d4f149ecdf7d748811086_53" localSheetId="5">#REF!</definedName>
    <definedName name="_vena_MultiSiteS1_MultiSiteB1_C_FV_e1c3a244dc3d4f149ecdf7d748811086_53" localSheetId="8">'[1]FY26 MYP-Multisite'!#REF!</definedName>
    <definedName name="_vena_MultiSiteS1_MultiSiteB1_C_FV_e1c3a244dc3d4f149ecdf7d748811086_53" localSheetId="3">#REF!</definedName>
    <definedName name="_vena_MultiSiteS1_MultiSiteB1_C_FV_e1c3a244dc3d4f149ecdf7d748811086_53">#REF!</definedName>
    <definedName name="_vena_MultiSiteS1_MultiSiteB1_C_FV_e1c3a244dc3d4f149ecdf7d748811086_54" localSheetId="4">#REF!</definedName>
    <definedName name="_vena_MultiSiteS1_MultiSiteB1_C_FV_e1c3a244dc3d4f149ecdf7d748811086_54" localSheetId="5">#REF!</definedName>
    <definedName name="_vena_MultiSiteS1_MultiSiteB1_C_FV_e1c3a244dc3d4f149ecdf7d748811086_54" localSheetId="8">'[1]FY26 MYP-Multisite'!#REF!</definedName>
    <definedName name="_vena_MultiSiteS1_MultiSiteB1_C_FV_e1c3a244dc3d4f149ecdf7d748811086_54" localSheetId="3">#REF!</definedName>
    <definedName name="_vena_MultiSiteS1_MultiSiteB1_C_FV_e1c3a244dc3d4f149ecdf7d748811086_54">#REF!</definedName>
    <definedName name="_vena_MultiSiteS1_MultiSiteB1_C_FV_e1c3a244dc3d4f149ecdf7d748811086_55" localSheetId="4">#REF!</definedName>
    <definedName name="_vena_MultiSiteS1_MultiSiteB1_C_FV_e1c3a244dc3d4f149ecdf7d748811086_55" localSheetId="5">#REF!</definedName>
    <definedName name="_vena_MultiSiteS1_MultiSiteB1_C_FV_e1c3a244dc3d4f149ecdf7d748811086_55" localSheetId="8">'[1]FY26 MYP-Multisite'!#REF!</definedName>
    <definedName name="_vena_MultiSiteS1_MultiSiteB1_C_FV_e1c3a244dc3d4f149ecdf7d748811086_55" localSheetId="3">#REF!</definedName>
    <definedName name="_vena_MultiSiteS1_MultiSiteB1_C_FV_e1c3a244dc3d4f149ecdf7d748811086_55">#REF!</definedName>
    <definedName name="_vena_MultiSiteS1_MultiSiteB1_C_FV_e1c3a244dc3d4f149ecdf7d748811086_56" localSheetId="4">#REF!</definedName>
    <definedName name="_vena_MultiSiteS1_MultiSiteB1_C_FV_e1c3a244dc3d4f149ecdf7d748811086_56" localSheetId="5">#REF!</definedName>
    <definedName name="_vena_MultiSiteS1_MultiSiteB1_C_FV_e1c3a244dc3d4f149ecdf7d748811086_56" localSheetId="8">'[1]FY26 MYP-Multisite'!#REF!</definedName>
    <definedName name="_vena_MultiSiteS1_MultiSiteB1_C_FV_e1c3a244dc3d4f149ecdf7d748811086_56" localSheetId="3">#REF!</definedName>
    <definedName name="_vena_MultiSiteS1_MultiSiteB1_C_FV_e1c3a244dc3d4f149ecdf7d748811086_56">#REF!</definedName>
    <definedName name="_vena_MultiSiteS1_MultiSiteB1_C_FV_e1c3a244dc3d4f149ecdf7d748811086_57" localSheetId="4">#REF!</definedName>
    <definedName name="_vena_MultiSiteS1_MultiSiteB1_C_FV_e1c3a244dc3d4f149ecdf7d748811086_57" localSheetId="5">#REF!</definedName>
    <definedName name="_vena_MultiSiteS1_MultiSiteB1_C_FV_e1c3a244dc3d4f149ecdf7d748811086_57" localSheetId="8">'[1]FY26 MYP-Multisite'!#REF!</definedName>
    <definedName name="_vena_MultiSiteS1_MultiSiteB1_C_FV_e1c3a244dc3d4f149ecdf7d748811086_57" localSheetId="3">#REF!</definedName>
    <definedName name="_vena_MultiSiteS1_MultiSiteB1_C_FV_e1c3a244dc3d4f149ecdf7d748811086_57">#REF!</definedName>
    <definedName name="_vena_MultiSiteS1_MultiSiteB1_C_FV_e1c3a244dc3d4f149ecdf7d748811086_58" localSheetId="4">#REF!</definedName>
    <definedName name="_vena_MultiSiteS1_MultiSiteB1_C_FV_e1c3a244dc3d4f149ecdf7d748811086_58" localSheetId="5">#REF!</definedName>
    <definedName name="_vena_MultiSiteS1_MultiSiteB1_C_FV_e1c3a244dc3d4f149ecdf7d748811086_58" localSheetId="8">'[1]FY26 MYP-Multisite'!#REF!</definedName>
    <definedName name="_vena_MultiSiteS1_MultiSiteB1_C_FV_e1c3a244dc3d4f149ecdf7d748811086_58" localSheetId="3">#REF!</definedName>
    <definedName name="_vena_MultiSiteS1_MultiSiteB1_C_FV_e1c3a244dc3d4f149ecdf7d748811086_58">#REF!</definedName>
    <definedName name="_vena_MultiSiteS1_MultiSiteB1_C_FV_e1c3a244dc3d4f149ecdf7d748811086_59" localSheetId="4">#REF!</definedName>
    <definedName name="_vena_MultiSiteS1_MultiSiteB1_C_FV_e1c3a244dc3d4f149ecdf7d748811086_59" localSheetId="5">#REF!</definedName>
    <definedName name="_vena_MultiSiteS1_MultiSiteB1_C_FV_e1c3a244dc3d4f149ecdf7d748811086_59" localSheetId="8">'[1]FY26 MYP-Multisite'!#REF!</definedName>
    <definedName name="_vena_MultiSiteS1_MultiSiteB1_C_FV_e1c3a244dc3d4f149ecdf7d748811086_59" localSheetId="3">#REF!</definedName>
    <definedName name="_vena_MultiSiteS1_MultiSiteB1_C_FV_e1c3a244dc3d4f149ecdf7d748811086_59">#REF!</definedName>
    <definedName name="_vena_MultiSiteS1_MultiSiteB1_C_FV_e1c3a244dc3d4f149ecdf7d748811086_6" localSheetId="4">#REF!</definedName>
    <definedName name="_vena_MultiSiteS1_MultiSiteB1_C_FV_e1c3a244dc3d4f149ecdf7d748811086_6" localSheetId="5">#REF!</definedName>
    <definedName name="_vena_MultiSiteS1_MultiSiteB1_C_FV_e1c3a244dc3d4f149ecdf7d748811086_6" localSheetId="8">'[1]FY26 MYP-Multisite'!#REF!</definedName>
    <definedName name="_vena_MultiSiteS1_MultiSiteB1_C_FV_e1c3a244dc3d4f149ecdf7d748811086_6" localSheetId="3">#REF!</definedName>
    <definedName name="_vena_MultiSiteS1_MultiSiteB1_C_FV_e1c3a244dc3d4f149ecdf7d748811086_6">#REF!</definedName>
    <definedName name="_vena_MultiSiteS1_MultiSiteB1_C_FV_e1c3a244dc3d4f149ecdf7d748811086_60" localSheetId="4">#REF!</definedName>
    <definedName name="_vena_MultiSiteS1_MultiSiteB1_C_FV_e1c3a244dc3d4f149ecdf7d748811086_60" localSheetId="5">#REF!</definedName>
    <definedName name="_vena_MultiSiteS1_MultiSiteB1_C_FV_e1c3a244dc3d4f149ecdf7d748811086_60" localSheetId="8">'[1]FY26 MYP-Multisite'!#REF!</definedName>
    <definedName name="_vena_MultiSiteS1_MultiSiteB1_C_FV_e1c3a244dc3d4f149ecdf7d748811086_60" localSheetId="3">#REF!</definedName>
    <definedName name="_vena_MultiSiteS1_MultiSiteB1_C_FV_e1c3a244dc3d4f149ecdf7d748811086_60">#REF!</definedName>
    <definedName name="_vena_MultiSiteS1_MultiSiteB1_C_FV_e1c3a244dc3d4f149ecdf7d748811086_61" localSheetId="4">#REF!</definedName>
    <definedName name="_vena_MultiSiteS1_MultiSiteB1_C_FV_e1c3a244dc3d4f149ecdf7d748811086_61" localSheetId="5">#REF!</definedName>
    <definedName name="_vena_MultiSiteS1_MultiSiteB1_C_FV_e1c3a244dc3d4f149ecdf7d748811086_61" localSheetId="8">'[1]FY26 MYP-Multisite'!#REF!</definedName>
    <definedName name="_vena_MultiSiteS1_MultiSiteB1_C_FV_e1c3a244dc3d4f149ecdf7d748811086_61" localSheetId="3">#REF!</definedName>
    <definedName name="_vena_MultiSiteS1_MultiSiteB1_C_FV_e1c3a244dc3d4f149ecdf7d748811086_61">#REF!</definedName>
    <definedName name="_vena_MultiSiteS1_MultiSiteB1_C_FV_e1c3a244dc3d4f149ecdf7d748811086_62" localSheetId="4">#REF!</definedName>
    <definedName name="_vena_MultiSiteS1_MultiSiteB1_C_FV_e1c3a244dc3d4f149ecdf7d748811086_62" localSheetId="5">#REF!</definedName>
    <definedName name="_vena_MultiSiteS1_MultiSiteB1_C_FV_e1c3a244dc3d4f149ecdf7d748811086_62" localSheetId="8">'[1]FY26 MYP-Multisite'!#REF!</definedName>
    <definedName name="_vena_MultiSiteS1_MultiSiteB1_C_FV_e1c3a244dc3d4f149ecdf7d748811086_62" localSheetId="3">#REF!</definedName>
    <definedName name="_vena_MultiSiteS1_MultiSiteB1_C_FV_e1c3a244dc3d4f149ecdf7d748811086_62">#REF!</definedName>
    <definedName name="_vena_MultiSiteS1_MultiSiteB1_C_FV_e1c3a244dc3d4f149ecdf7d748811086_63" localSheetId="4">#REF!</definedName>
    <definedName name="_vena_MultiSiteS1_MultiSiteB1_C_FV_e1c3a244dc3d4f149ecdf7d748811086_63" localSheetId="5">#REF!</definedName>
    <definedName name="_vena_MultiSiteS1_MultiSiteB1_C_FV_e1c3a244dc3d4f149ecdf7d748811086_63" localSheetId="8">'[1]FY26 MYP-Multisite'!#REF!</definedName>
    <definedName name="_vena_MultiSiteS1_MultiSiteB1_C_FV_e1c3a244dc3d4f149ecdf7d748811086_63" localSheetId="3">#REF!</definedName>
    <definedName name="_vena_MultiSiteS1_MultiSiteB1_C_FV_e1c3a244dc3d4f149ecdf7d748811086_63">#REF!</definedName>
    <definedName name="_vena_MultiSiteS1_MultiSiteB1_C_FV_e1c3a244dc3d4f149ecdf7d748811086_64" localSheetId="4">#REF!</definedName>
    <definedName name="_vena_MultiSiteS1_MultiSiteB1_C_FV_e1c3a244dc3d4f149ecdf7d748811086_64" localSheetId="5">#REF!</definedName>
    <definedName name="_vena_MultiSiteS1_MultiSiteB1_C_FV_e1c3a244dc3d4f149ecdf7d748811086_64" localSheetId="8">'[1]FY26 MYP-Multisite'!#REF!</definedName>
    <definedName name="_vena_MultiSiteS1_MultiSiteB1_C_FV_e1c3a244dc3d4f149ecdf7d748811086_64" localSheetId="3">#REF!</definedName>
    <definedName name="_vena_MultiSiteS1_MultiSiteB1_C_FV_e1c3a244dc3d4f149ecdf7d748811086_64">#REF!</definedName>
    <definedName name="_vena_MultiSiteS1_MultiSiteB1_C_FV_e1c3a244dc3d4f149ecdf7d748811086_65" localSheetId="4">#REF!</definedName>
    <definedName name="_vena_MultiSiteS1_MultiSiteB1_C_FV_e1c3a244dc3d4f149ecdf7d748811086_65" localSheetId="5">#REF!</definedName>
    <definedName name="_vena_MultiSiteS1_MultiSiteB1_C_FV_e1c3a244dc3d4f149ecdf7d748811086_65" localSheetId="8">'[1]FY26 MYP-Multisite'!#REF!</definedName>
    <definedName name="_vena_MultiSiteS1_MultiSiteB1_C_FV_e1c3a244dc3d4f149ecdf7d748811086_65" localSheetId="3">#REF!</definedName>
    <definedName name="_vena_MultiSiteS1_MultiSiteB1_C_FV_e1c3a244dc3d4f149ecdf7d748811086_65">#REF!</definedName>
    <definedName name="_vena_MultiSiteS1_MultiSiteB1_C_FV_e1c3a244dc3d4f149ecdf7d748811086_66" localSheetId="4">#REF!</definedName>
    <definedName name="_vena_MultiSiteS1_MultiSiteB1_C_FV_e1c3a244dc3d4f149ecdf7d748811086_66" localSheetId="5">#REF!</definedName>
    <definedName name="_vena_MultiSiteS1_MultiSiteB1_C_FV_e1c3a244dc3d4f149ecdf7d748811086_66" localSheetId="8">'[1]FY26 MYP-Multisite'!#REF!</definedName>
    <definedName name="_vena_MultiSiteS1_MultiSiteB1_C_FV_e1c3a244dc3d4f149ecdf7d748811086_66" localSheetId="3">#REF!</definedName>
    <definedName name="_vena_MultiSiteS1_MultiSiteB1_C_FV_e1c3a244dc3d4f149ecdf7d748811086_66">#REF!</definedName>
    <definedName name="_vena_MultiSiteS1_MultiSiteB1_C_FV_e1c3a244dc3d4f149ecdf7d748811086_67" localSheetId="4">#REF!</definedName>
    <definedName name="_vena_MultiSiteS1_MultiSiteB1_C_FV_e1c3a244dc3d4f149ecdf7d748811086_67" localSheetId="5">#REF!</definedName>
    <definedName name="_vena_MultiSiteS1_MultiSiteB1_C_FV_e1c3a244dc3d4f149ecdf7d748811086_67" localSheetId="8">'[1]FY26 MYP-Multisite'!#REF!</definedName>
    <definedName name="_vena_MultiSiteS1_MultiSiteB1_C_FV_e1c3a244dc3d4f149ecdf7d748811086_67" localSheetId="3">#REF!</definedName>
    <definedName name="_vena_MultiSiteS1_MultiSiteB1_C_FV_e1c3a244dc3d4f149ecdf7d748811086_67">#REF!</definedName>
    <definedName name="_vena_MultiSiteS1_MultiSiteB1_C_FV_e1c3a244dc3d4f149ecdf7d748811086_68" localSheetId="4">#REF!</definedName>
    <definedName name="_vena_MultiSiteS1_MultiSiteB1_C_FV_e1c3a244dc3d4f149ecdf7d748811086_68" localSheetId="5">#REF!</definedName>
    <definedName name="_vena_MultiSiteS1_MultiSiteB1_C_FV_e1c3a244dc3d4f149ecdf7d748811086_68" localSheetId="8">'[1]FY26 MYP-Multisite'!#REF!</definedName>
    <definedName name="_vena_MultiSiteS1_MultiSiteB1_C_FV_e1c3a244dc3d4f149ecdf7d748811086_68" localSheetId="3">#REF!</definedName>
    <definedName name="_vena_MultiSiteS1_MultiSiteB1_C_FV_e1c3a244dc3d4f149ecdf7d748811086_68">#REF!</definedName>
    <definedName name="_vena_MultiSiteS1_MultiSiteB1_C_FV_e1c3a244dc3d4f149ecdf7d748811086_69" localSheetId="4">#REF!</definedName>
    <definedName name="_vena_MultiSiteS1_MultiSiteB1_C_FV_e1c3a244dc3d4f149ecdf7d748811086_69" localSheetId="5">#REF!</definedName>
    <definedName name="_vena_MultiSiteS1_MultiSiteB1_C_FV_e1c3a244dc3d4f149ecdf7d748811086_69" localSheetId="8">'[1]FY26 MYP-Multisite'!#REF!</definedName>
    <definedName name="_vena_MultiSiteS1_MultiSiteB1_C_FV_e1c3a244dc3d4f149ecdf7d748811086_69" localSheetId="3">#REF!</definedName>
    <definedName name="_vena_MultiSiteS1_MultiSiteB1_C_FV_e1c3a244dc3d4f149ecdf7d748811086_69">#REF!</definedName>
    <definedName name="_vena_MultiSiteS1_MultiSiteB1_C_FV_e1c3a244dc3d4f149ecdf7d748811086_7" localSheetId="4">#REF!</definedName>
    <definedName name="_vena_MultiSiteS1_MultiSiteB1_C_FV_e1c3a244dc3d4f149ecdf7d748811086_7" localSheetId="5">#REF!</definedName>
    <definedName name="_vena_MultiSiteS1_MultiSiteB1_C_FV_e1c3a244dc3d4f149ecdf7d748811086_7" localSheetId="8">'[1]FY26 MYP-Multisite'!#REF!</definedName>
    <definedName name="_vena_MultiSiteS1_MultiSiteB1_C_FV_e1c3a244dc3d4f149ecdf7d748811086_7" localSheetId="3">#REF!</definedName>
    <definedName name="_vena_MultiSiteS1_MultiSiteB1_C_FV_e1c3a244dc3d4f149ecdf7d748811086_7">#REF!</definedName>
    <definedName name="_vena_MultiSiteS1_MultiSiteB1_C_FV_e1c3a244dc3d4f149ecdf7d748811086_70" localSheetId="4">#REF!</definedName>
    <definedName name="_vena_MultiSiteS1_MultiSiteB1_C_FV_e1c3a244dc3d4f149ecdf7d748811086_70" localSheetId="5">#REF!</definedName>
    <definedName name="_vena_MultiSiteS1_MultiSiteB1_C_FV_e1c3a244dc3d4f149ecdf7d748811086_70" localSheetId="8">'[1]FY26 MYP-Multisite'!#REF!</definedName>
    <definedName name="_vena_MultiSiteS1_MultiSiteB1_C_FV_e1c3a244dc3d4f149ecdf7d748811086_70" localSheetId="3">#REF!</definedName>
    <definedName name="_vena_MultiSiteS1_MultiSiteB1_C_FV_e1c3a244dc3d4f149ecdf7d748811086_70">#REF!</definedName>
    <definedName name="_vena_MultiSiteS1_MultiSiteB1_C_FV_e1c3a244dc3d4f149ecdf7d748811086_71" localSheetId="4">#REF!</definedName>
    <definedName name="_vena_MultiSiteS1_MultiSiteB1_C_FV_e1c3a244dc3d4f149ecdf7d748811086_71" localSheetId="5">#REF!</definedName>
    <definedName name="_vena_MultiSiteS1_MultiSiteB1_C_FV_e1c3a244dc3d4f149ecdf7d748811086_71" localSheetId="8">'[1]FY26 MYP-Multisite'!#REF!</definedName>
    <definedName name="_vena_MultiSiteS1_MultiSiteB1_C_FV_e1c3a244dc3d4f149ecdf7d748811086_71" localSheetId="3">#REF!</definedName>
    <definedName name="_vena_MultiSiteS1_MultiSiteB1_C_FV_e1c3a244dc3d4f149ecdf7d748811086_71">#REF!</definedName>
    <definedName name="_vena_MultiSiteS1_MultiSiteB1_C_FV_e1c3a244dc3d4f149ecdf7d748811086_72" localSheetId="4">#REF!</definedName>
    <definedName name="_vena_MultiSiteS1_MultiSiteB1_C_FV_e1c3a244dc3d4f149ecdf7d748811086_72" localSheetId="5">#REF!</definedName>
    <definedName name="_vena_MultiSiteS1_MultiSiteB1_C_FV_e1c3a244dc3d4f149ecdf7d748811086_72" localSheetId="8">'[1]FY26 MYP-Multisite'!#REF!</definedName>
    <definedName name="_vena_MultiSiteS1_MultiSiteB1_C_FV_e1c3a244dc3d4f149ecdf7d748811086_72" localSheetId="3">#REF!</definedName>
    <definedName name="_vena_MultiSiteS1_MultiSiteB1_C_FV_e1c3a244dc3d4f149ecdf7d748811086_72">#REF!</definedName>
    <definedName name="_vena_MultiSiteS1_MultiSiteB1_C_FV_e1c3a244dc3d4f149ecdf7d748811086_73" localSheetId="4">#REF!</definedName>
    <definedName name="_vena_MultiSiteS1_MultiSiteB1_C_FV_e1c3a244dc3d4f149ecdf7d748811086_73" localSheetId="5">#REF!</definedName>
    <definedName name="_vena_MultiSiteS1_MultiSiteB1_C_FV_e1c3a244dc3d4f149ecdf7d748811086_73" localSheetId="8">'[1]FY26 MYP-Multisite'!#REF!</definedName>
    <definedName name="_vena_MultiSiteS1_MultiSiteB1_C_FV_e1c3a244dc3d4f149ecdf7d748811086_73" localSheetId="3">#REF!</definedName>
    <definedName name="_vena_MultiSiteS1_MultiSiteB1_C_FV_e1c3a244dc3d4f149ecdf7d748811086_73">#REF!</definedName>
    <definedName name="_vena_MultiSiteS1_MultiSiteB1_C_FV_e1c3a244dc3d4f149ecdf7d748811086_74" localSheetId="4">#REF!</definedName>
    <definedName name="_vena_MultiSiteS1_MultiSiteB1_C_FV_e1c3a244dc3d4f149ecdf7d748811086_74" localSheetId="5">#REF!</definedName>
    <definedName name="_vena_MultiSiteS1_MultiSiteB1_C_FV_e1c3a244dc3d4f149ecdf7d748811086_74" localSheetId="8">'[1]FY26 MYP-Multisite'!#REF!</definedName>
    <definedName name="_vena_MultiSiteS1_MultiSiteB1_C_FV_e1c3a244dc3d4f149ecdf7d748811086_74" localSheetId="3">#REF!</definedName>
    <definedName name="_vena_MultiSiteS1_MultiSiteB1_C_FV_e1c3a244dc3d4f149ecdf7d748811086_74">#REF!</definedName>
    <definedName name="_vena_MultiSiteS1_MultiSiteB1_C_FV_e1c3a244dc3d4f149ecdf7d748811086_75" localSheetId="4">#REF!</definedName>
    <definedName name="_vena_MultiSiteS1_MultiSiteB1_C_FV_e1c3a244dc3d4f149ecdf7d748811086_75" localSheetId="5">#REF!</definedName>
    <definedName name="_vena_MultiSiteS1_MultiSiteB1_C_FV_e1c3a244dc3d4f149ecdf7d748811086_75" localSheetId="8">'[1]FY26 MYP-Multisite'!#REF!</definedName>
    <definedName name="_vena_MultiSiteS1_MultiSiteB1_C_FV_e1c3a244dc3d4f149ecdf7d748811086_75" localSheetId="3">#REF!</definedName>
    <definedName name="_vena_MultiSiteS1_MultiSiteB1_C_FV_e1c3a244dc3d4f149ecdf7d748811086_75">#REF!</definedName>
    <definedName name="_vena_MultiSiteS1_MultiSiteB1_C_FV_e1c3a244dc3d4f149ecdf7d748811086_76" localSheetId="4">#REF!</definedName>
    <definedName name="_vena_MultiSiteS1_MultiSiteB1_C_FV_e1c3a244dc3d4f149ecdf7d748811086_76" localSheetId="5">#REF!</definedName>
    <definedName name="_vena_MultiSiteS1_MultiSiteB1_C_FV_e1c3a244dc3d4f149ecdf7d748811086_76" localSheetId="8">'[1]FY26 MYP-Multisite'!#REF!</definedName>
    <definedName name="_vena_MultiSiteS1_MultiSiteB1_C_FV_e1c3a244dc3d4f149ecdf7d748811086_76" localSheetId="3">#REF!</definedName>
    <definedName name="_vena_MultiSiteS1_MultiSiteB1_C_FV_e1c3a244dc3d4f149ecdf7d748811086_76">#REF!</definedName>
    <definedName name="_vena_MultiSiteS1_MultiSiteB1_C_FV_e1c3a244dc3d4f149ecdf7d748811086_77" localSheetId="4">#REF!</definedName>
    <definedName name="_vena_MultiSiteS1_MultiSiteB1_C_FV_e1c3a244dc3d4f149ecdf7d748811086_77" localSheetId="5">#REF!</definedName>
    <definedName name="_vena_MultiSiteS1_MultiSiteB1_C_FV_e1c3a244dc3d4f149ecdf7d748811086_77" localSheetId="8">'[1]FY26 MYP-Multisite'!#REF!</definedName>
    <definedName name="_vena_MultiSiteS1_MultiSiteB1_C_FV_e1c3a244dc3d4f149ecdf7d748811086_77" localSheetId="3">#REF!</definedName>
    <definedName name="_vena_MultiSiteS1_MultiSiteB1_C_FV_e1c3a244dc3d4f149ecdf7d748811086_77">#REF!</definedName>
    <definedName name="_vena_MultiSiteS1_MultiSiteB1_C_FV_e1c3a244dc3d4f149ecdf7d748811086_78" localSheetId="4">#REF!</definedName>
    <definedName name="_vena_MultiSiteS1_MultiSiteB1_C_FV_e1c3a244dc3d4f149ecdf7d748811086_78" localSheetId="5">#REF!</definedName>
    <definedName name="_vena_MultiSiteS1_MultiSiteB1_C_FV_e1c3a244dc3d4f149ecdf7d748811086_78" localSheetId="8">'[1]FY26 MYP-Multisite'!#REF!</definedName>
    <definedName name="_vena_MultiSiteS1_MultiSiteB1_C_FV_e1c3a244dc3d4f149ecdf7d748811086_78" localSheetId="3">#REF!</definedName>
    <definedName name="_vena_MultiSiteS1_MultiSiteB1_C_FV_e1c3a244dc3d4f149ecdf7d748811086_78">#REF!</definedName>
    <definedName name="_vena_MultiSiteS1_MultiSiteB1_C_FV_e1c3a244dc3d4f149ecdf7d748811086_79" localSheetId="4">#REF!</definedName>
    <definedName name="_vena_MultiSiteS1_MultiSiteB1_C_FV_e1c3a244dc3d4f149ecdf7d748811086_79" localSheetId="5">#REF!</definedName>
    <definedName name="_vena_MultiSiteS1_MultiSiteB1_C_FV_e1c3a244dc3d4f149ecdf7d748811086_79" localSheetId="8">'[1]FY26 MYP-Multisite'!#REF!</definedName>
    <definedName name="_vena_MultiSiteS1_MultiSiteB1_C_FV_e1c3a244dc3d4f149ecdf7d748811086_79" localSheetId="3">#REF!</definedName>
    <definedName name="_vena_MultiSiteS1_MultiSiteB1_C_FV_e1c3a244dc3d4f149ecdf7d748811086_79">#REF!</definedName>
    <definedName name="_vena_MultiSiteS1_MultiSiteB1_C_FV_e1c3a244dc3d4f149ecdf7d748811086_8">#REF!</definedName>
    <definedName name="_vena_MultiSiteS1_MultiSiteB1_C_FV_e1c3a244dc3d4f149ecdf7d748811086_80" localSheetId="4">#REF!</definedName>
    <definedName name="_vena_MultiSiteS1_MultiSiteB1_C_FV_e1c3a244dc3d4f149ecdf7d748811086_80" localSheetId="5">#REF!</definedName>
    <definedName name="_vena_MultiSiteS1_MultiSiteB1_C_FV_e1c3a244dc3d4f149ecdf7d748811086_80" localSheetId="8">'[1]FY26 MYP-Multisite'!#REF!</definedName>
    <definedName name="_vena_MultiSiteS1_MultiSiteB1_C_FV_e1c3a244dc3d4f149ecdf7d748811086_80" localSheetId="3">#REF!</definedName>
    <definedName name="_vena_MultiSiteS1_MultiSiteB1_C_FV_e1c3a244dc3d4f149ecdf7d748811086_80">#REF!</definedName>
    <definedName name="_vena_MultiSiteS1_MultiSiteB1_C_FV_e1c3a244dc3d4f149ecdf7d748811086_81" localSheetId="4">#REF!</definedName>
    <definedName name="_vena_MultiSiteS1_MultiSiteB1_C_FV_e1c3a244dc3d4f149ecdf7d748811086_81" localSheetId="5">#REF!</definedName>
    <definedName name="_vena_MultiSiteS1_MultiSiteB1_C_FV_e1c3a244dc3d4f149ecdf7d748811086_81" localSheetId="8">'[1]FY26 MYP-Multisite'!#REF!</definedName>
    <definedName name="_vena_MultiSiteS1_MultiSiteB1_C_FV_e1c3a244dc3d4f149ecdf7d748811086_81" localSheetId="3">#REF!</definedName>
    <definedName name="_vena_MultiSiteS1_MultiSiteB1_C_FV_e1c3a244dc3d4f149ecdf7d748811086_81">#REF!</definedName>
    <definedName name="_vena_MultiSiteS1_MultiSiteB1_C_FV_e1c3a244dc3d4f149ecdf7d748811086_82" localSheetId="4">#REF!</definedName>
    <definedName name="_vena_MultiSiteS1_MultiSiteB1_C_FV_e1c3a244dc3d4f149ecdf7d748811086_82" localSheetId="5">#REF!</definedName>
    <definedName name="_vena_MultiSiteS1_MultiSiteB1_C_FV_e1c3a244dc3d4f149ecdf7d748811086_82" localSheetId="8">'[1]FY26 MYP-Multisite'!#REF!</definedName>
    <definedName name="_vena_MultiSiteS1_MultiSiteB1_C_FV_e1c3a244dc3d4f149ecdf7d748811086_82" localSheetId="3">#REF!</definedName>
    <definedName name="_vena_MultiSiteS1_MultiSiteB1_C_FV_e1c3a244dc3d4f149ecdf7d748811086_82">#REF!</definedName>
    <definedName name="_vena_MultiSiteS1_MultiSiteB1_C_FV_e1c3a244dc3d4f149ecdf7d748811086_83" localSheetId="4">#REF!</definedName>
    <definedName name="_vena_MultiSiteS1_MultiSiteB1_C_FV_e1c3a244dc3d4f149ecdf7d748811086_83" localSheetId="5">#REF!</definedName>
    <definedName name="_vena_MultiSiteS1_MultiSiteB1_C_FV_e1c3a244dc3d4f149ecdf7d748811086_83" localSheetId="8">'[1]FY26 MYP-Multisite'!#REF!</definedName>
    <definedName name="_vena_MultiSiteS1_MultiSiteB1_C_FV_e1c3a244dc3d4f149ecdf7d748811086_83" localSheetId="3">#REF!</definedName>
    <definedName name="_vena_MultiSiteS1_MultiSiteB1_C_FV_e1c3a244dc3d4f149ecdf7d748811086_83">#REF!</definedName>
    <definedName name="_vena_MultiSiteS1_MultiSiteB1_C_FV_e1c3a244dc3d4f149ecdf7d748811086_84" localSheetId="4">#REF!</definedName>
    <definedName name="_vena_MultiSiteS1_MultiSiteB1_C_FV_e1c3a244dc3d4f149ecdf7d748811086_84" localSheetId="5">#REF!</definedName>
    <definedName name="_vena_MultiSiteS1_MultiSiteB1_C_FV_e1c3a244dc3d4f149ecdf7d748811086_84" localSheetId="8">'[1]FY26 MYP-Multisite'!#REF!</definedName>
    <definedName name="_vena_MultiSiteS1_MultiSiteB1_C_FV_e1c3a244dc3d4f149ecdf7d748811086_84" localSheetId="3">#REF!</definedName>
    <definedName name="_vena_MultiSiteS1_MultiSiteB1_C_FV_e1c3a244dc3d4f149ecdf7d748811086_84">#REF!</definedName>
    <definedName name="_vena_MultiSiteS1_MultiSiteB1_C_FV_e1c3a244dc3d4f149ecdf7d748811086_85" localSheetId="4">#REF!</definedName>
    <definedName name="_vena_MultiSiteS1_MultiSiteB1_C_FV_e1c3a244dc3d4f149ecdf7d748811086_85" localSheetId="5">#REF!</definedName>
    <definedName name="_vena_MultiSiteS1_MultiSiteB1_C_FV_e1c3a244dc3d4f149ecdf7d748811086_85" localSheetId="8">'[1]FY26 MYP-Multisite'!#REF!</definedName>
    <definedName name="_vena_MultiSiteS1_MultiSiteB1_C_FV_e1c3a244dc3d4f149ecdf7d748811086_85" localSheetId="3">#REF!</definedName>
    <definedName name="_vena_MultiSiteS1_MultiSiteB1_C_FV_e1c3a244dc3d4f149ecdf7d748811086_85">#REF!</definedName>
    <definedName name="_vena_MultiSiteS1_MultiSiteB1_C_FV_e1c3a244dc3d4f149ecdf7d748811086_86" localSheetId="4">#REF!</definedName>
    <definedName name="_vena_MultiSiteS1_MultiSiteB1_C_FV_e1c3a244dc3d4f149ecdf7d748811086_86" localSheetId="5">#REF!</definedName>
    <definedName name="_vena_MultiSiteS1_MultiSiteB1_C_FV_e1c3a244dc3d4f149ecdf7d748811086_86" localSheetId="8">'[1]FY26 MYP-Multisite'!#REF!</definedName>
    <definedName name="_vena_MultiSiteS1_MultiSiteB1_C_FV_e1c3a244dc3d4f149ecdf7d748811086_86" localSheetId="3">#REF!</definedName>
    <definedName name="_vena_MultiSiteS1_MultiSiteB1_C_FV_e1c3a244dc3d4f149ecdf7d748811086_86">#REF!</definedName>
    <definedName name="_vena_MultiSiteS1_MultiSiteB1_C_FV_e1c3a244dc3d4f149ecdf7d748811086_87" localSheetId="4">#REF!</definedName>
    <definedName name="_vena_MultiSiteS1_MultiSiteB1_C_FV_e1c3a244dc3d4f149ecdf7d748811086_87" localSheetId="5">#REF!</definedName>
    <definedName name="_vena_MultiSiteS1_MultiSiteB1_C_FV_e1c3a244dc3d4f149ecdf7d748811086_87" localSheetId="8">'[1]FY26 MYP-Multisite'!#REF!</definedName>
    <definedName name="_vena_MultiSiteS1_MultiSiteB1_C_FV_e1c3a244dc3d4f149ecdf7d748811086_87" localSheetId="3">#REF!</definedName>
    <definedName name="_vena_MultiSiteS1_MultiSiteB1_C_FV_e1c3a244dc3d4f149ecdf7d748811086_87">#REF!</definedName>
    <definedName name="_vena_MultiSiteS1_MultiSiteB1_C_FV_e1c3a244dc3d4f149ecdf7d748811086_88" localSheetId="4">#REF!</definedName>
    <definedName name="_vena_MultiSiteS1_MultiSiteB1_C_FV_e1c3a244dc3d4f149ecdf7d748811086_88" localSheetId="5">#REF!</definedName>
    <definedName name="_vena_MultiSiteS1_MultiSiteB1_C_FV_e1c3a244dc3d4f149ecdf7d748811086_88" localSheetId="8">'[1]FY26 MYP-Multisite'!#REF!</definedName>
    <definedName name="_vena_MultiSiteS1_MultiSiteB1_C_FV_e1c3a244dc3d4f149ecdf7d748811086_88" localSheetId="3">#REF!</definedName>
    <definedName name="_vena_MultiSiteS1_MultiSiteB1_C_FV_e1c3a244dc3d4f149ecdf7d748811086_88">#REF!</definedName>
    <definedName name="_vena_MultiSiteS1_MultiSiteB1_C_FV_e1c3a244dc3d4f149ecdf7d748811086_9">#REF!</definedName>
    <definedName name="_vena_MultiSiteS1_MultiSiteB1_C_FV_e3545e3dcc52420a84dcdae3a23a4597" localSheetId="4">#REF!</definedName>
    <definedName name="_vena_MultiSiteS1_MultiSiteB1_C_FV_e3545e3dcc52420a84dcdae3a23a4597" localSheetId="5">#REF!</definedName>
    <definedName name="_vena_MultiSiteS1_MultiSiteB1_C_FV_e3545e3dcc52420a84dcdae3a23a4597" localSheetId="8">'[1]FY26 MYP-Multisite'!#REF!</definedName>
    <definedName name="_vena_MultiSiteS1_MultiSiteB1_C_FV_e3545e3dcc52420a84dcdae3a23a4597" localSheetId="3">#REF!</definedName>
    <definedName name="_vena_MultiSiteS1_MultiSiteB1_C_FV_e3545e3dcc52420a84dcdae3a23a4597">#REF!</definedName>
    <definedName name="_vena_MultiSiteS1_MultiSiteB1_C_FV_e3545e3dcc52420a84dcdae3a23a4597_1" localSheetId="4">#REF!</definedName>
    <definedName name="_vena_MultiSiteS1_MultiSiteB1_C_FV_e3545e3dcc52420a84dcdae3a23a4597_1" localSheetId="5">#REF!</definedName>
    <definedName name="_vena_MultiSiteS1_MultiSiteB1_C_FV_e3545e3dcc52420a84dcdae3a23a4597_1" localSheetId="8">'[1]FY26 MYP-Multisite'!#REF!</definedName>
    <definedName name="_vena_MultiSiteS1_MultiSiteB1_C_FV_e3545e3dcc52420a84dcdae3a23a4597_1" localSheetId="3">#REF!</definedName>
    <definedName name="_vena_MultiSiteS1_MultiSiteB1_C_FV_e3545e3dcc52420a84dcdae3a23a4597_1">#REF!</definedName>
    <definedName name="_vena_MultiSiteS1_MultiSiteB1_C_FV_e3545e3dcc52420a84dcdae3a23a4597_10">#REF!</definedName>
    <definedName name="_vena_MultiSiteS1_MultiSiteB1_C_FV_e3545e3dcc52420a84dcdae3a23a4597_11">#REF!</definedName>
    <definedName name="_vena_MultiSiteS1_MultiSiteB1_C_FV_e3545e3dcc52420a84dcdae3a23a4597_12">#REF!</definedName>
    <definedName name="_vena_MultiSiteS1_MultiSiteB1_C_FV_e3545e3dcc52420a84dcdae3a23a4597_13">#REF!</definedName>
    <definedName name="_vena_MultiSiteS1_MultiSiteB1_C_FV_e3545e3dcc52420a84dcdae3a23a4597_14">#REF!</definedName>
    <definedName name="_vena_MultiSiteS1_MultiSiteB1_C_FV_e3545e3dcc52420a84dcdae3a23a4597_15">#REF!</definedName>
    <definedName name="_vena_MultiSiteS1_MultiSiteB1_C_FV_e3545e3dcc52420a84dcdae3a23a4597_16" localSheetId="4">#REF!</definedName>
    <definedName name="_vena_MultiSiteS1_MultiSiteB1_C_FV_e3545e3dcc52420a84dcdae3a23a4597_16" localSheetId="5">#REF!</definedName>
    <definedName name="_vena_MultiSiteS1_MultiSiteB1_C_FV_e3545e3dcc52420a84dcdae3a23a4597_16" localSheetId="8">'[1]FY26 MYP-Multisite'!#REF!</definedName>
    <definedName name="_vena_MultiSiteS1_MultiSiteB1_C_FV_e3545e3dcc52420a84dcdae3a23a4597_16" localSheetId="3">#REF!</definedName>
    <definedName name="_vena_MultiSiteS1_MultiSiteB1_C_FV_e3545e3dcc52420a84dcdae3a23a4597_16">#REF!</definedName>
    <definedName name="_vena_MultiSiteS1_MultiSiteB1_C_FV_e3545e3dcc52420a84dcdae3a23a4597_17" localSheetId="4">#REF!</definedName>
    <definedName name="_vena_MultiSiteS1_MultiSiteB1_C_FV_e3545e3dcc52420a84dcdae3a23a4597_17" localSheetId="5">#REF!</definedName>
    <definedName name="_vena_MultiSiteS1_MultiSiteB1_C_FV_e3545e3dcc52420a84dcdae3a23a4597_17" localSheetId="8">'[1]FY26 MYP-Multisite'!#REF!</definedName>
    <definedName name="_vena_MultiSiteS1_MultiSiteB1_C_FV_e3545e3dcc52420a84dcdae3a23a4597_17" localSheetId="3">#REF!</definedName>
    <definedName name="_vena_MultiSiteS1_MultiSiteB1_C_FV_e3545e3dcc52420a84dcdae3a23a4597_17">#REF!</definedName>
    <definedName name="_vena_MultiSiteS1_MultiSiteB1_C_FV_e3545e3dcc52420a84dcdae3a23a4597_18" localSheetId="4">#REF!</definedName>
    <definedName name="_vena_MultiSiteS1_MultiSiteB1_C_FV_e3545e3dcc52420a84dcdae3a23a4597_18" localSheetId="5">#REF!</definedName>
    <definedName name="_vena_MultiSiteS1_MultiSiteB1_C_FV_e3545e3dcc52420a84dcdae3a23a4597_18" localSheetId="8">'[1]FY26 MYP-Multisite'!#REF!</definedName>
    <definedName name="_vena_MultiSiteS1_MultiSiteB1_C_FV_e3545e3dcc52420a84dcdae3a23a4597_18" localSheetId="3">#REF!</definedName>
    <definedName name="_vena_MultiSiteS1_MultiSiteB1_C_FV_e3545e3dcc52420a84dcdae3a23a4597_18">#REF!</definedName>
    <definedName name="_vena_MultiSiteS1_MultiSiteB1_C_FV_e3545e3dcc52420a84dcdae3a23a4597_19" localSheetId="4">#REF!</definedName>
    <definedName name="_vena_MultiSiteS1_MultiSiteB1_C_FV_e3545e3dcc52420a84dcdae3a23a4597_19" localSheetId="5">#REF!</definedName>
    <definedName name="_vena_MultiSiteS1_MultiSiteB1_C_FV_e3545e3dcc52420a84dcdae3a23a4597_19" localSheetId="8">'[1]FY26 MYP-Multisite'!#REF!</definedName>
    <definedName name="_vena_MultiSiteS1_MultiSiteB1_C_FV_e3545e3dcc52420a84dcdae3a23a4597_19" localSheetId="3">#REF!</definedName>
    <definedName name="_vena_MultiSiteS1_MultiSiteB1_C_FV_e3545e3dcc52420a84dcdae3a23a4597_19">#REF!</definedName>
    <definedName name="_vena_MultiSiteS1_MultiSiteB1_C_FV_e3545e3dcc52420a84dcdae3a23a4597_2">#REF!</definedName>
    <definedName name="_vena_MultiSiteS1_MultiSiteB1_C_FV_e3545e3dcc52420a84dcdae3a23a4597_20" localSheetId="4">#REF!</definedName>
    <definedName name="_vena_MultiSiteS1_MultiSiteB1_C_FV_e3545e3dcc52420a84dcdae3a23a4597_20" localSheetId="5">#REF!</definedName>
    <definedName name="_vena_MultiSiteS1_MultiSiteB1_C_FV_e3545e3dcc52420a84dcdae3a23a4597_20" localSheetId="8">'[1]FY26 MYP-Multisite'!#REF!</definedName>
    <definedName name="_vena_MultiSiteS1_MultiSiteB1_C_FV_e3545e3dcc52420a84dcdae3a23a4597_20" localSheetId="3">#REF!</definedName>
    <definedName name="_vena_MultiSiteS1_MultiSiteB1_C_FV_e3545e3dcc52420a84dcdae3a23a4597_20">#REF!</definedName>
    <definedName name="_vena_MultiSiteS1_MultiSiteB1_C_FV_e3545e3dcc52420a84dcdae3a23a4597_21" localSheetId="4">#REF!</definedName>
    <definedName name="_vena_MultiSiteS1_MultiSiteB1_C_FV_e3545e3dcc52420a84dcdae3a23a4597_21" localSheetId="5">#REF!</definedName>
    <definedName name="_vena_MultiSiteS1_MultiSiteB1_C_FV_e3545e3dcc52420a84dcdae3a23a4597_21" localSheetId="8">'[1]FY26 MYP-Multisite'!#REF!</definedName>
    <definedName name="_vena_MultiSiteS1_MultiSiteB1_C_FV_e3545e3dcc52420a84dcdae3a23a4597_21" localSheetId="3">#REF!</definedName>
    <definedName name="_vena_MultiSiteS1_MultiSiteB1_C_FV_e3545e3dcc52420a84dcdae3a23a4597_21">#REF!</definedName>
    <definedName name="_vena_MultiSiteS1_MultiSiteB1_C_FV_e3545e3dcc52420a84dcdae3a23a4597_22" localSheetId="4">#REF!</definedName>
    <definedName name="_vena_MultiSiteS1_MultiSiteB1_C_FV_e3545e3dcc52420a84dcdae3a23a4597_22" localSheetId="5">#REF!</definedName>
    <definedName name="_vena_MultiSiteS1_MultiSiteB1_C_FV_e3545e3dcc52420a84dcdae3a23a4597_22" localSheetId="8">'[1]FY26 MYP-Multisite'!#REF!</definedName>
    <definedName name="_vena_MultiSiteS1_MultiSiteB1_C_FV_e3545e3dcc52420a84dcdae3a23a4597_22" localSheetId="3">#REF!</definedName>
    <definedName name="_vena_MultiSiteS1_MultiSiteB1_C_FV_e3545e3dcc52420a84dcdae3a23a4597_22">#REF!</definedName>
    <definedName name="_vena_MultiSiteS1_MultiSiteB1_C_FV_e3545e3dcc52420a84dcdae3a23a4597_23" localSheetId="4">#REF!</definedName>
    <definedName name="_vena_MultiSiteS1_MultiSiteB1_C_FV_e3545e3dcc52420a84dcdae3a23a4597_23" localSheetId="5">#REF!</definedName>
    <definedName name="_vena_MultiSiteS1_MultiSiteB1_C_FV_e3545e3dcc52420a84dcdae3a23a4597_23" localSheetId="8">'[1]FY26 MYP-Multisite'!#REF!</definedName>
    <definedName name="_vena_MultiSiteS1_MultiSiteB1_C_FV_e3545e3dcc52420a84dcdae3a23a4597_23" localSheetId="3">#REF!</definedName>
    <definedName name="_vena_MultiSiteS1_MultiSiteB1_C_FV_e3545e3dcc52420a84dcdae3a23a4597_23">#REF!</definedName>
    <definedName name="_vena_MultiSiteS1_MultiSiteB1_C_FV_e3545e3dcc52420a84dcdae3a23a4597_24" localSheetId="4">#REF!</definedName>
    <definedName name="_vena_MultiSiteS1_MultiSiteB1_C_FV_e3545e3dcc52420a84dcdae3a23a4597_24" localSheetId="5">#REF!</definedName>
    <definedName name="_vena_MultiSiteS1_MultiSiteB1_C_FV_e3545e3dcc52420a84dcdae3a23a4597_24" localSheetId="8">'[1]FY26 MYP-Multisite'!#REF!</definedName>
    <definedName name="_vena_MultiSiteS1_MultiSiteB1_C_FV_e3545e3dcc52420a84dcdae3a23a4597_24" localSheetId="3">#REF!</definedName>
    <definedName name="_vena_MultiSiteS1_MultiSiteB1_C_FV_e3545e3dcc52420a84dcdae3a23a4597_24">#REF!</definedName>
    <definedName name="_vena_MultiSiteS1_MultiSiteB1_C_FV_e3545e3dcc52420a84dcdae3a23a4597_25" localSheetId="4">#REF!</definedName>
    <definedName name="_vena_MultiSiteS1_MultiSiteB1_C_FV_e3545e3dcc52420a84dcdae3a23a4597_25" localSheetId="5">#REF!</definedName>
    <definedName name="_vena_MultiSiteS1_MultiSiteB1_C_FV_e3545e3dcc52420a84dcdae3a23a4597_25" localSheetId="8">'[1]FY26 MYP-Multisite'!#REF!</definedName>
    <definedName name="_vena_MultiSiteS1_MultiSiteB1_C_FV_e3545e3dcc52420a84dcdae3a23a4597_25" localSheetId="3">#REF!</definedName>
    <definedName name="_vena_MultiSiteS1_MultiSiteB1_C_FV_e3545e3dcc52420a84dcdae3a23a4597_25">#REF!</definedName>
    <definedName name="_vena_MultiSiteS1_MultiSiteB1_C_FV_e3545e3dcc52420a84dcdae3a23a4597_26" localSheetId="4">#REF!</definedName>
    <definedName name="_vena_MultiSiteS1_MultiSiteB1_C_FV_e3545e3dcc52420a84dcdae3a23a4597_26" localSheetId="5">#REF!</definedName>
    <definedName name="_vena_MultiSiteS1_MultiSiteB1_C_FV_e3545e3dcc52420a84dcdae3a23a4597_26" localSheetId="8">'[1]FY26 MYP-Multisite'!#REF!</definedName>
    <definedName name="_vena_MultiSiteS1_MultiSiteB1_C_FV_e3545e3dcc52420a84dcdae3a23a4597_26" localSheetId="3">#REF!</definedName>
    <definedName name="_vena_MultiSiteS1_MultiSiteB1_C_FV_e3545e3dcc52420a84dcdae3a23a4597_26">#REF!</definedName>
    <definedName name="_vena_MultiSiteS1_MultiSiteB1_C_FV_e3545e3dcc52420a84dcdae3a23a4597_27" localSheetId="4">#REF!</definedName>
    <definedName name="_vena_MultiSiteS1_MultiSiteB1_C_FV_e3545e3dcc52420a84dcdae3a23a4597_27" localSheetId="5">#REF!</definedName>
    <definedName name="_vena_MultiSiteS1_MultiSiteB1_C_FV_e3545e3dcc52420a84dcdae3a23a4597_27" localSheetId="8">'[1]FY26 MYP-Multisite'!#REF!</definedName>
    <definedName name="_vena_MultiSiteS1_MultiSiteB1_C_FV_e3545e3dcc52420a84dcdae3a23a4597_27" localSheetId="3">#REF!</definedName>
    <definedName name="_vena_MultiSiteS1_MultiSiteB1_C_FV_e3545e3dcc52420a84dcdae3a23a4597_27">#REF!</definedName>
    <definedName name="_vena_MultiSiteS1_MultiSiteB1_C_FV_e3545e3dcc52420a84dcdae3a23a4597_28" localSheetId="4">#REF!</definedName>
    <definedName name="_vena_MultiSiteS1_MultiSiteB1_C_FV_e3545e3dcc52420a84dcdae3a23a4597_28" localSheetId="5">#REF!</definedName>
    <definedName name="_vena_MultiSiteS1_MultiSiteB1_C_FV_e3545e3dcc52420a84dcdae3a23a4597_28" localSheetId="8">'[1]FY26 MYP-Multisite'!#REF!</definedName>
    <definedName name="_vena_MultiSiteS1_MultiSiteB1_C_FV_e3545e3dcc52420a84dcdae3a23a4597_28" localSheetId="3">#REF!</definedName>
    <definedName name="_vena_MultiSiteS1_MultiSiteB1_C_FV_e3545e3dcc52420a84dcdae3a23a4597_28">#REF!</definedName>
    <definedName name="_vena_MultiSiteS1_MultiSiteB1_C_FV_e3545e3dcc52420a84dcdae3a23a4597_29" localSheetId="4">#REF!</definedName>
    <definedName name="_vena_MultiSiteS1_MultiSiteB1_C_FV_e3545e3dcc52420a84dcdae3a23a4597_29" localSheetId="5">#REF!</definedName>
    <definedName name="_vena_MultiSiteS1_MultiSiteB1_C_FV_e3545e3dcc52420a84dcdae3a23a4597_29" localSheetId="8">'[1]FY26 MYP-Multisite'!#REF!</definedName>
    <definedName name="_vena_MultiSiteS1_MultiSiteB1_C_FV_e3545e3dcc52420a84dcdae3a23a4597_29" localSheetId="3">#REF!</definedName>
    <definedName name="_vena_MultiSiteS1_MultiSiteB1_C_FV_e3545e3dcc52420a84dcdae3a23a4597_29">#REF!</definedName>
    <definedName name="_vena_MultiSiteS1_MultiSiteB1_C_FV_e3545e3dcc52420a84dcdae3a23a4597_3" localSheetId="4">#REF!</definedName>
    <definedName name="_vena_MultiSiteS1_MultiSiteB1_C_FV_e3545e3dcc52420a84dcdae3a23a4597_3" localSheetId="5">#REF!</definedName>
    <definedName name="_vena_MultiSiteS1_MultiSiteB1_C_FV_e3545e3dcc52420a84dcdae3a23a4597_3" localSheetId="8">'[1]FY26 MYP-Multisite'!#REF!</definedName>
    <definedName name="_vena_MultiSiteS1_MultiSiteB1_C_FV_e3545e3dcc52420a84dcdae3a23a4597_3" localSheetId="3">#REF!</definedName>
    <definedName name="_vena_MultiSiteS1_MultiSiteB1_C_FV_e3545e3dcc52420a84dcdae3a23a4597_3">#REF!</definedName>
    <definedName name="_vena_MultiSiteS1_MultiSiteB1_C_FV_e3545e3dcc52420a84dcdae3a23a4597_30" localSheetId="4">#REF!</definedName>
    <definedName name="_vena_MultiSiteS1_MultiSiteB1_C_FV_e3545e3dcc52420a84dcdae3a23a4597_30" localSheetId="5">#REF!</definedName>
    <definedName name="_vena_MultiSiteS1_MultiSiteB1_C_FV_e3545e3dcc52420a84dcdae3a23a4597_30" localSheetId="8">'[1]FY26 MYP-Multisite'!#REF!</definedName>
    <definedName name="_vena_MultiSiteS1_MultiSiteB1_C_FV_e3545e3dcc52420a84dcdae3a23a4597_30" localSheetId="3">#REF!</definedName>
    <definedName name="_vena_MultiSiteS1_MultiSiteB1_C_FV_e3545e3dcc52420a84dcdae3a23a4597_30">#REF!</definedName>
    <definedName name="_vena_MultiSiteS1_MultiSiteB1_C_FV_e3545e3dcc52420a84dcdae3a23a4597_31" localSheetId="4">#REF!</definedName>
    <definedName name="_vena_MultiSiteS1_MultiSiteB1_C_FV_e3545e3dcc52420a84dcdae3a23a4597_31" localSheetId="5">#REF!</definedName>
    <definedName name="_vena_MultiSiteS1_MultiSiteB1_C_FV_e3545e3dcc52420a84dcdae3a23a4597_31" localSheetId="8">'[1]FY26 MYP-Multisite'!#REF!</definedName>
    <definedName name="_vena_MultiSiteS1_MultiSiteB1_C_FV_e3545e3dcc52420a84dcdae3a23a4597_31" localSheetId="3">#REF!</definedName>
    <definedName name="_vena_MultiSiteS1_MultiSiteB1_C_FV_e3545e3dcc52420a84dcdae3a23a4597_31">#REF!</definedName>
    <definedName name="_vena_MultiSiteS1_MultiSiteB1_C_FV_e3545e3dcc52420a84dcdae3a23a4597_32" localSheetId="4">#REF!</definedName>
    <definedName name="_vena_MultiSiteS1_MultiSiteB1_C_FV_e3545e3dcc52420a84dcdae3a23a4597_32" localSheetId="5">#REF!</definedName>
    <definedName name="_vena_MultiSiteS1_MultiSiteB1_C_FV_e3545e3dcc52420a84dcdae3a23a4597_32" localSheetId="8">'[1]FY26 MYP-Multisite'!#REF!</definedName>
    <definedName name="_vena_MultiSiteS1_MultiSiteB1_C_FV_e3545e3dcc52420a84dcdae3a23a4597_32" localSheetId="3">#REF!</definedName>
    <definedName name="_vena_MultiSiteS1_MultiSiteB1_C_FV_e3545e3dcc52420a84dcdae3a23a4597_32">#REF!</definedName>
    <definedName name="_vena_MultiSiteS1_MultiSiteB1_C_FV_e3545e3dcc52420a84dcdae3a23a4597_33" localSheetId="4">#REF!</definedName>
    <definedName name="_vena_MultiSiteS1_MultiSiteB1_C_FV_e3545e3dcc52420a84dcdae3a23a4597_33" localSheetId="5">#REF!</definedName>
    <definedName name="_vena_MultiSiteS1_MultiSiteB1_C_FV_e3545e3dcc52420a84dcdae3a23a4597_33" localSheetId="8">'[1]FY26 MYP-Multisite'!#REF!</definedName>
    <definedName name="_vena_MultiSiteS1_MultiSiteB1_C_FV_e3545e3dcc52420a84dcdae3a23a4597_33" localSheetId="3">#REF!</definedName>
    <definedName name="_vena_MultiSiteS1_MultiSiteB1_C_FV_e3545e3dcc52420a84dcdae3a23a4597_33">#REF!</definedName>
    <definedName name="_vena_MultiSiteS1_MultiSiteB1_C_FV_e3545e3dcc52420a84dcdae3a23a4597_34" localSheetId="4">#REF!</definedName>
    <definedName name="_vena_MultiSiteS1_MultiSiteB1_C_FV_e3545e3dcc52420a84dcdae3a23a4597_34" localSheetId="5">#REF!</definedName>
    <definedName name="_vena_MultiSiteS1_MultiSiteB1_C_FV_e3545e3dcc52420a84dcdae3a23a4597_34" localSheetId="8">'[1]FY26 MYP-Multisite'!#REF!</definedName>
    <definedName name="_vena_MultiSiteS1_MultiSiteB1_C_FV_e3545e3dcc52420a84dcdae3a23a4597_34" localSheetId="3">#REF!</definedName>
    <definedName name="_vena_MultiSiteS1_MultiSiteB1_C_FV_e3545e3dcc52420a84dcdae3a23a4597_34">#REF!</definedName>
    <definedName name="_vena_MultiSiteS1_MultiSiteB1_C_FV_e3545e3dcc52420a84dcdae3a23a4597_35" localSheetId="4">#REF!</definedName>
    <definedName name="_vena_MultiSiteS1_MultiSiteB1_C_FV_e3545e3dcc52420a84dcdae3a23a4597_35" localSheetId="5">#REF!</definedName>
    <definedName name="_vena_MultiSiteS1_MultiSiteB1_C_FV_e3545e3dcc52420a84dcdae3a23a4597_35" localSheetId="8">'[1]FY26 MYP-Multisite'!#REF!</definedName>
    <definedName name="_vena_MultiSiteS1_MultiSiteB1_C_FV_e3545e3dcc52420a84dcdae3a23a4597_35" localSheetId="3">#REF!</definedName>
    <definedName name="_vena_MultiSiteS1_MultiSiteB1_C_FV_e3545e3dcc52420a84dcdae3a23a4597_35">#REF!</definedName>
    <definedName name="_vena_MultiSiteS1_MultiSiteB1_C_FV_e3545e3dcc52420a84dcdae3a23a4597_36" localSheetId="4">#REF!</definedName>
    <definedName name="_vena_MultiSiteS1_MultiSiteB1_C_FV_e3545e3dcc52420a84dcdae3a23a4597_36" localSheetId="5">#REF!</definedName>
    <definedName name="_vena_MultiSiteS1_MultiSiteB1_C_FV_e3545e3dcc52420a84dcdae3a23a4597_36" localSheetId="8">'[1]FY26 MYP-Multisite'!#REF!</definedName>
    <definedName name="_vena_MultiSiteS1_MultiSiteB1_C_FV_e3545e3dcc52420a84dcdae3a23a4597_36" localSheetId="3">#REF!</definedName>
    <definedName name="_vena_MultiSiteS1_MultiSiteB1_C_FV_e3545e3dcc52420a84dcdae3a23a4597_36">#REF!</definedName>
    <definedName name="_vena_MultiSiteS1_MultiSiteB1_C_FV_e3545e3dcc52420a84dcdae3a23a4597_37" localSheetId="4">#REF!</definedName>
    <definedName name="_vena_MultiSiteS1_MultiSiteB1_C_FV_e3545e3dcc52420a84dcdae3a23a4597_37" localSheetId="5">#REF!</definedName>
    <definedName name="_vena_MultiSiteS1_MultiSiteB1_C_FV_e3545e3dcc52420a84dcdae3a23a4597_37" localSheetId="8">'[1]FY26 MYP-Multisite'!#REF!</definedName>
    <definedName name="_vena_MultiSiteS1_MultiSiteB1_C_FV_e3545e3dcc52420a84dcdae3a23a4597_37" localSheetId="3">#REF!</definedName>
    <definedName name="_vena_MultiSiteS1_MultiSiteB1_C_FV_e3545e3dcc52420a84dcdae3a23a4597_37">#REF!</definedName>
    <definedName name="_vena_MultiSiteS1_MultiSiteB1_C_FV_e3545e3dcc52420a84dcdae3a23a4597_38" localSheetId="4">#REF!</definedName>
    <definedName name="_vena_MultiSiteS1_MultiSiteB1_C_FV_e3545e3dcc52420a84dcdae3a23a4597_38" localSheetId="5">#REF!</definedName>
    <definedName name="_vena_MultiSiteS1_MultiSiteB1_C_FV_e3545e3dcc52420a84dcdae3a23a4597_38" localSheetId="8">'[1]FY26 MYP-Multisite'!#REF!</definedName>
    <definedName name="_vena_MultiSiteS1_MultiSiteB1_C_FV_e3545e3dcc52420a84dcdae3a23a4597_38" localSheetId="3">#REF!</definedName>
    <definedName name="_vena_MultiSiteS1_MultiSiteB1_C_FV_e3545e3dcc52420a84dcdae3a23a4597_38">#REF!</definedName>
    <definedName name="_vena_MultiSiteS1_MultiSiteB1_C_FV_e3545e3dcc52420a84dcdae3a23a4597_39" localSheetId="4">#REF!</definedName>
    <definedName name="_vena_MultiSiteS1_MultiSiteB1_C_FV_e3545e3dcc52420a84dcdae3a23a4597_39" localSheetId="5">#REF!</definedName>
    <definedName name="_vena_MultiSiteS1_MultiSiteB1_C_FV_e3545e3dcc52420a84dcdae3a23a4597_39" localSheetId="8">'[1]FY26 MYP-Multisite'!#REF!</definedName>
    <definedName name="_vena_MultiSiteS1_MultiSiteB1_C_FV_e3545e3dcc52420a84dcdae3a23a4597_39" localSheetId="3">#REF!</definedName>
    <definedName name="_vena_MultiSiteS1_MultiSiteB1_C_FV_e3545e3dcc52420a84dcdae3a23a4597_39">#REF!</definedName>
    <definedName name="_vena_MultiSiteS1_MultiSiteB1_C_FV_e3545e3dcc52420a84dcdae3a23a4597_4" localSheetId="4">#REF!</definedName>
    <definedName name="_vena_MultiSiteS1_MultiSiteB1_C_FV_e3545e3dcc52420a84dcdae3a23a4597_4" localSheetId="5">#REF!</definedName>
    <definedName name="_vena_MultiSiteS1_MultiSiteB1_C_FV_e3545e3dcc52420a84dcdae3a23a4597_4" localSheetId="8">'[1]FY26 MYP-Multisite'!#REF!</definedName>
    <definedName name="_vena_MultiSiteS1_MultiSiteB1_C_FV_e3545e3dcc52420a84dcdae3a23a4597_4" localSheetId="3">#REF!</definedName>
    <definedName name="_vena_MultiSiteS1_MultiSiteB1_C_FV_e3545e3dcc52420a84dcdae3a23a4597_4">#REF!</definedName>
    <definedName name="_vena_MultiSiteS1_MultiSiteB1_C_FV_e3545e3dcc52420a84dcdae3a23a4597_40" localSheetId="4">#REF!</definedName>
    <definedName name="_vena_MultiSiteS1_MultiSiteB1_C_FV_e3545e3dcc52420a84dcdae3a23a4597_40" localSheetId="5">#REF!</definedName>
    <definedName name="_vena_MultiSiteS1_MultiSiteB1_C_FV_e3545e3dcc52420a84dcdae3a23a4597_40" localSheetId="8">'[1]FY26 MYP-Multisite'!#REF!</definedName>
    <definedName name="_vena_MultiSiteS1_MultiSiteB1_C_FV_e3545e3dcc52420a84dcdae3a23a4597_40" localSheetId="3">#REF!</definedName>
    <definedName name="_vena_MultiSiteS1_MultiSiteB1_C_FV_e3545e3dcc52420a84dcdae3a23a4597_40">#REF!</definedName>
    <definedName name="_vena_MultiSiteS1_MultiSiteB1_C_FV_e3545e3dcc52420a84dcdae3a23a4597_41" localSheetId="4">#REF!</definedName>
    <definedName name="_vena_MultiSiteS1_MultiSiteB1_C_FV_e3545e3dcc52420a84dcdae3a23a4597_41" localSheetId="5">#REF!</definedName>
    <definedName name="_vena_MultiSiteS1_MultiSiteB1_C_FV_e3545e3dcc52420a84dcdae3a23a4597_41" localSheetId="8">'[1]FY26 MYP-Multisite'!#REF!</definedName>
    <definedName name="_vena_MultiSiteS1_MultiSiteB1_C_FV_e3545e3dcc52420a84dcdae3a23a4597_41" localSheetId="3">#REF!</definedName>
    <definedName name="_vena_MultiSiteS1_MultiSiteB1_C_FV_e3545e3dcc52420a84dcdae3a23a4597_41">#REF!</definedName>
    <definedName name="_vena_MultiSiteS1_MultiSiteB1_C_FV_e3545e3dcc52420a84dcdae3a23a4597_42" localSheetId="4">#REF!</definedName>
    <definedName name="_vena_MultiSiteS1_MultiSiteB1_C_FV_e3545e3dcc52420a84dcdae3a23a4597_42" localSheetId="5">#REF!</definedName>
    <definedName name="_vena_MultiSiteS1_MultiSiteB1_C_FV_e3545e3dcc52420a84dcdae3a23a4597_42" localSheetId="8">'[1]FY26 MYP-Multisite'!#REF!</definedName>
    <definedName name="_vena_MultiSiteS1_MultiSiteB1_C_FV_e3545e3dcc52420a84dcdae3a23a4597_42" localSheetId="3">#REF!</definedName>
    <definedName name="_vena_MultiSiteS1_MultiSiteB1_C_FV_e3545e3dcc52420a84dcdae3a23a4597_42">#REF!</definedName>
    <definedName name="_vena_MultiSiteS1_MultiSiteB1_C_FV_e3545e3dcc52420a84dcdae3a23a4597_43" localSheetId="4">#REF!</definedName>
    <definedName name="_vena_MultiSiteS1_MultiSiteB1_C_FV_e3545e3dcc52420a84dcdae3a23a4597_43" localSheetId="5">#REF!</definedName>
    <definedName name="_vena_MultiSiteS1_MultiSiteB1_C_FV_e3545e3dcc52420a84dcdae3a23a4597_43" localSheetId="8">'[1]FY26 MYP-Multisite'!#REF!</definedName>
    <definedName name="_vena_MultiSiteS1_MultiSiteB1_C_FV_e3545e3dcc52420a84dcdae3a23a4597_43" localSheetId="3">#REF!</definedName>
    <definedName name="_vena_MultiSiteS1_MultiSiteB1_C_FV_e3545e3dcc52420a84dcdae3a23a4597_43">#REF!</definedName>
    <definedName name="_vena_MultiSiteS1_MultiSiteB1_C_FV_e3545e3dcc52420a84dcdae3a23a4597_44" localSheetId="4">#REF!</definedName>
    <definedName name="_vena_MultiSiteS1_MultiSiteB1_C_FV_e3545e3dcc52420a84dcdae3a23a4597_44" localSheetId="5">#REF!</definedName>
    <definedName name="_vena_MultiSiteS1_MultiSiteB1_C_FV_e3545e3dcc52420a84dcdae3a23a4597_44" localSheetId="8">'[1]FY26 MYP-Multisite'!#REF!</definedName>
    <definedName name="_vena_MultiSiteS1_MultiSiteB1_C_FV_e3545e3dcc52420a84dcdae3a23a4597_44" localSheetId="3">#REF!</definedName>
    <definedName name="_vena_MultiSiteS1_MultiSiteB1_C_FV_e3545e3dcc52420a84dcdae3a23a4597_44">#REF!</definedName>
    <definedName name="_vena_MultiSiteS1_MultiSiteB1_C_FV_e3545e3dcc52420a84dcdae3a23a4597_45" localSheetId="4">#REF!</definedName>
    <definedName name="_vena_MultiSiteS1_MultiSiteB1_C_FV_e3545e3dcc52420a84dcdae3a23a4597_45" localSheetId="5">#REF!</definedName>
    <definedName name="_vena_MultiSiteS1_MultiSiteB1_C_FV_e3545e3dcc52420a84dcdae3a23a4597_45" localSheetId="8">'[1]FY26 MYP-Multisite'!#REF!</definedName>
    <definedName name="_vena_MultiSiteS1_MultiSiteB1_C_FV_e3545e3dcc52420a84dcdae3a23a4597_45" localSheetId="3">#REF!</definedName>
    <definedName name="_vena_MultiSiteS1_MultiSiteB1_C_FV_e3545e3dcc52420a84dcdae3a23a4597_45">#REF!</definedName>
    <definedName name="_vena_MultiSiteS1_MultiSiteB1_C_FV_e3545e3dcc52420a84dcdae3a23a4597_46" localSheetId="4">#REF!</definedName>
    <definedName name="_vena_MultiSiteS1_MultiSiteB1_C_FV_e3545e3dcc52420a84dcdae3a23a4597_46" localSheetId="5">#REF!</definedName>
    <definedName name="_vena_MultiSiteS1_MultiSiteB1_C_FV_e3545e3dcc52420a84dcdae3a23a4597_46" localSheetId="8">'[1]FY26 MYP-Multisite'!#REF!</definedName>
    <definedName name="_vena_MultiSiteS1_MultiSiteB1_C_FV_e3545e3dcc52420a84dcdae3a23a4597_46" localSheetId="3">#REF!</definedName>
    <definedName name="_vena_MultiSiteS1_MultiSiteB1_C_FV_e3545e3dcc52420a84dcdae3a23a4597_46">#REF!</definedName>
    <definedName name="_vena_MultiSiteS1_MultiSiteB1_C_FV_e3545e3dcc52420a84dcdae3a23a4597_47" localSheetId="4">#REF!</definedName>
    <definedName name="_vena_MultiSiteS1_MultiSiteB1_C_FV_e3545e3dcc52420a84dcdae3a23a4597_47" localSheetId="5">#REF!</definedName>
    <definedName name="_vena_MultiSiteS1_MultiSiteB1_C_FV_e3545e3dcc52420a84dcdae3a23a4597_47" localSheetId="8">'[1]FY26 MYP-Multisite'!#REF!</definedName>
    <definedName name="_vena_MultiSiteS1_MultiSiteB1_C_FV_e3545e3dcc52420a84dcdae3a23a4597_47" localSheetId="3">#REF!</definedName>
    <definedName name="_vena_MultiSiteS1_MultiSiteB1_C_FV_e3545e3dcc52420a84dcdae3a23a4597_47">#REF!</definedName>
    <definedName name="_vena_MultiSiteS1_MultiSiteB1_C_FV_e3545e3dcc52420a84dcdae3a23a4597_48" localSheetId="4">#REF!</definedName>
    <definedName name="_vena_MultiSiteS1_MultiSiteB1_C_FV_e3545e3dcc52420a84dcdae3a23a4597_48" localSheetId="5">#REF!</definedName>
    <definedName name="_vena_MultiSiteS1_MultiSiteB1_C_FV_e3545e3dcc52420a84dcdae3a23a4597_48" localSheetId="8">'[1]FY26 MYP-Multisite'!#REF!</definedName>
    <definedName name="_vena_MultiSiteS1_MultiSiteB1_C_FV_e3545e3dcc52420a84dcdae3a23a4597_48" localSheetId="3">#REF!</definedName>
    <definedName name="_vena_MultiSiteS1_MultiSiteB1_C_FV_e3545e3dcc52420a84dcdae3a23a4597_48">#REF!</definedName>
    <definedName name="_vena_MultiSiteS1_MultiSiteB1_C_FV_e3545e3dcc52420a84dcdae3a23a4597_49" localSheetId="4">#REF!</definedName>
    <definedName name="_vena_MultiSiteS1_MultiSiteB1_C_FV_e3545e3dcc52420a84dcdae3a23a4597_49" localSheetId="5">#REF!</definedName>
    <definedName name="_vena_MultiSiteS1_MultiSiteB1_C_FV_e3545e3dcc52420a84dcdae3a23a4597_49" localSheetId="8">'[1]FY26 MYP-Multisite'!#REF!</definedName>
    <definedName name="_vena_MultiSiteS1_MultiSiteB1_C_FV_e3545e3dcc52420a84dcdae3a23a4597_49" localSheetId="3">#REF!</definedName>
    <definedName name="_vena_MultiSiteS1_MultiSiteB1_C_FV_e3545e3dcc52420a84dcdae3a23a4597_49">#REF!</definedName>
    <definedName name="_vena_MultiSiteS1_MultiSiteB1_C_FV_e3545e3dcc52420a84dcdae3a23a4597_5" localSheetId="4">#REF!</definedName>
    <definedName name="_vena_MultiSiteS1_MultiSiteB1_C_FV_e3545e3dcc52420a84dcdae3a23a4597_5" localSheetId="5">#REF!</definedName>
    <definedName name="_vena_MultiSiteS1_MultiSiteB1_C_FV_e3545e3dcc52420a84dcdae3a23a4597_5" localSheetId="8">'[1]FY26 MYP-Multisite'!#REF!</definedName>
    <definedName name="_vena_MultiSiteS1_MultiSiteB1_C_FV_e3545e3dcc52420a84dcdae3a23a4597_5" localSheetId="3">#REF!</definedName>
    <definedName name="_vena_MultiSiteS1_MultiSiteB1_C_FV_e3545e3dcc52420a84dcdae3a23a4597_5">#REF!</definedName>
    <definedName name="_vena_MultiSiteS1_MultiSiteB1_C_FV_e3545e3dcc52420a84dcdae3a23a4597_50" localSheetId="4">#REF!</definedName>
    <definedName name="_vena_MultiSiteS1_MultiSiteB1_C_FV_e3545e3dcc52420a84dcdae3a23a4597_50" localSheetId="5">#REF!</definedName>
    <definedName name="_vena_MultiSiteS1_MultiSiteB1_C_FV_e3545e3dcc52420a84dcdae3a23a4597_50" localSheetId="8">'[1]FY26 MYP-Multisite'!#REF!</definedName>
    <definedName name="_vena_MultiSiteS1_MultiSiteB1_C_FV_e3545e3dcc52420a84dcdae3a23a4597_50" localSheetId="3">#REF!</definedName>
    <definedName name="_vena_MultiSiteS1_MultiSiteB1_C_FV_e3545e3dcc52420a84dcdae3a23a4597_50">#REF!</definedName>
    <definedName name="_vena_MultiSiteS1_MultiSiteB1_C_FV_e3545e3dcc52420a84dcdae3a23a4597_51" localSheetId="4">#REF!</definedName>
    <definedName name="_vena_MultiSiteS1_MultiSiteB1_C_FV_e3545e3dcc52420a84dcdae3a23a4597_51" localSheetId="5">#REF!</definedName>
    <definedName name="_vena_MultiSiteS1_MultiSiteB1_C_FV_e3545e3dcc52420a84dcdae3a23a4597_51" localSheetId="8">'[1]FY26 MYP-Multisite'!#REF!</definedName>
    <definedName name="_vena_MultiSiteS1_MultiSiteB1_C_FV_e3545e3dcc52420a84dcdae3a23a4597_51" localSheetId="3">#REF!</definedName>
    <definedName name="_vena_MultiSiteS1_MultiSiteB1_C_FV_e3545e3dcc52420a84dcdae3a23a4597_51">#REF!</definedName>
    <definedName name="_vena_MultiSiteS1_MultiSiteB1_C_FV_e3545e3dcc52420a84dcdae3a23a4597_52" localSheetId="4">#REF!</definedName>
    <definedName name="_vena_MultiSiteS1_MultiSiteB1_C_FV_e3545e3dcc52420a84dcdae3a23a4597_52" localSheetId="5">#REF!</definedName>
    <definedName name="_vena_MultiSiteS1_MultiSiteB1_C_FV_e3545e3dcc52420a84dcdae3a23a4597_52" localSheetId="8">'[1]FY26 MYP-Multisite'!#REF!</definedName>
    <definedName name="_vena_MultiSiteS1_MultiSiteB1_C_FV_e3545e3dcc52420a84dcdae3a23a4597_52" localSheetId="3">#REF!</definedName>
    <definedName name="_vena_MultiSiteS1_MultiSiteB1_C_FV_e3545e3dcc52420a84dcdae3a23a4597_52">#REF!</definedName>
    <definedName name="_vena_MultiSiteS1_MultiSiteB1_C_FV_e3545e3dcc52420a84dcdae3a23a4597_53" localSheetId="4">#REF!</definedName>
    <definedName name="_vena_MultiSiteS1_MultiSiteB1_C_FV_e3545e3dcc52420a84dcdae3a23a4597_53" localSheetId="5">#REF!</definedName>
    <definedName name="_vena_MultiSiteS1_MultiSiteB1_C_FV_e3545e3dcc52420a84dcdae3a23a4597_53" localSheetId="8">'[1]FY26 MYP-Multisite'!#REF!</definedName>
    <definedName name="_vena_MultiSiteS1_MultiSiteB1_C_FV_e3545e3dcc52420a84dcdae3a23a4597_53" localSheetId="3">#REF!</definedName>
    <definedName name="_vena_MultiSiteS1_MultiSiteB1_C_FV_e3545e3dcc52420a84dcdae3a23a4597_53">#REF!</definedName>
    <definedName name="_vena_MultiSiteS1_MultiSiteB1_C_FV_e3545e3dcc52420a84dcdae3a23a4597_54" localSheetId="4">#REF!</definedName>
    <definedName name="_vena_MultiSiteS1_MultiSiteB1_C_FV_e3545e3dcc52420a84dcdae3a23a4597_54" localSheetId="5">#REF!</definedName>
    <definedName name="_vena_MultiSiteS1_MultiSiteB1_C_FV_e3545e3dcc52420a84dcdae3a23a4597_54" localSheetId="8">'[1]FY26 MYP-Multisite'!#REF!</definedName>
    <definedName name="_vena_MultiSiteS1_MultiSiteB1_C_FV_e3545e3dcc52420a84dcdae3a23a4597_54" localSheetId="3">#REF!</definedName>
    <definedName name="_vena_MultiSiteS1_MultiSiteB1_C_FV_e3545e3dcc52420a84dcdae3a23a4597_54">#REF!</definedName>
    <definedName name="_vena_MultiSiteS1_MultiSiteB1_C_FV_e3545e3dcc52420a84dcdae3a23a4597_55" localSheetId="4">#REF!</definedName>
    <definedName name="_vena_MultiSiteS1_MultiSiteB1_C_FV_e3545e3dcc52420a84dcdae3a23a4597_55" localSheetId="5">#REF!</definedName>
    <definedName name="_vena_MultiSiteS1_MultiSiteB1_C_FV_e3545e3dcc52420a84dcdae3a23a4597_55" localSheetId="8">'[1]FY26 MYP-Multisite'!#REF!</definedName>
    <definedName name="_vena_MultiSiteS1_MultiSiteB1_C_FV_e3545e3dcc52420a84dcdae3a23a4597_55" localSheetId="3">#REF!</definedName>
    <definedName name="_vena_MultiSiteS1_MultiSiteB1_C_FV_e3545e3dcc52420a84dcdae3a23a4597_55">#REF!</definedName>
    <definedName name="_vena_MultiSiteS1_MultiSiteB1_C_FV_e3545e3dcc52420a84dcdae3a23a4597_56" localSheetId="4">#REF!</definedName>
    <definedName name="_vena_MultiSiteS1_MultiSiteB1_C_FV_e3545e3dcc52420a84dcdae3a23a4597_56" localSheetId="5">#REF!</definedName>
    <definedName name="_vena_MultiSiteS1_MultiSiteB1_C_FV_e3545e3dcc52420a84dcdae3a23a4597_56" localSheetId="8">'[1]FY26 MYP-Multisite'!#REF!</definedName>
    <definedName name="_vena_MultiSiteS1_MultiSiteB1_C_FV_e3545e3dcc52420a84dcdae3a23a4597_56" localSheetId="3">#REF!</definedName>
    <definedName name="_vena_MultiSiteS1_MultiSiteB1_C_FV_e3545e3dcc52420a84dcdae3a23a4597_56">#REF!</definedName>
    <definedName name="_vena_MultiSiteS1_MultiSiteB1_C_FV_e3545e3dcc52420a84dcdae3a23a4597_57" localSheetId="4">#REF!</definedName>
    <definedName name="_vena_MultiSiteS1_MultiSiteB1_C_FV_e3545e3dcc52420a84dcdae3a23a4597_57" localSheetId="5">#REF!</definedName>
    <definedName name="_vena_MultiSiteS1_MultiSiteB1_C_FV_e3545e3dcc52420a84dcdae3a23a4597_57" localSheetId="8">'[1]FY26 MYP-Multisite'!#REF!</definedName>
    <definedName name="_vena_MultiSiteS1_MultiSiteB1_C_FV_e3545e3dcc52420a84dcdae3a23a4597_57" localSheetId="3">#REF!</definedName>
    <definedName name="_vena_MultiSiteS1_MultiSiteB1_C_FV_e3545e3dcc52420a84dcdae3a23a4597_57">#REF!</definedName>
    <definedName name="_vena_MultiSiteS1_MultiSiteB1_C_FV_e3545e3dcc52420a84dcdae3a23a4597_58" localSheetId="4">#REF!</definedName>
    <definedName name="_vena_MultiSiteS1_MultiSiteB1_C_FV_e3545e3dcc52420a84dcdae3a23a4597_58" localSheetId="5">#REF!</definedName>
    <definedName name="_vena_MultiSiteS1_MultiSiteB1_C_FV_e3545e3dcc52420a84dcdae3a23a4597_58" localSheetId="8">'[1]FY26 MYP-Multisite'!#REF!</definedName>
    <definedName name="_vena_MultiSiteS1_MultiSiteB1_C_FV_e3545e3dcc52420a84dcdae3a23a4597_58" localSheetId="3">#REF!</definedName>
    <definedName name="_vena_MultiSiteS1_MultiSiteB1_C_FV_e3545e3dcc52420a84dcdae3a23a4597_58">#REF!</definedName>
    <definedName name="_vena_MultiSiteS1_MultiSiteB1_C_FV_e3545e3dcc52420a84dcdae3a23a4597_59" localSheetId="4">#REF!</definedName>
    <definedName name="_vena_MultiSiteS1_MultiSiteB1_C_FV_e3545e3dcc52420a84dcdae3a23a4597_59" localSheetId="5">#REF!</definedName>
    <definedName name="_vena_MultiSiteS1_MultiSiteB1_C_FV_e3545e3dcc52420a84dcdae3a23a4597_59" localSheetId="8">'[1]FY26 MYP-Multisite'!#REF!</definedName>
    <definedName name="_vena_MultiSiteS1_MultiSiteB1_C_FV_e3545e3dcc52420a84dcdae3a23a4597_59" localSheetId="3">#REF!</definedName>
    <definedName name="_vena_MultiSiteS1_MultiSiteB1_C_FV_e3545e3dcc52420a84dcdae3a23a4597_59">#REF!</definedName>
    <definedName name="_vena_MultiSiteS1_MultiSiteB1_C_FV_e3545e3dcc52420a84dcdae3a23a4597_6" localSheetId="4">#REF!</definedName>
    <definedName name="_vena_MultiSiteS1_MultiSiteB1_C_FV_e3545e3dcc52420a84dcdae3a23a4597_6" localSheetId="5">#REF!</definedName>
    <definedName name="_vena_MultiSiteS1_MultiSiteB1_C_FV_e3545e3dcc52420a84dcdae3a23a4597_6" localSheetId="8">'[1]FY26 MYP-Multisite'!#REF!</definedName>
    <definedName name="_vena_MultiSiteS1_MultiSiteB1_C_FV_e3545e3dcc52420a84dcdae3a23a4597_6" localSheetId="3">#REF!</definedName>
    <definedName name="_vena_MultiSiteS1_MultiSiteB1_C_FV_e3545e3dcc52420a84dcdae3a23a4597_6">#REF!</definedName>
    <definedName name="_vena_MultiSiteS1_MultiSiteB1_C_FV_e3545e3dcc52420a84dcdae3a23a4597_60" localSheetId="4">#REF!</definedName>
    <definedName name="_vena_MultiSiteS1_MultiSiteB1_C_FV_e3545e3dcc52420a84dcdae3a23a4597_60" localSheetId="5">#REF!</definedName>
    <definedName name="_vena_MultiSiteS1_MultiSiteB1_C_FV_e3545e3dcc52420a84dcdae3a23a4597_60" localSheetId="8">'[1]FY26 MYP-Multisite'!#REF!</definedName>
    <definedName name="_vena_MultiSiteS1_MultiSiteB1_C_FV_e3545e3dcc52420a84dcdae3a23a4597_60" localSheetId="3">#REF!</definedName>
    <definedName name="_vena_MultiSiteS1_MultiSiteB1_C_FV_e3545e3dcc52420a84dcdae3a23a4597_60">#REF!</definedName>
    <definedName name="_vena_MultiSiteS1_MultiSiteB1_C_FV_e3545e3dcc52420a84dcdae3a23a4597_61" localSheetId="4">#REF!</definedName>
    <definedName name="_vena_MultiSiteS1_MultiSiteB1_C_FV_e3545e3dcc52420a84dcdae3a23a4597_61" localSheetId="5">#REF!</definedName>
    <definedName name="_vena_MultiSiteS1_MultiSiteB1_C_FV_e3545e3dcc52420a84dcdae3a23a4597_61" localSheetId="8">'[1]FY26 MYP-Multisite'!#REF!</definedName>
    <definedName name="_vena_MultiSiteS1_MultiSiteB1_C_FV_e3545e3dcc52420a84dcdae3a23a4597_61" localSheetId="3">#REF!</definedName>
    <definedName name="_vena_MultiSiteS1_MultiSiteB1_C_FV_e3545e3dcc52420a84dcdae3a23a4597_61">#REF!</definedName>
    <definedName name="_vena_MultiSiteS1_MultiSiteB1_C_FV_e3545e3dcc52420a84dcdae3a23a4597_62" localSheetId="4">#REF!</definedName>
    <definedName name="_vena_MultiSiteS1_MultiSiteB1_C_FV_e3545e3dcc52420a84dcdae3a23a4597_62" localSheetId="5">#REF!</definedName>
    <definedName name="_vena_MultiSiteS1_MultiSiteB1_C_FV_e3545e3dcc52420a84dcdae3a23a4597_62" localSheetId="8">'[1]FY26 MYP-Multisite'!#REF!</definedName>
    <definedName name="_vena_MultiSiteS1_MultiSiteB1_C_FV_e3545e3dcc52420a84dcdae3a23a4597_62" localSheetId="3">#REF!</definedName>
    <definedName name="_vena_MultiSiteS1_MultiSiteB1_C_FV_e3545e3dcc52420a84dcdae3a23a4597_62">#REF!</definedName>
    <definedName name="_vena_MultiSiteS1_MultiSiteB1_C_FV_e3545e3dcc52420a84dcdae3a23a4597_63" localSheetId="4">#REF!</definedName>
    <definedName name="_vena_MultiSiteS1_MultiSiteB1_C_FV_e3545e3dcc52420a84dcdae3a23a4597_63" localSheetId="5">#REF!</definedName>
    <definedName name="_vena_MultiSiteS1_MultiSiteB1_C_FV_e3545e3dcc52420a84dcdae3a23a4597_63" localSheetId="8">'[1]FY26 MYP-Multisite'!#REF!</definedName>
    <definedName name="_vena_MultiSiteS1_MultiSiteB1_C_FV_e3545e3dcc52420a84dcdae3a23a4597_63" localSheetId="3">#REF!</definedName>
    <definedName name="_vena_MultiSiteS1_MultiSiteB1_C_FV_e3545e3dcc52420a84dcdae3a23a4597_63">#REF!</definedName>
    <definedName name="_vena_MultiSiteS1_MultiSiteB1_C_FV_e3545e3dcc52420a84dcdae3a23a4597_64" localSheetId="4">#REF!</definedName>
    <definedName name="_vena_MultiSiteS1_MultiSiteB1_C_FV_e3545e3dcc52420a84dcdae3a23a4597_64" localSheetId="5">#REF!</definedName>
    <definedName name="_vena_MultiSiteS1_MultiSiteB1_C_FV_e3545e3dcc52420a84dcdae3a23a4597_64" localSheetId="8">'[1]FY26 MYP-Multisite'!#REF!</definedName>
    <definedName name="_vena_MultiSiteS1_MultiSiteB1_C_FV_e3545e3dcc52420a84dcdae3a23a4597_64" localSheetId="3">#REF!</definedName>
    <definedName name="_vena_MultiSiteS1_MultiSiteB1_C_FV_e3545e3dcc52420a84dcdae3a23a4597_64">#REF!</definedName>
    <definedName name="_vena_MultiSiteS1_MultiSiteB1_C_FV_e3545e3dcc52420a84dcdae3a23a4597_65" localSheetId="4">#REF!</definedName>
    <definedName name="_vena_MultiSiteS1_MultiSiteB1_C_FV_e3545e3dcc52420a84dcdae3a23a4597_65" localSheetId="5">#REF!</definedName>
    <definedName name="_vena_MultiSiteS1_MultiSiteB1_C_FV_e3545e3dcc52420a84dcdae3a23a4597_65" localSheetId="8">'[1]FY26 MYP-Multisite'!#REF!</definedName>
    <definedName name="_vena_MultiSiteS1_MultiSiteB1_C_FV_e3545e3dcc52420a84dcdae3a23a4597_65" localSheetId="3">#REF!</definedName>
    <definedName name="_vena_MultiSiteS1_MultiSiteB1_C_FV_e3545e3dcc52420a84dcdae3a23a4597_65">#REF!</definedName>
    <definedName name="_vena_MultiSiteS1_MultiSiteB1_C_FV_e3545e3dcc52420a84dcdae3a23a4597_66" localSheetId="4">#REF!</definedName>
    <definedName name="_vena_MultiSiteS1_MultiSiteB1_C_FV_e3545e3dcc52420a84dcdae3a23a4597_66" localSheetId="5">#REF!</definedName>
    <definedName name="_vena_MultiSiteS1_MultiSiteB1_C_FV_e3545e3dcc52420a84dcdae3a23a4597_66" localSheetId="8">'[1]FY26 MYP-Multisite'!#REF!</definedName>
    <definedName name="_vena_MultiSiteS1_MultiSiteB1_C_FV_e3545e3dcc52420a84dcdae3a23a4597_66" localSheetId="3">#REF!</definedName>
    <definedName name="_vena_MultiSiteS1_MultiSiteB1_C_FV_e3545e3dcc52420a84dcdae3a23a4597_66">#REF!</definedName>
    <definedName name="_vena_MultiSiteS1_MultiSiteB1_C_FV_e3545e3dcc52420a84dcdae3a23a4597_67" localSheetId="4">#REF!</definedName>
    <definedName name="_vena_MultiSiteS1_MultiSiteB1_C_FV_e3545e3dcc52420a84dcdae3a23a4597_67" localSheetId="5">#REF!</definedName>
    <definedName name="_vena_MultiSiteS1_MultiSiteB1_C_FV_e3545e3dcc52420a84dcdae3a23a4597_67" localSheetId="8">'[1]FY26 MYP-Multisite'!#REF!</definedName>
    <definedName name="_vena_MultiSiteS1_MultiSiteB1_C_FV_e3545e3dcc52420a84dcdae3a23a4597_67" localSheetId="3">#REF!</definedName>
    <definedName name="_vena_MultiSiteS1_MultiSiteB1_C_FV_e3545e3dcc52420a84dcdae3a23a4597_67">#REF!</definedName>
    <definedName name="_vena_MultiSiteS1_MultiSiteB1_C_FV_e3545e3dcc52420a84dcdae3a23a4597_68" localSheetId="4">#REF!</definedName>
    <definedName name="_vena_MultiSiteS1_MultiSiteB1_C_FV_e3545e3dcc52420a84dcdae3a23a4597_68" localSheetId="5">#REF!</definedName>
    <definedName name="_vena_MultiSiteS1_MultiSiteB1_C_FV_e3545e3dcc52420a84dcdae3a23a4597_68" localSheetId="8">'[1]FY26 MYP-Multisite'!#REF!</definedName>
    <definedName name="_vena_MultiSiteS1_MultiSiteB1_C_FV_e3545e3dcc52420a84dcdae3a23a4597_68" localSheetId="3">#REF!</definedName>
    <definedName name="_vena_MultiSiteS1_MultiSiteB1_C_FV_e3545e3dcc52420a84dcdae3a23a4597_68">#REF!</definedName>
    <definedName name="_vena_MultiSiteS1_MultiSiteB1_C_FV_e3545e3dcc52420a84dcdae3a23a4597_69" localSheetId="4">#REF!</definedName>
    <definedName name="_vena_MultiSiteS1_MultiSiteB1_C_FV_e3545e3dcc52420a84dcdae3a23a4597_69" localSheetId="5">#REF!</definedName>
    <definedName name="_vena_MultiSiteS1_MultiSiteB1_C_FV_e3545e3dcc52420a84dcdae3a23a4597_69" localSheetId="8">'[1]FY26 MYP-Multisite'!#REF!</definedName>
    <definedName name="_vena_MultiSiteS1_MultiSiteB1_C_FV_e3545e3dcc52420a84dcdae3a23a4597_69" localSheetId="3">#REF!</definedName>
    <definedName name="_vena_MultiSiteS1_MultiSiteB1_C_FV_e3545e3dcc52420a84dcdae3a23a4597_69">#REF!</definedName>
    <definedName name="_vena_MultiSiteS1_MultiSiteB1_C_FV_e3545e3dcc52420a84dcdae3a23a4597_7" localSheetId="4">#REF!</definedName>
    <definedName name="_vena_MultiSiteS1_MultiSiteB1_C_FV_e3545e3dcc52420a84dcdae3a23a4597_7" localSheetId="5">#REF!</definedName>
    <definedName name="_vena_MultiSiteS1_MultiSiteB1_C_FV_e3545e3dcc52420a84dcdae3a23a4597_7" localSheetId="8">'[1]FY26 MYP-Multisite'!#REF!</definedName>
    <definedName name="_vena_MultiSiteS1_MultiSiteB1_C_FV_e3545e3dcc52420a84dcdae3a23a4597_7" localSheetId="3">#REF!</definedName>
    <definedName name="_vena_MultiSiteS1_MultiSiteB1_C_FV_e3545e3dcc52420a84dcdae3a23a4597_7">#REF!</definedName>
    <definedName name="_vena_MultiSiteS1_MultiSiteB1_C_FV_e3545e3dcc52420a84dcdae3a23a4597_70" localSheetId="4">#REF!</definedName>
    <definedName name="_vena_MultiSiteS1_MultiSiteB1_C_FV_e3545e3dcc52420a84dcdae3a23a4597_70" localSheetId="5">#REF!</definedName>
    <definedName name="_vena_MultiSiteS1_MultiSiteB1_C_FV_e3545e3dcc52420a84dcdae3a23a4597_70" localSheetId="8">'[1]FY26 MYP-Multisite'!#REF!</definedName>
    <definedName name="_vena_MultiSiteS1_MultiSiteB1_C_FV_e3545e3dcc52420a84dcdae3a23a4597_70" localSheetId="3">#REF!</definedName>
    <definedName name="_vena_MultiSiteS1_MultiSiteB1_C_FV_e3545e3dcc52420a84dcdae3a23a4597_70">#REF!</definedName>
    <definedName name="_vena_MultiSiteS1_MultiSiteB1_C_FV_e3545e3dcc52420a84dcdae3a23a4597_71" localSheetId="4">#REF!</definedName>
    <definedName name="_vena_MultiSiteS1_MultiSiteB1_C_FV_e3545e3dcc52420a84dcdae3a23a4597_71" localSheetId="5">#REF!</definedName>
    <definedName name="_vena_MultiSiteS1_MultiSiteB1_C_FV_e3545e3dcc52420a84dcdae3a23a4597_71" localSheetId="8">'[1]FY26 MYP-Multisite'!#REF!</definedName>
    <definedName name="_vena_MultiSiteS1_MultiSiteB1_C_FV_e3545e3dcc52420a84dcdae3a23a4597_71" localSheetId="3">#REF!</definedName>
    <definedName name="_vena_MultiSiteS1_MultiSiteB1_C_FV_e3545e3dcc52420a84dcdae3a23a4597_71">#REF!</definedName>
    <definedName name="_vena_MultiSiteS1_MultiSiteB1_C_FV_e3545e3dcc52420a84dcdae3a23a4597_72" localSheetId="4">#REF!</definedName>
    <definedName name="_vena_MultiSiteS1_MultiSiteB1_C_FV_e3545e3dcc52420a84dcdae3a23a4597_72" localSheetId="5">#REF!</definedName>
    <definedName name="_vena_MultiSiteS1_MultiSiteB1_C_FV_e3545e3dcc52420a84dcdae3a23a4597_72" localSheetId="8">'[1]FY26 MYP-Multisite'!#REF!</definedName>
    <definedName name="_vena_MultiSiteS1_MultiSiteB1_C_FV_e3545e3dcc52420a84dcdae3a23a4597_72" localSheetId="3">#REF!</definedName>
    <definedName name="_vena_MultiSiteS1_MultiSiteB1_C_FV_e3545e3dcc52420a84dcdae3a23a4597_72">#REF!</definedName>
    <definedName name="_vena_MultiSiteS1_MultiSiteB1_C_FV_e3545e3dcc52420a84dcdae3a23a4597_73" localSheetId="4">#REF!</definedName>
    <definedName name="_vena_MultiSiteS1_MultiSiteB1_C_FV_e3545e3dcc52420a84dcdae3a23a4597_73" localSheetId="5">#REF!</definedName>
    <definedName name="_vena_MultiSiteS1_MultiSiteB1_C_FV_e3545e3dcc52420a84dcdae3a23a4597_73" localSheetId="8">'[1]FY26 MYP-Multisite'!#REF!</definedName>
    <definedName name="_vena_MultiSiteS1_MultiSiteB1_C_FV_e3545e3dcc52420a84dcdae3a23a4597_73" localSheetId="3">#REF!</definedName>
    <definedName name="_vena_MultiSiteS1_MultiSiteB1_C_FV_e3545e3dcc52420a84dcdae3a23a4597_73">#REF!</definedName>
    <definedName name="_vena_MultiSiteS1_MultiSiteB1_C_FV_e3545e3dcc52420a84dcdae3a23a4597_74" localSheetId="4">#REF!</definedName>
    <definedName name="_vena_MultiSiteS1_MultiSiteB1_C_FV_e3545e3dcc52420a84dcdae3a23a4597_74" localSheetId="5">#REF!</definedName>
    <definedName name="_vena_MultiSiteS1_MultiSiteB1_C_FV_e3545e3dcc52420a84dcdae3a23a4597_74" localSheetId="8">'[1]FY26 MYP-Multisite'!#REF!</definedName>
    <definedName name="_vena_MultiSiteS1_MultiSiteB1_C_FV_e3545e3dcc52420a84dcdae3a23a4597_74" localSheetId="3">#REF!</definedName>
    <definedName name="_vena_MultiSiteS1_MultiSiteB1_C_FV_e3545e3dcc52420a84dcdae3a23a4597_74">#REF!</definedName>
    <definedName name="_vena_MultiSiteS1_MultiSiteB1_C_FV_e3545e3dcc52420a84dcdae3a23a4597_75" localSheetId="4">#REF!</definedName>
    <definedName name="_vena_MultiSiteS1_MultiSiteB1_C_FV_e3545e3dcc52420a84dcdae3a23a4597_75" localSheetId="5">#REF!</definedName>
    <definedName name="_vena_MultiSiteS1_MultiSiteB1_C_FV_e3545e3dcc52420a84dcdae3a23a4597_75" localSheetId="8">'[1]FY26 MYP-Multisite'!#REF!</definedName>
    <definedName name="_vena_MultiSiteS1_MultiSiteB1_C_FV_e3545e3dcc52420a84dcdae3a23a4597_75" localSheetId="3">#REF!</definedName>
    <definedName name="_vena_MultiSiteS1_MultiSiteB1_C_FV_e3545e3dcc52420a84dcdae3a23a4597_75">#REF!</definedName>
    <definedName name="_vena_MultiSiteS1_MultiSiteB1_C_FV_e3545e3dcc52420a84dcdae3a23a4597_76" localSheetId="4">#REF!</definedName>
    <definedName name="_vena_MultiSiteS1_MultiSiteB1_C_FV_e3545e3dcc52420a84dcdae3a23a4597_76" localSheetId="5">#REF!</definedName>
    <definedName name="_vena_MultiSiteS1_MultiSiteB1_C_FV_e3545e3dcc52420a84dcdae3a23a4597_76" localSheetId="8">'[1]FY26 MYP-Multisite'!#REF!</definedName>
    <definedName name="_vena_MultiSiteS1_MultiSiteB1_C_FV_e3545e3dcc52420a84dcdae3a23a4597_76" localSheetId="3">#REF!</definedName>
    <definedName name="_vena_MultiSiteS1_MultiSiteB1_C_FV_e3545e3dcc52420a84dcdae3a23a4597_76">#REF!</definedName>
    <definedName name="_vena_MultiSiteS1_MultiSiteB1_C_FV_e3545e3dcc52420a84dcdae3a23a4597_77" localSheetId="4">#REF!</definedName>
    <definedName name="_vena_MultiSiteS1_MultiSiteB1_C_FV_e3545e3dcc52420a84dcdae3a23a4597_77" localSheetId="5">#REF!</definedName>
    <definedName name="_vena_MultiSiteS1_MultiSiteB1_C_FV_e3545e3dcc52420a84dcdae3a23a4597_77" localSheetId="8">'[1]FY26 MYP-Multisite'!#REF!</definedName>
    <definedName name="_vena_MultiSiteS1_MultiSiteB1_C_FV_e3545e3dcc52420a84dcdae3a23a4597_77" localSheetId="3">#REF!</definedName>
    <definedName name="_vena_MultiSiteS1_MultiSiteB1_C_FV_e3545e3dcc52420a84dcdae3a23a4597_77">#REF!</definedName>
    <definedName name="_vena_MultiSiteS1_MultiSiteB1_C_FV_e3545e3dcc52420a84dcdae3a23a4597_78" localSheetId="4">#REF!</definedName>
    <definedName name="_vena_MultiSiteS1_MultiSiteB1_C_FV_e3545e3dcc52420a84dcdae3a23a4597_78" localSheetId="5">#REF!</definedName>
    <definedName name="_vena_MultiSiteS1_MultiSiteB1_C_FV_e3545e3dcc52420a84dcdae3a23a4597_78" localSheetId="8">'[1]FY26 MYP-Multisite'!#REF!</definedName>
    <definedName name="_vena_MultiSiteS1_MultiSiteB1_C_FV_e3545e3dcc52420a84dcdae3a23a4597_78" localSheetId="3">#REF!</definedName>
    <definedName name="_vena_MultiSiteS1_MultiSiteB1_C_FV_e3545e3dcc52420a84dcdae3a23a4597_78">#REF!</definedName>
    <definedName name="_vena_MultiSiteS1_MultiSiteB1_C_FV_e3545e3dcc52420a84dcdae3a23a4597_79" localSheetId="4">#REF!</definedName>
    <definedName name="_vena_MultiSiteS1_MultiSiteB1_C_FV_e3545e3dcc52420a84dcdae3a23a4597_79" localSheetId="5">#REF!</definedName>
    <definedName name="_vena_MultiSiteS1_MultiSiteB1_C_FV_e3545e3dcc52420a84dcdae3a23a4597_79" localSheetId="8">'[1]FY26 MYP-Multisite'!#REF!</definedName>
    <definedName name="_vena_MultiSiteS1_MultiSiteB1_C_FV_e3545e3dcc52420a84dcdae3a23a4597_79" localSheetId="3">#REF!</definedName>
    <definedName name="_vena_MultiSiteS1_MultiSiteB1_C_FV_e3545e3dcc52420a84dcdae3a23a4597_79">#REF!</definedName>
    <definedName name="_vena_MultiSiteS1_MultiSiteB1_C_FV_e3545e3dcc52420a84dcdae3a23a4597_8">#REF!</definedName>
    <definedName name="_vena_MultiSiteS1_MultiSiteB1_C_FV_e3545e3dcc52420a84dcdae3a23a4597_80" localSheetId="4">#REF!</definedName>
    <definedName name="_vena_MultiSiteS1_MultiSiteB1_C_FV_e3545e3dcc52420a84dcdae3a23a4597_80" localSheetId="5">#REF!</definedName>
    <definedName name="_vena_MultiSiteS1_MultiSiteB1_C_FV_e3545e3dcc52420a84dcdae3a23a4597_80" localSheetId="8">'[1]FY26 MYP-Multisite'!#REF!</definedName>
    <definedName name="_vena_MultiSiteS1_MultiSiteB1_C_FV_e3545e3dcc52420a84dcdae3a23a4597_80" localSheetId="3">#REF!</definedName>
    <definedName name="_vena_MultiSiteS1_MultiSiteB1_C_FV_e3545e3dcc52420a84dcdae3a23a4597_80">#REF!</definedName>
    <definedName name="_vena_MultiSiteS1_MultiSiteB1_C_FV_e3545e3dcc52420a84dcdae3a23a4597_81" localSheetId="4">#REF!</definedName>
    <definedName name="_vena_MultiSiteS1_MultiSiteB1_C_FV_e3545e3dcc52420a84dcdae3a23a4597_81" localSheetId="5">#REF!</definedName>
    <definedName name="_vena_MultiSiteS1_MultiSiteB1_C_FV_e3545e3dcc52420a84dcdae3a23a4597_81" localSheetId="8">'[1]FY26 MYP-Multisite'!#REF!</definedName>
    <definedName name="_vena_MultiSiteS1_MultiSiteB1_C_FV_e3545e3dcc52420a84dcdae3a23a4597_81" localSheetId="3">#REF!</definedName>
    <definedName name="_vena_MultiSiteS1_MultiSiteB1_C_FV_e3545e3dcc52420a84dcdae3a23a4597_81">#REF!</definedName>
    <definedName name="_vena_MultiSiteS1_MultiSiteB1_C_FV_e3545e3dcc52420a84dcdae3a23a4597_82" localSheetId="4">#REF!</definedName>
    <definedName name="_vena_MultiSiteS1_MultiSiteB1_C_FV_e3545e3dcc52420a84dcdae3a23a4597_82" localSheetId="5">#REF!</definedName>
    <definedName name="_vena_MultiSiteS1_MultiSiteB1_C_FV_e3545e3dcc52420a84dcdae3a23a4597_82" localSheetId="8">'[1]FY26 MYP-Multisite'!#REF!</definedName>
    <definedName name="_vena_MultiSiteS1_MultiSiteB1_C_FV_e3545e3dcc52420a84dcdae3a23a4597_82" localSheetId="3">#REF!</definedName>
    <definedName name="_vena_MultiSiteS1_MultiSiteB1_C_FV_e3545e3dcc52420a84dcdae3a23a4597_82">#REF!</definedName>
    <definedName name="_vena_MultiSiteS1_MultiSiteB1_C_FV_e3545e3dcc52420a84dcdae3a23a4597_83" localSheetId="4">#REF!</definedName>
    <definedName name="_vena_MultiSiteS1_MultiSiteB1_C_FV_e3545e3dcc52420a84dcdae3a23a4597_83" localSheetId="5">#REF!</definedName>
    <definedName name="_vena_MultiSiteS1_MultiSiteB1_C_FV_e3545e3dcc52420a84dcdae3a23a4597_83" localSheetId="8">'[1]FY26 MYP-Multisite'!#REF!</definedName>
    <definedName name="_vena_MultiSiteS1_MultiSiteB1_C_FV_e3545e3dcc52420a84dcdae3a23a4597_83" localSheetId="3">#REF!</definedName>
    <definedName name="_vena_MultiSiteS1_MultiSiteB1_C_FV_e3545e3dcc52420a84dcdae3a23a4597_83">#REF!</definedName>
    <definedName name="_vena_MultiSiteS1_MultiSiteB1_C_FV_e3545e3dcc52420a84dcdae3a23a4597_84" localSheetId="4">#REF!</definedName>
    <definedName name="_vena_MultiSiteS1_MultiSiteB1_C_FV_e3545e3dcc52420a84dcdae3a23a4597_84" localSheetId="5">#REF!</definedName>
    <definedName name="_vena_MultiSiteS1_MultiSiteB1_C_FV_e3545e3dcc52420a84dcdae3a23a4597_84" localSheetId="8">'[1]FY26 MYP-Multisite'!#REF!</definedName>
    <definedName name="_vena_MultiSiteS1_MultiSiteB1_C_FV_e3545e3dcc52420a84dcdae3a23a4597_84" localSheetId="3">#REF!</definedName>
    <definedName name="_vena_MultiSiteS1_MultiSiteB1_C_FV_e3545e3dcc52420a84dcdae3a23a4597_84">#REF!</definedName>
    <definedName name="_vena_MultiSiteS1_MultiSiteB1_C_FV_e3545e3dcc52420a84dcdae3a23a4597_85" localSheetId="4">#REF!</definedName>
    <definedName name="_vena_MultiSiteS1_MultiSiteB1_C_FV_e3545e3dcc52420a84dcdae3a23a4597_85" localSheetId="5">#REF!</definedName>
    <definedName name="_vena_MultiSiteS1_MultiSiteB1_C_FV_e3545e3dcc52420a84dcdae3a23a4597_85" localSheetId="8">'[1]FY26 MYP-Multisite'!#REF!</definedName>
    <definedName name="_vena_MultiSiteS1_MultiSiteB1_C_FV_e3545e3dcc52420a84dcdae3a23a4597_85" localSheetId="3">#REF!</definedName>
    <definedName name="_vena_MultiSiteS1_MultiSiteB1_C_FV_e3545e3dcc52420a84dcdae3a23a4597_85">#REF!</definedName>
    <definedName name="_vena_MultiSiteS1_MultiSiteB1_C_FV_e3545e3dcc52420a84dcdae3a23a4597_86" localSheetId="4">#REF!</definedName>
    <definedName name="_vena_MultiSiteS1_MultiSiteB1_C_FV_e3545e3dcc52420a84dcdae3a23a4597_86" localSheetId="5">#REF!</definedName>
    <definedName name="_vena_MultiSiteS1_MultiSiteB1_C_FV_e3545e3dcc52420a84dcdae3a23a4597_86" localSheetId="8">'[1]FY26 MYP-Multisite'!#REF!</definedName>
    <definedName name="_vena_MultiSiteS1_MultiSiteB1_C_FV_e3545e3dcc52420a84dcdae3a23a4597_86" localSheetId="3">#REF!</definedName>
    <definedName name="_vena_MultiSiteS1_MultiSiteB1_C_FV_e3545e3dcc52420a84dcdae3a23a4597_86">#REF!</definedName>
    <definedName name="_vena_MultiSiteS1_MultiSiteB1_C_FV_e3545e3dcc52420a84dcdae3a23a4597_87" localSheetId="4">#REF!</definedName>
    <definedName name="_vena_MultiSiteS1_MultiSiteB1_C_FV_e3545e3dcc52420a84dcdae3a23a4597_87" localSheetId="5">#REF!</definedName>
    <definedName name="_vena_MultiSiteS1_MultiSiteB1_C_FV_e3545e3dcc52420a84dcdae3a23a4597_87" localSheetId="8">'[1]FY26 MYP-Multisite'!#REF!</definedName>
    <definedName name="_vena_MultiSiteS1_MultiSiteB1_C_FV_e3545e3dcc52420a84dcdae3a23a4597_87" localSheetId="3">#REF!</definedName>
    <definedName name="_vena_MultiSiteS1_MultiSiteB1_C_FV_e3545e3dcc52420a84dcdae3a23a4597_87">#REF!</definedName>
    <definedName name="_vena_MultiSiteS1_MultiSiteB1_C_FV_e3545e3dcc52420a84dcdae3a23a4597_88" localSheetId="4">#REF!</definedName>
    <definedName name="_vena_MultiSiteS1_MultiSiteB1_C_FV_e3545e3dcc52420a84dcdae3a23a4597_88" localSheetId="5">#REF!</definedName>
    <definedName name="_vena_MultiSiteS1_MultiSiteB1_C_FV_e3545e3dcc52420a84dcdae3a23a4597_88" localSheetId="8">'[1]FY26 MYP-Multisite'!#REF!</definedName>
    <definedName name="_vena_MultiSiteS1_MultiSiteB1_C_FV_e3545e3dcc52420a84dcdae3a23a4597_88" localSheetId="3">#REF!</definedName>
    <definedName name="_vena_MultiSiteS1_MultiSiteB1_C_FV_e3545e3dcc52420a84dcdae3a23a4597_88">#REF!</definedName>
    <definedName name="_vena_MultiSiteS1_MultiSiteB1_C_FV_e3545e3dcc52420a84dcdae3a23a4597_9">#REF!</definedName>
    <definedName name="_vena_MultiSiteS1_MultiSiteB1_R_5_1177395213267632128" localSheetId="4">#REF!</definedName>
    <definedName name="_vena_MultiSiteS1_MultiSiteB1_R_5_1177395213267632128" localSheetId="5">#REF!</definedName>
    <definedName name="_vena_MultiSiteS1_MultiSiteB1_R_5_1177395213267632128" localSheetId="8">'[1]FY26 MYP-Multisite'!#REF!</definedName>
    <definedName name="_vena_MultiSiteS1_MultiSiteB1_R_5_1177395213267632128" localSheetId="3">#REF!</definedName>
    <definedName name="_vena_MultiSiteS1_MultiSiteB1_R_5_1177395213267632128">#REF!</definedName>
    <definedName name="_vena_MultiSiteS1_MultiSiteB1_R_5_1390947502044348416" localSheetId="4">#REF!</definedName>
    <definedName name="_vena_MultiSiteS1_MultiSiteB1_R_5_1390947502044348416" localSheetId="5">#REF!</definedName>
    <definedName name="_vena_MultiSiteS1_MultiSiteB1_R_5_1390947502044348416" localSheetId="8">'[1]FY26 MYP-Multisite'!#REF!</definedName>
    <definedName name="_vena_MultiSiteS1_MultiSiteB1_R_5_1390947502044348416" localSheetId="3">#REF!</definedName>
    <definedName name="_vena_MultiSiteS1_MultiSiteB1_R_5_1390947502044348416">#REF!</definedName>
    <definedName name="_vena_MultiSiteS1_MultiSiteB1_R_5_444308604061876225" localSheetId="4">#REF!</definedName>
    <definedName name="_vena_MultiSiteS1_MultiSiteB1_R_5_444308604061876225" localSheetId="5">#REF!</definedName>
    <definedName name="_vena_MultiSiteS1_MultiSiteB1_R_5_444308604061876225" localSheetId="8">'[1]FY26 MYP-Multisite'!#REF!</definedName>
    <definedName name="_vena_MultiSiteS1_MultiSiteB1_R_5_444308604061876225" localSheetId="3">#REF!</definedName>
    <definedName name="_vena_MultiSiteS1_MultiSiteB1_R_5_444308604061876225">#REF!</definedName>
    <definedName name="_vena_MultiSiteS1_MultiSiteB1_R_5_444308604061876227" localSheetId="4">#REF!</definedName>
    <definedName name="_vena_MultiSiteS1_MultiSiteB1_R_5_444308604061876227" localSheetId="5">#REF!</definedName>
    <definedName name="_vena_MultiSiteS1_MultiSiteB1_R_5_444308604061876227" localSheetId="8">'[1]FY26 MYP-Multisite'!#REF!</definedName>
    <definedName name="_vena_MultiSiteS1_MultiSiteB1_R_5_444308604061876227" localSheetId="3">#REF!</definedName>
    <definedName name="_vena_MultiSiteS1_MultiSiteB1_R_5_444308604061876227">#REF!</definedName>
    <definedName name="_vena_MultiSiteS1_MultiSiteB1_R_5_444308604066070532" localSheetId="4">#REF!</definedName>
    <definedName name="_vena_MultiSiteS1_MultiSiteB1_R_5_444308604066070532" localSheetId="5">#REF!</definedName>
    <definedName name="_vena_MultiSiteS1_MultiSiteB1_R_5_444308604066070532" localSheetId="8">'[1]FY26 MYP-Multisite'!#REF!</definedName>
    <definedName name="_vena_MultiSiteS1_MultiSiteB1_R_5_444308604066070532" localSheetId="3">#REF!</definedName>
    <definedName name="_vena_MultiSiteS1_MultiSiteB1_R_5_444308604066070532">#REF!</definedName>
    <definedName name="_vena_MultiSiteS1_MultiSiteB1_R_5_444308604070264833" localSheetId="4">#REF!</definedName>
    <definedName name="_vena_MultiSiteS1_MultiSiteB1_R_5_444308604070264833" localSheetId="5">#REF!</definedName>
    <definedName name="_vena_MultiSiteS1_MultiSiteB1_R_5_444308604070264833" localSheetId="8">'[1]FY26 MYP-Multisite'!#REF!</definedName>
    <definedName name="_vena_MultiSiteS1_MultiSiteB1_R_5_444308604070264833" localSheetId="3">#REF!</definedName>
    <definedName name="_vena_MultiSiteS1_MultiSiteB1_R_5_444308604070264833">#REF!</definedName>
    <definedName name="_vena_MultiSiteS1_MultiSiteB1_R_5_444308604074459137" localSheetId="4">#REF!</definedName>
    <definedName name="_vena_MultiSiteS1_MultiSiteB1_R_5_444308604074459137" localSheetId="5">#REF!</definedName>
    <definedName name="_vena_MultiSiteS1_MultiSiteB1_R_5_444308604074459137" localSheetId="8">'[1]FY26 MYP-Multisite'!#REF!</definedName>
    <definedName name="_vena_MultiSiteS1_MultiSiteB1_R_5_444308604074459137" localSheetId="3">#REF!</definedName>
    <definedName name="_vena_MultiSiteS1_MultiSiteB1_R_5_444308604074459137">#REF!</definedName>
    <definedName name="_vena_MultiSiteS1_MultiSiteB1_R_5_444308604074459139" localSheetId="4">#REF!</definedName>
    <definedName name="_vena_MultiSiteS1_MultiSiteB1_R_5_444308604074459139" localSheetId="5">#REF!</definedName>
    <definedName name="_vena_MultiSiteS1_MultiSiteB1_R_5_444308604074459139" localSheetId="8">'[1]FY26 MYP-Multisite'!#REF!</definedName>
    <definedName name="_vena_MultiSiteS1_MultiSiteB1_R_5_444308604074459139" localSheetId="3">#REF!</definedName>
    <definedName name="_vena_MultiSiteS1_MultiSiteB1_R_5_444308604074459139">#REF!</definedName>
    <definedName name="_vena_MultiSiteS1_MultiSiteB1_R_5_444308604078653441" localSheetId="4">#REF!</definedName>
    <definedName name="_vena_MultiSiteS1_MultiSiteB1_R_5_444308604078653441" localSheetId="5">#REF!</definedName>
    <definedName name="_vena_MultiSiteS1_MultiSiteB1_R_5_444308604078653441" localSheetId="8">'[1]FY26 MYP-Multisite'!#REF!</definedName>
    <definedName name="_vena_MultiSiteS1_MultiSiteB1_R_5_444308604078653441" localSheetId="3">#REF!</definedName>
    <definedName name="_vena_MultiSiteS1_MultiSiteB1_R_5_444308604078653441">#REF!</definedName>
    <definedName name="_vena_MultiSiteS1_MultiSiteB1_R_5_444308604082847745" localSheetId="4">#REF!</definedName>
    <definedName name="_vena_MultiSiteS1_MultiSiteB1_R_5_444308604082847745" localSheetId="5">#REF!</definedName>
    <definedName name="_vena_MultiSiteS1_MultiSiteB1_R_5_444308604082847745" localSheetId="8">'[1]FY26 MYP-Multisite'!#REF!</definedName>
    <definedName name="_vena_MultiSiteS1_MultiSiteB1_R_5_444308604082847745" localSheetId="3">#REF!</definedName>
    <definedName name="_vena_MultiSiteS1_MultiSiteB1_R_5_444308604082847745">#REF!</definedName>
    <definedName name="_vena_MultiSiteS1_MultiSiteB1_R_5_444308604082847747" localSheetId="4">#REF!</definedName>
    <definedName name="_vena_MultiSiteS1_MultiSiteB1_R_5_444308604082847747" localSheetId="5">#REF!</definedName>
    <definedName name="_vena_MultiSiteS1_MultiSiteB1_R_5_444308604082847747" localSheetId="8">'[1]FY26 MYP-Multisite'!#REF!</definedName>
    <definedName name="_vena_MultiSiteS1_MultiSiteB1_R_5_444308604082847747" localSheetId="3">#REF!</definedName>
    <definedName name="_vena_MultiSiteS1_MultiSiteB1_R_5_444308604082847747">#REF!</definedName>
    <definedName name="_vena_MultiSiteS1_MultiSiteB1_R_5_444308604087042049" localSheetId="4">#REF!</definedName>
    <definedName name="_vena_MultiSiteS1_MultiSiteB1_R_5_444308604087042049" localSheetId="5">#REF!</definedName>
    <definedName name="_vena_MultiSiteS1_MultiSiteB1_R_5_444308604087042049" localSheetId="8">'[1]FY26 MYP-Multisite'!#REF!</definedName>
    <definedName name="_vena_MultiSiteS1_MultiSiteB1_R_5_444308604087042049" localSheetId="3">#REF!</definedName>
    <definedName name="_vena_MultiSiteS1_MultiSiteB1_R_5_444308604087042049">#REF!</definedName>
    <definedName name="_vena_MultiSiteS1_MultiSiteB1_R_5_444308604087042051" localSheetId="4">#REF!</definedName>
    <definedName name="_vena_MultiSiteS1_MultiSiteB1_R_5_444308604087042051" localSheetId="5">#REF!</definedName>
    <definedName name="_vena_MultiSiteS1_MultiSiteB1_R_5_444308604087042051" localSheetId="8">'[1]FY26 MYP-Multisite'!#REF!</definedName>
    <definedName name="_vena_MultiSiteS1_MultiSiteB1_R_5_444308604087042051" localSheetId="3">#REF!</definedName>
    <definedName name="_vena_MultiSiteS1_MultiSiteB1_R_5_444308604087042051">#REF!</definedName>
    <definedName name="_vena_MultiSiteS1_MultiSiteB1_R_5_444308604091236353" localSheetId="4">#REF!</definedName>
    <definedName name="_vena_MultiSiteS1_MultiSiteB1_R_5_444308604091236353" localSheetId="5">#REF!</definedName>
    <definedName name="_vena_MultiSiteS1_MultiSiteB1_R_5_444308604091236353" localSheetId="8">'[1]FY26 MYP-Multisite'!#REF!</definedName>
    <definedName name="_vena_MultiSiteS1_MultiSiteB1_R_5_444308604091236353" localSheetId="3">#REF!</definedName>
    <definedName name="_vena_MultiSiteS1_MultiSiteB1_R_5_444308604091236353">#REF!</definedName>
    <definedName name="_vena_MultiSiteS1_MultiSiteB1_R_5_444308604095430657" localSheetId="4">#REF!</definedName>
    <definedName name="_vena_MultiSiteS1_MultiSiteB1_R_5_444308604095430657" localSheetId="5">#REF!</definedName>
    <definedName name="_vena_MultiSiteS1_MultiSiteB1_R_5_444308604095430657" localSheetId="8">'[1]FY26 MYP-Multisite'!#REF!</definedName>
    <definedName name="_vena_MultiSiteS1_MultiSiteB1_R_5_444308604095430657" localSheetId="3">#REF!</definedName>
    <definedName name="_vena_MultiSiteS1_MultiSiteB1_R_5_444308604095430657">#REF!</definedName>
    <definedName name="_vena_MultiSiteS1_MultiSiteB1_R_5_444308604116402177" localSheetId="4">#REF!</definedName>
    <definedName name="_vena_MultiSiteS1_MultiSiteB1_R_5_444308604116402177" localSheetId="5">#REF!</definedName>
    <definedName name="_vena_MultiSiteS1_MultiSiteB1_R_5_444308604116402177" localSheetId="8">'[1]FY26 MYP-Multisite'!#REF!</definedName>
    <definedName name="_vena_MultiSiteS1_MultiSiteB1_R_5_444308604116402177" localSheetId="3">#REF!</definedName>
    <definedName name="_vena_MultiSiteS1_MultiSiteB1_R_5_444308604116402177">#REF!</definedName>
    <definedName name="_vena_MultiSiteS1_MultiSiteB1_R_5_444308604116402179" localSheetId="4">#REF!</definedName>
    <definedName name="_vena_MultiSiteS1_MultiSiteB1_R_5_444308604116402179" localSheetId="5">#REF!</definedName>
    <definedName name="_vena_MultiSiteS1_MultiSiteB1_R_5_444308604116402179" localSheetId="8">'[1]FY26 MYP-Multisite'!#REF!</definedName>
    <definedName name="_vena_MultiSiteS1_MultiSiteB1_R_5_444308604116402179" localSheetId="3">#REF!</definedName>
    <definedName name="_vena_MultiSiteS1_MultiSiteB1_R_5_444308604116402179">#REF!</definedName>
    <definedName name="_vena_MultiSiteS1_MultiSiteB1_R_5_444308604120596481" localSheetId="4">#REF!</definedName>
    <definedName name="_vena_MultiSiteS1_MultiSiteB1_R_5_444308604120596481" localSheetId="5">#REF!</definedName>
    <definedName name="_vena_MultiSiteS1_MultiSiteB1_R_5_444308604120596481" localSheetId="8">'[1]FY26 MYP-Multisite'!#REF!</definedName>
    <definedName name="_vena_MultiSiteS1_MultiSiteB1_R_5_444308604120596481" localSheetId="3">#REF!</definedName>
    <definedName name="_vena_MultiSiteS1_MultiSiteB1_R_5_444308604120596481">#REF!</definedName>
    <definedName name="_vena_MultiSiteS1_MultiSiteB1_R_5_444308604124790785" localSheetId="4">#REF!</definedName>
    <definedName name="_vena_MultiSiteS1_MultiSiteB1_R_5_444308604124790785" localSheetId="5">#REF!</definedName>
    <definedName name="_vena_MultiSiteS1_MultiSiteB1_R_5_444308604124790785" localSheetId="8">'[1]FY26 MYP-Multisite'!#REF!</definedName>
    <definedName name="_vena_MultiSiteS1_MultiSiteB1_R_5_444308604124790785" localSheetId="3">#REF!</definedName>
    <definedName name="_vena_MultiSiteS1_MultiSiteB1_R_5_444308604124790785">#REF!</definedName>
    <definedName name="_vena_MultiSiteS1_MultiSiteB1_R_5_444308604124790787" localSheetId="4">#REF!</definedName>
    <definedName name="_vena_MultiSiteS1_MultiSiteB1_R_5_444308604124790787" localSheetId="5">#REF!</definedName>
    <definedName name="_vena_MultiSiteS1_MultiSiteB1_R_5_444308604124790787" localSheetId="8">'[1]FY26 MYP-Multisite'!#REF!</definedName>
    <definedName name="_vena_MultiSiteS1_MultiSiteB1_R_5_444308604124790787" localSheetId="3">#REF!</definedName>
    <definedName name="_vena_MultiSiteS1_MultiSiteB1_R_5_444308604124790787">#REF!</definedName>
    <definedName name="_vena_MultiSiteS1_MultiSiteB1_R_5_444308604128985089" localSheetId="4">#REF!</definedName>
    <definedName name="_vena_MultiSiteS1_MultiSiteB1_R_5_444308604128985089" localSheetId="5">#REF!</definedName>
    <definedName name="_vena_MultiSiteS1_MultiSiteB1_R_5_444308604128985089" localSheetId="8">'[1]FY26 MYP-Multisite'!#REF!</definedName>
    <definedName name="_vena_MultiSiteS1_MultiSiteB1_R_5_444308604128985089" localSheetId="3">#REF!</definedName>
    <definedName name="_vena_MultiSiteS1_MultiSiteB1_R_5_444308604128985089">#REF!</definedName>
    <definedName name="_vena_MultiSiteS1_MultiSiteB1_R_5_444308604133179393" localSheetId="4">#REF!</definedName>
    <definedName name="_vena_MultiSiteS1_MultiSiteB1_R_5_444308604133179393" localSheetId="5">#REF!</definedName>
    <definedName name="_vena_MultiSiteS1_MultiSiteB1_R_5_444308604133179393" localSheetId="8">'[1]FY26 MYP-Multisite'!#REF!</definedName>
    <definedName name="_vena_MultiSiteS1_MultiSiteB1_R_5_444308604133179393" localSheetId="3">#REF!</definedName>
    <definedName name="_vena_MultiSiteS1_MultiSiteB1_R_5_444308604133179393">#REF!</definedName>
    <definedName name="_vena_MultiSiteS1_MultiSiteB1_R_5_444308604137373699" localSheetId="4">#REF!</definedName>
    <definedName name="_vena_MultiSiteS1_MultiSiteB1_R_5_444308604137373699" localSheetId="5">#REF!</definedName>
    <definedName name="_vena_MultiSiteS1_MultiSiteB1_R_5_444308604137373699" localSheetId="8">'[1]FY26 MYP-Multisite'!#REF!</definedName>
    <definedName name="_vena_MultiSiteS1_MultiSiteB1_R_5_444308604137373699" localSheetId="3">#REF!</definedName>
    <definedName name="_vena_MultiSiteS1_MultiSiteB1_R_5_444308604137373699">#REF!</definedName>
    <definedName name="_vena_MultiSiteS1_MultiSiteB1_R_5_444308604141568003" localSheetId="4">#REF!</definedName>
    <definedName name="_vena_MultiSiteS1_MultiSiteB1_R_5_444308604141568003" localSheetId="5">#REF!</definedName>
    <definedName name="_vena_MultiSiteS1_MultiSiteB1_R_5_444308604141568003" localSheetId="8">'[1]FY26 MYP-Multisite'!#REF!</definedName>
    <definedName name="_vena_MultiSiteS1_MultiSiteB1_R_5_444308604141568003" localSheetId="3">#REF!</definedName>
    <definedName name="_vena_MultiSiteS1_MultiSiteB1_R_5_444308604141568003">#REF!</definedName>
    <definedName name="_vena_MultiSiteS1_MultiSiteB1_R_5_444308604149956609" localSheetId="4">#REF!</definedName>
    <definedName name="_vena_MultiSiteS1_MultiSiteB1_R_5_444308604149956609" localSheetId="5">#REF!</definedName>
    <definedName name="_vena_MultiSiteS1_MultiSiteB1_R_5_444308604149956609" localSheetId="8">'[1]FY26 MYP-Multisite'!#REF!</definedName>
    <definedName name="_vena_MultiSiteS1_MultiSiteB1_R_5_444308604149956609" localSheetId="3">#REF!</definedName>
    <definedName name="_vena_MultiSiteS1_MultiSiteB1_R_5_444308604149956609">#REF!</definedName>
    <definedName name="_vena_MultiSiteS1_MultiSiteB1_R_5_444308604154150913" localSheetId="4">#REF!</definedName>
    <definedName name="_vena_MultiSiteS1_MultiSiteB1_R_5_444308604154150913" localSheetId="5">#REF!</definedName>
    <definedName name="_vena_MultiSiteS1_MultiSiteB1_R_5_444308604154150913" localSheetId="8">'[1]FY26 MYP-Multisite'!#REF!</definedName>
    <definedName name="_vena_MultiSiteS1_MultiSiteB1_R_5_444308604154150913" localSheetId="3">#REF!</definedName>
    <definedName name="_vena_MultiSiteS1_MultiSiteB1_R_5_444308604154150913">#REF!</definedName>
    <definedName name="_vena_MultiSiteS1_MultiSiteB1_R_5_472311968301187073" localSheetId="4">#REF!</definedName>
    <definedName name="_vena_MultiSiteS1_MultiSiteB1_R_5_472311968301187073" localSheetId="5">#REF!</definedName>
    <definedName name="_vena_MultiSiteS1_MultiSiteB1_R_5_472311968301187073" localSheetId="8">'[1]FY26 MYP-Multisite'!#REF!</definedName>
    <definedName name="_vena_MultiSiteS1_MultiSiteB1_R_5_472311968301187073" localSheetId="3">#REF!</definedName>
    <definedName name="_vena_MultiSiteS1_MultiSiteB1_R_5_472311968301187073">#REF!</definedName>
    <definedName name="_vena_MultiSiteS1_MultiSiteB1_R_5_472311968305381377" localSheetId="4">#REF!</definedName>
    <definedName name="_vena_MultiSiteS1_MultiSiteB1_R_5_472311968305381377" localSheetId="5">#REF!</definedName>
    <definedName name="_vena_MultiSiteS1_MultiSiteB1_R_5_472311968305381377" localSheetId="8">'[1]FY26 MYP-Multisite'!#REF!</definedName>
    <definedName name="_vena_MultiSiteS1_MultiSiteB1_R_5_472311968305381377" localSheetId="3">#REF!</definedName>
    <definedName name="_vena_MultiSiteS1_MultiSiteB1_R_5_472311968305381377">#REF!</definedName>
    <definedName name="_vena_MultiSiteS1_MultiSiteB1_R_5_472311968309575681" localSheetId="4">#REF!</definedName>
    <definedName name="_vena_MultiSiteS1_MultiSiteB1_R_5_472311968309575681" localSheetId="5">#REF!</definedName>
    <definedName name="_vena_MultiSiteS1_MultiSiteB1_R_5_472311968309575681" localSheetId="8">'[1]FY26 MYP-Multisite'!#REF!</definedName>
    <definedName name="_vena_MultiSiteS1_MultiSiteB1_R_5_472311968309575681" localSheetId="3">#REF!</definedName>
    <definedName name="_vena_MultiSiteS1_MultiSiteB1_R_5_472311968309575681">#REF!</definedName>
    <definedName name="_vena_MultiSiteS1_MultiSiteB1_R_5_472311968326352896" localSheetId="4">#REF!</definedName>
    <definedName name="_vena_MultiSiteS1_MultiSiteB1_R_5_472311968326352896" localSheetId="5">#REF!</definedName>
    <definedName name="_vena_MultiSiteS1_MultiSiteB1_R_5_472311968326352896" localSheetId="8">'[1]FY26 MYP-Multisite'!#REF!</definedName>
    <definedName name="_vena_MultiSiteS1_MultiSiteB1_R_5_472311968326352896" localSheetId="3">#REF!</definedName>
    <definedName name="_vena_MultiSiteS1_MultiSiteB1_R_5_472311968326352896">#REF!</definedName>
    <definedName name="_vena_MultiSiteS1_MultiSiteB1_R_5_534875295979667456" localSheetId="4">#REF!</definedName>
    <definedName name="_vena_MultiSiteS1_MultiSiteB1_R_5_534875295979667456" localSheetId="5">#REF!</definedName>
    <definedName name="_vena_MultiSiteS1_MultiSiteB1_R_5_534875295979667456" localSheetId="8">'[1]FY26 MYP-Multisite'!#REF!</definedName>
    <definedName name="_vena_MultiSiteS1_MultiSiteB1_R_5_534875295979667456" localSheetId="3">#REF!</definedName>
    <definedName name="_vena_MultiSiteS1_MultiSiteB1_R_5_534875295979667456">#REF!</definedName>
    <definedName name="_vena_MultiSiteS1_MultiSiteB1_R_5_535682109713547264" localSheetId="4">#REF!</definedName>
    <definedName name="_vena_MultiSiteS1_MultiSiteB1_R_5_535682109713547264" localSheetId="5">#REF!</definedName>
    <definedName name="_vena_MultiSiteS1_MultiSiteB1_R_5_535682109713547264" localSheetId="8">'[1]FY26 MYP-Multisite'!#REF!</definedName>
    <definedName name="_vena_MultiSiteS1_MultiSiteB1_R_5_535682109713547264" localSheetId="3">#REF!</definedName>
    <definedName name="_vena_MultiSiteS1_MultiSiteB1_R_5_535682109713547264">#REF!</definedName>
    <definedName name="_vena_MultiSiteS1_MultiSiteB1_R_5_535694058593452032" localSheetId="4">#REF!</definedName>
    <definedName name="_vena_MultiSiteS1_MultiSiteB1_R_5_535694058593452032" localSheetId="5">#REF!</definedName>
    <definedName name="_vena_MultiSiteS1_MultiSiteB1_R_5_535694058593452032" localSheetId="8">'[1]FY26 MYP-Multisite'!#REF!</definedName>
    <definedName name="_vena_MultiSiteS1_MultiSiteB1_R_5_535694058593452032" localSheetId="3">#REF!</definedName>
    <definedName name="_vena_MultiSiteS1_MultiSiteB1_R_5_535694058593452032">#REF!</definedName>
    <definedName name="_vena_MultiSiteS1_MultiSiteB1_R_5_535694950537494528" localSheetId="4">#REF!</definedName>
    <definedName name="_vena_MultiSiteS1_MultiSiteB1_R_5_535694950537494528" localSheetId="5">#REF!</definedName>
    <definedName name="_vena_MultiSiteS1_MultiSiteB1_R_5_535694950537494528" localSheetId="8">'[1]FY26 MYP-Multisite'!#REF!</definedName>
    <definedName name="_vena_MultiSiteS1_MultiSiteB1_R_5_535694950537494528" localSheetId="3">#REF!</definedName>
    <definedName name="_vena_MultiSiteS1_MultiSiteB1_R_5_535694950537494528">#REF!</definedName>
    <definedName name="_vena_MultiSiteS1_MultiSiteB1_R_5_535695090094702658" localSheetId="4">#REF!</definedName>
    <definedName name="_vena_MultiSiteS1_MultiSiteB1_R_5_535695090094702658" localSheetId="5">#REF!</definedName>
    <definedName name="_vena_MultiSiteS1_MultiSiteB1_R_5_535695090094702658" localSheetId="8">'[1]FY26 MYP-Multisite'!#REF!</definedName>
    <definedName name="_vena_MultiSiteS1_MultiSiteB1_R_5_535695090094702658" localSheetId="3">#REF!</definedName>
    <definedName name="_vena_MultiSiteS1_MultiSiteB1_R_5_535695090094702658">#REF!</definedName>
    <definedName name="_vena_MultiSiteS1_MultiSiteB1_R_5_535697120485965824" localSheetId="4">#REF!</definedName>
    <definedName name="_vena_MultiSiteS1_MultiSiteB1_R_5_535697120485965824" localSheetId="5">#REF!</definedName>
    <definedName name="_vena_MultiSiteS1_MultiSiteB1_R_5_535697120485965824" localSheetId="8">'[1]FY26 MYP-Multisite'!#REF!</definedName>
    <definedName name="_vena_MultiSiteS1_MultiSiteB1_R_5_535697120485965824" localSheetId="3">#REF!</definedName>
    <definedName name="_vena_MultiSiteS1_MultiSiteB1_R_5_535697120485965824">#REF!</definedName>
    <definedName name="_vena_MultiSiteS1_MultiSiteB1_R_5_535697260110151680" localSheetId="4">#REF!</definedName>
    <definedName name="_vena_MultiSiteS1_MultiSiteB1_R_5_535697260110151680" localSheetId="5">#REF!</definedName>
    <definedName name="_vena_MultiSiteS1_MultiSiteB1_R_5_535697260110151680" localSheetId="8">'[1]FY26 MYP-Multisite'!#REF!</definedName>
    <definedName name="_vena_MultiSiteS1_MultiSiteB1_R_5_535697260110151680" localSheetId="3">#REF!</definedName>
    <definedName name="_vena_MultiSiteS1_MultiSiteB1_R_5_535697260110151680">#REF!</definedName>
    <definedName name="_vena_MultiSiteS1_MultiSiteB1_R_5_542464193711439872" localSheetId="4">#REF!</definedName>
    <definedName name="_vena_MultiSiteS1_MultiSiteB1_R_5_542464193711439872" localSheetId="5">#REF!</definedName>
    <definedName name="_vena_MultiSiteS1_MultiSiteB1_R_5_542464193711439872" localSheetId="8">'[1]FY26 MYP-Multisite'!#REF!</definedName>
    <definedName name="_vena_MultiSiteS1_MultiSiteB1_R_5_542464193711439872" localSheetId="3">#REF!</definedName>
    <definedName name="_vena_MultiSiteS1_MultiSiteB1_R_5_542464193711439872">#REF!</definedName>
    <definedName name="_vena_MultiSiteS1_MultiSiteB1_R_5_542464816905191424" localSheetId="4">#REF!</definedName>
    <definedName name="_vena_MultiSiteS1_MultiSiteB1_R_5_542464816905191424" localSheetId="5">#REF!</definedName>
    <definedName name="_vena_MultiSiteS1_MultiSiteB1_R_5_542464816905191424" localSheetId="8">'[1]FY26 MYP-Multisite'!#REF!</definedName>
    <definedName name="_vena_MultiSiteS1_MultiSiteB1_R_5_542464816905191424" localSheetId="3">#REF!</definedName>
    <definedName name="_vena_MultiSiteS1_MultiSiteB1_R_5_542464816905191424">#REF!</definedName>
    <definedName name="_vena_MultiSiteS1_MultiSiteB1_R_5_551651279631024130">#REF!</definedName>
    <definedName name="_vena_MultiSiteS1_MultiSiteB1_R_5_551651279660384256">#REF!</definedName>
    <definedName name="_vena_MultiSiteS1_MultiSiteB1_R_5_551651279782019072">#REF!</definedName>
    <definedName name="_vena_MultiSiteS1_MultiSiteB1_R_5_551651279811379201">#REF!</definedName>
    <definedName name="_vena_MultiSiteS1_MultiSiteB1_R_5_551651279891070978">#REF!</definedName>
    <definedName name="_vena_MultiSiteS1_MultiSiteB1_R_5_551651279941402626">#REF!</definedName>
    <definedName name="_vena_MultiSiteS1_MultiSiteB1_R_5_551651279970762754">#REF!</definedName>
    <definedName name="_vena_MultiSiteS1_MultiSiteB1_R_5_551651280058843138">#REF!</definedName>
    <definedName name="_vena_MultiSiteS1_MultiSiteB1_R_5_551651280142729216">#REF!</definedName>
    <definedName name="_vena_MultiSiteS1_MultiSiteB1_R_5_551651280209838080">#REF!</definedName>
    <definedName name="_vena_MultiSiteS1_MultiSiteB1_R_5_551651280289529856">#REF!</definedName>
    <definedName name="_vena_MultiSiteS1_MultiSiteB1_R_5_551651280348250114">#REF!</definedName>
    <definedName name="_vena_MultiSiteS1_MultiSiteB1_R_5_551651280402776066">#REF!</definedName>
    <definedName name="_vena_MultiSiteS1_MultiSiteB1_R_5_551651280432136192">#REF!</definedName>
    <definedName name="_vena_MultiSiteS1_MultiSiteB1_R_5_551651280474079234">#REF!</definedName>
    <definedName name="_vena_MultiSiteS1_MultiSiteB1_R_5_551651280503439360">#REF!</definedName>
    <definedName name="_vena_MultiSiteS1_MultiSiteB1_R_5_551651280897703938">#REF!</definedName>
    <definedName name="_vena_MultiSiteS1_MultiSiteB1_R_5_551651280922869762">#REF!</definedName>
    <definedName name="_vena_MultiSiteS1_MultiSiteB1_R_5_551651283452035072">#REF!</definedName>
    <definedName name="_vena_MultiSiteS1_MultiSiteB1_R_5_551651283527532546">#REF!</definedName>
    <definedName name="_vena_MultiSiteS1_MultiSiteB1_R_5_551651283586252800">#REF!</definedName>
    <definedName name="_vena_MultiSiteS1_MultiSiteB1_R_5_551651283607224322">#REF!</definedName>
    <definedName name="_vena_MultiSiteS1_MultiSiteB1_R_5_551651283795968002">#REF!</definedName>
    <definedName name="_vena_MultiSiteS1_MultiSiteB1_R_5_551651284035043328">#REF!</definedName>
    <definedName name="_vena_MultiSiteS1_MultiSiteB1_R_5_551651284118929408">#REF!</definedName>
    <definedName name="_vena_MultiSiteS1_MultiSiteB1_R_5_596138825748578304">#REF!</definedName>
    <definedName name="_vena_MultiSiteS1_MultiSiteB1_R_5_632005310852890630">#REF!</definedName>
    <definedName name="_vena_MultiSiteS1_MultiSiteB1_R_5_632005310886445064">#REF!</definedName>
    <definedName name="_vena_MultiSiteS1_MultiSiteB1_R_5_632005310945165312">#REF!</definedName>
    <definedName name="_vena_MultiSiteS1_MultiSiteB1_R_5_632005310945165314">#REF!</definedName>
    <definedName name="_vena_MultiSiteS1_MultiSiteB1_R_5_632005311058411522">#REF!</definedName>
    <definedName name="_vena_MultiSiteS1_MultiSiteB1_R_5_632005311196823560">#REF!</definedName>
    <definedName name="_vena_MultiSiteS1_MultiSiteB1_R_5_632005311372984320">#REF!</definedName>
    <definedName name="_vena_MultiSiteS1_MultiSiteB1_R_5_632005311372984322">#REF!</definedName>
    <definedName name="_vena_MultiSiteS1_MultiSiteB1_R_5_632005311444287488">#REF!</definedName>
    <definedName name="_vena_MultiSiteS1_MultiSiteB1_R_5_632005311528173572">#REF!</definedName>
    <definedName name="_vena_MultiSiteS1_MultiSiteB1_R_5_632005311540756484">#REF!</definedName>
    <definedName name="_vena_MultiSiteS1_MultiSiteB1_R_5_632005311565922306">#REF!</definedName>
    <definedName name="_vena_MultiSiteS1_MultiSiteB1_R_5_632005311909855232">#REF!</definedName>
    <definedName name="_vena_MultiSiteS1_MultiSiteB1_R_5_632005311943409666">#REF!</definedName>
    <definedName name="_vena_MultiSiteS1_MultiSiteB1_R_5_632005312094404608">#REF!</definedName>
    <definedName name="_vena_MultiSiteS1_MultiSiteB1_R_5_632005312153124864">#REF!</definedName>
    <definedName name="_vena_MultiSiteS1_MultiSiteB1_R_5_632005312295731204">#REF!</definedName>
    <definedName name="_vena_MultiSiteS1_MultiSiteB1_R_5_632005312337674244">#REF!</definedName>
    <definedName name="_vena_MultiSiteS1_MultiSiteB1_R_5_632005312371228680">#REF!</definedName>
    <definedName name="_vena_MultiSiteS1_MultiSiteB1_R_5_632005312526417920">#REF!</definedName>
    <definedName name="_vena_MultiSiteS1_MultiSiteB1_R_5_632005312539000840">#REF!</definedName>
    <definedName name="_vena_MultiSiteS1_MultiSiteB1_R_5_632005312547389442">#REF!</definedName>
    <definedName name="_vena_MultiSiteS1_MultiSiteB1_R_5_697602918727680000">#REF!</definedName>
    <definedName name="_vena_MultiSiteS1_MultiSiteB1_R_5_758572105981493250" localSheetId="4">#REF!</definedName>
    <definedName name="_vena_MultiSiteS1_MultiSiteB1_R_5_758572105981493250" localSheetId="5">#REF!</definedName>
    <definedName name="_vena_MultiSiteS1_MultiSiteB1_R_5_758572105981493250" localSheetId="8">'[1]FY26 MYP-Multisite'!#REF!</definedName>
    <definedName name="_vena_MultiSiteS1_MultiSiteB1_R_5_758572105981493250" localSheetId="3">#REF!</definedName>
    <definedName name="_vena_MultiSiteS1_MultiSiteB1_R_5_758572105981493250">#REF!</definedName>
    <definedName name="_vena_MultiSiteS1_MultiSiteB1_R_FV_42f34b52efc14701904e2bd69b949ebb">#REF!</definedName>
    <definedName name="_vena_MultiSiteS1_MultiSiteB1_R_FV_42f34b52efc14701904e2bd69b949ebb_1" localSheetId="4">#REF!</definedName>
    <definedName name="_vena_MultiSiteS1_MultiSiteB1_R_FV_42f34b52efc14701904e2bd69b949ebb_1" localSheetId="5">#REF!</definedName>
    <definedName name="_vena_MultiSiteS1_MultiSiteB1_R_FV_42f34b52efc14701904e2bd69b949ebb_1" localSheetId="8">'[1]FY26 MYP-Multisite'!#REF!</definedName>
    <definedName name="_vena_MultiSiteS1_MultiSiteB1_R_FV_42f34b52efc14701904e2bd69b949ebb_1" localSheetId="3">#REF!</definedName>
    <definedName name="_vena_MultiSiteS1_MultiSiteB1_R_FV_42f34b52efc14701904e2bd69b949ebb_1">#REF!</definedName>
    <definedName name="_vena_MultiSiteS1_MultiSiteB1_R_FV_42f34b52efc14701904e2bd69b949ebb_10">#REF!</definedName>
    <definedName name="_vena_MultiSiteS1_MultiSiteB1_R_FV_42f34b52efc14701904e2bd69b949ebb_100">#REF!</definedName>
    <definedName name="_vena_MultiSiteS1_MultiSiteB1_R_FV_42f34b52efc14701904e2bd69b949ebb_101">#REF!</definedName>
    <definedName name="_vena_MultiSiteS1_MultiSiteB1_R_FV_42f34b52efc14701904e2bd69b949ebb_102">#REF!</definedName>
    <definedName name="_vena_MultiSiteS1_MultiSiteB1_R_FV_42f34b52efc14701904e2bd69b949ebb_103">#REF!</definedName>
    <definedName name="_vena_MultiSiteS1_MultiSiteB1_R_FV_42f34b52efc14701904e2bd69b949ebb_104">#REF!</definedName>
    <definedName name="_vena_MultiSiteS1_MultiSiteB1_R_FV_42f34b52efc14701904e2bd69b949ebb_105">#REF!</definedName>
    <definedName name="_vena_MultiSiteS1_MultiSiteB1_R_FV_42f34b52efc14701904e2bd69b949ebb_106">#REF!</definedName>
    <definedName name="_vena_MultiSiteS1_MultiSiteB1_R_FV_42f34b52efc14701904e2bd69b949ebb_107">#REF!</definedName>
    <definedName name="_vena_MultiSiteS1_MultiSiteB1_R_FV_42f34b52efc14701904e2bd69b949ebb_108">#REF!</definedName>
    <definedName name="_vena_MultiSiteS1_MultiSiteB1_R_FV_42f34b52efc14701904e2bd69b949ebb_109">#REF!</definedName>
    <definedName name="_vena_MultiSiteS1_MultiSiteB1_R_FV_42f34b52efc14701904e2bd69b949ebb_11">#REF!</definedName>
    <definedName name="_vena_MultiSiteS1_MultiSiteB1_R_FV_42f34b52efc14701904e2bd69b949ebb_110" localSheetId="4">#REF!</definedName>
    <definedName name="_vena_MultiSiteS1_MultiSiteB1_R_FV_42f34b52efc14701904e2bd69b949ebb_110" localSheetId="5">#REF!</definedName>
    <definedName name="_vena_MultiSiteS1_MultiSiteB1_R_FV_42f34b52efc14701904e2bd69b949ebb_110" localSheetId="8">'[1]FY26 MYP-Multisite'!#REF!</definedName>
    <definedName name="_vena_MultiSiteS1_MultiSiteB1_R_FV_42f34b52efc14701904e2bd69b949ebb_110" localSheetId="3">#REF!</definedName>
    <definedName name="_vena_MultiSiteS1_MultiSiteB1_R_FV_42f34b52efc14701904e2bd69b949ebb_110">#REF!</definedName>
    <definedName name="_vena_MultiSiteS1_MultiSiteB1_R_FV_42f34b52efc14701904e2bd69b949ebb_111">#REF!</definedName>
    <definedName name="_vena_MultiSiteS1_MultiSiteB1_R_FV_42f34b52efc14701904e2bd69b949ebb_112">#REF!</definedName>
    <definedName name="_vena_MultiSiteS1_MultiSiteB1_R_FV_42f34b52efc14701904e2bd69b949ebb_113">#REF!</definedName>
    <definedName name="_vena_MultiSiteS1_MultiSiteB1_R_FV_42f34b52efc14701904e2bd69b949ebb_114">#REF!</definedName>
    <definedName name="_vena_MultiSiteS1_MultiSiteB1_R_FV_42f34b52efc14701904e2bd69b949ebb_115">#REF!</definedName>
    <definedName name="_vena_MultiSiteS1_MultiSiteB1_R_FV_42f34b52efc14701904e2bd69b949ebb_116">#REF!</definedName>
    <definedName name="_vena_MultiSiteS1_MultiSiteB1_R_FV_42f34b52efc14701904e2bd69b949ebb_117">#REF!</definedName>
    <definedName name="_vena_MultiSiteS1_MultiSiteB1_R_FV_42f34b52efc14701904e2bd69b949ebb_118">#REF!</definedName>
    <definedName name="_vena_MultiSiteS1_MultiSiteB1_R_FV_42f34b52efc14701904e2bd69b949ebb_119">#REF!</definedName>
    <definedName name="_vena_MultiSiteS1_MultiSiteB1_R_FV_42f34b52efc14701904e2bd69b949ebb_12">#REF!</definedName>
    <definedName name="_vena_MultiSiteS1_MultiSiteB1_R_FV_42f34b52efc14701904e2bd69b949ebb_120">#REF!</definedName>
    <definedName name="_vena_MultiSiteS1_MultiSiteB1_R_FV_42f34b52efc14701904e2bd69b949ebb_121">#REF!</definedName>
    <definedName name="_vena_MultiSiteS1_MultiSiteB1_R_FV_42f34b52efc14701904e2bd69b949ebb_122">#REF!</definedName>
    <definedName name="_vena_MultiSiteS1_MultiSiteB1_R_FV_42f34b52efc14701904e2bd69b949ebb_123">#REF!</definedName>
    <definedName name="_vena_MultiSiteS1_MultiSiteB1_R_FV_42f34b52efc14701904e2bd69b949ebb_124">#REF!</definedName>
    <definedName name="_vena_MultiSiteS1_MultiSiteB1_R_FV_42f34b52efc14701904e2bd69b949ebb_125">#REF!</definedName>
    <definedName name="_vena_MultiSiteS1_MultiSiteB1_R_FV_42f34b52efc14701904e2bd69b949ebb_126">#REF!</definedName>
    <definedName name="_vena_MultiSiteS1_MultiSiteB1_R_FV_42f34b52efc14701904e2bd69b949ebb_127">#REF!</definedName>
    <definedName name="_vena_MultiSiteS1_MultiSiteB1_R_FV_42f34b52efc14701904e2bd69b949ebb_128">#REF!</definedName>
    <definedName name="_vena_MultiSiteS1_MultiSiteB1_R_FV_42f34b52efc14701904e2bd69b949ebb_129">#REF!</definedName>
    <definedName name="_vena_MultiSiteS1_MultiSiteB1_R_FV_42f34b52efc14701904e2bd69b949ebb_13">#REF!</definedName>
    <definedName name="_vena_MultiSiteS1_MultiSiteB1_R_FV_42f34b52efc14701904e2bd69b949ebb_130">#REF!</definedName>
    <definedName name="_vena_MultiSiteS1_MultiSiteB1_R_FV_42f34b52efc14701904e2bd69b949ebb_131">#REF!</definedName>
    <definedName name="_vena_MultiSiteS1_MultiSiteB1_R_FV_42f34b52efc14701904e2bd69b949ebb_132">#REF!</definedName>
    <definedName name="_vena_MultiSiteS1_MultiSiteB1_R_FV_42f34b52efc14701904e2bd69b949ebb_133">#REF!</definedName>
    <definedName name="_vena_MultiSiteS1_MultiSiteB1_R_FV_42f34b52efc14701904e2bd69b949ebb_134">#REF!</definedName>
    <definedName name="_vena_MultiSiteS1_MultiSiteB1_R_FV_42f34b52efc14701904e2bd69b949ebb_135">#REF!</definedName>
    <definedName name="_vena_MultiSiteS1_MultiSiteB1_R_FV_42f34b52efc14701904e2bd69b949ebb_136">#REF!</definedName>
    <definedName name="_vena_MultiSiteS1_MultiSiteB1_R_FV_42f34b52efc14701904e2bd69b949ebb_137">#REF!</definedName>
    <definedName name="_vena_MultiSiteS1_MultiSiteB1_R_FV_42f34b52efc14701904e2bd69b949ebb_138">#REF!</definedName>
    <definedName name="_vena_MultiSiteS1_MultiSiteB1_R_FV_42f34b52efc14701904e2bd69b949ebb_139">#REF!</definedName>
    <definedName name="_vena_MultiSiteS1_MultiSiteB1_R_FV_42f34b52efc14701904e2bd69b949ebb_14">#REF!</definedName>
    <definedName name="_vena_MultiSiteS1_MultiSiteB1_R_FV_42f34b52efc14701904e2bd69b949ebb_140">#REF!</definedName>
    <definedName name="_vena_MultiSiteS1_MultiSiteB1_R_FV_42f34b52efc14701904e2bd69b949ebb_141">#REF!</definedName>
    <definedName name="_vena_MultiSiteS1_MultiSiteB1_R_FV_42f34b52efc14701904e2bd69b949ebb_142">#REF!</definedName>
    <definedName name="_vena_MultiSiteS1_MultiSiteB1_R_FV_42f34b52efc14701904e2bd69b949ebb_143">#REF!</definedName>
    <definedName name="_vena_MultiSiteS1_MultiSiteB1_R_FV_42f34b52efc14701904e2bd69b949ebb_144">#REF!</definedName>
    <definedName name="_vena_MultiSiteS1_MultiSiteB1_R_FV_42f34b52efc14701904e2bd69b949ebb_145">#REF!</definedName>
    <definedName name="_vena_MultiSiteS1_MultiSiteB1_R_FV_42f34b52efc14701904e2bd69b949ebb_146">#REF!</definedName>
    <definedName name="_vena_MultiSiteS1_MultiSiteB1_R_FV_42f34b52efc14701904e2bd69b949ebb_147">#REF!</definedName>
    <definedName name="_vena_MultiSiteS1_MultiSiteB1_R_FV_42f34b52efc14701904e2bd69b949ebb_148">#REF!</definedName>
    <definedName name="_vena_MultiSiteS1_MultiSiteB1_R_FV_42f34b52efc14701904e2bd69b949ebb_149">#REF!</definedName>
    <definedName name="_vena_MultiSiteS1_MultiSiteB1_R_FV_42f34b52efc14701904e2bd69b949ebb_15">#REF!</definedName>
    <definedName name="_vena_MultiSiteS1_MultiSiteB1_R_FV_42f34b52efc14701904e2bd69b949ebb_150">#REF!</definedName>
    <definedName name="_vena_MultiSiteS1_MultiSiteB1_R_FV_42f34b52efc14701904e2bd69b949ebb_151">#REF!</definedName>
    <definedName name="_vena_MultiSiteS1_MultiSiteB1_R_FV_42f34b52efc14701904e2bd69b949ebb_152" localSheetId="4">#REF!</definedName>
    <definedName name="_vena_MultiSiteS1_MultiSiteB1_R_FV_42f34b52efc14701904e2bd69b949ebb_152" localSheetId="5">#REF!</definedName>
    <definedName name="_vena_MultiSiteS1_MultiSiteB1_R_FV_42f34b52efc14701904e2bd69b949ebb_152" localSheetId="8">'[1]FY26 MYP-Multisite'!#REF!</definedName>
    <definedName name="_vena_MultiSiteS1_MultiSiteB1_R_FV_42f34b52efc14701904e2bd69b949ebb_152" localSheetId="3">#REF!</definedName>
    <definedName name="_vena_MultiSiteS1_MultiSiteB1_R_FV_42f34b52efc14701904e2bd69b949ebb_152">#REF!</definedName>
    <definedName name="_vena_MultiSiteS1_MultiSiteB1_R_FV_42f34b52efc14701904e2bd69b949ebb_153">#REF!</definedName>
    <definedName name="_vena_MultiSiteS1_MultiSiteB1_R_FV_42f34b52efc14701904e2bd69b949ebb_154">#REF!</definedName>
    <definedName name="_vena_MultiSiteS1_MultiSiteB1_R_FV_42f34b52efc14701904e2bd69b949ebb_155">#REF!</definedName>
    <definedName name="_vena_MultiSiteS1_MultiSiteB1_R_FV_42f34b52efc14701904e2bd69b949ebb_156">#REF!</definedName>
    <definedName name="_vena_MultiSiteS1_MultiSiteB1_R_FV_42f34b52efc14701904e2bd69b949ebb_157">#REF!</definedName>
    <definedName name="_vena_MultiSiteS1_MultiSiteB1_R_FV_42f34b52efc14701904e2bd69b949ebb_158">#REF!</definedName>
    <definedName name="_vena_MultiSiteS1_MultiSiteB1_R_FV_42f34b52efc14701904e2bd69b949ebb_159">#REF!</definedName>
    <definedName name="_vena_MultiSiteS1_MultiSiteB1_R_FV_42f34b52efc14701904e2bd69b949ebb_16">#REF!</definedName>
    <definedName name="_vena_MultiSiteS1_MultiSiteB1_R_FV_42f34b52efc14701904e2bd69b949ebb_160">#REF!</definedName>
    <definedName name="_vena_MultiSiteS1_MultiSiteB1_R_FV_42f34b52efc14701904e2bd69b949ebb_161">#REF!</definedName>
    <definedName name="_vena_MultiSiteS1_MultiSiteB1_R_FV_42f34b52efc14701904e2bd69b949ebb_162">#REF!</definedName>
    <definedName name="_vena_MultiSiteS1_MultiSiteB1_R_FV_42f34b52efc14701904e2bd69b949ebb_163">#REF!</definedName>
    <definedName name="_vena_MultiSiteS1_MultiSiteB1_R_FV_42f34b52efc14701904e2bd69b949ebb_164">#REF!</definedName>
    <definedName name="_vena_MultiSiteS1_MultiSiteB1_R_FV_42f34b52efc14701904e2bd69b949ebb_165">#REF!</definedName>
    <definedName name="_vena_MultiSiteS1_MultiSiteB1_R_FV_42f34b52efc14701904e2bd69b949ebb_166">#REF!</definedName>
    <definedName name="_vena_MultiSiteS1_MultiSiteB1_R_FV_42f34b52efc14701904e2bd69b949ebb_167">#REF!</definedName>
    <definedName name="_vena_MultiSiteS1_MultiSiteB1_R_FV_42f34b52efc14701904e2bd69b949ebb_168">#REF!</definedName>
    <definedName name="_vena_MultiSiteS1_MultiSiteB1_R_FV_42f34b52efc14701904e2bd69b949ebb_169">#REF!</definedName>
    <definedName name="_vena_MultiSiteS1_MultiSiteB1_R_FV_42f34b52efc14701904e2bd69b949ebb_17">#REF!</definedName>
    <definedName name="_vena_MultiSiteS1_MultiSiteB1_R_FV_42f34b52efc14701904e2bd69b949ebb_170">#REF!</definedName>
    <definedName name="_vena_MultiSiteS1_MultiSiteB1_R_FV_42f34b52efc14701904e2bd69b949ebb_171">#REF!</definedName>
    <definedName name="_vena_MultiSiteS1_MultiSiteB1_R_FV_42f34b52efc14701904e2bd69b949ebb_172">#REF!</definedName>
    <definedName name="_vena_MultiSiteS1_MultiSiteB1_R_FV_42f34b52efc14701904e2bd69b949ebb_173">#REF!</definedName>
    <definedName name="_vena_MultiSiteS1_MultiSiteB1_R_FV_42f34b52efc14701904e2bd69b949ebb_174">#REF!</definedName>
    <definedName name="_vena_MultiSiteS1_MultiSiteB1_R_FV_42f34b52efc14701904e2bd69b949ebb_175">#REF!</definedName>
    <definedName name="_vena_MultiSiteS1_MultiSiteB1_R_FV_42f34b52efc14701904e2bd69b949ebb_176">#REF!</definedName>
    <definedName name="_vena_MultiSiteS1_MultiSiteB1_R_FV_42f34b52efc14701904e2bd69b949ebb_177">#REF!</definedName>
    <definedName name="_vena_MultiSiteS1_MultiSiteB1_R_FV_42f34b52efc14701904e2bd69b949ebb_178">#REF!</definedName>
    <definedName name="_vena_MultiSiteS1_MultiSiteB1_R_FV_42f34b52efc14701904e2bd69b949ebb_179">#REF!</definedName>
    <definedName name="_vena_MultiSiteS1_MultiSiteB1_R_FV_42f34b52efc14701904e2bd69b949ebb_18">#REF!</definedName>
    <definedName name="_vena_MultiSiteS1_MultiSiteB1_R_FV_42f34b52efc14701904e2bd69b949ebb_180">#REF!</definedName>
    <definedName name="_vena_MultiSiteS1_MultiSiteB1_R_FV_42f34b52efc14701904e2bd69b949ebb_181">#REF!</definedName>
    <definedName name="_vena_MultiSiteS1_MultiSiteB1_R_FV_42f34b52efc14701904e2bd69b949ebb_182">#REF!</definedName>
    <definedName name="_vena_MultiSiteS1_MultiSiteB1_R_FV_42f34b52efc14701904e2bd69b949ebb_183">#REF!</definedName>
    <definedName name="_vena_MultiSiteS1_MultiSiteB1_R_FV_42f34b52efc14701904e2bd69b949ebb_184">#REF!</definedName>
    <definedName name="_vena_MultiSiteS1_MultiSiteB1_R_FV_42f34b52efc14701904e2bd69b949ebb_185">#REF!</definedName>
    <definedName name="_vena_MultiSiteS1_MultiSiteB1_R_FV_42f34b52efc14701904e2bd69b949ebb_186">#REF!</definedName>
    <definedName name="_vena_MultiSiteS1_MultiSiteB1_R_FV_42f34b52efc14701904e2bd69b949ebb_187">#REF!</definedName>
    <definedName name="_vena_MultiSiteS1_MultiSiteB1_R_FV_42f34b52efc14701904e2bd69b949ebb_188">#REF!</definedName>
    <definedName name="_vena_MultiSiteS1_MultiSiteB1_R_FV_42f34b52efc14701904e2bd69b949ebb_189">#REF!</definedName>
    <definedName name="_vena_MultiSiteS1_MultiSiteB1_R_FV_42f34b52efc14701904e2bd69b949ebb_19">#REF!</definedName>
    <definedName name="_vena_MultiSiteS1_MultiSiteB1_R_FV_42f34b52efc14701904e2bd69b949ebb_190">#REF!</definedName>
    <definedName name="_vena_MultiSiteS1_MultiSiteB1_R_FV_42f34b52efc14701904e2bd69b949ebb_191">#REF!</definedName>
    <definedName name="_vena_MultiSiteS1_MultiSiteB1_R_FV_42f34b52efc14701904e2bd69b949ebb_192">#REF!</definedName>
    <definedName name="_vena_MultiSiteS1_MultiSiteB1_R_FV_42f34b52efc14701904e2bd69b949ebb_193">#REF!</definedName>
    <definedName name="_vena_MultiSiteS1_MultiSiteB1_R_FV_42f34b52efc14701904e2bd69b949ebb_194">#REF!</definedName>
    <definedName name="_vena_MultiSiteS1_MultiSiteB1_R_FV_42f34b52efc14701904e2bd69b949ebb_195">#REF!</definedName>
    <definedName name="_vena_MultiSiteS1_MultiSiteB1_R_FV_42f34b52efc14701904e2bd69b949ebb_196">#REF!</definedName>
    <definedName name="_vena_MultiSiteS1_MultiSiteB1_R_FV_42f34b52efc14701904e2bd69b949ebb_197">#REF!</definedName>
    <definedName name="_vena_MultiSiteS1_MultiSiteB1_R_FV_42f34b52efc14701904e2bd69b949ebb_198">#REF!</definedName>
    <definedName name="_vena_MultiSiteS1_MultiSiteB1_R_FV_42f34b52efc14701904e2bd69b949ebb_199">#REF!</definedName>
    <definedName name="_vena_MultiSiteS1_MultiSiteB1_R_FV_42f34b52efc14701904e2bd69b949ebb_2">#REF!</definedName>
    <definedName name="_vena_MultiSiteS1_MultiSiteB1_R_FV_42f34b52efc14701904e2bd69b949ebb_200">#REF!</definedName>
    <definedName name="_vena_MultiSiteS1_MultiSiteB1_R_FV_42f34b52efc14701904e2bd69b949ebb_201">#REF!</definedName>
    <definedName name="_vena_MultiSiteS1_MultiSiteB1_R_FV_42f34b52efc14701904e2bd69b949ebb_202">#REF!</definedName>
    <definedName name="_vena_MultiSiteS1_MultiSiteB1_R_FV_42f34b52efc14701904e2bd69b949ebb_203">#REF!</definedName>
    <definedName name="_vena_MultiSiteS1_MultiSiteB1_R_FV_42f34b52efc14701904e2bd69b949ebb_204">#REF!</definedName>
    <definedName name="_vena_MultiSiteS1_MultiSiteB1_R_FV_42f34b52efc14701904e2bd69b949ebb_205">#REF!</definedName>
    <definedName name="_vena_MultiSiteS1_MultiSiteB1_R_FV_42f34b52efc14701904e2bd69b949ebb_206">#REF!</definedName>
    <definedName name="_vena_MultiSiteS1_MultiSiteB1_R_FV_42f34b52efc14701904e2bd69b949ebb_207">#REF!</definedName>
    <definedName name="_vena_MultiSiteS1_MultiSiteB1_R_FV_42f34b52efc14701904e2bd69b949ebb_208">#REF!</definedName>
    <definedName name="_vena_MultiSiteS1_MultiSiteB1_R_FV_42f34b52efc14701904e2bd69b949ebb_209">#REF!</definedName>
    <definedName name="_vena_MultiSiteS1_MultiSiteB1_R_FV_42f34b52efc14701904e2bd69b949ebb_21" localSheetId="4">#REF!</definedName>
    <definedName name="_vena_MultiSiteS1_MultiSiteB1_R_FV_42f34b52efc14701904e2bd69b949ebb_21" localSheetId="5">#REF!</definedName>
    <definedName name="_vena_MultiSiteS1_MultiSiteB1_R_FV_42f34b52efc14701904e2bd69b949ebb_21" localSheetId="8">'[1]FY26 MYP-Multisite'!#REF!</definedName>
    <definedName name="_vena_MultiSiteS1_MultiSiteB1_R_FV_42f34b52efc14701904e2bd69b949ebb_21" localSheetId="3">#REF!</definedName>
    <definedName name="_vena_MultiSiteS1_MultiSiteB1_R_FV_42f34b52efc14701904e2bd69b949ebb_21">#REF!</definedName>
    <definedName name="_vena_MultiSiteS1_MultiSiteB1_R_FV_42f34b52efc14701904e2bd69b949ebb_210">#REF!</definedName>
    <definedName name="_vena_MultiSiteS1_MultiSiteB1_R_FV_42f34b52efc14701904e2bd69b949ebb_211">#REF!</definedName>
    <definedName name="_vena_MultiSiteS1_MultiSiteB1_R_FV_42f34b52efc14701904e2bd69b949ebb_212">#REF!</definedName>
    <definedName name="_vena_MultiSiteS1_MultiSiteB1_R_FV_42f34b52efc14701904e2bd69b949ebb_213">#REF!</definedName>
    <definedName name="_vena_MultiSiteS1_MultiSiteB1_R_FV_42f34b52efc14701904e2bd69b949ebb_214">#REF!</definedName>
    <definedName name="_vena_MultiSiteS1_MultiSiteB1_R_FV_42f34b52efc14701904e2bd69b949ebb_215">#REF!</definedName>
    <definedName name="_vena_MultiSiteS1_MultiSiteB1_R_FV_42f34b52efc14701904e2bd69b949ebb_216">#REF!</definedName>
    <definedName name="_vena_MultiSiteS1_MultiSiteB1_R_FV_42f34b52efc14701904e2bd69b949ebb_217">#REF!</definedName>
    <definedName name="_vena_MultiSiteS1_MultiSiteB1_R_FV_42f34b52efc14701904e2bd69b949ebb_218">#REF!</definedName>
    <definedName name="_vena_MultiSiteS1_MultiSiteB1_R_FV_42f34b52efc14701904e2bd69b949ebb_219">#REF!</definedName>
    <definedName name="_vena_MultiSiteS1_MultiSiteB1_R_FV_42f34b52efc14701904e2bd69b949ebb_22">#REF!</definedName>
    <definedName name="_vena_MultiSiteS1_MultiSiteB1_R_FV_42f34b52efc14701904e2bd69b949ebb_220">#REF!</definedName>
    <definedName name="_vena_MultiSiteS1_MultiSiteB1_R_FV_42f34b52efc14701904e2bd69b949ebb_221">#REF!</definedName>
    <definedName name="_vena_MultiSiteS1_MultiSiteB1_R_FV_42f34b52efc14701904e2bd69b949ebb_222">#REF!</definedName>
    <definedName name="_vena_MultiSiteS1_MultiSiteB1_R_FV_42f34b52efc14701904e2bd69b949ebb_223">#REF!</definedName>
    <definedName name="_vena_MultiSiteS1_MultiSiteB1_R_FV_42f34b52efc14701904e2bd69b949ebb_224">#REF!</definedName>
    <definedName name="_vena_MultiSiteS1_MultiSiteB1_R_FV_42f34b52efc14701904e2bd69b949ebb_225">#REF!</definedName>
    <definedName name="_vena_MultiSiteS1_MultiSiteB1_R_FV_42f34b52efc14701904e2bd69b949ebb_226">#REF!</definedName>
    <definedName name="_vena_MultiSiteS1_MultiSiteB1_R_FV_42f34b52efc14701904e2bd69b949ebb_227">#REF!</definedName>
    <definedName name="_vena_MultiSiteS1_MultiSiteB1_R_FV_42f34b52efc14701904e2bd69b949ebb_228">#REF!</definedName>
    <definedName name="_vena_MultiSiteS1_MultiSiteB1_R_FV_42f34b52efc14701904e2bd69b949ebb_229">#REF!</definedName>
    <definedName name="_vena_MultiSiteS1_MultiSiteB1_R_FV_42f34b52efc14701904e2bd69b949ebb_23">#REF!</definedName>
    <definedName name="_vena_MultiSiteS1_MultiSiteB1_R_FV_42f34b52efc14701904e2bd69b949ebb_230">#REF!</definedName>
    <definedName name="_vena_MultiSiteS1_MultiSiteB1_R_FV_42f34b52efc14701904e2bd69b949ebb_231">#REF!</definedName>
    <definedName name="_vena_MultiSiteS1_MultiSiteB1_R_FV_42f34b52efc14701904e2bd69b949ebb_232">#REF!</definedName>
    <definedName name="_vena_MultiSiteS1_MultiSiteB1_R_FV_42f34b52efc14701904e2bd69b949ebb_233">#REF!</definedName>
    <definedName name="_vena_MultiSiteS1_MultiSiteB1_R_FV_42f34b52efc14701904e2bd69b949ebb_234">#REF!</definedName>
    <definedName name="_vena_MultiSiteS1_MultiSiteB1_R_FV_42f34b52efc14701904e2bd69b949ebb_235">#REF!</definedName>
    <definedName name="_vena_MultiSiteS1_MultiSiteB1_R_FV_42f34b52efc14701904e2bd69b949ebb_236">#REF!</definedName>
    <definedName name="_vena_MultiSiteS1_MultiSiteB1_R_FV_42f34b52efc14701904e2bd69b949ebb_237">#REF!</definedName>
    <definedName name="_vena_MultiSiteS1_MultiSiteB1_R_FV_42f34b52efc14701904e2bd69b949ebb_238">#REF!</definedName>
    <definedName name="_vena_MultiSiteS1_MultiSiteB1_R_FV_42f34b52efc14701904e2bd69b949ebb_239" localSheetId="4">#REF!</definedName>
    <definedName name="_vena_MultiSiteS1_MultiSiteB1_R_FV_42f34b52efc14701904e2bd69b949ebb_239" localSheetId="5">#REF!</definedName>
    <definedName name="_vena_MultiSiteS1_MultiSiteB1_R_FV_42f34b52efc14701904e2bd69b949ebb_239" localSheetId="8">'[1]FY26 MYP-Multisite'!#REF!</definedName>
    <definedName name="_vena_MultiSiteS1_MultiSiteB1_R_FV_42f34b52efc14701904e2bd69b949ebb_239" localSheetId="3">#REF!</definedName>
    <definedName name="_vena_MultiSiteS1_MultiSiteB1_R_FV_42f34b52efc14701904e2bd69b949ebb_239">#REF!</definedName>
    <definedName name="_vena_MultiSiteS1_MultiSiteB1_R_FV_42f34b52efc14701904e2bd69b949ebb_24">#REF!</definedName>
    <definedName name="_vena_MultiSiteS1_MultiSiteB1_R_FV_42f34b52efc14701904e2bd69b949ebb_240">#REF!</definedName>
    <definedName name="_vena_MultiSiteS1_MultiSiteB1_R_FV_42f34b52efc14701904e2bd69b949ebb_241">#REF!</definedName>
    <definedName name="_vena_MultiSiteS1_MultiSiteB1_R_FV_42f34b52efc14701904e2bd69b949ebb_242">#REF!</definedName>
    <definedName name="_vena_MultiSiteS1_MultiSiteB1_R_FV_42f34b52efc14701904e2bd69b949ebb_243">#REF!</definedName>
    <definedName name="_vena_MultiSiteS1_MultiSiteB1_R_FV_42f34b52efc14701904e2bd69b949ebb_244">#REF!</definedName>
    <definedName name="_vena_MultiSiteS1_MultiSiteB1_R_FV_42f34b52efc14701904e2bd69b949ebb_245">#REF!</definedName>
    <definedName name="_vena_MultiSiteS1_MultiSiteB1_R_FV_42f34b52efc14701904e2bd69b949ebb_246">#REF!</definedName>
    <definedName name="_vena_MultiSiteS1_MultiSiteB1_R_FV_42f34b52efc14701904e2bd69b949ebb_247">#REF!</definedName>
    <definedName name="_vena_MultiSiteS1_MultiSiteB1_R_FV_42f34b52efc14701904e2bd69b949ebb_248">#REF!</definedName>
    <definedName name="_vena_MultiSiteS1_MultiSiteB1_R_FV_42f34b52efc14701904e2bd69b949ebb_249">#REF!</definedName>
    <definedName name="_vena_MultiSiteS1_MultiSiteB1_R_FV_42f34b52efc14701904e2bd69b949ebb_25">#REF!</definedName>
    <definedName name="_vena_MultiSiteS1_MultiSiteB1_R_FV_42f34b52efc14701904e2bd69b949ebb_250">#REF!</definedName>
    <definedName name="_vena_MultiSiteS1_MultiSiteB1_R_FV_42f34b52efc14701904e2bd69b949ebb_251">#REF!</definedName>
    <definedName name="_vena_MultiSiteS1_MultiSiteB1_R_FV_42f34b52efc14701904e2bd69b949ebb_252">#REF!</definedName>
    <definedName name="_vena_MultiSiteS1_MultiSiteB1_R_FV_42f34b52efc14701904e2bd69b949ebb_253">#REF!</definedName>
    <definedName name="_vena_MultiSiteS1_MultiSiteB1_R_FV_42f34b52efc14701904e2bd69b949ebb_254">#REF!</definedName>
    <definedName name="_vena_MultiSiteS1_MultiSiteB1_R_FV_42f34b52efc14701904e2bd69b949ebb_255">#REF!</definedName>
    <definedName name="_vena_MultiSiteS1_MultiSiteB1_R_FV_42f34b52efc14701904e2bd69b949ebb_256">#REF!</definedName>
    <definedName name="_vena_MultiSiteS1_MultiSiteB1_R_FV_42f34b52efc14701904e2bd69b949ebb_257">#REF!</definedName>
    <definedName name="_vena_MultiSiteS1_MultiSiteB1_R_FV_42f34b52efc14701904e2bd69b949ebb_258">#REF!</definedName>
    <definedName name="_vena_MultiSiteS1_MultiSiteB1_R_FV_42f34b52efc14701904e2bd69b949ebb_259">#REF!</definedName>
    <definedName name="_vena_MultiSiteS1_MultiSiteB1_R_FV_42f34b52efc14701904e2bd69b949ebb_26">#REF!</definedName>
    <definedName name="_vena_MultiSiteS1_MultiSiteB1_R_FV_42f34b52efc14701904e2bd69b949ebb_260">#REF!</definedName>
    <definedName name="_vena_MultiSiteS1_MultiSiteB1_R_FV_42f34b52efc14701904e2bd69b949ebb_261">#REF!</definedName>
    <definedName name="_vena_MultiSiteS1_MultiSiteB1_R_FV_42f34b52efc14701904e2bd69b949ebb_262">#REF!</definedName>
    <definedName name="_vena_MultiSiteS1_MultiSiteB1_R_FV_42f34b52efc14701904e2bd69b949ebb_263">#REF!</definedName>
    <definedName name="_vena_MultiSiteS1_MultiSiteB1_R_FV_42f34b52efc14701904e2bd69b949ebb_264">#REF!</definedName>
    <definedName name="_vena_MultiSiteS1_MultiSiteB1_R_FV_42f34b52efc14701904e2bd69b949ebb_265">#REF!</definedName>
    <definedName name="_vena_MultiSiteS1_MultiSiteB1_R_FV_42f34b52efc14701904e2bd69b949ebb_266">#REF!</definedName>
    <definedName name="_vena_MultiSiteS1_MultiSiteB1_R_FV_42f34b52efc14701904e2bd69b949ebb_267">#REF!</definedName>
    <definedName name="_vena_MultiSiteS1_MultiSiteB1_R_FV_42f34b52efc14701904e2bd69b949ebb_268">#REF!</definedName>
    <definedName name="_vena_MultiSiteS1_MultiSiteB1_R_FV_42f34b52efc14701904e2bd69b949ebb_269">#REF!</definedName>
    <definedName name="_vena_MultiSiteS1_MultiSiteB1_R_FV_42f34b52efc14701904e2bd69b949ebb_27">#REF!</definedName>
    <definedName name="_vena_MultiSiteS1_MultiSiteB1_R_FV_42f34b52efc14701904e2bd69b949ebb_270">#REF!</definedName>
    <definedName name="_vena_MultiSiteS1_MultiSiteB1_R_FV_42f34b52efc14701904e2bd69b949ebb_271">#REF!</definedName>
    <definedName name="_vena_MultiSiteS1_MultiSiteB1_R_FV_42f34b52efc14701904e2bd69b949ebb_272">#REF!</definedName>
    <definedName name="_vena_MultiSiteS1_MultiSiteB1_R_FV_42f34b52efc14701904e2bd69b949ebb_273">#REF!</definedName>
    <definedName name="_vena_MultiSiteS1_MultiSiteB1_R_FV_42f34b52efc14701904e2bd69b949ebb_274">#REF!</definedName>
    <definedName name="_vena_MultiSiteS1_MultiSiteB1_R_FV_42f34b52efc14701904e2bd69b949ebb_275">#REF!</definedName>
    <definedName name="_vena_MultiSiteS1_MultiSiteB1_R_FV_42f34b52efc14701904e2bd69b949ebb_276">#REF!</definedName>
    <definedName name="_vena_MultiSiteS1_MultiSiteB1_R_FV_42f34b52efc14701904e2bd69b949ebb_277">#REF!</definedName>
    <definedName name="_vena_MultiSiteS1_MultiSiteB1_R_FV_42f34b52efc14701904e2bd69b949ebb_278">#REF!</definedName>
    <definedName name="_vena_MultiSiteS1_MultiSiteB1_R_FV_42f34b52efc14701904e2bd69b949ebb_279">#REF!</definedName>
    <definedName name="_vena_MultiSiteS1_MultiSiteB1_R_FV_42f34b52efc14701904e2bd69b949ebb_28">#REF!</definedName>
    <definedName name="_vena_MultiSiteS1_MultiSiteB1_R_FV_42f34b52efc14701904e2bd69b949ebb_280">#REF!</definedName>
    <definedName name="_vena_MultiSiteS1_MultiSiteB1_R_FV_42f34b52efc14701904e2bd69b949ebb_281">#REF!</definedName>
    <definedName name="_vena_MultiSiteS1_MultiSiteB1_R_FV_42f34b52efc14701904e2bd69b949ebb_282">#REF!</definedName>
    <definedName name="_vena_MultiSiteS1_MultiSiteB1_R_FV_42f34b52efc14701904e2bd69b949ebb_283">#REF!</definedName>
    <definedName name="_vena_MultiSiteS1_MultiSiteB1_R_FV_42f34b52efc14701904e2bd69b949ebb_284">#REF!</definedName>
    <definedName name="_vena_MultiSiteS1_MultiSiteB1_R_FV_42f34b52efc14701904e2bd69b949ebb_285">#REF!</definedName>
    <definedName name="_vena_MultiSiteS1_MultiSiteB1_R_FV_42f34b52efc14701904e2bd69b949ebb_286">#REF!</definedName>
    <definedName name="_vena_MultiSiteS1_MultiSiteB1_R_FV_42f34b52efc14701904e2bd69b949ebb_287">#REF!</definedName>
    <definedName name="_vena_MultiSiteS1_MultiSiteB1_R_FV_42f34b52efc14701904e2bd69b949ebb_288">#REF!</definedName>
    <definedName name="_vena_MultiSiteS1_MultiSiteB1_R_FV_42f34b52efc14701904e2bd69b949ebb_289">#REF!</definedName>
    <definedName name="_vena_MultiSiteS1_MultiSiteB1_R_FV_42f34b52efc14701904e2bd69b949ebb_29">#REF!</definedName>
    <definedName name="_vena_MultiSiteS1_MultiSiteB1_R_FV_42f34b52efc14701904e2bd69b949ebb_290">#REF!</definedName>
    <definedName name="_vena_MultiSiteS1_MultiSiteB1_R_FV_42f34b52efc14701904e2bd69b949ebb_291" localSheetId="4">#REF!</definedName>
    <definedName name="_vena_MultiSiteS1_MultiSiteB1_R_FV_42f34b52efc14701904e2bd69b949ebb_291" localSheetId="5">#REF!</definedName>
    <definedName name="_vena_MultiSiteS1_MultiSiteB1_R_FV_42f34b52efc14701904e2bd69b949ebb_291" localSheetId="8">'[1]FY26 MYP-Multisite'!#REF!</definedName>
    <definedName name="_vena_MultiSiteS1_MultiSiteB1_R_FV_42f34b52efc14701904e2bd69b949ebb_291" localSheetId="3">#REF!</definedName>
    <definedName name="_vena_MultiSiteS1_MultiSiteB1_R_FV_42f34b52efc14701904e2bd69b949ebb_291">#REF!</definedName>
    <definedName name="_vena_MultiSiteS1_MultiSiteB1_R_FV_42f34b52efc14701904e2bd69b949ebb_292">#REF!</definedName>
    <definedName name="_vena_MultiSiteS1_MultiSiteB1_R_FV_42f34b52efc14701904e2bd69b949ebb_293">#REF!</definedName>
    <definedName name="_vena_MultiSiteS1_MultiSiteB1_R_FV_42f34b52efc14701904e2bd69b949ebb_294">#REF!</definedName>
    <definedName name="_vena_MultiSiteS1_MultiSiteB1_R_FV_42f34b52efc14701904e2bd69b949ebb_295">#REF!</definedName>
    <definedName name="_vena_MultiSiteS1_MultiSiteB1_R_FV_42f34b52efc14701904e2bd69b949ebb_296">#REF!</definedName>
    <definedName name="_vena_MultiSiteS1_MultiSiteB1_R_FV_42f34b52efc14701904e2bd69b949ebb_297">#REF!</definedName>
    <definedName name="_vena_MultiSiteS1_MultiSiteB1_R_FV_42f34b52efc14701904e2bd69b949ebb_298">#REF!</definedName>
    <definedName name="_vena_MultiSiteS1_MultiSiteB1_R_FV_42f34b52efc14701904e2bd69b949ebb_299">#REF!</definedName>
    <definedName name="_vena_MultiSiteS1_MultiSiteB1_R_FV_42f34b52efc14701904e2bd69b949ebb_3">#REF!</definedName>
    <definedName name="_vena_MultiSiteS1_MultiSiteB1_R_FV_42f34b52efc14701904e2bd69b949ebb_30">#REF!</definedName>
    <definedName name="_vena_MultiSiteS1_MultiSiteB1_R_FV_42f34b52efc14701904e2bd69b949ebb_300">#REF!</definedName>
    <definedName name="_vena_MultiSiteS1_MultiSiteB1_R_FV_42f34b52efc14701904e2bd69b949ebb_301">#REF!</definedName>
    <definedName name="_vena_MultiSiteS1_MultiSiteB1_R_FV_42f34b52efc14701904e2bd69b949ebb_302">#REF!</definedName>
    <definedName name="_vena_MultiSiteS1_MultiSiteB1_R_FV_42f34b52efc14701904e2bd69b949ebb_303">#REF!</definedName>
    <definedName name="_vena_MultiSiteS1_MultiSiteB1_R_FV_42f34b52efc14701904e2bd69b949ebb_304">#REF!</definedName>
    <definedName name="_vena_MultiSiteS1_MultiSiteB1_R_FV_42f34b52efc14701904e2bd69b949ebb_305">#REF!</definedName>
    <definedName name="_vena_MultiSiteS1_MultiSiteB1_R_FV_42f34b52efc14701904e2bd69b949ebb_306">#REF!</definedName>
    <definedName name="_vena_MultiSiteS1_MultiSiteB1_R_FV_42f34b52efc14701904e2bd69b949ebb_307">#REF!</definedName>
    <definedName name="_vena_MultiSiteS1_MultiSiteB1_R_FV_42f34b52efc14701904e2bd69b949ebb_308">#REF!</definedName>
    <definedName name="_vena_MultiSiteS1_MultiSiteB1_R_FV_42f34b52efc14701904e2bd69b949ebb_309">#REF!</definedName>
    <definedName name="_vena_MultiSiteS1_MultiSiteB1_R_FV_42f34b52efc14701904e2bd69b949ebb_31">#REF!</definedName>
    <definedName name="_vena_MultiSiteS1_MultiSiteB1_R_FV_42f34b52efc14701904e2bd69b949ebb_310">#REF!</definedName>
    <definedName name="_vena_MultiSiteS1_MultiSiteB1_R_FV_42f34b52efc14701904e2bd69b949ebb_311">#REF!</definedName>
    <definedName name="_vena_MultiSiteS1_MultiSiteB1_R_FV_42f34b52efc14701904e2bd69b949ebb_312">#REF!</definedName>
    <definedName name="_vena_MultiSiteS1_MultiSiteB1_R_FV_42f34b52efc14701904e2bd69b949ebb_313">#REF!</definedName>
    <definedName name="_vena_MultiSiteS1_MultiSiteB1_R_FV_42f34b52efc14701904e2bd69b949ebb_314">#REF!</definedName>
    <definedName name="_vena_MultiSiteS1_MultiSiteB1_R_FV_42f34b52efc14701904e2bd69b949ebb_315">#REF!</definedName>
    <definedName name="_vena_MultiSiteS1_MultiSiteB1_R_FV_42f34b52efc14701904e2bd69b949ebb_316">#REF!</definedName>
    <definedName name="_vena_MultiSiteS1_MultiSiteB1_R_FV_42f34b52efc14701904e2bd69b949ebb_317">#REF!</definedName>
    <definedName name="_vena_MultiSiteS1_MultiSiteB1_R_FV_42f34b52efc14701904e2bd69b949ebb_318">#REF!</definedName>
    <definedName name="_vena_MultiSiteS1_MultiSiteB1_R_FV_42f34b52efc14701904e2bd69b949ebb_319">#REF!</definedName>
    <definedName name="_vena_MultiSiteS1_MultiSiteB1_R_FV_42f34b52efc14701904e2bd69b949ebb_32">#REF!</definedName>
    <definedName name="_vena_MultiSiteS1_MultiSiteB1_R_FV_42f34b52efc14701904e2bd69b949ebb_320">#REF!</definedName>
    <definedName name="_vena_MultiSiteS1_MultiSiteB1_R_FV_42f34b52efc14701904e2bd69b949ebb_321">#REF!</definedName>
    <definedName name="_vena_MultiSiteS1_MultiSiteB1_R_FV_42f34b52efc14701904e2bd69b949ebb_322">#REF!</definedName>
    <definedName name="_vena_MultiSiteS1_MultiSiteB1_R_FV_42f34b52efc14701904e2bd69b949ebb_323">#REF!</definedName>
    <definedName name="_vena_MultiSiteS1_MultiSiteB1_R_FV_42f34b52efc14701904e2bd69b949ebb_324">#REF!</definedName>
    <definedName name="_vena_MultiSiteS1_MultiSiteB1_R_FV_42f34b52efc14701904e2bd69b949ebb_325">#REF!</definedName>
    <definedName name="_vena_MultiSiteS1_MultiSiteB1_R_FV_42f34b52efc14701904e2bd69b949ebb_326">#REF!</definedName>
    <definedName name="_vena_MultiSiteS1_MultiSiteB1_R_FV_42f34b52efc14701904e2bd69b949ebb_327">#REF!</definedName>
    <definedName name="_vena_MultiSiteS1_MultiSiteB1_R_FV_42f34b52efc14701904e2bd69b949ebb_328">#REF!</definedName>
    <definedName name="_vena_MultiSiteS1_MultiSiteB1_R_FV_42f34b52efc14701904e2bd69b949ebb_329">#REF!</definedName>
    <definedName name="_vena_MultiSiteS1_MultiSiteB1_R_FV_42f34b52efc14701904e2bd69b949ebb_33">#REF!</definedName>
    <definedName name="_vena_MultiSiteS1_MultiSiteB1_R_FV_42f34b52efc14701904e2bd69b949ebb_330">#REF!</definedName>
    <definedName name="_vena_MultiSiteS1_MultiSiteB1_R_FV_42f34b52efc14701904e2bd69b949ebb_331">#REF!</definedName>
    <definedName name="_vena_MultiSiteS1_MultiSiteB1_R_FV_42f34b52efc14701904e2bd69b949ebb_332">#REF!</definedName>
    <definedName name="_vena_MultiSiteS1_MultiSiteB1_R_FV_42f34b52efc14701904e2bd69b949ebb_333">#REF!</definedName>
    <definedName name="_vena_MultiSiteS1_MultiSiteB1_R_FV_42f34b52efc14701904e2bd69b949ebb_334">#REF!</definedName>
    <definedName name="_vena_MultiSiteS1_MultiSiteB1_R_FV_42f34b52efc14701904e2bd69b949ebb_335">#REF!</definedName>
    <definedName name="_vena_MultiSiteS1_MultiSiteB1_R_FV_42f34b52efc14701904e2bd69b949ebb_336">#REF!</definedName>
    <definedName name="_vena_MultiSiteS1_MultiSiteB1_R_FV_42f34b52efc14701904e2bd69b949ebb_337">#REF!</definedName>
    <definedName name="_vena_MultiSiteS1_MultiSiteB1_R_FV_42f34b52efc14701904e2bd69b949ebb_338">#REF!</definedName>
    <definedName name="_vena_MultiSiteS1_MultiSiteB1_R_FV_42f34b52efc14701904e2bd69b949ebb_339">#REF!</definedName>
    <definedName name="_vena_MultiSiteS1_MultiSiteB1_R_FV_42f34b52efc14701904e2bd69b949ebb_34">#REF!</definedName>
    <definedName name="_vena_MultiSiteS1_MultiSiteB1_R_FV_42f34b52efc14701904e2bd69b949ebb_340">#REF!</definedName>
    <definedName name="_vena_MultiSiteS1_MultiSiteB1_R_FV_42f34b52efc14701904e2bd69b949ebb_341">#REF!</definedName>
    <definedName name="_vena_MultiSiteS1_MultiSiteB1_R_FV_42f34b52efc14701904e2bd69b949ebb_342">#REF!</definedName>
    <definedName name="_vena_MultiSiteS1_MultiSiteB1_R_FV_42f34b52efc14701904e2bd69b949ebb_343">#REF!</definedName>
    <definedName name="_vena_MultiSiteS1_MultiSiteB1_R_FV_42f34b52efc14701904e2bd69b949ebb_344">#REF!</definedName>
    <definedName name="_vena_MultiSiteS1_MultiSiteB1_R_FV_42f34b52efc14701904e2bd69b949ebb_345">#REF!</definedName>
    <definedName name="_vena_MultiSiteS1_MultiSiteB1_R_FV_42f34b52efc14701904e2bd69b949ebb_346">#REF!</definedName>
    <definedName name="_vena_MultiSiteS1_MultiSiteB1_R_FV_42f34b52efc14701904e2bd69b949ebb_347">#REF!</definedName>
    <definedName name="_vena_MultiSiteS1_MultiSiteB1_R_FV_42f34b52efc14701904e2bd69b949ebb_348">#REF!</definedName>
    <definedName name="_vena_MultiSiteS1_MultiSiteB1_R_FV_42f34b52efc14701904e2bd69b949ebb_349">#REF!</definedName>
    <definedName name="_vena_MultiSiteS1_MultiSiteB1_R_FV_42f34b52efc14701904e2bd69b949ebb_35">#REF!</definedName>
    <definedName name="_vena_MultiSiteS1_MultiSiteB1_R_FV_42f34b52efc14701904e2bd69b949ebb_350">#REF!</definedName>
    <definedName name="_vena_MultiSiteS1_MultiSiteB1_R_FV_42f34b52efc14701904e2bd69b949ebb_351">#REF!</definedName>
    <definedName name="_vena_MultiSiteS1_MultiSiteB1_R_FV_42f34b52efc14701904e2bd69b949ebb_352">#REF!</definedName>
    <definedName name="_vena_MultiSiteS1_MultiSiteB1_R_FV_42f34b52efc14701904e2bd69b949ebb_353">#REF!</definedName>
    <definedName name="_vena_MultiSiteS1_MultiSiteB1_R_FV_42f34b52efc14701904e2bd69b949ebb_354">#REF!</definedName>
    <definedName name="_vena_MultiSiteS1_MultiSiteB1_R_FV_42f34b52efc14701904e2bd69b949ebb_355">#REF!</definedName>
    <definedName name="_vena_MultiSiteS1_MultiSiteB1_R_FV_42f34b52efc14701904e2bd69b949ebb_356">#REF!</definedName>
    <definedName name="_vena_MultiSiteS1_MultiSiteB1_R_FV_42f34b52efc14701904e2bd69b949ebb_357">#REF!</definedName>
    <definedName name="_vena_MultiSiteS1_MultiSiteB1_R_FV_42f34b52efc14701904e2bd69b949ebb_358">#REF!</definedName>
    <definedName name="_vena_MultiSiteS1_MultiSiteB1_R_FV_42f34b52efc14701904e2bd69b949ebb_359">#REF!</definedName>
    <definedName name="_vena_MultiSiteS1_MultiSiteB1_R_FV_42f34b52efc14701904e2bd69b949ebb_36">#REF!</definedName>
    <definedName name="_vena_MultiSiteS1_MultiSiteB1_R_FV_42f34b52efc14701904e2bd69b949ebb_360">#REF!</definedName>
    <definedName name="_vena_MultiSiteS1_MultiSiteB1_R_FV_42f34b52efc14701904e2bd69b949ebb_361">#REF!</definedName>
    <definedName name="_vena_MultiSiteS1_MultiSiteB1_R_FV_42f34b52efc14701904e2bd69b949ebb_362">#REF!</definedName>
    <definedName name="_vena_MultiSiteS1_MultiSiteB1_R_FV_42f34b52efc14701904e2bd69b949ebb_363">#REF!</definedName>
    <definedName name="_vena_MultiSiteS1_MultiSiteB1_R_FV_42f34b52efc14701904e2bd69b949ebb_364">#REF!</definedName>
    <definedName name="_vena_MultiSiteS1_MultiSiteB1_R_FV_42f34b52efc14701904e2bd69b949ebb_365">#REF!</definedName>
    <definedName name="_vena_MultiSiteS1_MultiSiteB1_R_FV_42f34b52efc14701904e2bd69b949ebb_366">#REF!</definedName>
    <definedName name="_vena_MultiSiteS1_MultiSiteB1_R_FV_42f34b52efc14701904e2bd69b949ebb_367">#REF!</definedName>
    <definedName name="_vena_MultiSiteS1_MultiSiteB1_R_FV_42f34b52efc14701904e2bd69b949ebb_368">#REF!</definedName>
    <definedName name="_vena_MultiSiteS1_MultiSiteB1_R_FV_42f34b52efc14701904e2bd69b949ebb_369">#REF!</definedName>
    <definedName name="_vena_MultiSiteS1_MultiSiteB1_R_FV_42f34b52efc14701904e2bd69b949ebb_37">#REF!</definedName>
    <definedName name="_vena_MultiSiteS1_MultiSiteB1_R_FV_42f34b52efc14701904e2bd69b949ebb_370">#REF!</definedName>
    <definedName name="_vena_MultiSiteS1_MultiSiteB1_R_FV_42f34b52efc14701904e2bd69b949ebb_371">#REF!</definedName>
    <definedName name="_vena_MultiSiteS1_MultiSiteB1_R_FV_42f34b52efc14701904e2bd69b949ebb_372">#REF!</definedName>
    <definedName name="_vena_MultiSiteS1_MultiSiteB1_R_FV_42f34b52efc14701904e2bd69b949ebb_373">#REF!</definedName>
    <definedName name="_vena_MultiSiteS1_MultiSiteB1_R_FV_42f34b52efc14701904e2bd69b949ebb_374">#REF!</definedName>
    <definedName name="_vena_MultiSiteS1_MultiSiteB1_R_FV_42f34b52efc14701904e2bd69b949ebb_375">#REF!</definedName>
    <definedName name="_vena_MultiSiteS1_MultiSiteB1_R_FV_42f34b52efc14701904e2bd69b949ebb_376">#REF!</definedName>
    <definedName name="_vena_MultiSiteS1_MultiSiteB1_R_FV_42f34b52efc14701904e2bd69b949ebb_377">#REF!</definedName>
    <definedName name="_vena_MultiSiteS1_MultiSiteB1_R_FV_42f34b52efc14701904e2bd69b949ebb_378">#REF!</definedName>
    <definedName name="_vena_MultiSiteS1_MultiSiteB1_R_FV_42f34b52efc14701904e2bd69b949ebb_379">#REF!</definedName>
    <definedName name="_vena_MultiSiteS1_MultiSiteB1_R_FV_42f34b52efc14701904e2bd69b949ebb_380">#REF!</definedName>
    <definedName name="_vena_MultiSiteS1_MultiSiteB1_R_FV_42f34b52efc14701904e2bd69b949ebb_381">#REF!</definedName>
    <definedName name="_vena_MultiSiteS1_MultiSiteB1_R_FV_42f34b52efc14701904e2bd69b949ebb_382">#REF!</definedName>
    <definedName name="_vena_MultiSiteS1_MultiSiteB1_R_FV_42f34b52efc14701904e2bd69b949ebb_383">#REF!</definedName>
    <definedName name="_vena_MultiSiteS1_MultiSiteB1_R_FV_42f34b52efc14701904e2bd69b949ebb_384">#REF!</definedName>
    <definedName name="_vena_MultiSiteS1_MultiSiteB1_R_FV_42f34b52efc14701904e2bd69b949ebb_385">#REF!</definedName>
    <definedName name="_vena_MultiSiteS1_MultiSiteB1_R_FV_42f34b52efc14701904e2bd69b949ebb_386">#REF!</definedName>
    <definedName name="_vena_MultiSiteS1_MultiSiteB1_R_FV_42f34b52efc14701904e2bd69b949ebb_387">#REF!</definedName>
    <definedName name="_vena_MultiSiteS1_MultiSiteB1_R_FV_42f34b52efc14701904e2bd69b949ebb_388">#REF!</definedName>
    <definedName name="_vena_MultiSiteS1_MultiSiteB1_R_FV_42f34b52efc14701904e2bd69b949ebb_389">#REF!</definedName>
    <definedName name="_vena_MultiSiteS1_MultiSiteB1_R_FV_42f34b52efc14701904e2bd69b949ebb_39" localSheetId="4">#REF!</definedName>
    <definedName name="_vena_MultiSiteS1_MultiSiteB1_R_FV_42f34b52efc14701904e2bd69b949ebb_39" localSheetId="5">#REF!</definedName>
    <definedName name="_vena_MultiSiteS1_MultiSiteB1_R_FV_42f34b52efc14701904e2bd69b949ebb_39" localSheetId="8">'[1]FY26 MYP-Multisite'!#REF!</definedName>
    <definedName name="_vena_MultiSiteS1_MultiSiteB1_R_FV_42f34b52efc14701904e2bd69b949ebb_39" localSheetId="3">#REF!</definedName>
    <definedName name="_vena_MultiSiteS1_MultiSiteB1_R_FV_42f34b52efc14701904e2bd69b949ebb_39">#REF!</definedName>
    <definedName name="_vena_MultiSiteS1_MultiSiteB1_R_FV_42f34b52efc14701904e2bd69b949ebb_390">#REF!</definedName>
    <definedName name="_vena_MultiSiteS1_MultiSiteB1_R_FV_42f34b52efc14701904e2bd69b949ebb_391">#REF!</definedName>
    <definedName name="_vena_MultiSiteS1_MultiSiteB1_R_FV_42f34b52efc14701904e2bd69b949ebb_392">#REF!</definedName>
    <definedName name="_vena_MultiSiteS1_MultiSiteB1_R_FV_42f34b52efc14701904e2bd69b949ebb_393">#REF!</definedName>
    <definedName name="_vena_MultiSiteS1_MultiSiteB1_R_FV_42f34b52efc14701904e2bd69b949ebb_394">#REF!</definedName>
    <definedName name="_vena_MultiSiteS1_MultiSiteB1_R_FV_42f34b52efc14701904e2bd69b949ebb_395">#REF!</definedName>
    <definedName name="_vena_MultiSiteS1_MultiSiteB1_R_FV_42f34b52efc14701904e2bd69b949ebb_396">#REF!</definedName>
    <definedName name="_vena_MultiSiteS1_MultiSiteB1_R_FV_42f34b52efc14701904e2bd69b949ebb_397">#REF!</definedName>
    <definedName name="_vena_MultiSiteS1_MultiSiteB1_R_FV_42f34b52efc14701904e2bd69b949ebb_398">#REF!</definedName>
    <definedName name="_vena_MultiSiteS1_MultiSiteB1_R_FV_42f34b52efc14701904e2bd69b949ebb_399">#REF!</definedName>
    <definedName name="_vena_MultiSiteS1_MultiSiteB1_R_FV_42f34b52efc14701904e2bd69b949ebb_4">#REF!</definedName>
    <definedName name="_vena_MultiSiteS1_MultiSiteB1_R_FV_42f34b52efc14701904e2bd69b949ebb_40">#REF!</definedName>
    <definedName name="_vena_MultiSiteS1_MultiSiteB1_R_FV_42f34b52efc14701904e2bd69b949ebb_400">#REF!</definedName>
    <definedName name="_vena_MultiSiteS1_MultiSiteB1_R_FV_42f34b52efc14701904e2bd69b949ebb_401">#REF!</definedName>
    <definedName name="_vena_MultiSiteS1_MultiSiteB1_R_FV_42f34b52efc14701904e2bd69b949ebb_402">#REF!</definedName>
    <definedName name="_vena_MultiSiteS1_MultiSiteB1_R_FV_42f34b52efc14701904e2bd69b949ebb_403">#REF!</definedName>
    <definedName name="_vena_MultiSiteS1_MultiSiteB1_R_FV_42f34b52efc14701904e2bd69b949ebb_404">#REF!</definedName>
    <definedName name="_vena_MultiSiteS1_MultiSiteB1_R_FV_42f34b52efc14701904e2bd69b949ebb_405">#REF!</definedName>
    <definedName name="_vena_MultiSiteS1_MultiSiteB1_R_FV_42f34b52efc14701904e2bd69b949ebb_406">#REF!</definedName>
    <definedName name="_vena_MultiSiteS1_MultiSiteB1_R_FV_42f34b52efc14701904e2bd69b949ebb_407">#REF!</definedName>
    <definedName name="_vena_MultiSiteS1_MultiSiteB1_R_FV_42f34b52efc14701904e2bd69b949ebb_408">#REF!</definedName>
    <definedName name="_vena_MultiSiteS1_MultiSiteB1_R_FV_42f34b52efc14701904e2bd69b949ebb_409">#REF!</definedName>
    <definedName name="_vena_MultiSiteS1_MultiSiteB1_R_FV_42f34b52efc14701904e2bd69b949ebb_41">#REF!</definedName>
    <definedName name="_vena_MultiSiteS1_MultiSiteB1_R_FV_42f34b52efc14701904e2bd69b949ebb_410">#REF!</definedName>
    <definedName name="_vena_MultiSiteS1_MultiSiteB1_R_FV_42f34b52efc14701904e2bd69b949ebb_411">#REF!</definedName>
    <definedName name="_vena_MultiSiteS1_MultiSiteB1_R_FV_42f34b52efc14701904e2bd69b949ebb_412">#REF!</definedName>
    <definedName name="_vena_MultiSiteS1_MultiSiteB1_R_FV_42f34b52efc14701904e2bd69b949ebb_413">#REF!</definedName>
    <definedName name="_vena_MultiSiteS1_MultiSiteB1_R_FV_42f34b52efc14701904e2bd69b949ebb_414">#REF!</definedName>
    <definedName name="_vena_MultiSiteS1_MultiSiteB1_R_FV_42f34b52efc14701904e2bd69b949ebb_415">#REF!</definedName>
    <definedName name="_vena_MultiSiteS1_MultiSiteB1_R_FV_42f34b52efc14701904e2bd69b949ebb_416">#REF!</definedName>
    <definedName name="_vena_MultiSiteS1_MultiSiteB1_R_FV_42f34b52efc14701904e2bd69b949ebb_417">#REF!</definedName>
    <definedName name="_vena_MultiSiteS1_MultiSiteB1_R_FV_42f34b52efc14701904e2bd69b949ebb_418">#REF!</definedName>
    <definedName name="_vena_MultiSiteS1_MultiSiteB1_R_FV_42f34b52efc14701904e2bd69b949ebb_419" localSheetId="4">#REF!</definedName>
    <definedName name="_vena_MultiSiteS1_MultiSiteB1_R_FV_42f34b52efc14701904e2bd69b949ebb_419" localSheetId="5">#REF!</definedName>
    <definedName name="_vena_MultiSiteS1_MultiSiteB1_R_FV_42f34b52efc14701904e2bd69b949ebb_419" localSheetId="8">'[1]FY26 MYP-Multisite'!#REF!</definedName>
    <definedName name="_vena_MultiSiteS1_MultiSiteB1_R_FV_42f34b52efc14701904e2bd69b949ebb_419" localSheetId="3">#REF!</definedName>
    <definedName name="_vena_MultiSiteS1_MultiSiteB1_R_FV_42f34b52efc14701904e2bd69b949ebb_419">#REF!</definedName>
    <definedName name="_vena_MultiSiteS1_MultiSiteB1_R_FV_42f34b52efc14701904e2bd69b949ebb_42">#REF!</definedName>
    <definedName name="_vena_MultiSiteS1_MultiSiteB1_R_FV_42f34b52efc14701904e2bd69b949ebb_420">#REF!</definedName>
    <definedName name="_vena_MultiSiteS1_MultiSiteB1_R_FV_42f34b52efc14701904e2bd69b949ebb_421">#REF!</definedName>
    <definedName name="_vena_MultiSiteS1_MultiSiteB1_R_FV_42f34b52efc14701904e2bd69b949ebb_422">#REF!</definedName>
    <definedName name="_vena_MultiSiteS1_MultiSiteB1_R_FV_42f34b52efc14701904e2bd69b949ebb_423">#REF!</definedName>
    <definedName name="_vena_MultiSiteS1_MultiSiteB1_R_FV_42f34b52efc14701904e2bd69b949ebb_424">#REF!</definedName>
    <definedName name="_vena_MultiSiteS1_MultiSiteB1_R_FV_42f34b52efc14701904e2bd69b949ebb_425">#REF!</definedName>
    <definedName name="_vena_MultiSiteS1_MultiSiteB1_R_FV_42f34b52efc14701904e2bd69b949ebb_426">#REF!</definedName>
    <definedName name="_vena_MultiSiteS1_MultiSiteB1_R_FV_42f34b52efc14701904e2bd69b949ebb_427">#REF!</definedName>
    <definedName name="_vena_MultiSiteS1_MultiSiteB1_R_FV_42f34b52efc14701904e2bd69b949ebb_428">#REF!</definedName>
    <definedName name="_vena_MultiSiteS1_MultiSiteB1_R_FV_42f34b52efc14701904e2bd69b949ebb_429">#REF!</definedName>
    <definedName name="_vena_MultiSiteS1_MultiSiteB1_R_FV_42f34b52efc14701904e2bd69b949ebb_43">#REF!</definedName>
    <definedName name="_vena_MultiSiteS1_MultiSiteB1_R_FV_42f34b52efc14701904e2bd69b949ebb_430">#REF!</definedName>
    <definedName name="_vena_MultiSiteS1_MultiSiteB1_R_FV_42f34b52efc14701904e2bd69b949ebb_431" localSheetId="4">#REF!</definedName>
    <definedName name="_vena_MultiSiteS1_MultiSiteB1_R_FV_42f34b52efc14701904e2bd69b949ebb_431" localSheetId="5">#REF!</definedName>
    <definedName name="_vena_MultiSiteS1_MultiSiteB1_R_FV_42f34b52efc14701904e2bd69b949ebb_431" localSheetId="8">'[1]FY26 MYP-Multisite'!#REF!</definedName>
    <definedName name="_vena_MultiSiteS1_MultiSiteB1_R_FV_42f34b52efc14701904e2bd69b949ebb_431" localSheetId="3">#REF!</definedName>
    <definedName name="_vena_MultiSiteS1_MultiSiteB1_R_FV_42f34b52efc14701904e2bd69b949ebb_431">#REF!</definedName>
    <definedName name="_vena_MultiSiteS1_MultiSiteB1_R_FV_42f34b52efc14701904e2bd69b949ebb_432" localSheetId="4">#REF!</definedName>
    <definedName name="_vena_MultiSiteS1_MultiSiteB1_R_FV_42f34b52efc14701904e2bd69b949ebb_432" localSheetId="5">#REF!</definedName>
    <definedName name="_vena_MultiSiteS1_MultiSiteB1_R_FV_42f34b52efc14701904e2bd69b949ebb_432" localSheetId="8">'[1]FY26 MYP-Multisite'!#REF!</definedName>
    <definedName name="_vena_MultiSiteS1_MultiSiteB1_R_FV_42f34b52efc14701904e2bd69b949ebb_432" localSheetId="3">#REF!</definedName>
    <definedName name="_vena_MultiSiteS1_MultiSiteB1_R_FV_42f34b52efc14701904e2bd69b949ebb_432">#REF!</definedName>
    <definedName name="_vena_MultiSiteS1_MultiSiteB1_R_FV_42f34b52efc14701904e2bd69b949ebb_433" localSheetId="4">#REF!</definedName>
    <definedName name="_vena_MultiSiteS1_MultiSiteB1_R_FV_42f34b52efc14701904e2bd69b949ebb_433" localSheetId="5">#REF!</definedName>
    <definedName name="_vena_MultiSiteS1_MultiSiteB1_R_FV_42f34b52efc14701904e2bd69b949ebb_433" localSheetId="8">'[1]FY26 MYP-Multisite'!#REF!</definedName>
    <definedName name="_vena_MultiSiteS1_MultiSiteB1_R_FV_42f34b52efc14701904e2bd69b949ebb_433" localSheetId="3">#REF!</definedName>
    <definedName name="_vena_MultiSiteS1_MultiSiteB1_R_FV_42f34b52efc14701904e2bd69b949ebb_433">#REF!</definedName>
    <definedName name="_vena_MultiSiteS1_MultiSiteB1_R_FV_42f34b52efc14701904e2bd69b949ebb_434" localSheetId="4">#REF!</definedName>
    <definedName name="_vena_MultiSiteS1_MultiSiteB1_R_FV_42f34b52efc14701904e2bd69b949ebb_434" localSheetId="5">#REF!</definedName>
    <definedName name="_vena_MultiSiteS1_MultiSiteB1_R_FV_42f34b52efc14701904e2bd69b949ebb_434" localSheetId="8">'[1]FY26 MYP-Multisite'!#REF!</definedName>
    <definedName name="_vena_MultiSiteS1_MultiSiteB1_R_FV_42f34b52efc14701904e2bd69b949ebb_434" localSheetId="3">#REF!</definedName>
    <definedName name="_vena_MultiSiteS1_MultiSiteB1_R_FV_42f34b52efc14701904e2bd69b949ebb_434">#REF!</definedName>
    <definedName name="_vena_MultiSiteS1_MultiSiteB1_R_FV_42f34b52efc14701904e2bd69b949ebb_435" localSheetId="4">#REF!</definedName>
    <definedName name="_vena_MultiSiteS1_MultiSiteB1_R_FV_42f34b52efc14701904e2bd69b949ebb_435" localSheetId="5">#REF!</definedName>
    <definedName name="_vena_MultiSiteS1_MultiSiteB1_R_FV_42f34b52efc14701904e2bd69b949ebb_435" localSheetId="8">'[1]FY26 MYP-Multisite'!#REF!</definedName>
    <definedName name="_vena_MultiSiteS1_MultiSiteB1_R_FV_42f34b52efc14701904e2bd69b949ebb_435" localSheetId="3">#REF!</definedName>
    <definedName name="_vena_MultiSiteS1_MultiSiteB1_R_FV_42f34b52efc14701904e2bd69b949ebb_435">#REF!</definedName>
    <definedName name="_vena_MultiSiteS1_MultiSiteB1_R_FV_42f34b52efc14701904e2bd69b949ebb_436" localSheetId="4">#REF!</definedName>
    <definedName name="_vena_MultiSiteS1_MultiSiteB1_R_FV_42f34b52efc14701904e2bd69b949ebb_436" localSheetId="5">#REF!</definedName>
    <definedName name="_vena_MultiSiteS1_MultiSiteB1_R_FV_42f34b52efc14701904e2bd69b949ebb_436" localSheetId="8">'[1]FY26 MYP-Multisite'!#REF!</definedName>
    <definedName name="_vena_MultiSiteS1_MultiSiteB1_R_FV_42f34b52efc14701904e2bd69b949ebb_436" localSheetId="3">#REF!</definedName>
    <definedName name="_vena_MultiSiteS1_MultiSiteB1_R_FV_42f34b52efc14701904e2bd69b949ebb_436">#REF!</definedName>
    <definedName name="_vena_MultiSiteS1_MultiSiteB1_R_FV_42f34b52efc14701904e2bd69b949ebb_437" localSheetId="4">#REF!</definedName>
    <definedName name="_vena_MultiSiteS1_MultiSiteB1_R_FV_42f34b52efc14701904e2bd69b949ebb_437" localSheetId="5">#REF!</definedName>
    <definedName name="_vena_MultiSiteS1_MultiSiteB1_R_FV_42f34b52efc14701904e2bd69b949ebb_437" localSheetId="8">'[1]FY26 MYP-Multisite'!#REF!</definedName>
    <definedName name="_vena_MultiSiteS1_MultiSiteB1_R_FV_42f34b52efc14701904e2bd69b949ebb_437" localSheetId="3">#REF!</definedName>
    <definedName name="_vena_MultiSiteS1_MultiSiteB1_R_FV_42f34b52efc14701904e2bd69b949ebb_437">#REF!</definedName>
    <definedName name="_vena_MultiSiteS1_MultiSiteB1_R_FV_42f34b52efc14701904e2bd69b949ebb_438" localSheetId="4">#REF!</definedName>
    <definedName name="_vena_MultiSiteS1_MultiSiteB1_R_FV_42f34b52efc14701904e2bd69b949ebb_438" localSheetId="5">#REF!</definedName>
    <definedName name="_vena_MultiSiteS1_MultiSiteB1_R_FV_42f34b52efc14701904e2bd69b949ebb_438" localSheetId="8">'[1]FY26 MYP-Multisite'!#REF!</definedName>
    <definedName name="_vena_MultiSiteS1_MultiSiteB1_R_FV_42f34b52efc14701904e2bd69b949ebb_438" localSheetId="3">#REF!</definedName>
    <definedName name="_vena_MultiSiteS1_MultiSiteB1_R_FV_42f34b52efc14701904e2bd69b949ebb_438">#REF!</definedName>
    <definedName name="_vena_MultiSiteS1_MultiSiteB1_R_FV_42f34b52efc14701904e2bd69b949ebb_439" localSheetId="4">#REF!</definedName>
    <definedName name="_vena_MultiSiteS1_MultiSiteB1_R_FV_42f34b52efc14701904e2bd69b949ebb_439" localSheetId="5">#REF!</definedName>
    <definedName name="_vena_MultiSiteS1_MultiSiteB1_R_FV_42f34b52efc14701904e2bd69b949ebb_439" localSheetId="8">'[1]FY26 MYP-Multisite'!#REF!</definedName>
    <definedName name="_vena_MultiSiteS1_MultiSiteB1_R_FV_42f34b52efc14701904e2bd69b949ebb_439" localSheetId="3">#REF!</definedName>
    <definedName name="_vena_MultiSiteS1_MultiSiteB1_R_FV_42f34b52efc14701904e2bd69b949ebb_439">#REF!</definedName>
    <definedName name="_vena_MultiSiteS1_MultiSiteB1_R_FV_42f34b52efc14701904e2bd69b949ebb_44">#REF!</definedName>
    <definedName name="_vena_MultiSiteS1_MultiSiteB1_R_FV_42f34b52efc14701904e2bd69b949ebb_440" localSheetId="4">#REF!</definedName>
    <definedName name="_vena_MultiSiteS1_MultiSiteB1_R_FV_42f34b52efc14701904e2bd69b949ebb_440" localSheetId="5">#REF!</definedName>
    <definedName name="_vena_MultiSiteS1_MultiSiteB1_R_FV_42f34b52efc14701904e2bd69b949ebb_440" localSheetId="8">'[1]FY26 MYP-Multisite'!#REF!</definedName>
    <definedName name="_vena_MultiSiteS1_MultiSiteB1_R_FV_42f34b52efc14701904e2bd69b949ebb_440" localSheetId="3">#REF!</definedName>
    <definedName name="_vena_MultiSiteS1_MultiSiteB1_R_FV_42f34b52efc14701904e2bd69b949ebb_440">#REF!</definedName>
    <definedName name="_vena_MultiSiteS1_MultiSiteB1_R_FV_42f34b52efc14701904e2bd69b949ebb_441" localSheetId="4">#REF!</definedName>
    <definedName name="_vena_MultiSiteS1_MultiSiteB1_R_FV_42f34b52efc14701904e2bd69b949ebb_441" localSheetId="5">#REF!</definedName>
    <definedName name="_vena_MultiSiteS1_MultiSiteB1_R_FV_42f34b52efc14701904e2bd69b949ebb_441" localSheetId="8">'[1]FY26 MYP-Multisite'!#REF!</definedName>
    <definedName name="_vena_MultiSiteS1_MultiSiteB1_R_FV_42f34b52efc14701904e2bd69b949ebb_441" localSheetId="3">#REF!</definedName>
    <definedName name="_vena_MultiSiteS1_MultiSiteB1_R_FV_42f34b52efc14701904e2bd69b949ebb_441">#REF!</definedName>
    <definedName name="_vena_MultiSiteS1_MultiSiteB1_R_FV_42f34b52efc14701904e2bd69b949ebb_442" localSheetId="4">#REF!</definedName>
    <definedName name="_vena_MultiSiteS1_MultiSiteB1_R_FV_42f34b52efc14701904e2bd69b949ebb_442" localSheetId="5">#REF!</definedName>
    <definedName name="_vena_MultiSiteS1_MultiSiteB1_R_FV_42f34b52efc14701904e2bd69b949ebb_442" localSheetId="8">'[1]FY26 MYP-Multisite'!#REF!</definedName>
    <definedName name="_vena_MultiSiteS1_MultiSiteB1_R_FV_42f34b52efc14701904e2bd69b949ebb_442" localSheetId="3">#REF!</definedName>
    <definedName name="_vena_MultiSiteS1_MultiSiteB1_R_FV_42f34b52efc14701904e2bd69b949ebb_442">#REF!</definedName>
    <definedName name="_vena_MultiSiteS1_MultiSiteB1_R_FV_42f34b52efc14701904e2bd69b949ebb_443" localSheetId="4">#REF!</definedName>
    <definedName name="_vena_MultiSiteS1_MultiSiteB1_R_FV_42f34b52efc14701904e2bd69b949ebb_443" localSheetId="5">#REF!</definedName>
    <definedName name="_vena_MultiSiteS1_MultiSiteB1_R_FV_42f34b52efc14701904e2bd69b949ebb_443" localSheetId="8">'[1]FY26 MYP-Multisite'!#REF!</definedName>
    <definedName name="_vena_MultiSiteS1_MultiSiteB1_R_FV_42f34b52efc14701904e2bd69b949ebb_443" localSheetId="3">#REF!</definedName>
    <definedName name="_vena_MultiSiteS1_MultiSiteB1_R_FV_42f34b52efc14701904e2bd69b949ebb_443">#REF!</definedName>
    <definedName name="_vena_MultiSiteS1_MultiSiteB1_R_FV_42f34b52efc14701904e2bd69b949ebb_444" localSheetId="4">#REF!</definedName>
    <definedName name="_vena_MultiSiteS1_MultiSiteB1_R_FV_42f34b52efc14701904e2bd69b949ebb_444" localSheetId="5">#REF!</definedName>
    <definedName name="_vena_MultiSiteS1_MultiSiteB1_R_FV_42f34b52efc14701904e2bd69b949ebb_444" localSheetId="8">'[1]FY26 MYP-Multisite'!#REF!</definedName>
    <definedName name="_vena_MultiSiteS1_MultiSiteB1_R_FV_42f34b52efc14701904e2bd69b949ebb_444" localSheetId="3">#REF!</definedName>
    <definedName name="_vena_MultiSiteS1_MultiSiteB1_R_FV_42f34b52efc14701904e2bd69b949ebb_444">#REF!</definedName>
    <definedName name="_vena_MultiSiteS1_MultiSiteB1_R_FV_42f34b52efc14701904e2bd69b949ebb_445" localSheetId="4">#REF!</definedName>
    <definedName name="_vena_MultiSiteS1_MultiSiteB1_R_FV_42f34b52efc14701904e2bd69b949ebb_445" localSheetId="5">#REF!</definedName>
    <definedName name="_vena_MultiSiteS1_MultiSiteB1_R_FV_42f34b52efc14701904e2bd69b949ebb_445" localSheetId="8">'[1]FY26 MYP-Multisite'!#REF!</definedName>
    <definedName name="_vena_MultiSiteS1_MultiSiteB1_R_FV_42f34b52efc14701904e2bd69b949ebb_445" localSheetId="3">#REF!</definedName>
    <definedName name="_vena_MultiSiteS1_MultiSiteB1_R_FV_42f34b52efc14701904e2bd69b949ebb_445">#REF!</definedName>
    <definedName name="_vena_MultiSiteS1_MultiSiteB1_R_FV_42f34b52efc14701904e2bd69b949ebb_446" localSheetId="4">#REF!</definedName>
    <definedName name="_vena_MultiSiteS1_MultiSiteB1_R_FV_42f34b52efc14701904e2bd69b949ebb_446" localSheetId="5">#REF!</definedName>
    <definedName name="_vena_MultiSiteS1_MultiSiteB1_R_FV_42f34b52efc14701904e2bd69b949ebb_446" localSheetId="8">'[1]FY26 MYP-Multisite'!#REF!</definedName>
    <definedName name="_vena_MultiSiteS1_MultiSiteB1_R_FV_42f34b52efc14701904e2bd69b949ebb_446" localSheetId="3">#REF!</definedName>
    <definedName name="_vena_MultiSiteS1_MultiSiteB1_R_FV_42f34b52efc14701904e2bd69b949ebb_446">#REF!</definedName>
    <definedName name="_vena_MultiSiteS1_MultiSiteB1_R_FV_42f34b52efc14701904e2bd69b949ebb_447" localSheetId="4">#REF!</definedName>
    <definedName name="_vena_MultiSiteS1_MultiSiteB1_R_FV_42f34b52efc14701904e2bd69b949ebb_447" localSheetId="5">#REF!</definedName>
    <definedName name="_vena_MultiSiteS1_MultiSiteB1_R_FV_42f34b52efc14701904e2bd69b949ebb_447" localSheetId="8">'[1]FY26 MYP-Multisite'!#REF!</definedName>
    <definedName name="_vena_MultiSiteS1_MultiSiteB1_R_FV_42f34b52efc14701904e2bd69b949ebb_447" localSheetId="3">#REF!</definedName>
    <definedName name="_vena_MultiSiteS1_MultiSiteB1_R_FV_42f34b52efc14701904e2bd69b949ebb_447">#REF!</definedName>
    <definedName name="_vena_MultiSiteS1_MultiSiteB1_R_FV_42f34b52efc14701904e2bd69b949ebb_448" localSheetId="4">#REF!</definedName>
    <definedName name="_vena_MultiSiteS1_MultiSiteB1_R_FV_42f34b52efc14701904e2bd69b949ebb_448" localSheetId="5">#REF!</definedName>
    <definedName name="_vena_MultiSiteS1_MultiSiteB1_R_FV_42f34b52efc14701904e2bd69b949ebb_448" localSheetId="8">'[1]FY26 MYP-Multisite'!#REF!</definedName>
    <definedName name="_vena_MultiSiteS1_MultiSiteB1_R_FV_42f34b52efc14701904e2bd69b949ebb_448" localSheetId="3">#REF!</definedName>
    <definedName name="_vena_MultiSiteS1_MultiSiteB1_R_FV_42f34b52efc14701904e2bd69b949ebb_448">#REF!</definedName>
    <definedName name="_vena_MultiSiteS1_MultiSiteB1_R_FV_42f34b52efc14701904e2bd69b949ebb_449" localSheetId="4">#REF!</definedName>
    <definedName name="_vena_MultiSiteS1_MultiSiteB1_R_FV_42f34b52efc14701904e2bd69b949ebb_449" localSheetId="5">#REF!</definedName>
    <definedName name="_vena_MultiSiteS1_MultiSiteB1_R_FV_42f34b52efc14701904e2bd69b949ebb_449" localSheetId="8">'[1]FY26 MYP-Multisite'!#REF!</definedName>
    <definedName name="_vena_MultiSiteS1_MultiSiteB1_R_FV_42f34b52efc14701904e2bd69b949ebb_449" localSheetId="3">#REF!</definedName>
    <definedName name="_vena_MultiSiteS1_MultiSiteB1_R_FV_42f34b52efc14701904e2bd69b949ebb_449">#REF!</definedName>
    <definedName name="_vena_MultiSiteS1_MultiSiteB1_R_FV_42f34b52efc14701904e2bd69b949ebb_45">#REF!</definedName>
    <definedName name="_vena_MultiSiteS1_MultiSiteB1_R_FV_42f34b52efc14701904e2bd69b949ebb_450" localSheetId="4">#REF!</definedName>
    <definedName name="_vena_MultiSiteS1_MultiSiteB1_R_FV_42f34b52efc14701904e2bd69b949ebb_450" localSheetId="5">#REF!</definedName>
    <definedName name="_vena_MultiSiteS1_MultiSiteB1_R_FV_42f34b52efc14701904e2bd69b949ebb_450" localSheetId="8">'[1]FY26 MYP-Multisite'!#REF!</definedName>
    <definedName name="_vena_MultiSiteS1_MultiSiteB1_R_FV_42f34b52efc14701904e2bd69b949ebb_450" localSheetId="3">#REF!</definedName>
    <definedName name="_vena_MultiSiteS1_MultiSiteB1_R_FV_42f34b52efc14701904e2bd69b949ebb_450">#REF!</definedName>
    <definedName name="_vena_MultiSiteS1_MultiSiteB1_R_FV_42f34b52efc14701904e2bd69b949ebb_451" localSheetId="4">#REF!</definedName>
    <definedName name="_vena_MultiSiteS1_MultiSiteB1_R_FV_42f34b52efc14701904e2bd69b949ebb_451" localSheetId="5">#REF!</definedName>
    <definedName name="_vena_MultiSiteS1_MultiSiteB1_R_FV_42f34b52efc14701904e2bd69b949ebb_451" localSheetId="8">'[1]FY26 MYP-Multisite'!#REF!</definedName>
    <definedName name="_vena_MultiSiteS1_MultiSiteB1_R_FV_42f34b52efc14701904e2bd69b949ebb_451" localSheetId="3">#REF!</definedName>
    <definedName name="_vena_MultiSiteS1_MultiSiteB1_R_FV_42f34b52efc14701904e2bd69b949ebb_451">#REF!</definedName>
    <definedName name="_vena_MultiSiteS1_MultiSiteB1_R_FV_42f34b52efc14701904e2bd69b949ebb_452" localSheetId="4">#REF!</definedName>
    <definedName name="_vena_MultiSiteS1_MultiSiteB1_R_FV_42f34b52efc14701904e2bd69b949ebb_452" localSheetId="5">#REF!</definedName>
    <definedName name="_vena_MultiSiteS1_MultiSiteB1_R_FV_42f34b52efc14701904e2bd69b949ebb_452" localSheetId="8">'[1]FY26 MYP-Multisite'!#REF!</definedName>
    <definedName name="_vena_MultiSiteS1_MultiSiteB1_R_FV_42f34b52efc14701904e2bd69b949ebb_452" localSheetId="3">#REF!</definedName>
    <definedName name="_vena_MultiSiteS1_MultiSiteB1_R_FV_42f34b52efc14701904e2bd69b949ebb_452">#REF!</definedName>
    <definedName name="_vena_MultiSiteS1_MultiSiteB1_R_FV_42f34b52efc14701904e2bd69b949ebb_453" localSheetId="4">#REF!</definedName>
    <definedName name="_vena_MultiSiteS1_MultiSiteB1_R_FV_42f34b52efc14701904e2bd69b949ebb_453" localSheetId="5">#REF!</definedName>
    <definedName name="_vena_MultiSiteS1_MultiSiteB1_R_FV_42f34b52efc14701904e2bd69b949ebb_453" localSheetId="8">'[1]FY26 MYP-Multisite'!#REF!</definedName>
    <definedName name="_vena_MultiSiteS1_MultiSiteB1_R_FV_42f34b52efc14701904e2bd69b949ebb_453" localSheetId="3">#REF!</definedName>
    <definedName name="_vena_MultiSiteS1_MultiSiteB1_R_FV_42f34b52efc14701904e2bd69b949ebb_453">#REF!</definedName>
    <definedName name="_vena_MultiSiteS1_MultiSiteB1_R_FV_42f34b52efc14701904e2bd69b949ebb_454" localSheetId="4">#REF!</definedName>
    <definedName name="_vena_MultiSiteS1_MultiSiteB1_R_FV_42f34b52efc14701904e2bd69b949ebb_454" localSheetId="5">#REF!</definedName>
    <definedName name="_vena_MultiSiteS1_MultiSiteB1_R_FV_42f34b52efc14701904e2bd69b949ebb_454" localSheetId="8">'[1]FY26 MYP-Multisite'!#REF!</definedName>
    <definedName name="_vena_MultiSiteS1_MultiSiteB1_R_FV_42f34b52efc14701904e2bd69b949ebb_454" localSheetId="3">#REF!</definedName>
    <definedName name="_vena_MultiSiteS1_MultiSiteB1_R_FV_42f34b52efc14701904e2bd69b949ebb_454">#REF!</definedName>
    <definedName name="_vena_MultiSiteS1_MultiSiteB1_R_FV_42f34b52efc14701904e2bd69b949ebb_455" localSheetId="4">#REF!</definedName>
    <definedName name="_vena_MultiSiteS1_MultiSiteB1_R_FV_42f34b52efc14701904e2bd69b949ebb_455" localSheetId="5">#REF!</definedName>
    <definedName name="_vena_MultiSiteS1_MultiSiteB1_R_FV_42f34b52efc14701904e2bd69b949ebb_455" localSheetId="8">'[1]FY26 MYP-Multisite'!#REF!</definedName>
    <definedName name="_vena_MultiSiteS1_MultiSiteB1_R_FV_42f34b52efc14701904e2bd69b949ebb_455" localSheetId="3">#REF!</definedName>
    <definedName name="_vena_MultiSiteS1_MultiSiteB1_R_FV_42f34b52efc14701904e2bd69b949ebb_455">#REF!</definedName>
    <definedName name="_vena_MultiSiteS1_MultiSiteB1_R_FV_42f34b52efc14701904e2bd69b949ebb_456" localSheetId="4">#REF!</definedName>
    <definedName name="_vena_MultiSiteS1_MultiSiteB1_R_FV_42f34b52efc14701904e2bd69b949ebb_456" localSheetId="5">#REF!</definedName>
    <definedName name="_vena_MultiSiteS1_MultiSiteB1_R_FV_42f34b52efc14701904e2bd69b949ebb_456" localSheetId="8">'[1]FY26 MYP-Multisite'!#REF!</definedName>
    <definedName name="_vena_MultiSiteS1_MultiSiteB1_R_FV_42f34b52efc14701904e2bd69b949ebb_456" localSheetId="3">#REF!</definedName>
    <definedName name="_vena_MultiSiteS1_MultiSiteB1_R_FV_42f34b52efc14701904e2bd69b949ebb_456">#REF!</definedName>
    <definedName name="_vena_MultiSiteS1_MultiSiteB1_R_FV_42f34b52efc14701904e2bd69b949ebb_457" localSheetId="4">#REF!</definedName>
    <definedName name="_vena_MultiSiteS1_MultiSiteB1_R_FV_42f34b52efc14701904e2bd69b949ebb_457" localSheetId="5">#REF!</definedName>
    <definedName name="_vena_MultiSiteS1_MultiSiteB1_R_FV_42f34b52efc14701904e2bd69b949ebb_457" localSheetId="8">'[1]FY26 MYP-Multisite'!#REF!</definedName>
    <definedName name="_vena_MultiSiteS1_MultiSiteB1_R_FV_42f34b52efc14701904e2bd69b949ebb_457" localSheetId="3">#REF!</definedName>
    <definedName name="_vena_MultiSiteS1_MultiSiteB1_R_FV_42f34b52efc14701904e2bd69b949ebb_457">#REF!</definedName>
    <definedName name="_vena_MultiSiteS1_MultiSiteB1_R_FV_42f34b52efc14701904e2bd69b949ebb_458" localSheetId="4">#REF!</definedName>
    <definedName name="_vena_MultiSiteS1_MultiSiteB1_R_FV_42f34b52efc14701904e2bd69b949ebb_458" localSheetId="5">#REF!</definedName>
    <definedName name="_vena_MultiSiteS1_MultiSiteB1_R_FV_42f34b52efc14701904e2bd69b949ebb_458" localSheetId="8">'[1]FY26 MYP-Multisite'!#REF!</definedName>
    <definedName name="_vena_MultiSiteS1_MultiSiteB1_R_FV_42f34b52efc14701904e2bd69b949ebb_458" localSheetId="3">#REF!</definedName>
    <definedName name="_vena_MultiSiteS1_MultiSiteB1_R_FV_42f34b52efc14701904e2bd69b949ebb_458">#REF!</definedName>
    <definedName name="_vena_MultiSiteS1_MultiSiteB1_R_FV_42f34b52efc14701904e2bd69b949ebb_459" localSheetId="4">#REF!</definedName>
    <definedName name="_vena_MultiSiteS1_MultiSiteB1_R_FV_42f34b52efc14701904e2bd69b949ebb_459" localSheetId="5">#REF!</definedName>
    <definedName name="_vena_MultiSiteS1_MultiSiteB1_R_FV_42f34b52efc14701904e2bd69b949ebb_459" localSheetId="8">'[1]FY26 MYP-Multisite'!#REF!</definedName>
    <definedName name="_vena_MultiSiteS1_MultiSiteB1_R_FV_42f34b52efc14701904e2bd69b949ebb_459" localSheetId="3">#REF!</definedName>
    <definedName name="_vena_MultiSiteS1_MultiSiteB1_R_FV_42f34b52efc14701904e2bd69b949ebb_459">#REF!</definedName>
    <definedName name="_vena_MultiSiteS1_MultiSiteB1_R_FV_42f34b52efc14701904e2bd69b949ebb_46">#REF!</definedName>
    <definedName name="_vena_MultiSiteS1_MultiSiteB1_R_FV_42f34b52efc14701904e2bd69b949ebb_460" localSheetId="4">#REF!</definedName>
    <definedName name="_vena_MultiSiteS1_MultiSiteB1_R_FV_42f34b52efc14701904e2bd69b949ebb_460" localSheetId="5">#REF!</definedName>
    <definedName name="_vena_MultiSiteS1_MultiSiteB1_R_FV_42f34b52efc14701904e2bd69b949ebb_460" localSheetId="8">'[1]FY26 MYP-Multisite'!#REF!</definedName>
    <definedName name="_vena_MultiSiteS1_MultiSiteB1_R_FV_42f34b52efc14701904e2bd69b949ebb_460" localSheetId="3">#REF!</definedName>
    <definedName name="_vena_MultiSiteS1_MultiSiteB1_R_FV_42f34b52efc14701904e2bd69b949ebb_460">#REF!</definedName>
    <definedName name="_vena_MultiSiteS1_MultiSiteB1_R_FV_42f34b52efc14701904e2bd69b949ebb_461" localSheetId="4">#REF!</definedName>
    <definedName name="_vena_MultiSiteS1_MultiSiteB1_R_FV_42f34b52efc14701904e2bd69b949ebb_461" localSheetId="5">#REF!</definedName>
    <definedName name="_vena_MultiSiteS1_MultiSiteB1_R_FV_42f34b52efc14701904e2bd69b949ebb_461" localSheetId="8">'[1]FY26 MYP-Multisite'!#REF!</definedName>
    <definedName name="_vena_MultiSiteS1_MultiSiteB1_R_FV_42f34b52efc14701904e2bd69b949ebb_461" localSheetId="3">#REF!</definedName>
    <definedName name="_vena_MultiSiteS1_MultiSiteB1_R_FV_42f34b52efc14701904e2bd69b949ebb_461">#REF!</definedName>
    <definedName name="_vena_MultiSiteS1_MultiSiteB1_R_FV_42f34b52efc14701904e2bd69b949ebb_462" localSheetId="4">#REF!</definedName>
    <definedName name="_vena_MultiSiteS1_MultiSiteB1_R_FV_42f34b52efc14701904e2bd69b949ebb_462" localSheetId="5">#REF!</definedName>
    <definedName name="_vena_MultiSiteS1_MultiSiteB1_R_FV_42f34b52efc14701904e2bd69b949ebb_462" localSheetId="8">'[1]FY26 MYP-Multisite'!#REF!</definedName>
    <definedName name="_vena_MultiSiteS1_MultiSiteB1_R_FV_42f34b52efc14701904e2bd69b949ebb_462" localSheetId="3">#REF!</definedName>
    <definedName name="_vena_MultiSiteS1_MultiSiteB1_R_FV_42f34b52efc14701904e2bd69b949ebb_462">#REF!</definedName>
    <definedName name="_vena_MultiSiteS1_MultiSiteB1_R_FV_42f34b52efc14701904e2bd69b949ebb_463" localSheetId="4">#REF!</definedName>
    <definedName name="_vena_MultiSiteS1_MultiSiteB1_R_FV_42f34b52efc14701904e2bd69b949ebb_463" localSheetId="5">#REF!</definedName>
    <definedName name="_vena_MultiSiteS1_MultiSiteB1_R_FV_42f34b52efc14701904e2bd69b949ebb_463" localSheetId="8">'[1]FY26 MYP-Multisite'!#REF!</definedName>
    <definedName name="_vena_MultiSiteS1_MultiSiteB1_R_FV_42f34b52efc14701904e2bd69b949ebb_463" localSheetId="3">#REF!</definedName>
    <definedName name="_vena_MultiSiteS1_MultiSiteB1_R_FV_42f34b52efc14701904e2bd69b949ebb_463">#REF!</definedName>
    <definedName name="_vena_MultiSiteS1_MultiSiteB1_R_FV_42f34b52efc14701904e2bd69b949ebb_464" localSheetId="4">#REF!</definedName>
    <definedName name="_vena_MultiSiteS1_MultiSiteB1_R_FV_42f34b52efc14701904e2bd69b949ebb_464" localSheetId="5">#REF!</definedName>
    <definedName name="_vena_MultiSiteS1_MultiSiteB1_R_FV_42f34b52efc14701904e2bd69b949ebb_464" localSheetId="8">'[1]FY26 MYP-Multisite'!#REF!</definedName>
    <definedName name="_vena_MultiSiteS1_MultiSiteB1_R_FV_42f34b52efc14701904e2bd69b949ebb_464" localSheetId="3">#REF!</definedName>
    <definedName name="_vena_MultiSiteS1_MultiSiteB1_R_FV_42f34b52efc14701904e2bd69b949ebb_464">#REF!</definedName>
    <definedName name="_vena_MultiSiteS1_MultiSiteB1_R_FV_42f34b52efc14701904e2bd69b949ebb_465" localSheetId="4">#REF!</definedName>
    <definedName name="_vena_MultiSiteS1_MultiSiteB1_R_FV_42f34b52efc14701904e2bd69b949ebb_465" localSheetId="5">#REF!</definedName>
    <definedName name="_vena_MultiSiteS1_MultiSiteB1_R_FV_42f34b52efc14701904e2bd69b949ebb_465" localSheetId="8">'[1]FY26 MYP-Multisite'!#REF!</definedName>
    <definedName name="_vena_MultiSiteS1_MultiSiteB1_R_FV_42f34b52efc14701904e2bd69b949ebb_465" localSheetId="3">#REF!</definedName>
    <definedName name="_vena_MultiSiteS1_MultiSiteB1_R_FV_42f34b52efc14701904e2bd69b949ebb_465">#REF!</definedName>
    <definedName name="_vena_MultiSiteS1_MultiSiteB1_R_FV_42f34b52efc14701904e2bd69b949ebb_466" localSheetId="4">#REF!</definedName>
    <definedName name="_vena_MultiSiteS1_MultiSiteB1_R_FV_42f34b52efc14701904e2bd69b949ebb_466" localSheetId="5">#REF!</definedName>
    <definedName name="_vena_MultiSiteS1_MultiSiteB1_R_FV_42f34b52efc14701904e2bd69b949ebb_466" localSheetId="8">'[1]FY26 MYP-Multisite'!#REF!</definedName>
    <definedName name="_vena_MultiSiteS1_MultiSiteB1_R_FV_42f34b52efc14701904e2bd69b949ebb_466" localSheetId="3">#REF!</definedName>
    <definedName name="_vena_MultiSiteS1_MultiSiteB1_R_FV_42f34b52efc14701904e2bd69b949ebb_466">#REF!</definedName>
    <definedName name="_vena_MultiSiteS1_MultiSiteB1_R_FV_42f34b52efc14701904e2bd69b949ebb_467" localSheetId="4">#REF!</definedName>
    <definedName name="_vena_MultiSiteS1_MultiSiteB1_R_FV_42f34b52efc14701904e2bd69b949ebb_467" localSheetId="5">#REF!</definedName>
    <definedName name="_vena_MultiSiteS1_MultiSiteB1_R_FV_42f34b52efc14701904e2bd69b949ebb_467" localSheetId="8">'[1]FY26 MYP-Multisite'!#REF!</definedName>
    <definedName name="_vena_MultiSiteS1_MultiSiteB1_R_FV_42f34b52efc14701904e2bd69b949ebb_467" localSheetId="3">#REF!</definedName>
    <definedName name="_vena_MultiSiteS1_MultiSiteB1_R_FV_42f34b52efc14701904e2bd69b949ebb_467">#REF!</definedName>
    <definedName name="_vena_MultiSiteS1_MultiSiteB1_R_FV_42f34b52efc14701904e2bd69b949ebb_468" localSheetId="4">#REF!</definedName>
    <definedName name="_vena_MultiSiteS1_MultiSiteB1_R_FV_42f34b52efc14701904e2bd69b949ebb_468" localSheetId="5">#REF!</definedName>
    <definedName name="_vena_MultiSiteS1_MultiSiteB1_R_FV_42f34b52efc14701904e2bd69b949ebb_468" localSheetId="8">'[1]FY26 MYP-Multisite'!#REF!</definedName>
    <definedName name="_vena_MultiSiteS1_MultiSiteB1_R_FV_42f34b52efc14701904e2bd69b949ebb_468" localSheetId="3">#REF!</definedName>
    <definedName name="_vena_MultiSiteS1_MultiSiteB1_R_FV_42f34b52efc14701904e2bd69b949ebb_468">#REF!</definedName>
    <definedName name="_vena_MultiSiteS1_MultiSiteB1_R_FV_42f34b52efc14701904e2bd69b949ebb_469" localSheetId="4">#REF!</definedName>
    <definedName name="_vena_MultiSiteS1_MultiSiteB1_R_FV_42f34b52efc14701904e2bd69b949ebb_469" localSheetId="5">#REF!</definedName>
    <definedName name="_vena_MultiSiteS1_MultiSiteB1_R_FV_42f34b52efc14701904e2bd69b949ebb_469" localSheetId="8">'[1]FY26 MYP-Multisite'!#REF!</definedName>
    <definedName name="_vena_MultiSiteS1_MultiSiteB1_R_FV_42f34b52efc14701904e2bd69b949ebb_469" localSheetId="3">#REF!</definedName>
    <definedName name="_vena_MultiSiteS1_MultiSiteB1_R_FV_42f34b52efc14701904e2bd69b949ebb_469">#REF!</definedName>
    <definedName name="_vena_MultiSiteS1_MultiSiteB1_R_FV_42f34b52efc14701904e2bd69b949ebb_47">#REF!</definedName>
    <definedName name="_vena_MultiSiteS1_MultiSiteB1_R_FV_42f34b52efc14701904e2bd69b949ebb_470" localSheetId="4">#REF!</definedName>
    <definedName name="_vena_MultiSiteS1_MultiSiteB1_R_FV_42f34b52efc14701904e2bd69b949ebb_470" localSheetId="5">#REF!</definedName>
    <definedName name="_vena_MultiSiteS1_MultiSiteB1_R_FV_42f34b52efc14701904e2bd69b949ebb_470" localSheetId="8">'[1]FY26 MYP-Multisite'!#REF!</definedName>
    <definedName name="_vena_MultiSiteS1_MultiSiteB1_R_FV_42f34b52efc14701904e2bd69b949ebb_470" localSheetId="3">#REF!</definedName>
    <definedName name="_vena_MultiSiteS1_MultiSiteB1_R_FV_42f34b52efc14701904e2bd69b949ebb_470">#REF!</definedName>
    <definedName name="_vena_MultiSiteS1_MultiSiteB1_R_FV_42f34b52efc14701904e2bd69b949ebb_471" localSheetId="4">#REF!</definedName>
    <definedName name="_vena_MultiSiteS1_MultiSiteB1_R_FV_42f34b52efc14701904e2bd69b949ebb_471" localSheetId="5">#REF!</definedName>
    <definedName name="_vena_MultiSiteS1_MultiSiteB1_R_FV_42f34b52efc14701904e2bd69b949ebb_471" localSheetId="8">'[1]FY26 MYP-Multisite'!#REF!</definedName>
    <definedName name="_vena_MultiSiteS1_MultiSiteB1_R_FV_42f34b52efc14701904e2bd69b949ebb_471" localSheetId="3">#REF!</definedName>
    <definedName name="_vena_MultiSiteS1_MultiSiteB1_R_FV_42f34b52efc14701904e2bd69b949ebb_471">#REF!</definedName>
    <definedName name="_vena_MultiSiteS1_MultiSiteB1_R_FV_42f34b52efc14701904e2bd69b949ebb_472" localSheetId="4">#REF!</definedName>
    <definedName name="_vena_MultiSiteS1_MultiSiteB1_R_FV_42f34b52efc14701904e2bd69b949ebb_472" localSheetId="5">#REF!</definedName>
    <definedName name="_vena_MultiSiteS1_MultiSiteB1_R_FV_42f34b52efc14701904e2bd69b949ebb_472" localSheetId="8">'[1]FY26 MYP-Multisite'!#REF!</definedName>
    <definedName name="_vena_MultiSiteS1_MultiSiteB1_R_FV_42f34b52efc14701904e2bd69b949ebb_472" localSheetId="3">#REF!</definedName>
    <definedName name="_vena_MultiSiteS1_MultiSiteB1_R_FV_42f34b52efc14701904e2bd69b949ebb_472">#REF!</definedName>
    <definedName name="_vena_MultiSiteS1_MultiSiteB1_R_FV_42f34b52efc14701904e2bd69b949ebb_473" localSheetId="4">#REF!</definedName>
    <definedName name="_vena_MultiSiteS1_MultiSiteB1_R_FV_42f34b52efc14701904e2bd69b949ebb_473" localSheetId="5">#REF!</definedName>
    <definedName name="_vena_MultiSiteS1_MultiSiteB1_R_FV_42f34b52efc14701904e2bd69b949ebb_473" localSheetId="8">'[1]FY26 MYP-Multisite'!#REF!</definedName>
    <definedName name="_vena_MultiSiteS1_MultiSiteB1_R_FV_42f34b52efc14701904e2bd69b949ebb_473" localSheetId="3">#REF!</definedName>
    <definedName name="_vena_MultiSiteS1_MultiSiteB1_R_FV_42f34b52efc14701904e2bd69b949ebb_473">#REF!</definedName>
    <definedName name="_vena_MultiSiteS1_MultiSiteB1_R_FV_42f34b52efc14701904e2bd69b949ebb_474" localSheetId="4">#REF!</definedName>
    <definedName name="_vena_MultiSiteS1_MultiSiteB1_R_FV_42f34b52efc14701904e2bd69b949ebb_474" localSheetId="5">#REF!</definedName>
    <definedName name="_vena_MultiSiteS1_MultiSiteB1_R_FV_42f34b52efc14701904e2bd69b949ebb_474" localSheetId="8">'[1]FY26 MYP-Multisite'!#REF!</definedName>
    <definedName name="_vena_MultiSiteS1_MultiSiteB1_R_FV_42f34b52efc14701904e2bd69b949ebb_474" localSheetId="3">#REF!</definedName>
    <definedName name="_vena_MultiSiteS1_MultiSiteB1_R_FV_42f34b52efc14701904e2bd69b949ebb_474">#REF!</definedName>
    <definedName name="_vena_MultiSiteS1_MultiSiteB1_R_FV_42f34b52efc14701904e2bd69b949ebb_475" localSheetId="4">#REF!</definedName>
    <definedName name="_vena_MultiSiteS1_MultiSiteB1_R_FV_42f34b52efc14701904e2bd69b949ebb_475" localSheetId="5">#REF!</definedName>
    <definedName name="_vena_MultiSiteS1_MultiSiteB1_R_FV_42f34b52efc14701904e2bd69b949ebb_475" localSheetId="8">'[1]FY26 MYP-Multisite'!#REF!</definedName>
    <definedName name="_vena_MultiSiteS1_MultiSiteB1_R_FV_42f34b52efc14701904e2bd69b949ebb_475" localSheetId="3">#REF!</definedName>
    <definedName name="_vena_MultiSiteS1_MultiSiteB1_R_FV_42f34b52efc14701904e2bd69b949ebb_475">#REF!</definedName>
    <definedName name="_vena_MultiSiteS1_MultiSiteB1_R_FV_42f34b52efc14701904e2bd69b949ebb_476" localSheetId="4">#REF!</definedName>
    <definedName name="_vena_MultiSiteS1_MultiSiteB1_R_FV_42f34b52efc14701904e2bd69b949ebb_476" localSheetId="5">#REF!</definedName>
    <definedName name="_vena_MultiSiteS1_MultiSiteB1_R_FV_42f34b52efc14701904e2bd69b949ebb_476" localSheetId="8">'[1]FY26 MYP-Multisite'!#REF!</definedName>
    <definedName name="_vena_MultiSiteS1_MultiSiteB1_R_FV_42f34b52efc14701904e2bd69b949ebb_476" localSheetId="3">#REF!</definedName>
    <definedName name="_vena_MultiSiteS1_MultiSiteB1_R_FV_42f34b52efc14701904e2bd69b949ebb_476">#REF!</definedName>
    <definedName name="_vena_MultiSiteS1_MultiSiteB1_R_FV_42f34b52efc14701904e2bd69b949ebb_477" localSheetId="4">#REF!</definedName>
    <definedName name="_vena_MultiSiteS1_MultiSiteB1_R_FV_42f34b52efc14701904e2bd69b949ebb_477" localSheetId="5">#REF!</definedName>
    <definedName name="_vena_MultiSiteS1_MultiSiteB1_R_FV_42f34b52efc14701904e2bd69b949ebb_477" localSheetId="8">'[1]FY26 MYP-Multisite'!#REF!</definedName>
    <definedName name="_vena_MultiSiteS1_MultiSiteB1_R_FV_42f34b52efc14701904e2bd69b949ebb_477" localSheetId="3">#REF!</definedName>
    <definedName name="_vena_MultiSiteS1_MultiSiteB1_R_FV_42f34b52efc14701904e2bd69b949ebb_477">#REF!</definedName>
    <definedName name="_vena_MultiSiteS1_MultiSiteB1_R_FV_42f34b52efc14701904e2bd69b949ebb_478" localSheetId="4">#REF!</definedName>
    <definedName name="_vena_MultiSiteS1_MultiSiteB1_R_FV_42f34b52efc14701904e2bd69b949ebb_478" localSheetId="5">#REF!</definedName>
    <definedName name="_vena_MultiSiteS1_MultiSiteB1_R_FV_42f34b52efc14701904e2bd69b949ebb_478" localSheetId="8">'[1]FY26 MYP-Multisite'!#REF!</definedName>
    <definedName name="_vena_MultiSiteS1_MultiSiteB1_R_FV_42f34b52efc14701904e2bd69b949ebb_478" localSheetId="3">#REF!</definedName>
    <definedName name="_vena_MultiSiteS1_MultiSiteB1_R_FV_42f34b52efc14701904e2bd69b949ebb_478">#REF!</definedName>
    <definedName name="_vena_MultiSiteS1_MultiSiteB1_R_FV_42f34b52efc14701904e2bd69b949ebb_479" localSheetId="4">#REF!</definedName>
    <definedName name="_vena_MultiSiteS1_MultiSiteB1_R_FV_42f34b52efc14701904e2bd69b949ebb_479" localSheetId="5">#REF!</definedName>
    <definedName name="_vena_MultiSiteS1_MultiSiteB1_R_FV_42f34b52efc14701904e2bd69b949ebb_479" localSheetId="8">'[1]FY26 MYP-Multisite'!#REF!</definedName>
    <definedName name="_vena_MultiSiteS1_MultiSiteB1_R_FV_42f34b52efc14701904e2bd69b949ebb_479" localSheetId="3">#REF!</definedName>
    <definedName name="_vena_MultiSiteS1_MultiSiteB1_R_FV_42f34b52efc14701904e2bd69b949ebb_479">#REF!</definedName>
    <definedName name="_vena_MultiSiteS1_MultiSiteB1_R_FV_42f34b52efc14701904e2bd69b949ebb_48">#REF!</definedName>
    <definedName name="_vena_MultiSiteS1_MultiSiteB1_R_FV_42f34b52efc14701904e2bd69b949ebb_480" localSheetId="4">#REF!</definedName>
    <definedName name="_vena_MultiSiteS1_MultiSiteB1_R_FV_42f34b52efc14701904e2bd69b949ebb_480" localSheetId="5">#REF!</definedName>
    <definedName name="_vena_MultiSiteS1_MultiSiteB1_R_FV_42f34b52efc14701904e2bd69b949ebb_480" localSheetId="8">'[1]FY26 MYP-Multisite'!#REF!</definedName>
    <definedName name="_vena_MultiSiteS1_MultiSiteB1_R_FV_42f34b52efc14701904e2bd69b949ebb_480" localSheetId="3">#REF!</definedName>
    <definedName name="_vena_MultiSiteS1_MultiSiteB1_R_FV_42f34b52efc14701904e2bd69b949ebb_480">#REF!</definedName>
    <definedName name="_vena_MultiSiteS1_MultiSiteB1_R_FV_42f34b52efc14701904e2bd69b949ebb_481" localSheetId="4">#REF!</definedName>
    <definedName name="_vena_MultiSiteS1_MultiSiteB1_R_FV_42f34b52efc14701904e2bd69b949ebb_481" localSheetId="5">#REF!</definedName>
    <definedName name="_vena_MultiSiteS1_MultiSiteB1_R_FV_42f34b52efc14701904e2bd69b949ebb_481" localSheetId="8">'[1]FY26 MYP-Multisite'!#REF!</definedName>
    <definedName name="_vena_MultiSiteS1_MultiSiteB1_R_FV_42f34b52efc14701904e2bd69b949ebb_481" localSheetId="3">#REF!</definedName>
    <definedName name="_vena_MultiSiteS1_MultiSiteB1_R_FV_42f34b52efc14701904e2bd69b949ebb_481">#REF!</definedName>
    <definedName name="_vena_MultiSiteS1_MultiSiteB1_R_FV_42f34b52efc14701904e2bd69b949ebb_482" localSheetId="4">#REF!</definedName>
    <definedName name="_vena_MultiSiteS1_MultiSiteB1_R_FV_42f34b52efc14701904e2bd69b949ebb_482" localSheetId="5">#REF!</definedName>
    <definedName name="_vena_MultiSiteS1_MultiSiteB1_R_FV_42f34b52efc14701904e2bd69b949ebb_482" localSheetId="8">'[1]FY26 MYP-Multisite'!#REF!</definedName>
    <definedName name="_vena_MultiSiteS1_MultiSiteB1_R_FV_42f34b52efc14701904e2bd69b949ebb_482" localSheetId="3">#REF!</definedName>
    <definedName name="_vena_MultiSiteS1_MultiSiteB1_R_FV_42f34b52efc14701904e2bd69b949ebb_482">#REF!</definedName>
    <definedName name="_vena_MultiSiteS1_MultiSiteB1_R_FV_42f34b52efc14701904e2bd69b949ebb_483" localSheetId="4">#REF!</definedName>
    <definedName name="_vena_MultiSiteS1_MultiSiteB1_R_FV_42f34b52efc14701904e2bd69b949ebb_483" localSheetId="5">#REF!</definedName>
    <definedName name="_vena_MultiSiteS1_MultiSiteB1_R_FV_42f34b52efc14701904e2bd69b949ebb_483" localSheetId="8">'[1]FY26 MYP-Multisite'!#REF!</definedName>
    <definedName name="_vena_MultiSiteS1_MultiSiteB1_R_FV_42f34b52efc14701904e2bd69b949ebb_483" localSheetId="3">#REF!</definedName>
    <definedName name="_vena_MultiSiteS1_MultiSiteB1_R_FV_42f34b52efc14701904e2bd69b949ebb_483">#REF!</definedName>
    <definedName name="_vena_MultiSiteS1_MultiSiteB1_R_FV_42f34b52efc14701904e2bd69b949ebb_484" localSheetId="4">#REF!</definedName>
    <definedName name="_vena_MultiSiteS1_MultiSiteB1_R_FV_42f34b52efc14701904e2bd69b949ebb_484" localSheetId="5">#REF!</definedName>
    <definedName name="_vena_MultiSiteS1_MultiSiteB1_R_FV_42f34b52efc14701904e2bd69b949ebb_484" localSheetId="8">'[1]FY26 MYP-Multisite'!#REF!</definedName>
    <definedName name="_vena_MultiSiteS1_MultiSiteB1_R_FV_42f34b52efc14701904e2bd69b949ebb_484" localSheetId="3">#REF!</definedName>
    <definedName name="_vena_MultiSiteS1_MultiSiteB1_R_FV_42f34b52efc14701904e2bd69b949ebb_484">#REF!</definedName>
    <definedName name="_vena_MultiSiteS1_MultiSiteB1_R_FV_42f34b52efc14701904e2bd69b949ebb_485" localSheetId="4">#REF!</definedName>
    <definedName name="_vena_MultiSiteS1_MultiSiteB1_R_FV_42f34b52efc14701904e2bd69b949ebb_485" localSheetId="5">#REF!</definedName>
    <definedName name="_vena_MultiSiteS1_MultiSiteB1_R_FV_42f34b52efc14701904e2bd69b949ebb_485" localSheetId="8">'[1]FY26 MYP-Multisite'!#REF!</definedName>
    <definedName name="_vena_MultiSiteS1_MultiSiteB1_R_FV_42f34b52efc14701904e2bd69b949ebb_485" localSheetId="3">#REF!</definedName>
    <definedName name="_vena_MultiSiteS1_MultiSiteB1_R_FV_42f34b52efc14701904e2bd69b949ebb_485">#REF!</definedName>
    <definedName name="_vena_MultiSiteS1_MultiSiteB1_R_FV_42f34b52efc14701904e2bd69b949ebb_486" localSheetId="4">#REF!</definedName>
    <definedName name="_vena_MultiSiteS1_MultiSiteB1_R_FV_42f34b52efc14701904e2bd69b949ebb_486" localSheetId="5">#REF!</definedName>
    <definedName name="_vena_MultiSiteS1_MultiSiteB1_R_FV_42f34b52efc14701904e2bd69b949ebb_486" localSheetId="8">'[1]FY26 MYP-Multisite'!#REF!</definedName>
    <definedName name="_vena_MultiSiteS1_MultiSiteB1_R_FV_42f34b52efc14701904e2bd69b949ebb_486" localSheetId="3">#REF!</definedName>
    <definedName name="_vena_MultiSiteS1_MultiSiteB1_R_FV_42f34b52efc14701904e2bd69b949ebb_486">#REF!</definedName>
    <definedName name="_vena_MultiSiteS1_MultiSiteB1_R_FV_42f34b52efc14701904e2bd69b949ebb_487" localSheetId="4">#REF!</definedName>
    <definedName name="_vena_MultiSiteS1_MultiSiteB1_R_FV_42f34b52efc14701904e2bd69b949ebb_487" localSheetId="5">#REF!</definedName>
    <definedName name="_vena_MultiSiteS1_MultiSiteB1_R_FV_42f34b52efc14701904e2bd69b949ebb_487" localSheetId="8">'[1]FY26 MYP-Multisite'!#REF!</definedName>
    <definedName name="_vena_MultiSiteS1_MultiSiteB1_R_FV_42f34b52efc14701904e2bd69b949ebb_487" localSheetId="3">#REF!</definedName>
    <definedName name="_vena_MultiSiteS1_MultiSiteB1_R_FV_42f34b52efc14701904e2bd69b949ebb_487">#REF!</definedName>
    <definedName name="_vena_MultiSiteS1_MultiSiteB1_R_FV_42f34b52efc14701904e2bd69b949ebb_488" localSheetId="4">#REF!</definedName>
    <definedName name="_vena_MultiSiteS1_MultiSiteB1_R_FV_42f34b52efc14701904e2bd69b949ebb_488" localSheetId="5">#REF!</definedName>
    <definedName name="_vena_MultiSiteS1_MultiSiteB1_R_FV_42f34b52efc14701904e2bd69b949ebb_488" localSheetId="8">'[1]FY26 MYP-Multisite'!#REF!</definedName>
    <definedName name="_vena_MultiSiteS1_MultiSiteB1_R_FV_42f34b52efc14701904e2bd69b949ebb_488" localSheetId="3">#REF!</definedName>
    <definedName name="_vena_MultiSiteS1_MultiSiteB1_R_FV_42f34b52efc14701904e2bd69b949ebb_488">#REF!</definedName>
    <definedName name="_vena_MultiSiteS1_MultiSiteB1_R_FV_42f34b52efc14701904e2bd69b949ebb_489" localSheetId="4">#REF!</definedName>
    <definedName name="_vena_MultiSiteS1_MultiSiteB1_R_FV_42f34b52efc14701904e2bd69b949ebb_489" localSheetId="5">#REF!</definedName>
    <definedName name="_vena_MultiSiteS1_MultiSiteB1_R_FV_42f34b52efc14701904e2bd69b949ebb_489" localSheetId="8">'[1]FY26 MYP-Multisite'!#REF!</definedName>
    <definedName name="_vena_MultiSiteS1_MultiSiteB1_R_FV_42f34b52efc14701904e2bd69b949ebb_489" localSheetId="3">#REF!</definedName>
    <definedName name="_vena_MultiSiteS1_MultiSiteB1_R_FV_42f34b52efc14701904e2bd69b949ebb_489">#REF!</definedName>
    <definedName name="_vena_MultiSiteS1_MultiSiteB1_R_FV_42f34b52efc14701904e2bd69b949ebb_49">#REF!</definedName>
    <definedName name="_vena_MultiSiteS1_MultiSiteB1_R_FV_42f34b52efc14701904e2bd69b949ebb_490" localSheetId="4">#REF!</definedName>
    <definedName name="_vena_MultiSiteS1_MultiSiteB1_R_FV_42f34b52efc14701904e2bd69b949ebb_490" localSheetId="5">#REF!</definedName>
    <definedName name="_vena_MultiSiteS1_MultiSiteB1_R_FV_42f34b52efc14701904e2bd69b949ebb_490" localSheetId="8">'[1]FY26 MYP-Multisite'!#REF!</definedName>
    <definedName name="_vena_MultiSiteS1_MultiSiteB1_R_FV_42f34b52efc14701904e2bd69b949ebb_490" localSheetId="3">#REF!</definedName>
    <definedName name="_vena_MultiSiteS1_MultiSiteB1_R_FV_42f34b52efc14701904e2bd69b949ebb_490">#REF!</definedName>
    <definedName name="_vena_MultiSiteS1_MultiSiteB1_R_FV_42f34b52efc14701904e2bd69b949ebb_491" localSheetId="4">#REF!</definedName>
    <definedName name="_vena_MultiSiteS1_MultiSiteB1_R_FV_42f34b52efc14701904e2bd69b949ebb_491" localSheetId="5">#REF!</definedName>
    <definedName name="_vena_MultiSiteS1_MultiSiteB1_R_FV_42f34b52efc14701904e2bd69b949ebb_491" localSheetId="8">'[1]FY26 MYP-Multisite'!#REF!</definedName>
    <definedName name="_vena_MultiSiteS1_MultiSiteB1_R_FV_42f34b52efc14701904e2bd69b949ebb_491" localSheetId="3">#REF!</definedName>
    <definedName name="_vena_MultiSiteS1_MultiSiteB1_R_FV_42f34b52efc14701904e2bd69b949ebb_491">#REF!</definedName>
    <definedName name="_vena_MultiSiteS1_MultiSiteB1_R_FV_42f34b52efc14701904e2bd69b949ebb_492" localSheetId="4">#REF!</definedName>
    <definedName name="_vena_MultiSiteS1_MultiSiteB1_R_FV_42f34b52efc14701904e2bd69b949ebb_492" localSheetId="5">#REF!</definedName>
    <definedName name="_vena_MultiSiteS1_MultiSiteB1_R_FV_42f34b52efc14701904e2bd69b949ebb_492" localSheetId="8">'[1]FY26 MYP-Multisite'!#REF!</definedName>
    <definedName name="_vena_MultiSiteS1_MultiSiteB1_R_FV_42f34b52efc14701904e2bd69b949ebb_492" localSheetId="3">#REF!</definedName>
    <definedName name="_vena_MultiSiteS1_MultiSiteB1_R_FV_42f34b52efc14701904e2bd69b949ebb_492">#REF!</definedName>
    <definedName name="_vena_MultiSiteS1_MultiSiteB1_R_FV_42f34b52efc14701904e2bd69b949ebb_493" localSheetId="4">#REF!</definedName>
    <definedName name="_vena_MultiSiteS1_MultiSiteB1_R_FV_42f34b52efc14701904e2bd69b949ebb_493" localSheetId="5">#REF!</definedName>
    <definedName name="_vena_MultiSiteS1_MultiSiteB1_R_FV_42f34b52efc14701904e2bd69b949ebb_493" localSheetId="8">'[1]FY26 MYP-Multisite'!#REF!</definedName>
    <definedName name="_vena_MultiSiteS1_MultiSiteB1_R_FV_42f34b52efc14701904e2bd69b949ebb_493" localSheetId="3">#REF!</definedName>
    <definedName name="_vena_MultiSiteS1_MultiSiteB1_R_FV_42f34b52efc14701904e2bd69b949ebb_493">#REF!</definedName>
    <definedName name="_vena_MultiSiteS1_MultiSiteB1_R_FV_42f34b52efc14701904e2bd69b949ebb_494" localSheetId="4">#REF!</definedName>
    <definedName name="_vena_MultiSiteS1_MultiSiteB1_R_FV_42f34b52efc14701904e2bd69b949ebb_494" localSheetId="5">#REF!</definedName>
    <definedName name="_vena_MultiSiteS1_MultiSiteB1_R_FV_42f34b52efc14701904e2bd69b949ebb_494" localSheetId="8">'[1]FY26 MYP-Multisite'!#REF!</definedName>
    <definedName name="_vena_MultiSiteS1_MultiSiteB1_R_FV_42f34b52efc14701904e2bd69b949ebb_494" localSheetId="3">#REF!</definedName>
    <definedName name="_vena_MultiSiteS1_MultiSiteB1_R_FV_42f34b52efc14701904e2bd69b949ebb_494">#REF!</definedName>
    <definedName name="_vena_MultiSiteS1_MultiSiteB1_R_FV_42f34b52efc14701904e2bd69b949ebb_495" localSheetId="4">#REF!</definedName>
    <definedName name="_vena_MultiSiteS1_MultiSiteB1_R_FV_42f34b52efc14701904e2bd69b949ebb_495" localSheetId="5">#REF!</definedName>
    <definedName name="_vena_MultiSiteS1_MultiSiteB1_R_FV_42f34b52efc14701904e2bd69b949ebb_495" localSheetId="8">'[1]FY26 MYP-Multisite'!#REF!</definedName>
    <definedName name="_vena_MultiSiteS1_MultiSiteB1_R_FV_42f34b52efc14701904e2bd69b949ebb_495" localSheetId="3">#REF!</definedName>
    <definedName name="_vena_MultiSiteS1_MultiSiteB1_R_FV_42f34b52efc14701904e2bd69b949ebb_495">#REF!</definedName>
    <definedName name="_vena_MultiSiteS1_MultiSiteB1_R_FV_42f34b52efc14701904e2bd69b949ebb_496" localSheetId="4">#REF!</definedName>
    <definedName name="_vena_MultiSiteS1_MultiSiteB1_R_FV_42f34b52efc14701904e2bd69b949ebb_496" localSheetId="5">#REF!</definedName>
    <definedName name="_vena_MultiSiteS1_MultiSiteB1_R_FV_42f34b52efc14701904e2bd69b949ebb_496" localSheetId="8">'[1]FY26 MYP-Multisite'!#REF!</definedName>
    <definedName name="_vena_MultiSiteS1_MultiSiteB1_R_FV_42f34b52efc14701904e2bd69b949ebb_496" localSheetId="3">#REF!</definedName>
    <definedName name="_vena_MultiSiteS1_MultiSiteB1_R_FV_42f34b52efc14701904e2bd69b949ebb_496">#REF!</definedName>
    <definedName name="_vena_MultiSiteS1_MultiSiteB1_R_FV_42f34b52efc14701904e2bd69b949ebb_497" localSheetId="4">#REF!</definedName>
    <definedName name="_vena_MultiSiteS1_MultiSiteB1_R_FV_42f34b52efc14701904e2bd69b949ebb_497" localSheetId="5">#REF!</definedName>
    <definedName name="_vena_MultiSiteS1_MultiSiteB1_R_FV_42f34b52efc14701904e2bd69b949ebb_497" localSheetId="8">'[1]FY26 MYP-Multisite'!#REF!</definedName>
    <definedName name="_vena_MultiSiteS1_MultiSiteB1_R_FV_42f34b52efc14701904e2bd69b949ebb_497" localSheetId="3">#REF!</definedName>
    <definedName name="_vena_MultiSiteS1_MultiSiteB1_R_FV_42f34b52efc14701904e2bd69b949ebb_497">#REF!</definedName>
    <definedName name="_vena_MultiSiteS1_MultiSiteB1_R_FV_42f34b52efc14701904e2bd69b949ebb_498" localSheetId="4">#REF!</definedName>
    <definedName name="_vena_MultiSiteS1_MultiSiteB1_R_FV_42f34b52efc14701904e2bd69b949ebb_498" localSheetId="5">#REF!</definedName>
    <definedName name="_vena_MultiSiteS1_MultiSiteB1_R_FV_42f34b52efc14701904e2bd69b949ebb_498" localSheetId="8">'[1]FY26 MYP-Multisite'!#REF!</definedName>
    <definedName name="_vena_MultiSiteS1_MultiSiteB1_R_FV_42f34b52efc14701904e2bd69b949ebb_498" localSheetId="3">#REF!</definedName>
    <definedName name="_vena_MultiSiteS1_MultiSiteB1_R_FV_42f34b52efc14701904e2bd69b949ebb_498">#REF!</definedName>
    <definedName name="_vena_MultiSiteS1_MultiSiteB1_R_FV_42f34b52efc14701904e2bd69b949ebb_499" localSheetId="4">#REF!</definedName>
    <definedName name="_vena_MultiSiteS1_MultiSiteB1_R_FV_42f34b52efc14701904e2bd69b949ebb_499" localSheetId="5">#REF!</definedName>
    <definedName name="_vena_MultiSiteS1_MultiSiteB1_R_FV_42f34b52efc14701904e2bd69b949ebb_499" localSheetId="8">'[1]FY26 MYP-Multisite'!#REF!</definedName>
    <definedName name="_vena_MultiSiteS1_MultiSiteB1_R_FV_42f34b52efc14701904e2bd69b949ebb_499" localSheetId="3">#REF!</definedName>
    <definedName name="_vena_MultiSiteS1_MultiSiteB1_R_FV_42f34b52efc14701904e2bd69b949ebb_499">#REF!</definedName>
    <definedName name="_vena_MultiSiteS1_MultiSiteB1_R_FV_42f34b52efc14701904e2bd69b949ebb_5">#REF!</definedName>
    <definedName name="_vena_MultiSiteS1_MultiSiteB1_R_FV_42f34b52efc14701904e2bd69b949ebb_50">#REF!</definedName>
    <definedName name="_vena_MultiSiteS1_MultiSiteB1_R_FV_42f34b52efc14701904e2bd69b949ebb_500" localSheetId="4">#REF!</definedName>
    <definedName name="_vena_MultiSiteS1_MultiSiteB1_R_FV_42f34b52efc14701904e2bd69b949ebb_500" localSheetId="5">#REF!</definedName>
    <definedName name="_vena_MultiSiteS1_MultiSiteB1_R_FV_42f34b52efc14701904e2bd69b949ebb_500" localSheetId="8">'[1]FY26 MYP-Multisite'!#REF!</definedName>
    <definedName name="_vena_MultiSiteS1_MultiSiteB1_R_FV_42f34b52efc14701904e2bd69b949ebb_500" localSheetId="3">#REF!</definedName>
    <definedName name="_vena_MultiSiteS1_MultiSiteB1_R_FV_42f34b52efc14701904e2bd69b949ebb_500">#REF!</definedName>
    <definedName name="_vena_MultiSiteS1_MultiSiteB1_R_FV_42f34b52efc14701904e2bd69b949ebb_501" localSheetId="4">#REF!</definedName>
    <definedName name="_vena_MultiSiteS1_MultiSiteB1_R_FV_42f34b52efc14701904e2bd69b949ebb_501" localSheetId="5">#REF!</definedName>
    <definedName name="_vena_MultiSiteS1_MultiSiteB1_R_FV_42f34b52efc14701904e2bd69b949ebb_501" localSheetId="8">'[1]FY26 MYP-Multisite'!#REF!</definedName>
    <definedName name="_vena_MultiSiteS1_MultiSiteB1_R_FV_42f34b52efc14701904e2bd69b949ebb_501" localSheetId="3">#REF!</definedName>
    <definedName name="_vena_MultiSiteS1_MultiSiteB1_R_FV_42f34b52efc14701904e2bd69b949ebb_501">#REF!</definedName>
    <definedName name="_vena_MultiSiteS1_MultiSiteB1_R_FV_42f34b52efc14701904e2bd69b949ebb_502" localSheetId="4">#REF!</definedName>
    <definedName name="_vena_MultiSiteS1_MultiSiteB1_R_FV_42f34b52efc14701904e2bd69b949ebb_502" localSheetId="5">#REF!</definedName>
    <definedName name="_vena_MultiSiteS1_MultiSiteB1_R_FV_42f34b52efc14701904e2bd69b949ebb_502" localSheetId="8">'[1]FY26 MYP-Multisite'!#REF!</definedName>
    <definedName name="_vena_MultiSiteS1_MultiSiteB1_R_FV_42f34b52efc14701904e2bd69b949ebb_502" localSheetId="3">#REF!</definedName>
    <definedName name="_vena_MultiSiteS1_MultiSiteB1_R_FV_42f34b52efc14701904e2bd69b949ebb_502">#REF!</definedName>
    <definedName name="_vena_MultiSiteS1_MultiSiteB1_R_FV_42f34b52efc14701904e2bd69b949ebb_503" localSheetId="4">#REF!</definedName>
    <definedName name="_vena_MultiSiteS1_MultiSiteB1_R_FV_42f34b52efc14701904e2bd69b949ebb_503" localSheetId="5">#REF!</definedName>
    <definedName name="_vena_MultiSiteS1_MultiSiteB1_R_FV_42f34b52efc14701904e2bd69b949ebb_503" localSheetId="8">'[1]FY26 MYP-Multisite'!#REF!</definedName>
    <definedName name="_vena_MultiSiteS1_MultiSiteB1_R_FV_42f34b52efc14701904e2bd69b949ebb_503" localSheetId="3">#REF!</definedName>
    <definedName name="_vena_MultiSiteS1_MultiSiteB1_R_FV_42f34b52efc14701904e2bd69b949ebb_503">#REF!</definedName>
    <definedName name="_vena_MultiSiteS1_MultiSiteB1_R_FV_42f34b52efc14701904e2bd69b949ebb_504" localSheetId="4">#REF!</definedName>
    <definedName name="_vena_MultiSiteS1_MultiSiteB1_R_FV_42f34b52efc14701904e2bd69b949ebb_504" localSheetId="5">#REF!</definedName>
    <definedName name="_vena_MultiSiteS1_MultiSiteB1_R_FV_42f34b52efc14701904e2bd69b949ebb_504" localSheetId="8">'[1]FY26 MYP-Multisite'!#REF!</definedName>
    <definedName name="_vena_MultiSiteS1_MultiSiteB1_R_FV_42f34b52efc14701904e2bd69b949ebb_504" localSheetId="3">#REF!</definedName>
    <definedName name="_vena_MultiSiteS1_MultiSiteB1_R_FV_42f34b52efc14701904e2bd69b949ebb_504">#REF!</definedName>
    <definedName name="_vena_MultiSiteS1_MultiSiteB1_R_FV_42f34b52efc14701904e2bd69b949ebb_505" localSheetId="4">#REF!</definedName>
    <definedName name="_vena_MultiSiteS1_MultiSiteB1_R_FV_42f34b52efc14701904e2bd69b949ebb_505" localSheetId="5">#REF!</definedName>
    <definedName name="_vena_MultiSiteS1_MultiSiteB1_R_FV_42f34b52efc14701904e2bd69b949ebb_505" localSheetId="8">'[1]FY26 MYP-Multisite'!#REF!</definedName>
    <definedName name="_vena_MultiSiteS1_MultiSiteB1_R_FV_42f34b52efc14701904e2bd69b949ebb_505" localSheetId="3">#REF!</definedName>
    <definedName name="_vena_MultiSiteS1_MultiSiteB1_R_FV_42f34b52efc14701904e2bd69b949ebb_505">#REF!</definedName>
    <definedName name="_vena_MultiSiteS1_MultiSiteB1_R_FV_42f34b52efc14701904e2bd69b949ebb_506" localSheetId="4">#REF!</definedName>
    <definedName name="_vena_MultiSiteS1_MultiSiteB1_R_FV_42f34b52efc14701904e2bd69b949ebb_506" localSheetId="5">#REF!</definedName>
    <definedName name="_vena_MultiSiteS1_MultiSiteB1_R_FV_42f34b52efc14701904e2bd69b949ebb_506" localSheetId="8">'[1]FY26 MYP-Multisite'!#REF!</definedName>
    <definedName name="_vena_MultiSiteS1_MultiSiteB1_R_FV_42f34b52efc14701904e2bd69b949ebb_506" localSheetId="3">#REF!</definedName>
    <definedName name="_vena_MultiSiteS1_MultiSiteB1_R_FV_42f34b52efc14701904e2bd69b949ebb_506">#REF!</definedName>
    <definedName name="_vena_MultiSiteS1_MultiSiteB1_R_FV_42f34b52efc14701904e2bd69b949ebb_507" localSheetId="4">#REF!</definedName>
    <definedName name="_vena_MultiSiteS1_MultiSiteB1_R_FV_42f34b52efc14701904e2bd69b949ebb_507" localSheetId="5">#REF!</definedName>
    <definedName name="_vena_MultiSiteS1_MultiSiteB1_R_FV_42f34b52efc14701904e2bd69b949ebb_507" localSheetId="8">'[1]FY26 MYP-Multisite'!#REF!</definedName>
    <definedName name="_vena_MultiSiteS1_MultiSiteB1_R_FV_42f34b52efc14701904e2bd69b949ebb_507" localSheetId="3">#REF!</definedName>
    <definedName name="_vena_MultiSiteS1_MultiSiteB1_R_FV_42f34b52efc14701904e2bd69b949ebb_507">#REF!</definedName>
    <definedName name="_vena_MultiSiteS1_MultiSiteB1_R_FV_42f34b52efc14701904e2bd69b949ebb_508" localSheetId="4">#REF!</definedName>
    <definedName name="_vena_MultiSiteS1_MultiSiteB1_R_FV_42f34b52efc14701904e2bd69b949ebb_508" localSheetId="5">#REF!</definedName>
    <definedName name="_vena_MultiSiteS1_MultiSiteB1_R_FV_42f34b52efc14701904e2bd69b949ebb_508" localSheetId="8">'[1]FY26 MYP-Multisite'!#REF!</definedName>
    <definedName name="_vena_MultiSiteS1_MultiSiteB1_R_FV_42f34b52efc14701904e2bd69b949ebb_508" localSheetId="3">#REF!</definedName>
    <definedName name="_vena_MultiSiteS1_MultiSiteB1_R_FV_42f34b52efc14701904e2bd69b949ebb_508">#REF!</definedName>
    <definedName name="_vena_MultiSiteS1_MultiSiteB1_R_FV_42f34b52efc14701904e2bd69b949ebb_509" localSheetId="4">#REF!</definedName>
    <definedName name="_vena_MultiSiteS1_MultiSiteB1_R_FV_42f34b52efc14701904e2bd69b949ebb_509" localSheetId="5">#REF!</definedName>
    <definedName name="_vena_MultiSiteS1_MultiSiteB1_R_FV_42f34b52efc14701904e2bd69b949ebb_509" localSheetId="8">'[1]FY26 MYP-Multisite'!#REF!</definedName>
    <definedName name="_vena_MultiSiteS1_MultiSiteB1_R_FV_42f34b52efc14701904e2bd69b949ebb_509" localSheetId="3">#REF!</definedName>
    <definedName name="_vena_MultiSiteS1_MultiSiteB1_R_FV_42f34b52efc14701904e2bd69b949ebb_509">#REF!</definedName>
    <definedName name="_vena_MultiSiteS1_MultiSiteB1_R_FV_42f34b52efc14701904e2bd69b949ebb_51">#REF!</definedName>
    <definedName name="_vena_MultiSiteS1_MultiSiteB1_R_FV_42f34b52efc14701904e2bd69b949ebb_510" localSheetId="4">#REF!</definedName>
    <definedName name="_vena_MultiSiteS1_MultiSiteB1_R_FV_42f34b52efc14701904e2bd69b949ebb_510" localSheetId="5">#REF!</definedName>
    <definedName name="_vena_MultiSiteS1_MultiSiteB1_R_FV_42f34b52efc14701904e2bd69b949ebb_510" localSheetId="8">'[1]FY26 MYP-Multisite'!#REF!</definedName>
    <definedName name="_vena_MultiSiteS1_MultiSiteB1_R_FV_42f34b52efc14701904e2bd69b949ebb_510" localSheetId="3">#REF!</definedName>
    <definedName name="_vena_MultiSiteS1_MultiSiteB1_R_FV_42f34b52efc14701904e2bd69b949ebb_510">#REF!</definedName>
    <definedName name="_vena_MultiSiteS1_MultiSiteB1_R_FV_42f34b52efc14701904e2bd69b949ebb_511" localSheetId="4">#REF!</definedName>
    <definedName name="_vena_MultiSiteS1_MultiSiteB1_R_FV_42f34b52efc14701904e2bd69b949ebb_511" localSheetId="5">#REF!</definedName>
    <definedName name="_vena_MultiSiteS1_MultiSiteB1_R_FV_42f34b52efc14701904e2bd69b949ebb_511" localSheetId="8">'[1]FY26 MYP-Multisite'!#REF!</definedName>
    <definedName name="_vena_MultiSiteS1_MultiSiteB1_R_FV_42f34b52efc14701904e2bd69b949ebb_511" localSheetId="3">#REF!</definedName>
    <definedName name="_vena_MultiSiteS1_MultiSiteB1_R_FV_42f34b52efc14701904e2bd69b949ebb_511">#REF!</definedName>
    <definedName name="_vena_MultiSiteS1_MultiSiteB1_R_FV_42f34b52efc14701904e2bd69b949ebb_512" localSheetId="4">#REF!</definedName>
    <definedName name="_vena_MultiSiteS1_MultiSiteB1_R_FV_42f34b52efc14701904e2bd69b949ebb_512" localSheetId="5">#REF!</definedName>
    <definedName name="_vena_MultiSiteS1_MultiSiteB1_R_FV_42f34b52efc14701904e2bd69b949ebb_512" localSheetId="8">'[1]FY26 MYP-Multisite'!#REF!</definedName>
    <definedName name="_vena_MultiSiteS1_MultiSiteB1_R_FV_42f34b52efc14701904e2bd69b949ebb_512" localSheetId="3">#REF!</definedName>
    <definedName name="_vena_MultiSiteS1_MultiSiteB1_R_FV_42f34b52efc14701904e2bd69b949ebb_512">#REF!</definedName>
    <definedName name="_vena_MultiSiteS1_MultiSiteB1_R_FV_42f34b52efc14701904e2bd69b949ebb_513" localSheetId="4">#REF!</definedName>
    <definedName name="_vena_MultiSiteS1_MultiSiteB1_R_FV_42f34b52efc14701904e2bd69b949ebb_513" localSheetId="5">#REF!</definedName>
    <definedName name="_vena_MultiSiteS1_MultiSiteB1_R_FV_42f34b52efc14701904e2bd69b949ebb_513" localSheetId="8">'[1]FY26 MYP-Multisite'!#REF!</definedName>
    <definedName name="_vena_MultiSiteS1_MultiSiteB1_R_FV_42f34b52efc14701904e2bd69b949ebb_513" localSheetId="3">#REF!</definedName>
    <definedName name="_vena_MultiSiteS1_MultiSiteB1_R_FV_42f34b52efc14701904e2bd69b949ebb_513">#REF!</definedName>
    <definedName name="_vena_MultiSiteS1_MultiSiteB1_R_FV_42f34b52efc14701904e2bd69b949ebb_514" localSheetId="4">#REF!</definedName>
    <definedName name="_vena_MultiSiteS1_MultiSiteB1_R_FV_42f34b52efc14701904e2bd69b949ebb_514" localSheetId="5">#REF!</definedName>
    <definedName name="_vena_MultiSiteS1_MultiSiteB1_R_FV_42f34b52efc14701904e2bd69b949ebb_514" localSheetId="8">'[1]FY26 MYP-Multisite'!#REF!</definedName>
    <definedName name="_vena_MultiSiteS1_MultiSiteB1_R_FV_42f34b52efc14701904e2bd69b949ebb_514" localSheetId="3">#REF!</definedName>
    <definedName name="_vena_MultiSiteS1_MultiSiteB1_R_FV_42f34b52efc14701904e2bd69b949ebb_514">#REF!</definedName>
    <definedName name="_vena_MultiSiteS1_MultiSiteB1_R_FV_42f34b52efc14701904e2bd69b949ebb_515" localSheetId="4">#REF!</definedName>
    <definedName name="_vena_MultiSiteS1_MultiSiteB1_R_FV_42f34b52efc14701904e2bd69b949ebb_515" localSheetId="5">#REF!</definedName>
    <definedName name="_vena_MultiSiteS1_MultiSiteB1_R_FV_42f34b52efc14701904e2bd69b949ebb_515" localSheetId="8">'[1]FY26 MYP-Multisite'!#REF!</definedName>
    <definedName name="_vena_MultiSiteS1_MultiSiteB1_R_FV_42f34b52efc14701904e2bd69b949ebb_515" localSheetId="3">#REF!</definedName>
    <definedName name="_vena_MultiSiteS1_MultiSiteB1_R_FV_42f34b52efc14701904e2bd69b949ebb_515">#REF!</definedName>
    <definedName name="_vena_MultiSiteS1_MultiSiteB1_R_FV_42f34b52efc14701904e2bd69b949ebb_516" localSheetId="4">#REF!</definedName>
    <definedName name="_vena_MultiSiteS1_MultiSiteB1_R_FV_42f34b52efc14701904e2bd69b949ebb_516" localSheetId="5">#REF!</definedName>
    <definedName name="_vena_MultiSiteS1_MultiSiteB1_R_FV_42f34b52efc14701904e2bd69b949ebb_516" localSheetId="8">'[1]FY26 MYP-Multisite'!#REF!</definedName>
    <definedName name="_vena_MultiSiteS1_MultiSiteB1_R_FV_42f34b52efc14701904e2bd69b949ebb_516" localSheetId="3">#REF!</definedName>
    <definedName name="_vena_MultiSiteS1_MultiSiteB1_R_FV_42f34b52efc14701904e2bd69b949ebb_516">#REF!</definedName>
    <definedName name="_vena_MultiSiteS1_MultiSiteB1_R_FV_42f34b52efc14701904e2bd69b949ebb_517" localSheetId="4">#REF!</definedName>
    <definedName name="_vena_MultiSiteS1_MultiSiteB1_R_FV_42f34b52efc14701904e2bd69b949ebb_517" localSheetId="5">#REF!</definedName>
    <definedName name="_vena_MultiSiteS1_MultiSiteB1_R_FV_42f34b52efc14701904e2bd69b949ebb_517" localSheetId="8">'[1]FY26 MYP-Multisite'!#REF!</definedName>
    <definedName name="_vena_MultiSiteS1_MultiSiteB1_R_FV_42f34b52efc14701904e2bd69b949ebb_517" localSheetId="3">#REF!</definedName>
    <definedName name="_vena_MultiSiteS1_MultiSiteB1_R_FV_42f34b52efc14701904e2bd69b949ebb_517">#REF!</definedName>
    <definedName name="_vena_MultiSiteS1_MultiSiteB1_R_FV_42f34b52efc14701904e2bd69b949ebb_518" localSheetId="4">#REF!</definedName>
    <definedName name="_vena_MultiSiteS1_MultiSiteB1_R_FV_42f34b52efc14701904e2bd69b949ebb_518" localSheetId="5">#REF!</definedName>
    <definedName name="_vena_MultiSiteS1_MultiSiteB1_R_FV_42f34b52efc14701904e2bd69b949ebb_518" localSheetId="8">'[1]FY26 MYP-Multisite'!#REF!</definedName>
    <definedName name="_vena_MultiSiteS1_MultiSiteB1_R_FV_42f34b52efc14701904e2bd69b949ebb_518" localSheetId="3">#REF!</definedName>
    <definedName name="_vena_MultiSiteS1_MultiSiteB1_R_FV_42f34b52efc14701904e2bd69b949ebb_518">#REF!</definedName>
    <definedName name="_vena_MultiSiteS1_MultiSiteB1_R_FV_42f34b52efc14701904e2bd69b949ebb_519" localSheetId="4">#REF!</definedName>
    <definedName name="_vena_MultiSiteS1_MultiSiteB1_R_FV_42f34b52efc14701904e2bd69b949ebb_519" localSheetId="5">#REF!</definedName>
    <definedName name="_vena_MultiSiteS1_MultiSiteB1_R_FV_42f34b52efc14701904e2bd69b949ebb_519" localSheetId="8">'[1]FY26 MYP-Multisite'!#REF!</definedName>
    <definedName name="_vena_MultiSiteS1_MultiSiteB1_R_FV_42f34b52efc14701904e2bd69b949ebb_519" localSheetId="3">#REF!</definedName>
    <definedName name="_vena_MultiSiteS1_MultiSiteB1_R_FV_42f34b52efc14701904e2bd69b949ebb_519">#REF!</definedName>
    <definedName name="_vena_MultiSiteS1_MultiSiteB1_R_FV_42f34b52efc14701904e2bd69b949ebb_52">#REF!</definedName>
    <definedName name="_vena_MultiSiteS1_MultiSiteB1_R_FV_42f34b52efc14701904e2bd69b949ebb_520" localSheetId="4">#REF!</definedName>
    <definedName name="_vena_MultiSiteS1_MultiSiteB1_R_FV_42f34b52efc14701904e2bd69b949ebb_520" localSheetId="5">#REF!</definedName>
    <definedName name="_vena_MultiSiteS1_MultiSiteB1_R_FV_42f34b52efc14701904e2bd69b949ebb_520" localSheetId="8">'[1]FY26 MYP-Multisite'!#REF!</definedName>
    <definedName name="_vena_MultiSiteS1_MultiSiteB1_R_FV_42f34b52efc14701904e2bd69b949ebb_520" localSheetId="3">#REF!</definedName>
    <definedName name="_vena_MultiSiteS1_MultiSiteB1_R_FV_42f34b52efc14701904e2bd69b949ebb_520">#REF!</definedName>
    <definedName name="_vena_MultiSiteS1_MultiSiteB1_R_FV_42f34b52efc14701904e2bd69b949ebb_521" localSheetId="4">#REF!</definedName>
    <definedName name="_vena_MultiSiteS1_MultiSiteB1_R_FV_42f34b52efc14701904e2bd69b949ebb_521" localSheetId="5">#REF!</definedName>
    <definedName name="_vena_MultiSiteS1_MultiSiteB1_R_FV_42f34b52efc14701904e2bd69b949ebb_521" localSheetId="8">'[1]FY26 MYP-Multisite'!#REF!</definedName>
    <definedName name="_vena_MultiSiteS1_MultiSiteB1_R_FV_42f34b52efc14701904e2bd69b949ebb_521" localSheetId="3">#REF!</definedName>
    <definedName name="_vena_MultiSiteS1_MultiSiteB1_R_FV_42f34b52efc14701904e2bd69b949ebb_521">#REF!</definedName>
    <definedName name="_vena_MultiSiteS1_MultiSiteB1_R_FV_42f34b52efc14701904e2bd69b949ebb_522" localSheetId="4">#REF!</definedName>
    <definedName name="_vena_MultiSiteS1_MultiSiteB1_R_FV_42f34b52efc14701904e2bd69b949ebb_522" localSheetId="5">#REF!</definedName>
    <definedName name="_vena_MultiSiteS1_MultiSiteB1_R_FV_42f34b52efc14701904e2bd69b949ebb_522" localSheetId="8">'[1]FY26 MYP-Multisite'!#REF!</definedName>
    <definedName name="_vena_MultiSiteS1_MultiSiteB1_R_FV_42f34b52efc14701904e2bd69b949ebb_522" localSheetId="3">#REF!</definedName>
    <definedName name="_vena_MultiSiteS1_MultiSiteB1_R_FV_42f34b52efc14701904e2bd69b949ebb_522">#REF!</definedName>
    <definedName name="_vena_MultiSiteS1_MultiSiteB1_R_FV_42f34b52efc14701904e2bd69b949ebb_523" localSheetId="4">#REF!</definedName>
    <definedName name="_vena_MultiSiteS1_MultiSiteB1_R_FV_42f34b52efc14701904e2bd69b949ebb_523" localSheetId="5">#REF!</definedName>
    <definedName name="_vena_MultiSiteS1_MultiSiteB1_R_FV_42f34b52efc14701904e2bd69b949ebb_523" localSheetId="8">'[1]FY26 MYP-Multisite'!#REF!</definedName>
    <definedName name="_vena_MultiSiteS1_MultiSiteB1_R_FV_42f34b52efc14701904e2bd69b949ebb_523" localSheetId="3">#REF!</definedName>
    <definedName name="_vena_MultiSiteS1_MultiSiteB1_R_FV_42f34b52efc14701904e2bd69b949ebb_523">#REF!</definedName>
    <definedName name="_vena_MultiSiteS1_MultiSiteB1_R_FV_42f34b52efc14701904e2bd69b949ebb_524" localSheetId="4">#REF!</definedName>
    <definedName name="_vena_MultiSiteS1_MultiSiteB1_R_FV_42f34b52efc14701904e2bd69b949ebb_524" localSheetId="5">#REF!</definedName>
    <definedName name="_vena_MultiSiteS1_MultiSiteB1_R_FV_42f34b52efc14701904e2bd69b949ebb_524" localSheetId="8">'[1]FY26 MYP-Multisite'!#REF!</definedName>
    <definedName name="_vena_MultiSiteS1_MultiSiteB1_R_FV_42f34b52efc14701904e2bd69b949ebb_524" localSheetId="3">#REF!</definedName>
    <definedName name="_vena_MultiSiteS1_MultiSiteB1_R_FV_42f34b52efc14701904e2bd69b949ebb_524">#REF!</definedName>
    <definedName name="_vena_MultiSiteS1_MultiSiteB1_R_FV_42f34b52efc14701904e2bd69b949ebb_525" localSheetId="4">#REF!</definedName>
    <definedName name="_vena_MultiSiteS1_MultiSiteB1_R_FV_42f34b52efc14701904e2bd69b949ebb_525" localSheetId="5">#REF!</definedName>
    <definedName name="_vena_MultiSiteS1_MultiSiteB1_R_FV_42f34b52efc14701904e2bd69b949ebb_525" localSheetId="8">'[1]FY26 MYP-Multisite'!#REF!</definedName>
    <definedName name="_vena_MultiSiteS1_MultiSiteB1_R_FV_42f34b52efc14701904e2bd69b949ebb_525" localSheetId="3">#REF!</definedName>
    <definedName name="_vena_MultiSiteS1_MultiSiteB1_R_FV_42f34b52efc14701904e2bd69b949ebb_525">#REF!</definedName>
    <definedName name="_vena_MultiSiteS1_MultiSiteB1_R_FV_42f34b52efc14701904e2bd69b949ebb_526" localSheetId="4">#REF!</definedName>
    <definedName name="_vena_MultiSiteS1_MultiSiteB1_R_FV_42f34b52efc14701904e2bd69b949ebb_526" localSheetId="5">#REF!</definedName>
    <definedName name="_vena_MultiSiteS1_MultiSiteB1_R_FV_42f34b52efc14701904e2bd69b949ebb_526" localSheetId="8">'[1]FY26 MYP-Multisite'!#REF!</definedName>
    <definedName name="_vena_MultiSiteS1_MultiSiteB1_R_FV_42f34b52efc14701904e2bd69b949ebb_526" localSheetId="3">#REF!</definedName>
    <definedName name="_vena_MultiSiteS1_MultiSiteB1_R_FV_42f34b52efc14701904e2bd69b949ebb_526">#REF!</definedName>
    <definedName name="_vena_MultiSiteS1_MultiSiteB1_R_FV_42f34b52efc14701904e2bd69b949ebb_527" localSheetId="4">#REF!</definedName>
    <definedName name="_vena_MultiSiteS1_MultiSiteB1_R_FV_42f34b52efc14701904e2bd69b949ebb_527" localSheetId="5">#REF!</definedName>
    <definedName name="_vena_MultiSiteS1_MultiSiteB1_R_FV_42f34b52efc14701904e2bd69b949ebb_527" localSheetId="8">'[1]FY26 MYP-Multisite'!#REF!</definedName>
    <definedName name="_vena_MultiSiteS1_MultiSiteB1_R_FV_42f34b52efc14701904e2bd69b949ebb_527" localSheetId="3">#REF!</definedName>
    <definedName name="_vena_MultiSiteS1_MultiSiteB1_R_FV_42f34b52efc14701904e2bd69b949ebb_527">#REF!</definedName>
    <definedName name="_vena_MultiSiteS1_MultiSiteB1_R_FV_42f34b52efc14701904e2bd69b949ebb_528" localSheetId="4">#REF!</definedName>
    <definedName name="_vena_MultiSiteS1_MultiSiteB1_R_FV_42f34b52efc14701904e2bd69b949ebb_528" localSheetId="5">#REF!</definedName>
    <definedName name="_vena_MultiSiteS1_MultiSiteB1_R_FV_42f34b52efc14701904e2bd69b949ebb_528" localSheetId="8">'[1]FY26 MYP-Multisite'!#REF!</definedName>
    <definedName name="_vena_MultiSiteS1_MultiSiteB1_R_FV_42f34b52efc14701904e2bd69b949ebb_528" localSheetId="3">#REF!</definedName>
    <definedName name="_vena_MultiSiteS1_MultiSiteB1_R_FV_42f34b52efc14701904e2bd69b949ebb_528">#REF!</definedName>
    <definedName name="_vena_MultiSiteS1_MultiSiteB1_R_FV_42f34b52efc14701904e2bd69b949ebb_529" localSheetId="4">#REF!</definedName>
    <definedName name="_vena_MultiSiteS1_MultiSiteB1_R_FV_42f34b52efc14701904e2bd69b949ebb_529" localSheetId="5">#REF!</definedName>
    <definedName name="_vena_MultiSiteS1_MultiSiteB1_R_FV_42f34b52efc14701904e2bd69b949ebb_529" localSheetId="8">'[1]FY26 MYP-Multisite'!#REF!</definedName>
    <definedName name="_vena_MultiSiteS1_MultiSiteB1_R_FV_42f34b52efc14701904e2bd69b949ebb_529" localSheetId="3">#REF!</definedName>
    <definedName name="_vena_MultiSiteS1_MultiSiteB1_R_FV_42f34b52efc14701904e2bd69b949ebb_529">#REF!</definedName>
    <definedName name="_vena_MultiSiteS1_MultiSiteB1_R_FV_42f34b52efc14701904e2bd69b949ebb_53">#REF!</definedName>
    <definedName name="_vena_MultiSiteS1_MultiSiteB1_R_FV_42f34b52efc14701904e2bd69b949ebb_530" localSheetId="4">#REF!</definedName>
    <definedName name="_vena_MultiSiteS1_MultiSiteB1_R_FV_42f34b52efc14701904e2bd69b949ebb_530" localSheetId="5">#REF!</definedName>
    <definedName name="_vena_MultiSiteS1_MultiSiteB1_R_FV_42f34b52efc14701904e2bd69b949ebb_530" localSheetId="8">'[1]FY26 MYP-Multisite'!#REF!</definedName>
    <definedName name="_vena_MultiSiteS1_MultiSiteB1_R_FV_42f34b52efc14701904e2bd69b949ebb_530" localSheetId="3">#REF!</definedName>
    <definedName name="_vena_MultiSiteS1_MultiSiteB1_R_FV_42f34b52efc14701904e2bd69b949ebb_530">#REF!</definedName>
    <definedName name="_vena_MultiSiteS1_MultiSiteB1_R_FV_42f34b52efc14701904e2bd69b949ebb_531" localSheetId="4">#REF!</definedName>
    <definedName name="_vena_MultiSiteS1_MultiSiteB1_R_FV_42f34b52efc14701904e2bd69b949ebb_531" localSheetId="5">#REF!</definedName>
    <definedName name="_vena_MultiSiteS1_MultiSiteB1_R_FV_42f34b52efc14701904e2bd69b949ebb_531" localSheetId="8">'[1]FY26 MYP-Multisite'!#REF!</definedName>
    <definedName name="_vena_MultiSiteS1_MultiSiteB1_R_FV_42f34b52efc14701904e2bd69b949ebb_531" localSheetId="3">#REF!</definedName>
    <definedName name="_vena_MultiSiteS1_MultiSiteB1_R_FV_42f34b52efc14701904e2bd69b949ebb_531">#REF!</definedName>
    <definedName name="_vena_MultiSiteS1_MultiSiteB1_R_FV_42f34b52efc14701904e2bd69b949ebb_532" localSheetId="4">#REF!</definedName>
    <definedName name="_vena_MultiSiteS1_MultiSiteB1_R_FV_42f34b52efc14701904e2bd69b949ebb_532" localSheetId="5">#REF!</definedName>
    <definedName name="_vena_MultiSiteS1_MultiSiteB1_R_FV_42f34b52efc14701904e2bd69b949ebb_532" localSheetId="8">'[1]FY26 MYP-Multisite'!#REF!</definedName>
    <definedName name="_vena_MultiSiteS1_MultiSiteB1_R_FV_42f34b52efc14701904e2bd69b949ebb_532" localSheetId="3">#REF!</definedName>
    <definedName name="_vena_MultiSiteS1_MultiSiteB1_R_FV_42f34b52efc14701904e2bd69b949ebb_532">#REF!</definedName>
    <definedName name="_vena_MultiSiteS1_MultiSiteB1_R_FV_42f34b52efc14701904e2bd69b949ebb_533" localSheetId="4">#REF!</definedName>
    <definedName name="_vena_MultiSiteS1_MultiSiteB1_R_FV_42f34b52efc14701904e2bd69b949ebb_533" localSheetId="5">#REF!</definedName>
    <definedName name="_vena_MultiSiteS1_MultiSiteB1_R_FV_42f34b52efc14701904e2bd69b949ebb_533" localSheetId="8">'[1]FY26 MYP-Multisite'!#REF!</definedName>
    <definedName name="_vena_MultiSiteS1_MultiSiteB1_R_FV_42f34b52efc14701904e2bd69b949ebb_533" localSheetId="3">#REF!</definedName>
    <definedName name="_vena_MultiSiteS1_MultiSiteB1_R_FV_42f34b52efc14701904e2bd69b949ebb_533">#REF!</definedName>
    <definedName name="_vena_MultiSiteS1_MultiSiteB1_R_FV_42f34b52efc14701904e2bd69b949ebb_534" localSheetId="4">#REF!</definedName>
    <definedName name="_vena_MultiSiteS1_MultiSiteB1_R_FV_42f34b52efc14701904e2bd69b949ebb_534" localSheetId="5">#REF!</definedName>
    <definedName name="_vena_MultiSiteS1_MultiSiteB1_R_FV_42f34b52efc14701904e2bd69b949ebb_534" localSheetId="8">'[1]FY26 MYP-Multisite'!#REF!</definedName>
    <definedName name="_vena_MultiSiteS1_MultiSiteB1_R_FV_42f34b52efc14701904e2bd69b949ebb_534" localSheetId="3">#REF!</definedName>
    <definedName name="_vena_MultiSiteS1_MultiSiteB1_R_FV_42f34b52efc14701904e2bd69b949ebb_534">#REF!</definedName>
    <definedName name="_vena_MultiSiteS1_MultiSiteB1_R_FV_42f34b52efc14701904e2bd69b949ebb_535" localSheetId="4">#REF!</definedName>
    <definedName name="_vena_MultiSiteS1_MultiSiteB1_R_FV_42f34b52efc14701904e2bd69b949ebb_535" localSheetId="5">#REF!</definedName>
    <definedName name="_vena_MultiSiteS1_MultiSiteB1_R_FV_42f34b52efc14701904e2bd69b949ebb_535" localSheetId="8">'[1]FY26 MYP-Multisite'!#REF!</definedName>
    <definedName name="_vena_MultiSiteS1_MultiSiteB1_R_FV_42f34b52efc14701904e2bd69b949ebb_535" localSheetId="3">#REF!</definedName>
    <definedName name="_vena_MultiSiteS1_MultiSiteB1_R_FV_42f34b52efc14701904e2bd69b949ebb_535">#REF!</definedName>
    <definedName name="_vena_MultiSiteS1_MultiSiteB1_R_FV_42f34b52efc14701904e2bd69b949ebb_536" localSheetId="4">#REF!</definedName>
    <definedName name="_vena_MultiSiteS1_MultiSiteB1_R_FV_42f34b52efc14701904e2bd69b949ebb_536" localSheetId="5">#REF!</definedName>
    <definedName name="_vena_MultiSiteS1_MultiSiteB1_R_FV_42f34b52efc14701904e2bd69b949ebb_536" localSheetId="8">'[1]FY26 MYP-Multisite'!#REF!</definedName>
    <definedName name="_vena_MultiSiteS1_MultiSiteB1_R_FV_42f34b52efc14701904e2bd69b949ebb_536" localSheetId="3">#REF!</definedName>
    <definedName name="_vena_MultiSiteS1_MultiSiteB1_R_FV_42f34b52efc14701904e2bd69b949ebb_536">#REF!</definedName>
    <definedName name="_vena_MultiSiteS1_MultiSiteB1_R_FV_42f34b52efc14701904e2bd69b949ebb_537" localSheetId="4">#REF!</definedName>
    <definedName name="_vena_MultiSiteS1_MultiSiteB1_R_FV_42f34b52efc14701904e2bd69b949ebb_537" localSheetId="5">#REF!</definedName>
    <definedName name="_vena_MultiSiteS1_MultiSiteB1_R_FV_42f34b52efc14701904e2bd69b949ebb_537" localSheetId="8">'[1]FY26 MYP-Multisite'!#REF!</definedName>
    <definedName name="_vena_MultiSiteS1_MultiSiteB1_R_FV_42f34b52efc14701904e2bd69b949ebb_537" localSheetId="3">#REF!</definedName>
    <definedName name="_vena_MultiSiteS1_MultiSiteB1_R_FV_42f34b52efc14701904e2bd69b949ebb_537">#REF!</definedName>
    <definedName name="_vena_MultiSiteS1_MultiSiteB1_R_FV_42f34b52efc14701904e2bd69b949ebb_538" localSheetId="4">#REF!</definedName>
    <definedName name="_vena_MultiSiteS1_MultiSiteB1_R_FV_42f34b52efc14701904e2bd69b949ebb_538" localSheetId="5">#REF!</definedName>
    <definedName name="_vena_MultiSiteS1_MultiSiteB1_R_FV_42f34b52efc14701904e2bd69b949ebb_538" localSheetId="8">'[1]FY26 MYP-Multisite'!#REF!</definedName>
    <definedName name="_vena_MultiSiteS1_MultiSiteB1_R_FV_42f34b52efc14701904e2bd69b949ebb_538" localSheetId="3">#REF!</definedName>
    <definedName name="_vena_MultiSiteS1_MultiSiteB1_R_FV_42f34b52efc14701904e2bd69b949ebb_538">#REF!</definedName>
    <definedName name="_vena_MultiSiteS1_MultiSiteB1_R_FV_42f34b52efc14701904e2bd69b949ebb_539" localSheetId="4">#REF!</definedName>
    <definedName name="_vena_MultiSiteS1_MultiSiteB1_R_FV_42f34b52efc14701904e2bd69b949ebb_539" localSheetId="5">#REF!</definedName>
    <definedName name="_vena_MultiSiteS1_MultiSiteB1_R_FV_42f34b52efc14701904e2bd69b949ebb_539" localSheetId="8">'[1]FY26 MYP-Multisite'!#REF!</definedName>
    <definedName name="_vena_MultiSiteS1_MultiSiteB1_R_FV_42f34b52efc14701904e2bd69b949ebb_539" localSheetId="3">#REF!</definedName>
    <definedName name="_vena_MultiSiteS1_MultiSiteB1_R_FV_42f34b52efc14701904e2bd69b949ebb_539">#REF!</definedName>
    <definedName name="_vena_MultiSiteS1_MultiSiteB1_R_FV_42f34b52efc14701904e2bd69b949ebb_54">#REF!</definedName>
    <definedName name="_vena_MultiSiteS1_MultiSiteB1_R_FV_42f34b52efc14701904e2bd69b949ebb_540" localSheetId="4">#REF!</definedName>
    <definedName name="_vena_MultiSiteS1_MultiSiteB1_R_FV_42f34b52efc14701904e2bd69b949ebb_540" localSheetId="5">#REF!</definedName>
    <definedName name="_vena_MultiSiteS1_MultiSiteB1_R_FV_42f34b52efc14701904e2bd69b949ebb_540" localSheetId="8">'[1]FY26 MYP-Multisite'!#REF!</definedName>
    <definedName name="_vena_MultiSiteS1_MultiSiteB1_R_FV_42f34b52efc14701904e2bd69b949ebb_540" localSheetId="3">#REF!</definedName>
    <definedName name="_vena_MultiSiteS1_MultiSiteB1_R_FV_42f34b52efc14701904e2bd69b949ebb_540">#REF!</definedName>
    <definedName name="_vena_MultiSiteS1_MultiSiteB1_R_FV_42f34b52efc14701904e2bd69b949ebb_541" localSheetId="4">#REF!</definedName>
    <definedName name="_vena_MultiSiteS1_MultiSiteB1_R_FV_42f34b52efc14701904e2bd69b949ebb_541" localSheetId="5">#REF!</definedName>
    <definedName name="_vena_MultiSiteS1_MultiSiteB1_R_FV_42f34b52efc14701904e2bd69b949ebb_541" localSheetId="8">'[1]FY26 MYP-Multisite'!#REF!</definedName>
    <definedName name="_vena_MultiSiteS1_MultiSiteB1_R_FV_42f34b52efc14701904e2bd69b949ebb_541" localSheetId="3">#REF!</definedName>
    <definedName name="_vena_MultiSiteS1_MultiSiteB1_R_FV_42f34b52efc14701904e2bd69b949ebb_541">#REF!</definedName>
    <definedName name="_vena_MultiSiteS1_MultiSiteB1_R_FV_42f34b52efc14701904e2bd69b949ebb_542" localSheetId="4">#REF!</definedName>
    <definedName name="_vena_MultiSiteS1_MultiSiteB1_R_FV_42f34b52efc14701904e2bd69b949ebb_542" localSheetId="5">#REF!</definedName>
    <definedName name="_vena_MultiSiteS1_MultiSiteB1_R_FV_42f34b52efc14701904e2bd69b949ebb_542" localSheetId="8">'[1]FY26 MYP-Multisite'!#REF!</definedName>
    <definedName name="_vena_MultiSiteS1_MultiSiteB1_R_FV_42f34b52efc14701904e2bd69b949ebb_542" localSheetId="3">#REF!</definedName>
    <definedName name="_vena_MultiSiteS1_MultiSiteB1_R_FV_42f34b52efc14701904e2bd69b949ebb_542">#REF!</definedName>
    <definedName name="_vena_MultiSiteS1_MultiSiteB1_R_FV_42f34b52efc14701904e2bd69b949ebb_543" localSheetId="4">#REF!</definedName>
    <definedName name="_vena_MultiSiteS1_MultiSiteB1_R_FV_42f34b52efc14701904e2bd69b949ebb_543" localSheetId="5">#REF!</definedName>
    <definedName name="_vena_MultiSiteS1_MultiSiteB1_R_FV_42f34b52efc14701904e2bd69b949ebb_543" localSheetId="8">'[1]FY26 MYP-Multisite'!#REF!</definedName>
    <definedName name="_vena_MultiSiteS1_MultiSiteB1_R_FV_42f34b52efc14701904e2bd69b949ebb_543" localSheetId="3">#REF!</definedName>
    <definedName name="_vena_MultiSiteS1_MultiSiteB1_R_FV_42f34b52efc14701904e2bd69b949ebb_543">#REF!</definedName>
    <definedName name="_vena_MultiSiteS1_MultiSiteB1_R_FV_42f34b52efc14701904e2bd69b949ebb_544" localSheetId="4">#REF!</definedName>
    <definedName name="_vena_MultiSiteS1_MultiSiteB1_R_FV_42f34b52efc14701904e2bd69b949ebb_544" localSheetId="5">#REF!</definedName>
    <definedName name="_vena_MultiSiteS1_MultiSiteB1_R_FV_42f34b52efc14701904e2bd69b949ebb_544" localSheetId="8">'[1]FY26 MYP-Multisite'!#REF!</definedName>
    <definedName name="_vena_MultiSiteS1_MultiSiteB1_R_FV_42f34b52efc14701904e2bd69b949ebb_544" localSheetId="3">#REF!</definedName>
    <definedName name="_vena_MultiSiteS1_MultiSiteB1_R_FV_42f34b52efc14701904e2bd69b949ebb_544">#REF!</definedName>
    <definedName name="_vena_MultiSiteS1_MultiSiteB1_R_FV_42f34b52efc14701904e2bd69b949ebb_545" localSheetId="4">#REF!</definedName>
    <definedName name="_vena_MultiSiteS1_MultiSiteB1_R_FV_42f34b52efc14701904e2bd69b949ebb_545" localSheetId="5">#REF!</definedName>
    <definedName name="_vena_MultiSiteS1_MultiSiteB1_R_FV_42f34b52efc14701904e2bd69b949ebb_545" localSheetId="8">'[1]FY26 MYP-Multisite'!#REF!</definedName>
    <definedName name="_vena_MultiSiteS1_MultiSiteB1_R_FV_42f34b52efc14701904e2bd69b949ebb_545" localSheetId="3">#REF!</definedName>
    <definedName name="_vena_MultiSiteS1_MultiSiteB1_R_FV_42f34b52efc14701904e2bd69b949ebb_545">#REF!</definedName>
    <definedName name="_vena_MultiSiteS1_MultiSiteB1_R_FV_42f34b52efc14701904e2bd69b949ebb_546" localSheetId="4">#REF!</definedName>
    <definedName name="_vena_MultiSiteS1_MultiSiteB1_R_FV_42f34b52efc14701904e2bd69b949ebb_546" localSheetId="5">#REF!</definedName>
    <definedName name="_vena_MultiSiteS1_MultiSiteB1_R_FV_42f34b52efc14701904e2bd69b949ebb_546" localSheetId="8">'[1]FY26 MYP-Multisite'!#REF!</definedName>
    <definedName name="_vena_MultiSiteS1_MultiSiteB1_R_FV_42f34b52efc14701904e2bd69b949ebb_546" localSheetId="3">#REF!</definedName>
    <definedName name="_vena_MultiSiteS1_MultiSiteB1_R_FV_42f34b52efc14701904e2bd69b949ebb_546">#REF!</definedName>
    <definedName name="_vena_MultiSiteS1_MultiSiteB1_R_FV_42f34b52efc14701904e2bd69b949ebb_547" localSheetId="4">#REF!</definedName>
    <definedName name="_vena_MultiSiteS1_MultiSiteB1_R_FV_42f34b52efc14701904e2bd69b949ebb_547" localSheetId="5">#REF!</definedName>
    <definedName name="_vena_MultiSiteS1_MultiSiteB1_R_FV_42f34b52efc14701904e2bd69b949ebb_547" localSheetId="8">'[1]FY26 MYP-Multisite'!#REF!</definedName>
    <definedName name="_vena_MultiSiteS1_MultiSiteB1_R_FV_42f34b52efc14701904e2bd69b949ebb_547" localSheetId="3">#REF!</definedName>
    <definedName name="_vena_MultiSiteS1_MultiSiteB1_R_FV_42f34b52efc14701904e2bd69b949ebb_547">#REF!</definedName>
    <definedName name="_vena_MultiSiteS1_MultiSiteB1_R_FV_42f34b52efc14701904e2bd69b949ebb_548" localSheetId="4">#REF!</definedName>
    <definedName name="_vena_MultiSiteS1_MultiSiteB1_R_FV_42f34b52efc14701904e2bd69b949ebb_548" localSheetId="5">#REF!</definedName>
    <definedName name="_vena_MultiSiteS1_MultiSiteB1_R_FV_42f34b52efc14701904e2bd69b949ebb_548" localSheetId="8">'[1]FY26 MYP-Multisite'!#REF!</definedName>
    <definedName name="_vena_MultiSiteS1_MultiSiteB1_R_FV_42f34b52efc14701904e2bd69b949ebb_548" localSheetId="3">#REF!</definedName>
    <definedName name="_vena_MultiSiteS1_MultiSiteB1_R_FV_42f34b52efc14701904e2bd69b949ebb_548">#REF!</definedName>
    <definedName name="_vena_MultiSiteS1_MultiSiteB1_R_FV_42f34b52efc14701904e2bd69b949ebb_549" localSheetId="4">#REF!</definedName>
    <definedName name="_vena_MultiSiteS1_MultiSiteB1_R_FV_42f34b52efc14701904e2bd69b949ebb_549" localSheetId="5">#REF!</definedName>
    <definedName name="_vena_MultiSiteS1_MultiSiteB1_R_FV_42f34b52efc14701904e2bd69b949ebb_549" localSheetId="8">'[1]FY26 MYP-Multisite'!#REF!</definedName>
    <definedName name="_vena_MultiSiteS1_MultiSiteB1_R_FV_42f34b52efc14701904e2bd69b949ebb_549" localSheetId="3">#REF!</definedName>
    <definedName name="_vena_MultiSiteS1_MultiSiteB1_R_FV_42f34b52efc14701904e2bd69b949ebb_549">#REF!</definedName>
    <definedName name="_vena_MultiSiteS1_MultiSiteB1_R_FV_42f34b52efc14701904e2bd69b949ebb_55">#REF!</definedName>
    <definedName name="_vena_MultiSiteS1_MultiSiteB1_R_FV_42f34b52efc14701904e2bd69b949ebb_550" localSheetId="4">#REF!</definedName>
    <definedName name="_vena_MultiSiteS1_MultiSiteB1_R_FV_42f34b52efc14701904e2bd69b949ebb_550" localSheetId="5">#REF!</definedName>
    <definedName name="_vena_MultiSiteS1_MultiSiteB1_R_FV_42f34b52efc14701904e2bd69b949ebb_550" localSheetId="8">'[1]FY26 MYP-Multisite'!#REF!</definedName>
    <definedName name="_vena_MultiSiteS1_MultiSiteB1_R_FV_42f34b52efc14701904e2bd69b949ebb_550" localSheetId="3">#REF!</definedName>
    <definedName name="_vena_MultiSiteS1_MultiSiteB1_R_FV_42f34b52efc14701904e2bd69b949ebb_550">#REF!</definedName>
    <definedName name="_vena_MultiSiteS1_MultiSiteB1_R_FV_42f34b52efc14701904e2bd69b949ebb_551" localSheetId="4">#REF!</definedName>
    <definedName name="_vena_MultiSiteS1_MultiSiteB1_R_FV_42f34b52efc14701904e2bd69b949ebb_551" localSheetId="5">#REF!</definedName>
    <definedName name="_vena_MultiSiteS1_MultiSiteB1_R_FV_42f34b52efc14701904e2bd69b949ebb_551" localSheetId="8">'[1]FY26 MYP-Multisite'!#REF!</definedName>
    <definedName name="_vena_MultiSiteS1_MultiSiteB1_R_FV_42f34b52efc14701904e2bd69b949ebb_551" localSheetId="3">#REF!</definedName>
    <definedName name="_vena_MultiSiteS1_MultiSiteB1_R_FV_42f34b52efc14701904e2bd69b949ebb_551">#REF!</definedName>
    <definedName name="_vena_MultiSiteS1_MultiSiteB1_R_FV_42f34b52efc14701904e2bd69b949ebb_552" localSheetId="4">#REF!</definedName>
    <definedName name="_vena_MultiSiteS1_MultiSiteB1_R_FV_42f34b52efc14701904e2bd69b949ebb_552" localSheetId="5">#REF!</definedName>
    <definedName name="_vena_MultiSiteS1_MultiSiteB1_R_FV_42f34b52efc14701904e2bd69b949ebb_552" localSheetId="8">'[1]FY26 MYP-Multisite'!#REF!</definedName>
    <definedName name="_vena_MultiSiteS1_MultiSiteB1_R_FV_42f34b52efc14701904e2bd69b949ebb_552" localSheetId="3">#REF!</definedName>
    <definedName name="_vena_MultiSiteS1_MultiSiteB1_R_FV_42f34b52efc14701904e2bd69b949ebb_552">#REF!</definedName>
    <definedName name="_vena_MultiSiteS1_MultiSiteB1_R_FV_42f34b52efc14701904e2bd69b949ebb_553" localSheetId="4">#REF!</definedName>
    <definedName name="_vena_MultiSiteS1_MultiSiteB1_R_FV_42f34b52efc14701904e2bd69b949ebb_553" localSheetId="5">#REF!</definedName>
    <definedName name="_vena_MultiSiteS1_MultiSiteB1_R_FV_42f34b52efc14701904e2bd69b949ebb_553" localSheetId="8">'[1]FY26 MYP-Multisite'!#REF!</definedName>
    <definedName name="_vena_MultiSiteS1_MultiSiteB1_R_FV_42f34b52efc14701904e2bd69b949ebb_553" localSheetId="3">#REF!</definedName>
    <definedName name="_vena_MultiSiteS1_MultiSiteB1_R_FV_42f34b52efc14701904e2bd69b949ebb_553">#REF!</definedName>
    <definedName name="_vena_MultiSiteS1_MultiSiteB1_R_FV_42f34b52efc14701904e2bd69b949ebb_554" localSheetId="4">#REF!</definedName>
    <definedName name="_vena_MultiSiteS1_MultiSiteB1_R_FV_42f34b52efc14701904e2bd69b949ebb_554" localSheetId="5">#REF!</definedName>
    <definedName name="_vena_MultiSiteS1_MultiSiteB1_R_FV_42f34b52efc14701904e2bd69b949ebb_554" localSheetId="8">'[1]FY26 MYP-Multisite'!#REF!</definedName>
    <definedName name="_vena_MultiSiteS1_MultiSiteB1_R_FV_42f34b52efc14701904e2bd69b949ebb_554" localSheetId="3">#REF!</definedName>
    <definedName name="_vena_MultiSiteS1_MultiSiteB1_R_FV_42f34b52efc14701904e2bd69b949ebb_554">#REF!</definedName>
    <definedName name="_vena_MultiSiteS1_MultiSiteB1_R_FV_42f34b52efc14701904e2bd69b949ebb_555" localSheetId="4">#REF!</definedName>
    <definedName name="_vena_MultiSiteS1_MultiSiteB1_R_FV_42f34b52efc14701904e2bd69b949ebb_555" localSheetId="5">#REF!</definedName>
    <definedName name="_vena_MultiSiteS1_MultiSiteB1_R_FV_42f34b52efc14701904e2bd69b949ebb_555" localSheetId="8">'[1]FY26 MYP-Multisite'!#REF!</definedName>
    <definedName name="_vena_MultiSiteS1_MultiSiteB1_R_FV_42f34b52efc14701904e2bd69b949ebb_555" localSheetId="3">#REF!</definedName>
    <definedName name="_vena_MultiSiteS1_MultiSiteB1_R_FV_42f34b52efc14701904e2bd69b949ebb_555">#REF!</definedName>
    <definedName name="_vena_MultiSiteS1_MultiSiteB1_R_FV_42f34b52efc14701904e2bd69b949ebb_556" localSheetId="4">#REF!</definedName>
    <definedName name="_vena_MultiSiteS1_MultiSiteB1_R_FV_42f34b52efc14701904e2bd69b949ebb_556" localSheetId="5">#REF!</definedName>
    <definedName name="_vena_MultiSiteS1_MultiSiteB1_R_FV_42f34b52efc14701904e2bd69b949ebb_556" localSheetId="8">'[1]FY26 MYP-Multisite'!#REF!</definedName>
    <definedName name="_vena_MultiSiteS1_MultiSiteB1_R_FV_42f34b52efc14701904e2bd69b949ebb_556" localSheetId="3">#REF!</definedName>
    <definedName name="_vena_MultiSiteS1_MultiSiteB1_R_FV_42f34b52efc14701904e2bd69b949ebb_556">#REF!</definedName>
    <definedName name="_vena_MultiSiteS1_MultiSiteB1_R_FV_42f34b52efc14701904e2bd69b949ebb_557" localSheetId="4">#REF!</definedName>
    <definedName name="_vena_MultiSiteS1_MultiSiteB1_R_FV_42f34b52efc14701904e2bd69b949ebb_557" localSheetId="5">#REF!</definedName>
    <definedName name="_vena_MultiSiteS1_MultiSiteB1_R_FV_42f34b52efc14701904e2bd69b949ebb_557" localSheetId="8">'[1]FY26 MYP-Multisite'!#REF!</definedName>
    <definedName name="_vena_MultiSiteS1_MultiSiteB1_R_FV_42f34b52efc14701904e2bd69b949ebb_557" localSheetId="3">#REF!</definedName>
    <definedName name="_vena_MultiSiteS1_MultiSiteB1_R_FV_42f34b52efc14701904e2bd69b949ebb_557">#REF!</definedName>
    <definedName name="_vena_MultiSiteS1_MultiSiteB1_R_FV_42f34b52efc14701904e2bd69b949ebb_558" localSheetId="4">#REF!</definedName>
    <definedName name="_vena_MultiSiteS1_MultiSiteB1_R_FV_42f34b52efc14701904e2bd69b949ebb_558" localSheetId="5">#REF!</definedName>
    <definedName name="_vena_MultiSiteS1_MultiSiteB1_R_FV_42f34b52efc14701904e2bd69b949ebb_558" localSheetId="8">'[1]FY26 MYP-Multisite'!#REF!</definedName>
    <definedName name="_vena_MultiSiteS1_MultiSiteB1_R_FV_42f34b52efc14701904e2bd69b949ebb_558" localSheetId="3">#REF!</definedName>
    <definedName name="_vena_MultiSiteS1_MultiSiteB1_R_FV_42f34b52efc14701904e2bd69b949ebb_558">#REF!</definedName>
    <definedName name="_vena_MultiSiteS1_MultiSiteB1_R_FV_42f34b52efc14701904e2bd69b949ebb_559" localSheetId="4">#REF!</definedName>
    <definedName name="_vena_MultiSiteS1_MultiSiteB1_R_FV_42f34b52efc14701904e2bd69b949ebb_559" localSheetId="5">#REF!</definedName>
    <definedName name="_vena_MultiSiteS1_MultiSiteB1_R_FV_42f34b52efc14701904e2bd69b949ebb_559" localSheetId="8">'[1]FY26 MYP-Multisite'!#REF!</definedName>
    <definedName name="_vena_MultiSiteS1_MultiSiteB1_R_FV_42f34b52efc14701904e2bd69b949ebb_559" localSheetId="3">#REF!</definedName>
    <definedName name="_vena_MultiSiteS1_MultiSiteB1_R_FV_42f34b52efc14701904e2bd69b949ebb_559">#REF!</definedName>
    <definedName name="_vena_MultiSiteS1_MultiSiteB1_R_FV_42f34b52efc14701904e2bd69b949ebb_56">#REF!</definedName>
    <definedName name="_vena_MultiSiteS1_MultiSiteB1_R_FV_42f34b52efc14701904e2bd69b949ebb_560" localSheetId="4">#REF!</definedName>
    <definedName name="_vena_MultiSiteS1_MultiSiteB1_R_FV_42f34b52efc14701904e2bd69b949ebb_560" localSheetId="5">#REF!</definedName>
    <definedName name="_vena_MultiSiteS1_MultiSiteB1_R_FV_42f34b52efc14701904e2bd69b949ebb_560" localSheetId="8">'[1]FY26 MYP-Multisite'!#REF!</definedName>
    <definedName name="_vena_MultiSiteS1_MultiSiteB1_R_FV_42f34b52efc14701904e2bd69b949ebb_560" localSheetId="3">#REF!</definedName>
    <definedName name="_vena_MultiSiteS1_MultiSiteB1_R_FV_42f34b52efc14701904e2bd69b949ebb_560">#REF!</definedName>
    <definedName name="_vena_MultiSiteS1_MultiSiteB1_R_FV_42f34b52efc14701904e2bd69b949ebb_561" localSheetId="4">#REF!</definedName>
    <definedName name="_vena_MultiSiteS1_MultiSiteB1_R_FV_42f34b52efc14701904e2bd69b949ebb_561" localSheetId="5">#REF!</definedName>
    <definedName name="_vena_MultiSiteS1_MultiSiteB1_R_FV_42f34b52efc14701904e2bd69b949ebb_561" localSheetId="8">'[1]FY26 MYP-Multisite'!#REF!</definedName>
    <definedName name="_vena_MultiSiteS1_MultiSiteB1_R_FV_42f34b52efc14701904e2bd69b949ebb_561" localSheetId="3">#REF!</definedName>
    <definedName name="_vena_MultiSiteS1_MultiSiteB1_R_FV_42f34b52efc14701904e2bd69b949ebb_561">#REF!</definedName>
    <definedName name="_vena_MultiSiteS1_MultiSiteB1_R_FV_42f34b52efc14701904e2bd69b949ebb_562" localSheetId="4">#REF!</definedName>
    <definedName name="_vena_MultiSiteS1_MultiSiteB1_R_FV_42f34b52efc14701904e2bd69b949ebb_562" localSheetId="5">#REF!</definedName>
    <definedName name="_vena_MultiSiteS1_MultiSiteB1_R_FV_42f34b52efc14701904e2bd69b949ebb_562" localSheetId="8">'[1]FY26 MYP-Multisite'!#REF!</definedName>
    <definedName name="_vena_MultiSiteS1_MultiSiteB1_R_FV_42f34b52efc14701904e2bd69b949ebb_562" localSheetId="3">#REF!</definedName>
    <definedName name="_vena_MultiSiteS1_MultiSiteB1_R_FV_42f34b52efc14701904e2bd69b949ebb_562">#REF!</definedName>
    <definedName name="_vena_MultiSiteS1_MultiSiteB1_R_FV_42f34b52efc14701904e2bd69b949ebb_563" localSheetId="4">#REF!</definedName>
    <definedName name="_vena_MultiSiteS1_MultiSiteB1_R_FV_42f34b52efc14701904e2bd69b949ebb_563" localSheetId="5">#REF!</definedName>
    <definedName name="_vena_MultiSiteS1_MultiSiteB1_R_FV_42f34b52efc14701904e2bd69b949ebb_563" localSheetId="8">'[1]FY26 MYP-Multisite'!#REF!</definedName>
    <definedName name="_vena_MultiSiteS1_MultiSiteB1_R_FV_42f34b52efc14701904e2bd69b949ebb_563" localSheetId="3">#REF!</definedName>
    <definedName name="_vena_MultiSiteS1_MultiSiteB1_R_FV_42f34b52efc14701904e2bd69b949ebb_563">#REF!</definedName>
    <definedName name="_vena_MultiSiteS1_MultiSiteB1_R_FV_42f34b52efc14701904e2bd69b949ebb_564" localSheetId="4">#REF!</definedName>
    <definedName name="_vena_MultiSiteS1_MultiSiteB1_R_FV_42f34b52efc14701904e2bd69b949ebb_564" localSheetId="5">#REF!</definedName>
    <definedName name="_vena_MultiSiteS1_MultiSiteB1_R_FV_42f34b52efc14701904e2bd69b949ebb_564" localSheetId="8">'[1]FY26 MYP-Multisite'!#REF!</definedName>
    <definedName name="_vena_MultiSiteS1_MultiSiteB1_R_FV_42f34b52efc14701904e2bd69b949ebb_564" localSheetId="3">#REF!</definedName>
    <definedName name="_vena_MultiSiteS1_MultiSiteB1_R_FV_42f34b52efc14701904e2bd69b949ebb_564">#REF!</definedName>
    <definedName name="_vena_MultiSiteS1_MultiSiteB1_R_FV_42f34b52efc14701904e2bd69b949ebb_565" localSheetId="4">#REF!</definedName>
    <definedName name="_vena_MultiSiteS1_MultiSiteB1_R_FV_42f34b52efc14701904e2bd69b949ebb_565" localSheetId="5">#REF!</definedName>
    <definedName name="_vena_MultiSiteS1_MultiSiteB1_R_FV_42f34b52efc14701904e2bd69b949ebb_565" localSheetId="8">'[1]FY26 MYP-Multisite'!#REF!</definedName>
    <definedName name="_vena_MultiSiteS1_MultiSiteB1_R_FV_42f34b52efc14701904e2bd69b949ebb_565" localSheetId="3">#REF!</definedName>
    <definedName name="_vena_MultiSiteS1_MultiSiteB1_R_FV_42f34b52efc14701904e2bd69b949ebb_565">#REF!</definedName>
    <definedName name="_vena_MultiSiteS1_MultiSiteB1_R_FV_42f34b52efc14701904e2bd69b949ebb_566" localSheetId="4">#REF!</definedName>
    <definedName name="_vena_MultiSiteS1_MultiSiteB1_R_FV_42f34b52efc14701904e2bd69b949ebb_566" localSheetId="5">#REF!</definedName>
    <definedName name="_vena_MultiSiteS1_MultiSiteB1_R_FV_42f34b52efc14701904e2bd69b949ebb_566" localSheetId="8">'[1]FY26 MYP-Multisite'!#REF!</definedName>
    <definedName name="_vena_MultiSiteS1_MultiSiteB1_R_FV_42f34b52efc14701904e2bd69b949ebb_566" localSheetId="3">#REF!</definedName>
    <definedName name="_vena_MultiSiteS1_MultiSiteB1_R_FV_42f34b52efc14701904e2bd69b949ebb_566">#REF!</definedName>
    <definedName name="_vena_MultiSiteS1_MultiSiteB1_R_FV_42f34b52efc14701904e2bd69b949ebb_567" localSheetId="4">#REF!</definedName>
    <definedName name="_vena_MultiSiteS1_MultiSiteB1_R_FV_42f34b52efc14701904e2bd69b949ebb_567" localSheetId="5">#REF!</definedName>
    <definedName name="_vena_MultiSiteS1_MultiSiteB1_R_FV_42f34b52efc14701904e2bd69b949ebb_567" localSheetId="8">'[1]FY26 MYP-Multisite'!#REF!</definedName>
    <definedName name="_vena_MultiSiteS1_MultiSiteB1_R_FV_42f34b52efc14701904e2bd69b949ebb_567" localSheetId="3">#REF!</definedName>
    <definedName name="_vena_MultiSiteS1_MultiSiteB1_R_FV_42f34b52efc14701904e2bd69b949ebb_567">#REF!</definedName>
    <definedName name="_vena_MultiSiteS1_MultiSiteB1_R_FV_42f34b52efc14701904e2bd69b949ebb_568" localSheetId="4">#REF!</definedName>
    <definedName name="_vena_MultiSiteS1_MultiSiteB1_R_FV_42f34b52efc14701904e2bd69b949ebb_568" localSheetId="5">#REF!</definedName>
    <definedName name="_vena_MultiSiteS1_MultiSiteB1_R_FV_42f34b52efc14701904e2bd69b949ebb_568" localSheetId="8">'[1]FY26 MYP-Multisite'!#REF!</definedName>
    <definedName name="_vena_MultiSiteS1_MultiSiteB1_R_FV_42f34b52efc14701904e2bd69b949ebb_568" localSheetId="3">#REF!</definedName>
    <definedName name="_vena_MultiSiteS1_MultiSiteB1_R_FV_42f34b52efc14701904e2bd69b949ebb_568">#REF!</definedName>
    <definedName name="_vena_MultiSiteS1_MultiSiteB1_R_FV_42f34b52efc14701904e2bd69b949ebb_569" localSheetId="4">#REF!</definedName>
    <definedName name="_vena_MultiSiteS1_MultiSiteB1_R_FV_42f34b52efc14701904e2bd69b949ebb_569" localSheetId="5">#REF!</definedName>
    <definedName name="_vena_MultiSiteS1_MultiSiteB1_R_FV_42f34b52efc14701904e2bd69b949ebb_569" localSheetId="8">'[1]FY26 MYP-Multisite'!#REF!</definedName>
    <definedName name="_vena_MultiSiteS1_MultiSiteB1_R_FV_42f34b52efc14701904e2bd69b949ebb_569" localSheetId="3">#REF!</definedName>
    <definedName name="_vena_MultiSiteS1_MultiSiteB1_R_FV_42f34b52efc14701904e2bd69b949ebb_569">#REF!</definedName>
    <definedName name="_vena_MultiSiteS1_MultiSiteB1_R_FV_42f34b52efc14701904e2bd69b949ebb_57">#REF!</definedName>
    <definedName name="_vena_MultiSiteS1_MultiSiteB1_R_FV_42f34b52efc14701904e2bd69b949ebb_570" localSheetId="4">#REF!</definedName>
    <definedName name="_vena_MultiSiteS1_MultiSiteB1_R_FV_42f34b52efc14701904e2bd69b949ebb_570" localSheetId="5">#REF!</definedName>
    <definedName name="_vena_MultiSiteS1_MultiSiteB1_R_FV_42f34b52efc14701904e2bd69b949ebb_570" localSheetId="8">'[1]FY26 MYP-Multisite'!#REF!</definedName>
    <definedName name="_vena_MultiSiteS1_MultiSiteB1_R_FV_42f34b52efc14701904e2bd69b949ebb_570" localSheetId="3">#REF!</definedName>
    <definedName name="_vena_MultiSiteS1_MultiSiteB1_R_FV_42f34b52efc14701904e2bd69b949ebb_570">#REF!</definedName>
    <definedName name="_vena_MultiSiteS1_MultiSiteB1_R_FV_42f34b52efc14701904e2bd69b949ebb_571" localSheetId="4">#REF!</definedName>
    <definedName name="_vena_MultiSiteS1_MultiSiteB1_R_FV_42f34b52efc14701904e2bd69b949ebb_571" localSheetId="5">#REF!</definedName>
    <definedName name="_vena_MultiSiteS1_MultiSiteB1_R_FV_42f34b52efc14701904e2bd69b949ebb_571" localSheetId="8">'[1]FY26 MYP-Multisite'!#REF!</definedName>
    <definedName name="_vena_MultiSiteS1_MultiSiteB1_R_FV_42f34b52efc14701904e2bd69b949ebb_571" localSheetId="3">#REF!</definedName>
    <definedName name="_vena_MultiSiteS1_MultiSiteB1_R_FV_42f34b52efc14701904e2bd69b949ebb_571">#REF!</definedName>
    <definedName name="_vena_MultiSiteS1_MultiSiteB1_R_FV_42f34b52efc14701904e2bd69b949ebb_572" localSheetId="4">#REF!</definedName>
    <definedName name="_vena_MultiSiteS1_MultiSiteB1_R_FV_42f34b52efc14701904e2bd69b949ebb_572" localSheetId="5">#REF!</definedName>
    <definedName name="_vena_MultiSiteS1_MultiSiteB1_R_FV_42f34b52efc14701904e2bd69b949ebb_572" localSheetId="8">'[1]FY26 MYP-Multisite'!#REF!</definedName>
    <definedName name="_vena_MultiSiteS1_MultiSiteB1_R_FV_42f34b52efc14701904e2bd69b949ebb_572" localSheetId="3">#REF!</definedName>
    <definedName name="_vena_MultiSiteS1_MultiSiteB1_R_FV_42f34b52efc14701904e2bd69b949ebb_572">#REF!</definedName>
    <definedName name="_vena_MultiSiteS1_MultiSiteB1_R_FV_42f34b52efc14701904e2bd69b949ebb_573" localSheetId="4">#REF!</definedName>
    <definedName name="_vena_MultiSiteS1_MultiSiteB1_R_FV_42f34b52efc14701904e2bd69b949ebb_573" localSheetId="5">#REF!</definedName>
    <definedName name="_vena_MultiSiteS1_MultiSiteB1_R_FV_42f34b52efc14701904e2bd69b949ebb_573" localSheetId="8">'[1]FY26 MYP-Multisite'!#REF!</definedName>
    <definedName name="_vena_MultiSiteS1_MultiSiteB1_R_FV_42f34b52efc14701904e2bd69b949ebb_573" localSheetId="3">#REF!</definedName>
    <definedName name="_vena_MultiSiteS1_MultiSiteB1_R_FV_42f34b52efc14701904e2bd69b949ebb_573">#REF!</definedName>
    <definedName name="_vena_MultiSiteS1_MultiSiteB1_R_FV_42f34b52efc14701904e2bd69b949ebb_574" localSheetId="4">#REF!</definedName>
    <definedName name="_vena_MultiSiteS1_MultiSiteB1_R_FV_42f34b52efc14701904e2bd69b949ebb_574" localSheetId="5">#REF!</definedName>
    <definedName name="_vena_MultiSiteS1_MultiSiteB1_R_FV_42f34b52efc14701904e2bd69b949ebb_574" localSheetId="8">'[1]FY26 MYP-Multisite'!#REF!</definedName>
    <definedName name="_vena_MultiSiteS1_MultiSiteB1_R_FV_42f34b52efc14701904e2bd69b949ebb_574" localSheetId="3">#REF!</definedName>
    <definedName name="_vena_MultiSiteS1_MultiSiteB1_R_FV_42f34b52efc14701904e2bd69b949ebb_574">#REF!</definedName>
    <definedName name="_vena_MultiSiteS1_MultiSiteB1_R_FV_42f34b52efc14701904e2bd69b949ebb_575" localSheetId="4">#REF!</definedName>
    <definedName name="_vena_MultiSiteS1_MultiSiteB1_R_FV_42f34b52efc14701904e2bd69b949ebb_575" localSheetId="5">#REF!</definedName>
    <definedName name="_vena_MultiSiteS1_MultiSiteB1_R_FV_42f34b52efc14701904e2bd69b949ebb_575" localSheetId="8">'[1]FY26 MYP-Multisite'!#REF!</definedName>
    <definedName name="_vena_MultiSiteS1_MultiSiteB1_R_FV_42f34b52efc14701904e2bd69b949ebb_575" localSheetId="3">#REF!</definedName>
    <definedName name="_vena_MultiSiteS1_MultiSiteB1_R_FV_42f34b52efc14701904e2bd69b949ebb_575">#REF!</definedName>
    <definedName name="_vena_MultiSiteS1_MultiSiteB1_R_FV_42f34b52efc14701904e2bd69b949ebb_576" localSheetId="4">#REF!</definedName>
    <definedName name="_vena_MultiSiteS1_MultiSiteB1_R_FV_42f34b52efc14701904e2bd69b949ebb_576" localSheetId="5">#REF!</definedName>
    <definedName name="_vena_MultiSiteS1_MultiSiteB1_R_FV_42f34b52efc14701904e2bd69b949ebb_576" localSheetId="8">'[1]FY26 MYP-Multisite'!#REF!</definedName>
    <definedName name="_vena_MultiSiteS1_MultiSiteB1_R_FV_42f34b52efc14701904e2bd69b949ebb_576" localSheetId="3">#REF!</definedName>
    <definedName name="_vena_MultiSiteS1_MultiSiteB1_R_FV_42f34b52efc14701904e2bd69b949ebb_576">#REF!</definedName>
    <definedName name="_vena_MultiSiteS1_MultiSiteB1_R_FV_42f34b52efc14701904e2bd69b949ebb_577" localSheetId="4">#REF!</definedName>
    <definedName name="_vena_MultiSiteS1_MultiSiteB1_R_FV_42f34b52efc14701904e2bd69b949ebb_577" localSheetId="5">#REF!</definedName>
    <definedName name="_vena_MultiSiteS1_MultiSiteB1_R_FV_42f34b52efc14701904e2bd69b949ebb_577" localSheetId="8">'[1]FY26 MYP-Multisite'!#REF!</definedName>
    <definedName name="_vena_MultiSiteS1_MultiSiteB1_R_FV_42f34b52efc14701904e2bd69b949ebb_577" localSheetId="3">#REF!</definedName>
    <definedName name="_vena_MultiSiteS1_MultiSiteB1_R_FV_42f34b52efc14701904e2bd69b949ebb_577">#REF!</definedName>
    <definedName name="_vena_MultiSiteS1_MultiSiteB1_R_FV_42f34b52efc14701904e2bd69b949ebb_578" localSheetId="4">#REF!</definedName>
    <definedName name="_vena_MultiSiteS1_MultiSiteB1_R_FV_42f34b52efc14701904e2bd69b949ebb_578" localSheetId="5">#REF!</definedName>
    <definedName name="_vena_MultiSiteS1_MultiSiteB1_R_FV_42f34b52efc14701904e2bd69b949ebb_578" localSheetId="8">'[1]FY26 MYP-Multisite'!#REF!</definedName>
    <definedName name="_vena_MultiSiteS1_MultiSiteB1_R_FV_42f34b52efc14701904e2bd69b949ebb_578" localSheetId="3">#REF!</definedName>
    <definedName name="_vena_MultiSiteS1_MultiSiteB1_R_FV_42f34b52efc14701904e2bd69b949ebb_578">#REF!</definedName>
    <definedName name="_vena_MultiSiteS1_MultiSiteB1_R_FV_42f34b52efc14701904e2bd69b949ebb_579" localSheetId="4">#REF!</definedName>
    <definedName name="_vena_MultiSiteS1_MultiSiteB1_R_FV_42f34b52efc14701904e2bd69b949ebb_579" localSheetId="5">#REF!</definedName>
    <definedName name="_vena_MultiSiteS1_MultiSiteB1_R_FV_42f34b52efc14701904e2bd69b949ebb_579" localSheetId="8">'[1]FY26 MYP-Multisite'!#REF!</definedName>
    <definedName name="_vena_MultiSiteS1_MultiSiteB1_R_FV_42f34b52efc14701904e2bd69b949ebb_579" localSheetId="3">#REF!</definedName>
    <definedName name="_vena_MultiSiteS1_MultiSiteB1_R_FV_42f34b52efc14701904e2bd69b949ebb_579">#REF!</definedName>
    <definedName name="_vena_MultiSiteS1_MultiSiteB1_R_FV_42f34b52efc14701904e2bd69b949ebb_58">#REF!</definedName>
    <definedName name="_vena_MultiSiteS1_MultiSiteB1_R_FV_42f34b52efc14701904e2bd69b949ebb_580" localSheetId="4">#REF!</definedName>
    <definedName name="_vena_MultiSiteS1_MultiSiteB1_R_FV_42f34b52efc14701904e2bd69b949ebb_580" localSheetId="5">#REF!</definedName>
    <definedName name="_vena_MultiSiteS1_MultiSiteB1_R_FV_42f34b52efc14701904e2bd69b949ebb_580" localSheetId="8">'[1]FY26 MYP-Multisite'!#REF!</definedName>
    <definedName name="_vena_MultiSiteS1_MultiSiteB1_R_FV_42f34b52efc14701904e2bd69b949ebb_580" localSheetId="3">#REF!</definedName>
    <definedName name="_vena_MultiSiteS1_MultiSiteB1_R_FV_42f34b52efc14701904e2bd69b949ebb_580">#REF!</definedName>
    <definedName name="_vena_MultiSiteS1_MultiSiteB1_R_FV_42f34b52efc14701904e2bd69b949ebb_581" localSheetId="4">#REF!</definedName>
    <definedName name="_vena_MultiSiteS1_MultiSiteB1_R_FV_42f34b52efc14701904e2bd69b949ebb_581" localSheetId="5">#REF!</definedName>
    <definedName name="_vena_MultiSiteS1_MultiSiteB1_R_FV_42f34b52efc14701904e2bd69b949ebb_581" localSheetId="8">'[1]FY26 MYP-Multisite'!#REF!</definedName>
    <definedName name="_vena_MultiSiteS1_MultiSiteB1_R_FV_42f34b52efc14701904e2bd69b949ebb_581" localSheetId="3">#REF!</definedName>
    <definedName name="_vena_MultiSiteS1_MultiSiteB1_R_FV_42f34b52efc14701904e2bd69b949ebb_581">#REF!</definedName>
    <definedName name="_vena_MultiSiteS1_MultiSiteB1_R_FV_42f34b52efc14701904e2bd69b949ebb_582" localSheetId="4">#REF!</definedName>
    <definedName name="_vena_MultiSiteS1_MultiSiteB1_R_FV_42f34b52efc14701904e2bd69b949ebb_582" localSheetId="5">#REF!</definedName>
    <definedName name="_vena_MultiSiteS1_MultiSiteB1_R_FV_42f34b52efc14701904e2bd69b949ebb_582" localSheetId="8">'[1]FY26 MYP-Multisite'!#REF!</definedName>
    <definedName name="_vena_MultiSiteS1_MultiSiteB1_R_FV_42f34b52efc14701904e2bd69b949ebb_582" localSheetId="3">#REF!</definedName>
    <definedName name="_vena_MultiSiteS1_MultiSiteB1_R_FV_42f34b52efc14701904e2bd69b949ebb_582">#REF!</definedName>
    <definedName name="_vena_MultiSiteS1_MultiSiteB1_R_FV_42f34b52efc14701904e2bd69b949ebb_583" localSheetId="4">#REF!</definedName>
    <definedName name="_vena_MultiSiteS1_MultiSiteB1_R_FV_42f34b52efc14701904e2bd69b949ebb_583" localSheetId="5">#REF!</definedName>
    <definedName name="_vena_MultiSiteS1_MultiSiteB1_R_FV_42f34b52efc14701904e2bd69b949ebb_583" localSheetId="8">'[1]FY26 MYP-Multisite'!#REF!</definedName>
    <definedName name="_vena_MultiSiteS1_MultiSiteB1_R_FV_42f34b52efc14701904e2bd69b949ebb_583" localSheetId="3">#REF!</definedName>
    <definedName name="_vena_MultiSiteS1_MultiSiteB1_R_FV_42f34b52efc14701904e2bd69b949ebb_583">#REF!</definedName>
    <definedName name="_vena_MultiSiteS1_MultiSiteB1_R_FV_42f34b52efc14701904e2bd69b949ebb_584" localSheetId="4">#REF!</definedName>
    <definedName name="_vena_MultiSiteS1_MultiSiteB1_R_FV_42f34b52efc14701904e2bd69b949ebb_584" localSheetId="5">#REF!</definedName>
    <definedName name="_vena_MultiSiteS1_MultiSiteB1_R_FV_42f34b52efc14701904e2bd69b949ebb_584" localSheetId="8">'[1]FY26 MYP-Multisite'!#REF!</definedName>
    <definedName name="_vena_MultiSiteS1_MultiSiteB1_R_FV_42f34b52efc14701904e2bd69b949ebb_584" localSheetId="3">#REF!</definedName>
    <definedName name="_vena_MultiSiteS1_MultiSiteB1_R_FV_42f34b52efc14701904e2bd69b949ebb_584">#REF!</definedName>
    <definedName name="_vena_MultiSiteS1_MultiSiteB1_R_FV_42f34b52efc14701904e2bd69b949ebb_585" localSheetId="4">#REF!</definedName>
    <definedName name="_vena_MultiSiteS1_MultiSiteB1_R_FV_42f34b52efc14701904e2bd69b949ebb_585" localSheetId="5">#REF!</definedName>
    <definedName name="_vena_MultiSiteS1_MultiSiteB1_R_FV_42f34b52efc14701904e2bd69b949ebb_585" localSheetId="8">'[1]FY26 MYP-Multisite'!#REF!</definedName>
    <definedName name="_vena_MultiSiteS1_MultiSiteB1_R_FV_42f34b52efc14701904e2bd69b949ebb_585" localSheetId="3">#REF!</definedName>
    <definedName name="_vena_MultiSiteS1_MultiSiteB1_R_FV_42f34b52efc14701904e2bd69b949ebb_585">#REF!</definedName>
    <definedName name="_vena_MultiSiteS1_MultiSiteB1_R_FV_42f34b52efc14701904e2bd69b949ebb_586" localSheetId="4">#REF!</definedName>
    <definedName name="_vena_MultiSiteS1_MultiSiteB1_R_FV_42f34b52efc14701904e2bd69b949ebb_586" localSheetId="5">#REF!</definedName>
    <definedName name="_vena_MultiSiteS1_MultiSiteB1_R_FV_42f34b52efc14701904e2bd69b949ebb_586" localSheetId="8">'[1]FY26 MYP-Multisite'!#REF!</definedName>
    <definedName name="_vena_MultiSiteS1_MultiSiteB1_R_FV_42f34b52efc14701904e2bd69b949ebb_586" localSheetId="3">#REF!</definedName>
    <definedName name="_vena_MultiSiteS1_MultiSiteB1_R_FV_42f34b52efc14701904e2bd69b949ebb_586">#REF!</definedName>
    <definedName name="_vena_MultiSiteS1_MultiSiteB1_R_FV_42f34b52efc14701904e2bd69b949ebb_587" localSheetId="4">#REF!</definedName>
    <definedName name="_vena_MultiSiteS1_MultiSiteB1_R_FV_42f34b52efc14701904e2bd69b949ebb_587" localSheetId="5">#REF!</definedName>
    <definedName name="_vena_MultiSiteS1_MultiSiteB1_R_FV_42f34b52efc14701904e2bd69b949ebb_587" localSheetId="8">'[1]FY26 MYP-Multisite'!#REF!</definedName>
    <definedName name="_vena_MultiSiteS1_MultiSiteB1_R_FV_42f34b52efc14701904e2bd69b949ebb_587" localSheetId="3">#REF!</definedName>
    <definedName name="_vena_MultiSiteS1_MultiSiteB1_R_FV_42f34b52efc14701904e2bd69b949ebb_587">#REF!</definedName>
    <definedName name="_vena_MultiSiteS1_MultiSiteB1_R_FV_42f34b52efc14701904e2bd69b949ebb_588" localSheetId="4">#REF!</definedName>
    <definedName name="_vena_MultiSiteS1_MultiSiteB1_R_FV_42f34b52efc14701904e2bd69b949ebb_588" localSheetId="5">#REF!</definedName>
    <definedName name="_vena_MultiSiteS1_MultiSiteB1_R_FV_42f34b52efc14701904e2bd69b949ebb_588" localSheetId="8">'[1]FY26 MYP-Multisite'!#REF!</definedName>
    <definedName name="_vena_MultiSiteS1_MultiSiteB1_R_FV_42f34b52efc14701904e2bd69b949ebb_588" localSheetId="3">#REF!</definedName>
    <definedName name="_vena_MultiSiteS1_MultiSiteB1_R_FV_42f34b52efc14701904e2bd69b949ebb_588">#REF!</definedName>
    <definedName name="_vena_MultiSiteS1_MultiSiteB1_R_FV_42f34b52efc14701904e2bd69b949ebb_589" localSheetId="4">#REF!</definedName>
    <definedName name="_vena_MultiSiteS1_MultiSiteB1_R_FV_42f34b52efc14701904e2bd69b949ebb_589" localSheetId="5">#REF!</definedName>
    <definedName name="_vena_MultiSiteS1_MultiSiteB1_R_FV_42f34b52efc14701904e2bd69b949ebb_589" localSheetId="8">'[1]FY26 MYP-Multisite'!#REF!</definedName>
    <definedName name="_vena_MultiSiteS1_MultiSiteB1_R_FV_42f34b52efc14701904e2bd69b949ebb_589" localSheetId="3">#REF!</definedName>
    <definedName name="_vena_MultiSiteS1_MultiSiteB1_R_FV_42f34b52efc14701904e2bd69b949ebb_589">#REF!</definedName>
    <definedName name="_vena_MultiSiteS1_MultiSiteB1_R_FV_42f34b52efc14701904e2bd69b949ebb_59">#REF!</definedName>
    <definedName name="_vena_MultiSiteS1_MultiSiteB1_R_FV_42f34b52efc14701904e2bd69b949ebb_590" localSheetId="4">#REF!</definedName>
    <definedName name="_vena_MultiSiteS1_MultiSiteB1_R_FV_42f34b52efc14701904e2bd69b949ebb_590" localSheetId="5">#REF!</definedName>
    <definedName name="_vena_MultiSiteS1_MultiSiteB1_R_FV_42f34b52efc14701904e2bd69b949ebb_590" localSheetId="8">'[1]FY26 MYP-Multisite'!#REF!</definedName>
    <definedName name="_vena_MultiSiteS1_MultiSiteB1_R_FV_42f34b52efc14701904e2bd69b949ebb_590" localSheetId="3">#REF!</definedName>
    <definedName name="_vena_MultiSiteS1_MultiSiteB1_R_FV_42f34b52efc14701904e2bd69b949ebb_590">#REF!</definedName>
    <definedName name="_vena_MultiSiteS1_MultiSiteB1_R_FV_42f34b52efc14701904e2bd69b949ebb_591" localSheetId="4">#REF!</definedName>
    <definedName name="_vena_MultiSiteS1_MultiSiteB1_R_FV_42f34b52efc14701904e2bd69b949ebb_591" localSheetId="5">#REF!</definedName>
    <definedName name="_vena_MultiSiteS1_MultiSiteB1_R_FV_42f34b52efc14701904e2bd69b949ebb_591" localSheetId="8">'[1]FY26 MYP-Multisite'!#REF!</definedName>
    <definedName name="_vena_MultiSiteS1_MultiSiteB1_R_FV_42f34b52efc14701904e2bd69b949ebb_591" localSheetId="3">#REF!</definedName>
    <definedName name="_vena_MultiSiteS1_MultiSiteB1_R_FV_42f34b52efc14701904e2bd69b949ebb_591">#REF!</definedName>
    <definedName name="_vena_MultiSiteS1_MultiSiteB1_R_FV_42f34b52efc14701904e2bd69b949ebb_592" localSheetId="4">#REF!</definedName>
    <definedName name="_vena_MultiSiteS1_MultiSiteB1_R_FV_42f34b52efc14701904e2bd69b949ebb_592" localSheetId="5">#REF!</definedName>
    <definedName name="_vena_MultiSiteS1_MultiSiteB1_R_FV_42f34b52efc14701904e2bd69b949ebb_592" localSheetId="8">'[1]FY26 MYP-Multisite'!#REF!</definedName>
    <definedName name="_vena_MultiSiteS1_MultiSiteB1_R_FV_42f34b52efc14701904e2bd69b949ebb_592" localSheetId="3">#REF!</definedName>
    <definedName name="_vena_MultiSiteS1_MultiSiteB1_R_FV_42f34b52efc14701904e2bd69b949ebb_592">#REF!</definedName>
    <definedName name="_vena_MultiSiteS1_MultiSiteB1_R_FV_42f34b52efc14701904e2bd69b949ebb_593" localSheetId="4">#REF!</definedName>
    <definedName name="_vena_MultiSiteS1_MultiSiteB1_R_FV_42f34b52efc14701904e2bd69b949ebb_593" localSheetId="5">#REF!</definedName>
    <definedName name="_vena_MultiSiteS1_MultiSiteB1_R_FV_42f34b52efc14701904e2bd69b949ebb_593" localSheetId="8">'[1]FY26 MYP-Multisite'!#REF!</definedName>
    <definedName name="_vena_MultiSiteS1_MultiSiteB1_R_FV_42f34b52efc14701904e2bd69b949ebb_593" localSheetId="3">#REF!</definedName>
    <definedName name="_vena_MultiSiteS1_MultiSiteB1_R_FV_42f34b52efc14701904e2bd69b949ebb_593">#REF!</definedName>
    <definedName name="_vena_MultiSiteS1_MultiSiteB1_R_FV_42f34b52efc14701904e2bd69b949ebb_594" localSheetId="4">#REF!</definedName>
    <definedName name="_vena_MultiSiteS1_MultiSiteB1_R_FV_42f34b52efc14701904e2bd69b949ebb_594" localSheetId="5">#REF!</definedName>
    <definedName name="_vena_MultiSiteS1_MultiSiteB1_R_FV_42f34b52efc14701904e2bd69b949ebb_594" localSheetId="8">'[1]FY26 MYP-Multisite'!#REF!</definedName>
    <definedName name="_vena_MultiSiteS1_MultiSiteB1_R_FV_42f34b52efc14701904e2bd69b949ebb_594" localSheetId="3">#REF!</definedName>
    <definedName name="_vena_MultiSiteS1_MultiSiteB1_R_FV_42f34b52efc14701904e2bd69b949ebb_594">#REF!</definedName>
    <definedName name="_vena_MultiSiteS1_MultiSiteB1_R_FV_42f34b52efc14701904e2bd69b949ebb_595" localSheetId="4">#REF!</definedName>
    <definedName name="_vena_MultiSiteS1_MultiSiteB1_R_FV_42f34b52efc14701904e2bd69b949ebb_595" localSheetId="5">#REF!</definedName>
    <definedName name="_vena_MultiSiteS1_MultiSiteB1_R_FV_42f34b52efc14701904e2bd69b949ebb_595" localSheetId="8">'[1]FY26 MYP-Multisite'!#REF!</definedName>
    <definedName name="_vena_MultiSiteS1_MultiSiteB1_R_FV_42f34b52efc14701904e2bd69b949ebb_595" localSheetId="3">#REF!</definedName>
    <definedName name="_vena_MultiSiteS1_MultiSiteB1_R_FV_42f34b52efc14701904e2bd69b949ebb_595">#REF!</definedName>
    <definedName name="_vena_MultiSiteS1_MultiSiteB1_R_FV_42f34b52efc14701904e2bd69b949ebb_596" localSheetId="4">#REF!</definedName>
    <definedName name="_vena_MultiSiteS1_MultiSiteB1_R_FV_42f34b52efc14701904e2bd69b949ebb_596" localSheetId="5">#REF!</definedName>
    <definedName name="_vena_MultiSiteS1_MultiSiteB1_R_FV_42f34b52efc14701904e2bd69b949ebb_596" localSheetId="8">'[1]FY26 MYP-Multisite'!#REF!</definedName>
    <definedName name="_vena_MultiSiteS1_MultiSiteB1_R_FV_42f34b52efc14701904e2bd69b949ebb_596" localSheetId="3">#REF!</definedName>
    <definedName name="_vena_MultiSiteS1_MultiSiteB1_R_FV_42f34b52efc14701904e2bd69b949ebb_596">#REF!</definedName>
    <definedName name="_vena_MultiSiteS1_MultiSiteB1_R_FV_42f34b52efc14701904e2bd69b949ebb_597" localSheetId="4">#REF!</definedName>
    <definedName name="_vena_MultiSiteS1_MultiSiteB1_R_FV_42f34b52efc14701904e2bd69b949ebb_597" localSheetId="5">#REF!</definedName>
    <definedName name="_vena_MultiSiteS1_MultiSiteB1_R_FV_42f34b52efc14701904e2bd69b949ebb_597" localSheetId="8">'[1]FY26 MYP-Multisite'!#REF!</definedName>
    <definedName name="_vena_MultiSiteS1_MultiSiteB1_R_FV_42f34b52efc14701904e2bd69b949ebb_597" localSheetId="3">#REF!</definedName>
    <definedName name="_vena_MultiSiteS1_MultiSiteB1_R_FV_42f34b52efc14701904e2bd69b949ebb_597">#REF!</definedName>
    <definedName name="_vena_MultiSiteS1_MultiSiteB1_R_FV_42f34b52efc14701904e2bd69b949ebb_598" localSheetId="4">#REF!</definedName>
    <definedName name="_vena_MultiSiteS1_MultiSiteB1_R_FV_42f34b52efc14701904e2bd69b949ebb_598" localSheetId="5">#REF!</definedName>
    <definedName name="_vena_MultiSiteS1_MultiSiteB1_R_FV_42f34b52efc14701904e2bd69b949ebb_598" localSheetId="8">'[1]FY26 MYP-Multisite'!#REF!</definedName>
    <definedName name="_vena_MultiSiteS1_MultiSiteB1_R_FV_42f34b52efc14701904e2bd69b949ebb_598" localSheetId="3">#REF!</definedName>
    <definedName name="_vena_MultiSiteS1_MultiSiteB1_R_FV_42f34b52efc14701904e2bd69b949ebb_598">#REF!</definedName>
    <definedName name="_vena_MultiSiteS1_MultiSiteB1_R_FV_42f34b52efc14701904e2bd69b949ebb_599" localSheetId="4">#REF!</definedName>
    <definedName name="_vena_MultiSiteS1_MultiSiteB1_R_FV_42f34b52efc14701904e2bd69b949ebb_599" localSheetId="5">#REF!</definedName>
    <definedName name="_vena_MultiSiteS1_MultiSiteB1_R_FV_42f34b52efc14701904e2bd69b949ebb_599" localSheetId="8">'[1]FY26 MYP-Multisite'!#REF!</definedName>
    <definedName name="_vena_MultiSiteS1_MultiSiteB1_R_FV_42f34b52efc14701904e2bd69b949ebb_599" localSheetId="3">#REF!</definedName>
    <definedName name="_vena_MultiSiteS1_MultiSiteB1_R_FV_42f34b52efc14701904e2bd69b949ebb_599">#REF!</definedName>
    <definedName name="_vena_MultiSiteS1_MultiSiteB1_R_FV_42f34b52efc14701904e2bd69b949ebb_60">#REF!</definedName>
    <definedName name="_vena_MultiSiteS1_MultiSiteB1_R_FV_42f34b52efc14701904e2bd69b949ebb_600" localSheetId="4">#REF!</definedName>
    <definedName name="_vena_MultiSiteS1_MultiSiteB1_R_FV_42f34b52efc14701904e2bd69b949ebb_600" localSheetId="5">#REF!</definedName>
    <definedName name="_vena_MultiSiteS1_MultiSiteB1_R_FV_42f34b52efc14701904e2bd69b949ebb_600" localSheetId="8">'[1]FY26 MYP-Multisite'!#REF!</definedName>
    <definedName name="_vena_MultiSiteS1_MultiSiteB1_R_FV_42f34b52efc14701904e2bd69b949ebb_600" localSheetId="3">#REF!</definedName>
    <definedName name="_vena_MultiSiteS1_MultiSiteB1_R_FV_42f34b52efc14701904e2bd69b949ebb_600">#REF!</definedName>
    <definedName name="_vena_MultiSiteS1_MultiSiteB1_R_FV_42f34b52efc14701904e2bd69b949ebb_601" localSheetId="4">#REF!</definedName>
    <definedName name="_vena_MultiSiteS1_MultiSiteB1_R_FV_42f34b52efc14701904e2bd69b949ebb_601" localSheetId="5">#REF!</definedName>
    <definedName name="_vena_MultiSiteS1_MultiSiteB1_R_FV_42f34b52efc14701904e2bd69b949ebb_601" localSheetId="8">'[1]FY26 MYP-Multisite'!#REF!</definedName>
    <definedName name="_vena_MultiSiteS1_MultiSiteB1_R_FV_42f34b52efc14701904e2bd69b949ebb_601" localSheetId="3">#REF!</definedName>
    <definedName name="_vena_MultiSiteS1_MultiSiteB1_R_FV_42f34b52efc14701904e2bd69b949ebb_601">#REF!</definedName>
    <definedName name="_vena_MultiSiteS1_MultiSiteB1_R_FV_42f34b52efc14701904e2bd69b949ebb_602" localSheetId="4">#REF!</definedName>
    <definedName name="_vena_MultiSiteS1_MultiSiteB1_R_FV_42f34b52efc14701904e2bd69b949ebb_602" localSheetId="5">#REF!</definedName>
    <definedName name="_vena_MultiSiteS1_MultiSiteB1_R_FV_42f34b52efc14701904e2bd69b949ebb_602" localSheetId="8">'[1]FY26 MYP-Multisite'!#REF!</definedName>
    <definedName name="_vena_MultiSiteS1_MultiSiteB1_R_FV_42f34b52efc14701904e2bd69b949ebb_602" localSheetId="3">#REF!</definedName>
    <definedName name="_vena_MultiSiteS1_MultiSiteB1_R_FV_42f34b52efc14701904e2bd69b949ebb_602">#REF!</definedName>
    <definedName name="_vena_MultiSiteS1_MultiSiteB1_R_FV_42f34b52efc14701904e2bd69b949ebb_603" localSheetId="4">#REF!</definedName>
    <definedName name="_vena_MultiSiteS1_MultiSiteB1_R_FV_42f34b52efc14701904e2bd69b949ebb_603" localSheetId="5">#REF!</definedName>
    <definedName name="_vena_MultiSiteS1_MultiSiteB1_R_FV_42f34b52efc14701904e2bd69b949ebb_603" localSheetId="8">'[1]FY26 MYP-Multisite'!#REF!</definedName>
    <definedName name="_vena_MultiSiteS1_MultiSiteB1_R_FV_42f34b52efc14701904e2bd69b949ebb_603" localSheetId="3">#REF!</definedName>
    <definedName name="_vena_MultiSiteS1_MultiSiteB1_R_FV_42f34b52efc14701904e2bd69b949ebb_603">#REF!</definedName>
    <definedName name="_vena_MultiSiteS1_MultiSiteB1_R_FV_42f34b52efc14701904e2bd69b949ebb_604" localSheetId="4">#REF!</definedName>
    <definedName name="_vena_MultiSiteS1_MultiSiteB1_R_FV_42f34b52efc14701904e2bd69b949ebb_604" localSheetId="5">#REF!</definedName>
    <definedName name="_vena_MultiSiteS1_MultiSiteB1_R_FV_42f34b52efc14701904e2bd69b949ebb_604" localSheetId="8">'[1]FY26 MYP-Multisite'!#REF!</definedName>
    <definedName name="_vena_MultiSiteS1_MultiSiteB1_R_FV_42f34b52efc14701904e2bd69b949ebb_604" localSheetId="3">#REF!</definedName>
    <definedName name="_vena_MultiSiteS1_MultiSiteB1_R_FV_42f34b52efc14701904e2bd69b949ebb_604">#REF!</definedName>
    <definedName name="_vena_MultiSiteS1_MultiSiteB1_R_FV_42f34b52efc14701904e2bd69b949ebb_605" localSheetId="4">#REF!</definedName>
    <definedName name="_vena_MultiSiteS1_MultiSiteB1_R_FV_42f34b52efc14701904e2bd69b949ebb_605" localSheetId="5">#REF!</definedName>
    <definedName name="_vena_MultiSiteS1_MultiSiteB1_R_FV_42f34b52efc14701904e2bd69b949ebb_605" localSheetId="8">'[1]FY26 MYP-Multisite'!#REF!</definedName>
    <definedName name="_vena_MultiSiteS1_MultiSiteB1_R_FV_42f34b52efc14701904e2bd69b949ebb_605" localSheetId="3">#REF!</definedName>
    <definedName name="_vena_MultiSiteS1_MultiSiteB1_R_FV_42f34b52efc14701904e2bd69b949ebb_605">#REF!</definedName>
    <definedName name="_vena_MultiSiteS1_MultiSiteB1_R_FV_42f34b52efc14701904e2bd69b949ebb_606" localSheetId="4">#REF!</definedName>
    <definedName name="_vena_MultiSiteS1_MultiSiteB1_R_FV_42f34b52efc14701904e2bd69b949ebb_606" localSheetId="5">#REF!</definedName>
    <definedName name="_vena_MultiSiteS1_MultiSiteB1_R_FV_42f34b52efc14701904e2bd69b949ebb_606" localSheetId="8">'[1]FY26 MYP-Multisite'!#REF!</definedName>
    <definedName name="_vena_MultiSiteS1_MultiSiteB1_R_FV_42f34b52efc14701904e2bd69b949ebb_606" localSheetId="3">#REF!</definedName>
    <definedName name="_vena_MultiSiteS1_MultiSiteB1_R_FV_42f34b52efc14701904e2bd69b949ebb_606">#REF!</definedName>
    <definedName name="_vena_MultiSiteS1_MultiSiteB1_R_FV_42f34b52efc14701904e2bd69b949ebb_607" localSheetId="4">#REF!</definedName>
    <definedName name="_vena_MultiSiteS1_MultiSiteB1_R_FV_42f34b52efc14701904e2bd69b949ebb_607" localSheetId="5">#REF!</definedName>
    <definedName name="_vena_MultiSiteS1_MultiSiteB1_R_FV_42f34b52efc14701904e2bd69b949ebb_607" localSheetId="8">'[1]FY26 MYP-Multisite'!#REF!</definedName>
    <definedName name="_vena_MultiSiteS1_MultiSiteB1_R_FV_42f34b52efc14701904e2bd69b949ebb_607" localSheetId="3">#REF!</definedName>
    <definedName name="_vena_MultiSiteS1_MultiSiteB1_R_FV_42f34b52efc14701904e2bd69b949ebb_607">#REF!</definedName>
    <definedName name="_vena_MultiSiteS1_MultiSiteB1_R_FV_42f34b52efc14701904e2bd69b949ebb_608" localSheetId="4">#REF!</definedName>
    <definedName name="_vena_MultiSiteS1_MultiSiteB1_R_FV_42f34b52efc14701904e2bd69b949ebb_608" localSheetId="5">#REF!</definedName>
    <definedName name="_vena_MultiSiteS1_MultiSiteB1_R_FV_42f34b52efc14701904e2bd69b949ebb_608" localSheetId="8">'[1]FY26 MYP-Multisite'!#REF!</definedName>
    <definedName name="_vena_MultiSiteS1_MultiSiteB1_R_FV_42f34b52efc14701904e2bd69b949ebb_608" localSheetId="3">#REF!</definedName>
    <definedName name="_vena_MultiSiteS1_MultiSiteB1_R_FV_42f34b52efc14701904e2bd69b949ebb_608">#REF!</definedName>
    <definedName name="_vena_MultiSiteS1_MultiSiteB1_R_FV_42f34b52efc14701904e2bd69b949ebb_609" localSheetId="4">#REF!</definedName>
    <definedName name="_vena_MultiSiteS1_MultiSiteB1_R_FV_42f34b52efc14701904e2bd69b949ebb_609" localSheetId="5">#REF!</definedName>
    <definedName name="_vena_MultiSiteS1_MultiSiteB1_R_FV_42f34b52efc14701904e2bd69b949ebb_609" localSheetId="8">'[1]FY26 MYP-Multisite'!#REF!</definedName>
    <definedName name="_vena_MultiSiteS1_MultiSiteB1_R_FV_42f34b52efc14701904e2bd69b949ebb_609" localSheetId="3">#REF!</definedName>
    <definedName name="_vena_MultiSiteS1_MultiSiteB1_R_FV_42f34b52efc14701904e2bd69b949ebb_609">#REF!</definedName>
    <definedName name="_vena_MultiSiteS1_MultiSiteB1_R_FV_42f34b52efc14701904e2bd69b949ebb_61">#REF!</definedName>
    <definedName name="_vena_MultiSiteS1_MultiSiteB1_R_FV_42f34b52efc14701904e2bd69b949ebb_610" localSheetId="4">#REF!</definedName>
    <definedName name="_vena_MultiSiteS1_MultiSiteB1_R_FV_42f34b52efc14701904e2bd69b949ebb_610" localSheetId="5">#REF!</definedName>
    <definedName name="_vena_MultiSiteS1_MultiSiteB1_R_FV_42f34b52efc14701904e2bd69b949ebb_610" localSheetId="8">'[1]FY26 MYP-Multisite'!#REF!</definedName>
    <definedName name="_vena_MultiSiteS1_MultiSiteB1_R_FV_42f34b52efc14701904e2bd69b949ebb_610" localSheetId="3">#REF!</definedName>
    <definedName name="_vena_MultiSiteS1_MultiSiteB1_R_FV_42f34b52efc14701904e2bd69b949ebb_610">#REF!</definedName>
    <definedName name="_vena_MultiSiteS1_MultiSiteB1_R_FV_42f34b52efc14701904e2bd69b949ebb_611" localSheetId="4">#REF!</definedName>
    <definedName name="_vena_MultiSiteS1_MultiSiteB1_R_FV_42f34b52efc14701904e2bd69b949ebb_611" localSheetId="5">#REF!</definedName>
    <definedName name="_vena_MultiSiteS1_MultiSiteB1_R_FV_42f34b52efc14701904e2bd69b949ebb_611" localSheetId="8">'[1]FY26 MYP-Multisite'!#REF!</definedName>
    <definedName name="_vena_MultiSiteS1_MultiSiteB1_R_FV_42f34b52efc14701904e2bd69b949ebb_611" localSheetId="3">#REF!</definedName>
    <definedName name="_vena_MultiSiteS1_MultiSiteB1_R_FV_42f34b52efc14701904e2bd69b949ebb_611">#REF!</definedName>
    <definedName name="_vena_MultiSiteS1_MultiSiteB1_R_FV_42f34b52efc14701904e2bd69b949ebb_612" localSheetId="4">#REF!</definedName>
    <definedName name="_vena_MultiSiteS1_MultiSiteB1_R_FV_42f34b52efc14701904e2bd69b949ebb_612" localSheetId="5">#REF!</definedName>
    <definedName name="_vena_MultiSiteS1_MultiSiteB1_R_FV_42f34b52efc14701904e2bd69b949ebb_612" localSheetId="8">'[1]FY26 MYP-Multisite'!#REF!</definedName>
    <definedName name="_vena_MultiSiteS1_MultiSiteB1_R_FV_42f34b52efc14701904e2bd69b949ebb_612" localSheetId="3">#REF!</definedName>
    <definedName name="_vena_MultiSiteS1_MultiSiteB1_R_FV_42f34b52efc14701904e2bd69b949ebb_612">#REF!</definedName>
    <definedName name="_vena_MultiSiteS1_MultiSiteB1_R_FV_42f34b52efc14701904e2bd69b949ebb_613" localSheetId="4">#REF!</definedName>
    <definedName name="_vena_MultiSiteS1_MultiSiteB1_R_FV_42f34b52efc14701904e2bd69b949ebb_613" localSheetId="5">#REF!</definedName>
    <definedName name="_vena_MultiSiteS1_MultiSiteB1_R_FV_42f34b52efc14701904e2bd69b949ebb_613" localSheetId="8">'[1]FY26 MYP-Multisite'!#REF!</definedName>
    <definedName name="_vena_MultiSiteS1_MultiSiteB1_R_FV_42f34b52efc14701904e2bd69b949ebb_613" localSheetId="3">#REF!</definedName>
    <definedName name="_vena_MultiSiteS1_MultiSiteB1_R_FV_42f34b52efc14701904e2bd69b949ebb_613">#REF!</definedName>
    <definedName name="_vena_MultiSiteS1_MultiSiteB1_R_FV_42f34b52efc14701904e2bd69b949ebb_614" localSheetId="4">#REF!</definedName>
    <definedName name="_vena_MultiSiteS1_MultiSiteB1_R_FV_42f34b52efc14701904e2bd69b949ebb_614" localSheetId="5">#REF!</definedName>
    <definedName name="_vena_MultiSiteS1_MultiSiteB1_R_FV_42f34b52efc14701904e2bd69b949ebb_614" localSheetId="8">'[1]FY26 MYP-Multisite'!#REF!</definedName>
    <definedName name="_vena_MultiSiteS1_MultiSiteB1_R_FV_42f34b52efc14701904e2bd69b949ebb_614" localSheetId="3">#REF!</definedName>
    <definedName name="_vena_MultiSiteS1_MultiSiteB1_R_FV_42f34b52efc14701904e2bd69b949ebb_614">#REF!</definedName>
    <definedName name="_vena_MultiSiteS1_MultiSiteB1_R_FV_42f34b52efc14701904e2bd69b949ebb_615" localSheetId="4">#REF!</definedName>
    <definedName name="_vena_MultiSiteS1_MultiSiteB1_R_FV_42f34b52efc14701904e2bd69b949ebb_615" localSheetId="5">#REF!</definedName>
    <definedName name="_vena_MultiSiteS1_MultiSiteB1_R_FV_42f34b52efc14701904e2bd69b949ebb_615" localSheetId="8">'[1]FY26 MYP-Multisite'!#REF!</definedName>
    <definedName name="_vena_MultiSiteS1_MultiSiteB1_R_FV_42f34b52efc14701904e2bd69b949ebb_615" localSheetId="3">#REF!</definedName>
    <definedName name="_vena_MultiSiteS1_MultiSiteB1_R_FV_42f34b52efc14701904e2bd69b949ebb_615">#REF!</definedName>
    <definedName name="_vena_MultiSiteS1_MultiSiteB1_R_FV_42f34b52efc14701904e2bd69b949ebb_616" localSheetId="4">#REF!</definedName>
    <definedName name="_vena_MultiSiteS1_MultiSiteB1_R_FV_42f34b52efc14701904e2bd69b949ebb_616" localSheetId="5">#REF!</definedName>
    <definedName name="_vena_MultiSiteS1_MultiSiteB1_R_FV_42f34b52efc14701904e2bd69b949ebb_616" localSheetId="8">'[1]FY26 MYP-Multisite'!#REF!</definedName>
    <definedName name="_vena_MultiSiteS1_MultiSiteB1_R_FV_42f34b52efc14701904e2bd69b949ebb_616" localSheetId="3">#REF!</definedName>
    <definedName name="_vena_MultiSiteS1_MultiSiteB1_R_FV_42f34b52efc14701904e2bd69b949ebb_616">#REF!</definedName>
    <definedName name="_vena_MultiSiteS1_MultiSiteB1_R_FV_42f34b52efc14701904e2bd69b949ebb_617" localSheetId="4">#REF!</definedName>
    <definedName name="_vena_MultiSiteS1_MultiSiteB1_R_FV_42f34b52efc14701904e2bd69b949ebb_617" localSheetId="5">#REF!</definedName>
    <definedName name="_vena_MultiSiteS1_MultiSiteB1_R_FV_42f34b52efc14701904e2bd69b949ebb_617" localSheetId="8">'[1]FY26 MYP-Multisite'!#REF!</definedName>
    <definedName name="_vena_MultiSiteS1_MultiSiteB1_R_FV_42f34b52efc14701904e2bd69b949ebb_617" localSheetId="3">#REF!</definedName>
    <definedName name="_vena_MultiSiteS1_MultiSiteB1_R_FV_42f34b52efc14701904e2bd69b949ebb_617">#REF!</definedName>
    <definedName name="_vena_MultiSiteS1_MultiSiteB1_R_FV_42f34b52efc14701904e2bd69b949ebb_618" localSheetId="4">#REF!</definedName>
    <definedName name="_vena_MultiSiteS1_MultiSiteB1_R_FV_42f34b52efc14701904e2bd69b949ebb_618" localSheetId="5">#REF!</definedName>
    <definedName name="_vena_MultiSiteS1_MultiSiteB1_R_FV_42f34b52efc14701904e2bd69b949ebb_618" localSheetId="8">'[1]FY26 MYP-Multisite'!#REF!</definedName>
    <definedName name="_vena_MultiSiteS1_MultiSiteB1_R_FV_42f34b52efc14701904e2bd69b949ebb_618" localSheetId="3">#REF!</definedName>
    <definedName name="_vena_MultiSiteS1_MultiSiteB1_R_FV_42f34b52efc14701904e2bd69b949ebb_618">#REF!</definedName>
    <definedName name="_vena_MultiSiteS1_MultiSiteB1_R_FV_42f34b52efc14701904e2bd69b949ebb_619" localSheetId="4">#REF!</definedName>
    <definedName name="_vena_MultiSiteS1_MultiSiteB1_R_FV_42f34b52efc14701904e2bd69b949ebb_619" localSheetId="5">#REF!</definedName>
    <definedName name="_vena_MultiSiteS1_MultiSiteB1_R_FV_42f34b52efc14701904e2bd69b949ebb_619" localSheetId="8">'[1]FY26 MYP-Multisite'!#REF!</definedName>
    <definedName name="_vena_MultiSiteS1_MultiSiteB1_R_FV_42f34b52efc14701904e2bd69b949ebb_619" localSheetId="3">#REF!</definedName>
    <definedName name="_vena_MultiSiteS1_MultiSiteB1_R_FV_42f34b52efc14701904e2bd69b949ebb_619">#REF!</definedName>
    <definedName name="_vena_MultiSiteS1_MultiSiteB1_R_FV_42f34b52efc14701904e2bd69b949ebb_62">#REF!</definedName>
    <definedName name="_vena_MultiSiteS1_MultiSiteB1_R_FV_42f34b52efc14701904e2bd69b949ebb_620" localSheetId="4">#REF!</definedName>
    <definedName name="_vena_MultiSiteS1_MultiSiteB1_R_FV_42f34b52efc14701904e2bd69b949ebb_620" localSheetId="5">#REF!</definedName>
    <definedName name="_vena_MultiSiteS1_MultiSiteB1_R_FV_42f34b52efc14701904e2bd69b949ebb_620" localSheetId="8">'[1]FY26 MYP-Multisite'!#REF!</definedName>
    <definedName name="_vena_MultiSiteS1_MultiSiteB1_R_FV_42f34b52efc14701904e2bd69b949ebb_620" localSheetId="3">#REF!</definedName>
    <definedName name="_vena_MultiSiteS1_MultiSiteB1_R_FV_42f34b52efc14701904e2bd69b949ebb_620">#REF!</definedName>
    <definedName name="_vena_MultiSiteS1_MultiSiteB1_R_FV_42f34b52efc14701904e2bd69b949ebb_621" localSheetId="4">#REF!</definedName>
    <definedName name="_vena_MultiSiteS1_MultiSiteB1_R_FV_42f34b52efc14701904e2bd69b949ebb_621" localSheetId="5">#REF!</definedName>
    <definedName name="_vena_MultiSiteS1_MultiSiteB1_R_FV_42f34b52efc14701904e2bd69b949ebb_621" localSheetId="8">'[1]FY26 MYP-Multisite'!#REF!</definedName>
    <definedName name="_vena_MultiSiteS1_MultiSiteB1_R_FV_42f34b52efc14701904e2bd69b949ebb_621" localSheetId="3">#REF!</definedName>
    <definedName name="_vena_MultiSiteS1_MultiSiteB1_R_FV_42f34b52efc14701904e2bd69b949ebb_621">#REF!</definedName>
    <definedName name="_vena_MultiSiteS1_MultiSiteB1_R_FV_42f34b52efc14701904e2bd69b949ebb_622" localSheetId="4">#REF!</definedName>
    <definedName name="_vena_MultiSiteS1_MultiSiteB1_R_FV_42f34b52efc14701904e2bd69b949ebb_622" localSheetId="5">#REF!</definedName>
    <definedName name="_vena_MultiSiteS1_MultiSiteB1_R_FV_42f34b52efc14701904e2bd69b949ebb_622" localSheetId="8">'[1]FY26 MYP-Multisite'!#REF!</definedName>
    <definedName name="_vena_MultiSiteS1_MultiSiteB1_R_FV_42f34b52efc14701904e2bd69b949ebb_622" localSheetId="3">#REF!</definedName>
    <definedName name="_vena_MultiSiteS1_MultiSiteB1_R_FV_42f34b52efc14701904e2bd69b949ebb_622">#REF!</definedName>
    <definedName name="_vena_MultiSiteS1_MultiSiteB1_R_FV_42f34b52efc14701904e2bd69b949ebb_623" localSheetId="4">#REF!</definedName>
    <definedName name="_vena_MultiSiteS1_MultiSiteB1_R_FV_42f34b52efc14701904e2bd69b949ebb_623" localSheetId="5">#REF!</definedName>
    <definedName name="_vena_MultiSiteS1_MultiSiteB1_R_FV_42f34b52efc14701904e2bd69b949ebb_623" localSheetId="8">'[1]FY26 MYP-Multisite'!#REF!</definedName>
    <definedName name="_vena_MultiSiteS1_MultiSiteB1_R_FV_42f34b52efc14701904e2bd69b949ebb_623" localSheetId="3">#REF!</definedName>
    <definedName name="_vena_MultiSiteS1_MultiSiteB1_R_FV_42f34b52efc14701904e2bd69b949ebb_623">#REF!</definedName>
    <definedName name="_vena_MultiSiteS1_MultiSiteB1_R_FV_42f34b52efc14701904e2bd69b949ebb_624" localSheetId="4">#REF!</definedName>
    <definedName name="_vena_MultiSiteS1_MultiSiteB1_R_FV_42f34b52efc14701904e2bd69b949ebb_624" localSheetId="5">#REF!</definedName>
    <definedName name="_vena_MultiSiteS1_MultiSiteB1_R_FV_42f34b52efc14701904e2bd69b949ebb_624" localSheetId="8">'[1]FY26 MYP-Multisite'!#REF!</definedName>
    <definedName name="_vena_MultiSiteS1_MultiSiteB1_R_FV_42f34b52efc14701904e2bd69b949ebb_624" localSheetId="3">#REF!</definedName>
    <definedName name="_vena_MultiSiteS1_MultiSiteB1_R_FV_42f34b52efc14701904e2bd69b949ebb_624">#REF!</definedName>
    <definedName name="_vena_MultiSiteS1_MultiSiteB1_R_FV_42f34b52efc14701904e2bd69b949ebb_625" localSheetId="4">#REF!</definedName>
    <definedName name="_vena_MultiSiteS1_MultiSiteB1_R_FV_42f34b52efc14701904e2bd69b949ebb_625" localSheetId="5">#REF!</definedName>
    <definedName name="_vena_MultiSiteS1_MultiSiteB1_R_FV_42f34b52efc14701904e2bd69b949ebb_625" localSheetId="8">'[1]FY26 MYP-Multisite'!#REF!</definedName>
    <definedName name="_vena_MultiSiteS1_MultiSiteB1_R_FV_42f34b52efc14701904e2bd69b949ebb_625" localSheetId="3">#REF!</definedName>
    <definedName name="_vena_MultiSiteS1_MultiSiteB1_R_FV_42f34b52efc14701904e2bd69b949ebb_625">#REF!</definedName>
    <definedName name="_vena_MultiSiteS1_MultiSiteB1_R_FV_42f34b52efc14701904e2bd69b949ebb_626" localSheetId="4">#REF!</definedName>
    <definedName name="_vena_MultiSiteS1_MultiSiteB1_R_FV_42f34b52efc14701904e2bd69b949ebb_626" localSheetId="5">#REF!</definedName>
    <definedName name="_vena_MultiSiteS1_MultiSiteB1_R_FV_42f34b52efc14701904e2bd69b949ebb_626" localSheetId="8">'[1]FY26 MYP-Multisite'!#REF!</definedName>
    <definedName name="_vena_MultiSiteS1_MultiSiteB1_R_FV_42f34b52efc14701904e2bd69b949ebb_626" localSheetId="3">#REF!</definedName>
    <definedName name="_vena_MultiSiteS1_MultiSiteB1_R_FV_42f34b52efc14701904e2bd69b949ebb_626">#REF!</definedName>
    <definedName name="_vena_MultiSiteS1_MultiSiteB1_R_FV_42f34b52efc14701904e2bd69b949ebb_627" localSheetId="4">#REF!</definedName>
    <definedName name="_vena_MultiSiteS1_MultiSiteB1_R_FV_42f34b52efc14701904e2bd69b949ebb_627" localSheetId="5">#REF!</definedName>
    <definedName name="_vena_MultiSiteS1_MultiSiteB1_R_FV_42f34b52efc14701904e2bd69b949ebb_627" localSheetId="8">'[1]FY26 MYP-Multisite'!#REF!</definedName>
    <definedName name="_vena_MultiSiteS1_MultiSiteB1_R_FV_42f34b52efc14701904e2bd69b949ebb_627" localSheetId="3">#REF!</definedName>
    <definedName name="_vena_MultiSiteS1_MultiSiteB1_R_FV_42f34b52efc14701904e2bd69b949ebb_627">#REF!</definedName>
    <definedName name="_vena_MultiSiteS1_MultiSiteB1_R_FV_42f34b52efc14701904e2bd69b949ebb_628" localSheetId="4">#REF!</definedName>
    <definedName name="_vena_MultiSiteS1_MultiSiteB1_R_FV_42f34b52efc14701904e2bd69b949ebb_628" localSheetId="5">#REF!</definedName>
    <definedName name="_vena_MultiSiteS1_MultiSiteB1_R_FV_42f34b52efc14701904e2bd69b949ebb_628" localSheetId="8">'[1]FY26 MYP-Multisite'!#REF!</definedName>
    <definedName name="_vena_MultiSiteS1_MultiSiteB1_R_FV_42f34b52efc14701904e2bd69b949ebb_628" localSheetId="3">#REF!</definedName>
    <definedName name="_vena_MultiSiteS1_MultiSiteB1_R_FV_42f34b52efc14701904e2bd69b949ebb_628">#REF!</definedName>
    <definedName name="_vena_MultiSiteS1_MultiSiteB1_R_FV_42f34b52efc14701904e2bd69b949ebb_629" localSheetId="4">#REF!</definedName>
    <definedName name="_vena_MultiSiteS1_MultiSiteB1_R_FV_42f34b52efc14701904e2bd69b949ebb_629" localSheetId="5">#REF!</definedName>
    <definedName name="_vena_MultiSiteS1_MultiSiteB1_R_FV_42f34b52efc14701904e2bd69b949ebb_629" localSheetId="8">'[1]FY26 MYP-Multisite'!#REF!</definedName>
    <definedName name="_vena_MultiSiteS1_MultiSiteB1_R_FV_42f34b52efc14701904e2bd69b949ebb_629" localSheetId="3">#REF!</definedName>
    <definedName name="_vena_MultiSiteS1_MultiSiteB1_R_FV_42f34b52efc14701904e2bd69b949ebb_629">#REF!</definedName>
    <definedName name="_vena_MultiSiteS1_MultiSiteB1_R_FV_42f34b52efc14701904e2bd69b949ebb_63">#REF!</definedName>
    <definedName name="_vena_MultiSiteS1_MultiSiteB1_R_FV_42f34b52efc14701904e2bd69b949ebb_630" localSheetId="4">#REF!</definedName>
    <definedName name="_vena_MultiSiteS1_MultiSiteB1_R_FV_42f34b52efc14701904e2bd69b949ebb_630" localSheetId="5">#REF!</definedName>
    <definedName name="_vena_MultiSiteS1_MultiSiteB1_R_FV_42f34b52efc14701904e2bd69b949ebb_630" localSheetId="8">'[1]FY26 MYP-Multisite'!#REF!</definedName>
    <definedName name="_vena_MultiSiteS1_MultiSiteB1_R_FV_42f34b52efc14701904e2bd69b949ebb_630" localSheetId="3">#REF!</definedName>
    <definedName name="_vena_MultiSiteS1_MultiSiteB1_R_FV_42f34b52efc14701904e2bd69b949ebb_630">#REF!</definedName>
    <definedName name="_vena_MultiSiteS1_MultiSiteB1_R_FV_42f34b52efc14701904e2bd69b949ebb_631" localSheetId="4">#REF!</definedName>
    <definedName name="_vena_MultiSiteS1_MultiSiteB1_R_FV_42f34b52efc14701904e2bd69b949ebb_631" localSheetId="5">#REF!</definedName>
    <definedName name="_vena_MultiSiteS1_MultiSiteB1_R_FV_42f34b52efc14701904e2bd69b949ebb_631" localSheetId="8">'[1]FY26 MYP-Multisite'!#REF!</definedName>
    <definedName name="_vena_MultiSiteS1_MultiSiteB1_R_FV_42f34b52efc14701904e2bd69b949ebb_631" localSheetId="3">#REF!</definedName>
    <definedName name="_vena_MultiSiteS1_MultiSiteB1_R_FV_42f34b52efc14701904e2bd69b949ebb_631">#REF!</definedName>
    <definedName name="_vena_MultiSiteS1_MultiSiteB1_R_FV_42f34b52efc14701904e2bd69b949ebb_632" localSheetId="4">#REF!</definedName>
    <definedName name="_vena_MultiSiteS1_MultiSiteB1_R_FV_42f34b52efc14701904e2bd69b949ebb_632" localSheetId="5">#REF!</definedName>
    <definedName name="_vena_MultiSiteS1_MultiSiteB1_R_FV_42f34b52efc14701904e2bd69b949ebb_632" localSheetId="8">'[1]FY26 MYP-Multisite'!#REF!</definedName>
    <definedName name="_vena_MultiSiteS1_MultiSiteB1_R_FV_42f34b52efc14701904e2bd69b949ebb_632" localSheetId="3">#REF!</definedName>
    <definedName name="_vena_MultiSiteS1_MultiSiteB1_R_FV_42f34b52efc14701904e2bd69b949ebb_632">#REF!</definedName>
    <definedName name="_vena_MultiSiteS1_MultiSiteB1_R_FV_42f34b52efc14701904e2bd69b949ebb_633" localSheetId="4">#REF!</definedName>
    <definedName name="_vena_MultiSiteS1_MultiSiteB1_R_FV_42f34b52efc14701904e2bd69b949ebb_633" localSheetId="5">#REF!</definedName>
    <definedName name="_vena_MultiSiteS1_MultiSiteB1_R_FV_42f34b52efc14701904e2bd69b949ebb_633" localSheetId="8">'[1]FY26 MYP-Multisite'!#REF!</definedName>
    <definedName name="_vena_MultiSiteS1_MultiSiteB1_R_FV_42f34b52efc14701904e2bd69b949ebb_633" localSheetId="3">#REF!</definedName>
    <definedName name="_vena_MultiSiteS1_MultiSiteB1_R_FV_42f34b52efc14701904e2bd69b949ebb_633">#REF!</definedName>
    <definedName name="_vena_MultiSiteS1_MultiSiteB1_R_FV_42f34b52efc14701904e2bd69b949ebb_634" localSheetId="4">#REF!</definedName>
    <definedName name="_vena_MultiSiteS1_MultiSiteB1_R_FV_42f34b52efc14701904e2bd69b949ebb_634" localSheetId="5">#REF!</definedName>
    <definedName name="_vena_MultiSiteS1_MultiSiteB1_R_FV_42f34b52efc14701904e2bd69b949ebb_634" localSheetId="8">'[1]FY26 MYP-Multisite'!#REF!</definedName>
    <definedName name="_vena_MultiSiteS1_MultiSiteB1_R_FV_42f34b52efc14701904e2bd69b949ebb_634" localSheetId="3">#REF!</definedName>
    <definedName name="_vena_MultiSiteS1_MultiSiteB1_R_FV_42f34b52efc14701904e2bd69b949ebb_634">#REF!</definedName>
    <definedName name="_vena_MultiSiteS1_MultiSiteB1_R_FV_42f34b52efc14701904e2bd69b949ebb_635" localSheetId="4">#REF!</definedName>
    <definedName name="_vena_MultiSiteS1_MultiSiteB1_R_FV_42f34b52efc14701904e2bd69b949ebb_635" localSheetId="5">#REF!</definedName>
    <definedName name="_vena_MultiSiteS1_MultiSiteB1_R_FV_42f34b52efc14701904e2bd69b949ebb_635" localSheetId="8">'[1]FY26 MYP-Multisite'!#REF!</definedName>
    <definedName name="_vena_MultiSiteS1_MultiSiteB1_R_FV_42f34b52efc14701904e2bd69b949ebb_635" localSheetId="3">#REF!</definedName>
    <definedName name="_vena_MultiSiteS1_MultiSiteB1_R_FV_42f34b52efc14701904e2bd69b949ebb_635">#REF!</definedName>
    <definedName name="_vena_MultiSiteS1_MultiSiteB1_R_FV_42f34b52efc14701904e2bd69b949ebb_636" localSheetId="4">#REF!</definedName>
    <definedName name="_vena_MultiSiteS1_MultiSiteB1_R_FV_42f34b52efc14701904e2bd69b949ebb_636" localSheetId="5">#REF!</definedName>
    <definedName name="_vena_MultiSiteS1_MultiSiteB1_R_FV_42f34b52efc14701904e2bd69b949ebb_636" localSheetId="8">'[1]FY26 MYP-Multisite'!#REF!</definedName>
    <definedName name="_vena_MultiSiteS1_MultiSiteB1_R_FV_42f34b52efc14701904e2bd69b949ebb_636" localSheetId="3">#REF!</definedName>
    <definedName name="_vena_MultiSiteS1_MultiSiteB1_R_FV_42f34b52efc14701904e2bd69b949ebb_636">#REF!</definedName>
    <definedName name="_vena_MultiSiteS1_MultiSiteB1_R_FV_42f34b52efc14701904e2bd69b949ebb_637" localSheetId="4">#REF!</definedName>
    <definedName name="_vena_MultiSiteS1_MultiSiteB1_R_FV_42f34b52efc14701904e2bd69b949ebb_637" localSheetId="5">#REF!</definedName>
    <definedName name="_vena_MultiSiteS1_MultiSiteB1_R_FV_42f34b52efc14701904e2bd69b949ebb_637" localSheetId="8">'[1]FY26 MYP-Multisite'!#REF!</definedName>
    <definedName name="_vena_MultiSiteS1_MultiSiteB1_R_FV_42f34b52efc14701904e2bd69b949ebb_637" localSheetId="3">#REF!</definedName>
    <definedName name="_vena_MultiSiteS1_MultiSiteB1_R_FV_42f34b52efc14701904e2bd69b949ebb_637">#REF!</definedName>
    <definedName name="_vena_MultiSiteS1_MultiSiteB1_R_FV_42f34b52efc14701904e2bd69b949ebb_638" localSheetId="4">#REF!</definedName>
    <definedName name="_vena_MultiSiteS1_MultiSiteB1_R_FV_42f34b52efc14701904e2bd69b949ebb_638" localSheetId="5">#REF!</definedName>
    <definedName name="_vena_MultiSiteS1_MultiSiteB1_R_FV_42f34b52efc14701904e2bd69b949ebb_638" localSheetId="8">'[1]FY26 MYP-Multisite'!#REF!</definedName>
    <definedName name="_vena_MultiSiteS1_MultiSiteB1_R_FV_42f34b52efc14701904e2bd69b949ebb_638" localSheetId="3">#REF!</definedName>
    <definedName name="_vena_MultiSiteS1_MultiSiteB1_R_FV_42f34b52efc14701904e2bd69b949ebb_638">#REF!</definedName>
    <definedName name="_vena_MultiSiteS1_MultiSiteB1_R_FV_42f34b52efc14701904e2bd69b949ebb_639" localSheetId="4">#REF!</definedName>
    <definedName name="_vena_MultiSiteS1_MultiSiteB1_R_FV_42f34b52efc14701904e2bd69b949ebb_639" localSheetId="5">#REF!</definedName>
    <definedName name="_vena_MultiSiteS1_MultiSiteB1_R_FV_42f34b52efc14701904e2bd69b949ebb_639" localSheetId="8">'[1]FY26 MYP-Multisite'!#REF!</definedName>
    <definedName name="_vena_MultiSiteS1_MultiSiteB1_R_FV_42f34b52efc14701904e2bd69b949ebb_639" localSheetId="3">#REF!</definedName>
    <definedName name="_vena_MultiSiteS1_MultiSiteB1_R_FV_42f34b52efc14701904e2bd69b949ebb_639">#REF!</definedName>
    <definedName name="_vena_MultiSiteS1_MultiSiteB1_R_FV_42f34b52efc14701904e2bd69b949ebb_64">#REF!</definedName>
    <definedName name="_vena_MultiSiteS1_MultiSiteB1_R_FV_42f34b52efc14701904e2bd69b949ebb_640" localSheetId="4">#REF!</definedName>
    <definedName name="_vena_MultiSiteS1_MultiSiteB1_R_FV_42f34b52efc14701904e2bd69b949ebb_640" localSheetId="5">#REF!</definedName>
    <definedName name="_vena_MultiSiteS1_MultiSiteB1_R_FV_42f34b52efc14701904e2bd69b949ebb_640" localSheetId="8">'[1]FY26 MYP-Multisite'!#REF!</definedName>
    <definedName name="_vena_MultiSiteS1_MultiSiteB1_R_FV_42f34b52efc14701904e2bd69b949ebb_640" localSheetId="3">#REF!</definedName>
    <definedName name="_vena_MultiSiteS1_MultiSiteB1_R_FV_42f34b52efc14701904e2bd69b949ebb_640">#REF!</definedName>
    <definedName name="_vena_MultiSiteS1_MultiSiteB1_R_FV_42f34b52efc14701904e2bd69b949ebb_641" localSheetId="4">#REF!</definedName>
    <definedName name="_vena_MultiSiteS1_MultiSiteB1_R_FV_42f34b52efc14701904e2bd69b949ebb_641" localSheetId="5">#REF!</definedName>
    <definedName name="_vena_MultiSiteS1_MultiSiteB1_R_FV_42f34b52efc14701904e2bd69b949ebb_641" localSheetId="8">'[1]FY26 MYP-Multisite'!#REF!</definedName>
    <definedName name="_vena_MultiSiteS1_MultiSiteB1_R_FV_42f34b52efc14701904e2bd69b949ebb_641" localSheetId="3">#REF!</definedName>
    <definedName name="_vena_MultiSiteS1_MultiSiteB1_R_FV_42f34b52efc14701904e2bd69b949ebb_641">#REF!</definedName>
    <definedName name="_vena_MultiSiteS1_MultiSiteB1_R_FV_42f34b52efc14701904e2bd69b949ebb_642" localSheetId="4">#REF!</definedName>
    <definedName name="_vena_MultiSiteS1_MultiSiteB1_R_FV_42f34b52efc14701904e2bd69b949ebb_642" localSheetId="5">#REF!</definedName>
    <definedName name="_vena_MultiSiteS1_MultiSiteB1_R_FV_42f34b52efc14701904e2bd69b949ebb_642" localSheetId="8">'[1]FY26 MYP-Multisite'!#REF!</definedName>
    <definedName name="_vena_MultiSiteS1_MultiSiteB1_R_FV_42f34b52efc14701904e2bd69b949ebb_642" localSheetId="3">#REF!</definedName>
    <definedName name="_vena_MultiSiteS1_MultiSiteB1_R_FV_42f34b52efc14701904e2bd69b949ebb_642">#REF!</definedName>
    <definedName name="_vena_MultiSiteS1_MultiSiteB1_R_FV_42f34b52efc14701904e2bd69b949ebb_643" localSheetId="4">#REF!</definedName>
    <definedName name="_vena_MultiSiteS1_MultiSiteB1_R_FV_42f34b52efc14701904e2bd69b949ebb_643" localSheetId="5">#REF!</definedName>
    <definedName name="_vena_MultiSiteS1_MultiSiteB1_R_FV_42f34b52efc14701904e2bd69b949ebb_643" localSheetId="8">'[1]FY26 MYP-Multisite'!#REF!</definedName>
    <definedName name="_vena_MultiSiteS1_MultiSiteB1_R_FV_42f34b52efc14701904e2bd69b949ebb_643" localSheetId="3">#REF!</definedName>
    <definedName name="_vena_MultiSiteS1_MultiSiteB1_R_FV_42f34b52efc14701904e2bd69b949ebb_643">#REF!</definedName>
    <definedName name="_vena_MultiSiteS1_MultiSiteB1_R_FV_42f34b52efc14701904e2bd69b949ebb_644" localSheetId="4">#REF!</definedName>
    <definedName name="_vena_MultiSiteS1_MultiSiteB1_R_FV_42f34b52efc14701904e2bd69b949ebb_644" localSheetId="5">#REF!</definedName>
    <definedName name="_vena_MultiSiteS1_MultiSiteB1_R_FV_42f34b52efc14701904e2bd69b949ebb_644" localSheetId="8">'[1]FY26 MYP-Multisite'!#REF!</definedName>
    <definedName name="_vena_MultiSiteS1_MultiSiteB1_R_FV_42f34b52efc14701904e2bd69b949ebb_644" localSheetId="3">#REF!</definedName>
    <definedName name="_vena_MultiSiteS1_MultiSiteB1_R_FV_42f34b52efc14701904e2bd69b949ebb_644">#REF!</definedName>
    <definedName name="_vena_MultiSiteS1_MultiSiteB1_R_FV_42f34b52efc14701904e2bd69b949ebb_645" localSheetId="4">#REF!</definedName>
    <definedName name="_vena_MultiSiteS1_MultiSiteB1_R_FV_42f34b52efc14701904e2bd69b949ebb_645" localSheetId="5">#REF!</definedName>
    <definedName name="_vena_MultiSiteS1_MultiSiteB1_R_FV_42f34b52efc14701904e2bd69b949ebb_645" localSheetId="8">'[1]FY26 MYP-Multisite'!#REF!</definedName>
    <definedName name="_vena_MultiSiteS1_MultiSiteB1_R_FV_42f34b52efc14701904e2bd69b949ebb_645" localSheetId="3">#REF!</definedName>
    <definedName name="_vena_MultiSiteS1_MultiSiteB1_R_FV_42f34b52efc14701904e2bd69b949ebb_645">#REF!</definedName>
    <definedName name="_vena_MultiSiteS1_MultiSiteB1_R_FV_42f34b52efc14701904e2bd69b949ebb_646" localSheetId="4">#REF!</definedName>
    <definedName name="_vena_MultiSiteS1_MultiSiteB1_R_FV_42f34b52efc14701904e2bd69b949ebb_646" localSheetId="5">#REF!</definedName>
    <definedName name="_vena_MultiSiteS1_MultiSiteB1_R_FV_42f34b52efc14701904e2bd69b949ebb_646" localSheetId="8">'[1]FY26 MYP-Multisite'!#REF!</definedName>
    <definedName name="_vena_MultiSiteS1_MultiSiteB1_R_FV_42f34b52efc14701904e2bd69b949ebb_646" localSheetId="3">#REF!</definedName>
    <definedName name="_vena_MultiSiteS1_MultiSiteB1_R_FV_42f34b52efc14701904e2bd69b949ebb_646">#REF!</definedName>
    <definedName name="_vena_MultiSiteS1_MultiSiteB1_R_FV_42f34b52efc14701904e2bd69b949ebb_647" localSheetId="4">#REF!</definedName>
    <definedName name="_vena_MultiSiteS1_MultiSiteB1_R_FV_42f34b52efc14701904e2bd69b949ebb_647" localSheetId="5">#REF!</definedName>
    <definedName name="_vena_MultiSiteS1_MultiSiteB1_R_FV_42f34b52efc14701904e2bd69b949ebb_647" localSheetId="8">'[1]FY26 MYP-Multisite'!#REF!</definedName>
    <definedName name="_vena_MultiSiteS1_MultiSiteB1_R_FV_42f34b52efc14701904e2bd69b949ebb_647" localSheetId="3">#REF!</definedName>
    <definedName name="_vena_MultiSiteS1_MultiSiteB1_R_FV_42f34b52efc14701904e2bd69b949ebb_647">#REF!</definedName>
    <definedName name="_vena_MultiSiteS1_MultiSiteB1_R_FV_42f34b52efc14701904e2bd69b949ebb_648" localSheetId="4">#REF!</definedName>
    <definedName name="_vena_MultiSiteS1_MultiSiteB1_R_FV_42f34b52efc14701904e2bd69b949ebb_648" localSheetId="5">#REF!</definedName>
    <definedName name="_vena_MultiSiteS1_MultiSiteB1_R_FV_42f34b52efc14701904e2bd69b949ebb_648" localSheetId="8">'[1]FY26 MYP-Multisite'!#REF!</definedName>
    <definedName name="_vena_MultiSiteS1_MultiSiteB1_R_FV_42f34b52efc14701904e2bd69b949ebb_648" localSheetId="3">#REF!</definedName>
    <definedName name="_vena_MultiSiteS1_MultiSiteB1_R_FV_42f34b52efc14701904e2bd69b949ebb_648">#REF!</definedName>
    <definedName name="_vena_MultiSiteS1_MultiSiteB1_R_FV_42f34b52efc14701904e2bd69b949ebb_649" localSheetId="4">#REF!</definedName>
    <definedName name="_vena_MultiSiteS1_MultiSiteB1_R_FV_42f34b52efc14701904e2bd69b949ebb_649" localSheetId="5">#REF!</definedName>
    <definedName name="_vena_MultiSiteS1_MultiSiteB1_R_FV_42f34b52efc14701904e2bd69b949ebb_649" localSheetId="8">'[1]FY26 MYP-Multisite'!#REF!</definedName>
    <definedName name="_vena_MultiSiteS1_MultiSiteB1_R_FV_42f34b52efc14701904e2bd69b949ebb_649" localSheetId="3">#REF!</definedName>
    <definedName name="_vena_MultiSiteS1_MultiSiteB1_R_FV_42f34b52efc14701904e2bd69b949ebb_649">#REF!</definedName>
    <definedName name="_vena_MultiSiteS1_MultiSiteB1_R_FV_42f34b52efc14701904e2bd69b949ebb_65">#REF!</definedName>
    <definedName name="_vena_MultiSiteS1_MultiSiteB1_R_FV_42f34b52efc14701904e2bd69b949ebb_650" localSheetId="4">#REF!</definedName>
    <definedName name="_vena_MultiSiteS1_MultiSiteB1_R_FV_42f34b52efc14701904e2bd69b949ebb_650" localSheetId="5">#REF!</definedName>
    <definedName name="_vena_MultiSiteS1_MultiSiteB1_R_FV_42f34b52efc14701904e2bd69b949ebb_650" localSheetId="8">'[1]FY26 MYP-Multisite'!#REF!</definedName>
    <definedName name="_vena_MultiSiteS1_MultiSiteB1_R_FV_42f34b52efc14701904e2bd69b949ebb_650" localSheetId="3">#REF!</definedName>
    <definedName name="_vena_MultiSiteS1_MultiSiteB1_R_FV_42f34b52efc14701904e2bd69b949ebb_650">#REF!</definedName>
    <definedName name="_vena_MultiSiteS1_MultiSiteB1_R_FV_42f34b52efc14701904e2bd69b949ebb_651" localSheetId="4">#REF!</definedName>
    <definedName name="_vena_MultiSiteS1_MultiSiteB1_R_FV_42f34b52efc14701904e2bd69b949ebb_651" localSheetId="5">#REF!</definedName>
    <definedName name="_vena_MultiSiteS1_MultiSiteB1_R_FV_42f34b52efc14701904e2bd69b949ebb_651" localSheetId="8">'[1]FY26 MYP-Multisite'!#REF!</definedName>
    <definedName name="_vena_MultiSiteS1_MultiSiteB1_R_FV_42f34b52efc14701904e2bd69b949ebb_651" localSheetId="3">#REF!</definedName>
    <definedName name="_vena_MultiSiteS1_MultiSiteB1_R_FV_42f34b52efc14701904e2bd69b949ebb_651">#REF!</definedName>
    <definedName name="_vena_MultiSiteS1_MultiSiteB1_R_FV_42f34b52efc14701904e2bd69b949ebb_652" localSheetId="4">#REF!</definedName>
    <definedName name="_vena_MultiSiteS1_MultiSiteB1_R_FV_42f34b52efc14701904e2bd69b949ebb_652" localSheetId="5">#REF!</definedName>
    <definedName name="_vena_MultiSiteS1_MultiSiteB1_R_FV_42f34b52efc14701904e2bd69b949ebb_652" localSheetId="8">'[1]FY26 MYP-Multisite'!#REF!</definedName>
    <definedName name="_vena_MultiSiteS1_MultiSiteB1_R_FV_42f34b52efc14701904e2bd69b949ebb_652" localSheetId="3">#REF!</definedName>
    <definedName name="_vena_MultiSiteS1_MultiSiteB1_R_FV_42f34b52efc14701904e2bd69b949ebb_652">#REF!</definedName>
    <definedName name="_vena_MultiSiteS1_MultiSiteB1_R_FV_42f34b52efc14701904e2bd69b949ebb_653" localSheetId="4">#REF!</definedName>
    <definedName name="_vena_MultiSiteS1_MultiSiteB1_R_FV_42f34b52efc14701904e2bd69b949ebb_653" localSheetId="5">#REF!</definedName>
    <definedName name="_vena_MultiSiteS1_MultiSiteB1_R_FV_42f34b52efc14701904e2bd69b949ebb_653" localSheetId="8">'[1]FY26 MYP-Multisite'!#REF!</definedName>
    <definedName name="_vena_MultiSiteS1_MultiSiteB1_R_FV_42f34b52efc14701904e2bd69b949ebb_653" localSheetId="3">#REF!</definedName>
    <definedName name="_vena_MultiSiteS1_MultiSiteB1_R_FV_42f34b52efc14701904e2bd69b949ebb_653">#REF!</definedName>
    <definedName name="_vena_MultiSiteS1_MultiSiteB1_R_FV_42f34b52efc14701904e2bd69b949ebb_654" localSheetId="4">#REF!</definedName>
    <definedName name="_vena_MultiSiteS1_MultiSiteB1_R_FV_42f34b52efc14701904e2bd69b949ebb_654" localSheetId="5">#REF!</definedName>
    <definedName name="_vena_MultiSiteS1_MultiSiteB1_R_FV_42f34b52efc14701904e2bd69b949ebb_654" localSheetId="8">'[1]FY26 MYP-Multisite'!#REF!</definedName>
    <definedName name="_vena_MultiSiteS1_MultiSiteB1_R_FV_42f34b52efc14701904e2bd69b949ebb_654" localSheetId="3">#REF!</definedName>
    <definedName name="_vena_MultiSiteS1_MultiSiteB1_R_FV_42f34b52efc14701904e2bd69b949ebb_654">#REF!</definedName>
    <definedName name="_vena_MultiSiteS1_MultiSiteB1_R_FV_42f34b52efc14701904e2bd69b949ebb_655" localSheetId="4">#REF!</definedName>
    <definedName name="_vena_MultiSiteS1_MultiSiteB1_R_FV_42f34b52efc14701904e2bd69b949ebb_655" localSheetId="5">#REF!</definedName>
    <definedName name="_vena_MultiSiteS1_MultiSiteB1_R_FV_42f34b52efc14701904e2bd69b949ebb_655" localSheetId="8">'[1]FY26 MYP-Multisite'!#REF!</definedName>
    <definedName name="_vena_MultiSiteS1_MultiSiteB1_R_FV_42f34b52efc14701904e2bd69b949ebb_655" localSheetId="3">#REF!</definedName>
    <definedName name="_vena_MultiSiteS1_MultiSiteB1_R_FV_42f34b52efc14701904e2bd69b949ebb_655">#REF!</definedName>
    <definedName name="_vena_MultiSiteS1_MultiSiteB1_R_FV_42f34b52efc14701904e2bd69b949ebb_656" localSheetId="4">#REF!</definedName>
    <definedName name="_vena_MultiSiteS1_MultiSiteB1_R_FV_42f34b52efc14701904e2bd69b949ebb_656" localSheetId="5">#REF!</definedName>
    <definedName name="_vena_MultiSiteS1_MultiSiteB1_R_FV_42f34b52efc14701904e2bd69b949ebb_656" localSheetId="8">'[1]FY26 MYP-Multisite'!#REF!</definedName>
    <definedName name="_vena_MultiSiteS1_MultiSiteB1_R_FV_42f34b52efc14701904e2bd69b949ebb_656" localSheetId="3">#REF!</definedName>
    <definedName name="_vena_MultiSiteS1_MultiSiteB1_R_FV_42f34b52efc14701904e2bd69b949ebb_656">#REF!</definedName>
    <definedName name="_vena_MultiSiteS1_MultiSiteB1_R_FV_42f34b52efc14701904e2bd69b949ebb_657" localSheetId="4">#REF!</definedName>
    <definedName name="_vena_MultiSiteS1_MultiSiteB1_R_FV_42f34b52efc14701904e2bd69b949ebb_657" localSheetId="5">#REF!</definedName>
    <definedName name="_vena_MultiSiteS1_MultiSiteB1_R_FV_42f34b52efc14701904e2bd69b949ebb_657" localSheetId="8">'[1]FY26 MYP-Multisite'!#REF!</definedName>
    <definedName name="_vena_MultiSiteS1_MultiSiteB1_R_FV_42f34b52efc14701904e2bd69b949ebb_657" localSheetId="3">#REF!</definedName>
    <definedName name="_vena_MultiSiteS1_MultiSiteB1_R_FV_42f34b52efc14701904e2bd69b949ebb_657">#REF!</definedName>
    <definedName name="_vena_MultiSiteS1_MultiSiteB1_R_FV_42f34b52efc14701904e2bd69b949ebb_658" localSheetId="4">#REF!</definedName>
    <definedName name="_vena_MultiSiteS1_MultiSiteB1_R_FV_42f34b52efc14701904e2bd69b949ebb_658" localSheetId="5">#REF!</definedName>
    <definedName name="_vena_MultiSiteS1_MultiSiteB1_R_FV_42f34b52efc14701904e2bd69b949ebb_658" localSheetId="8">'[1]FY26 MYP-Multisite'!#REF!</definedName>
    <definedName name="_vena_MultiSiteS1_MultiSiteB1_R_FV_42f34b52efc14701904e2bd69b949ebb_658" localSheetId="3">#REF!</definedName>
    <definedName name="_vena_MultiSiteS1_MultiSiteB1_R_FV_42f34b52efc14701904e2bd69b949ebb_658">#REF!</definedName>
    <definedName name="_vena_MultiSiteS1_MultiSiteB1_R_FV_42f34b52efc14701904e2bd69b949ebb_659" localSheetId="4">#REF!</definedName>
    <definedName name="_vena_MultiSiteS1_MultiSiteB1_R_FV_42f34b52efc14701904e2bd69b949ebb_659" localSheetId="5">#REF!</definedName>
    <definedName name="_vena_MultiSiteS1_MultiSiteB1_R_FV_42f34b52efc14701904e2bd69b949ebb_659" localSheetId="8">'[1]FY26 MYP-Multisite'!#REF!</definedName>
    <definedName name="_vena_MultiSiteS1_MultiSiteB1_R_FV_42f34b52efc14701904e2bd69b949ebb_659" localSheetId="3">#REF!</definedName>
    <definedName name="_vena_MultiSiteS1_MultiSiteB1_R_FV_42f34b52efc14701904e2bd69b949ebb_659">#REF!</definedName>
    <definedName name="_vena_MultiSiteS1_MultiSiteB1_R_FV_42f34b52efc14701904e2bd69b949ebb_66">#REF!</definedName>
    <definedName name="_vena_MultiSiteS1_MultiSiteB1_R_FV_42f34b52efc14701904e2bd69b949ebb_660" localSheetId="4">#REF!</definedName>
    <definedName name="_vena_MultiSiteS1_MultiSiteB1_R_FV_42f34b52efc14701904e2bd69b949ebb_660" localSheetId="5">#REF!</definedName>
    <definedName name="_vena_MultiSiteS1_MultiSiteB1_R_FV_42f34b52efc14701904e2bd69b949ebb_660" localSheetId="8">'[1]FY26 MYP-Multisite'!#REF!</definedName>
    <definedName name="_vena_MultiSiteS1_MultiSiteB1_R_FV_42f34b52efc14701904e2bd69b949ebb_660" localSheetId="3">#REF!</definedName>
    <definedName name="_vena_MultiSiteS1_MultiSiteB1_R_FV_42f34b52efc14701904e2bd69b949ebb_660">#REF!</definedName>
    <definedName name="_vena_MultiSiteS1_MultiSiteB1_R_FV_42f34b52efc14701904e2bd69b949ebb_661" localSheetId="4">#REF!</definedName>
    <definedName name="_vena_MultiSiteS1_MultiSiteB1_R_FV_42f34b52efc14701904e2bd69b949ebb_661" localSheetId="5">#REF!</definedName>
    <definedName name="_vena_MultiSiteS1_MultiSiteB1_R_FV_42f34b52efc14701904e2bd69b949ebb_661" localSheetId="8">'[1]FY26 MYP-Multisite'!#REF!</definedName>
    <definedName name="_vena_MultiSiteS1_MultiSiteB1_R_FV_42f34b52efc14701904e2bd69b949ebb_661" localSheetId="3">#REF!</definedName>
    <definedName name="_vena_MultiSiteS1_MultiSiteB1_R_FV_42f34b52efc14701904e2bd69b949ebb_661">#REF!</definedName>
    <definedName name="_vena_MultiSiteS1_MultiSiteB1_R_FV_42f34b52efc14701904e2bd69b949ebb_662" localSheetId="4">#REF!</definedName>
    <definedName name="_vena_MultiSiteS1_MultiSiteB1_R_FV_42f34b52efc14701904e2bd69b949ebb_662" localSheetId="5">#REF!</definedName>
    <definedName name="_vena_MultiSiteS1_MultiSiteB1_R_FV_42f34b52efc14701904e2bd69b949ebb_662" localSheetId="8">'[1]FY26 MYP-Multisite'!#REF!</definedName>
    <definedName name="_vena_MultiSiteS1_MultiSiteB1_R_FV_42f34b52efc14701904e2bd69b949ebb_662" localSheetId="3">#REF!</definedName>
    <definedName name="_vena_MultiSiteS1_MultiSiteB1_R_FV_42f34b52efc14701904e2bd69b949ebb_662">#REF!</definedName>
    <definedName name="_vena_MultiSiteS1_MultiSiteB1_R_FV_42f34b52efc14701904e2bd69b949ebb_663" localSheetId="4">#REF!</definedName>
    <definedName name="_vena_MultiSiteS1_MultiSiteB1_R_FV_42f34b52efc14701904e2bd69b949ebb_663" localSheetId="5">#REF!</definedName>
    <definedName name="_vena_MultiSiteS1_MultiSiteB1_R_FV_42f34b52efc14701904e2bd69b949ebb_663" localSheetId="8">'[1]FY26 MYP-Multisite'!#REF!</definedName>
    <definedName name="_vena_MultiSiteS1_MultiSiteB1_R_FV_42f34b52efc14701904e2bd69b949ebb_663" localSheetId="3">#REF!</definedName>
    <definedName name="_vena_MultiSiteS1_MultiSiteB1_R_FV_42f34b52efc14701904e2bd69b949ebb_663">#REF!</definedName>
    <definedName name="_vena_MultiSiteS1_MultiSiteB1_R_FV_42f34b52efc14701904e2bd69b949ebb_664" localSheetId="4">#REF!</definedName>
    <definedName name="_vena_MultiSiteS1_MultiSiteB1_R_FV_42f34b52efc14701904e2bd69b949ebb_664" localSheetId="5">#REF!</definedName>
    <definedName name="_vena_MultiSiteS1_MultiSiteB1_R_FV_42f34b52efc14701904e2bd69b949ebb_664" localSheetId="8">'[1]FY26 MYP-Multisite'!#REF!</definedName>
    <definedName name="_vena_MultiSiteS1_MultiSiteB1_R_FV_42f34b52efc14701904e2bd69b949ebb_664" localSheetId="3">#REF!</definedName>
    <definedName name="_vena_MultiSiteS1_MultiSiteB1_R_FV_42f34b52efc14701904e2bd69b949ebb_664">#REF!</definedName>
    <definedName name="_vena_MultiSiteS1_MultiSiteB1_R_FV_42f34b52efc14701904e2bd69b949ebb_665" localSheetId="4">#REF!</definedName>
    <definedName name="_vena_MultiSiteS1_MultiSiteB1_R_FV_42f34b52efc14701904e2bd69b949ebb_665" localSheetId="5">#REF!</definedName>
    <definedName name="_vena_MultiSiteS1_MultiSiteB1_R_FV_42f34b52efc14701904e2bd69b949ebb_665" localSheetId="8">'[1]FY26 MYP-Multisite'!#REF!</definedName>
    <definedName name="_vena_MultiSiteS1_MultiSiteB1_R_FV_42f34b52efc14701904e2bd69b949ebb_665" localSheetId="3">#REF!</definedName>
    <definedName name="_vena_MultiSiteS1_MultiSiteB1_R_FV_42f34b52efc14701904e2bd69b949ebb_665">#REF!</definedName>
    <definedName name="_vena_MultiSiteS1_MultiSiteB1_R_FV_42f34b52efc14701904e2bd69b949ebb_666" localSheetId="4">#REF!</definedName>
    <definedName name="_vena_MultiSiteS1_MultiSiteB1_R_FV_42f34b52efc14701904e2bd69b949ebb_666" localSheetId="5">#REF!</definedName>
    <definedName name="_vena_MultiSiteS1_MultiSiteB1_R_FV_42f34b52efc14701904e2bd69b949ebb_666" localSheetId="8">'[1]FY26 MYP-Multisite'!#REF!</definedName>
    <definedName name="_vena_MultiSiteS1_MultiSiteB1_R_FV_42f34b52efc14701904e2bd69b949ebb_666" localSheetId="3">#REF!</definedName>
    <definedName name="_vena_MultiSiteS1_MultiSiteB1_R_FV_42f34b52efc14701904e2bd69b949ebb_666">#REF!</definedName>
    <definedName name="_vena_MultiSiteS1_MultiSiteB1_R_FV_42f34b52efc14701904e2bd69b949ebb_667" localSheetId="4">#REF!</definedName>
    <definedName name="_vena_MultiSiteS1_MultiSiteB1_R_FV_42f34b52efc14701904e2bd69b949ebb_667" localSheetId="5">#REF!</definedName>
    <definedName name="_vena_MultiSiteS1_MultiSiteB1_R_FV_42f34b52efc14701904e2bd69b949ebb_667" localSheetId="8">'[1]FY26 MYP-Multisite'!#REF!</definedName>
    <definedName name="_vena_MultiSiteS1_MultiSiteB1_R_FV_42f34b52efc14701904e2bd69b949ebb_667" localSheetId="3">#REF!</definedName>
    <definedName name="_vena_MultiSiteS1_MultiSiteB1_R_FV_42f34b52efc14701904e2bd69b949ebb_667">#REF!</definedName>
    <definedName name="_vena_MultiSiteS1_MultiSiteB1_R_FV_42f34b52efc14701904e2bd69b949ebb_668" localSheetId="4">#REF!</definedName>
    <definedName name="_vena_MultiSiteS1_MultiSiteB1_R_FV_42f34b52efc14701904e2bd69b949ebb_668" localSheetId="5">#REF!</definedName>
    <definedName name="_vena_MultiSiteS1_MultiSiteB1_R_FV_42f34b52efc14701904e2bd69b949ebb_668" localSheetId="8">'[1]FY26 MYP-Multisite'!#REF!</definedName>
    <definedName name="_vena_MultiSiteS1_MultiSiteB1_R_FV_42f34b52efc14701904e2bd69b949ebb_668" localSheetId="3">#REF!</definedName>
    <definedName name="_vena_MultiSiteS1_MultiSiteB1_R_FV_42f34b52efc14701904e2bd69b949ebb_668">#REF!</definedName>
    <definedName name="_vena_MultiSiteS1_MultiSiteB1_R_FV_42f34b52efc14701904e2bd69b949ebb_669" localSheetId="4">#REF!</definedName>
    <definedName name="_vena_MultiSiteS1_MultiSiteB1_R_FV_42f34b52efc14701904e2bd69b949ebb_669" localSheetId="5">#REF!</definedName>
    <definedName name="_vena_MultiSiteS1_MultiSiteB1_R_FV_42f34b52efc14701904e2bd69b949ebb_669" localSheetId="8">'[1]FY26 MYP-Multisite'!#REF!</definedName>
    <definedName name="_vena_MultiSiteS1_MultiSiteB1_R_FV_42f34b52efc14701904e2bd69b949ebb_669" localSheetId="3">#REF!</definedName>
    <definedName name="_vena_MultiSiteS1_MultiSiteB1_R_FV_42f34b52efc14701904e2bd69b949ebb_669">#REF!</definedName>
    <definedName name="_vena_MultiSiteS1_MultiSiteB1_R_FV_42f34b52efc14701904e2bd69b949ebb_67">#REF!</definedName>
    <definedName name="_vena_MultiSiteS1_MultiSiteB1_R_FV_42f34b52efc14701904e2bd69b949ebb_670" localSheetId="4">#REF!</definedName>
    <definedName name="_vena_MultiSiteS1_MultiSiteB1_R_FV_42f34b52efc14701904e2bd69b949ebb_670" localSheetId="5">#REF!</definedName>
    <definedName name="_vena_MultiSiteS1_MultiSiteB1_R_FV_42f34b52efc14701904e2bd69b949ebb_670" localSheetId="8">'[1]FY26 MYP-Multisite'!#REF!</definedName>
    <definedName name="_vena_MultiSiteS1_MultiSiteB1_R_FV_42f34b52efc14701904e2bd69b949ebb_670" localSheetId="3">#REF!</definedName>
    <definedName name="_vena_MultiSiteS1_MultiSiteB1_R_FV_42f34b52efc14701904e2bd69b949ebb_670">#REF!</definedName>
    <definedName name="_vena_MultiSiteS1_MultiSiteB1_R_FV_42f34b52efc14701904e2bd69b949ebb_671" localSheetId="4">#REF!</definedName>
    <definedName name="_vena_MultiSiteS1_MultiSiteB1_R_FV_42f34b52efc14701904e2bd69b949ebb_671" localSheetId="5">#REF!</definedName>
    <definedName name="_vena_MultiSiteS1_MultiSiteB1_R_FV_42f34b52efc14701904e2bd69b949ebb_671" localSheetId="8">'[1]FY26 MYP-Multisite'!#REF!</definedName>
    <definedName name="_vena_MultiSiteS1_MultiSiteB1_R_FV_42f34b52efc14701904e2bd69b949ebb_671" localSheetId="3">#REF!</definedName>
    <definedName name="_vena_MultiSiteS1_MultiSiteB1_R_FV_42f34b52efc14701904e2bd69b949ebb_671">#REF!</definedName>
    <definedName name="_vena_MultiSiteS1_MultiSiteB1_R_FV_42f34b52efc14701904e2bd69b949ebb_672" localSheetId="4">#REF!</definedName>
    <definedName name="_vena_MultiSiteS1_MultiSiteB1_R_FV_42f34b52efc14701904e2bd69b949ebb_672" localSheetId="5">#REF!</definedName>
    <definedName name="_vena_MultiSiteS1_MultiSiteB1_R_FV_42f34b52efc14701904e2bd69b949ebb_672" localSheetId="8">'[1]FY26 MYP-Multisite'!#REF!</definedName>
    <definedName name="_vena_MultiSiteS1_MultiSiteB1_R_FV_42f34b52efc14701904e2bd69b949ebb_672" localSheetId="3">#REF!</definedName>
    <definedName name="_vena_MultiSiteS1_MultiSiteB1_R_FV_42f34b52efc14701904e2bd69b949ebb_672">#REF!</definedName>
    <definedName name="_vena_MultiSiteS1_MultiSiteB1_R_FV_42f34b52efc14701904e2bd69b949ebb_673" localSheetId="4">#REF!</definedName>
    <definedName name="_vena_MultiSiteS1_MultiSiteB1_R_FV_42f34b52efc14701904e2bd69b949ebb_673" localSheetId="5">#REF!</definedName>
    <definedName name="_vena_MultiSiteS1_MultiSiteB1_R_FV_42f34b52efc14701904e2bd69b949ebb_673" localSheetId="8">'[1]FY26 MYP-Multisite'!#REF!</definedName>
    <definedName name="_vena_MultiSiteS1_MultiSiteB1_R_FV_42f34b52efc14701904e2bd69b949ebb_673" localSheetId="3">#REF!</definedName>
    <definedName name="_vena_MultiSiteS1_MultiSiteB1_R_FV_42f34b52efc14701904e2bd69b949ebb_673">#REF!</definedName>
    <definedName name="_vena_MultiSiteS1_MultiSiteB1_R_FV_42f34b52efc14701904e2bd69b949ebb_674" localSheetId="4">#REF!</definedName>
    <definedName name="_vena_MultiSiteS1_MultiSiteB1_R_FV_42f34b52efc14701904e2bd69b949ebb_674" localSheetId="5">#REF!</definedName>
    <definedName name="_vena_MultiSiteS1_MultiSiteB1_R_FV_42f34b52efc14701904e2bd69b949ebb_674" localSheetId="8">'[1]FY26 MYP-Multisite'!#REF!</definedName>
    <definedName name="_vena_MultiSiteS1_MultiSiteB1_R_FV_42f34b52efc14701904e2bd69b949ebb_674" localSheetId="3">#REF!</definedName>
    <definedName name="_vena_MultiSiteS1_MultiSiteB1_R_FV_42f34b52efc14701904e2bd69b949ebb_674">#REF!</definedName>
    <definedName name="_vena_MultiSiteS1_MultiSiteB1_R_FV_42f34b52efc14701904e2bd69b949ebb_675" localSheetId="4">#REF!</definedName>
    <definedName name="_vena_MultiSiteS1_MultiSiteB1_R_FV_42f34b52efc14701904e2bd69b949ebb_675" localSheetId="5">#REF!</definedName>
    <definedName name="_vena_MultiSiteS1_MultiSiteB1_R_FV_42f34b52efc14701904e2bd69b949ebb_675" localSheetId="8">'[1]FY26 MYP-Multisite'!#REF!</definedName>
    <definedName name="_vena_MultiSiteS1_MultiSiteB1_R_FV_42f34b52efc14701904e2bd69b949ebb_675" localSheetId="3">#REF!</definedName>
    <definedName name="_vena_MultiSiteS1_MultiSiteB1_R_FV_42f34b52efc14701904e2bd69b949ebb_675">#REF!</definedName>
    <definedName name="_vena_MultiSiteS1_MultiSiteB1_R_FV_42f34b52efc14701904e2bd69b949ebb_676" localSheetId="4">#REF!</definedName>
    <definedName name="_vena_MultiSiteS1_MultiSiteB1_R_FV_42f34b52efc14701904e2bd69b949ebb_676" localSheetId="5">#REF!</definedName>
    <definedName name="_vena_MultiSiteS1_MultiSiteB1_R_FV_42f34b52efc14701904e2bd69b949ebb_676" localSheetId="8">'[1]FY26 MYP-Multisite'!#REF!</definedName>
    <definedName name="_vena_MultiSiteS1_MultiSiteB1_R_FV_42f34b52efc14701904e2bd69b949ebb_676" localSheetId="3">#REF!</definedName>
    <definedName name="_vena_MultiSiteS1_MultiSiteB1_R_FV_42f34b52efc14701904e2bd69b949ebb_676">#REF!</definedName>
    <definedName name="_vena_MultiSiteS1_MultiSiteB1_R_FV_42f34b52efc14701904e2bd69b949ebb_677" localSheetId="4">#REF!</definedName>
    <definedName name="_vena_MultiSiteS1_MultiSiteB1_R_FV_42f34b52efc14701904e2bd69b949ebb_677" localSheetId="5">#REF!</definedName>
    <definedName name="_vena_MultiSiteS1_MultiSiteB1_R_FV_42f34b52efc14701904e2bd69b949ebb_677" localSheetId="8">'[1]FY26 MYP-Multisite'!#REF!</definedName>
    <definedName name="_vena_MultiSiteS1_MultiSiteB1_R_FV_42f34b52efc14701904e2bd69b949ebb_677" localSheetId="3">#REF!</definedName>
    <definedName name="_vena_MultiSiteS1_MultiSiteB1_R_FV_42f34b52efc14701904e2bd69b949ebb_677">#REF!</definedName>
    <definedName name="_vena_MultiSiteS1_MultiSiteB1_R_FV_42f34b52efc14701904e2bd69b949ebb_678" localSheetId="4">#REF!</definedName>
    <definedName name="_vena_MultiSiteS1_MultiSiteB1_R_FV_42f34b52efc14701904e2bd69b949ebb_678" localSheetId="5">#REF!</definedName>
    <definedName name="_vena_MultiSiteS1_MultiSiteB1_R_FV_42f34b52efc14701904e2bd69b949ebb_678" localSheetId="8">'[1]FY26 MYP-Multisite'!#REF!</definedName>
    <definedName name="_vena_MultiSiteS1_MultiSiteB1_R_FV_42f34b52efc14701904e2bd69b949ebb_678" localSheetId="3">#REF!</definedName>
    <definedName name="_vena_MultiSiteS1_MultiSiteB1_R_FV_42f34b52efc14701904e2bd69b949ebb_678">#REF!</definedName>
    <definedName name="_vena_MultiSiteS1_MultiSiteB1_R_FV_42f34b52efc14701904e2bd69b949ebb_679" localSheetId="4">#REF!</definedName>
    <definedName name="_vena_MultiSiteS1_MultiSiteB1_R_FV_42f34b52efc14701904e2bd69b949ebb_679" localSheetId="5">#REF!</definedName>
    <definedName name="_vena_MultiSiteS1_MultiSiteB1_R_FV_42f34b52efc14701904e2bd69b949ebb_679" localSheetId="8">'[1]FY26 MYP-Multisite'!#REF!</definedName>
    <definedName name="_vena_MultiSiteS1_MultiSiteB1_R_FV_42f34b52efc14701904e2bd69b949ebb_679" localSheetId="3">#REF!</definedName>
    <definedName name="_vena_MultiSiteS1_MultiSiteB1_R_FV_42f34b52efc14701904e2bd69b949ebb_679">#REF!</definedName>
    <definedName name="_vena_MultiSiteS1_MultiSiteB1_R_FV_42f34b52efc14701904e2bd69b949ebb_68">#REF!</definedName>
    <definedName name="_vena_MultiSiteS1_MultiSiteB1_R_FV_42f34b52efc14701904e2bd69b949ebb_680" localSheetId="4">#REF!</definedName>
    <definedName name="_vena_MultiSiteS1_MultiSiteB1_R_FV_42f34b52efc14701904e2bd69b949ebb_680" localSheetId="5">#REF!</definedName>
    <definedName name="_vena_MultiSiteS1_MultiSiteB1_R_FV_42f34b52efc14701904e2bd69b949ebb_680" localSheetId="8">'[1]FY26 MYP-Multisite'!#REF!</definedName>
    <definedName name="_vena_MultiSiteS1_MultiSiteB1_R_FV_42f34b52efc14701904e2bd69b949ebb_680" localSheetId="3">#REF!</definedName>
    <definedName name="_vena_MultiSiteS1_MultiSiteB1_R_FV_42f34b52efc14701904e2bd69b949ebb_680">#REF!</definedName>
    <definedName name="_vena_MultiSiteS1_MultiSiteB1_R_FV_42f34b52efc14701904e2bd69b949ebb_681" localSheetId="4">#REF!</definedName>
    <definedName name="_vena_MultiSiteS1_MultiSiteB1_R_FV_42f34b52efc14701904e2bd69b949ebb_681" localSheetId="5">#REF!</definedName>
    <definedName name="_vena_MultiSiteS1_MultiSiteB1_R_FV_42f34b52efc14701904e2bd69b949ebb_681" localSheetId="8">'[1]FY26 MYP-Multisite'!#REF!</definedName>
    <definedName name="_vena_MultiSiteS1_MultiSiteB1_R_FV_42f34b52efc14701904e2bd69b949ebb_681" localSheetId="3">#REF!</definedName>
    <definedName name="_vena_MultiSiteS1_MultiSiteB1_R_FV_42f34b52efc14701904e2bd69b949ebb_681">#REF!</definedName>
    <definedName name="_vena_MultiSiteS1_MultiSiteB1_R_FV_42f34b52efc14701904e2bd69b949ebb_682" localSheetId="4">#REF!</definedName>
    <definedName name="_vena_MultiSiteS1_MultiSiteB1_R_FV_42f34b52efc14701904e2bd69b949ebb_682" localSheetId="5">#REF!</definedName>
    <definedName name="_vena_MultiSiteS1_MultiSiteB1_R_FV_42f34b52efc14701904e2bd69b949ebb_682" localSheetId="8">'[1]FY26 MYP-Multisite'!#REF!</definedName>
    <definedName name="_vena_MultiSiteS1_MultiSiteB1_R_FV_42f34b52efc14701904e2bd69b949ebb_682" localSheetId="3">#REF!</definedName>
    <definedName name="_vena_MultiSiteS1_MultiSiteB1_R_FV_42f34b52efc14701904e2bd69b949ebb_682">#REF!</definedName>
    <definedName name="_vena_MultiSiteS1_MultiSiteB1_R_FV_42f34b52efc14701904e2bd69b949ebb_683" localSheetId="4">#REF!</definedName>
    <definedName name="_vena_MultiSiteS1_MultiSiteB1_R_FV_42f34b52efc14701904e2bd69b949ebb_683" localSheetId="5">#REF!</definedName>
    <definedName name="_vena_MultiSiteS1_MultiSiteB1_R_FV_42f34b52efc14701904e2bd69b949ebb_683" localSheetId="8">'[1]FY26 MYP-Multisite'!#REF!</definedName>
    <definedName name="_vena_MultiSiteS1_MultiSiteB1_R_FV_42f34b52efc14701904e2bd69b949ebb_683" localSheetId="3">#REF!</definedName>
    <definedName name="_vena_MultiSiteS1_MultiSiteB1_R_FV_42f34b52efc14701904e2bd69b949ebb_683">#REF!</definedName>
    <definedName name="_vena_MultiSiteS1_MultiSiteB1_R_FV_42f34b52efc14701904e2bd69b949ebb_684" localSheetId="4">#REF!</definedName>
    <definedName name="_vena_MultiSiteS1_MultiSiteB1_R_FV_42f34b52efc14701904e2bd69b949ebb_684" localSheetId="5">#REF!</definedName>
    <definedName name="_vena_MultiSiteS1_MultiSiteB1_R_FV_42f34b52efc14701904e2bd69b949ebb_684" localSheetId="8">'[1]FY26 MYP-Multisite'!#REF!</definedName>
    <definedName name="_vena_MultiSiteS1_MultiSiteB1_R_FV_42f34b52efc14701904e2bd69b949ebb_684" localSheetId="3">#REF!</definedName>
    <definedName name="_vena_MultiSiteS1_MultiSiteB1_R_FV_42f34b52efc14701904e2bd69b949ebb_684">#REF!</definedName>
    <definedName name="_vena_MultiSiteS1_MultiSiteB1_R_FV_42f34b52efc14701904e2bd69b949ebb_685" localSheetId="4">#REF!</definedName>
    <definedName name="_vena_MultiSiteS1_MultiSiteB1_R_FV_42f34b52efc14701904e2bd69b949ebb_685" localSheetId="5">#REF!</definedName>
    <definedName name="_vena_MultiSiteS1_MultiSiteB1_R_FV_42f34b52efc14701904e2bd69b949ebb_685" localSheetId="8">'[1]FY26 MYP-Multisite'!#REF!</definedName>
    <definedName name="_vena_MultiSiteS1_MultiSiteB1_R_FV_42f34b52efc14701904e2bd69b949ebb_685" localSheetId="3">#REF!</definedName>
    <definedName name="_vena_MultiSiteS1_MultiSiteB1_R_FV_42f34b52efc14701904e2bd69b949ebb_685">#REF!</definedName>
    <definedName name="_vena_MultiSiteS1_MultiSiteB1_R_FV_42f34b52efc14701904e2bd69b949ebb_686" localSheetId="4">#REF!</definedName>
    <definedName name="_vena_MultiSiteS1_MultiSiteB1_R_FV_42f34b52efc14701904e2bd69b949ebb_686" localSheetId="5">#REF!</definedName>
    <definedName name="_vena_MultiSiteS1_MultiSiteB1_R_FV_42f34b52efc14701904e2bd69b949ebb_686" localSheetId="8">'[1]FY26 MYP-Multisite'!#REF!</definedName>
    <definedName name="_vena_MultiSiteS1_MultiSiteB1_R_FV_42f34b52efc14701904e2bd69b949ebb_686" localSheetId="3">#REF!</definedName>
    <definedName name="_vena_MultiSiteS1_MultiSiteB1_R_FV_42f34b52efc14701904e2bd69b949ebb_686">#REF!</definedName>
    <definedName name="_vena_MultiSiteS1_MultiSiteB1_R_FV_42f34b52efc14701904e2bd69b949ebb_687" localSheetId="4">#REF!</definedName>
    <definedName name="_vena_MultiSiteS1_MultiSiteB1_R_FV_42f34b52efc14701904e2bd69b949ebb_687" localSheetId="5">#REF!</definedName>
    <definedName name="_vena_MultiSiteS1_MultiSiteB1_R_FV_42f34b52efc14701904e2bd69b949ebb_687" localSheetId="8">'[1]FY26 MYP-Multisite'!#REF!</definedName>
    <definedName name="_vena_MultiSiteS1_MultiSiteB1_R_FV_42f34b52efc14701904e2bd69b949ebb_687" localSheetId="3">#REF!</definedName>
    <definedName name="_vena_MultiSiteS1_MultiSiteB1_R_FV_42f34b52efc14701904e2bd69b949ebb_687">#REF!</definedName>
    <definedName name="_vena_MultiSiteS1_MultiSiteB1_R_FV_42f34b52efc14701904e2bd69b949ebb_688" localSheetId="4">#REF!</definedName>
    <definedName name="_vena_MultiSiteS1_MultiSiteB1_R_FV_42f34b52efc14701904e2bd69b949ebb_688" localSheetId="5">#REF!</definedName>
    <definedName name="_vena_MultiSiteS1_MultiSiteB1_R_FV_42f34b52efc14701904e2bd69b949ebb_688" localSheetId="8">'[1]FY26 MYP-Multisite'!#REF!</definedName>
    <definedName name="_vena_MultiSiteS1_MultiSiteB1_R_FV_42f34b52efc14701904e2bd69b949ebb_688" localSheetId="3">#REF!</definedName>
    <definedName name="_vena_MultiSiteS1_MultiSiteB1_R_FV_42f34b52efc14701904e2bd69b949ebb_688">#REF!</definedName>
    <definedName name="_vena_MultiSiteS1_MultiSiteB1_R_FV_42f34b52efc14701904e2bd69b949ebb_689" localSheetId="4">#REF!</definedName>
    <definedName name="_vena_MultiSiteS1_MultiSiteB1_R_FV_42f34b52efc14701904e2bd69b949ebb_689" localSheetId="5">#REF!</definedName>
    <definedName name="_vena_MultiSiteS1_MultiSiteB1_R_FV_42f34b52efc14701904e2bd69b949ebb_689" localSheetId="8">'[1]FY26 MYP-Multisite'!#REF!</definedName>
    <definedName name="_vena_MultiSiteS1_MultiSiteB1_R_FV_42f34b52efc14701904e2bd69b949ebb_689" localSheetId="3">#REF!</definedName>
    <definedName name="_vena_MultiSiteS1_MultiSiteB1_R_FV_42f34b52efc14701904e2bd69b949ebb_689">#REF!</definedName>
    <definedName name="_vena_MultiSiteS1_MultiSiteB1_R_FV_42f34b52efc14701904e2bd69b949ebb_69">#REF!</definedName>
    <definedName name="_vena_MultiSiteS1_MultiSiteB1_R_FV_42f34b52efc14701904e2bd69b949ebb_690" localSheetId="4">#REF!</definedName>
    <definedName name="_vena_MultiSiteS1_MultiSiteB1_R_FV_42f34b52efc14701904e2bd69b949ebb_690" localSheetId="5">#REF!</definedName>
    <definedName name="_vena_MultiSiteS1_MultiSiteB1_R_FV_42f34b52efc14701904e2bd69b949ebb_690" localSheetId="8">'[1]FY26 MYP-Multisite'!#REF!</definedName>
    <definedName name="_vena_MultiSiteS1_MultiSiteB1_R_FV_42f34b52efc14701904e2bd69b949ebb_690" localSheetId="3">#REF!</definedName>
    <definedName name="_vena_MultiSiteS1_MultiSiteB1_R_FV_42f34b52efc14701904e2bd69b949ebb_690">#REF!</definedName>
    <definedName name="_vena_MultiSiteS1_MultiSiteB1_R_FV_42f34b52efc14701904e2bd69b949ebb_691" localSheetId="4">#REF!</definedName>
    <definedName name="_vena_MultiSiteS1_MultiSiteB1_R_FV_42f34b52efc14701904e2bd69b949ebb_691" localSheetId="5">#REF!</definedName>
    <definedName name="_vena_MultiSiteS1_MultiSiteB1_R_FV_42f34b52efc14701904e2bd69b949ebb_691" localSheetId="8">'[1]FY26 MYP-Multisite'!#REF!</definedName>
    <definedName name="_vena_MultiSiteS1_MultiSiteB1_R_FV_42f34b52efc14701904e2bd69b949ebb_691" localSheetId="3">#REF!</definedName>
    <definedName name="_vena_MultiSiteS1_MultiSiteB1_R_FV_42f34b52efc14701904e2bd69b949ebb_691">#REF!</definedName>
    <definedName name="_vena_MultiSiteS1_MultiSiteB1_R_FV_42f34b52efc14701904e2bd69b949ebb_692" localSheetId="4">#REF!</definedName>
    <definedName name="_vena_MultiSiteS1_MultiSiteB1_R_FV_42f34b52efc14701904e2bd69b949ebb_692" localSheetId="5">#REF!</definedName>
    <definedName name="_vena_MultiSiteS1_MultiSiteB1_R_FV_42f34b52efc14701904e2bd69b949ebb_692" localSheetId="8">'[1]FY26 MYP-Multisite'!#REF!</definedName>
    <definedName name="_vena_MultiSiteS1_MultiSiteB1_R_FV_42f34b52efc14701904e2bd69b949ebb_692" localSheetId="3">#REF!</definedName>
    <definedName name="_vena_MultiSiteS1_MultiSiteB1_R_FV_42f34b52efc14701904e2bd69b949ebb_692">#REF!</definedName>
    <definedName name="_vena_MultiSiteS1_MultiSiteB1_R_FV_42f34b52efc14701904e2bd69b949ebb_693" localSheetId="4">#REF!</definedName>
    <definedName name="_vena_MultiSiteS1_MultiSiteB1_R_FV_42f34b52efc14701904e2bd69b949ebb_693" localSheetId="5">#REF!</definedName>
    <definedName name="_vena_MultiSiteS1_MultiSiteB1_R_FV_42f34b52efc14701904e2bd69b949ebb_693" localSheetId="8">'[1]FY26 MYP-Multisite'!#REF!</definedName>
    <definedName name="_vena_MultiSiteS1_MultiSiteB1_R_FV_42f34b52efc14701904e2bd69b949ebb_693" localSheetId="3">#REF!</definedName>
    <definedName name="_vena_MultiSiteS1_MultiSiteB1_R_FV_42f34b52efc14701904e2bd69b949ebb_693">#REF!</definedName>
    <definedName name="_vena_MultiSiteS1_MultiSiteB1_R_FV_42f34b52efc14701904e2bd69b949ebb_694" localSheetId="4">#REF!</definedName>
    <definedName name="_vena_MultiSiteS1_MultiSiteB1_R_FV_42f34b52efc14701904e2bd69b949ebb_694" localSheetId="5">#REF!</definedName>
    <definedName name="_vena_MultiSiteS1_MultiSiteB1_R_FV_42f34b52efc14701904e2bd69b949ebb_694" localSheetId="8">'[1]FY26 MYP-Multisite'!#REF!</definedName>
    <definedName name="_vena_MultiSiteS1_MultiSiteB1_R_FV_42f34b52efc14701904e2bd69b949ebb_694" localSheetId="3">#REF!</definedName>
    <definedName name="_vena_MultiSiteS1_MultiSiteB1_R_FV_42f34b52efc14701904e2bd69b949ebb_694">#REF!</definedName>
    <definedName name="_vena_MultiSiteS1_MultiSiteB1_R_FV_42f34b52efc14701904e2bd69b949ebb_695" localSheetId="4">#REF!</definedName>
    <definedName name="_vena_MultiSiteS1_MultiSiteB1_R_FV_42f34b52efc14701904e2bd69b949ebb_695" localSheetId="5">#REF!</definedName>
    <definedName name="_vena_MultiSiteS1_MultiSiteB1_R_FV_42f34b52efc14701904e2bd69b949ebb_695" localSheetId="8">'[1]FY26 MYP-Multisite'!#REF!</definedName>
    <definedName name="_vena_MultiSiteS1_MultiSiteB1_R_FV_42f34b52efc14701904e2bd69b949ebb_695" localSheetId="3">#REF!</definedName>
    <definedName name="_vena_MultiSiteS1_MultiSiteB1_R_FV_42f34b52efc14701904e2bd69b949ebb_695">#REF!</definedName>
    <definedName name="_vena_MultiSiteS1_MultiSiteB1_R_FV_42f34b52efc14701904e2bd69b949ebb_696" localSheetId="4">#REF!</definedName>
    <definedName name="_vena_MultiSiteS1_MultiSiteB1_R_FV_42f34b52efc14701904e2bd69b949ebb_696" localSheetId="5">#REF!</definedName>
    <definedName name="_vena_MultiSiteS1_MultiSiteB1_R_FV_42f34b52efc14701904e2bd69b949ebb_696" localSheetId="8">'[1]FY26 MYP-Multisite'!#REF!</definedName>
    <definedName name="_vena_MultiSiteS1_MultiSiteB1_R_FV_42f34b52efc14701904e2bd69b949ebb_696" localSheetId="3">#REF!</definedName>
    <definedName name="_vena_MultiSiteS1_MultiSiteB1_R_FV_42f34b52efc14701904e2bd69b949ebb_696">#REF!</definedName>
    <definedName name="_vena_MultiSiteS1_MultiSiteB1_R_FV_42f34b52efc14701904e2bd69b949ebb_697" localSheetId="4">#REF!</definedName>
    <definedName name="_vena_MultiSiteS1_MultiSiteB1_R_FV_42f34b52efc14701904e2bd69b949ebb_697" localSheetId="5">#REF!</definedName>
    <definedName name="_vena_MultiSiteS1_MultiSiteB1_R_FV_42f34b52efc14701904e2bd69b949ebb_697" localSheetId="8">'[1]FY26 MYP-Multisite'!#REF!</definedName>
    <definedName name="_vena_MultiSiteS1_MultiSiteB1_R_FV_42f34b52efc14701904e2bd69b949ebb_697" localSheetId="3">#REF!</definedName>
    <definedName name="_vena_MultiSiteS1_MultiSiteB1_R_FV_42f34b52efc14701904e2bd69b949ebb_697">#REF!</definedName>
    <definedName name="_vena_MultiSiteS1_MultiSiteB1_R_FV_42f34b52efc14701904e2bd69b949ebb_698" localSheetId="4">#REF!</definedName>
    <definedName name="_vena_MultiSiteS1_MultiSiteB1_R_FV_42f34b52efc14701904e2bd69b949ebb_698" localSheetId="5">#REF!</definedName>
    <definedName name="_vena_MultiSiteS1_MultiSiteB1_R_FV_42f34b52efc14701904e2bd69b949ebb_698" localSheetId="8">'[1]FY26 MYP-Multisite'!#REF!</definedName>
    <definedName name="_vena_MultiSiteS1_MultiSiteB1_R_FV_42f34b52efc14701904e2bd69b949ebb_698" localSheetId="3">#REF!</definedName>
    <definedName name="_vena_MultiSiteS1_MultiSiteB1_R_FV_42f34b52efc14701904e2bd69b949ebb_698">#REF!</definedName>
    <definedName name="_vena_MultiSiteS1_MultiSiteB1_R_FV_42f34b52efc14701904e2bd69b949ebb_699" localSheetId="4">#REF!</definedName>
    <definedName name="_vena_MultiSiteS1_MultiSiteB1_R_FV_42f34b52efc14701904e2bd69b949ebb_699" localSheetId="5">#REF!</definedName>
    <definedName name="_vena_MultiSiteS1_MultiSiteB1_R_FV_42f34b52efc14701904e2bd69b949ebb_699" localSheetId="8">'[1]FY26 MYP-Multisite'!#REF!</definedName>
    <definedName name="_vena_MultiSiteS1_MultiSiteB1_R_FV_42f34b52efc14701904e2bd69b949ebb_699" localSheetId="3">#REF!</definedName>
    <definedName name="_vena_MultiSiteS1_MultiSiteB1_R_FV_42f34b52efc14701904e2bd69b949ebb_699">#REF!</definedName>
    <definedName name="_vena_MultiSiteS1_MultiSiteB1_R_FV_42f34b52efc14701904e2bd69b949ebb_7" localSheetId="4">#REF!</definedName>
    <definedName name="_vena_MultiSiteS1_MultiSiteB1_R_FV_42f34b52efc14701904e2bd69b949ebb_7" localSheetId="5">#REF!</definedName>
    <definedName name="_vena_MultiSiteS1_MultiSiteB1_R_FV_42f34b52efc14701904e2bd69b949ebb_7" localSheetId="8">'[1]FY26 MYP-Multisite'!#REF!</definedName>
    <definedName name="_vena_MultiSiteS1_MultiSiteB1_R_FV_42f34b52efc14701904e2bd69b949ebb_7" localSheetId="3">#REF!</definedName>
    <definedName name="_vena_MultiSiteS1_MultiSiteB1_R_FV_42f34b52efc14701904e2bd69b949ebb_7">#REF!</definedName>
    <definedName name="_vena_MultiSiteS1_MultiSiteB1_R_FV_42f34b52efc14701904e2bd69b949ebb_70">#REF!</definedName>
    <definedName name="_vena_MultiSiteS1_MultiSiteB1_R_FV_42f34b52efc14701904e2bd69b949ebb_700" localSheetId="4">#REF!</definedName>
    <definedName name="_vena_MultiSiteS1_MultiSiteB1_R_FV_42f34b52efc14701904e2bd69b949ebb_700" localSheetId="5">#REF!</definedName>
    <definedName name="_vena_MultiSiteS1_MultiSiteB1_R_FV_42f34b52efc14701904e2bd69b949ebb_700" localSheetId="8">'[1]FY26 MYP-Multisite'!#REF!</definedName>
    <definedName name="_vena_MultiSiteS1_MultiSiteB1_R_FV_42f34b52efc14701904e2bd69b949ebb_700" localSheetId="3">#REF!</definedName>
    <definedName name="_vena_MultiSiteS1_MultiSiteB1_R_FV_42f34b52efc14701904e2bd69b949ebb_700">#REF!</definedName>
    <definedName name="_vena_MultiSiteS1_MultiSiteB1_R_FV_42f34b52efc14701904e2bd69b949ebb_701" localSheetId="4">#REF!</definedName>
    <definedName name="_vena_MultiSiteS1_MultiSiteB1_R_FV_42f34b52efc14701904e2bd69b949ebb_701" localSheetId="5">#REF!</definedName>
    <definedName name="_vena_MultiSiteS1_MultiSiteB1_R_FV_42f34b52efc14701904e2bd69b949ebb_701" localSheetId="8">'[1]FY26 MYP-Multisite'!#REF!</definedName>
    <definedName name="_vena_MultiSiteS1_MultiSiteB1_R_FV_42f34b52efc14701904e2bd69b949ebb_701" localSheetId="3">#REF!</definedName>
    <definedName name="_vena_MultiSiteS1_MultiSiteB1_R_FV_42f34b52efc14701904e2bd69b949ebb_701">#REF!</definedName>
    <definedName name="_vena_MultiSiteS1_MultiSiteB1_R_FV_42f34b52efc14701904e2bd69b949ebb_702" localSheetId="4">#REF!</definedName>
    <definedName name="_vena_MultiSiteS1_MultiSiteB1_R_FV_42f34b52efc14701904e2bd69b949ebb_702" localSheetId="5">#REF!</definedName>
    <definedName name="_vena_MultiSiteS1_MultiSiteB1_R_FV_42f34b52efc14701904e2bd69b949ebb_702" localSheetId="8">'[1]FY26 MYP-Multisite'!#REF!</definedName>
    <definedName name="_vena_MultiSiteS1_MultiSiteB1_R_FV_42f34b52efc14701904e2bd69b949ebb_702" localSheetId="3">#REF!</definedName>
    <definedName name="_vena_MultiSiteS1_MultiSiteB1_R_FV_42f34b52efc14701904e2bd69b949ebb_702">#REF!</definedName>
    <definedName name="_vena_MultiSiteS1_MultiSiteB1_R_FV_42f34b52efc14701904e2bd69b949ebb_703" localSheetId="4">#REF!</definedName>
    <definedName name="_vena_MultiSiteS1_MultiSiteB1_R_FV_42f34b52efc14701904e2bd69b949ebb_703" localSheetId="5">#REF!</definedName>
    <definedName name="_vena_MultiSiteS1_MultiSiteB1_R_FV_42f34b52efc14701904e2bd69b949ebb_703" localSheetId="8">'[1]FY26 MYP-Multisite'!#REF!</definedName>
    <definedName name="_vena_MultiSiteS1_MultiSiteB1_R_FV_42f34b52efc14701904e2bd69b949ebb_703" localSheetId="3">#REF!</definedName>
    <definedName name="_vena_MultiSiteS1_MultiSiteB1_R_FV_42f34b52efc14701904e2bd69b949ebb_703">#REF!</definedName>
    <definedName name="_vena_MultiSiteS1_MultiSiteB1_R_FV_42f34b52efc14701904e2bd69b949ebb_704" localSheetId="4">#REF!</definedName>
    <definedName name="_vena_MultiSiteS1_MultiSiteB1_R_FV_42f34b52efc14701904e2bd69b949ebb_704" localSheetId="5">#REF!</definedName>
    <definedName name="_vena_MultiSiteS1_MultiSiteB1_R_FV_42f34b52efc14701904e2bd69b949ebb_704" localSheetId="8">'[1]FY26 MYP-Multisite'!#REF!</definedName>
    <definedName name="_vena_MultiSiteS1_MultiSiteB1_R_FV_42f34b52efc14701904e2bd69b949ebb_704" localSheetId="3">#REF!</definedName>
    <definedName name="_vena_MultiSiteS1_MultiSiteB1_R_FV_42f34b52efc14701904e2bd69b949ebb_704">#REF!</definedName>
    <definedName name="_vena_MultiSiteS1_MultiSiteB1_R_FV_42f34b52efc14701904e2bd69b949ebb_705" localSheetId="4">#REF!</definedName>
    <definedName name="_vena_MultiSiteS1_MultiSiteB1_R_FV_42f34b52efc14701904e2bd69b949ebb_705" localSheetId="5">#REF!</definedName>
    <definedName name="_vena_MultiSiteS1_MultiSiteB1_R_FV_42f34b52efc14701904e2bd69b949ebb_705" localSheetId="8">'[1]FY26 MYP-Multisite'!#REF!</definedName>
    <definedName name="_vena_MultiSiteS1_MultiSiteB1_R_FV_42f34b52efc14701904e2bd69b949ebb_705" localSheetId="3">#REF!</definedName>
    <definedName name="_vena_MultiSiteS1_MultiSiteB1_R_FV_42f34b52efc14701904e2bd69b949ebb_705">#REF!</definedName>
    <definedName name="_vena_MultiSiteS1_MultiSiteB1_R_FV_42f34b52efc14701904e2bd69b949ebb_706" localSheetId="4">#REF!</definedName>
    <definedName name="_vena_MultiSiteS1_MultiSiteB1_R_FV_42f34b52efc14701904e2bd69b949ebb_706" localSheetId="5">#REF!</definedName>
    <definedName name="_vena_MultiSiteS1_MultiSiteB1_R_FV_42f34b52efc14701904e2bd69b949ebb_706" localSheetId="8">'[1]FY26 MYP-Multisite'!#REF!</definedName>
    <definedName name="_vena_MultiSiteS1_MultiSiteB1_R_FV_42f34b52efc14701904e2bd69b949ebb_706" localSheetId="3">#REF!</definedName>
    <definedName name="_vena_MultiSiteS1_MultiSiteB1_R_FV_42f34b52efc14701904e2bd69b949ebb_706">#REF!</definedName>
    <definedName name="_vena_MultiSiteS1_MultiSiteB1_R_FV_42f34b52efc14701904e2bd69b949ebb_707" localSheetId="4">#REF!</definedName>
    <definedName name="_vena_MultiSiteS1_MultiSiteB1_R_FV_42f34b52efc14701904e2bd69b949ebb_707" localSheetId="5">#REF!</definedName>
    <definedName name="_vena_MultiSiteS1_MultiSiteB1_R_FV_42f34b52efc14701904e2bd69b949ebb_707" localSheetId="8">'[1]FY26 MYP-Multisite'!#REF!</definedName>
    <definedName name="_vena_MultiSiteS1_MultiSiteB1_R_FV_42f34b52efc14701904e2bd69b949ebb_707" localSheetId="3">#REF!</definedName>
    <definedName name="_vena_MultiSiteS1_MultiSiteB1_R_FV_42f34b52efc14701904e2bd69b949ebb_707">#REF!</definedName>
    <definedName name="_vena_MultiSiteS1_MultiSiteB1_R_FV_42f34b52efc14701904e2bd69b949ebb_708" localSheetId="4">#REF!</definedName>
    <definedName name="_vena_MultiSiteS1_MultiSiteB1_R_FV_42f34b52efc14701904e2bd69b949ebb_708" localSheetId="5">#REF!</definedName>
    <definedName name="_vena_MultiSiteS1_MultiSiteB1_R_FV_42f34b52efc14701904e2bd69b949ebb_708" localSheetId="8">'[1]FY26 MYP-Multisite'!#REF!</definedName>
    <definedName name="_vena_MultiSiteS1_MultiSiteB1_R_FV_42f34b52efc14701904e2bd69b949ebb_708" localSheetId="3">#REF!</definedName>
    <definedName name="_vena_MultiSiteS1_MultiSiteB1_R_FV_42f34b52efc14701904e2bd69b949ebb_708">#REF!</definedName>
    <definedName name="_vena_MultiSiteS1_MultiSiteB1_R_FV_42f34b52efc14701904e2bd69b949ebb_709" localSheetId="4">#REF!</definedName>
    <definedName name="_vena_MultiSiteS1_MultiSiteB1_R_FV_42f34b52efc14701904e2bd69b949ebb_709" localSheetId="5">#REF!</definedName>
    <definedName name="_vena_MultiSiteS1_MultiSiteB1_R_FV_42f34b52efc14701904e2bd69b949ebb_709" localSheetId="8">'[1]FY26 MYP-Multisite'!#REF!</definedName>
    <definedName name="_vena_MultiSiteS1_MultiSiteB1_R_FV_42f34b52efc14701904e2bd69b949ebb_709" localSheetId="3">#REF!</definedName>
    <definedName name="_vena_MultiSiteS1_MultiSiteB1_R_FV_42f34b52efc14701904e2bd69b949ebb_709">#REF!</definedName>
    <definedName name="_vena_MultiSiteS1_MultiSiteB1_R_FV_42f34b52efc14701904e2bd69b949ebb_71">#REF!</definedName>
    <definedName name="_vena_MultiSiteS1_MultiSiteB1_R_FV_42f34b52efc14701904e2bd69b949ebb_710" localSheetId="4">#REF!</definedName>
    <definedName name="_vena_MultiSiteS1_MultiSiteB1_R_FV_42f34b52efc14701904e2bd69b949ebb_710" localSheetId="5">#REF!</definedName>
    <definedName name="_vena_MultiSiteS1_MultiSiteB1_R_FV_42f34b52efc14701904e2bd69b949ebb_710" localSheetId="8">'[1]FY26 MYP-Multisite'!#REF!</definedName>
    <definedName name="_vena_MultiSiteS1_MultiSiteB1_R_FV_42f34b52efc14701904e2bd69b949ebb_710" localSheetId="3">#REF!</definedName>
    <definedName name="_vena_MultiSiteS1_MultiSiteB1_R_FV_42f34b52efc14701904e2bd69b949ebb_710">#REF!</definedName>
    <definedName name="_vena_MultiSiteS1_MultiSiteB1_R_FV_42f34b52efc14701904e2bd69b949ebb_711" localSheetId="4">#REF!</definedName>
    <definedName name="_vena_MultiSiteS1_MultiSiteB1_R_FV_42f34b52efc14701904e2bd69b949ebb_711" localSheetId="5">#REF!</definedName>
    <definedName name="_vena_MultiSiteS1_MultiSiteB1_R_FV_42f34b52efc14701904e2bd69b949ebb_711" localSheetId="8">'[1]FY26 MYP-Multisite'!#REF!</definedName>
    <definedName name="_vena_MultiSiteS1_MultiSiteB1_R_FV_42f34b52efc14701904e2bd69b949ebb_711" localSheetId="3">#REF!</definedName>
    <definedName name="_vena_MultiSiteS1_MultiSiteB1_R_FV_42f34b52efc14701904e2bd69b949ebb_711">#REF!</definedName>
    <definedName name="_vena_MultiSiteS1_MultiSiteB1_R_FV_42f34b52efc14701904e2bd69b949ebb_712" localSheetId="4">#REF!</definedName>
    <definedName name="_vena_MultiSiteS1_MultiSiteB1_R_FV_42f34b52efc14701904e2bd69b949ebb_712" localSheetId="5">#REF!</definedName>
    <definedName name="_vena_MultiSiteS1_MultiSiteB1_R_FV_42f34b52efc14701904e2bd69b949ebb_712" localSheetId="8">'[1]FY26 MYP-Multisite'!#REF!</definedName>
    <definedName name="_vena_MultiSiteS1_MultiSiteB1_R_FV_42f34b52efc14701904e2bd69b949ebb_712" localSheetId="3">#REF!</definedName>
    <definedName name="_vena_MultiSiteS1_MultiSiteB1_R_FV_42f34b52efc14701904e2bd69b949ebb_712">#REF!</definedName>
    <definedName name="_vena_MultiSiteS1_MultiSiteB1_R_FV_42f34b52efc14701904e2bd69b949ebb_713" localSheetId="4">#REF!</definedName>
    <definedName name="_vena_MultiSiteS1_MultiSiteB1_R_FV_42f34b52efc14701904e2bd69b949ebb_713" localSheetId="5">#REF!</definedName>
    <definedName name="_vena_MultiSiteS1_MultiSiteB1_R_FV_42f34b52efc14701904e2bd69b949ebb_713" localSheetId="8">'[1]FY26 MYP-Multisite'!#REF!</definedName>
    <definedName name="_vena_MultiSiteS1_MultiSiteB1_R_FV_42f34b52efc14701904e2bd69b949ebb_713" localSheetId="3">#REF!</definedName>
    <definedName name="_vena_MultiSiteS1_MultiSiteB1_R_FV_42f34b52efc14701904e2bd69b949ebb_713">#REF!</definedName>
    <definedName name="_vena_MultiSiteS1_MultiSiteB1_R_FV_42f34b52efc14701904e2bd69b949ebb_714" localSheetId="4">#REF!</definedName>
    <definedName name="_vena_MultiSiteS1_MultiSiteB1_R_FV_42f34b52efc14701904e2bd69b949ebb_714" localSheetId="5">#REF!</definedName>
    <definedName name="_vena_MultiSiteS1_MultiSiteB1_R_FV_42f34b52efc14701904e2bd69b949ebb_714" localSheetId="8">'[1]FY26 MYP-Multisite'!#REF!</definedName>
    <definedName name="_vena_MultiSiteS1_MultiSiteB1_R_FV_42f34b52efc14701904e2bd69b949ebb_714" localSheetId="3">#REF!</definedName>
    <definedName name="_vena_MultiSiteS1_MultiSiteB1_R_FV_42f34b52efc14701904e2bd69b949ebb_714">#REF!</definedName>
    <definedName name="_vena_MultiSiteS1_MultiSiteB1_R_FV_42f34b52efc14701904e2bd69b949ebb_715" localSheetId="4">#REF!</definedName>
    <definedName name="_vena_MultiSiteS1_MultiSiteB1_R_FV_42f34b52efc14701904e2bd69b949ebb_715" localSheetId="5">#REF!</definedName>
    <definedName name="_vena_MultiSiteS1_MultiSiteB1_R_FV_42f34b52efc14701904e2bd69b949ebb_715" localSheetId="8">'[1]FY26 MYP-Multisite'!#REF!</definedName>
    <definedName name="_vena_MultiSiteS1_MultiSiteB1_R_FV_42f34b52efc14701904e2bd69b949ebb_715" localSheetId="3">#REF!</definedName>
    <definedName name="_vena_MultiSiteS1_MultiSiteB1_R_FV_42f34b52efc14701904e2bd69b949ebb_715">#REF!</definedName>
    <definedName name="_vena_MultiSiteS1_MultiSiteB1_R_FV_42f34b52efc14701904e2bd69b949ebb_716" localSheetId="4">#REF!</definedName>
    <definedName name="_vena_MultiSiteS1_MultiSiteB1_R_FV_42f34b52efc14701904e2bd69b949ebb_716" localSheetId="5">#REF!</definedName>
    <definedName name="_vena_MultiSiteS1_MultiSiteB1_R_FV_42f34b52efc14701904e2bd69b949ebb_716" localSheetId="8">'[1]FY26 MYP-Multisite'!#REF!</definedName>
    <definedName name="_vena_MultiSiteS1_MultiSiteB1_R_FV_42f34b52efc14701904e2bd69b949ebb_716" localSheetId="3">#REF!</definedName>
    <definedName name="_vena_MultiSiteS1_MultiSiteB1_R_FV_42f34b52efc14701904e2bd69b949ebb_716">#REF!</definedName>
    <definedName name="_vena_MultiSiteS1_MultiSiteB1_R_FV_42f34b52efc14701904e2bd69b949ebb_717" localSheetId="4">#REF!</definedName>
    <definedName name="_vena_MultiSiteS1_MultiSiteB1_R_FV_42f34b52efc14701904e2bd69b949ebb_717" localSheetId="5">#REF!</definedName>
    <definedName name="_vena_MultiSiteS1_MultiSiteB1_R_FV_42f34b52efc14701904e2bd69b949ebb_717" localSheetId="8">'[1]FY26 MYP-Multisite'!#REF!</definedName>
    <definedName name="_vena_MultiSiteS1_MultiSiteB1_R_FV_42f34b52efc14701904e2bd69b949ebb_717" localSheetId="3">#REF!</definedName>
    <definedName name="_vena_MultiSiteS1_MultiSiteB1_R_FV_42f34b52efc14701904e2bd69b949ebb_717">#REF!</definedName>
    <definedName name="_vena_MultiSiteS1_MultiSiteB1_R_FV_42f34b52efc14701904e2bd69b949ebb_718" localSheetId="4">#REF!</definedName>
    <definedName name="_vena_MultiSiteS1_MultiSiteB1_R_FV_42f34b52efc14701904e2bd69b949ebb_718" localSheetId="5">#REF!</definedName>
    <definedName name="_vena_MultiSiteS1_MultiSiteB1_R_FV_42f34b52efc14701904e2bd69b949ebb_718" localSheetId="8">'[1]FY26 MYP-Multisite'!#REF!</definedName>
    <definedName name="_vena_MultiSiteS1_MultiSiteB1_R_FV_42f34b52efc14701904e2bd69b949ebb_718" localSheetId="3">#REF!</definedName>
    <definedName name="_vena_MultiSiteS1_MultiSiteB1_R_FV_42f34b52efc14701904e2bd69b949ebb_718">#REF!</definedName>
    <definedName name="_vena_MultiSiteS1_MultiSiteB1_R_FV_42f34b52efc14701904e2bd69b949ebb_719" localSheetId="4">#REF!</definedName>
    <definedName name="_vena_MultiSiteS1_MultiSiteB1_R_FV_42f34b52efc14701904e2bd69b949ebb_719" localSheetId="5">#REF!</definedName>
    <definedName name="_vena_MultiSiteS1_MultiSiteB1_R_FV_42f34b52efc14701904e2bd69b949ebb_719" localSheetId="8">'[1]FY26 MYP-Multisite'!#REF!</definedName>
    <definedName name="_vena_MultiSiteS1_MultiSiteB1_R_FV_42f34b52efc14701904e2bd69b949ebb_719" localSheetId="3">#REF!</definedName>
    <definedName name="_vena_MultiSiteS1_MultiSiteB1_R_FV_42f34b52efc14701904e2bd69b949ebb_719">#REF!</definedName>
    <definedName name="_vena_MultiSiteS1_MultiSiteB1_R_FV_42f34b52efc14701904e2bd69b949ebb_72">#REF!</definedName>
    <definedName name="_vena_MultiSiteS1_MultiSiteB1_R_FV_42f34b52efc14701904e2bd69b949ebb_720" localSheetId="4">#REF!</definedName>
    <definedName name="_vena_MultiSiteS1_MultiSiteB1_R_FV_42f34b52efc14701904e2bd69b949ebb_720" localSheetId="5">#REF!</definedName>
    <definedName name="_vena_MultiSiteS1_MultiSiteB1_R_FV_42f34b52efc14701904e2bd69b949ebb_720" localSheetId="8">'[1]FY26 MYP-Multisite'!#REF!</definedName>
    <definedName name="_vena_MultiSiteS1_MultiSiteB1_R_FV_42f34b52efc14701904e2bd69b949ebb_720" localSheetId="3">#REF!</definedName>
    <definedName name="_vena_MultiSiteS1_MultiSiteB1_R_FV_42f34b52efc14701904e2bd69b949ebb_720">#REF!</definedName>
    <definedName name="_vena_MultiSiteS1_MultiSiteB1_R_FV_42f34b52efc14701904e2bd69b949ebb_721" localSheetId="4">#REF!</definedName>
    <definedName name="_vena_MultiSiteS1_MultiSiteB1_R_FV_42f34b52efc14701904e2bd69b949ebb_721" localSheetId="5">#REF!</definedName>
    <definedName name="_vena_MultiSiteS1_MultiSiteB1_R_FV_42f34b52efc14701904e2bd69b949ebb_721" localSheetId="8">'[1]FY26 MYP-Multisite'!#REF!</definedName>
    <definedName name="_vena_MultiSiteS1_MultiSiteB1_R_FV_42f34b52efc14701904e2bd69b949ebb_721" localSheetId="3">#REF!</definedName>
    <definedName name="_vena_MultiSiteS1_MultiSiteB1_R_FV_42f34b52efc14701904e2bd69b949ebb_721">#REF!</definedName>
    <definedName name="_vena_MultiSiteS1_MultiSiteB1_R_FV_42f34b52efc14701904e2bd69b949ebb_722" localSheetId="4">#REF!</definedName>
    <definedName name="_vena_MultiSiteS1_MultiSiteB1_R_FV_42f34b52efc14701904e2bd69b949ebb_722" localSheetId="5">#REF!</definedName>
    <definedName name="_vena_MultiSiteS1_MultiSiteB1_R_FV_42f34b52efc14701904e2bd69b949ebb_722" localSheetId="8">'[1]FY26 MYP-Multisite'!#REF!</definedName>
    <definedName name="_vena_MultiSiteS1_MultiSiteB1_R_FV_42f34b52efc14701904e2bd69b949ebb_722" localSheetId="3">#REF!</definedName>
    <definedName name="_vena_MultiSiteS1_MultiSiteB1_R_FV_42f34b52efc14701904e2bd69b949ebb_722">#REF!</definedName>
    <definedName name="_vena_MultiSiteS1_MultiSiteB1_R_FV_42f34b52efc14701904e2bd69b949ebb_723" localSheetId="4">#REF!</definedName>
    <definedName name="_vena_MultiSiteS1_MultiSiteB1_R_FV_42f34b52efc14701904e2bd69b949ebb_723" localSheetId="5">#REF!</definedName>
    <definedName name="_vena_MultiSiteS1_MultiSiteB1_R_FV_42f34b52efc14701904e2bd69b949ebb_723" localSheetId="8">'[1]FY26 MYP-Multisite'!#REF!</definedName>
    <definedName name="_vena_MultiSiteS1_MultiSiteB1_R_FV_42f34b52efc14701904e2bd69b949ebb_723" localSheetId="3">#REF!</definedName>
    <definedName name="_vena_MultiSiteS1_MultiSiteB1_R_FV_42f34b52efc14701904e2bd69b949ebb_723">#REF!</definedName>
    <definedName name="_vena_MultiSiteS1_MultiSiteB1_R_FV_42f34b52efc14701904e2bd69b949ebb_724" localSheetId="4">#REF!</definedName>
    <definedName name="_vena_MultiSiteS1_MultiSiteB1_R_FV_42f34b52efc14701904e2bd69b949ebb_724" localSheetId="5">#REF!</definedName>
    <definedName name="_vena_MultiSiteS1_MultiSiteB1_R_FV_42f34b52efc14701904e2bd69b949ebb_724" localSheetId="8">'[1]FY26 MYP-Multisite'!#REF!</definedName>
    <definedName name="_vena_MultiSiteS1_MultiSiteB1_R_FV_42f34b52efc14701904e2bd69b949ebb_724" localSheetId="3">#REF!</definedName>
    <definedName name="_vena_MultiSiteS1_MultiSiteB1_R_FV_42f34b52efc14701904e2bd69b949ebb_724">#REF!</definedName>
    <definedName name="_vena_MultiSiteS1_MultiSiteB1_R_FV_42f34b52efc14701904e2bd69b949ebb_725" localSheetId="4">#REF!</definedName>
    <definedName name="_vena_MultiSiteS1_MultiSiteB1_R_FV_42f34b52efc14701904e2bd69b949ebb_725" localSheetId="5">#REF!</definedName>
    <definedName name="_vena_MultiSiteS1_MultiSiteB1_R_FV_42f34b52efc14701904e2bd69b949ebb_725" localSheetId="8">'[1]FY26 MYP-Multisite'!#REF!</definedName>
    <definedName name="_vena_MultiSiteS1_MultiSiteB1_R_FV_42f34b52efc14701904e2bd69b949ebb_725" localSheetId="3">#REF!</definedName>
    <definedName name="_vena_MultiSiteS1_MultiSiteB1_R_FV_42f34b52efc14701904e2bd69b949ebb_725">#REF!</definedName>
    <definedName name="_vena_MultiSiteS1_MultiSiteB1_R_FV_42f34b52efc14701904e2bd69b949ebb_726" localSheetId="4">#REF!</definedName>
    <definedName name="_vena_MultiSiteS1_MultiSiteB1_R_FV_42f34b52efc14701904e2bd69b949ebb_726" localSheetId="5">#REF!</definedName>
    <definedName name="_vena_MultiSiteS1_MultiSiteB1_R_FV_42f34b52efc14701904e2bd69b949ebb_726" localSheetId="8">'[1]FY26 MYP-Multisite'!#REF!</definedName>
    <definedName name="_vena_MultiSiteS1_MultiSiteB1_R_FV_42f34b52efc14701904e2bd69b949ebb_726" localSheetId="3">#REF!</definedName>
    <definedName name="_vena_MultiSiteS1_MultiSiteB1_R_FV_42f34b52efc14701904e2bd69b949ebb_726">#REF!</definedName>
    <definedName name="_vena_MultiSiteS1_MultiSiteB1_R_FV_42f34b52efc14701904e2bd69b949ebb_727" localSheetId="4">#REF!</definedName>
    <definedName name="_vena_MultiSiteS1_MultiSiteB1_R_FV_42f34b52efc14701904e2bd69b949ebb_727" localSheetId="5">#REF!</definedName>
    <definedName name="_vena_MultiSiteS1_MultiSiteB1_R_FV_42f34b52efc14701904e2bd69b949ebb_727" localSheetId="8">'[1]FY26 MYP-Multisite'!#REF!</definedName>
    <definedName name="_vena_MultiSiteS1_MultiSiteB1_R_FV_42f34b52efc14701904e2bd69b949ebb_727" localSheetId="3">#REF!</definedName>
    <definedName name="_vena_MultiSiteS1_MultiSiteB1_R_FV_42f34b52efc14701904e2bd69b949ebb_727">#REF!</definedName>
    <definedName name="_vena_MultiSiteS1_MultiSiteB1_R_FV_42f34b52efc14701904e2bd69b949ebb_728" localSheetId="4">#REF!</definedName>
    <definedName name="_vena_MultiSiteS1_MultiSiteB1_R_FV_42f34b52efc14701904e2bd69b949ebb_728" localSheetId="5">#REF!</definedName>
    <definedName name="_vena_MultiSiteS1_MultiSiteB1_R_FV_42f34b52efc14701904e2bd69b949ebb_728" localSheetId="8">'[1]FY26 MYP-Multisite'!#REF!</definedName>
    <definedName name="_vena_MultiSiteS1_MultiSiteB1_R_FV_42f34b52efc14701904e2bd69b949ebb_728" localSheetId="3">#REF!</definedName>
    <definedName name="_vena_MultiSiteS1_MultiSiteB1_R_FV_42f34b52efc14701904e2bd69b949ebb_728">#REF!</definedName>
    <definedName name="_vena_MultiSiteS1_MultiSiteB1_R_FV_42f34b52efc14701904e2bd69b949ebb_729" localSheetId="4">#REF!</definedName>
    <definedName name="_vena_MultiSiteS1_MultiSiteB1_R_FV_42f34b52efc14701904e2bd69b949ebb_729" localSheetId="5">#REF!</definedName>
    <definedName name="_vena_MultiSiteS1_MultiSiteB1_R_FV_42f34b52efc14701904e2bd69b949ebb_729" localSheetId="8">'[1]FY26 MYP-Multisite'!#REF!</definedName>
    <definedName name="_vena_MultiSiteS1_MultiSiteB1_R_FV_42f34b52efc14701904e2bd69b949ebb_729" localSheetId="3">#REF!</definedName>
    <definedName name="_vena_MultiSiteS1_MultiSiteB1_R_FV_42f34b52efc14701904e2bd69b949ebb_729">#REF!</definedName>
    <definedName name="_vena_MultiSiteS1_MultiSiteB1_R_FV_42f34b52efc14701904e2bd69b949ebb_73">#REF!</definedName>
    <definedName name="_vena_MultiSiteS1_MultiSiteB1_R_FV_42f34b52efc14701904e2bd69b949ebb_730" localSheetId="4">#REF!</definedName>
    <definedName name="_vena_MultiSiteS1_MultiSiteB1_R_FV_42f34b52efc14701904e2bd69b949ebb_730" localSheetId="5">#REF!</definedName>
    <definedName name="_vena_MultiSiteS1_MultiSiteB1_R_FV_42f34b52efc14701904e2bd69b949ebb_730" localSheetId="8">'[1]FY26 MYP-Multisite'!#REF!</definedName>
    <definedName name="_vena_MultiSiteS1_MultiSiteB1_R_FV_42f34b52efc14701904e2bd69b949ebb_730" localSheetId="3">#REF!</definedName>
    <definedName name="_vena_MultiSiteS1_MultiSiteB1_R_FV_42f34b52efc14701904e2bd69b949ebb_730">#REF!</definedName>
    <definedName name="_vena_MultiSiteS1_MultiSiteB1_R_FV_42f34b52efc14701904e2bd69b949ebb_731" localSheetId="4">#REF!</definedName>
    <definedName name="_vena_MultiSiteS1_MultiSiteB1_R_FV_42f34b52efc14701904e2bd69b949ebb_731" localSheetId="5">#REF!</definedName>
    <definedName name="_vena_MultiSiteS1_MultiSiteB1_R_FV_42f34b52efc14701904e2bd69b949ebb_731" localSheetId="8">'[1]FY26 MYP-Multisite'!#REF!</definedName>
    <definedName name="_vena_MultiSiteS1_MultiSiteB1_R_FV_42f34b52efc14701904e2bd69b949ebb_731" localSheetId="3">#REF!</definedName>
    <definedName name="_vena_MultiSiteS1_MultiSiteB1_R_FV_42f34b52efc14701904e2bd69b949ebb_731">#REF!</definedName>
    <definedName name="_vena_MultiSiteS1_MultiSiteB1_R_FV_42f34b52efc14701904e2bd69b949ebb_732" localSheetId="4">#REF!</definedName>
    <definedName name="_vena_MultiSiteS1_MultiSiteB1_R_FV_42f34b52efc14701904e2bd69b949ebb_732" localSheetId="5">#REF!</definedName>
    <definedName name="_vena_MultiSiteS1_MultiSiteB1_R_FV_42f34b52efc14701904e2bd69b949ebb_732" localSheetId="8">'[1]FY26 MYP-Multisite'!#REF!</definedName>
    <definedName name="_vena_MultiSiteS1_MultiSiteB1_R_FV_42f34b52efc14701904e2bd69b949ebb_732" localSheetId="3">#REF!</definedName>
    <definedName name="_vena_MultiSiteS1_MultiSiteB1_R_FV_42f34b52efc14701904e2bd69b949ebb_732">#REF!</definedName>
    <definedName name="_vena_MultiSiteS1_MultiSiteB1_R_FV_42f34b52efc14701904e2bd69b949ebb_733" localSheetId="4">#REF!</definedName>
    <definedName name="_vena_MultiSiteS1_MultiSiteB1_R_FV_42f34b52efc14701904e2bd69b949ebb_733" localSheetId="5">#REF!</definedName>
    <definedName name="_vena_MultiSiteS1_MultiSiteB1_R_FV_42f34b52efc14701904e2bd69b949ebb_733" localSheetId="8">'[1]FY26 MYP-Multisite'!#REF!</definedName>
    <definedName name="_vena_MultiSiteS1_MultiSiteB1_R_FV_42f34b52efc14701904e2bd69b949ebb_733" localSheetId="3">#REF!</definedName>
    <definedName name="_vena_MultiSiteS1_MultiSiteB1_R_FV_42f34b52efc14701904e2bd69b949ebb_733">#REF!</definedName>
    <definedName name="_vena_MultiSiteS1_MultiSiteB1_R_FV_42f34b52efc14701904e2bd69b949ebb_734" localSheetId="4">#REF!</definedName>
    <definedName name="_vena_MultiSiteS1_MultiSiteB1_R_FV_42f34b52efc14701904e2bd69b949ebb_734" localSheetId="5">#REF!</definedName>
    <definedName name="_vena_MultiSiteS1_MultiSiteB1_R_FV_42f34b52efc14701904e2bd69b949ebb_734" localSheetId="8">'[1]FY26 MYP-Multisite'!#REF!</definedName>
    <definedName name="_vena_MultiSiteS1_MultiSiteB1_R_FV_42f34b52efc14701904e2bd69b949ebb_734" localSheetId="3">#REF!</definedName>
    <definedName name="_vena_MultiSiteS1_MultiSiteB1_R_FV_42f34b52efc14701904e2bd69b949ebb_734">#REF!</definedName>
    <definedName name="_vena_MultiSiteS1_MultiSiteB1_R_FV_42f34b52efc14701904e2bd69b949ebb_735" localSheetId="4">#REF!</definedName>
    <definedName name="_vena_MultiSiteS1_MultiSiteB1_R_FV_42f34b52efc14701904e2bd69b949ebb_735" localSheetId="5">#REF!</definedName>
    <definedName name="_vena_MultiSiteS1_MultiSiteB1_R_FV_42f34b52efc14701904e2bd69b949ebb_735" localSheetId="8">'[1]FY26 MYP-Multisite'!#REF!</definedName>
    <definedName name="_vena_MultiSiteS1_MultiSiteB1_R_FV_42f34b52efc14701904e2bd69b949ebb_735" localSheetId="3">#REF!</definedName>
    <definedName name="_vena_MultiSiteS1_MultiSiteB1_R_FV_42f34b52efc14701904e2bd69b949ebb_735">#REF!</definedName>
    <definedName name="_vena_MultiSiteS1_MultiSiteB1_R_FV_42f34b52efc14701904e2bd69b949ebb_736" localSheetId="4">#REF!</definedName>
    <definedName name="_vena_MultiSiteS1_MultiSiteB1_R_FV_42f34b52efc14701904e2bd69b949ebb_736" localSheetId="5">#REF!</definedName>
    <definedName name="_vena_MultiSiteS1_MultiSiteB1_R_FV_42f34b52efc14701904e2bd69b949ebb_736" localSheetId="8">'[1]FY26 MYP-Multisite'!#REF!</definedName>
    <definedName name="_vena_MultiSiteS1_MultiSiteB1_R_FV_42f34b52efc14701904e2bd69b949ebb_736" localSheetId="3">#REF!</definedName>
    <definedName name="_vena_MultiSiteS1_MultiSiteB1_R_FV_42f34b52efc14701904e2bd69b949ebb_736">#REF!</definedName>
    <definedName name="_vena_MultiSiteS1_MultiSiteB1_R_FV_42f34b52efc14701904e2bd69b949ebb_737" localSheetId="4">#REF!</definedName>
    <definedName name="_vena_MultiSiteS1_MultiSiteB1_R_FV_42f34b52efc14701904e2bd69b949ebb_737" localSheetId="5">#REF!</definedName>
    <definedName name="_vena_MultiSiteS1_MultiSiteB1_R_FV_42f34b52efc14701904e2bd69b949ebb_737" localSheetId="8">'[1]FY26 MYP-Multisite'!#REF!</definedName>
    <definedName name="_vena_MultiSiteS1_MultiSiteB1_R_FV_42f34b52efc14701904e2bd69b949ebb_737" localSheetId="3">#REF!</definedName>
    <definedName name="_vena_MultiSiteS1_MultiSiteB1_R_FV_42f34b52efc14701904e2bd69b949ebb_737">#REF!</definedName>
    <definedName name="_vena_MultiSiteS1_MultiSiteB1_R_FV_42f34b52efc14701904e2bd69b949ebb_738" localSheetId="4">#REF!</definedName>
    <definedName name="_vena_MultiSiteS1_MultiSiteB1_R_FV_42f34b52efc14701904e2bd69b949ebb_738" localSheetId="5">#REF!</definedName>
    <definedName name="_vena_MultiSiteS1_MultiSiteB1_R_FV_42f34b52efc14701904e2bd69b949ebb_738" localSheetId="8">'[1]FY26 MYP-Multisite'!#REF!</definedName>
    <definedName name="_vena_MultiSiteS1_MultiSiteB1_R_FV_42f34b52efc14701904e2bd69b949ebb_738" localSheetId="3">#REF!</definedName>
    <definedName name="_vena_MultiSiteS1_MultiSiteB1_R_FV_42f34b52efc14701904e2bd69b949ebb_738">#REF!</definedName>
    <definedName name="_vena_MultiSiteS1_MultiSiteB1_R_FV_42f34b52efc14701904e2bd69b949ebb_739" localSheetId="4">#REF!</definedName>
    <definedName name="_vena_MultiSiteS1_MultiSiteB1_R_FV_42f34b52efc14701904e2bd69b949ebb_739" localSheetId="5">#REF!</definedName>
    <definedName name="_vena_MultiSiteS1_MultiSiteB1_R_FV_42f34b52efc14701904e2bd69b949ebb_739" localSheetId="8">'[1]FY26 MYP-Multisite'!#REF!</definedName>
    <definedName name="_vena_MultiSiteS1_MultiSiteB1_R_FV_42f34b52efc14701904e2bd69b949ebb_739" localSheetId="3">#REF!</definedName>
    <definedName name="_vena_MultiSiteS1_MultiSiteB1_R_FV_42f34b52efc14701904e2bd69b949ebb_739">#REF!</definedName>
    <definedName name="_vena_MultiSiteS1_MultiSiteB1_R_FV_42f34b52efc14701904e2bd69b949ebb_74">#REF!</definedName>
    <definedName name="_vena_MultiSiteS1_MultiSiteB1_R_FV_42f34b52efc14701904e2bd69b949ebb_740" localSheetId="4">#REF!</definedName>
    <definedName name="_vena_MultiSiteS1_MultiSiteB1_R_FV_42f34b52efc14701904e2bd69b949ebb_740" localSheetId="5">#REF!</definedName>
    <definedName name="_vena_MultiSiteS1_MultiSiteB1_R_FV_42f34b52efc14701904e2bd69b949ebb_740" localSheetId="8">'[1]FY26 MYP-Multisite'!#REF!</definedName>
    <definedName name="_vena_MultiSiteS1_MultiSiteB1_R_FV_42f34b52efc14701904e2bd69b949ebb_740" localSheetId="3">#REF!</definedName>
    <definedName name="_vena_MultiSiteS1_MultiSiteB1_R_FV_42f34b52efc14701904e2bd69b949ebb_740">#REF!</definedName>
    <definedName name="_vena_MultiSiteS1_MultiSiteB1_R_FV_42f34b52efc14701904e2bd69b949ebb_741" localSheetId="4">#REF!</definedName>
    <definedName name="_vena_MultiSiteS1_MultiSiteB1_R_FV_42f34b52efc14701904e2bd69b949ebb_741" localSheetId="5">#REF!</definedName>
    <definedName name="_vena_MultiSiteS1_MultiSiteB1_R_FV_42f34b52efc14701904e2bd69b949ebb_741" localSheetId="8">'[1]FY26 MYP-Multisite'!#REF!</definedName>
    <definedName name="_vena_MultiSiteS1_MultiSiteB1_R_FV_42f34b52efc14701904e2bd69b949ebb_741" localSheetId="3">#REF!</definedName>
    <definedName name="_vena_MultiSiteS1_MultiSiteB1_R_FV_42f34b52efc14701904e2bd69b949ebb_741">#REF!</definedName>
    <definedName name="_vena_MultiSiteS1_MultiSiteB1_R_FV_42f34b52efc14701904e2bd69b949ebb_742" localSheetId="4">#REF!</definedName>
    <definedName name="_vena_MultiSiteS1_MultiSiteB1_R_FV_42f34b52efc14701904e2bd69b949ebb_742" localSheetId="5">#REF!</definedName>
    <definedName name="_vena_MultiSiteS1_MultiSiteB1_R_FV_42f34b52efc14701904e2bd69b949ebb_742" localSheetId="8">'[1]FY26 MYP-Multisite'!#REF!</definedName>
    <definedName name="_vena_MultiSiteS1_MultiSiteB1_R_FV_42f34b52efc14701904e2bd69b949ebb_742" localSheetId="3">#REF!</definedName>
    <definedName name="_vena_MultiSiteS1_MultiSiteB1_R_FV_42f34b52efc14701904e2bd69b949ebb_742">#REF!</definedName>
    <definedName name="_vena_MultiSiteS1_MultiSiteB1_R_FV_42f34b52efc14701904e2bd69b949ebb_743" localSheetId="4">#REF!</definedName>
    <definedName name="_vena_MultiSiteS1_MultiSiteB1_R_FV_42f34b52efc14701904e2bd69b949ebb_743" localSheetId="5">#REF!</definedName>
    <definedName name="_vena_MultiSiteS1_MultiSiteB1_R_FV_42f34b52efc14701904e2bd69b949ebb_743" localSheetId="8">'[1]FY26 MYP-Multisite'!#REF!</definedName>
    <definedName name="_vena_MultiSiteS1_MultiSiteB1_R_FV_42f34b52efc14701904e2bd69b949ebb_743" localSheetId="3">#REF!</definedName>
    <definedName name="_vena_MultiSiteS1_MultiSiteB1_R_FV_42f34b52efc14701904e2bd69b949ebb_743">#REF!</definedName>
    <definedName name="_vena_MultiSiteS1_MultiSiteB1_R_FV_42f34b52efc14701904e2bd69b949ebb_744" localSheetId="4">#REF!</definedName>
    <definedName name="_vena_MultiSiteS1_MultiSiteB1_R_FV_42f34b52efc14701904e2bd69b949ebb_744" localSheetId="5">#REF!</definedName>
    <definedName name="_vena_MultiSiteS1_MultiSiteB1_R_FV_42f34b52efc14701904e2bd69b949ebb_744" localSheetId="8">'[1]FY26 MYP-Multisite'!#REF!</definedName>
    <definedName name="_vena_MultiSiteS1_MultiSiteB1_R_FV_42f34b52efc14701904e2bd69b949ebb_744" localSheetId="3">#REF!</definedName>
    <definedName name="_vena_MultiSiteS1_MultiSiteB1_R_FV_42f34b52efc14701904e2bd69b949ebb_744">#REF!</definedName>
    <definedName name="_vena_MultiSiteS1_MultiSiteB1_R_FV_42f34b52efc14701904e2bd69b949ebb_745" localSheetId="4">#REF!</definedName>
    <definedName name="_vena_MultiSiteS1_MultiSiteB1_R_FV_42f34b52efc14701904e2bd69b949ebb_745" localSheetId="5">#REF!</definedName>
    <definedName name="_vena_MultiSiteS1_MultiSiteB1_R_FV_42f34b52efc14701904e2bd69b949ebb_745" localSheetId="8">'[1]FY26 MYP-Multisite'!#REF!</definedName>
    <definedName name="_vena_MultiSiteS1_MultiSiteB1_R_FV_42f34b52efc14701904e2bd69b949ebb_745" localSheetId="3">#REF!</definedName>
    <definedName name="_vena_MultiSiteS1_MultiSiteB1_R_FV_42f34b52efc14701904e2bd69b949ebb_745">#REF!</definedName>
    <definedName name="_vena_MultiSiteS1_MultiSiteB1_R_FV_42f34b52efc14701904e2bd69b949ebb_746" localSheetId="4">#REF!</definedName>
    <definedName name="_vena_MultiSiteS1_MultiSiteB1_R_FV_42f34b52efc14701904e2bd69b949ebb_746" localSheetId="5">#REF!</definedName>
    <definedName name="_vena_MultiSiteS1_MultiSiteB1_R_FV_42f34b52efc14701904e2bd69b949ebb_746" localSheetId="8">'[1]FY26 MYP-Multisite'!#REF!</definedName>
    <definedName name="_vena_MultiSiteS1_MultiSiteB1_R_FV_42f34b52efc14701904e2bd69b949ebb_746" localSheetId="3">#REF!</definedName>
    <definedName name="_vena_MultiSiteS1_MultiSiteB1_R_FV_42f34b52efc14701904e2bd69b949ebb_746">#REF!</definedName>
    <definedName name="_vena_MultiSiteS1_MultiSiteB1_R_FV_42f34b52efc14701904e2bd69b949ebb_747" localSheetId="4">#REF!</definedName>
    <definedName name="_vena_MultiSiteS1_MultiSiteB1_R_FV_42f34b52efc14701904e2bd69b949ebb_747" localSheetId="5">#REF!</definedName>
    <definedName name="_vena_MultiSiteS1_MultiSiteB1_R_FV_42f34b52efc14701904e2bd69b949ebb_747" localSheetId="8">'[1]FY26 MYP-Multisite'!#REF!</definedName>
    <definedName name="_vena_MultiSiteS1_MultiSiteB1_R_FV_42f34b52efc14701904e2bd69b949ebb_747" localSheetId="3">#REF!</definedName>
    <definedName name="_vena_MultiSiteS1_MultiSiteB1_R_FV_42f34b52efc14701904e2bd69b949ebb_747">#REF!</definedName>
    <definedName name="_vena_MultiSiteS1_MultiSiteB1_R_FV_42f34b52efc14701904e2bd69b949ebb_748" localSheetId="4">#REF!</definedName>
    <definedName name="_vena_MultiSiteS1_MultiSiteB1_R_FV_42f34b52efc14701904e2bd69b949ebb_748" localSheetId="5">#REF!</definedName>
    <definedName name="_vena_MultiSiteS1_MultiSiteB1_R_FV_42f34b52efc14701904e2bd69b949ebb_748" localSheetId="8">'[1]FY26 MYP-Multisite'!#REF!</definedName>
    <definedName name="_vena_MultiSiteS1_MultiSiteB1_R_FV_42f34b52efc14701904e2bd69b949ebb_748" localSheetId="3">#REF!</definedName>
    <definedName name="_vena_MultiSiteS1_MultiSiteB1_R_FV_42f34b52efc14701904e2bd69b949ebb_748">#REF!</definedName>
    <definedName name="_vena_MultiSiteS1_MultiSiteB1_R_FV_42f34b52efc14701904e2bd69b949ebb_749" localSheetId="4">#REF!</definedName>
    <definedName name="_vena_MultiSiteS1_MultiSiteB1_R_FV_42f34b52efc14701904e2bd69b949ebb_749" localSheetId="5">#REF!</definedName>
    <definedName name="_vena_MultiSiteS1_MultiSiteB1_R_FV_42f34b52efc14701904e2bd69b949ebb_749" localSheetId="8">'[1]FY26 MYP-Multisite'!#REF!</definedName>
    <definedName name="_vena_MultiSiteS1_MultiSiteB1_R_FV_42f34b52efc14701904e2bd69b949ebb_749" localSheetId="3">#REF!</definedName>
    <definedName name="_vena_MultiSiteS1_MultiSiteB1_R_FV_42f34b52efc14701904e2bd69b949ebb_749">#REF!</definedName>
    <definedName name="_vena_MultiSiteS1_MultiSiteB1_R_FV_42f34b52efc14701904e2bd69b949ebb_75">#REF!</definedName>
    <definedName name="_vena_MultiSiteS1_MultiSiteB1_R_FV_42f34b52efc14701904e2bd69b949ebb_750" localSheetId="4">#REF!</definedName>
    <definedName name="_vena_MultiSiteS1_MultiSiteB1_R_FV_42f34b52efc14701904e2bd69b949ebb_750" localSheetId="5">#REF!</definedName>
    <definedName name="_vena_MultiSiteS1_MultiSiteB1_R_FV_42f34b52efc14701904e2bd69b949ebb_750" localSheetId="8">'[1]FY26 MYP-Multisite'!#REF!</definedName>
    <definedName name="_vena_MultiSiteS1_MultiSiteB1_R_FV_42f34b52efc14701904e2bd69b949ebb_750" localSheetId="3">#REF!</definedName>
    <definedName name="_vena_MultiSiteS1_MultiSiteB1_R_FV_42f34b52efc14701904e2bd69b949ebb_750">#REF!</definedName>
    <definedName name="_vena_MultiSiteS1_MultiSiteB1_R_FV_42f34b52efc14701904e2bd69b949ebb_751" localSheetId="4">#REF!</definedName>
    <definedName name="_vena_MultiSiteS1_MultiSiteB1_R_FV_42f34b52efc14701904e2bd69b949ebb_751" localSheetId="5">#REF!</definedName>
    <definedName name="_vena_MultiSiteS1_MultiSiteB1_R_FV_42f34b52efc14701904e2bd69b949ebb_751" localSheetId="8">'[1]FY26 MYP-Multisite'!#REF!</definedName>
    <definedName name="_vena_MultiSiteS1_MultiSiteB1_R_FV_42f34b52efc14701904e2bd69b949ebb_751" localSheetId="3">#REF!</definedName>
    <definedName name="_vena_MultiSiteS1_MultiSiteB1_R_FV_42f34b52efc14701904e2bd69b949ebb_751">#REF!</definedName>
    <definedName name="_vena_MultiSiteS1_MultiSiteB1_R_FV_42f34b52efc14701904e2bd69b949ebb_752" localSheetId="4">#REF!</definedName>
    <definedName name="_vena_MultiSiteS1_MultiSiteB1_R_FV_42f34b52efc14701904e2bd69b949ebb_752" localSheetId="5">#REF!</definedName>
    <definedName name="_vena_MultiSiteS1_MultiSiteB1_R_FV_42f34b52efc14701904e2bd69b949ebb_752" localSheetId="8">'[1]FY26 MYP-Multisite'!#REF!</definedName>
    <definedName name="_vena_MultiSiteS1_MultiSiteB1_R_FV_42f34b52efc14701904e2bd69b949ebb_752" localSheetId="3">#REF!</definedName>
    <definedName name="_vena_MultiSiteS1_MultiSiteB1_R_FV_42f34b52efc14701904e2bd69b949ebb_752">#REF!</definedName>
    <definedName name="_vena_MultiSiteS1_MultiSiteB1_R_FV_42f34b52efc14701904e2bd69b949ebb_753" localSheetId="4">#REF!</definedName>
    <definedName name="_vena_MultiSiteS1_MultiSiteB1_R_FV_42f34b52efc14701904e2bd69b949ebb_753" localSheetId="5">#REF!</definedName>
    <definedName name="_vena_MultiSiteS1_MultiSiteB1_R_FV_42f34b52efc14701904e2bd69b949ebb_753" localSheetId="8">'[1]FY26 MYP-Multisite'!#REF!</definedName>
    <definedName name="_vena_MultiSiteS1_MultiSiteB1_R_FV_42f34b52efc14701904e2bd69b949ebb_753" localSheetId="3">#REF!</definedName>
    <definedName name="_vena_MultiSiteS1_MultiSiteB1_R_FV_42f34b52efc14701904e2bd69b949ebb_753">#REF!</definedName>
    <definedName name="_vena_MultiSiteS1_MultiSiteB1_R_FV_42f34b52efc14701904e2bd69b949ebb_754" localSheetId="4">#REF!</definedName>
    <definedName name="_vena_MultiSiteS1_MultiSiteB1_R_FV_42f34b52efc14701904e2bd69b949ebb_754" localSheetId="5">#REF!</definedName>
    <definedName name="_vena_MultiSiteS1_MultiSiteB1_R_FV_42f34b52efc14701904e2bd69b949ebb_754" localSheetId="8">'[1]FY26 MYP-Multisite'!#REF!</definedName>
    <definedName name="_vena_MultiSiteS1_MultiSiteB1_R_FV_42f34b52efc14701904e2bd69b949ebb_754" localSheetId="3">#REF!</definedName>
    <definedName name="_vena_MultiSiteS1_MultiSiteB1_R_FV_42f34b52efc14701904e2bd69b949ebb_754">#REF!</definedName>
    <definedName name="_vena_MultiSiteS1_MultiSiteB1_R_FV_42f34b52efc14701904e2bd69b949ebb_755" localSheetId="4">#REF!</definedName>
    <definedName name="_vena_MultiSiteS1_MultiSiteB1_R_FV_42f34b52efc14701904e2bd69b949ebb_755" localSheetId="5">#REF!</definedName>
    <definedName name="_vena_MultiSiteS1_MultiSiteB1_R_FV_42f34b52efc14701904e2bd69b949ebb_755" localSheetId="8">'[1]FY26 MYP-Multisite'!#REF!</definedName>
    <definedName name="_vena_MultiSiteS1_MultiSiteB1_R_FV_42f34b52efc14701904e2bd69b949ebb_755" localSheetId="3">#REF!</definedName>
    <definedName name="_vena_MultiSiteS1_MultiSiteB1_R_FV_42f34b52efc14701904e2bd69b949ebb_755">#REF!</definedName>
    <definedName name="_vena_MultiSiteS1_MultiSiteB1_R_FV_42f34b52efc14701904e2bd69b949ebb_756" localSheetId="4">#REF!</definedName>
    <definedName name="_vena_MultiSiteS1_MultiSiteB1_R_FV_42f34b52efc14701904e2bd69b949ebb_756" localSheetId="5">#REF!</definedName>
    <definedName name="_vena_MultiSiteS1_MultiSiteB1_R_FV_42f34b52efc14701904e2bd69b949ebb_756" localSheetId="8">'[1]FY26 MYP-Multisite'!#REF!</definedName>
    <definedName name="_vena_MultiSiteS1_MultiSiteB1_R_FV_42f34b52efc14701904e2bd69b949ebb_756" localSheetId="3">#REF!</definedName>
    <definedName name="_vena_MultiSiteS1_MultiSiteB1_R_FV_42f34b52efc14701904e2bd69b949ebb_756">#REF!</definedName>
    <definedName name="_vena_MultiSiteS1_MultiSiteB1_R_FV_42f34b52efc14701904e2bd69b949ebb_757" localSheetId="4">#REF!</definedName>
    <definedName name="_vena_MultiSiteS1_MultiSiteB1_R_FV_42f34b52efc14701904e2bd69b949ebb_757" localSheetId="5">#REF!</definedName>
    <definedName name="_vena_MultiSiteS1_MultiSiteB1_R_FV_42f34b52efc14701904e2bd69b949ebb_757" localSheetId="8">'[1]FY26 MYP-Multisite'!#REF!</definedName>
    <definedName name="_vena_MultiSiteS1_MultiSiteB1_R_FV_42f34b52efc14701904e2bd69b949ebb_757" localSheetId="3">#REF!</definedName>
    <definedName name="_vena_MultiSiteS1_MultiSiteB1_R_FV_42f34b52efc14701904e2bd69b949ebb_757">#REF!</definedName>
    <definedName name="_vena_MultiSiteS1_MultiSiteB1_R_FV_42f34b52efc14701904e2bd69b949ebb_758" localSheetId="4">#REF!</definedName>
    <definedName name="_vena_MultiSiteS1_MultiSiteB1_R_FV_42f34b52efc14701904e2bd69b949ebb_758" localSheetId="5">#REF!</definedName>
    <definedName name="_vena_MultiSiteS1_MultiSiteB1_R_FV_42f34b52efc14701904e2bd69b949ebb_758" localSheetId="8">'[1]FY26 MYP-Multisite'!#REF!</definedName>
    <definedName name="_vena_MultiSiteS1_MultiSiteB1_R_FV_42f34b52efc14701904e2bd69b949ebb_758" localSheetId="3">#REF!</definedName>
    <definedName name="_vena_MultiSiteS1_MultiSiteB1_R_FV_42f34b52efc14701904e2bd69b949ebb_758">#REF!</definedName>
    <definedName name="_vena_MultiSiteS1_MultiSiteB1_R_FV_42f34b52efc14701904e2bd69b949ebb_759" localSheetId="4">#REF!</definedName>
    <definedName name="_vena_MultiSiteS1_MultiSiteB1_R_FV_42f34b52efc14701904e2bd69b949ebb_759" localSheetId="5">#REF!</definedName>
    <definedName name="_vena_MultiSiteS1_MultiSiteB1_R_FV_42f34b52efc14701904e2bd69b949ebb_759" localSheetId="8">'[1]FY26 MYP-Multisite'!#REF!</definedName>
    <definedName name="_vena_MultiSiteS1_MultiSiteB1_R_FV_42f34b52efc14701904e2bd69b949ebb_759" localSheetId="3">#REF!</definedName>
    <definedName name="_vena_MultiSiteS1_MultiSiteB1_R_FV_42f34b52efc14701904e2bd69b949ebb_759">#REF!</definedName>
    <definedName name="_vena_MultiSiteS1_MultiSiteB1_R_FV_42f34b52efc14701904e2bd69b949ebb_76">#REF!</definedName>
    <definedName name="_vena_MultiSiteS1_MultiSiteB1_R_FV_42f34b52efc14701904e2bd69b949ebb_760" localSheetId="4">#REF!</definedName>
    <definedName name="_vena_MultiSiteS1_MultiSiteB1_R_FV_42f34b52efc14701904e2bd69b949ebb_760" localSheetId="5">#REF!</definedName>
    <definedName name="_vena_MultiSiteS1_MultiSiteB1_R_FV_42f34b52efc14701904e2bd69b949ebb_760" localSheetId="8">'[1]FY26 MYP-Multisite'!#REF!</definedName>
    <definedName name="_vena_MultiSiteS1_MultiSiteB1_R_FV_42f34b52efc14701904e2bd69b949ebb_760" localSheetId="3">#REF!</definedName>
    <definedName name="_vena_MultiSiteS1_MultiSiteB1_R_FV_42f34b52efc14701904e2bd69b949ebb_760">#REF!</definedName>
    <definedName name="_vena_MultiSiteS1_MultiSiteB1_R_FV_42f34b52efc14701904e2bd69b949ebb_761" localSheetId="4">#REF!</definedName>
    <definedName name="_vena_MultiSiteS1_MultiSiteB1_R_FV_42f34b52efc14701904e2bd69b949ebb_761" localSheetId="5">#REF!</definedName>
    <definedName name="_vena_MultiSiteS1_MultiSiteB1_R_FV_42f34b52efc14701904e2bd69b949ebb_761" localSheetId="8">'[1]FY26 MYP-Multisite'!#REF!</definedName>
    <definedName name="_vena_MultiSiteS1_MultiSiteB1_R_FV_42f34b52efc14701904e2bd69b949ebb_761" localSheetId="3">#REF!</definedName>
    <definedName name="_vena_MultiSiteS1_MultiSiteB1_R_FV_42f34b52efc14701904e2bd69b949ebb_761">#REF!</definedName>
    <definedName name="_vena_MultiSiteS1_MultiSiteB1_R_FV_42f34b52efc14701904e2bd69b949ebb_762" localSheetId="4">#REF!</definedName>
    <definedName name="_vena_MultiSiteS1_MultiSiteB1_R_FV_42f34b52efc14701904e2bd69b949ebb_762" localSheetId="5">#REF!</definedName>
    <definedName name="_vena_MultiSiteS1_MultiSiteB1_R_FV_42f34b52efc14701904e2bd69b949ebb_762" localSheetId="8">'[1]FY26 MYP-Multisite'!#REF!</definedName>
    <definedName name="_vena_MultiSiteS1_MultiSiteB1_R_FV_42f34b52efc14701904e2bd69b949ebb_762" localSheetId="3">#REF!</definedName>
    <definedName name="_vena_MultiSiteS1_MultiSiteB1_R_FV_42f34b52efc14701904e2bd69b949ebb_762">#REF!</definedName>
    <definedName name="_vena_MultiSiteS1_MultiSiteB1_R_FV_42f34b52efc14701904e2bd69b949ebb_763" localSheetId="4">#REF!</definedName>
    <definedName name="_vena_MultiSiteS1_MultiSiteB1_R_FV_42f34b52efc14701904e2bd69b949ebb_763" localSheetId="5">#REF!</definedName>
    <definedName name="_vena_MultiSiteS1_MultiSiteB1_R_FV_42f34b52efc14701904e2bd69b949ebb_763" localSheetId="8">'[1]FY26 MYP-Multisite'!#REF!</definedName>
    <definedName name="_vena_MultiSiteS1_MultiSiteB1_R_FV_42f34b52efc14701904e2bd69b949ebb_763" localSheetId="3">#REF!</definedName>
    <definedName name="_vena_MultiSiteS1_MultiSiteB1_R_FV_42f34b52efc14701904e2bd69b949ebb_763">#REF!</definedName>
    <definedName name="_vena_MultiSiteS1_MultiSiteB1_R_FV_42f34b52efc14701904e2bd69b949ebb_764" localSheetId="4">#REF!</definedName>
    <definedName name="_vena_MultiSiteS1_MultiSiteB1_R_FV_42f34b52efc14701904e2bd69b949ebb_764" localSheetId="5">#REF!</definedName>
    <definedName name="_vena_MultiSiteS1_MultiSiteB1_R_FV_42f34b52efc14701904e2bd69b949ebb_764" localSheetId="8">'[1]FY26 MYP-Multisite'!#REF!</definedName>
    <definedName name="_vena_MultiSiteS1_MultiSiteB1_R_FV_42f34b52efc14701904e2bd69b949ebb_764" localSheetId="3">#REF!</definedName>
    <definedName name="_vena_MultiSiteS1_MultiSiteB1_R_FV_42f34b52efc14701904e2bd69b949ebb_764">#REF!</definedName>
    <definedName name="_vena_MultiSiteS1_MultiSiteB1_R_FV_42f34b52efc14701904e2bd69b949ebb_765" localSheetId="4">#REF!</definedName>
    <definedName name="_vena_MultiSiteS1_MultiSiteB1_R_FV_42f34b52efc14701904e2bd69b949ebb_765" localSheetId="5">#REF!</definedName>
    <definedName name="_vena_MultiSiteS1_MultiSiteB1_R_FV_42f34b52efc14701904e2bd69b949ebb_765" localSheetId="8">'[1]FY26 MYP-Multisite'!#REF!</definedName>
    <definedName name="_vena_MultiSiteS1_MultiSiteB1_R_FV_42f34b52efc14701904e2bd69b949ebb_765" localSheetId="3">#REF!</definedName>
    <definedName name="_vena_MultiSiteS1_MultiSiteB1_R_FV_42f34b52efc14701904e2bd69b949ebb_765">#REF!</definedName>
    <definedName name="_vena_MultiSiteS1_MultiSiteB1_R_FV_42f34b52efc14701904e2bd69b949ebb_766" localSheetId="4">#REF!</definedName>
    <definedName name="_vena_MultiSiteS1_MultiSiteB1_R_FV_42f34b52efc14701904e2bd69b949ebb_766" localSheetId="5">#REF!</definedName>
    <definedName name="_vena_MultiSiteS1_MultiSiteB1_R_FV_42f34b52efc14701904e2bd69b949ebb_766" localSheetId="8">'[1]FY26 MYP-Multisite'!#REF!</definedName>
    <definedName name="_vena_MultiSiteS1_MultiSiteB1_R_FV_42f34b52efc14701904e2bd69b949ebb_766" localSheetId="3">#REF!</definedName>
    <definedName name="_vena_MultiSiteS1_MultiSiteB1_R_FV_42f34b52efc14701904e2bd69b949ebb_766">#REF!</definedName>
    <definedName name="_vena_MultiSiteS1_MultiSiteB1_R_FV_42f34b52efc14701904e2bd69b949ebb_767" localSheetId="4">#REF!</definedName>
    <definedName name="_vena_MultiSiteS1_MultiSiteB1_R_FV_42f34b52efc14701904e2bd69b949ebb_767" localSheetId="5">#REF!</definedName>
    <definedName name="_vena_MultiSiteS1_MultiSiteB1_R_FV_42f34b52efc14701904e2bd69b949ebb_767" localSheetId="8">'[1]FY26 MYP-Multisite'!#REF!</definedName>
    <definedName name="_vena_MultiSiteS1_MultiSiteB1_R_FV_42f34b52efc14701904e2bd69b949ebb_767" localSheetId="3">#REF!</definedName>
    <definedName name="_vena_MultiSiteS1_MultiSiteB1_R_FV_42f34b52efc14701904e2bd69b949ebb_767">#REF!</definedName>
    <definedName name="_vena_MultiSiteS1_MultiSiteB1_R_FV_42f34b52efc14701904e2bd69b949ebb_768" localSheetId="4">#REF!</definedName>
    <definedName name="_vena_MultiSiteS1_MultiSiteB1_R_FV_42f34b52efc14701904e2bd69b949ebb_768" localSheetId="5">#REF!</definedName>
    <definedName name="_vena_MultiSiteS1_MultiSiteB1_R_FV_42f34b52efc14701904e2bd69b949ebb_768" localSheetId="8">'[1]FY26 MYP-Multisite'!#REF!</definedName>
    <definedName name="_vena_MultiSiteS1_MultiSiteB1_R_FV_42f34b52efc14701904e2bd69b949ebb_768" localSheetId="3">#REF!</definedName>
    <definedName name="_vena_MultiSiteS1_MultiSiteB1_R_FV_42f34b52efc14701904e2bd69b949ebb_768">#REF!</definedName>
    <definedName name="_vena_MultiSiteS1_MultiSiteB1_R_FV_42f34b52efc14701904e2bd69b949ebb_769" localSheetId="4">#REF!</definedName>
    <definedName name="_vena_MultiSiteS1_MultiSiteB1_R_FV_42f34b52efc14701904e2bd69b949ebb_769" localSheetId="5">#REF!</definedName>
    <definedName name="_vena_MultiSiteS1_MultiSiteB1_R_FV_42f34b52efc14701904e2bd69b949ebb_769" localSheetId="8">'[1]FY26 MYP-Multisite'!#REF!</definedName>
    <definedName name="_vena_MultiSiteS1_MultiSiteB1_R_FV_42f34b52efc14701904e2bd69b949ebb_769" localSheetId="3">#REF!</definedName>
    <definedName name="_vena_MultiSiteS1_MultiSiteB1_R_FV_42f34b52efc14701904e2bd69b949ebb_769">#REF!</definedName>
    <definedName name="_vena_MultiSiteS1_MultiSiteB1_R_FV_42f34b52efc14701904e2bd69b949ebb_77">#REF!</definedName>
    <definedName name="_vena_MultiSiteS1_MultiSiteB1_R_FV_42f34b52efc14701904e2bd69b949ebb_770" localSheetId="4">#REF!</definedName>
    <definedName name="_vena_MultiSiteS1_MultiSiteB1_R_FV_42f34b52efc14701904e2bd69b949ebb_770" localSheetId="5">#REF!</definedName>
    <definedName name="_vena_MultiSiteS1_MultiSiteB1_R_FV_42f34b52efc14701904e2bd69b949ebb_770" localSheetId="8">'[1]FY26 MYP-Multisite'!#REF!</definedName>
    <definedName name="_vena_MultiSiteS1_MultiSiteB1_R_FV_42f34b52efc14701904e2bd69b949ebb_770" localSheetId="3">#REF!</definedName>
    <definedName name="_vena_MultiSiteS1_MultiSiteB1_R_FV_42f34b52efc14701904e2bd69b949ebb_770">#REF!</definedName>
    <definedName name="_vena_MultiSiteS1_MultiSiteB1_R_FV_42f34b52efc14701904e2bd69b949ebb_771" localSheetId="4">#REF!</definedName>
    <definedName name="_vena_MultiSiteS1_MultiSiteB1_R_FV_42f34b52efc14701904e2bd69b949ebb_771" localSheetId="5">#REF!</definedName>
    <definedName name="_vena_MultiSiteS1_MultiSiteB1_R_FV_42f34b52efc14701904e2bd69b949ebb_771" localSheetId="8">'[1]FY26 MYP-Multisite'!#REF!</definedName>
    <definedName name="_vena_MultiSiteS1_MultiSiteB1_R_FV_42f34b52efc14701904e2bd69b949ebb_771" localSheetId="3">#REF!</definedName>
    <definedName name="_vena_MultiSiteS1_MultiSiteB1_R_FV_42f34b52efc14701904e2bd69b949ebb_771">#REF!</definedName>
    <definedName name="_vena_MultiSiteS1_MultiSiteB1_R_FV_42f34b52efc14701904e2bd69b949ebb_772" localSheetId="4">#REF!</definedName>
    <definedName name="_vena_MultiSiteS1_MultiSiteB1_R_FV_42f34b52efc14701904e2bd69b949ebb_772" localSheetId="5">#REF!</definedName>
    <definedName name="_vena_MultiSiteS1_MultiSiteB1_R_FV_42f34b52efc14701904e2bd69b949ebb_772" localSheetId="8">'[1]FY26 MYP-Multisite'!#REF!</definedName>
    <definedName name="_vena_MultiSiteS1_MultiSiteB1_R_FV_42f34b52efc14701904e2bd69b949ebb_772" localSheetId="3">#REF!</definedName>
    <definedName name="_vena_MultiSiteS1_MultiSiteB1_R_FV_42f34b52efc14701904e2bd69b949ebb_772">#REF!</definedName>
    <definedName name="_vena_MultiSiteS1_MultiSiteB1_R_FV_42f34b52efc14701904e2bd69b949ebb_773" localSheetId="4">#REF!</definedName>
    <definedName name="_vena_MultiSiteS1_MultiSiteB1_R_FV_42f34b52efc14701904e2bd69b949ebb_773" localSheetId="5">#REF!</definedName>
    <definedName name="_vena_MultiSiteS1_MultiSiteB1_R_FV_42f34b52efc14701904e2bd69b949ebb_773" localSheetId="8">'[1]FY26 MYP-Multisite'!#REF!</definedName>
    <definedName name="_vena_MultiSiteS1_MultiSiteB1_R_FV_42f34b52efc14701904e2bd69b949ebb_773" localSheetId="3">#REF!</definedName>
    <definedName name="_vena_MultiSiteS1_MultiSiteB1_R_FV_42f34b52efc14701904e2bd69b949ebb_773">#REF!</definedName>
    <definedName name="_vena_MultiSiteS1_MultiSiteB1_R_FV_42f34b52efc14701904e2bd69b949ebb_774" localSheetId="4">#REF!</definedName>
    <definedName name="_vena_MultiSiteS1_MultiSiteB1_R_FV_42f34b52efc14701904e2bd69b949ebb_774" localSheetId="5">#REF!</definedName>
    <definedName name="_vena_MultiSiteS1_MultiSiteB1_R_FV_42f34b52efc14701904e2bd69b949ebb_774" localSheetId="8">'[1]FY26 MYP-Multisite'!#REF!</definedName>
    <definedName name="_vena_MultiSiteS1_MultiSiteB1_R_FV_42f34b52efc14701904e2bd69b949ebb_774" localSheetId="3">#REF!</definedName>
    <definedName name="_vena_MultiSiteS1_MultiSiteB1_R_FV_42f34b52efc14701904e2bd69b949ebb_774">#REF!</definedName>
    <definedName name="_vena_MultiSiteS1_MultiSiteB1_R_FV_42f34b52efc14701904e2bd69b949ebb_775" localSheetId="4">#REF!</definedName>
    <definedName name="_vena_MultiSiteS1_MultiSiteB1_R_FV_42f34b52efc14701904e2bd69b949ebb_775" localSheetId="5">#REF!</definedName>
    <definedName name="_vena_MultiSiteS1_MultiSiteB1_R_FV_42f34b52efc14701904e2bd69b949ebb_775" localSheetId="8">'[1]FY26 MYP-Multisite'!#REF!</definedName>
    <definedName name="_vena_MultiSiteS1_MultiSiteB1_R_FV_42f34b52efc14701904e2bd69b949ebb_775" localSheetId="3">#REF!</definedName>
    <definedName name="_vena_MultiSiteS1_MultiSiteB1_R_FV_42f34b52efc14701904e2bd69b949ebb_775">#REF!</definedName>
    <definedName name="_vena_MultiSiteS1_MultiSiteB1_R_FV_42f34b52efc14701904e2bd69b949ebb_776" localSheetId="4">#REF!</definedName>
    <definedName name="_vena_MultiSiteS1_MultiSiteB1_R_FV_42f34b52efc14701904e2bd69b949ebb_776" localSheetId="5">#REF!</definedName>
    <definedName name="_vena_MultiSiteS1_MultiSiteB1_R_FV_42f34b52efc14701904e2bd69b949ebb_776" localSheetId="8">'[1]FY26 MYP-Multisite'!#REF!</definedName>
    <definedName name="_vena_MultiSiteS1_MultiSiteB1_R_FV_42f34b52efc14701904e2bd69b949ebb_776" localSheetId="3">#REF!</definedName>
    <definedName name="_vena_MultiSiteS1_MultiSiteB1_R_FV_42f34b52efc14701904e2bd69b949ebb_776">#REF!</definedName>
    <definedName name="_vena_MultiSiteS1_MultiSiteB1_R_FV_42f34b52efc14701904e2bd69b949ebb_777" localSheetId="4">#REF!</definedName>
    <definedName name="_vena_MultiSiteS1_MultiSiteB1_R_FV_42f34b52efc14701904e2bd69b949ebb_777" localSheetId="5">#REF!</definedName>
    <definedName name="_vena_MultiSiteS1_MultiSiteB1_R_FV_42f34b52efc14701904e2bd69b949ebb_777" localSheetId="8">'[1]FY26 MYP-Multisite'!#REF!</definedName>
    <definedName name="_vena_MultiSiteS1_MultiSiteB1_R_FV_42f34b52efc14701904e2bd69b949ebb_777" localSheetId="3">#REF!</definedName>
    <definedName name="_vena_MultiSiteS1_MultiSiteB1_R_FV_42f34b52efc14701904e2bd69b949ebb_777">#REF!</definedName>
    <definedName name="_vena_MultiSiteS1_MultiSiteB1_R_FV_42f34b52efc14701904e2bd69b949ebb_778" localSheetId="4">#REF!</definedName>
    <definedName name="_vena_MultiSiteS1_MultiSiteB1_R_FV_42f34b52efc14701904e2bd69b949ebb_778" localSheetId="5">#REF!</definedName>
    <definedName name="_vena_MultiSiteS1_MultiSiteB1_R_FV_42f34b52efc14701904e2bd69b949ebb_778" localSheetId="8">'[1]FY26 MYP-Multisite'!#REF!</definedName>
    <definedName name="_vena_MultiSiteS1_MultiSiteB1_R_FV_42f34b52efc14701904e2bd69b949ebb_778" localSheetId="3">#REF!</definedName>
    <definedName name="_vena_MultiSiteS1_MultiSiteB1_R_FV_42f34b52efc14701904e2bd69b949ebb_778">#REF!</definedName>
    <definedName name="_vena_MultiSiteS1_MultiSiteB1_R_FV_42f34b52efc14701904e2bd69b949ebb_779" localSheetId="4">#REF!</definedName>
    <definedName name="_vena_MultiSiteS1_MultiSiteB1_R_FV_42f34b52efc14701904e2bd69b949ebb_779" localSheetId="5">#REF!</definedName>
    <definedName name="_vena_MultiSiteS1_MultiSiteB1_R_FV_42f34b52efc14701904e2bd69b949ebb_779" localSheetId="8">'[1]FY26 MYP-Multisite'!#REF!</definedName>
    <definedName name="_vena_MultiSiteS1_MultiSiteB1_R_FV_42f34b52efc14701904e2bd69b949ebb_779" localSheetId="3">#REF!</definedName>
    <definedName name="_vena_MultiSiteS1_MultiSiteB1_R_FV_42f34b52efc14701904e2bd69b949ebb_779">#REF!</definedName>
    <definedName name="_vena_MultiSiteS1_MultiSiteB1_R_FV_42f34b52efc14701904e2bd69b949ebb_78">#REF!</definedName>
    <definedName name="_vena_MultiSiteS1_MultiSiteB1_R_FV_42f34b52efc14701904e2bd69b949ebb_780" localSheetId="4">#REF!</definedName>
    <definedName name="_vena_MultiSiteS1_MultiSiteB1_R_FV_42f34b52efc14701904e2bd69b949ebb_780" localSheetId="5">#REF!</definedName>
    <definedName name="_vena_MultiSiteS1_MultiSiteB1_R_FV_42f34b52efc14701904e2bd69b949ebb_780" localSheetId="8">'[1]FY26 MYP-Multisite'!#REF!</definedName>
    <definedName name="_vena_MultiSiteS1_MultiSiteB1_R_FV_42f34b52efc14701904e2bd69b949ebb_780" localSheetId="3">#REF!</definedName>
    <definedName name="_vena_MultiSiteS1_MultiSiteB1_R_FV_42f34b52efc14701904e2bd69b949ebb_780">#REF!</definedName>
    <definedName name="_vena_MultiSiteS1_MultiSiteB1_R_FV_42f34b52efc14701904e2bd69b949ebb_781" localSheetId="4">#REF!</definedName>
    <definedName name="_vena_MultiSiteS1_MultiSiteB1_R_FV_42f34b52efc14701904e2bd69b949ebb_781" localSheetId="5">#REF!</definedName>
    <definedName name="_vena_MultiSiteS1_MultiSiteB1_R_FV_42f34b52efc14701904e2bd69b949ebb_781" localSheetId="8">'[1]FY26 MYP-Multisite'!#REF!</definedName>
    <definedName name="_vena_MultiSiteS1_MultiSiteB1_R_FV_42f34b52efc14701904e2bd69b949ebb_781" localSheetId="3">#REF!</definedName>
    <definedName name="_vena_MultiSiteS1_MultiSiteB1_R_FV_42f34b52efc14701904e2bd69b949ebb_781">#REF!</definedName>
    <definedName name="_vena_MultiSiteS1_MultiSiteB1_R_FV_42f34b52efc14701904e2bd69b949ebb_782" localSheetId="4">#REF!</definedName>
    <definedName name="_vena_MultiSiteS1_MultiSiteB1_R_FV_42f34b52efc14701904e2bd69b949ebb_782" localSheetId="5">#REF!</definedName>
    <definedName name="_vena_MultiSiteS1_MultiSiteB1_R_FV_42f34b52efc14701904e2bd69b949ebb_782" localSheetId="8">'[1]FY26 MYP-Multisite'!#REF!</definedName>
    <definedName name="_vena_MultiSiteS1_MultiSiteB1_R_FV_42f34b52efc14701904e2bd69b949ebb_782" localSheetId="3">#REF!</definedName>
    <definedName name="_vena_MultiSiteS1_MultiSiteB1_R_FV_42f34b52efc14701904e2bd69b949ebb_782">#REF!</definedName>
    <definedName name="_vena_MultiSiteS1_MultiSiteB1_R_FV_42f34b52efc14701904e2bd69b949ebb_783" localSheetId="4">#REF!</definedName>
    <definedName name="_vena_MultiSiteS1_MultiSiteB1_R_FV_42f34b52efc14701904e2bd69b949ebb_783" localSheetId="5">#REF!</definedName>
    <definedName name="_vena_MultiSiteS1_MultiSiteB1_R_FV_42f34b52efc14701904e2bd69b949ebb_783" localSheetId="8">'[1]FY26 MYP-Multisite'!#REF!</definedName>
    <definedName name="_vena_MultiSiteS1_MultiSiteB1_R_FV_42f34b52efc14701904e2bd69b949ebb_783" localSheetId="3">#REF!</definedName>
    <definedName name="_vena_MultiSiteS1_MultiSiteB1_R_FV_42f34b52efc14701904e2bd69b949ebb_783">#REF!</definedName>
    <definedName name="_vena_MultiSiteS1_MultiSiteB1_R_FV_42f34b52efc14701904e2bd69b949ebb_784" localSheetId="4">#REF!</definedName>
    <definedName name="_vena_MultiSiteS1_MultiSiteB1_R_FV_42f34b52efc14701904e2bd69b949ebb_784" localSheetId="5">#REF!</definedName>
    <definedName name="_vena_MultiSiteS1_MultiSiteB1_R_FV_42f34b52efc14701904e2bd69b949ebb_784" localSheetId="8">'[1]FY26 MYP-Multisite'!#REF!</definedName>
    <definedName name="_vena_MultiSiteS1_MultiSiteB1_R_FV_42f34b52efc14701904e2bd69b949ebb_784" localSheetId="3">#REF!</definedName>
    <definedName name="_vena_MultiSiteS1_MultiSiteB1_R_FV_42f34b52efc14701904e2bd69b949ebb_784">#REF!</definedName>
    <definedName name="_vena_MultiSiteS1_MultiSiteB1_R_FV_42f34b52efc14701904e2bd69b949ebb_785" localSheetId="4">#REF!</definedName>
    <definedName name="_vena_MultiSiteS1_MultiSiteB1_R_FV_42f34b52efc14701904e2bd69b949ebb_785" localSheetId="5">#REF!</definedName>
    <definedName name="_vena_MultiSiteS1_MultiSiteB1_R_FV_42f34b52efc14701904e2bd69b949ebb_785" localSheetId="8">'[1]FY26 MYP-Multisite'!#REF!</definedName>
    <definedName name="_vena_MultiSiteS1_MultiSiteB1_R_FV_42f34b52efc14701904e2bd69b949ebb_785" localSheetId="3">#REF!</definedName>
    <definedName name="_vena_MultiSiteS1_MultiSiteB1_R_FV_42f34b52efc14701904e2bd69b949ebb_785">#REF!</definedName>
    <definedName name="_vena_MultiSiteS1_MultiSiteB1_R_FV_42f34b52efc14701904e2bd69b949ebb_786" localSheetId="4">#REF!</definedName>
    <definedName name="_vena_MultiSiteS1_MultiSiteB1_R_FV_42f34b52efc14701904e2bd69b949ebb_786" localSheetId="5">#REF!</definedName>
    <definedName name="_vena_MultiSiteS1_MultiSiteB1_R_FV_42f34b52efc14701904e2bd69b949ebb_786" localSheetId="8">'[1]FY26 MYP-Multisite'!#REF!</definedName>
    <definedName name="_vena_MultiSiteS1_MultiSiteB1_R_FV_42f34b52efc14701904e2bd69b949ebb_786" localSheetId="3">#REF!</definedName>
    <definedName name="_vena_MultiSiteS1_MultiSiteB1_R_FV_42f34b52efc14701904e2bd69b949ebb_786">#REF!</definedName>
    <definedName name="_vena_MultiSiteS1_MultiSiteB1_R_FV_42f34b52efc14701904e2bd69b949ebb_787" localSheetId="4">#REF!</definedName>
    <definedName name="_vena_MultiSiteS1_MultiSiteB1_R_FV_42f34b52efc14701904e2bd69b949ebb_787" localSheetId="5">#REF!</definedName>
    <definedName name="_vena_MultiSiteS1_MultiSiteB1_R_FV_42f34b52efc14701904e2bd69b949ebb_787" localSheetId="8">'[1]FY26 MYP-Multisite'!#REF!</definedName>
    <definedName name="_vena_MultiSiteS1_MultiSiteB1_R_FV_42f34b52efc14701904e2bd69b949ebb_787" localSheetId="3">#REF!</definedName>
    <definedName name="_vena_MultiSiteS1_MultiSiteB1_R_FV_42f34b52efc14701904e2bd69b949ebb_787">#REF!</definedName>
    <definedName name="_vena_MultiSiteS1_MultiSiteB1_R_FV_42f34b52efc14701904e2bd69b949ebb_788" localSheetId="4">#REF!</definedName>
    <definedName name="_vena_MultiSiteS1_MultiSiteB1_R_FV_42f34b52efc14701904e2bd69b949ebb_788" localSheetId="5">#REF!</definedName>
    <definedName name="_vena_MultiSiteS1_MultiSiteB1_R_FV_42f34b52efc14701904e2bd69b949ebb_788" localSheetId="8">'[1]FY26 MYP-Multisite'!#REF!</definedName>
    <definedName name="_vena_MultiSiteS1_MultiSiteB1_R_FV_42f34b52efc14701904e2bd69b949ebb_788" localSheetId="3">#REF!</definedName>
    <definedName name="_vena_MultiSiteS1_MultiSiteB1_R_FV_42f34b52efc14701904e2bd69b949ebb_788">#REF!</definedName>
    <definedName name="_vena_MultiSiteS1_MultiSiteB1_R_FV_42f34b52efc14701904e2bd69b949ebb_789" localSheetId="4">#REF!</definedName>
    <definedName name="_vena_MultiSiteS1_MultiSiteB1_R_FV_42f34b52efc14701904e2bd69b949ebb_789" localSheetId="5">#REF!</definedName>
    <definedName name="_vena_MultiSiteS1_MultiSiteB1_R_FV_42f34b52efc14701904e2bd69b949ebb_789" localSheetId="8">'[1]FY26 MYP-Multisite'!#REF!</definedName>
    <definedName name="_vena_MultiSiteS1_MultiSiteB1_R_FV_42f34b52efc14701904e2bd69b949ebb_789" localSheetId="3">#REF!</definedName>
    <definedName name="_vena_MultiSiteS1_MultiSiteB1_R_FV_42f34b52efc14701904e2bd69b949ebb_789">#REF!</definedName>
    <definedName name="_vena_MultiSiteS1_MultiSiteB1_R_FV_42f34b52efc14701904e2bd69b949ebb_79">#REF!</definedName>
    <definedName name="_vena_MultiSiteS1_MultiSiteB1_R_FV_42f34b52efc14701904e2bd69b949ebb_790" localSheetId="4">#REF!</definedName>
    <definedName name="_vena_MultiSiteS1_MultiSiteB1_R_FV_42f34b52efc14701904e2bd69b949ebb_790" localSheetId="5">#REF!</definedName>
    <definedName name="_vena_MultiSiteS1_MultiSiteB1_R_FV_42f34b52efc14701904e2bd69b949ebb_790" localSheetId="8">'[1]FY26 MYP-Multisite'!#REF!</definedName>
    <definedName name="_vena_MultiSiteS1_MultiSiteB1_R_FV_42f34b52efc14701904e2bd69b949ebb_790" localSheetId="3">#REF!</definedName>
    <definedName name="_vena_MultiSiteS1_MultiSiteB1_R_FV_42f34b52efc14701904e2bd69b949ebb_790">#REF!</definedName>
    <definedName name="_vena_MultiSiteS1_MultiSiteB1_R_FV_42f34b52efc14701904e2bd69b949ebb_791" localSheetId="4">#REF!</definedName>
    <definedName name="_vena_MultiSiteS1_MultiSiteB1_R_FV_42f34b52efc14701904e2bd69b949ebb_791" localSheetId="5">#REF!</definedName>
    <definedName name="_vena_MultiSiteS1_MultiSiteB1_R_FV_42f34b52efc14701904e2bd69b949ebb_791" localSheetId="8">'[1]FY26 MYP-Multisite'!#REF!</definedName>
    <definedName name="_vena_MultiSiteS1_MultiSiteB1_R_FV_42f34b52efc14701904e2bd69b949ebb_791" localSheetId="3">#REF!</definedName>
    <definedName name="_vena_MultiSiteS1_MultiSiteB1_R_FV_42f34b52efc14701904e2bd69b949ebb_791">#REF!</definedName>
    <definedName name="_vena_MultiSiteS1_MultiSiteB1_R_FV_42f34b52efc14701904e2bd69b949ebb_792" localSheetId="4">#REF!</definedName>
    <definedName name="_vena_MultiSiteS1_MultiSiteB1_R_FV_42f34b52efc14701904e2bd69b949ebb_792" localSheetId="5">#REF!</definedName>
    <definedName name="_vena_MultiSiteS1_MultiSiteB1_R_FV_42f34b52efc14701904e2bd69b949ebb_792" localSheetId="8">'[1]FY26 MYP-Multisite'!#REF!</definedName>
    <definedName name="_vena_MultiSiteS1_MultiSiteB1_R_FV_42f34b52efc14701904e2bd69b949ebb_792" localSheetId="3">#REF!</definedName>
    <definedName name="_vena_MultiSiteS1_MultiSiteB1_R_FV_42f34b52efc14701904e2bd69b949ebb_792">#REF!</definedName>
    <definedName name="_vena_MultiSiteS1_MultiSiteB1_R_FV_42f34b52efc14701904e2bd69b949ebb_793" localSheetId="4">#REF!</definedName>
    <definedName name="_vena_MultiSiteS1_MultiSiteB1_R_FV_42f34b52efc14701904e2bd69b949ebb_793" localSheetId="5">#REF!</definedName>
    <definedName name="_vena_MultiSiteS1_MultiSiteB1_R_FV_42f34b52efc14701904e2bd69b949ebb_793" localSheetId="8">'[1]FY26 MYP-Multisite'!#REF!</definedName>
    <definedName name="_vena_MultiSiteS1_MultiSiteB1_R_FV_42f34b52efc14701904e2bd69b949ebb_793" localSheetId="3">#REF!</definedName>
    <definedName name="_vena_MultiSiteS1_MultiSiteB1_R_FV_42f34b52efc14701904e2bd69b949ebb_793">#REF!</definedName>
    <definedName name="_vena_MultiSiteS1_MultiSiteB1_R_FV_42f34b52efc14701904e2bd69b949ebb_794" localSheetId="4">#REF!</definedName>
    <definedName name="_vena_MultiSiteS1_MultiSiteB1_R_FV_42f34b52efc14701904e2bd69b949ebb_794" localSheetId="5">#REF!</definedName>
    <definedName name="_vena_MultiSiteS1_MultiSiteB1_R_FV_42f34b52efc14701904e2bd69b949ebb_794" localSheetId="8">'[1]FY26 MYP-Multisite'!#REF!</definedName>
    <definedName name="_vena_MultiSiteS1_MultiSiteB1_R_FV_42f34b52efc14701904e2bd69b949ebb_794" localSheetId="3">#REF!</definedName>
    <definedName name="_vena_MultiSiteS1_MultiSiteB1_R_FV_42f34b52efc14701904e2bd69b949ebb_794">#REF!</definedName>
    <definedName name="_vena_MultiSiteS1_MultiSiteB1_R_FV_42f34b52efc14701904e2bd69b949ebb_795" localSheetId="4">#REF!</definedName>
    <definedName name="_vena_MultiSiteS1_MultiSiteB1_R_FV_42f34b52efc14701904e2bd69b949ebb_795" localSheetId="5">#REF!</definedName>
    <definedName name="_vena_MultiSiteS1_MultiSiteB1_R_FV_42f34b52efc14701904e2bd69b949ebb_795" localSheetId="8">'[1]FY26 MYP-Multisite'!#REF!</definedName>
    <definedName name="_vena_MultiSiteS1_MultiSiteB1_R_FV_42f34b52efc14701904e2bd69b949ebb_795" localSheetId="3">#REF!</definedName>
    <definedName name="_vena_MultiSiteS1_MultiSiteB1_R_FV_42f34b52efc14701904e2bd69b949ebb_795">#REF!</definedName>
    <definedName name="_vena_MultiSiteS1_MultiSiteB1_R_FV_42f34b52efc14701904e2bd69b949ebb_796" localSheetId="4">#REF!</definedName>
    <definedName name="_vena_MultiSiteS1_MultiSiteB1_R_FV_42f34b52efc14701904e2bd69b949ebb_796" localSheetId="5">#REF!</definedName>
    <definedName name="_vena_MultiSiteS1_MultiSiteB1_R_FV_42f34b52efc14701904e2bd69b949ebb_796" localSheetId="8">'[1]FY26 MYP-Multisite'!#REF!</definedName>
    <definedName name="_vena_MultiSiteS1_MultiSiteB1_R_FV_42f34b52efc14701904e2bd69b949ebb_796" localSheetId="3">#REF!</definedName>
    <definedName name="_vena_MultiSiteS1_MultiSiteB1_R_FV_42f34b52efc14701904e2bd69b949ebb_796">#REF!</definedName>
    <definedName name="_vena_MultiSiteS1_MultiSiteB1_R_FV_42f34b52efc14701904e2bd69b949ebb_797" localSheetId="4">#REF!</definedName>
    <definedName name="_vena_MultiSiteS1_MultiSiteB1_R_FV_42f34b52efc14701904e2bd69b949ebb_797" localSheetId="5">#REF!</definedName>
    <definedName name="_vena_MultiSiteS1_MultiSiteB1_R_FV_42f34b52efc14701904e2bd69b949ebb_797" localSheetId="8">'[1]FY26 MYP-Multisite'!#REF!</definedName>
    <definedName name="_vena_MultiSiteS1_MultiSiteB1_R_FV_42f34b52efc14701904e2bd69b949ebb_797" localSheetId="3">#REF!</definedName>
    <definedName name="_vena_MultiSiteS1_MultiSiteB1_R_FV_42f34b52efc14701904e2bd69b949ebb_797">#REF!</definedName>
    <definedName name="_vena_MultiSiteS1_MultiSiteB1_R_FV_42f34b52efc14701904e2bd69b949ebb_798" localSheetId="4">#REF!</definedName>
    <definedName name="_vena_MultiSiteS1_MultiSiteB1_R_FV_42f34b52efc14701904e2bd69b949ebb_798" localSheetId="5">#REF!</definedName>
    <definedName name="_vena_MultiSiteS1_MultiSiteB1_R_FV_42f34b52efc14701904e2bd69b949ebb_798" localSheetId="8">'[1]FY26 MYP-Multisite'!#REF!</definedName>
    <definedName name="_vena_MultiSiteS1_MultiSiteB1_R_FV_42f34b52efc14701904e2bd69b949ebb_798" localSheetId="3">#REF!</definedName>
    <definedName name="_vena_MultiSiteS1_MultiSiteB1_R_FV_42f34b52efc14701904e2bd69b949ebb_798">#REF!</definedName>
    <definedName name="_vena_MultiSiteS1_MultiSiteB1_R_FV_42f34b52efc14701904e2bd69b949ebb_799" localSheetId="4">#REF!</definedName>
    <definedName name="_vena_MultiSiteS1_MultiSiteB1_R_FV_42f34b52efc14701904e2bd69b949ebb_799" localSheetId="5">#REF!</definedName>
    <definedName name="_vena_MultiSiteS1_MultiSiteB1_R_FV_42f34b52efc14701904e2bd69b949ebb_799" localSheetId="8">'[1]FY26 MYP-Multisite'!#REF!</definedName>
    <definedName name="_vena_MultiSiteS1_MultiSiteB1_R_FV_42f34b52efc14701904e2bd69b949ebb_799" localSheetId="3">#REF!</definedName>
    <definedName name="_vena_MultiSiteS1_MultiSiteB1_R_FV_42f34b52efc14701904e2bd69b949ebb_799">#REF!</definedName>
    <definedName name="_vena_MultiSiteS1_MultiSiteB1_R_FV_42f34b52efc14701904e2bd69b949ebb_8">#REF!</definedName>
    <definedName name="_vena_MultiSiteS1_MultiSiteB1_R_FV_42f34b52efc14701904e2bd69b949ebb_80">#REF!</definedName>
    <definedName name="_vena_MultiSiteS1_MultiSiteB1_R_FV_42f34b52efc14701904e2bd69b949ebb_800" localSheetId="4">#REF!</definedName>
    <definedName name="_vena_MultiSiteS1_MultiSiteB1_R_FV_42f34b52efc14701904e2bd69b949ebb_800" localSheetId="5">#REF!</definedName>
    <definedName name="_vena_MultiSiteS1_MultiSiteB1_R_FV_42f34b52efc14701904e2bd69b949ebb_800" localSheetId="8">'[1]FY26 MYP-Multisite'!#REF!</definedName>
    <definedName name="_vena_MultiSiteS1_MultiSiteB1_R_FV_42f34b52efc14701904e2bd69b949ebb_800" localSheetId="3">#REF!</definedName>
    <definedName name="_vena_MultiSiteS1_MultiSiteB1_R_FV_42f34b52efc14701904e2bd69b949ebb_800">#REF!</definedName>
    <definedName name="_vena_MultiSiteS1_MultiSiteB1_R_FV_42f34b52efc14701904e2bd69b949ebb_801" localSheetId="4">#REF!</definedName>
    <definedName name="_vena_MultiSiteS1_MultiSiteB1_R_FV_42f34b52efc14701904e2bd69b949ebb_801" localSheetId="5">#REF!</definedName>
    <definedName name="_vena_MultiSiteS1_MultiSiteB1_R_FV_42f34b52efc14701904e2bd69b949ebb_801" localSheetId="8">'[1]FY26 MYP-Multisite'!#REF!</definedName>
    <definedName name="_vena_MultiSiteS1_MultiSiteB1_R_FV_42f34b52efc14701904e2bd69b949ebb_801" localSheetId="3">#REF!</definedName>
    <definedName name="_vena_MultiSiteS1_MultiSiteB1_R_FV_42f34b52efc14701904e2bd69b949ebb_801">#REF!</definedName>
    <definedName name="_vena_MultiSiteS1_MultiSiteB1_R_FV_42f34b52efc14701904e2bd69b949ebb_802" localSheetId="4">#REF!</definedName>
    <definedName name="_vena_MultiSiteS1_MultiSiteB1_R_FV_42f34b52efc14701904e2bd69b949ebb_802" localSheetId="5">#REF!</definedName>
    <definedName name="_vena_MultiSiteS1_MultiSiteB1_R_FV_42f34b52efc14701904e2bd69b949ebb_802" localSheetId="8">'[1]FY26 MYP-Multisite'!#REF!</definedName>
    <definedName name="_vena_MultiSiteS1_MultiSiteB1_R_FV_42f34b52efc14701904e2bd69b949ebb_802" localSheetId="3">#REF!</definedName>
    <definedName name="_vena_MultiSiteS1_MultiSiteB1_R_FV_42f34b52efc14701904e2bd69b949ebb_802">#REF!</definedName>
    <definedName name="_vena_MultiSiteS1_MultiSiteB1_R_FV_42f34b52efc14701904e2bd69b949ebb_803" localSheetId="4">#REF!</definedName>
    <definedName name="_vena_MultiSiteS1_MultiSiteB1_R_FV_42f34b52efc14701904e2bd69b949ebb_803" localSheetId="5">#REF!</definedName>
    <definedName name="_vena_MultiSiteS1_MultiSiteB1_R_FV_42f34b52efc14701904e2bd69b949ebb_803" localSheetId="8">'[1]FY26 MYP-Multisite'!#REF!</definedName>
    <definedName name="_vena_MultiSiteS1_MultiSiteB1_R_FV_42f34b52efc14701904e2bd69b949ebb_803" localSheetId="3">#REF!</definedName>
    <definedName name="_vena_MultiSiteS1_MultiSiteB1_R_FV_42f34b52efc14701904e2bd69b949ebb_803">#REF!</definedName>
    <definedName name="_vena_MultiSiteS1_MultiSiteB1_R_FV_42f34b52efc14701904e2bd69b949ebb_804" localSheetId="4">#REF!</definedName>
    <definedName name="_vena_MultiSiteS1_MultiSiteB1_R_FV_42f34b52efc14701904e2bd69b949ebb_804" localSheetId="5">#REF!</definedName>
    <definedName name="_vena_MultiSiteS1_MultiSiteB1_R_FV_42f34b52efc14701904e2bd69b949ebb_804" localSheetId="8">'[1]FY26 MYP-Multisite'!#REF!</definedName>
    <definedName name="_vena_MultiSiteS1_MultiSiteB1_R_FV_42f34b52efc14701904e2bd69b949ebb_804" localSheetId="3">#REF!</definedName>
    <definedName name="_vena_MultiSiteS1_MultiSiteB1_R_FV_42f34b52efc14701904e2bd69b949ebb_804">#REF!</definedName>
    <definedName name="_vena_MultiSiteS1_MultiSiteB1_R_FV_42f34b52efc14701904e2bd69b949ebb_805" localSheetId="4">#REF!</definedName>
    <definedName name="_vena_MultiSiteS1_MultiSiteB1_R_FV_42f34b52efc14701904e2bd69b949ebb_805" localSheetId="5">#REF!</definedName>
    <definedName name="_vena_MultiSiteS1_MultiSiteB1_R_FV_42f34b52efc14701904e2bd69b949ebb_805" localSheetId="8">'[1]FY26 MYP-Multisite'!#REF!</definedName>
    <definedName name="_vena_MultiSiteS1_MultiSiteB1_R_FV_42f34b52efc14701904e2bd69b949ebb_805" localSheetId="3">#REF!</definedName>
    <definedName name="_vena_MultiSiteS1_MultiSiteB1_R_FV_42f34b52efc14701904e2bd69b949ebb_805">#REF!</definedName>
    <definedName name="_vena_MultiSiteS1_MultiSiteB1_R_FV_42f34b52efc14701904e2bd69b949ebb_806" localSheetId="4">#REF!</definedName>
    <definedName name="_vena_MultiSiteS1_MultiSiteB1_R_FV_42f34b52efc14701904e2bd69b949ebb_806" localSheetId="5">#REF!</definedName>
    <definedName name="_vena_MultiSiteS1_MultiSiteB1_R_FV_42f34b52efc14701904e2bd69b949ebb_806" localSheetId="8">'[1]FY26 MYP-Multisite'!#REF!</definedName>
    <definedName name="_vena_MultiSiteS1_MultiSiteB1_R_FV_42f34b52efc14701904e2bd69b949ebb_806" localSheetId="3">#REF!</definedName>
    <definedName name="_vena_MultiSiteS1_MultiSiteB1_R_FV_42f34b52efc14701904e2bd69b949ebb_806">#REF!</definedName>
    <definedName name="_vena_MultiSiteS1_MultiSiteB1_R_FV_42f34b52efc14701904e2bd69b949ebb_807" localSheetId="4">#REF!</definedName>
    <definedName name="_vena_MultiSiteS1_MultiSiteB1_R_FV_42f34b52efc14701904e2bd69b949ebb_807" localSheetId="5">#REF!</definedName>
    <definedName name="_vena_MultiSiteS1_MultiSiteB1_R_FV_42f34b52efc14701904e2bd69b949ebb_807" localSheetId="8">'[1]FY26 MYP-Multisite'!#REF!</definedName>
    <definedName name="_vena_MultiSiteS1_MultiSiteB1_R_FV_42f34b52efc14701904e2bd69b949ebb_807" localSheetId="3">#REF!</definedName>
    <definedName name="_vena_MultiSiteS1_MultiSiteB1_R_FV_42f34b52efc14701904e2bd69b949ebb_807">#REF!</definedName>
    <definedName name="_vena_MultiSiteS1_MultiSiteB1_R_FV_42f34b52efc14701904e2bd69b949ebb_808" localSheetId="4">#REF!</definedName>
    <definedName name="_vena_MultiSiteS1_MultiSiteB1_R_FV_42f34b52efc14701904e2bd69b949ebb_808" localSheetId="5">#REF!</definedName>
    <definedName name="_vena_MultiSiteS1_MultiSiteB1_R_FV_42f34b52efc14701904e2bd69b949ebb_808" localSheetId="8">'[1]FY26 MYP-Multisite'!#REF!</definedName>
    <definedName name="_vena_MultiSiteS1_MultiSiteB1_R_FV_42f34b52efc14701904e2bd69b949ebb_808" localSheetId="3">#REF!</definedName>
    <definedName name="_vena_MultiSiteS1_MultiSiteB1_R_FV_42f34b52efc14701904e2bd69b949ebb_808">#REF!</definedName>
    <definedName name="_vena_MultiSiteS1_MultiSiteB1_R_FV_42f34b52efc14701904e2bd69b949ebb_809" localSheetId="4">#REF!</definedName>
    <definedName name="_vena_MultiSiteS1_MultiSiteB1_R_FV_42f34b52efc14701904e2bd69b949ebb_809" localSheetId="5">#REF!</definedName>
    <definedName name="_vena_MultiSiteS1_MultiSiteB1_R_FV_42f34b52efc14701904e2bd69b949ebb_809" localSheetId="8">'[1]FY26 MYP-Multisite'!#REF!</definedName>
    <definedName name="_vena_MultiSiteS1_MultiSiteB1_R_FV_42f34b52efc14701904e2bd69b949ebb_809" localSheetId="3">#REF!</definedName>
    <definedName name="_vena_MultiSiteS1_MultiSiteB1_R_FV_42f34b52efc14701904e2bd69b949ebb_809">#REF!</definedName>
    <definedName name="_vena_MultiSiteS1_MultiSiteB1_R_FV_42f34b52efc14701904e2bd69b949ebb_81">#REF!</definedName>
    <definedName name="_vena_MultiSiteS1_MultiSiteB1_R_FV_42f34b52efc14701904e2bd69b949ebb_810" localSheetId="4">#REF!</definedName>
    <definedName name="_vena_MultiSiteS1_MultiSiteB1_R_FV_42f34b52efc14701904e2bd69b949ebb_810" localSheetId="5">#REF!</definedName>
    <definedName name="_vena_MultiSiteS1_MultiSiteB1_R_FV_42f34b52efc14701904e2bd69b949ebb_810" localSheetId="8">'[1]FY26 MYP-Multisite'!#REF!</definedName>
    <definedName name="_vena_MultiSiteS1_MultiSiteB1_R_FV_42f34b52efc14701904e2bd69b949ebb_810" localSheetId="3">#REF!</definedName>
    <definedName name="_vena_MultiSiteS1_MultiSiteB1_R_FV_42f34b52efc14701904e2bd69b949ebb_810">#REF!</definedName>
    <definedName name="_vena_MultiSiteS1_MultiSiteB1_R_FV_42f34b52efc14701904e2bd69b949ebb_811" localSheetId="4">#REF!</definedName>
    <definedName name="_vena_MultiSiteS1_MultiSiteB1_R_FV_42f34b52efc14701904e2bd69b949ebb_811" localSheetId="5">#REF!</definedName>
    <definedName name="_vena_MultiSiteS1_MultiSiteB1_R_FV_42f34b52efc14701904e2bd69b949ebb_811" localSheetId="8">'[1]FY26 MYP-Multisite'!#REF!</definedName>
    <definedName name="_vena_MultiSiteS1_MultiSiteB1_R_FV_42f34b52efc14701904e2bd69b949ebb_811" localSheetId="3">#REF!</definedName>
    <definedName name="_vena_MultiSiteS1_MultiSiteB1_R_FV_42f34b52efc14701904e2bd69b949ebb_811">#REF!</definedName>
    <definedName name="_vena_MultiSiteS1_MultiSiteB1_R_FV_42f34b52efc14701904e2bd69b949ebb_812" localSheetId="4">#REF!</definedName>
    <definedName name="_vena_MultiSiteS1_MultiSiteB1_R_FV_42f34b52efc14701904e2bd69b949ebb_812" localSheetId="5">#REF!</definedName>
    <definedName name="_vena_MultiSiteS1_MultiSiteB1_R_FV_42f34b52efc14701904e2bd69b949ebb_812" localSheetId="8">'[1]FY26 MYP-Multisite'!#REF!</definedName>
    <definedName name="_vena_MultiSiteS1_MultiSiteB1_R_FV_42f34b52efc14701904e2bd69b949ebb_812" localSheetId="3">#REF!</definedName>
    <definedName name="_vena_MultiSiteS1_MultiSiteB1_R_FV_42f34b52efc14701904e2bd69b949ebb_812">#REF!</definedName>
    <definedName name="_vena_MultiSiteS1_MultiSiteB1_R_FV_42f34b52efc14701904e2bd69b949ebb_813" localSheetId="4">#REF!</definedName>
    <definedName name="_vena_MultiSiteS1_MultiSiteB1_R_FV_42f34b52efc14701904e2bd69b949ebb_813" localSheetId="5">#REF!</definedName>
    <definedName name="_vena_MultiSiteS1_MultiSiteB1_R_FV_42f34b52efc14701904e2bd69b949ebb_813" localSheetId="8">'[1]FY26 MYP-Multisite'!#REF!</definedName>
    <definedName name="_vena_MultiSiteS1_MultiSiteB1_R_FV_42f34b52efc14701904e2bd69b949ebb_813" localSheetId="3">#REF!</definedName>
    <definedName name="_vena_MultiSiteS1_MultiSiteB1_R_FV_42f34b52efc14701904e2bd69b949ebb_813">#REF!</definedName>
    <definedName name="_vena_MultiSiteS1_MultiSiteB1_R_FV_42f34b52efc14701904e2bd69b949ebb_814" localSheetId="4">#REF!</definedName>
    <definedName name="_vena_MultiSiteS1_MultiSiteB1_R_FV_42f34b52efc14701904e2bd69b949ebb_814" localSheetId="5">#REF!</definedName>
    <definedName name="_vena_MultiSiteS1_MultiSiteB1_R_FV_42f34b52efc14701904e2bd69b949ebb_814" localSheetId="8">'[1]FY26 MYP-Multisite'!#REF!</definedName>
    <definedName name="_vena_MultiSiteS1_MultiSiteB1_R_FV_42f34b52efc14701904e2bd69b949ebb_814" localSheetId="3">#REF!</definedName>
    <definedName name="_vena_MultiSiteS1_MultiSiteB1_R_FV_42f34b52efc14701904e2bd69b949ebb_814">#REF!</definedName>
    <definedName name="_vena_MultiSiteS1_MultiSiteB1_R_FV_42f34b52efc14701904e2bd69b949ebb_815" localSheetId="4">#REF!</definedName>
    <definedName name="_vena_MultiSiteS1_MultiSiteB1_R_FV_42f34b52efc14701904e2bd69b949ebb_815" localSheetId="5">#REF!</definedName>
    <definedName name="_vena_MultiSiteS1_MultiSiteB1_R_FV_42f34b52efc14701904e2bd69b949ebb_815" localSheetId="8">'[1]FY26 MYP-Multisite'!#REF!</definedName>
    <definedName name="_vena_MultiSiteS1_MultiSiteB1_R_FV_42f34b52efc14701904e2bd69b949ebb_815" localSheetId="3">#REF!</definedName>
    <definedName name="_vena_MultiSiteS1_MultiSiteB1_R_FV_42f34b52efc14701904e2bd69b949ebb_815">#REF!</definedName>
    <definedName name="_vena_MultiSiteS1_MultiSiteB1_R_FV_42f34b52efc14701904e2bd69b949ebb_816" localSheetId="4">#REF!</definedName>
    <definedName name="_vena_MultiSiteS1_MultiSiteB1_R_FV_42f34b52efc14701904e2bd69b949ebb_816" localSheetId="5">#REF!</definedName>
    <definedName name="_vena_MultiSiteS1_MultiSiteB1_R_FV_42f34b52efc14701904e2bd69b949ebb_816" localSheetId="8">'[1]FY26 MYP-Multisite'!#REF!</definedName>
    <definedName name="_vena_MultiSiteS1_MultiSiteB1_R_FV_42f34b52efc14701904e2bd69b949ebb_816" localSheetId="3">#REF!</definedName>
    <definedName name="_vena_MultiSiteS1_MultiSiteB1_R_FV_42f34b52efc14701904e2bd69b949ebb_816">#REF!</definedName>
    <definedName name="_vena_MultiSiteS1_MultiSiteB1_R_FV_42f34b52efc14701904e2bd69b949ebb_817" localSheetId="4">#REF!</definedName>
    <definedName name="_vena_MultiSiteS1_MultiSiteB1_R_FV_42f34b52efc14701904e2bd69b949ebb_817" localSheetId="5">#REF!</definedName>
    <definedName name="_vena_MultiSiteS1_MultiSiteB1_R_FV_42f34b52efc14701904e2bd69b949ebb_817" localSheetId="8">'[1]FY26 MYP-Multisite'!#REF!</definedName>
    <definedName name="_vena_MultiSiteS1_MultiSiteB1_R_FV_42f34b52efc14701904e2bd69b949ebb_817" localSheetId="3">#REF!</definedName>
    <definedName name="_vena_MultiSiteS1_MultiSiteB1_R_FV_42f34b52efc14701904e2bd69b949ebb_817">#REF!</definedName>
    <definedName name="_vena_MultiSiteS1_MultiSiteB1_R_FV_42f34b52efc14701904e2bd69b949ebb_818" localSheetId="4">#REF!</definedName>
    <definedName name="_vena_MultiSiteS1_MultiSiteB1_R_FV_42f34b52efc14701904e2bd69b949ebb_818" localSheetId="5">#REF!</definedName>
    <definedName name="_vena_MultiSiteS1_MultiSiteB1_R_FV_42f34b52efc14701904e2bd69b949ebb_818" localSheetId="8">'[1]FY26 MYP-Multisite'!#REF!</definedName>
    <definedName name="_vena_MultiSiteS1_MultiSiteB1_R_FV_42f34b52efc14701904e2bd69b949ebb_818" localSheetId="3">#REF!</definedName>
    <definedName name="_vena_MultiSiteS1_MultiSiteB1_R_FV_42f34b52efc14701904e2bd69b949ebb_818">#REF!</definedName>
    <definedName name="_vena_MultiSiteS1_MultiSiteB1_R_FV_42f34b52efc14701904e2bd69b949ebb_819" localSheetId="4">#REF!</definedName>
    <definedName name="_vena_MultiSiteS1_MultiSiteB1_R_FV_42f34b52efc14701904e2bd69b949ebb_819" localSheetId="5">#REF!</definedName>
    <definedName name="_vena_MultiSiteS1_MultiSiteB1_R_FV_42f34b52efc14701904e2bd69b949ebb_819" localSheetId="8">'[1]FY26 MYP-Multisite'!#REF!</definedName>
    <definedName name="_vena_MultiSiteS1_MultiSiteB1_R_FV_42f34b52efc14701904e2bd69b949ebb_819" localSheetId="3">#REF!</definedName>
    <definedName name="_vena_MultiSiteS1_MultiSiteB1_R_FV_42f34b52efc14701904e2bd69b949ebb_819">#REF!</definedName>
    <definedName name="_vena_MultiSiteS1_MultiSiteB1_R_FV_42f34b52efc14701904e2bd69b949ebb_82">#REF!</definedName>
    <definedName name="_vena_MultiSiteS1_MultiSiteB1_R_FV_42f34b52efc14701904e2bd69b949ebb_820" localSheetId="4">#REF!</definedName>
    <definedName name="_vena_MultiSiteS1_MultiSiteB1_R_FV_42f34b52efc14701904e2bd69b949ebb_820" localSheetId="5">#REF!</definedName>
    <definedName name="_vena_MultiSiteS1_MultiSiteB1_R_FV_42f34b52efc14701904e2bd69b949ebb_820" localSheetId="8">'[1]FY26 MYP-Multisite'!#REF!</definedName>
    <definedName name="_vena_MultiSiteS1_MultiSiteB1_R_FV_42f34b52efc14701904e2bd69b949ebb_820" localSheetId="3">#REF!</definedName>
    <definedName name="_vena_MultiSiteS1_MultiSiteB1_R_FV_42f34b52efc14701904e2bd69b949ebb_820">#REF!</definedName>
    <definedName name="_vena_MultiSiteS1_MultiSiteB1_R_FV_42f34b52efc14701904e2bd69b949ebb_821" localSheetId="4">#REF!</definedName>
    <definedName name="_vena_MultiSiteS1_MultiSiteB1_R_FV_42f34b52efc14701904e2bd69b949ebb_821" localSheetId="5">#REF!</definedName>
    <definedName name="_vena_MultiSiteS1_MultiSiteB1_R_FV_42f34b52efc14701904e2bd69b949ebb_821" localSheetId="8">'[1]FY26 MYP-Multisite'!#REF!</definedName>
    <definedName name="_vena_MultiSiteS1_MultiSiteB1_R_FV_42f34b52efc14701904e2bd69b949ebb_821" localSheetId="3">#REF!</definedName>
    <definedName name="_vena_MultiSiteS1_MultiSiteB1_R_FV_42f34b52efc14701904e2bd69b949ebb_821">#REF!</definedName>
    <definedName name="_vena_MultiSiteS1_MultiSiteB1_R_FV_42f34b52efc14701904e2bd69b949ebb_822" localSheetId="4">#REF!</definedName>
    <definedName name="_vena_MultiSiteS1_MultiSiteB1_R_FV_42f34b52efc14701904e2bd69b949ebb_822" localSheetId="5">#REF!</definedName>
    <definedName name="_vena_MultiSiteS1_MultiSiteB1_R_FV_42f34b52efc14701904e2bd69b949ebb_822" localSheetId="8">'[1]FY26 MYP-Multisite'!#REF!</definedName>
    <definedName name="_vena_MultiSiteS1_MultiSiteB1_R_FV_42f34b52efc14701904e2bd69b949ebb_822" localSheetId="3">#REF!</definedName>
    <definedName name="_vena_MultiSiteS1_MultiSiteB1_R_FV_42f34b52efc14701904e2bd69b949ebb_822">#REF!</definedName>
    <definedName name="_vena_MultiSiteS1_MultiSiteB1_R_FV_42f34b52efc14701904e2bd69b949ebb_823" localSheetId="4">#REF!</definedName>
    <definedName name="_vena_MultiSiteS1_MultiSiteB1_R_FV_42f34b52efc14701904e2bd69b949ebb_823" localSheetId="5">#REF!</definedName>
    <definedName name="_vena_MultiSiteS1_MultiSiteB1_R_FV_42f34b52efc14701904e2bd69b949ebb_823" localSheetId="8">'[1]FY26 MYP-Multisite'!#REF!</definedName>
    <definedName name="_vena_MultiSiteS1_MultiSiteB1_R_FV_42f34b52efc14701904e2bd69b949ebb_823" localSheetId="3">#REF!</definedName>
    <definedName name="_vena_MultiSiteS1_MultiSiteB1_R_FV_42f34b52efc14701904e2bd69b949ebb_823">#REF!</definedName>
    <definedName name="_vena_MultiSiteS1_MultiSiteB1_R_FV_42f34b52efc14701904e2bd69b949ebb_824" localSheetId="4">#REF!</definedName>
    <definedName name="_vena_MultiSiteS1_MultiSiteB1_R_FV_42f34b52efc14701904e2bd69b949ebb_824" localSheetId="5">#REF!</definedName>
    <definedName name="_vena_MultiSiteS1_MultiSiteB1_R_FV_42f34b52efc14701904e2bd69b949ebb_824" localSheetId="8">'[1]FY26 MYP-Multisite'!#REF!</definedName>
    <definedName name="_vena_MultiSiteS1_MultiSiteB1_R_FV_42f34b52efc14701904e2bd69b949ebb_824" localSheetId="3">#REF!</definedName>
    <definedName name="_vena_MultiSiteS1_MultiSiteB1_R_FV_42f34b52efc14701904e2bd69b949ebb_824">#REF!</definedName>
    <definedName name="_vena_MultiSiteS1_MultiSiteB1_R_FV_42f34b52efc14701904e2bd69b949ebb_825" localSheetId="4">#REF!</definedName>
    <definedName name="_vena_MultiSiteS1_MultiSiteB1_R_FV_42f34b52efc14701904e2bd69b949ebb_825" localSheetId="5">#REF!</definedName>
    <definedName name="_vena_MultiSiteS1_MultiSiteB1_R_FV_42f34b52efc14701904e2bd69b949ebb_825" localSheetId="8">'[1]FY26 MYP-Multisite'!#REF!</definedName>
    <definedName name="_vena_MultiSiteS1_MultiSiteB1_R_FV_42f34b52efc14701904e2bd69b949ebb_825" localSheetId="3">#REF!</definedName>
    <definedName name="_vena_MultiSiteS1_MultiSiteB1_R_FV_42f34b52efc14701904e2bd69b949ebb_825">#REF!</definedName>
    <definedName name="_vena_MultiSiteS1_MultiSiteB1_R_FV_42f34b52efc14701904e2bd69b949ebb_826" localSheetId="4">#REF!</definedName>
    <definedName name="_vena_MultiSiteS1_MultiSiteB1_R_FV_42f34b52efc14701904e2bd69b949ebb_826" localSheetId="5">#REF!</definedName>
    <definedName name="_vena_MultiSiteS1_MultiSiteB1_R_FV_42f34b52efc14701904e2bd69b949ebb_826" localSheetId="8">'[1]FY26 MYP-Multisite'!#REF!</definedName>
    <definedName name="_vena_MultiSiteS1_MultiSiteB1_R_FV_42f34b52efc14701904e2bd69b949ebb_826" localSheetId="3">#REF!</definedName>
    <definedName name="_vena_MultiSiteS1_MultiSiteB1_R_FV_42f34b52efc14701904e2bd69b949ebb_826">#REF!</definedName>
    <definedName name="_vena_MultiSiteS1_MultiSiteB1_R_FV_42f34b52efc14701904e2bd69b949ebb_827" localSheetId="4">#REF!</definedName>
    <definedName name="_vena_MultiSiteS1_MultiSiteB1_R_FV_42f34b52efc14701904e2bd69b949ebb_827" localSheetId="5">#REF!</definedName>
    <definedName name="_vena_MultiSiteS1_MultiSiteB1_R_FV_42f34b52efc14701904e2bd69b949ebb_827" localSheetId="8">'[1]FY26 MYP-Multisite'!#REF!</definedName>
    <definedName name="_vena_MultiSiteS1_MultiSiteB1_R_FV_42f34b52efc14701904e2bd69b949ebb_827" localSheetId="3">#REF!</definedName>
    <definedName name="_vena_MultiSiteS1_MultiSiteB1_R_FV_42f34b52efc14701904e2bd69b949ebb_827">#REF!</definedName>
    <definedName name="_vena_MultiSiteS1_MultiSiteB1_R_FV_42f34b52efc14701904e2bd69b949ebb_828" localSheetId="4">#REF!</definedName>
    <definedName name="_vena_MultiSiteS1_MultiSiteB1_R_FV_42f34b52efc14701904e2bd69b949ebb_828" localSheetId="5">#REF!</definedName>
    <definedName name="_vena_MultiSiteS1_MultiSiteB1_R_FV_42f34b52efc14701904e2bd69b949ebb_828" localSheetId="8">'[1]FY26 MYP-Multisite'!#REF!</definedName>
    <definedName name="_vena_MultiSiteS1_MultiSiteB1_R_FV_42f34b52efc14701904e2bd69b949ebb_828" localSheetId="3">#REF!</definedName>
    <definedName name="_vena_MultiSiteS1_MultiSiteB1_R_FV_42f34b52efc14701904e2bd69b949ebb_828">#REF!</definedName>
    <definedName name="_vena_MultiSiteS1_MultiSiteB1_R_FV_42f34b52efc14701904e2bd69b949ebb_829" localSheetId="4">#REF!</definedName>
    <definedName name="_vena_MultiSiteS1_MultiSiteB1_R_FV_42f34b52efc14701904e2bd69b949ebb_829" localSheetId="5">#REF!</definedName>
    <definedName name="_vena_MultiSiteS1_MultiSiteB1_R_FV_42f34b52efc14701904e2bd69b949ebb_829" localSheetId="8">'[1]FY26 MYP-Multisite'!#REF!</definedName>
    <definedName name="_vena_MultiSiteS1_MultiSiteB1_R_FV_42f34b52efc14701904e2bd69b949ebb_829" localSheetId="3">#REF!</definedName>
    <definedName name="_vena_MultiSiteS1_MultiSiteB1_R_FV_42f34b52efc14701904e2bd69b949ebb_829">#REF!</definedName>
    <definedName name="_vena_MultiSiteS1_MultiSiteB1_R_FV_42f34b52efc14701904e2bd69b949ebb_83">#REF!</definedName>
    <definedName name="_vena_MultiSiteS1_MultiSiteB1_R_FV_42f34b52efc14701904e2bd69b949ebb_830" localSheetId="4">#REF!</definedName>
    <definedName name="_vena_MultiSiteS1_MultiSiteB1_R_FV_42f34b52efc14701904e2bd69b949ebb_830" localSheetId="5">#REF!</definedName>
    <definedName name="_vena_MultiSiteS1_MultiSiteB1_R_FV_42f34b52efc14701904e2bd69b949ebb_830" localSheetId="8">'[1]FY26 MYP-Multisite'!#REF!</definedName>
    <definedName name="_vena_MultiSiteS1_MultiSiteB1_R_FV_42f34b52efc14701904e2bd69b949ebb_830" localSheetId="3">#REF!</definedName>
    <definedName name="_vena_MultiSiteS1_MultiSiteB1_R_FV_42f34b52efc14701904e2bd69b949ebb_830">#REF!</definedName>
    <definedName name="_vena_MultiSiteS1_MultiSiteB1_R_FV_42f34b52efc14701904e2bd69b949ebb_831" localSheetId="4">#REF!</definedName>
    <definedName name="_vena_MultiSiteS1_MultiSiteB1_R_FV_42f34b52efc14701904e2bd69b949ebb_831" localSheetId="5">#REF!</definedName>
    <definedName name="_vena_MultiSiteS1_MultiSiteB1_R_FV_42f34b52efc14701904e2bd69b949ebb_831" localSheetId="8">'[1]FY26 MYP-Multisite'!#REF!</definedName>
    <definedName name="_vena_MultiSiteS1_MultiSiteB1_R_FV_42f34b52efc14701904e2bd69b949ebb_831" localSheetId="3">#REF!</definedName>
    <definedName name="_vena_MultiSiteS1_MultiSiteB1_R_FV_42f34b52efc14701904e2bd69b949ebb_831">#REF!</definedName>
    <definedName name="_vena_MultiSiteS1_MultiSiteB1_R_FV_42f34b52efc14701904e2bd69b949ebb_832" localSheetId="4">#REF!</definedName>
    <definedName name="_vena_MultiSiteS1_MultiSiteB1_R_FV_42f34b52efc14701904e2bd69b949ebb_832" localSheetId="5">#REF!</definedName>
    <definedName name="_vena_MultiSiteS1_MultiSiteB1_R_FV_42f34b52efc14701904e2bd69b949ebb_832" localSheetId="8">'[1]FY26 MYP-Multisite'!#REF!</definedName>
    <definedName name="_vena_MultiSiteS1_MultiSiteB1_R_FV_42f34b52efc14701904e2bd69b949ebb_832" localSheetId="3">#REF!</definedName>
    <definedName name="_vena_MultiSiteS1_MultiSiteB1_R_FV_42f34b52efc14701904e2bd69b949ebb_832">#REF!</definedName>
    <definedName name="_vena_MultiSiteS1_MultiSiteB1_R_FV_42f34b52efc14701904e2bd69b949ebb_833" localSheetId="4">#REF!</definedName>
    <definedName name="_vena_MultiSiteS1_MultiSiteB1_R_FV_42f34b52efc14701904e2bd69b949ebb_833" localSheetId="5">#REF!</definedName>
    <definedName name="_vena_MultiSiteS1_MultiSiteB1_R_FV_42f34b52efc14701904e2bd69b949ebb_833" localSheetId="8">'[1]FY26 MYP-Multisite'!#REF!</definedName>
    <definedName name="_vena_MultiSiteS1_MultiSiteB1_R_FV_42f34b52efc14701904e2bd69b949ebb_833" localSheetId="3">#REF!</definedName>
    <definedName name="_vena_MultiSiteS1_MultiSiteB1_R_FV_42f34b52efc14701904e2bd69b949ebb_833">#REF!</definedName>
    <definedName name="_vena_MultiSiteS1_MultiSiteB1_R_FV_42f34b52efc14701904e2bd69b949ebb_834" localSheetId="4">#REF!</definedName>
    <definedName name="_vena_MultiSiteS1_MultiSiteB1_R_FV_42f34b52efc14701904e2bd69b949ebb_834" localSheetId="5">#REF!</definedName>
    <definedName name="_vena_MultiSiteS1_MultiSiteB1_R_FV_42f34b52efc14701904e2bd69b949ebb_834" localSheetId="8">'[1]FY26 MYP-Multisite'!#REF!</definedName>
    <definedName name="_vena_MultiSiteS1_MultiSiteB1_R_FV_42f34b52efc14701904e2bd69b949ebb_834" localSheetId="3">#REF!</definedName>
    <definedName name="_vena_MultiSiteS1_MultiSiteB1_R_FV_42f34b52efc14701904e2bd69b949ebb_834">#REF!</definedName>
    <definedName name="_vena_MultiSiteS1_MultiSiteB1_R_FV_42f34b52efc14701904e2bd69b949ebb_835" localSheetId="4">#REF!</definedName>
    <definedName name="_vena_MultiSiteS1_MultiSiteB1_R_FV_42f34b52efc14701904e2bd69b949ebb_835" localSheetId="5">#REF!</definedName>
    <definedName name="_vena_MultiSiteS1_MultiSiteB1_R_FV_42f34b52efc14701904e2bd69b949ebb_835" localSheetId="8">'[1]FY26 MYP-Multisite'!#REF!</definedName>
    <definedName name="_vena_MultiSiteS1_MultiSiteB1_R_FV_42f34b52efc14701904e2bd69b949ebb_835" localSheetId="3">#REF!</definedName>
    <definedName name="_vena_MultiSiteS1_MultiSiteB1_R_FV_42f34b52efc14701904e2bd69b949ebb_835">#REF!</definedName>
    <definedName name="_vena_MultiSiteS1_MultiSiteB1_R_FV_42f34b52efc14701904e2bd69b949ebb_836" localSheetId="4">#REF!</definedName>
    <definedName name="_vena_MultiSiteS1_MultiSiteB1_R_FV_42f34b52efc14701904e2bd69b949ebb_836" localSheetId="5">#REF!</definedName>
    <definedName name="_vena_MultiSiteS1_MultiSiteB1_R_FV_42f34b52efc14701904e2bd69b949ebb_836" localSheetId="8">'[1]FY26 MYP-Multisite'!#REF!</definedName>
    <definedName name="_vena_MultiSiteS1_MultiSiteB1_R_FV_42f34b52efc14701904e2bd69b949ebb_836" localSheetId="3">#REF!</definedName>
    <definedName name="_vena_MultiSiteS1_MultiSiteB1_R_FV_42f34b52efc14701904e2bd69b949ebb_836">#REF!</definedName>
    <definedName name="_vena_MultiSiteS1_MultiSiteB1_R_FV_42f34b52efc14701904e2bd69b949ebb_837" localSheetId="4">#REF!</definedName>
    <definedName name="_vena_MultiSiteS1_MultiSiteB1_R_FV_42f34b52efc14701904e2bd69b949ebb_837" localSheetId="5">#REF!</definedName>
    <definedName name="_vena_MultiSiteS1_MultiSiteB1_R_FV_42f34b52efc14701904e2bd69b949ebb_837" localSheetId="8">'[1]FY26 MYP-Multisite'!#REF!</definedName>
    <definedName name="_vena_MultiSiteS1_MultiSiteB1_R_FV_42f34b52efc14701904e2bd69b949ebb_837" localSheetId="3">#REF!</definedName>
    <definedName name="_vena_MultiSiteS1_MultiSiteB1_R_FV_42f34b52efc14701904e2bd69b949ebb_837">#REF!</definedName>
    <definedName name="_vena_MultiSiteS1_MultiSiteB1_R_FV_42f34b52efc14701904e2bd69b949ebb_838" localSheetId="4">#REF!</definedName>
    <definedName name="_vena_MultiSiteS1_MultiSiteB1_R_FV_42f34b52efc14701904e2bd69b949ebb_838" localSheetId="5">#REF!</definedName>
    <definedName name="_vena_MultiSiteS1_MultiSiteB1_R_FV_42f34b52efc14701904e2bd69b949ebb_838" localSheetId="8">'[1]FY26 MYP-Multisite'!#REF!</definedName>
    <definedName name="_vena_MultiSiteS1_MultiSiteB1_R_FV_42f34b52efc14701904e2bd69b949ebb_838" localSheetId="3">#REF!</definedName>
    <definedName name="_vena_MultiSiteS1_MultiSiteB1_R_FV_42f34b52efc14701904e2bd69b949ebb_838">#REF!</definedName>
    <definedName name="_vena_MultiSiteS1_MultiSiteB1_R_FV_42f34b52efc14701904e2bd69b949ebb_839" localSheetId="4">#REF!</definedName>
    <definedName name="_vena_MultiSiteS1_MultiSiteB1_R_FV_42f34b52efc14701904e2bd69b949ebb_839" localSheetId="5">#REF!</definedName>
    <definedName name="_vena_MultiSiteS1_MultiSiteB1_R_FV_42f34b52efc14701904e2bd69b949ebb_839" localSheetId="8">'[1]FY26 MYP-Multisite'!#REF!</definedName>
    <definedName name="_vena_MultiSiteS1_MultiSiteB1_R_FV_42f34b52efc14701904e2bd69b949ebb_839" localSheetId="3">#REF!</definedName>
    <definedName name="_vena_MultiSiteS1_MultiSiteB1_R_FV_42f34b52efc14701904e2bd69b949ebb_839">#REF!</definedName>
    <definedName name="_vena_MultiSiteS1_MultiSiteB1_R_FV_42f34b52efc14701904e2bd69b949ebb_84">#REF!</definedName>
    <definedName name="_vena_MultiSiteS1_MultiSiteB1_R_FV_42f34b52efc14701904e2bd69b949ebb_840" localSheetId="4">#REF!</definedName>
    <definedName name="_vena_MultiSiteS1_MultiSiteB1_R_FV_42f34b52efc14701904e2bd69b949ebb_840" localSheetId="5">#REF!</definedName>
    <definedName name="_vena_MultiSiteS1_MultiSiteB1_R_FV_42f34b52efc14701904e2bd69b949ebb_840" localSheetId="8">'[1]FY26 MYP-Multisite'!#REF!</definedName>
    <definedName name="_vena_MultiSiteS1_MultiSiteB1_R_FV_42f34b52efc14701904e2bd69b949ebb_840" localSheetId="3">#REF!</definedName>
    <definedName name="_vena_MultiSiteS1_MultiSiteB1_R_FV_42f34b52efc14701904e2bd69b949ebb_840">#REF!</definedName>
    <definedName name="_vena_MultiSiteS1_MultiSiteB1_R_FV_42f34b52efc14701904e2bd69b949ebb_841" localSheetId="4">#REF!</definedName>
    <definedName name="_vena_MultiSiteS1_MultiSiteB1_R_FV_42f34b52efc14701904e2bd69b949ebb_841" localSheetId="5">#REF!</definedName>
    <definedName name="_vena_MultiSiteS1_MultiSiteB1_R_FV_42f34b52efc14701904e2bd69b949ebb_841" localSheetId="8">'[1]FY26 MYP-Multisite'!#REF!</definedName>
    <definedName name="_vena_MultiSiteS1_MultiSiteB1_R_FV_42f34b52efc14701904e2bd69b949ebb_841" localSheetId="3">#REF!</definedName>
    <definedName name="_vena_MultiSiteS1_MultiSiteB1_R_FV_42f34b52efc14701904e2bd69b949ebb_841">#REF!</definedName>
    <definedName name="_vena_MultiSiteS1_MultiSiteB1_R_FV_42f34b52efc14701904e2bd69b949ebb_842" localSheetId="4">#REF!</definedName>
    <definedName name="_vena_MultiSiteS1_MultiSiteB1_R_FV_42f34b52efc14701904e2bd69b949ebb_842" localSheetId="5">#REF!</definedName>
    <definedName name="_vena_MultiSiteS1_MultiSiteB1_R_FV_42f34b52efc14701904e2bd69b949ebb_842" localSheetId="8">'[1]FY26 MYP-Multisite'!#REF!</definedName>
    <definedName name="_vena_MultiSiteS1_MultiSiteB1_R_FV_42f34b52efc14701904e2bd69b949ebb_842" localSheetId="3">#REF!</definedName>
    <definedName name="_vena_MultiSiteS1_MultiSiteB1_R_FV_42f34b52efc14701904e2bd69b949ebb_842">#REF!</definedName>
    <definedName name="_vena_MultiSiteS1_MultiSiteB1_R_FV_42f34b52efc14701904e2bd69b949ebb_843" localSheetId="4">#REF!</definedName>
    <definedName name="_vena_MultiSiteS1_MultiSiteB1_R_FV_42f34b52efc14701904e2bd69b949ebb_843" localSheetId="5">#REF!</definedName>
    <definedName name="_vena_MultiSiteS1_MultiSiteB1_R_FV_42f34b52efc14701904e2bd69b949ebb_843" localSheetId="8">'[1]FY26 MYP-Multisite'!#REF!</definedName>
    <definedName name="_vena_MultiSiteS1_MultiSiteB1_R_FV_42f34b52efc14701904e2bd69b949ebb_843" localSheetId="3">#REF!</definedName>
    <definedName name="_vena_MultiSiteS1_MultiSiteB1_R_FV_42f34b52efc14701904e2bd69b949ebb_843">#REF!</definedName>
    <definedName name="_vena_MultiSiteS1_MultiSiteB1_R_FV_42f34b52efc14701904e2bd69b949ebb_844" localSheetId="4">#REF!</definedName>
    <definedName name="_vena_MultiSiteS1_MultiSiteB1_R_FV_42f34b52efc14701904e2bd69b949ebb_844" localSheetId="5">#REF!</definedName>
    <definedName name="_vena_MultiSiteS1_MultiSiteB1_R_FV_42f34b52efc14701904e2bd69b949ebb_844" localSheetId="8">'[1]FY26 MYP-Multisite'!#REF!</definedName>
    <definedName name="_vena_MultiSiteS1_MultiSiteB1_R_FV_42f34b52efc14701904e2bd69b949ebb_844" localSheetId="3">#REF!</definedName>
    <definedName name="_vena_MultiSiteS1_MultiSiteB1_R_FV_42f34b52efc14701904e2bd69b949ebb_844">#REF!</definedName>
    <definedName name="_vena_MultiSiteS1_MultiSiteB1_R_FV_42f34b52efc14701904e2bd69b949ebb_845" localSheetId="4">#REF!</definedName>
    <definedName name="_vena_MultiSiteS1_MultiSiteB1_R_FV_42f34b52efc14701904e2bd69b949ebb_845" localSheetId="5">#REF!</definedName>
    <definedName name="_vena_MultiSiteS1_MultiSiteB1_R_FV_42f34b52efc14701904e2bd69b949ebb_845" localSheetId="8">'[1]FY26 MYP-Multisite'!#REF!</definedName>
    <definedName name="_vena_MultiSiteS1_MultiSiteB1_R_FV_42f34b52efc14701904e2bd69b949ebb_845" localSheetId="3">#REF!</definedName>
    <definedName name="_vena_MultiSiteS1_MultiSiteB1_R_FV_42f34b52efc14701904e2bd69b949ebb_845">#REF!</definedName>
    <definedName name="_vena_MultiSiteS1_MultiSiteB1_R_FV_42f34b52efc14701904e2bd69b949ebb_846" localSheetId="4">#REF!</definedName>
    <definedName name="_vena_MultiSiteS1_MultiSiteB1_R_FV_42f34b52efc14701904e2bd69b949ebb_846" localSheetId="5">#REF!</definedName>
    <definedName name="_vena_MultiSiteS1_MultiSiteB1_R_FV_42f34b52efc14701904e2bd69b949ebb_846" localSheetId="8">'[1]FY26 MYP-Multisite'!#REF!</definedName>
    <definedName name="_vena_MultiSiteS1_MultiSiteB1_R_FV_42f34b52efc14701904e2bd69b949ebb_846" localSheetId="3">#REF!</definedName>
    <definedName name="_vena_MultiSiteS1_MultiSiteB1_R_FV_42f34b52efc14701904e2bd69b949ebb_846">#REF!</definedName>
    <definedName name="_vena_MultiSiteS1_MultiSiteB1_R_FV_42f34b52efc14701904e2bd69b949ebb_847" localSheetId="4">#REF!</definedName>
    <definedName name="_vena_MultiSiteS1_MultiSiteB1_R_FV_42f34b52efc14701904e2bd69b949ebb_847" localSheetId="5">#REF!</definedName>
    <definedName name="_vena_MultiSiteS1_MultiSiteB1_R_FV_42f34b52efc14701904e2bd69b949ebb_847" localSheetId="8">'[1]FY26 MYP-Multisite'!#REF!</definedName>
    <definedName name="_vena_MultiSiteS1_MultiSiteB1_R_FV_42f34b52efc14701904e2bd69b949ebb_847" localSheetId="3">#REF!</definedName>
    <definedName name="_vena_MultiSiteS1_MultiSiteB1_R_FV_42f34b52efc14701904e2bd69b949ebb_847">#REF!</definedName>
    <definedName name="_vena_MultiSiteS1_MultiSiteB1_R_FV_42f34b52efc14701904e2bd69b949ebb_848" localSheetId="4">#REF!</definedName>
    <definedName name="_vena_MultiSiteS1_MultiSiteB1_R_FV_42f34b52efc14701904e2bd69b949ebb_848" localSheetId="5">#REF!</definedName>
    <definedName name="_vena_MultiSiteS1_MultiSiteB1_R_FV_42f34b52efc14701904e2bd69b949ebb_848" localSheetId="8">'[1]FY26 MYP-Multisite'!#REF!</definedName>
    <definedName name="_vena_MultiSiteS1_MultiSiteB1_R_FV_42f34b52efc14701904e2bd69b949ebb_848" localSheetId="3">#REF!</definedName>
    <definedName name="_vena_MultiSiteS1_MultiSiteB1_R_FV_42f34b52efc14701904e2bd69b949ebb_848">#REF!</definedName>
    <definedName name="_vena_MultiSiteS1_MultiSiteB1_R_FV_42f34b52efc14701904e2bd69b949ebb_849" localSheetId="4">#REF!</definedName>
    <definedName name="_vena_MultiSiteS1_MultiSiteB1_R_FV_42f34b52efc14701904e2bd69b949ebb_849" localSheetId="5">#REF!</definedName>
    <definedName name="_vena_MultiSiteS1_MultiSiteB1_R_FV_42f34b52efc14701904e2bd69b949ebb_849" localSheetId="8">'[1]FY26 MYP-Multisite'!#REF!</definedName>
    <definedName name="_vena_MultiSiteS1_MultiSiteB1_R_FV_42f34b52efc14701904e2bd69b949ebb_849" localSheetId="3">#REF!</definedName>
    <definedName name="_vena_MultiSiteS1_MultiSiteB1_R_FV_42f34b52efc14701904e2bd69b949ebb_849">#REF!</definedName>
    <definedName name="_vena_MultiSiteS1_MultiSiteB1_R_FV_42f34b52efc14701904e2bd69b949ebb_85">#REF!</definedName>
    <definedName name="_vena_MultiSiteS1_MultiSiteB1_R_FV_42f34b52efc14701904e2bd69b949ebb_850" localSheetId="4">#REF!</definedName>
    <definedName name="_vena_MultiSiteS1_MultiSiteB1_R_FV_42f34b52efc14701904e2bd69b949ebb_850" localSheetId="5">#REF!</definedName>
    <definedName name="_vena_MultiSiteS1_MultiSiteB1_R_FV_42f34b52efc14701904e2bd69b949ebb_850" localSheetId="8">'[1]FY26 MYP-Multisite'!#REF!</definedName>
    <definedName name="_vena_MultiSiteS1_MultiSiteB1_R_FV_42f34b52efc14701904e2bd69b949ebb_850" localSheetId="3">#REF!</definedName>
    <definedName name="_vena_MultiSiteS1_MultiSiteB1_R_FV_42f34b52efc14701904e2bd69b949ebb_850">#REF!</definedName>
    <definedName name="_vena_MultiSiteS1_MultiSiteB1_R_FV_42f34b52efc14701904e2bd69b949ebb_851" localSheetId="4">#REF!</definedName>
    <definedName name="_vena_MultiSiteS1_MultiSiteB1_R_FV_42f34b52efc14701904e2bd69b949ebb_851" localSheetId="5">#REF!</definedName>
    <definedName name="_vena_MultiSiteS1_MultiSiteB1_R_FV_42f34b52efc14701904e2bd69b949ebb_851" localSheetId="8">'[1]FY26 MYP-Multisite'!#REF!</definedName>
    <definedName name="_vena_MultiSiteS1_MultiSiteB1_R_FV_42f34b52efc14701904e2bd69b949ebb_851" localSheetId="3">#REF!</definedName>
    <definedName name="_vena_MultiSiteS1_MultiSiteB1_R_FV_42f34b52efc14701904e2bd69b949ebb_851">#REF!</definedName>
    <definedName name="_vena_MultiSiteS1_MultiSiteB1_R_FV_42f34b52efc14701904e2bd69b949ebb_852" localSheetId="4">#REF!</definedName>
    <definedName name="_vena_MultiSiteS1_MultiSiteB1_R_FV_42f34b52efc14701904e2bd69b949ebb_852" localSheetId="5">#REF!</definedName>
    <definedName name="_vena_MultiSiteS1_MultiSiteB1_R_FV_42f34b52efc14701904e2bd69b949ebb_852" localSheetId="8">'[1]FY26 MYP-Multisite'!#REF!</definedName>
    <definedName name="_vena_MultiSiteS1_MultiSiteB1_R_FV_42f34b52efc14701904e2bd69b949ebb_852" localSheetId="3">#REF!</definedName>
    <definedName name="_vena_MultiSiteS1_MultiSiteB1_R_FV_42f34b52efc14701904e2bd69b949ebb_852">#REF!</definedName>
    <definedName name="_vena_MultiSiteS1_MultiSiteB1_R_FV_42f34b52efc14701904e2bd69b949ebb_853" localSheetId="4">#REF!</definedName>
    <definedName name="_vena_MultiSiteS1_MultiSiteB1_R_FV_42f34b52efc14701904e2bd69b949ebb_853" localSheetId="5">#REF!</definedName>
    <definedName name="_vena_MultiSiteS1_MultiSiteB1_R_FV_42f34b52efc14701904e2bd69b949ebb_853" localSheetId="8">'[1]FY26 MYP-Multisite'!#REF!</definedName>
    <definedName name="_vena_MultiSiteS1_MultiSiteB1_R_FV_42f34b52efc14701904e2bd69b949ebb_853" localSheetId="3">#REF!</definedName>
    <definedName name="_vena_MultiSiteS1_MultiSiteB1_R_FV_42f34b52efc14701904e2bd69b949ebb_853">#REF!</definedName>
    <definedName name="_vena_MultiSiteS1_MultiSiteB1_R_FV_42f34b52efc14701904e2bd69b949ebb_854" localSheetId="4">#REF!</definedName>
    <definedName name="_vena_MultiSiteS1_MultiSiteB1_R_FV_42f34b52efc14701904e2bd69b949ebb_854" localSheetId="5">#REF!</definedName>
    <definedName name="_vena_MultiSiteS1_MultiSiteB1_R_FV_42f34b52efc14701904e2bd69b949ebb_854" localSheetId="8">'[1]FY26 MYP-Multisite'!#REF!</definedName>
    <definedName name="_vena_MultiSiteS1_MultiSiteB1_R_FV_42f34b52efc14701904e2bd69b949ebb_854" localSheetId="3">#REF!</definedName>
    <definedName name="_vena_MultiSiteS1_MultiSiteB1_R_FV_42f34b52efc14701904e2bd69b949ebb_854">#REF!</definedName>
    <definedName name="_vena_MultiSiteS1_MultiSiteB1_R_FV_42f34b52efc14701904e2bd69b949ebb_855" localSheetId="4">#REF!</definedName>
    <definedName name="_vena_MultiSiteS1_MultiSiteB1_R_FV_42f34b52efc14701904e2bd69b949ebb_855" localSheetId="5">#REF!</definedName>
    <definedName name="_vena_MultiSiteS1_MultiSiteB1_R_FV_42f34b52efc14701904e2bd69b949ebb_855" localSheetId="8">'[1]FY26 MYP-Multisite'!#REF!</definedName>
    <definedName name="_vena_MultiSiteS1_MultiSiteB1_R_FV_42f34b52efc14701904e2bd69b949ebb_855" localSheetId="3">#REF!</definedName>
    <definedName name="_vena_MultiSiteS1_MultiSiteB1_R_FV_42f34b52efc14701904e2bd69b949ebb_855">#REF!</definedName>
    <definedName name="_vena_MultiSiteS1_MultiSiteB1_R_FV_42f34b52efc14701904e2bd69b949ebb_856" localSheetId="4">#REF!</definedName>
    <definedName name="_vena_MultiSiteS1_MultiSiteB1_R_FV_42f34b52efc14701904e2bd69b949ebb_856" localSheetId="5">#REF!</definedName>
    <definedName name="_vena_MultiSiteS1_MultiSiteB1_R_FV_42f34b52efc14701904e2bd69b949ebb_856" localSheetId="8">'[1]FY26 MYP-Multisite'!#REF!</definedName>
    <definedName name="_vena_MultiSiteS1_MultiSiteB1_R_FV_42f34b52efc14701904e2bd69b949ebb_856" localSheetId="3">#REF!</definedName>
    <definedName name="_vena_MultiSiteS1_MultiSiteB1_R_FV_42f34b52efc14701904e2bd69b949ebb_856">#REF!</definedName>
    <definedName name="_vena_MultiSiteS1_MultiSiteB1_R_FV_42f34b52efc14701904e2bd69b949ebb_857" localSheetId="4">#REF!</definedName>
    <definedName name="_vena_MultiSiteS1_MultiSiteB1_R_FV_42f34b52efc14701904e2bd69b949ebb_857" localSheetId="5">#REF!</definedName>
    <definedName name="_vena_MultiSiteS1_MultiSiteB1_R_FV_42f34b52efc14701904e2bd69b949ebb_857" localSheetId="8">'[1]FY26 MYP-Multisite'!#REF!</definedName>
    <definedName name="_vena_MultiSiteS1_MultiSiteB1_R_FV_42f34b52efc14701904e2bd69b949ebb_857" localSheetId="3">#REF!</definedName>
    <definedName name="_vena_MultiSiteS1_MultiSiteB1_R_FV_42f34b52efc14701904e2bd69b949ebb_857">#REF!</definedName>
    <definedName name="_vena_MultiSiteS1_MultiSiteB1_R_FV_42f34b52efc14701904e2bd69b949ebb_858" localSheetId="4">#REF!</definedName>
    <definedName name="_vena_MultiSiteS1_MultiSiteB1_R_FV_42f34b52efc14701904e2bd69b949ebb_858" localSheetId="5">#REF!</definedName>
    <definedName name="_vena_MultiSiteS1_MultiSiteB1_R_FV_42f34b52efc14701904e2bd69b949ebb_858" localSheetId="8">'[1]FY26 MYP-Multisite'!#REF!</definedName>
    <definedName name="_vena_MultiSiteS1_MultiSiteB1_R_FV_42f34b52efc14701904e2bd69b949ebb_858" localSheetId="3">#REF!</definedName>
    <definedName name="_vena_MultiSiteS1_MultiSiteB1_R_FV_42f34b52efc14701904e2bd69b949ebb_858">#REF!</definedName>
    <definedName name="_vena_MultiSiteS1_MultiSiteB1_R_FV_42f34b52efc14701904e2bd69b949ebb_859" localSheetId="4">#REF!</definedName>
    <definedName name="_vena_MultiSiteS1_MultiSiteB1_R_FV_42f34b52efc14701904e2bd69b949ebb_859" localSheetId="5">#REF!</definedName>
    <definedName name="_vena_MultiSiteS1_MultiSiteB1_R_FV_42f34b52efc14701904e2bd69b949ebb_859" localSheetId="8">'[1]FY26 MYP-Multisite'!#REF!</definedName>
    <definedName name="_vena_MultiSiteS1_MultiSiteB1_R_FV_42f34b52efc14701904e2bd69b949ebb_859" localSheetId="3">#REF!</definedName>
    <definedName name="_vena_MultiSiteS1_MultiSiteB1_R_FV_42f34b52efc14701904e2bd69b949ebb_859">#REF!</definedName>
    <definedName name="_vena_MultiSiteS1_MultiSiteB1_R_FV_42f34b52efc14701904e2bd69b949ebb_86">#REF!</definedName>
    <definedName name="_vena_MultiSiteS1_MultiSiteB1_R_FV_42f34b52efc14701904e2bd69b949ebb_860" localSheetId="4">#REF!</definedName>
    <definedName name="_vena_MultiSiteS1_MultiSiteB1_R_FV_42f34b52efc14701904e2bd69b949ebb_860" localSheetId="5">#REF!</definedName>
    <definedName name="_vena_MultiSiteS1_MultiSiteB1_R_FV_42f34b52efc14701904e2bd69b949ebb_860" localSheetId="8">'[1]FY26 MYP-Multisite'!#REF!</definedName>
    <definedName name="_vena_MultiSiteS1_MultiSiteB1_R_FV_42f34b52efc14701904e2bd69b949ebb_860" localSheetId="3">#REF!</definedName>
    <definedName name="_vena_MultiSiteS1_MultiSiteB1_R_FV_42f34b52efc14701904e2bd69b949ebb_860">#REF!</definedName>
    <definedName name="_vena_MultiSiteS1_MultiSiteB1_R_FV_42f34b52efc14701904e2bd69b949ebb_861" localSheetId="4">#REF!</definedName>
    <definedName name="_vena_MultiSiteS1_MultiSiteB1_R_FV_42f34b52efc14701904e2bd69b949ebb_861" localSheetId="5">#REF!</definedName>
    <definedName name="_vena_MultiSiteS1_MultiSiteB1_R_FV_42f34b52efc14701904e2bd69b949ebb_861" localSheetId="8">'[1]FY26 MYP-Multisite'!#REF!</definedName>
    <definedName name="_vena_MultiSiteS1_MultiSiteB1_R_FV_42f34b52efc14701904e2bd69b949ebb_861" localSheetId="3">#REF!</definedName>
    <definedName name="_vena_MultiSiteS1_MultiSiteB1_R_FV_42f34b52efc14701904e2bd69b949ebb_861">#REF!</definedName>
    <definedName name="_vena_MultiSiteS1_MultiSiteB1_R_FV_42f34b52efc14701904e2bd69b949ebb_862" localSheetId="4">#REF!</definedName>
    <definedName name="_vena_MultiSiteS1_MultiSiteB1_R_FV_42f34b52efc14701904e2bd69b949ebb_862" localSheetId="5">#REF!</definedName>
    <definedName name="_vena_MultiSiteS1_MultiSiteB1_R_FV_42f34b52efc14701904e2bd69b949ebb_862" localSheetId="8">'[1]FY26 MYP-Multisite'!#REF!</definedName>
    <definedName name="_vena_MultiSiteS1_MultiSiteB1_R_FV_42f34b52efc14701904e2bd69b949ebb_862" localSheetId="3">#REF!</definedName>
    <definedName name="_vena_MultiSiteS1_MultiSiteB1_R_FV_42f34b52efc14701904e2bd69b949ebb_862">#REF!</definedName>
    <definedName name="_vena_MultiSiteS1_MultiSiteB1_R_FV_42f34b52efc14701904e2bd69b949ebb_863" localSheetId="4">#REF!</definedName>
    <definedName name="_vena_MultiSiteS1_MultiSiteB1_R_FV_42f34b52efc14701904e2bd69b949ebb_863" localSheetId="5">#REF!</definedName>
    <definedName name="_vena_MultiSiteS1_MultiSiteB1_R_FV_42f34b52efc14701904e2bd69b949ebb_863" localSheetId="8">'[1]FY26 MYP-Multisite'!#REF!</definedName>
    <definedName name="_vena_MultiSiteS1_MultiSiteB1_R_FV_42f34b52efc14701904e2bd69b949ebb_863" localSheetId="3">#REF!</definedName>
    <definedName name="_vena_MultiSiteS1_MultiSiteB1_R_FV_42f34b52efc14701904e2bd69b949ebb_863">#REF!</definedName>
    <definedName name="_vena_MultiSiteS1_MultiSiteB1_R_FV_42f34b52efc14701904e2bd69b949ebb_864" localSheetId="4">#REF!</definedName>
    <definedName name="_vena_MultiSiteS1_MultiSiteB1_R_FV_42f34b52efc14701904e2bd69b949ebb_864" localSheetId="5">#REF!</definedName>
    <definedName name="_vena_MultiSiteS1_MultiSiteB1_R_FV_42f34b52efc14701904e2bd69b949ebb_864" localSheetId="8">'[1]FY26 MYP-Multisite'!#REF!</definedName>
    <definedName name="_vena_MultiSiteS1_MultiSiteB1_R_FV_42f34b52efc14701904e2bd69b949ebb_864" localSheetId="3">#REF!</definedName>
    <definedName name="_vena_MultiSiteS1_MultiSiteB1_R_FV_42f34b52efc14701904e2bd69b949ebb_864">#REF!</definedName>
    <definedName name="_vena_MultiSiteS1_MultiSiteB1_R_FV_42f34b52efc14701904e2bd69b949ebb_865" localSheetId="4">#REF!</definedName>
    <definedName name="_vena_MultiSiteS1_MultiSiteB1_R_FV_42f34b52efc14701904e2bd69b949ebb_865" localSheetId="5">#REF!</definedName>
    <definedName name="_vena_MultiSiteS1_MultiSiteB1_R_FV_42f34b52efc14701904e2bd69b949ebb_865" localSheetId="8">'[1]FY26 MYP-Multisite'!#REF!</definedName>
    <definedName name="_vena_MultiSiteS1_MultiSiteB1_R_FV_42f34b52efc14701904e2bd69b949ebb_865" localSheetId="3">#REF!</definedName>
    <definedName name="_vena_MultiSiteS1_MultiSiteB1_R_FV_42f34b52efc14701904e2bd69b949ebb_865">#REF!</definedName>
    <definedName name="_vena_MultiSiteS1_MultiSiteB1_R_FV_42f34b52efc14701904e2bd69b949ebb_866" localSheetId="4">#REF!</definedName>
    <definedName name="_vena_MultiSiteS1_MultiSiteB1_R_FV_42f34b52efc14701904e2bd69b949ebb_866" localSheetId="5">#REF!</definedName>
    <definedName name="_vena_MultiSiteS1_MultiSiteB1_R_FV_42f34b52efc14701904e2bd69b949ebb_866" localSheetId="8">'[1]FY26 MYP-Multisite'!#REF!</definedName>
    <definedName name="_vena_MultiSiteS1_MultiSiteB1_R_FV_42f34b52efc14701904e2bd69b949ebb_866" localSheetId="3">#REF!</definedName>
    <definedName name="_vena_MultiSiteS1_MultiSiteB1_R_FV_42f34b52efc14701904e2bd69b949ebb_866">#REF!</definedName>
    <definedName name="_vena_MultiSiteS1_MultiSiteB1_R_FV_42f34b52efc14701904e2bd69b949ebb_867" localSheetId="4">#REF!</definedName>
    <definedName name="_vena_MultiSiteS1_MultiSiteB1_R_FV_42f34b52efc14701904e2bd69b949ebb_867" localSheetId="5">#REF!</definedName>
    <definedName name="_vena_MultiSiteS1_MultiSiteB1_R_FV_42f34b52efc14701904e2bd69b949ebb_867" localSheetId="8">'[1]FY26 MYP-Multisite'!#REF!</definedName>
    <definedName name="_vena_MultiSiteS1_MultiSiteB1_R_FV_42f34b52efc14701904e2bd69b949ebb_867" localSheetId="3">#REF!</definedName>
    <definedName name="_vena_MultiSiteS1_MultiSiteB1_R_FV_42f34b52efc14701904e2bd69b949ebb_867">#REF!</definedName>
    <definedName name="_vena_MultiSiteS1_MultiSiteB1_R_FV_42f34b52efc14701904e2bd69b949ebb_868" localSheetId="4">#REF!</definedName>
    <definedName name="_vena_MultiSiteS1_MultiSiteB1_R_FV_42f34b52efc14701904e2bd69b949ebb_868" localSheetId="5">#REF!</definedName>
    <definedName name="_vena_MultiSiteS1_MultiSiteB1_R_FV_42f34b52efc14701904e2bd69b949ebb_868" localSheetId="8">'[1]FY26 MYP-Multisite'!#REF!</definedName>
    <definedName name="_vena_MultiSiteS1_MultiSiteB1_R_FV_42f34b52efc14701904e2bd69b949ebb_868" localSheetId="3">#REF!</definedName>
    <definedName name="_vena_MultiSiteS1_MultiSiteB1_R_FV_42f34b52efc14701904e2bd69b949ebb_868">#REF!</definedName>
    <definedName name="_vena_MultiSiteS1_MultiSiteB1_R_FV_42f34b52efc14701904e2bd69b949ebb_869" localSheetId="4">#REF!</definedName>
    <definedName name="_vena_MultiSiteS1_MultiSiteB1_R_FV_42f34b52efc14701904e2bd69b949ebb_869" localSheetId="5">#REF!</definedName>
    <definedName name="_vena_MultiSiteS1_MultiSiteB1_R_FV_42f34b52efc14701904e2bd69b949ebb_869" localSheetId="8">'[1]FY26 MYP-Multisite'!#REF!</definedName>
    <definedName name="_vena_MultiSiteS1_MultiSiteB1_R_FV_42f34b52efc14701904e2bd69b949ebb_869" localSheetId="3">#REF!</definedName>
    <definedName name="_vena_MultiSiteS1_MultiSiteB1_R_FV_42f34b52efc14701904e2bd69b949ebb_869">#REF!</definedName>
    <definedName name="_vena_MultiSiteS1_MultiSiteB1_R_FV_42f34b52efc14701904e2bd69b949ebb_87">#REF!</definedName>
    <definedName name="_vena_MultiSiteS1_MultiSiteB1_R_FV_42f34b52efc14701904e2bd69b949ebb_870" localSheetId="4">#REF!</definedName>
    <definedName name="_vena_MultiSiteS1_MultiSiteB1_R_FV_42f34b52efc14701904e2bd69b949ebb_870" localSheetId="5">#REF!</definedName>
    <definedName name="_vena_MultiSiteS1_MultiSiteB1_R_FV_42f34b52efc14701904e2bd69b949ebb_870" localSheetId="8">'[1]FY26 MYP-Multisite'!#REF!</definedName>
    <definedName name="_vena_MultiSiteS1_MultiSiteB1_R_FV_42f34b52efc14701904e2bd69b949ebb_870" localSheetId="3">#REF!</definedName>
    <definedName name="_vena_MultiSiteS1_MultiSiteB1_R_FV_42f34b52efc14701904e2bd69b949ebb_870">#REF!</definedName>
    <definedName name="_vena_MultiSiteS1_MultiSiteB1_R_FV_42f34b52efc14701904e2bd69b949ebb_871" localSheetId="4">#REF!</definedName>
    <definedName name="_vena_MultiSiteS1_MultiSiteB1_R_FV_42f34b52efc14701904e2bd69b949ebb_871" localSheetId="5">#REF!</definedName>
    <definedName name="_vena_MultiSiteS1_MultiSiteB1_R_FV_42f34b52efc14701904e2bd69b949ebb_871" localSheetId="8">'[1]FY26 MYP-Multisite'!#REF!</definedName>
    <definedName name="_vena_MultiSiteS1_MultiSiteB1_R_FV_42f34b52efc14701904e2bd69b949ebb_871" localSheetId="3">#REF!</definedName>
    <definedName name="_vena_MultiSiteS1_MultiSiteB1_R_FV_42f34b52efc14701904e2bd69b949ebb_871">#REF!</definedName>
    <definedName name="_vena_MultiSiteS1_MultiSiteB1_R_FV_42f34b52efc14701904e2bd69b949ebb_872" localSheetId="4">#REF!</definedName>
    <definedName name="_vena_MultiSiteS1_MultiSiteB1_R_FV_42f34b52efc14701904e2bd69b949ebb_872" localSheetId="5">#REF!</definedName>
    <definedName name="_vena_MultiSiteS1_MultiSiteB1_R_FV_42f34b52efc14701904e2bd69b949ebb_872" localSheetId="8">'[1]FY26 MYP-Multisite'!#REF!</definedName>
    <definedName name="_vena_MultiSiteS1_MultiSiteB1_R_FV_42f34b52efc14701904e2bd69b949ebb_872" localSheetId="3">#REF!</definedName>
    <definedName name="_vena_MultiSiteS1_MultiSiteB1_R_FV_42f34b52efc14701904e2bd69b949ebb_872">#REF!</definedName>
    <definedName name="_vena_MultiSiteS1_MultiSiteB1_R_FV_42f34b52efc14701904e2bd69b949ebb_873" localSheetId="4">#REF!</definedName>
    <definedName name="_vena_MultiSiteS1_MultiSiteB1_R_FV_42f34b52efc14701904e2bd69b949ebb_873" localSheetId="5">#REF!</definedName>
    <definedName name="_vena_MultiSiteS1_MultiSiteB1_R_FV_42f34b52efc14701904e2bd69b949ebb_873" localSheetId="8">'[1]FY26 MYP-Multisite'!#REF!</definedName>
    <definedName name="_vena_MultiSiteS1_MultiSiteB1_R_FV_42f34b52efc14701904e2bd69b949ebb_873" localSheetId="3">#REF!</definedName>
    <definedName name="_vena_MultiSiteS1_MultiSiteB1_R_FV_42f34b52efc14701904e2bd69b949ebb_873">#REF!</definedName>
    <definedName name="_vena_MultiSiteS1_MultiSiteB1_R_FV_42f34b52efc14701904e2bd69b949ebb_874" localSheetId="4">#REF!</definedName>
    <definedName name="_vena_MultiSiteS1_MultiSiteB1_R_FV_42f34b52efc14701904e2bd69b949ebb_874" localSheetId="5">#REF!</definedName>
    <definedName name="_vena_MultiSiteS1_MultiSiteB1_R_FV_42f34b52efc14701904e2bd69b949ebb_874" localSheetId="8">'[1]FY26 MYP-Multisite'!#REF!</definedName>
    <definedName name="_vena_MultiSiteS1_MultiSiteB1_R_FV_42f34b52efc14701904e2bd69b949ebb_874" localSheetId="3">#REF!</definedName>
    <definedName name="_vena_MultiSiteS1_MultiSiteB1_R_FV_42f34b52efc14701904e2bd69b949ebb_874">#REF!</definedName>
    <definedName name="_vena_MultiSiteS1_MultiSiteB1_R_FV_42f34b52efc14701904e2bd69b949ebb_875" localSheetId="4">#REF!</definedName>
    <definedName name="_vena_MultiSiteS1_MultiSiteB1_R_FV_42f34b52efc14701904e2bd69b949ebb_875" localSheetId="5">#REF!</definedName>
    <definedName name="_vena_MultiSiteS1_MultiSiteB1_R_FV_42f34b52efc14701904e2bd69b949ebb_875" localSheetId="8">'[1]FY26 MYP-Multisite'!#REF!</definedName>
    <definedName name="_vena_MultiSiteS1_MultiSiteB1_R_FV_42f34b52efc14701904e2bd69b949ebb_875" localSheetId="3">#REF!</definedName>
    <definedName name="_vena_MultiSiteS1_MultiSiteB1_R_FV_42f34b52efc14701904e2bd69b949ebb_875">#REF!</definedName>
    <definedName name="_vena_MultiSiteS1_MultiSiteB1_R_FV_42f34b52efc14701904e2bd69b949ebb_876" localSheetId="4">#REF!</definedName>
    <definedName name="_vena_MultiSiteS1_MultiSiteB1_R_FV_42f34b52efc14701904e2bd69b949ebb_876" localSheetId="5">#REF!</definedName>
    <definedName name="_vena_MultiSiteS1_MultiSiteB1_R_FV_42f34b52efc14701904e2bd69b949ebb_876" localSheetId="8">'[1]FY26 MYP-Multisite'!#REF!</definedName>
    <definedName name="_vena_MultiSiteS1_MultiSiteB1_R_FV_42f34b52efc14701904e2bd69b949ebb_876" localSheetId="3">#REF!</definedName>
    <definedName name="_vena_MultiSiteS1_MultiSiteB1_R_FV_42f34b52efc14701904e2bd69b949ebb_876">#REF!</definedName>
    <definedName name="_vena_MultiSiteS1_MultiSiteB1_R_FV_42f34b52efc14701904e2bd69b949ebb_877" localSheetId="4">#REF!</definedName>
    <definedName name="_vena_MultiSiteS1_MultiSiteB1_R_FV_42f34b52efc14701904e2bd69b949ebb_877" localSheetId="5">#REF!</definedName>
    <definedName name="_vena_MultiSiteS1_MultiSiteB1_R_FV_42f34b52efc14701904e2bd69b949ebb_877" localSheetId="8">'[1]FY26 MYP-Multisite'!#REF!</definedName>
    <definedName name="_vena_MultiSiteS1_MultiSiteB1_R_FV_42f34b52efc14701904e2bd69b949ebb_877" localSheetId="3">#REF!</definedName>
    <definedName name="_vena_MultiSiteS1_MultiSiteB1_R_FV_42f34b52efc14701904e2bd69b949ebb_877">#REF!</definedName>
    <definedName name="_vena_MultiSiteS1_MultiSiteB1_R_FV_42f34b52efc14701904e2bd69b949ebb_878" localSheetId="4">#REF!</definedName>
    <definedName name="_vena_MultiSiteS1_MultiSiteB1_R_FV_42f34b52efc14701904e2bd69b949ebb_878" localSheetId="5">#REF!</definedName>
    <definedName name="_vena_MultiSiteS1_MultiSiteB1_R_FV_42f34b52efc14701904e2bd69b949ebb_878" localSheetId="8">'[1]FY26 MYP-Multisite'!#REF!</definedName>
    <definedName name="_vena_MultiSiteS1_MultiSiteB1_R_FV_42f34b52efc14701904e2bd69b949ebb_878" localSheetId="3">#REF!</definedName>
    <definedName name="_vena_MultiSiteS1_MultiSiteB1_R_FV_42f34b52efc14701904e2bd69b949ebb_878">#REF!</definedName>
    <definedName name="_vena_MultiSiteS1_MultiSiteB1_R_FV_42f34b52efc14701904e2bd69b949ebb_879" localSheetId="4">#REF!</definedName>
    <definedName name="_vena_MultiSiteS1_MultiSiteB1_R_FV_42f34b52efc14701904e2bd69b949ebb_879" localSheetId="5">#REF!</definedName>
    <definedName name="_vena_MultiSiteS1_MultiSiteB1_R_FV_42f34b52efc14701904e2bd69b949ebb_879" localSheetId="8">'[1]FY26 MYP-Multisite'!#REF!</definedName>
    <definedName name="_vena_MultiSiteS1_MultiSiteB1_R_FV_42f34b52efc14701904e2bd69b949ebb_879" localSheetId="3">#REF!</definedName>
    <definedName name="_vena_MultiSiteS1_MultiSiteB1_R_FV_42f34b52efc14701904e2bd69b949ebb_879">#REF!</definedName>
    <definedName name="_vena_MultiSiteS1_MultiSiteB1_R_FV_42f34b52efc14701904e2bd69b949ebb_88">#REF!</definedName>
    <definedName name="_vena_MultiSiteS1_MultiSiteB1_R_FV_42f34b52efc14701904e2bd69b949ebb_880" localSheetId="4">#REF!</definedName>
    <definedName name="_vena_MultiSiteS1_MultiSiteB1_R_FV_42f34b52efc14701904e2bd69b949ebb_880" localSheetId="5">#REF!</definedName>
    <definedName name="_vena_MultiSiteS1_MultiSiteB1_R_FV_42f34b52efc14701904e2bd69b949ebb_880" localSheetId="8">'[1]FY26 MYP-Multisite'!#REF!</definedName>
    <definedName name="_vena_MultiSiteS1_MultiSiteB1_R_FV_42f34b52efc14701904e2bd69b949ebb_880" localSheetId="3">#REF!</definedName>
    <definedName name="_vena_MultiSiteS1_MultiSiteB1_R_FV_42f34b52efc14701904e2bd69b949ebb_880">#REF!</definedName>
    <definedName name="_vena_MultiSiteS1_MultiSiteB1_R_FV_42f34b52efc14701904e2bd69b949ebb_881" localSheetId="4">#REF!</definedName>
    <definedName name="_vena_MultiSiteS1_MultiSiteB1_R_FV_42f34b52efc14701904e2bd69b949ebb_881" localSheetId="5">#REF!</definedName>
    <definedName name="_vena_MultiSiteS1_MultiSiteB1_R_FV_42f34b52efc14701904e2bd69b949ebb_881" localSheetId="8">'[1]FY26 MYP-Multisite'!#REF!</definedName>
    <definedName name="_vena_MultiSiteS1_MultiSiteB1_R_FV_42f34b52efc14701904e2bd69b949ebb_881" localSheetId="3">#REF!</definedName>
    <definedName name="_vena_MultiSiteS1_MultiSiteB1_R_FV_42f34b52efc14701904e2bd69b949ebb_881">#REF!</definedName>
    <definedName name="_vena_MultiSiteS1_MultiSiteB1_R_FV_42f34b52efc14701904e2bd69b949ebb_882" localSheetId="4">#REF!</definedName>
    <definedName name="_vena_MultiSiteS1_MultiSiteB1_R_FV_42f34b52efc14701904e2bd69b949ebb_882" localSheetId="5">#REF!</definedName>
    <definedName name="_vena_MultiSiteS1_MultiSiteB1_R_FV_42f34b52efc14701904e2bd69b949ebb_882" localSheetId="8">'[1]FY26 MYP-Multisite'!#REF!</definedName>
    <definedName name="_vena_MultiSiteS1_MultiSiteB1_R_FV_42f34b52efc14701904e2bd69b949ebb_882" localSheetId="3">#REF!</definedName>
    <definedName name="_vena_MultiSiteS1_MultiSiteB1_R_FV_42f34b52efc14701904e2bd69b949ebb_882">#REF!</definedName>
    <definedName name="_vena_MultiSiteS1_MultiSiteB1_R_FV_42f34b52efc14701904e2bd69b949ebb_89">#REF!</definedName>
    <definedName name="_vena_MultiSiteS1_MultiSiteB1_R_FV_42f34b52efc14701904e2bd69b949ebb_9">#REF!</definedName>
    <definedName name="_vena_MultiSiteS1_MultiSiteB1_R_FV_42f34b52efc14701904e2bd69b949ebb_90">#REF!</definedName>
    <definedName name="_vena_MultiSiteS1_MultiSiteB1_R_FV_42f34b52efc14701904e2bd69b949ebb_91">#REF!</definedName>
    <definedName name="_vena_MultiSiteS1_MultiSiteB1_R_FV_42f34b52efc14701904e2bd69b949ebb_92">#REF!</definedName>
    <definedName name="_vena_MultiSiteS1_MultiSiteB1_R_FV_42f34b52efc14701904e2bd69b949ebb_93">#REF!</definedName>
    <definedName name="_vena_MultiSiteS1_MultiSiteB1_R_FV_42f34b52efc14701904e2bd69b949ebb_94">#REF!</definedName>
    <definedName name="_vena_MultiSiteS1_MultiSiteB1_R_FV_42f34b52efc14701904e2bd69b949ebb_95" localSheetId="4">#REF!</definedName>
    <definedName name="_vena_MultiSiteS1_MultiSiteB1_R_FV_42f34b52efc14701904e2bd69b949ebb_95" localSheetId="5">#REF!</definedName>
    <definedName name="_vena_MultiSiteS1_MultiSiteB1_R_FV_42f34b52efc14701904e2bd69b949ebb_95" localSheetId="8">'[1]FY26 MYP-Multisite'!#REF!</definedName>
    <definedName name="_vena_MultiSiteS1_MultiSiteB1_R_FV_42f34b52efc14701904e2bd69b949ebb_95" localSheetId="3">#REF!</definedName>
    <definedName name="_vena_MultiSiteS1_MultiSiteB1_R_FV_42f34b52efc14701904e2bd69b949ebb_95">#REF!</definedName>
    <definedName name="_vena_MultiSiteS1_MultiSiteB1_R_FV_42f34b52efc14701904e2bd69b949ebb_96">#REF!</definedName>
    <definedName name="_vena_MultiSiteS1_MultiSiteB1_R_FV_42f34b52efc14701904e2bd69b949ebb_97">#REF!</definedName>
    <definedName name="_vena_MultiSiteS1_MultiSiteB1_R_FV_42f34b52efc14701904e2bd69b949ebb_98">#REF!</definedName>
    <definedName name="_vena_MultiSiteS1_MultiSiteB1_R_FV_42f34b52efc14701904e2bd69b949ebb_99">#REF!</definedName>
    <definedName name="_vena_MultiSiteS1_MultiSiteB2_C_4_451234991058452480" localSheetId="4">#REF!</definedName>
    <definedName name="_vena_MultiSiteS1_MultiSiteB2_C_4_451234991058452480" localSheetId="5">#REF!</definedName>
    <definedName name="_vena_MultiSiteS1_MultiSiteB2_C_4_451234991058452480" localSheetId="8">'[1]FY26 MYP-Multisite'!#REF!</definedName>
    <definedName name="_vena_MultiSiteS1_MultiSiteB2_C_4_451234991058452480" localSheetId="3">#REF!</definedName>
    <definedName name="_vena_MultiSiteS1_MultiSiteB2_C_4_451234991058452480">#REF!</definedName>
    <definedName name="_vena_MultiSiteS1_MultiSiteB2_C_4_551651272932720645">#REF!</definedName>
    <definedName name="_vena_MultiSiteS1_MultiSiteB2_C_4_632005309959503878">#REF!</definedName>
    <definedName name="_vena_MultiSiteS1_MultiSiteB2_C_8_431662182314278912" localSheetId="4">#REF!</definedName>
    <definedName name="_vena_MultiSiteS1_MultiSiteB2_C_8_431662182314278912" localSheetId="5">#REF!</definedName>
    <definedName name="_vena_MultiSiteS1_MultiSiteB2_C_8_431662182314278912" localSheetId="8">'[1]FY26 MYP-Multisite'!#REF!</definedName>
    <definedName name="_vena_MultiSiteS1_MultiSiteB2_C_8_431662182314278912" localSheetId="3">#REF!</definedName>
    <definedName name="_vena_MultiSiteS1_MultiSiteB2_C_8_431662182314278912">#REF!</definedName>
    <definedName name="_vena_MultiSiteS1_MultiSiteB2_C_8_551651297721057280">#REF!</definedName>
    <definedName name="_vena_MultiSiteS1_MultiSiteB2_C_8_632005313608548359">#REF!</definedName>
    <definedName name="_vena_MultiSiteS1_MultiSiteB2_C_FV_56493ffece784c5db4cd0fd3b40a250d" localSheetId="4">#REF!</definedName>
    <definedName name="_vena_MultiSiteS1_MultiSiteB2_C_FV_56493ffece784c5db4cd0fd3b40a250d" localSheetId="5">#REF!</definedName>
    <definedName name="_vena_MultiSiteS1_MultiSiteB2_C_FV_56493ffece784c5db4cd0fd3b40a250d" localSheetId="8">'[1]FY26 MYP-Multisite'!#REF!</definedName>
    <definedName name="_vena_MultiSiteS1_MultiSiteB2_C_FV_56493ffece784c5db4cd0fd3b40a250d" localSheetId="3">#REF!</definedName>
    <definedName name="_vena_MultiSiteS1_MultiSiteB2_C_FV_56493ffece784c5db4cd0fd3b40a250d">#REF!</definedName>
    <definedName name="_vena_MultiSiteS1_MultiSiteB2_C_FV_e3545e3dcc52420a84dcdae3a23a4597" localSheetId="4">#REF!</definedName>
    <definedName name="_vena_MultiSiteS1_MultiSiteB2_C_FV_e3545e3dcc52420a84dcdae3a23a4597" localSheetId="5">#REF!</definedName>
    <definedName name="_vena_MultiSiteS1_MultiSiteB2_C_FV_e3545e3dcc52420a84dcdae3a23a4597" localSheetId="8">'[1]FY26 MYP-Multisite'!#REF!</definedName>
    <definedName name="_vena_MultiSiteS1_MultiSiteB2_C_FV_e3545e3dcc52420a84dcdae3a23a4597" localSheetId="3">#REF!</definedName>
    <definedName name="_vena_MultiSiteS1_MultiSiteB2_C_FV_e3545e3dcc52420a84dcdae3a23a4597">#REF!</definedName>
    <definedName name="_vena_MultiSiteS1_MultiSiteB2_R_5_1075919563626119168" localSheetId="4">#REF!</definedName>
    <definedName name="_vena_MultiSiteS1_MultiSiteB2_R_5_1075919563626119168" localSheetId="5">#REF!</definedName>
    <definedName name="_vena_MultiSiteS1_MultiSiteB2_R_5_1075919563626119168" localSheetId="8">'[1]FY26 MYP-Multisite'!#REF!</definedName>
    <definedName name="_vena_MultiSiteS1_MultiSiteB2_R_5_1075919563626119168" localSheetId="3">#REF!</definedName>
    <definedName name="_vena_MultiSiteS1_MultiSiteB2_R_5_1075919563626119168">#REF!</definedName>
    <definedName name="_vena_MultiSiteS1_MultiSiteB2_R_5_1111159204226662400">#REF!</definedName>
    <definedName name="_vena_MultiSiteS1_MultiSiteB2_R_5_1111520259854303232" localSheetId="4">#REF!</definedName>
    <definedName name="_vena_MultiSiteS1_MultiSiteB2_R_5_1111520259854303232" localSheetId="5">#REF!</definedName>
    <definedName name="_vena_MultiSiteS1_MultiSiteB2_R_5_1111520259854303232" localSheetId="8">'[1]FY26 MYP-Multisite'!#REF!</definedName>
    <definedName name="_vena_MultiSiteS1_MultiSiteB2_R_5_1111520259854303232" localSheetId="3">#REF!</definedName>
    <definedName name="_vena_MultiSiteS1_MultiSiteB2_R_5_1111520259854303232">#REF!</definedName>
    <definedName name="_vena_MultiSiteS1_MultiSiteB2_R_5_1111524173681000448" localSheetId="4">#REF!</definedName>
    <definedName name="_vena_MultiSiteS1_MultiSiteB2_R_5_1111524173681000448" localSheetId="5">#REF!</definedName>
    <definedName name="_vena_MultiSiteS1_MultiSiteB2_R_5_1111524173681000448" localSheetId="8">'[1]FY26 MYP-Multisite'!#REF!</definedName>
    <definedName name="_vena_MultiSiteS1_MultiSiteB2_R_5_1111524173681000448" localSheetId="3">#REF!</definedName>
    <definedName name="_vena_MultiSiteS1_MultiSiteB2_R_5_1111524173681000448">#REF!</definedName>
    <definedName name="_vena_MultiSiteS1_MultiSiteB2_R_5_1144090288895164416" localSheetId="4">#REF!</definedName>
    <definedName name="_vena_MultiSiteS1_MultiSiteB2_R_5_1144090288895164416" localSheetId="5">#REF!</definedName>
    <definedName name="_vena_MultiSiteS1_MultiSiteB2_R_5_1144090288895164416" localSheetId="8">'[1]FY26 MYP-Multisite'!#REF!</definedName>
    <definedName name="_vena_MultiSiteS1_MultiSiteB2_R_5_1144090288895164416" localSheetId="3">#REF!</definedName>
    <definedName name="_vena_MultiSiteS1_MultiSiteB2_R_5_1144090288895164416">#REF!</definedName>
    <definedName name="_vena_MultiSiteS1_MultiSiteB2_R_5_1167674209943552000">#REF!</definedName>
    <definedName name="_vena_MultiSiteS1_MultiSiteB2_R_5_1170595977436463104">#REF!</definedName>
    <definedName name="_vena_MultiSiteS1_MultiSiteB2_R_5_1170596113696817152">#REF!</definedName>
    <definedName name="_vena_MultiSiteS1_MultiSiteB2_R_5_1185377430419013632">#REF!</definedName>
    <definedName name="_vena_MultiSiteS1_MultiSiteB2_R_5_1185377508101718016">#REF!</definedName>
    <definedName name="_vena_MultiSiteS1_MultiSiteB2_R_5_1186870856006238208" localSheetId="4">#REF!</definedName>
    <definedName name="_vena_MultiSiteS1_MultiSiteB2_R_5_1186870856006238208" localSheetId="5">#REF!</definedName>
    <definedName name="_vena_MultiSiteS1_MultiSiteB2_R_5_1186870856006238208" localSheetId="8">'[1]FY26 MYP-Multisite'!#REF!</definedName>
    <definedName name="_vena_MultiSiteS1_MultiSiteB2_R_5_1186870856006238208" localSheetId="3">#REF!</definedName>
    <definedName name="_vena_MultiSiteS1_MultiSiteB2_R_5_1186870856006238208">#REF!</definedName>
    <definedName name="_vena_MultiSiteS1_MultiSiteB2_R_5_1186870856203370497" localSheetId="4">#REF!</definedName>
    <definedName name="_vena_MultiSiteS1_MultiSiteB2_R_5_1186870856203370497" localSheetId="5">#REF!</definedName>
    <definedName name="_vena_MultiSiteS1_MultiSiteB2_R_5_1186870856203370497" localSheetId="8">'[1]FY26 MYP-Multisite'!#REF!</definedName>
    <definedName name="_vena_MultiSiteS1_MultiSiteB2_R_5_1186870856203370497" localSheetId="3">#REF!</definedName>
    <definedName name="_vena_MultiSiteS1_MultiSiteB2_R_5_1186870856203370497">#REF!</definedName>
    <definedName name="_vena_MultiSiteS1_MultiSiteB2_R_5_1186870856203370499" localSheetId="4">#REF!</definedName>
    <definedName name="_vena_MultiSiteS1_MultiSiteB2_R_5_1186870856203370499" localSheetId="5">#REF!</definedName>
    <definedName name="_vena_MultiSiteS1_MultiSiteB2_R_5_1186870856203370499" localSheetId="8">'[1]FY26 MYP-Multisite'!#REF!</definedName>
    <definedName name="_vena_MultiSiteS1_MultiSiteB2_R_5_1186870856203370499" localSheetId="3">#REF!</definedName>
    <definedName name="_vena_MultiSiteS1_MultiSiteB2_R_5_1186870856203370499">#REF!</definedName>
    <definedName name="_vena_MultiSiteS1_MultiSiteB2_R_5_1186870856207564801" localSheetId="4">#REF!</definedName>
    <definedName name="_vena_MultiSiteS1_MultiSiteB2_R_5_1186870856207564801" localSheetId="5">#REF!</definedName>
    <definedName name="_vena_MultiSiteS1_MultiSiteB2_R_5_1186870856207564801" localSheetId="8">'[1]FY26 MYP-Multisite'!#REF!</definedName>
    <definedName name="_vena_MultiSiteS1_MultiSiteB2_R_5_1186870856207564801" localSheetId="3">#REF!</definedName>
    <definedName name="_vena_MultiSiteS1_MultiSiteB2_R_5_1186870856207564801">#REF!</definedName>
    <definedName name="_vena_MultiSiteS1_MultiSiteB2_R_5_1186870856207564805" localSheetId="4">#REF!</definedName>
    <definedName name="_vena_MultiSiteS1_MultiSiteB2_R_5_1186870856207564805" localSheetId="5">#REF!</definedName>
    <definedName name="_vena_MultiSiteS1_MultiSiteB2_R_5_1186870856207564805" localSheetId="8">'[1]FY26 MYP-Multisite'!#REF!</definedName>
    <definedName name="_vena_MultiSiteS1_MultiSiteB2_R_5_1186870856207564805" localSheetId="3">#REF!</definedName>
    <definedName name="_vena_MultiSiteS1_MultiSiteB2_R_5_1186870856207564805">#REF!</definedName>
    <definedName name="_vena_MultiSiteS1_MultiSiteB2_R_5_1186870856207564807" localSheetId="4">#REF!</definedName>
    <definedName name="_vena_MultiSiteS1_MultiSiteB2_R_5_1186870856207564807" localSheetId="5">#REF!</definedName>
    <definedName name="_vena_MultiSiteS1_MultiSiteB2_R_5_1186870856207564807" localSheetId="8">'[1]FY26 MYP-Multisite'!#REF!</definedName>
    <definedName name="_vena_MultiSiteS1_MultiSiteB2_R_5_1186870856207564807" localSheetId="3">#REF!</definedName>
    <definedName name="_vena_MultiSiteS1_MultiSiteB2_R_5_1186870856207564807">#REF!</definedName>
    <definedName name="_vena_MultiSiteS1_MultiSiteB2_R_5_1202087927775100928">#REF!</definedName>
    <definedName name="_vena_MultiSiteS1_MultiSiteB2_R_5_1235034379672354816">#REF!</definedName>
    <definedName name="_vena_MultiSiteS1_MultiSiteB2_R_5_1235118656917078017" localSheetId="4">#REF!</definedName>
    <definedName name="_vena_MultiSiteS1_MultiSiteB2_R_5_1235118656917078017" localSheetId="5">#REF!</definedName>
    <definedName name="_vena_MultiSiteS1_MultiSiteB2_R_5_1235118656917078017" localSheetId="8">'[1]FY26 MYP-Multisite'!#REF!</definedName>
    <definedName name="_vena_MultiSiteS1_MultiSiteB2_R_5_1235118656917078017" localSheetId="3">#REF!</definedName>
    <definedName name="_vena_MultiSiteS1_MultiSiteB2_R_5_1235118656917078017">#REF!</definedName>
    <definedName name="_vena_MultiSiteS1_MultiSiteB2_R_5_1251394851461267456">#REF!</definedName>
    <definedName name="_vena_MultiSiteS1_MultiSiteB2_R_5_1258303532941574144" localSheetId="4">#REF!</definedName>
    <definedName name="_vena_MultiSiteS1_MultiSiteB2_R_5_1258303532941574144" localSheetId="5">#REF!</definedName>
    <definedName name="_vena_MultiSiteS1_MultiSiteB2_R_5_1258303532941574144" localSheetId="8">'[1]FY26 MYP-Multisite'!#REF!</definedName>
    <definedName name="_vena_MultiSiteS1_MultiSiteB2_R_5_1258303532941574144" localSheetId="3">#REF!</definedName>
    <definedName name="_vena_MultiSiteS1_MultiSiteB2_R_5_1258303532941574144">#REF!</definedName>
    <definedName name="_vena_MultiSiteS1_MultiSiteB2_R_5_1280678120106754048">#REF!</definedName>
    <definedName name="_vena_MultiSiteS1_MultiSiteB2_R_5_1312503216814161920" localSheetId="4">#REF!</definedName>
    <definedName name="_vena_MultiSiteS1_MultiSiteB2_R_5_1312503216814161920" localSheetId="5">#REF!</definedName>
    <definedName name="_vena_MultiSiteS1_MultiSiteB2_R_5_1312503216814161920" localSheetId="8">'[1]FY26 MYP-Multisite'!#REF!</definedName>
    <definedName name="_vena_MultiSiteS1_MultiSiteB2_R_5_1312503216814161920" localSheetId="3">#REF!</definedName>
    <definedName name="_vena_MultiSiteS1_MultiSiteB2_R_5_1312503216814161920">#REF!</definedName>
    <definedName name="_vena_MultiSiteS1_MultiSiteB2_R_5_1314840998504824832">#REF!</definedName>
    <definedName name="_vena_MultiSiteS1_MultiSiteB2_R_5_1372108834994782487" localSheetId="4">#REF!</definedName>
    <definedName name="_vena_MultiSiteS1_MultiSiteB2_R_5_1372108834994782487" localSheetId="5">#REF!</definedName>
    <definedName name="_vena_MultiSiteS1_MultiSiteB2_R_5_1372108834994782487" localSheetId="8">'[1]FY26 MYP-Multisite'!#REF!</definedName>
    <definedName name="_vena_MultiSiteS1_MultiSiteB2_R_5_1372108834994782487" localSheetId="3">#REF!</definedName>
    <definedName name="_vena_MultiSiteS1_MultiSiteB2_R_5_1372108834994782487">#REF!</definedName>
    <definedName name="_vena_MultiSiteS1_MultiSiteB2_R_5_1372108961466417152" localSheetId="4">#REF!</definedName>
    <definedName name="_vena_MultiSiteS1_MultiSiteB2_R_5_1372108961466417152" localSheetId="5">#REF!</definedName>
    <definedName name="_vena_MultiSiteS1_MultiSiteB2_R_5_1372108961466417152" localSheetId="8">'[1]FY26 MYP-Multisite'!#REF!</definedName>
    <definedName name="_vena_MultiSiteS1_MultiSiteB2_R_5_1372108961466417152" localSheetId="3">#REF!</definedName>
    <definedName name="_vena_MultiSiteS1_MultiSiteB2_R_5_1372108961466417152">#REF!</definedName>
    <definedName name="_vena_MultiSiteS1_MultiSiteB2_R_5_1451293258702520320" localSheetId="4">#REF!</definedName>
    <definedName name="_vena_MultiSiteS1_MultiSiteB2_R_5_1451293258702520320" localSheetId="5">#REF!</definedName>
    <definedName name="_vena_MultiSiteS1_MultiSiteB2_R_5_1451293258702520320" localSheetId="8">'[1]FY26 MYP-Multisite'!#REF!</definedName>
    <definedName name="_vena_MultiSiteS1_MultiSiteB2_R_5_1451293258702520320" localSheetId="3">#REF!</definedName>
    <definedName name="_vena_MultiSiteS1_MultiSiteB2_R_5_1451293258702520320">#REF!</definedName>
    <definedName name="_vena_MultiSiteS1_MultiSiteB2_R_5_431662131277987840" localSheetId="4">#REF!</definedName>
    <definedName name="_vena_MultiSiteS1_MultiSiteB2_R_5_431662131277987840" localSheetId="5">#REF!</definedName>
    <definedName name="_vena_MultiSiteS1_MultiSiteB2_R_5_431662131277987840" localSheetId="8">'[1]FY26 MYP-Multisite'!#REF!</definedName>
    <definedName name="_vena_MultiSiteS1_MultiSiteB2_R_5_431662131277987840" localSheetId="3">#REF!</definedName>
    <definedName name="_vena_MultiSiteS1_MultiSiteB2_R_5_431662131277987840">#REF!</definedName>
    <definedName name="_vena_MultiSiteS1_MultiSiteB2_R_5_431662131290570752" localSheetId="4">#REF!</definedName>
    <definedName name="_vena_MultiSiteS1_MultiSiteB2_R_5_431662131290570752" localSheetId="5">#REF!</definedName>
    <definedName name="_vena_MultiSiteS1_MultiSiteB2_R_5_431662131290570752" localSheetId="8">'[1]FY26 MYP-Multisite'!#REF!</definedName>
    <definedName name="_vena_MultiSiteS1_MultiSiteB2_R_5_431662131290570752" localSheetId="3">#REF!</definedName>
    <definedName name="_vena_MultiSiteS1_MultiSiteB2_R_5_431662131290570752">#REF!</definedName>
    <definedName name="_vena_MultiSiteS1_MultiSiteB2_R_5_431662131294765057" localSheetId="4">#REF!</definedName>
    <definedName name="_vena_MultiSiteS1_MultiSiteB2_R_5_431662131294765057" localSheetId="5">#REF!</definedName>
    <definedName name="_vena_MultiSiteS1_MultiSiteB2_R_5_431662131294765057" localSheetId="8">'[1]FY26 MYP-Multisite'!#REF!</definedName>
    <definedName name="_vena_MultiSiteS1_MultiSiteB2_R_5_431662131294765057" localSheetId="3">#REF!</definedName>
    <definedName name="_vena_MultiSiteS1_MultiSiteB2_R_5_431662131294765057">#REF!</definedName>
    <definedName name="_vena_MultiSiteS1_MultiSiteB2_R_5_431662131298959361" localSheetId="4">#REF!</definedName>
    <definedName name="_vena_MultiSiteS1_MultiSiteB2_R_5_431662131298959361" localSheetId="5">#REF!</definedName>
    <definedName name="_vena_MultiSiteS1_MultiSiteB2_R_5_431662131298959361" localSheetId="8">'[1]FY26 MYP-Multisite'!#REF!</definedName>
    <definedName name="_vena_MultiSiteS1_MultiSiteB2_R_5_431662131298959361" localSheetId="3">#REF!</definedName>
    <definedName name="_vena_MultiSiteS1_MultiSiteB2_R_5_431662131298959361">#REF!</definedName>
    <definedName name="_vena_MultiSiteS1_MultiSiteB2_R_5_431662131303153665" localSheetId="4">#REF!</definedName>
    <definedName name="_vena_MultiSiteS1_MultiSiteB2_R_5_431662131303153665" localSheetId="5">#REF!</definedName>
    <definedName name="_vena_MultiSiteS1_MultiSiteB2_R_5_431662131303153665" localSheetId="8">'[1]FY26 MYP-Multisite'!#REF!</definedName>
    <definedName name="_vena_MultiSiteS1_MultiSiteB2_R_5_431662131303153665" localSheetId="3">#REF!</definedName>
    <definedName name="_vena_MultiSiteS1_MultiSiteB2_R_5_431662131303153665">#REF!</definedName>
    <definedName name="_vena_MultiSiteS1_MultiSiteB2_R_5_431662131311542273" localSheetId="4">#REF!</definedName>
    <definedName name="_vena_MultiSiteS1_MultiSiteB2_R_5_431662131311542273" localSheetId="5">#REF!</definedName>
    <definedName name="_vena_MultiSiteS1_MultiSiteB2_R_5_431662131311542273" localSheetId="8">'[1]FY26 MYP-Multisite'!#REF!</definedName>
    <definedName name="_vena_MultiSiteS1_MultiSiteB2_R_5_431662131311542273" localSheetId="3">#REF!</definedName>
    <definedName name="_vena_MultiSiteS1_MultiSiteB2_R_5_431662131311542273">#REF!</definedName>
    <definedName name="_vena_MultiSiteS1_MultiSiteB2_R_5_431662131315736577" localSheetId="4">#REF!</definedName>
    <definedName name="_vena_MultiSiteS1_MultiSiteB2_R_5_431662131315736577" localSheetId="5">#REF!</definedName>
    <definedName name="_vena_MultiSiteS1_MultiSiteB2_R_5_431662131315736577" localSheetId="8">'[1]FY26 MYP-Multisite'!#REF!</definedName>
    <definedName name="_vena_MultiSiteS1_MultiSiteB2_R_5_431662131315736577" localSheetId="3">#REF!</definedName>
    <definedName name="_vena_MultiSiteS1_MultiSiteB2_R_5_431662131315736577">#REF!</definedName>
    <definedName name="_vena_MultiSiteS1_MultiSiteB2_R_5_431662131324125185" localSheetId="4">#REF!</definedName>
    <definedName name="_vena_MultiSiteS1_MultiSiteB2_R_5_431662131324125185" localSheetId="5">#REF!</definedName>
    <definedName name="_vena_MultiSiteS1_MultiSiteB2_R_5_431662131324125185" localSheetId="8">'[1]FY26 MYP-Multisite'!#REF!</definedName>
    <definedName name="_vena_MultiSiteS1_MultiSiteB2_R_5_431662131324125185" localSheetId="3">#REF!</definedName>
    <definedName name="_vena_MultiSiteS1_MultiSiteB2_R_5_431662131324125185">#REF!</definedName>
    <definedName name="_vena_MultiSiteS1_MultiSiteB2_R_5_431662131328319489" localSheetId="4">#REF!</definedName>
    <definedName name="_vena_MultiSiteS1_MultiSiteB2_R_5_431662131328319489" localSheetId="5">#REF!</definedName>
    <definedName name="_vena_MultiSiteS1_MultiSiteB2_R_5_431662131328319489" localSheetId="8">'[1]FY26 MYP-Multisite'!#REF!</definedName>
    <definedName name="_vena_MultiSiteS1_MultiSiteB2_R_5_431662131328319489" localSheetId="3">#REF!</definedName>
    <definedName name="_vena_MultiSiteS1_MultiSiteB2_R_5_431662131328319489">#REF!</definedName>
    <definedName name="_vena_MultiSiteS1_MultiSiteB2_R_5_431662131332513793" localSheetId="4">#REF!</definedName>
    <definedName name="_vena_MultiSiteS1_MultiSiteB2_R_5_431662131332513793" localSheetId="5">#REF!</definedName>
    <definedName name="_vena_MultiSiteS1_MultiSiteB2_R_5_431662131332513793" localSheetId="8">'[1]FY26 MYP-Multisite'!#REF!</definedName>
    <definedName name="_vena_MultiSiteS1_MultiSiteB2_R_5_431662131332513793" localSheetId="3">#REF!</definedName>
    <definedName name="_vena_MultiSiteS1_MultiSiteB2_R_5_431662131332513793">#REF!</definedName>
    <definedName name="_vena_MultiSiteS1_MultiSiteB2_R_5_431662131336708097" localSheetId="4">#REF!</definedName>
    <definedName name="_vena_MultiSiteS1_MultiSiteB2_R_5_431662131336708097" localSheetId="5">#REF!</definedName>
    <definedName name="_vena_MultiSiteS1_MultiSiteB2_R_5_431662131336708097" localSheetId="8">'[1]FY26 MYP-Multisite'!#REF!</definedName>
    <definedName name="_vena_MultiSiteS1_MultiSiteB2_R_5_431662131336708097" localSheetId="3">#REF!</definedName>
    <definedName name="_vena_MultiSiteS1_MultiSiteB2_R_5_431662131336708097">#REF!</definedName>
    <definedName name="_vena_MultiSiteS1_MultiSiteB2_R_5_431662131340902401" localSheetId="4">#REF!</definedName>
    <definedName name="_vena_MultiSiteS1_MultiSiteB2_R_5_431662131340902401" localSheetId="5">#REF!</definedName>
    <definedName name="_vena_MultiSiteS1_MultiSiteB2_R_5_431662131340902401" localSheetId="8">'[1]FY26 MYP-Multisite'!#REF!</definedName>
    <definedName name="_vena_MultiSiteS1_MultiSiteB2_R_5_431662131340902401" localSheetId="3">#REF!</definedName>
    <definedName name="_vena_MultiSiteS1_MultiSiteB2_R_5_431662131340902401">#REF!</definedName>
    <definedName name="_vena_MultiSiteS1_MultiSiteB2_R_5_431662131345096705" localSheetId="4">#REF!</definedName>
    <definedName name="_vena_MultiSiteS1_MultiSiteB2_R_5_431662131345096705" localSheetId="5">#REF!</definedName>
    <definedName name="_vena_MultiSiteS1_MultiSiteB2_R_5_431662131345096705" localSheetId="8">'[1]FY26 MYP-Multisite'!#REF!</definedName>
    <definedName name="_vena_MultiSiteS1_MultiSiteB2_R_5_431662131345096705" localSheetId="3">#REF!</definedName>
    <definedName name="_vena_MultiSiteS1_MultiSiteB2_R_5_431662131345096705">#REF!</definedName>
    <definedName name="_vena_MultiSiteS1_MultiSiteB2_R_5_431662131353485313" localSheetId="4">#REF!</definedName>
    <definedName name="_vena_MultiSiteS1_MultiSiteB2_R_5_431662131353485313" localSheetId="5">#REF!</definedName>
    <definedName name="_vena_MultiSiteS1_MultiSiteB2_R_5_431662131353485313" localSheetId="8">'[1]FY26 MYP-Multisite'!#REF!</definedName>
    <definedName name="_vena_MultiSiteS1_MultiSiteB2_R_5_431662131353485313" localSheetId="3">#REF!</definedName>
    <definedName name="_vena_MultiSiteS1_MultiSiteB2_R_5_431662131353485313">#REF!</definedName>
    <definedName name="_vena_MultiSiteS1_MultiSiteB2_R_5_431662131361873921" localSheetId="4">#REF!</definedName>
    <definedName name="_vena_MultiSiteS1_MultiSiteB2_R_5_431662131361873921" localSheetId="5">#REF!</definedName>
    <definedName name="_vena_MultiSiteS1_MultiSiteB2_R_5_431662131361873921" localSheetId="8">'[1]FY26 MYP-Multisite'!#REF!</definedName>
    <definedName name="_vena_MultiSiteS1_MultiSiteB2_R_5_431662131361873921" localSheetId="3">#REF!</definedName>
    <definedName name="_vena_MultiSiteS1_MultiSiteB2_R_5_431662131361873921">#REF!</definedName>
    <definedName name="_vena_MultiSiteS1_MultiSiteB2_R_5_431662131378651136" localSheetId="4">#REF!</definedName>
    <definedName name="_vena_MultiSiteS1_MultiSiteB2_R_5_431662131378651136" localSheetId="5">#REF!</definedName>
    <definedName name="_vena_MultiSiteS1_MultiSiteB2_R_5_431662131378651136" localSheetId="8">'[1]FY26 MYP-Multisite'!#REF!</definedName>
    <definedName name="_vena_MultiSiteS1_MultiSiteB2_R_5_431662131378651136" localSheetId="3">#REF!</definedName>
    <definedName name="_vena_MultiSiteS1_MultiSiteB2_R_5_431662131378651136">#REF!</definedName>
    <definedName name="_vena_MultiSiteS1_MultiSiteB2_R_5_431662131387039744" localSheetId="4">#REF!</definedName>
    <definedName name="_vena_MultiSiteS1_MultiSiteB2_R_5_431662131387039744" localSheetId="5">#REF!</definedName>
    <definedName name="_vena_MultiSiteS1_MultiSiteB2_R_5_431662131387039744" localSheetId="8">'[1]FY26 MYP-Multisite'!#REF!</definedName>
    <definedName name="_vena_MultiSiteS1_MultiSiteB2_R_5_431662131387039744" localSheetId="3">#REF!</definedName>
    <definedName name="_vena_MultiSiteS1_MultiSiteB2_R_5_431662131387039744">#REF!</definedName>
    <definedName name="_vena_MultiSiteS1_MultiSiteB2_R_5_431662131391234049" localSheetId="4">#REF!</definedName>
    <definedName name="_vena_MultiSiteS1_MultiSiteB2_R_5_431662131391234049" localSheetId="5">#REF!</definedName>
    <definedName name="_vena_MultiSiteS1_MultiSiteB2_R_5_431662131391234049" localSheetId="8">'[1]FY26 MYP-Multisite'!#REF!</definedName>
    <definedName name="_vena_MultiSiteS1_MultiSiteB2_R_5_431662131391234049" localSheetId="3">#REF!</definedName>
    <definedName name="_vena_MultiSiteS1_MultiSiteB2_R_5_431662131391234049">#REF!</definedName>
    <definedName name="_vena_MultiSiteS1_MultiSiteB2_R_5_431662131395428353" localSheetId="4">#REF!</definedName>
    <definedName name="_vena_MultiSiteS1_MultiSiteB2_R_5_431662131395428353" localSheetId="5">#REF!</definedName>
    <definedName name="_vena_MultiSiteS1_MultiSiteB2_R_5_431662131395428353" localSheetId="8">'[1]FY26 MYP-Multisite'!#REF!</definedName>
    <definedName name="_vena_MultiSiteS1_MultiSiteB2_R_5_431662131395428353" localSheetId="3">#REF!</definedName>
    <definedName name="_vena_MultiSiteS1_MultiSiteB2_R_5_431662131395428353">#REF!</definedName>
    <definedName name="_vena_MultiSiteS1_MultiSiteB2_R_5_431662131399622657" localSheetId="4">#REF!</definedName>
    <definedName name="_vena_MultiSiteS1_MultiSiteB2_R_5_431662131399622657" localSheetId="5">#REF!</definedName>
    <definedName name="_vena_MultiSiteS1_MultiSiteB2_R_5_431662131399622657" localSheetId="8">'[1]FY26 MYP-Multisite'!#REF!</definedName>
    <definedName name="_vena_MultiSiteS1_MultiSiteB2_R_5_431662131399622657" localSheetId="3">#REF!</definedName>
    <definedName name="_vena_MultiSiteS1_MultiSiteB2_R_5_431662131399622657">#REF!</definedName>
    <definedName name="_vena_MultiSiteS1_MultiSiteB2_R_5_431662131408011265" localSheetId="4">#REF!</definedName>
    <definedName name="_vena_MultiSiteS1_MultiSiteB2_R_5_431662131408011265" localSheetId="5">#REF!</definedName>
    <definedName name="_vena_MultiSiteS1_MultiSiteB2_R_5_431662131408011265" localSheetId="8">'[1]FY26 MYP-Multisite'!#REF!</definedName>
    <definedName name="_vena_MultiSiteS1_MultiSiteB2_R_5_431662131408011265" localSheetId="3">#REF!</definedName>
    <definedName name="_vena_MultiSiteS1_MultiSiteB2_R_5_431662131408011265">#REF!</definedName>
    <definedName name="_vena_MultiSiteS1_MultiSiteB2_R_5_431662131412205569" localSheetId="4">#REF!</definedName>
    <definedName name="_vena_MultiSiteS1_MultiSiteB2_R_5_431662131412205569" localSheetId="5">#REF!</definedName>
    <definedName name="_vena_MultiSiteS1_MultiSiteB2_R_5_431662131412205569" localSheetId="8">'[1]FY26 MYP-Multisite'!#REF!</definedName>
    <definedName name="_vena_MultiSiteS1_MultiSiteB2_R_5_431662131412205569" localSheetId="3">#REF!</definedName>
    <definedName name="_vena_MultiSiteS1_MultiSiteB2_R_5_431662131412205569">#REF!</definedName>
    <definedName name="_vena_MultiSiteS1_MultiSiteB2_R_5_431662131420594177" localSheetId="4">#REF!</definedName>
    <definedName name="_vena_MultiSiteS1_MultiSiteB2_R_5_431662131420594177" localSheetId="5">#REF!</definedName>
    <definedName name="_vena_MultiSiteS1_MultiSiteB2_R_5_431662131420594177" localSheetId="8">'[1]FY26 MYP-Multisite'!#REF!</definedName>
    <definedName name="_vena_MultiSiteS1_MultiSiteB2_R_5_431662131420594177" localSheetId="3">#REF!</definedName>
    <definedName name="_vena_MultiSiteS1_MultiSiteB2_R_5_431662131420594177">#REF!</definedName>
    <definedName name="_vena_MultiSiteS1_MultiSiteB2_R_5_431662131424788481" localSheetId="4">#REF!</definedName>
    <definedName name="_vena_MultiSiteS1_MultiSiteB2_R_5_431662131424788481" localSheetId="5">#REF!</definedName>
    <definedName name="_vena_MultiSiteS1_MultiSiteB2_R_5_431662131424788481" localSheetId="8">'[1]FY26 MYP-Multisite'!#REF!</definedName>
    <definedName name="_vena_MultiSiteS1_MultiSiteB2_R_5_431662131424788481" localSheetId="3">#REF!</definedName>
    <definedName name="_vena_MultiSiteS1_MultiSiteB2_R_5_431662131424788481">#REF!</definedName>
    <definedName name="_vena_MultiSiteS1_MultiSiteB2_R_5_431662131433177088" localSheetId="4">#REF!</definedName>
    <definedName name="_vena_MultiSiteS1_MultiSiteB2_R_5_431662131433177088" localSheetId="5">#REF!</definedName>
    <definedName name="_vena_MultiSiteS1_MultiSiteB2_R_5_431662131433177088" localSheetId="8">'[1]FY26 MYP-Multisite'!#REF!</definedName>
    <definedName name="_vena_MultiSiteS1_MultiSiteB2_R_5_431662131433177088" localSheetId="3">#REF!</definedName>
    <definedName name="_vena_MultiSiteS1_MultiSiteB2_R_5_431662131433177088">#REF!</definedName>
    <definedName name="_vena_MultiSiteS1_MultiSiteB2_R_5_431662131437371393" localSheetId="4">#REF!</definedName>
    <definedName name="_vena_MultiSiteS1_MultiSiteB2_R_5_431662131437371393" localSheetId="5">#REF!</definedName>
    <definedName name="_vena_MultiSiteS1_MultiSiteB2_R_5_431662131437371393" localSheetId="8">'[1]FY26 MYP-Multisite'!#REF!</definedName>
    <definedName name="_vena_MultiSiteS1_MultiSiteB2_R_5_431662131437371393" localSheetId="3">#REF!</definedName>
    <definedName name="_vena_MultiSiteS1_MultiSiteB2_R_5_431662131437371393">#REF!</definedName>
    <definedName name="_vena_MultiSiteS1_MultiSiteB2_R_5_431662131441565697" localSheetId="4">#REF!</definedName>
    <definedName name="_vena_MultiSiteS1_MultiSiteB2_R_5_431662131441565697" localSheetId="5">#REF!</definedName>
    <definedName name="_vena_MultiSiteS1_MultiSiteB2_R_5_431662131441565697" localSheetId="8">'[1]FY26 MYP-Multisite'!#REF!</definedName>
    <definedName name="_vena_MultiSiteS1_MultiSiteB2_R_5_431662131441565697" localSheetId="3">#REF!</definedName>
    <definedName name="_vena_MultiSiteS1_MultiSiteB2_R_5_431662131441565697">#REF!</definedName>
    <definedName name="_vena_MultiSiteS1_MultiSiteB2_R_5_431662131445760001" localSheetId="4">#REF!</definedName>
    <definedName name="_vena_MultiSiteS1_MultiSiteB2_R_5_431662131445760001" localSheetId="5">#REF!</definedName>
    <definedName name="_vena_MultiSiteS1_MultiSiteB2_R_5_431662131445760001" localSheetId="8">'[1]FY26 MYP-Multisite'!#REF!</definedName>
    <definedName name="_vena_MultiSiteS1_MultiSiteB2_R_5_431662131445760001" localSheetId="3">#REF!</definedName>
    <definedName name="_vena_MultiSiteS1_MultiSiteB2_R_5_431662131445760001">#REF!</definedName>
    <definedName name="_vena_MultiSiteS1_MultiSiteB2_R_5_431662131449954305" localSheetId="4">#REF!</definedName>
    <definedName name="_vena_MultiSiteS1_MultiSiteB2_R_5_431662131449954305" localSheetId="5">#REF!</definedName>
    <definedName name="_vena_MultiSiteS1_MultiSiteB2_R_5_431662131449954305" localSheetId="8">'[1]FY26 MYP-Multisite'!#REF!</definedName>
    <definedName name="_vena_MultiSiteS1_MultiSiteB2_R_5_431662131449954305" localSheetId="3">#REF!</definedName>
    <definedName name="_vena_MultiSiteS1_MultiSiteB2_R_5_431662131449954305">#REF!</definedName>
    <definedName name="_vena_MultiSiteS1_MultiSiteB2_R_5_431662131458342913" localSheetId="4">#REF!</definedName>
    <definedName name="_vena_MultiSiteS1_MultiSiteB2_R_5_431662131458342913" localSheetId="5">#REF!</definedName>
    <definedName name="_vena_MultiSiteS1_MultiSiteB2_R_5_431662131458342913" localSheetId="8">'[1]FY26 MYP-Multisite'!#REF!</definedName>
    <definedName name="_vena_MultiSiteS1_MultiSiteB2_R_5_431662131458342913" localSheetId="3">#REF!</definedName>
    <definedName name="_vena_MultiSiteS1_MultiSiteB2_R_5_431662131458342913">#REF!</definedName>
    <definedName name="_vena_MultiSiteS1_MultiSiteB2_R_5_431662131462537217" localSheetId="4">#REF!</definedName>
    <definedName name="_vena_MultiSiteS1_MultiSiteB2_R_5_431662131462537217" localSheetId="5">#REF!</definedName>
    <definedName name="_vena_MultiSiteS1_MultiSiteB2_R_5_431662131462537217" localSheetId="8">'[1]FY26 MYP-Multisite'!#REF!</definedName>
    <definedName name="_vena_MultiSiteS1_MultiSiteB2_R_5_431662131462537217" localSheetId="3">#REF!</definedName>
    <definedName name="_vena_MultiSiteS1_MultiSiteB2_R_5_431662131462537217">#REF!</definedName>
    <definedName name="_vena_MultiSiteS1_MultiSiteB2_R_5_431662131466731521" localSheetId="4">#REF!</definedName>
    <definedName name="_vena_MultiSiteS1_MultiSiteB2_R_5_431662131466731521" localSheetId="5">#REF!</definedName>
    <definedName name="_vena_MultiSiteS1_MultiSiteB2_R_5_431662131466731521" localSheetId="8">'[1]FY26 MYP-Multisite'!#REF!</definedName>
    <definedName name="_vena_MultiSiteS1_MultiSiteB2_R_5_431662131466731521" localSheetId="3">#REF!</definedName>
    <definedName name="_vena_MultiSiteS1_MultiSiteB2_R_5_431662131466731521">#REF!</definedName>
    <definedName name="_vena_MultiSiteS1_MultiSiteB2_R_5_431662131475120129" localSheetId="4">#REF!</definedName>
    <definedName name="_vena_MultiSiteS1_MultiSiteB2_R_5_431662131475120129" localSheetId="5">#REF!</definedName>
    <definedName name="_vena_MultiSiteS1_MultiSiteB2_R_5_431662131475120129" localSheetId="8">'[1]FY26 MYP-Multisite'!#REF!</definedName>
    <definedName name="_vena_MultiSiteS1_MultiSiteB2_R_5_431662131475120129" localSheetId="3">#REF!</definedName>
    <definedName name="_vena_MultiSiteS1_MultiSiteB2_R_5_431662131475120129">#REF!</definedName>
    <definedName name="_vena_MultiSiteS1_MultiSiteB2_R_5_431662131479314433" localSheetId="4">#REF!</definedName>
    <definedName name="_vena_MultiSiteS1_MultiSiteB2_R_5_431662131479314433" localSheetId="5">#REF!</definedName>
    <definedName name="_vena_MultiSiteS1_MultiSiteB2_R_5_431662131479314433" localSheetId="8">'[1]FY26 MYP-Multisite'!#REF!</definedName>
    <definedName name="_vena_MultiSiteS1_MultiSiteB2_R_5_431662131479314433" localSheetId="3">#REF!</definedName>
    <definedName name="_vena_MultiSiteS1_MultiSiteB2_R_5_431662131479314433">#REF!</definedName>
    <definedName name="_vena_MultiSiteS1_MultiSiteB2_R_5_431662131483508737" localSheetId="4">#REF!</definedName>
    <definedName name="_vena_MultiSiteS1_MultiSiteB2_R_5_431662131483508737" localSheetId="5">#REF!</definedName>
    <definedName name="_vena_MultiSiteS1_MultiSiteB2_R_5_431662131483508737" localSheetId="8">'[1]FY26 MYP-Multisite'!#REF!</definedName>
    <definedName name="_vena_MultiSiteS1_MultiSiteB2_R_5_431662131483508737" localSheetId="3">#REF!</definedName>
    <definedName name="_vena_MultiSiteS1_MultiSiteB2_R_5_431662131483508737">#REF!</definedName>
    <definedName name="_vena_MultiSiteS1_MultiSiteB2_R_5_431662131487703041" localSheetId="4">#REF!</definedName>
    <definedName name="_vena_MultiSiteS1_MultiSiteB2_R_5_431662131487703041" localSheetId="5">#REF!</definedName>
    <definedName name="_vena_MultiSiteS1_MultiSiteB2_R_5_431662131487703041" localSheetId="8">'[1]FY26 MYP-Multisite'!#REF!</definedName>
    <definedName name="_vena_MultiSiteS1_MultiSiteB2_R_5_431662131487703041" localSheetId="3">#REF!</definedName>
    <definedName name="_vena_MultiSiteS1_MultiSiteB2_R_5_431662131487703041">#REF!</definedName>
    <definedName name="_vena_MultiSiteS1_MultiSiteB2_R_5_431662131496091649" localSheetId="4">#REF!</definedName>
    <definedName name="_vena_MultiSiteS1_MultiSiteB2_R_5_431662131496091649" localSheetId="5">#REF!</definedName>
    <definedName name="_vena_MultiSiteS1_MultiSiteB2_R_5_431662131496091649" localSheetId="8">'[1]FY26 MYP-Multisite'!#REF!</definedName>
    <definedName name="_vena_MultiSiteS1_MultiSiteB2_R_5_431662131496091649" localSheetId="3">#REF!</definedName>
    <definedName name="_vena_MultiSiteS1_MultiSiteB2_R_5_431662131496091649">#REF!</definedName>
    <definedName name="_vena_MultiSiteS1_MultiSiteB2_R_5_431662131500285953" localSheetId="4">#REF!</definedName>
    <definedName name="_vena_MultiSiteS1_MultiSiteB2_R_5_431662131500285953" localSheetId="5">#REF!</definedName>
    <definedName name="_vena_MultiSiteS1_MultiSiteB2_R_5_431662131500285953" localSheetId="8">'[1]FY26 MYP-Multisite'!#REF!</definedName>
    <definedName name="_vena_MultiSiteS1_MultiSiteB2_R_5_431662131500285953" localSheetId="3">#REF!</definedName>
    <definedName name="_vena_MultiSiteS1_MultiSiteB2_R_5_431662131500285953">#REF!</definedName>
    <definedName name="_vena_MultiSiteS1_MultiSiteB2_R_5_431662131504480257" localSheetId="4">#REF!</definedName>
    <definedName name="_vena_MultiSiteS1_MultiSiteB2_R_5_431662131504480257" localSheetId="5">#REF!</definedName>
    <definedName name="_vena_MultiSiteS1_MultiSiteB2_R_5_431662131504480257" localSheetId="8">'[1]FY26 MYP-Multisite'!#REF!</definedName>
    <definedName name="_vena_MultiSiteS1_MultiSiteB2_R_5_431662131504480257" localSheetId="3">#REF!</definedName>
    <definedName name="_vena_MultiSiteS1_MultiSiteB2_R_5_431662131504480257">#REF!</definedName>
    <definedName name="_vena_MultiSiteS1_MultiSiteB2_R_5_431662131508674561" localSheetId="4">#REF!</definedName>
    <definedName name="_vena_MultiSiteS1_MultiSiteB2_R_5_431662131508674561" localSheetId="5">#REF!</definedName>
    <definedName name="_vena_MultiSiteS1_MultiSiteB2_R_5_431662131508674561" localSheetId="8">'[1]FY26 MYP-Multisite'!#REF!</definedName>
    <definedName name="_vena_MultiSiteS1_MultiSiteB2_R_5_431662131508674561" localSheetId="3">#REF!</definedName>
    <definedName name="_vena_MultiSiteS1_MultiSiteB2_R_5_431662131508674561">#REF!</definedName>
    <definedName name="_vena_MultiSiteS1_MultiSiteB2_R_5_431662131512868865" localSheetId="4">#REF!</definedName>
    <definedName name="_vena_MultiSiteS1_MultiSiteB2_R_5_431662131512868865" localSheetId="5">#REF!</definedName>
    <definedName name="_vena_MultiSiteS1_MultiSiteB2_R_5_431662131512868865" localSheetId="8">'[1]FY26 MYP-Multisite'!#REF!</definedName>
    <definedName name="_vena_MultiSiteS1_MultiSiteB2_R_5_431662131512868865" localSheetId="3">#REF!</definedName>
    <definedName name="_vena_MultiSiteS1_MultiSiteB2_R_5_431662131512868865">#REF!</definedName>
    <definedName name="_vena_MultiSiteS1_MultiSiteB2_R_5_431662131517063169" localSheetId="4">#REF!</definedName>
    <definedName name="_vena_MultiSiteS1_MultiSiteB2_R_5_431662131517063169" localSheetId="5">#REF!</definedName>
    <definedName name="_vena_MultiSiteS1_MultiSiteB2_R_5_431662131517063169" localSheetId="8">'[1]FY26 MYP-Multisite'!#REF!</definedName>
    <definedName name="_vena_MultiSiteS1_MultiSiteB2_R_5_431662131517063169" localSheetId="3">#REF!</definedName>
    <definedName name="_vena_MultiSiteS1_MultiSiteB2_R_5_431662131517063169">#REF!</definedName>
    <definedName name="_vena_MultiSiteS1_MultiSiteB2_R_5_431662131529646081" localSheetId="4">#REF!</definedName>
    <definedName name="_vena_MultiSiteS1_MultiSiteB2_R_5_431662131529646081" localSheetId="5">#REF!</definedName>
    <definedName name="_vena_MultiSiteS1_MultiSiteB2_R_5_431662131529646081" localSheetId="8">'[1]FY26 MYP-Multisite'!#REF!</definedName>
    <definedName name="_vena_MultiSiteS1_MultiSiteB2_R_5_431662131529646081" localSheetId="3">#REF!</definedName>
    <definedName name="_vena_MultiSiteS1_MultiSiteB2_R_5_431662131529646081">#REF!</definedName>
    <definedName name="_vena_MultiSiteS1_MultiSiteB2_R_5_431662131546423296" localSheetId="4">#REF!</definedName>
    <definedName name="_vena_MultiSiteS1_MultiSiteB2_R_5_431662131546423296" localSheetId="5">#REF!</definedName>
    <definedName name="_vena_MultiSiteS1_MultiSiteB2_R_5_431662131546423296" localSheetId="8">'[1]FY26 MYP-Multisite'!#REF!</definedName>
    <definedName name="_vena_MultiSiteS1_MultiSiteB2_R_5_431662131546423296" localSheetId="3">#REF!</definedName>
    <definedName name="_vena_MultiSiteS1_MultiSiteB2_R_5_431662131546423296">#REF!</definedName>
    <definedName name="_vena_MultiSiteS1_MultiSiteB2_R_5_431662131550617601" localSheetId="4">#REF!</definedName>
    <definedName name="_vena_MultiSiteS1_MultiSiteB2_R_5_431662131550617601" localSheetId="5">#REF!</definedName>
    <definedName name="_vena_MultiSiteS1_MultiSiteB2_R_5_431662131550617601" localSheetId="8">'[1]FY26 MYP-Multisite'!#REF!</definedName>
    <definedName name="_vena_MultiSiteS1_MultiSiteB2_R_5_431662131550617601" localSheetId="3">#REF!</definedName>
    <definedName name="_vena_MultiSiteS1_MultiSiteB2_R_5_431662131550617601">#REF!</definedName>
    <definedName name="_vena_MultiSiteS1_MultiSiteB2_R_5_431662131554811905" localSheetId="4">#REF!</definedName>
    <definedName name="_vena_MultiSiteS1_MultiSiteB2_R_5_431662131554811905" localSheetId="5">#REF!</definedName>
    <definedName name="_vena_MultiSiteS1_MultiSiteB2_R_5_431662131554811905" localSheetId="8">'[1]FY26 MYP-Multisite'!#REF!</definedName>
    <definedName name="_vena_MultiSiteS1_MultiSiteB2_R_5_431662131554811905" localSheetId="3">#REF!</definedName>
    <definedName name="_vena_MultiSiteS1_MultiSiteB2_R_5_431662131554811905">#REF!</definedName>
    <definedName name="_vena_MultiSiteS1_MultiSiteB2_R_5_431662131559006209" localSheetId="4">#REF!</definedName>
    <definedName name="_vena_MultiSiteS1_MultiSiteB2_R_5_431662131559006209" localSheetId="5">#REF!</definedName>
    <definedName name="_vena_MultiSiteS1_MultiSiteB2_R_5_431662131559006209" localSheetId="8">'[1]FY26 MYP-Multisite'!#REF!</definedName>
    <definedName name="_vena_MultiSiteS1_MultiSiteB2_R_5_431662131559006209" localSheetId="3">#REF!</definedName>
    <definedName name="_vena_MultiSiteS1_MultiSiteB2_R_5_431662131559006209">#REF!</definedName>
    <definedName name="_vena_MultiSiteS1_MultiSiteB2_R_5_431662131567394816" localSheetId="4">#REF!</definedName>
    <definedName name="_vena_MultiSiteS1_MultiSiteB2_R_5_431662131567394816" localSheetId="5">#REF!</definedName>
    <definedName name="_vena_MultiSiteS1_MultiSiteB2_R_5_431662131567394816" localSheetId="8">'[1]FY26 MYP-Multisite'!#REF!</definedName>
    <definedName name="_vena_MultiSiteS1_MultiSiteB2_R_5_431662131567394816" localSheetId="3">#REF!</definedName>
    <definedName name="_vena_MultiSiteS1_MultiSiteB2_R_5_431662131567394816">#REF!</definedName>
    <definedName name="_vena_MultiSiteS1_MultiSiteB2_R_5_431662131571589121" localSheetId="4">#REF!</definedName>
    <definedName name="_vena_MultiSiteS1_MultiSiteB2_R_5_431662131571589121" localSheetId="5">#REF!</definedName>
    <definedName name="_vena_MultiSiteS1_MultiSiteB2_R_5_431662131571589121" localSheetId="8">'[1]FY26 MYP-Multisite'!#REF!</definedName>
    <definedName name="_vena_MultiSiteS1_MultiSiteB2_R_5_431662131571589121" localSheetId="3">#REF!</definedName>
    <definedName name="_vena_MultiSiteS1_MultiSiteB2_R_5_431662131571589121">#REF!</definedName>
    <definedName name="_vena_MultiSiteS1_MultiSiteB2_R_5_431662131575783425" localSheetId="4">#REF!</definedName>
    <definedName name="_vena_MultiSiteS1_MultiSiteB2_R_5_431662131575783425" localSheetId="5">#REF!</definedName>
    <definedName name="_vena_MultiSiteS1_MultiSiteB2_R_5_431662131575783425" localSheetId="8">'[1]FY26 MYP-Multisite'!#REF!</definedName>
    <definedName name="_vena_MultiSiteS1_MultiSiteB2_R_5_431662131575783425" localSheetId="3">#REF!</definedName>
    <definedName name="_vena_MultiSiteS1_MultiSiteB2_R_5_431662131575783425">#REF!</definedName>
    <definedName name="_vena_MultiSiteS1_MultiSiteB2_R_5_431662131579977729" localSheetId="4">#REF!</definedName>
    <definedName name="_vena_MultiSiteS1_MultiSiteB2_R_5_431662131579977729" localSheetId="5">#REF!</definedName>
    <definedName name="_vena_MultiSiteS1_MultiSiteB2_R_5_431662131579977729" localSheetId="8">'[1]FY26 MYP-Multisite'!#REF!</definedName>
    <definedName name="_vena_MultiSiteS1_MultiSiteB2_R_5_431662131579977729" localSheetId="3">#REF!</definedName>
    <definedName name="_vena_MultiSiteS1_MultiSiteB2_R_5_431662131579977729">#REF!</definedName>
    <definedName name="_vena_MultiSiteS1_MultiSiteB2_R_5_431662131588366337" localSheetId="4">#REF!</definedName>
    <definedName name="_vena_MultiSiteS1_MultiSiteB2_R_5_431662131588366337" localSheetId="5">#REF!</definedName>
    <definedName name="_vena_MultiSiteS1_MultiSiteB2_R_5_431662131588366337" localSheetId="8">'[1]FY26 MYP-Multisite'!#REF!</definedName>
    <definedName name="_vena_MultiSiteS1_MultiSiteB2_R_5_431662131588366337" localSheetId="3">#REF!</definedName>
    <definedName name="_vena_MultiSiteS1_MultiSiteB2_R_5_431662131588366337">#REF!</definedName>
    <definedName name="_vena_MultiSiteS1_MultiSiteB2_R_5_431662131592560641" localSheetId="4">#REF!</definedName>
    <definedName name="_vena_MultiSiteS1_MultiSiteB2_R_5_431662131592560641" localSheetId="5">#REF!</definedName>
    <definedName name="_vena_MultiSiteS1_MultiSiteB2_R_5_431662131592560641" localSheetId="8">'[1]FY26 MYP-Multisite'!#REF!</definedName>
    <definedName name="_vena_MultiSiteS1_MultiSiteB2_R_5_431662131592560641" localSheetId="3">#REF!</definedName>
    <definedName name="_vena_MultiSiteS1_MultiSiteB2_R_5_431662131592560641">#REF!</definedName>
    <definedName name="_vena_MultiSiteS1_MultiSiteB2_R_5_431662131596754945" localSheetId="4">#REF!</definedName>
    <definedName name="_vena_MultiSiteS1_MultiSiteB2_R_5_431662131596754945" localSheetId="5">#REF!</definedName>
    <definedName name="_vena_MultiSiteS1_MultiSiteB2_R_5_431662131596754945" localSheetId="8">'[1]FY26 MYP-Multisite'!#REF!</definedName>
    <definedName name="_vena_MultiSiteS1_MultiSiteB2_R_5_431662131596754945" localSheetId="3">#REF!</definedName>
    <definedName name="_vena_MultiSiteS1_MultiSiteB2_R_5_431662131596754945">#REF!</definedName>
    <definedName name="_vena_MultiSiteS1_MultiSiteB2_R_5_431662131600949249" localSheetId="4">#REF!</definedName>
    <definedName name="_vena_MultiSiteS1_MultiSiteB2_R_5_431662131600949249" localSheetId="5">#REF!</definedName>
    <definedName name="_vena_MultiSiteS1_MultiSiteB2_R_5_431662131600949249" localSheetId="8">'[1]FY26 MYP-Multisite'!#REF!</definedName>
    <definedName name="_vena_MultiSiteS1_MultiSiteB2_R_5_431662131600949249" localSheetId="3">#REF!</definedName>
    <definedName name="_vena_MultiSiteS1_MultiSiteB2_R_5_431662131600949249">#REF!</definedName>
    <definedName name="_vena_MultiSiteS1_MultiSiteB2_R_5_431662131609337857" localSheetId="4">#REF!</definedName>
    <definedName name="_vena_MultiSiteS1_MultiSiteB2_R_5_431662131609337857" localSheetId="5">#REF!</definedName>
    <definedName name="_vena_MultiSiteS1_MultiSiteB2_R_5_431662131609337857" localSheetId="8">'[1]FY26 MYP-Multisite'!#REF!</definedName>
    <definedName name="_vena_MultiSiteS1_MultiSiteB2_R_5_431662131609337857" localSheetId="3">#REF!</definedName>
    <definedName name="_vena_MultiSiteS1_MultiSiteB2_R_5_431662131609337857">#REF!</definedName>
    <definedName name="_vena_MultiSiteS1_MultiSiteB2_R_5_431662131613532161" localSheetId="4">#REF!</definedName>
    <definedName name="_vena_MultiSiteS1_MultiSiteB2_R_5_431662131613532161" localSheetId="5">#REF!</definedName>
    <definedName name="_vena_MultiSiteS1_MultiSiteB2_R_5_431662131613532161" localSheetId="8">'[1]FY26 MYP-Multisite'!#REF!</definedName>
    <definedName name="_vena_MultiSiteS1_MultiSiteB2_R_5_431662131613532161" localSheetId="3">#REF!</definedName>
    <definedName name="_vena_MultiSiteS1_MultiSiteB2_R_5_431662131613532161">#REF!</definedName>
    <definedName name="_vena_MultiSiteS1_MultiSiteB2_R_5_431662131621920769" localSheetId="4">#REF!</definedName>
    <definedName name="_vena_MultiSiteS1_MultiSiteB2_R_5_431662131621920769" localSheetId="5">#REF!</definedName>
    <definedName name="_vena_MultiSiteS1_MultiSiteB2_R_5_431662131621920769" localSheetId="8">'[1]FY26 MYP-Multisite'!#REF!</definedName>
    <definedName name="_vena_MultiSiteS1_MultiSiteB2_R_5_431662131621920769" localSheetId="3">#REF!</definedName>
    <definedName name="_vena_MultiSiteS1_MultiSiteB2_R_5_431662131621920769">#REF!</definedName>
    <definedName name="_vena_MultiSiteS1_MultiSiteB2_R_5_431662131626115073" localSheetId="4">#REF!</definedName>
    <definedName name="_vena_MultiSiteS1_MultiSiteB2_R_5_431662131626115073" localSheetId="5">#REF!</definedName>
    <definedName name="_vena_MultiSiteS1_MultiSiteB2_R_5_431662131626115073" localSheetId="8">'[1]FY26 MYP-Multisite'!#REF!</definedName>
    <definedName name="_vena_MultiSiteS1_MultiSiteB2_R_5_431662131626115073" localSheetId="3">#REF!</definedName>
    <definedName name="_vena_MultiSiteS1_MultiSiteB2_R_5_431662131626115073">#REF!</definedName>
    <definedName name="_vena_MultiSiteS1_MultiSiteB2_R_5_431662131630309377" localSheetId="4">#REF!</definedName>
    <definedName name="_vena_MultiSiteS1_MultiSiteB2_R_5_431662131630309377" localSheetId="5">#REF!</definedName>
    <definedName name="_vena_MultiSiteS1_MultiSiteB2_R_5_431662131630309377" localSheetId="8">'[1]FY26 MYP-Multisite'!#REF!</definedName>
    <definedName name="_vena_MultiSiteS1_MultiSiteB2_R_5_431662131630309377" localSheetId="3">#REF!</definedName>
    <definedName name="_vena_MultiSiteS1_MultiSiteB2_R_5_431662131630309377">#REF!</definedName>
    <definedName name="_vena_MultiSiteS1_MultiSiteB2_R_5_431662131638697985" localSheetId="4">#REF!</definedName>
    <definedName name="_vena_MultiSiteS1_MultiSiteB2_R_5_431662131638697985" localSheetId="5">#REF!</definedName>
    <definedName name="_vena_MultiSiteS1_MultiSiteB2_R_5_431662131638697985" localSheetId="8">'[1]FY26 MYP-Multisite'!#REF!</definedName>
    <definedName name="_vena_MultiSiteS1_MultiSiteB2_R_5_431662131638697985" localSheetId="3">#REF!</definedName>
    <definedName name="_vena_MultiSiteS1_MultiSiteB2_R_5_431662131638697985">#REF!</definedName>
    <definedName name="_vena_MultiSiteS1_MultiSiteB2_R_5_431662131642892289" localSheetId="4">#REF!</definedName>
    <definedName name="_vena_MultiSiteS1_MultiSiteB2_R_5_431662131642892289" localSheetId="5">#REF!</definedName>
    <definedName name="_vena_MultiSiteS1_MultiSiteB2_R_5_431662131642892289" localSheetId="8">'[1]FY26 MYP-Multisite'!#REF!</definedName>
    <definedName name="_vena_MultiSiteS1_MultiSiteB2_R_5_431662131642892289" localSheetId="3">#REF!</definedName>
    <definedName name="_vena_MultiSiteS1_MultiSiteB2_R_5_431662131642892289">#REF!</definedName>
    <definedName name="_vena_MultiSiteS1_MultiSiteB2_R_5_431662131647086593" localSheetId="4">#REF!</definedName>
    <definedName name="_vena_MultiSiteS1_MultiSiteB2_R_5_431662131647086593" localSheetId="5">#REF!</definedName>
    <definedName name="_vena_MultiSiteS1_MultiSiteB2_R_5_431662131647086593" localSheetId="8">'[1]FY26 MYP-Multisite'!#REF!</definedName>
    <definedName name="_vena_MultiSiteS1_MultiSiteB2_R_5_431662131647086593" localSheetId="3">#REF!</definedName>
    <definedName name="_vena_MultiSiteS1_MultiSiteB2_R_5_431662131647086593">#REF!</definedName>
    <definedName name="_vena_MultiSiteS1_MultiSiteB2_R_5_431662131655475200" localSheetId="4">#REF!</definedName>
    <definedName name="_vena_MultiSiteS1_MultiSiteB2_R_5_431662131655475200" localSheetId="5">#REF!</definedName>
    <definedName name="_vena_MultiSiteS1_MultiSiteB2_R_5_431662131655475200" localSheetId="8">'[1]FY26 MYP-Multisite'!#REF!</definedName>
    <definedName name="_vena_MultiSiteS1_MultiSiteB2_R_5_431662131655475200" localSheetId="3">#REF!</definedName>
    <definedName name="_vena_MultiSiteS1_MultiSiteB2_R_5_431662131655475200">#REF!</definedName>
    <definedName name="_vena_MultiSiteS1_MultiSiteB2_R_5_431662131659669505" localSheetId="4">#REF!</definedName>
    <definedName name="_vena_MultiSiteS1_MultiSiteB2_R_5_431662131659669505" localSheetId="5">#REF!</definedName>
    <definedName name="_vena_MultiSiteS1_MultiSiteB2_R_5_431662131659669505" localSheetId="8">'[1]FY26 MYP-Multisite'!#REF!</definedName>
    <definedName name="_vena_MultiSiteS1_MultiSiteB2_R_5_431662131659669505" localSheetId="3">#REF!</definedName>
    <definedName name="_vena_MultiSiteS1_MultiSiteB2_R_5_431662131659669505">#REF!</definedName>
    <definedName name="_vena_MultiSiteS1_MultiSiteB2_R_5_431662131663863809" localSheetId="4">#REF!</definedName>
    <definedName name="_vena_MultiSiteS1_MultiSiteB2_R_5_431662131663863809" localSheetId="5">#REF!</definedName>
    <definedName name="_vena_MultiSiteS1_MultiSiteB2_R_5_431662131663863809" localSheetId="8">'[1]FY26 MYP-Multisite'!#REF!</definedName>
    <definedName name="_vena_MultiSiteS1_MultiSiteB2_R_5_431662131663863809" localSheetId="3">#REF!</definedName>
    <definedName name="_vena_MultiSiteS1_MultiSiteB2_R_5_431662131663863809">#REF!</definedName>
    <definedName name="_vena_MultiSiteS1_MultiSiteB2_R_5_431662131668058116" localSheetId="4">#REF!</definedName>
    <definedName name="_vena_MultiSiteS1_MultiSiteB2_R_5_431662131668058116" localSheetId="5">#REF!</definedName>
    <definedName name="_vena_MultiSiteS1_MultiSiteB2_R_5_431662131668058116" localSheetId="8">'[1]FY26 MYP-Multisite'!#REF!</definedName>
    <definedName name="_vena_MultiSiteS1_MultiSiteB2_R_5_431662131668058116" localSheetId="3">#REF!</definedName>
    <definedName name="_vena_MultiSiteS1_MultiSiteB2_R_5_431662131668058116">#REF!</definedName>
    <definedName name="_vena_MultiSiteS1_MultiSiteB2_R_5_431662131676446721" localSheetId="4">#REF!</definedName>
    <definedName name="_vena_MultiSiteS1_MultiSiteB2_R_5_431662131676446721" localSheetId="5">#REF!</definedName>
    <definedName name="_vena_MultiSiteS1_MultiSiteB2_R_5_431662131676446721" localSheetId="8">'[1]FY26 MYP-Multisite'!#REF!</definedName>
    <definedName name="_vena_MultiSiteS1_MultiSiteB2_R_5_431662131676446721" localSheetId="3">#REF!</definedName>
    <definedName name="_vena_MultiSiteS1_MultiSiteB2_R_5_431662131676446721">#REF!</definedName>
    <definedName name="_vena_MultiSiteS1_MultiSiteB2_R_5_431662131680641025" localSheetId="4">#REF!</definedName>
    <definedName name="_vena_MultiSiteS1_MultiSiteB2_R_5_431662131680641025" localSheetId="5">#REF!</definedName>
    <definedName name="_vena_MultiSiteS1_MultiSiteB2_R_5_431662131680641025" localSheetId="8">'[1]FY26 MYP-Multisite'!#REF!</definedName>
    <definedName name="_vena_MultiSiteS1_MultiSiteB2_R_5_431662131680641025" localSheetId="3">#REF!</definedName>
    <definedName name="_vena_MultiSiteS1_MultiSiteB2_R_5_431662131680641025">#REF!</definedName>
    <definedName name="_vena_MultiSiteS1_MultiSiteB2_R_5_431662131689029634" localSheetId="4">#REF!</definedName>
    <definedName name="_vena_MultiSiteS1_MultiSiteB2_R_5_431662131689029634" localSheetId="5">#REF!</definedName>
    <definedName name="_vena_MultiSiteS1_MultiSiteB2_R_5_431662131689029634" localSheetId="8">'[1]FY26 MYP-Multisite'!#REF!</definedName>
    <definedName name="_vena_MultiSiteS1_MultiSiteB2_R_5_431662131689029634" localSheetId="3">#REF!</definedName>
    <definedName name="_vena_MultiSiteS1_MultiSiteB2_R_5_431662131689029634">#REF!</definedName>
    <definedName name="_vena_MultiSiteS1_MultiSiteB2_R_5_431662131693223939" localSheetId="4">#REF!</definedName>
    <definedName name="_vena_MultiSiteS1_MultiSiteB2_R_5_431662131693223939" localSheetId="5">#REF!</definedName>
    <definedName name="_vena_MultiSiteS1_MultiSiteB2_R_5_431662131693223939" localSheetId="8">'[1]FY26 MYP-Multisite'!#REF!</definedName>
    <definedName name="_vena_MultiSiteS1_MultiSiteB2_R_5_431662131693223939" localSheetId="3">#REF!</definedName>
    <definedName name="_vena_MultiSiteS1_MultiSiteB2_R_5_431662131693223939">#REF!</definedName>
    <definedName name="_vena_MultiSiteS1_MultiSiteB2_R_5_431662131697418241" localSheetId="4">#REF!</definedName>
    <definedName name="_vena_MultiSiteS1_MultiSiteB2_R_5_431662131697418241" localSheetId="5">#REF!</definedName>
    <definedName name="_vena_MultiSiteS1_MultiSiteB2_R_5_431662131697418241" localSheetId="8">'[1]FY26 MYP-Multisite'!#REF!</definedName>
    <definedName name="_vena_MultiSiteS1_MultiSiteB2_R_5_431662131697418241" localSheetId="3">#REF!</definedName>
    <definedName name="_vena_MultiSiteS1_MultiSiteB2_R_5_431662131697418241">#REF!</definedName>
    <definedName name="_vena_MultiSiteS1_MultiSiteB2_R_5_431662131701612545" localSheetId="4">#REF!</definedName>
    <definedName name="_vena_MultiSiteS1_MultiSiteB2_R_5_431662131701612545" localSheetId="5">#REF!</definedName>
    <definedName name="_vena_MultiSiteS1_MultiSiteB2_R_5_431662131701612545" localSheetId="8">'[1]FY26 MYP-Multisite'!#REF!</definedName>
    <definedName name="_vena_MultiSiteS1_MultiSiteB2_R_5_431662131701612545" localSheetId="3">#REF!</definedName>
    <definedName name="_vena_MultiSiteS1_MultiSiteB2_R_5_431662131701612545">#REF!</definedName>
    <definedName name="_vena_MultiSiteS1_MultiSiteB2_R_5_431662131710001152" localSheetId="4">#REF!</definedName>
    <definedName name="_vena_MultiSiteS1_MultiSiteB2_R_5_431662131710001152" localSheetId="5">#REF!</definedName>
    <definedName name="_vena_MultiSiteS1_MultiSiteB2_R_5_431662131710001152" localSheetId="8">'[1]FY26 MYP-Multisite'!#REF!</definedName>
    <definedName name="_vena_MultiSiteS1_MultiSiteB2_R_5_431662131710001152" localSheetId="3">#REF!</definedName>
    <definedName name="_vena_MultiSiteS1_MultiSiteB2_R_5_431662131710001152">#REF!</definedName>
    <definedName name="_vena_MultiSiteS1_MultiSiteB2_R_5_431662131714195457" localSheetId="4">#REF!</definedName>
    <definedName name="_vena_MultiSiteS1_MultiSiteB2_R_5_431662131714195457" localSheetId="5">#REF!</definedName>
    <definedName name="_vena_MultiSiteS1_MultiSiteB2_R_5_431662131714195457" localSheetId="8">'[1]FY26 MYP-Multisite'!#REF!</definedName>
    <definedName name="_vena_MultiSiteS1_MultiSiteB2_R_5_431662131714195457" localSheetId="3">#REF!</definedName>
    <definedName name="_vena_MultiSiteS1_MultiSiteB2_R_5_431662131714195457">#REF!</definedName>
    <definedName name="_vena_MultiSiteS1_MultiSiteB2_R_5_431662131718389761" localSheetId="4">#REF!</definedName>
    <definedName name="_vena_MultiSiteS1_MultiSiteB2_R_5_431662131718389761" localSheetId="5">#REF!</definedName>
    <definedName name="_vena_MultiSiteS1_MultiSiteB2_R_5_431662131718389761" localSheetId="8">'[1]FY26 MYP-Multisite'!#REF!</definedName>
    <definedName name="_vena_MultiSiteS1_MultiSiteB2_R_5_431662131718389761" localSheetId="3">#REF!</definedName>
    <definedName name="_vena_MultiSiteS1_MultiSiteB2_R_5_431662131718389761">#REF!</definedName>
    <definedName name="_vena_MultiSiteS1_MultiSiteB2_R_5_431662131722584065" localSheetId="4">#REF!</definedName>
    <definedName name="_vena_MultiSiteS1_MultiSiteB2_R_5_431662131722584065" localSheetId="5">#REF!</definedName>
    <definedName name="_vena_MultiSiteS1_MultiSiteB2_R_5_431662131722584065" localSheetId="8">'[1]FY26 MYP-Multisite'!#REF!</definedName>
    <definedName name="_vena_MultiSiteS1_MultiSiteB2_R_5_431662131722584065" localSheetId="3">#REF!</definedName>
    <definedName name="_vena_MultiSiteS1_MultiSiteB2_R_5_431662131722584065">#REF!</definedName>
    <definedName name="_vena_MultiSiteS1_MultiSiteB2_R_5_431662131726778369" localSheetId="4">#REF!</definedName>
    <definedName name="_vena_MultiSiteS1_MultiSiteB2_R_5_431662131726778369" localSheetId="5">#REF!</definedName>
    <definedName name="_vena_MultiSiteS1_MultiSiteB2_R_5_431662131726778369" localSheetId="8">'[1]FY26 MYP-Multisite'!#REF!</definedName>
    <definedName name="_vena_MultiSiteS1_MultiSiteB2_R_5_431662131726778369" localSheetId="3">#REF!</definedName>
    <definedName name="_vena_MultiSiteS1_MultiSiteB2_R_5_431662131726778369">#REF!</definedName>
    <definedName name="_vena_MultiSiteS1_MultiSiteB2_R_5_431662131730972673" localSheetId="4">#REF!</definedName>
    <definedName name="_vena_MultiSiteS1_MultiSiteB2_R_5_431662131730972673" localSheetId="5">#REF!</definedName>
    <definedName name="_vena_MultiSiteS1_MultiSiteB2_R_5_431662131730972673" localSheetId="8">'[1]FY26 MYP-Multisite'!#REF!</definedName>
    <definedName name="_vena_MultiSiteS1_MultiSiteB2_R_5_431662131730972673" localSheetId="3">#REF!</definedName>
    <definedName name="_vena_MultiSiteS1_MultiSiteB2_R_5_431662131730972673">#REF!</definedName>
    <definedName name="_vena_MultiSiteS1_MultiSiteB2_R_5_431662131735166977" localSheetId="4">#REF!</definedName>
    <definedName name="_vena_MultiSiteS1_MultiSiteB2_R_5_431662131735166977" localSheetId="5">#REF!</definedName>
    <definedName name="_vena_MultiSiteS1_MultiSiteB2_R_5_431662131735166977" localSheetId="8">'[1]FY26 MYP-Multisite'!#REF!</definedName>
    <definedName name="_vena_MultiSiteS1_MultiSiteB2_R_5_431662131735166977" localSheetId="3">#REF!</definedName>
    <definedName name="_vena_MultiSiteS1_MultiSiteB2_R_5_431662131735166977">#REF!</definedName>
    <definedName name="_vena_MultiSiteS1_MultiSiteB2_R_5_431662131743555585" localSheetId="4">#REF!</definedName>
    <definedName name="_vena_MultiSiteS1_MultiSiteB2_R_5_431662131743555585" localSheetId="5">#REF!</definedName>
    <definedName name="_vena_MultiSiteS1_MultiSiteB2_R_5_431662131743555585" localSheetId="8">'[1]FY26 MYP-Multisite'!#REF!</definedName>
    <definedName name="_vena_MultiSiteS1_MultiSiteB2_R_5_431662131743555585" localSheetId="3">#REF!</definedName>
    <definedName name="_vena_MultiSiteS1_MultiSiteB2_R_5_431662131743555585">#REF!</definedName>
    <definedName name="_vena_MultiSiteS1_MultiSiteB2_R_5_431662131747749889" localSheetId="4">#REF!</definedName>
    <definedName name="_vena_MultiSiteS1_MultiSiteB2_R_5_431662131747749889" localSheetId="5">#REF!</definedName>
    <definedName name="_vena_MultiSiteS1_MultiSiteB2_R_5_431662131747749889" localSheetId="8">'[1]FY26 MYP-Multisite'!#REF!</definedName>
    <definedName name="_vena_MultiSiteS1_MultiSiteB2_R_5_431662131747749889" localSheetId="3">#REF!</definedName>
    <definedName name="_vena_MultiSiteS1_MultiSiteB2_R_5_431662131747749889">#REF!</definedName>
    <definedName name="_vena_MultiSiteS1_MultiSiteB2_R_5_431662131751944193" localSheetId="4">#REF!</definedName>
    <definedName name="_vena_MultiSiteS1_MultiSiteB2_R_5_431662131751944193" localSheetId="5">#REF!</definedName>
    <definedName name="_vena_MultiSiteS1_MultiSiteB2_R_5_431662131751944193" localSheetId="8">'[1]FY26 MYP-Multisite'!#REF!</definedName>
    <definedName name="_vena_MultiSiteS1_MultiSiteB2_R_5_431662131751944193" localSheetId="3">#REF!</definedName>
    <definedName name="_vena_MultiSiteS1_MultiSiteB2_R_5_431662131751944193">#REF!</definedName>
    <definedName name="_vena_MultiSiteS1_MultiSiteB2_R_5_431662131756138497" localSheetId="4">#REF!</definedName>
    <definedName name="_vena_MultiSiteS1_MultiSiteB2_R_5_431662131756138497" localSheetId="5">#REF!</definedName>
    <definedName name="_vena_MultiSiteS1_MultiSiteB2_R_5_431662131756138497" localSheetId="8">'[1]FY26 MYP-Multisite'!#REF!</definedName>
    <definedName name="_vena_MultiSiteS1_MultiSiteB2_R_5_431662131756138497" localSheetId="3">#REF!</definedName>
    <definedName name="_vena_MultiSiteS1_MultiSiteB2_R_5_431662131756138497">#REF!</definedName>
    <definedName name="_vena_MultiSiteS1_MultiSiteB2_R_5_431662131760332801" localSheetId="4">#REF!</definedName>
    <definedName name="_vena_MultiSiteS1_MultiSiteB2_R_5_431662131760332801" localSheetId="5">#REF!</definedName>
    <definedName name="_vena_MultiSiteS1_MultiSiteB2_R_5_431662131760332801" localSheetId="8">'[1]FY26 MYP-Multisite'!#REF!</definedName>
    <definedName name="_vena_MultiSiteS1_MultiSiteB2_R_5_431662131760332801" localSheetId="3">#REF!</definedName>
    <definedName name="_vena_MultiSiteS1_MultiSiteB2_R_5_431662131760332801">#REF!</definedName>
    <definedName name="_vena_MultiSiteS1_MultiSiteB2_R_5_431662131764527105" localSheetId="4">#REF!</definedName>
    <definedName name="_vena_MultiSiteS1_MultiSiteB2_R_5_431662131764527105" localSheetId="5">#REF!</definedName>
    <definedName name="_vena_MultiSiteS1_MultiSiteB2_R_5_431662131764527105" localSheetId="8">'[1]FY26 MYP-Multisite'!#REF!</definedName>
    <definedName name="_vena_MultiSiteS1_MultiSiteB2_R_5_431662131764527105" localSheetId="3">#REF!</definedName>
    <definedName name="_vena_MultiSiteS1_MultiSiteB2_R_5_431662131764527105">#REF!</definedName>
    <definedName name="_vena_MultiSiteS1_MultiSiteB2_R_5_431662131768721409" localSheetId="4">#REF!</definedName>
    <definedName name="_vena_MultiSiteS1_MultiSiteB2_R_5_431662131768721409" localSheetId="5">#REF!</definedName>
    <definedName name="_vena_MultiSiteS1_MultiSiteB2_R_5_431662131768721409" localSheetId="8">'[1]FY26 MYP-Multisite'!#REF!</definedName>
    <definedName name="_vena_MultiSiteS1_MultiSiteB2_R_5_431662131768721409" localSheetId="3">#REF!</definedName>
    <definedName name="_vena_MultiSiteS1_MultiSiteB2_R_5_431662131768721409">#REF!</definedName>
    <definedName name="_vena_MultiSiteS1_MultiSiteB2_R_5_431662131777110017" localSheetId="4">#REF!</definedName>
    <definedName name="_vena_MultiSiteS1_MultiSiteB2_R_5_431662131777110017" localSheetId="5">#REF!</definedName>
    <definedName name="_vena_MultiSiteS1_MultiSiteB2_R_5_431662131777110017" localSheetId="8">'[1]FY26 MYP-Multisite'!#REF!</definedName>
    <definedName name="_vena_MultiSiteS1_MultiSiteB2_R_5_431662131777110017" localSheetId="3">#REF!</definedName>
    <definedName name="_vena_MultiSiteS1_MultiSiteB2_R_5_431662131777110017">#REF!</definedName>
    <definedName name="_vena_MultiSiteS1_MultiSiteB2_R_5_431662131781304321" localSheetId="4">#REF!</definedName>
    <definedName name="_vena_MultiSiteS1_MultiSiteB2_R_5_431662131781304321" localSheetId="5">#REF!</definedName>
    <definedName name="_vena_MultiSiteS1_MultiSiteB2_R_5_431662131781304321" localSheetId="8">'[1]FY26 MYP-Multisite'!#REF!</definedName>
    <definedName name="_vena_MultiSiteS1_MultiSiteB2_R_5_431662131781304321" localSheetId="3">#REF!</definedName>
    <definedName name="_vena_MultiSiteS1_MultiSiteB2_R_5_431662131781304321">#REF!</definedName>
    <definedName name="_vena_MultiSiteS1_MultiSiteB2_R_5_431662131785498625" localSheetId="4">#REF!</definedName>
    <definedName name="_vena_MultiSiteS1_MultiSiteB2_R_5_431662131785498625" localSheetId="5">#REF!</definedName>
    <definedName name="_vena_MultiSiteS1_MultiSiteB2_R_5_431662131785498625" localSheetId="8">'[1]FY26 MYP-Multisite'!#REF!</definedName>
    <definedName name="_vena_MultiSiteS1_MultiSiteB2_R_5_431662131785498625" localSheetId="3">#REF!</definedName>
    <definedName name="_vena_MultiSiteS1_MultiSiteB2_R_5_431662131785498625">#REF!</definedName>
    <definedName name="_vena_MultiSiteS1_MultiSiteB2_R_5_431662131789692929" localSheetId="4">#REF!</definedName>
    <definedName name="_vena_MultiSiteS1_MultiSiteB2_R_5_431662131789692929" localSheetId="5">#REF!</definedName>
    <definedName name="_vena_MultiSiteS1_MultiSiteB2_R_5_431662131789692929" localSheetId="8">'[1]FY26 MYP-Multisite'!#REF!</definedName>
    <definedName name="_vena_MultiSiteS1_MultiSiteB2_R_5_431662131789692929" localSheetId="3">#REF!</definedName>
    <definedName name="_vena_MultiSiteS1_MultiSiteB2_R_5_431662131789692929">#REF!</definedName>
    <definedName name="_vena_MultiSiteS1_MultiSiteB2_R_5_431662131793887233" localSheetId="4">#REF!</definedName>
    <definedName name="_vena_MultiSiteS1_MultiSiteB2_R_5_431662131793887233" localSheetId="5">#REF!</definedName>
    <definedName name="_vena_MultiSiteS1_MultiSiteB2_R_5_431662131793887233" localSheetId="8">'[1]FY26 MYP-Multisite'!#REF!</definedName>
    <definedName name="_vena_MultiSiteS1_MultiSiteB2_R_5_431662131793887233" localSheetId="3">#REF!</definedName>
    <definedName name="_vena_MultiSiteS1_MultiSiteB2_R_5_431662131793887233">#REF!</definedName>
    <definedName name="_vena_MultiSiteS1_MultiSiteB2_R_5_431662131802275840" localSheetId="4">#REF!</definedName>
    <definedName name="_vena_MultiSiteS1_MultiSiteB2_R_5_431662131802275840" localSheetId="5">#REF!</definedName>
    <definedName name="_vena_MultiSiteS1_MultiSiteB2_R_5_431662131802275840" localSheetId="8">'[1]FY26 MYP-Multisite'!#REF!</definedName>
    <definedName name="_vena_MultiSiteS1_MultiSiteB2_R_5_431662131802275840" localSheetId="3">#REF!</definedName>
    <definedName name="_vena_MultiSiteS1_MultiSiteB2_R_5_431662131802275840">#REF!</definedName>
    <definedName name="_vena_MultiSiteS1_MultiSiteB2_R_5_431662131810664449" localSheetId="4">#REF!</definedName>
    <definedName name="_vena_MultiSiteS1_MultiSiteB2_R_5_431662131810664449" localSheetId="5">#REF!</definedName>
    <definedName name="_vena_MultiSiteS1_MultiSiteB2_R_5_431662131810664449" localSheetId="8">'[1]FY26 MYP-Multisite'!#REF!</definedName>
    <definedName name="_vena_MultiSiteS1_MultiSiteB2_R_5_431662131810664449" localSheetId="3">#REF!</definedName>
    <definedName name="_vena_MultiSiteS1_MultiSiteB2_R_5_431662131810664449">#REF!</definedName>
    <definedName name="_vena_MultiSiteS1_MultiSiteB2_R_5_431662131823247360" localSheetId="4">#REF!</definedName>
    <definedName name="_vena_MultiSiteS1_MultiSiteB2_R_5_431662131823247360" localSheetId="5">#REF!</definedName>
    <definedName name="_vena_MultiSiteS1_MultiSiteB2_R_5_431662131823247360" localSheetId="8">'[1]FY26 MYP-Multisite'!#REF!</definedName>
    <definedName name="_vena_MultiSiteS1_MultiSiteB2_R_5_431662131823247360" localSheetId="3">#REF!</definedName>
    <definedName name="_vena_MultiSiteS1_MultiSiteB2_R_5_431662131823247360">#REF!</definedName>
    <definedName name="_vena_MultiSiteS1_MultiSiteB2_R_5_431662131831635968" localSheetId="4">#REF!</definedName>
    <definedName name="_vena_MultiSiteS1_MultiSiteB2_R_5_431662131831635968" localSheetId="5">#REF!</definedName>
    <definedName name="_vena_MultiSiteS1_MultiSiteB2_R_5_431662131831635968" localSheetId="8">'[1]FY26 MYP-Multisite'!#REF!</definedName>
    <definedName name="_vena_MultiSiteS1_MultiSiteB2_R_5_431662131831635968" localSheetId="3">#REF!</definedName>
    <definedName name="_vena_MultiSiteS1_MultiSiteB2_R_5_431662131831635968">#REF!</definedName>
    <definedName name="_vena_MultiSiteS1_MultiSiteB2_R_5_431662131835830273" localSheetId="4">#REF!</definedName>
    <definedName name="_vena_MultiSiteS1_MultiSiteB2_R_5_431662131835830273" localSheetId="5">#REF!</definedName>
    <definedName name="_vena_MultiSiteS1_MultiSiteB2_R_5_431662131835830273" localSheetId="8">'[1]FY26 MYP-Multisite'!#REF!</definedName>
    <definedName name="_vena_MultiSiteS1_MultiSiteB2_R_5_431662131835830273" localSheetId="3">#REF!</definedName>
    <definedName name="_vena_MultiSiteS1_MultiSiteB2_R_5_431662131835830273">#REF!</definedName>
    <definedName name="_vena_MultiSiteS1_MultiSiteB2_R_5_431662131840024577" localSheetId="4">#REF!</definedName>
    <definedName name="_vena_MultiSiteS1_MultiSiteB2_R_5_431662131840024577" localSheetId="5">#REF!</definedName>
    <definedName name="_vena_MultiSiteS1_MultiSiteB2_R_5_431662131840024577" localSheetId="8">'[1]FY26 MYP-Multisite'!#REF!</definedName>
    <definedName name="_vena_MultiSiteS1_MultiSiteB2_R_5_431662131840024577" localSheetId="3">#REF!</definedName>
    <definedName name="_vena_MultiSiteS1_MultiSiteB2_R_5_431662131840024577">#REF!</definedName>
    <definedName name="_vena_MultiSiteS1_MultiSiteB2_R_5_431662131848413185" localSheetId="4">#REF!</definedName>
    <definedName name="_vena_MultiSiteS1_MultiSiteB2_R_5_431662131848413185" localSheetId="5">#REF!</definedName>
    <definedName name="_vena_MultiSiteS1_MultiSiteB2_R_5_431662131848413185" localSheetId="8">'[1]FY26 MYP-Multisite'!#REF!</definedName>
    <definedName name="_vena_MultiSiteS1_MultiSiteB2_R_5_431662131848413185" localSheetId="3">#REF!</definedName>
    <definedName name="_vena_MultiSiteS1_MultiSiteB2_R_5_431662131848413185">#REF!</definedName>
    <definedName name="_vena_MultiSiteS1_MultiSiteB2_R_5_431662131852607489" localSheetId="4">#REF!</definedName>
    <definedName name="_vena_MultiSiteS1_MultiSiteB2_R_5_431662131852607489" localSheetId="5">#REF!</definedName>
    <definedName name="_vena_MultiSiteS1_MultiSiteB2_R_5_431662131852607489" localSheetId="8">'[1]FY26 MYP-Multisite'!#REF!</definedName>
    <definedName name="_vena_MultiSiteS1_MultiSiteB2_R_5_431662131852607489" localSheetId="3">#REF!</definedName>
    <definedName name="_vena_MultiSiteS1_MultiSiteB2_R_5_431662131852607489">#REF!</definedName>
    <definedName name="_vena_MultiSiteS1_MultiSiteB2_R_5_431662131856801793" localSheetId="4">#REF!</definedName>
    <definedName name="_vena_MultiSiteS1_MultiSiteB2_R_5_431662131856801793" localSheetId="5">#REF!</definedName>
    <definedName name="_vena_MultiSiteS1_MultiSiteB2_R_5_431662131856801793" localSheetId="8">'[1]FY26 MYP-Multisite'!#REF!</definedName>
    <definedName name="_vena_MultiSiteS1_MultiSiteB2_R_5_431662131856801793" localSheetId="3">#REF!</definedName>
    <definedName name="_vena_MultiSiteS1_MultiSiteB2_R_5_431662131856801793">#REF!</definedName>
    <definedName name="_vena_MultiSiteS1_MultiSiteB2_R_5_431662131860996097" localSheetId="4">#REF!</definedName>
    <definedName name="_vena_MultiSiteS1_MultiSiteB2_R_5_431662131860996097" localSheetId="5">#REF!</definedName>
    <definedName name="_vena_MultiSiteS1_MultiSiteB2_R_5_431662131860996097" localSheetId="8">'[1]FY26 MYP-Multisite'!#REF!</definedName>
    <definedName name="_vena_MultiSiteS1_MultiSiteB2_R_5_431662131860996097" localSheetId="3">#REF!</definedName>
    <definedName name="_vena_MultiSiteS1_MultiSiteB2_R_5_431662131860996097">#REF!</definedName>
    <definedName name="_vena_MultiSiteS1_MultiSiteB2_R_5_431662131865190401" localSheetId="4">#REF!</definedName>
    <definedName name="_vena_MultiSiteS1_MultiSiteB2_R_5_431662131865190401" localSheetId="5">#REF!</definedName>
    <definedName name="_vena_MultiSiteS1_MultiSiteB2_R_5_431662131865190401" localSheetId="8">'[1]FY26 MYP-Multisite'!#REF!</definedName>
    <definedName name="_vena_MultiSiteS1_MultiSiteB2_R_5_431662131865190401" localSheetId="3">#REF!</definedName>
    <definedName name="_vena_MultiSiteS1_MultiSiteB2_R_5_431662131865190401">#REF!</definedName>
    <definedName name="_vena_MultiSiteS1_MultiSiteB2_R_5_431662131869384705" localSheetId="4">#REF!</definedName>
    <definedName name="_vena_MultiSiteS1_MultiSiteB2_R_5_431662131869384705" localSheetId="5">#REF!</definedName>
    <definedName name="_vena_MultiSiteS1_MultiSiteB2_R_5_431662131869384705" localSheetId="8">'[1]FY26 MYP-Multisite'!#REF!</definedName>
    <definedName name="_vena_MultiSiteS1_MultiSiteB2_R_5_431662131869384705" localSheetId="3">#REF!</definedName>
    <definedName name="_vena_MultiSiteS1_MultiSiteB2_R_5_431662131869384705">#REF!</definedName>
    <definedName name="_vena_MultiSiteS1_MultiSiteB2_R_5_431662131877773313" localSheetId="4">#REF!</definedName>
    <definedName name="_vena_MultiSiteS1_MultiSiteB2_R_5_431662131877773313" localSheetId="5">#REF!</definedName>
    <definedName name="_vena_MultiSiteS1_MultiSiteB2_R_5_431662131877773313" localSheetId="8">'[1]FY26 MYP-Multisite'!#REF!</definedName>
    <definedName name="_vena_MultiSiteS1_MultiSiteB2_R_5_431662131877773313" localSheetId="3">#REF!</definedName>
    <definedName name="_vena_MultiSiteS1_MultiSiteB2_R_5_431662131877773313">#REF!</definedName>
    <definedName name="_vena_MultiSiteS1_MultiSiteB2_R_5_431662131881967617" localSheetId="4">#REF!</definedName>
    <definedName name="_vena_MultiSiteS1_MultiSiteB2_R_5_431662131881967617" localSheetId="5">#REF!</definedName>
    <definedName name="_vena_MultiSiteS1_MultiSiteB2_R_5_431662131881967617" localSheetId="8">'[1]FY26 MYP-Multisite'!#REF!</definedName>
    <definedName name="_vena_MultiSiteS1_MultiSiteB2_R_5_431662131881967617" localSheetId="3">#REF!</definedName>
    <definedName name="_vena_MultiSiteS1_MultiSiteB2_R_5_431662131881967617">#REF!</definedName>
    <definedName name="_vena_MultiSiteS1_MultiSiteB2_R_5_431662131886161921" localSheetId="4">#REF!</definedName>
    <definedName name="_vena_MultiSiteS1_MultiSiteB2_R_5_431662131886161921" localSheetId="5">#REF!</definedName>
    <definedName name="_vena_MultiSiteS1_MultiSiteB2_R_5_431662131886161921" localSheetId="8">'[1]FY26 MYP-Multisite'!#REF!</definedName>
    <definedName name="_vena_MultiSiteS1_MultiSiteB2_R_5_431662131886161921" localSheetId="3">#REF!</definedName>
    <definedName name="_vena_MultiSiteS1_MultiSiteB2_R_5_431662131886161921">#REF!</definedName>
    <definedName name="_vena_MultiSiteS1_MultiSiteB2_R_5_431662131890356226" localSheetId="4">#REF!</definedName>
    <definedName name="_vena_MultiSiteS1_MultiSiteB2_R_5_431662131890356226" localSheetId="5">#REF!</definedName>
    <definedName name="_vena_MultiSiteS1_MultiSiteB2_R_5_431662131890356226" localSheetId="8">'[1]FY26 MYP-Multisite'!#REF!</definedName>
    <definedName name="_vena_MultiSiteS1_MultiSiteB2_R_5_431662131890356226" localSheetId="3">#REF!</definedName>
    <definedName name="_vena_MultiSiteS1_MultiSiteB2_R_5_431662131890356226">#REF!</definedName>
    <definedName name="_vena_MultiSiteS1_MultiSiteB2_R_5_431662131898744835" localSheetId="4">#REF!</definedName>
    <definedName name="_vena_MultiSiteS1_MultiSiteB2_R_5_431662131898744835" localSheetId="5">#REF!</definedName>
    <definedName name="_vena_MultiSiteS1_MultiSiteB2_R_5_431662131898744835" localSheetId="8">'[1]FY26 MYP-Multisite'!#REF!</definedName>
    <definedName name="_vena_MultiSiteS1_MultiSiteB2_R_5_431662131898744835" localSheetId="3">#REF!</definedName>
    <definedName name="_vena_MultiSiteS1_MultiSiteB2_R_5_431662131898744835">#REF!</definedName>
    <definedName name="_vena_MultiSiteS1_MultiSiteB2_R_5_431662131915522048" localSheetId="4">#REF!</definedName>
    <definedName name="_vena_MultiSiteS1_MultiSiteB2_R_5_431662131915522048" localSheetId="5">#REF!</definedName>
    <definedName name="_vena_MultiSiteS1_MultiSiteB2_R_5_431662131915522048" localSheetId="8">'[1]FY26 MYP-Multisite'!#REF!</definedName>
    <definedName name="_vena_MultiSiteS1_MultiSiteB2_R_5_431662131915522048" localSheetId="3">#REF!</definedName>
    <definedName name="_vena_MultiSiteS1_MultiSiteB2_R_5_431662131915522048">#REF!</definedName>
    <definedName name="_vena_MultiSiteS1_MultiSiteB2_R_5_431662131919716368" localSheetId="4">#REF!</definedName>
    <definedName name="_vena_MultiSiteS1_MultiSiteB2_R_5_431662131919716368" localSheetId="5">#REF!</definedName>
    <definedName name="_vena_MultiSiteS1_MultiSiteB2_R_5_431662131919716368" localSheetId="8">'[1]FY26 MYP-Multisite'!#REF!</definedName>
    <definedName name="_vena_MultiSiteS1_MultiSiteB2_R_5_431662131919716368" localSheetId="3">#REF!</definedName>
    <definedName name="_vena_MultiSiteS1_MultiSiteB2_R_5_431662131919716368">#REF!</definedName>
    <definedName name="_vena_MultiSiteS1_MultiSiteB2_R_5_431662131928104961" localSheetId="4">#REF!</definedName>
    <definedName name="_vena_MultiSiteS1_MultiSiteB2_R_5_431662131928104961" localSheetId="5">#REF!</definedName>
    <definedName name="_vena_MultiSiteS1_MultiSiteB2_R_5_431662131928104961" localSheetId="8">'[1]FY26 MYP-Multisite'!#REF!</definedName>
    <definedName name="_vena_MultiSiteS1_MultiSiteB2_R_5_431662131928104961" localSheetId="3">#REF!</definedName>
    <definedName name="_vena_MultiSiteS1_MultiSiteB2_R_5_431662131928104961">#REF!</definedName>
    <definedName name="_vena_MultiSiteS1_MultiSiteB2_R_5_431662131932299265" localSheetId="4">#REF!</definedName>
    <definedName name="_vena_MultiSiteS1_MultiSiteB2_R_5_431662131932299265" localSheetId="5">#REF!</definedName>
    <definedName name="_vena_MultiSiteS1_MultiSiteB2_R_5_431662131932299265" localSheetId="8">'[1]FY26 MYP-Multisite'!#REF!</definedName>
    <definedName name="_vena_MultiSiteS1_MultiSiteB2_R_5_431662131932299265" localSheetId="3">#REF!</definedName>
    <definedName name="_vena_MultiSiteS1_MultiSiteB2_R_5_431662131932299265">#REF!</definedName>
    <definedName name="_vena_MultiSiteS1_MultiSiteB2_R_5_431662131978436608" localSheetId="4">#REF!</definedName>
    <definedName name="_vena_MultiSiteS1_MultiSiteB2_R_5_431662131978436608" localSheetId="5">#REF!</definedName>
    <definedName name="_vena_MultiSiteS1_MultiSiteB2_R_5_431662131978436608" localSheetId="8">'[1]FY26 MYP-Multisite'!#REF!</definedName>
    <definedName name="_vena_MultiSiteS1_MultiSiteB2_R_5_431662131978436608" localSheetId="3">#REF!</definedName>
    <definedName name="_vena_MultiSiteS1_MultiSiteB2_R_5_431662131978436608">#REF!</definedName>
    <definedName name="_vena_MultiSiteS1_MultiSiteB2_R_5_431662131995213824" localSheetId="4">#REF!</definedName>
    <definedName name="_vena_MultiSiteS1_MultiSiteB2_R_5_431662131995213824" localSheetId="5">#REF!</definedName>
    <definedName name="_vena_MultiSiteS1_MultiSiteB2_R_5_431662131995213824" localSheetId="8">'[1]FY26 MYP-Multisite'!#REF!</definedName>
    <definedName name="_vena_MultiSiteS1_MultiSiteB2_R_5_431662131995213824" localSheetId="3">#REF!</definedName>
    <definedName name="_vena_MultiSiteS1_MultiSiteB2_R_5_431662131995213824">#REF!</definedName>
    <definedName name="_vena_MultiSiteS1_MultiSiteB2_R_5_431662131999408129" localSheetId="4">#REF!</definedName>
    <definedName name="_vena_MultiSiteS1_MultiSiteB2_R_5_431662131999408129" localSheetId="5">#REF!</definedName>
    <definedName name="_vena_MultiSiteS1_MultiSiteB2_R_5_431662131999408129" localSheetId="8">'[1]FY26 MYP-Multisite'!#REF!</definedName>
    <definedName name="_vena_MultiSiteS1_MultiSiteB2_R_5_431662131999408129" localSheetId="3">#REF!</definedName>
    <definedName name="_vena_MultiSiteS1_MultiSiteB2_R_5_431662131999408129">#REF!</definedName>
    <definedName name="_vena_MultiSiteS1_MultiSiteB2_R_5_431662132007796737" localSheetId="4">#REF!</definedName>
    <definedName name="_vena_MultiSiteS1_MultiSiteB2_R_5_431662132007796737" localSheetId="5">#REF!</definedName>
    <definedName name="_vena_MultiSiteS1_MultiSiteB2_R_5_431662132007796737" localSheetId="8">'[1]FY26 MYP-Multisite'!#REF!</definedName>
    <definedName name="_vena_MultiSiteS1_MultiSiteB2_R_5_431662132007796737" localSheetId="3">#REF!</definedName>
    <definedName name="_vena_MultiSiteS1_MultiSiteB2_R_5_431662132007796737">#REF!</definedName>
    <definedName name="_vena_MultiSiteS1_MultiSiteB2_R_5_431662132011991041" localSheetId="4">#REF!</definedName>
    <definedName name="_vena_MultiSiteS1_MultiSiteB2_R_5_431662132011991041" localSheetId="5">#REF!</definedName>
    <definedName name="_vena_MultiSiteS1_MultiSiteB2_R_5_431662132011991041" localSheetId="8">'[1]FY26 MYP-Multisite'!#REF!</definedName>
    <definedName name="_vena_MultiSiteS1_MultiSiteB2_R_5_431662132011991041" localSheetId="3">#REF!</definedName>
    <definedName name="_vena_MultiSiteS1_MultiSiteB2_R_5_431662132011991041">#REF!</definedName>
    <definedName name="_vena_MultiSiteS1_MultiSiteB2_R_5_431662132016185345" localSheetId="4">#REF!</definedName>
    <definedName name="_vena_MultiSiteS1_MultiSiteB2_R_5_431662132016185345" localSheetId="5">#REF!</definedName>
    <definedName name="_vena_MultiSiteS1_MultiSiteB2_R_5_431662132016185345" localSheetId="8">'[1]FY26 MYP-Multisite'!#REF!</definedName>
    <definedName name="_vena_MultiSiteS1_MultiSiteB2_R_5_431662132016185345" localSheetId="3">#REF!</definedName>
    <definedName name="_vena_MultiSiteS1_MultiSiteB2_R_5_431662132016185345">#REF!</definedName>
    <definedName name="_vena_MultiSiteS1_MultiSiteB2_R_5_431662132020379649" localSheetId="4">#REF!</definedName>
    <definedName name="_vena_MultiSiteS1_MultiSiteB2_R_5_431662132020379649" localSheetId="5">#REF!</definedName>
    <definedName name="_vena_MultiSiteS1_MultiSiteB2_R_5_431662132020379649" localSheetId="8">'[1]FY26 MYP-Multisite'!#REF!</definedName>
    <definedName name="_vena_MultiSiteS1_MultiSiteB2_R_5_431662132020379649" localSheetId="3">#REF!</definedName>
    <definedName name="_vena_MultiSiteS1_MultiSiteB2_R_5_431662132020379649">#REF!</definedName>
    <definedName name="_vena_MultiSiteS1_MultiSiteB2_R_5_431662132037156865" localSheetId="4">#REF!</definedName>
    <definedName name="_vena_MultiSiteS1_MultiSiteB2_R_5_431662132037156865" localSheetId="5">#REF!</definedName>
    <definedName name="_vena_MultiSiteS1_MultiSiteB2_R_5_431662132037156865" localSheetId="8">'[1]FY26 MYP-Multisite'!#REF!</definedName>
    <definedName name="_vena_MultiSiteS1_MultiSiteB2_R_5_431662132037156865" localSheetId="3">#REF!</definedName>
    <definedName name="_vena_MultiSiteS1_MultiSiteB2_R_5_431662132037156865">#REF!</definedName>
    <definedName name="_vena_MultiSiteS1_MultiSiteB2_R_5_431662132041351169" localSheetId="4">#REF!</definedName>
    <definedName name="_vena_MultiSiteS1_MultiSiteB2_R_5_431662132041351169" localSheetId="5">#REF!</definedName>
    <definedName name="_vena_MultiSiteS1_MultiSiteB2_R_5_431662132041351169" localSheetId="8">'[1]FY26 MYP-Multisite'!#REF!</definedName>
    <definedName name="_vena_MultiSiteS1_MultiSiteB2_R_5_431662132041351169" localSheetId="3">#REF!</definedName>
    <definedName name="_vena_MultiSiteS1_MultiSiteB2_R_5_431662132041351169">#REF!</definedName>
    <definedName name="_vena_MultiSiteS1_MultiSiteB2_R_5_431662132049739777" localSheetId="4">#REF!</definedName>
    <definedName name="_vena_MultiSiteS1_MultiSiteB2_R_5_431662132049739777" localSheetId="5">#REF!</definedName>
    <definedName name="_vena_MultiSiteS1_MultiSiteB2_R_5_431662132049739777" localSheetId="8">'[1]FY26 MYP-Multisite'!#REF!</definedName>
    <definedName name="_vena_MultiSiteS1_MultiSiteB2_R_5_431662132049739777" localSheetId="3">#REF!</definedName>
    <definedName name="_vena_MultiSiteS1_MultiSiteB2_R_5_431662132049739777">#REF!</definedName>
    <definedName name="_vena_MultiSiteS1_MultiSiteB2_R_5_431662132053934081" localSheetId="4">#REF!</definedName>
    <definedName name="_vena_MultiSiteS1_MultiSiteB2_R_5_431662132053934081" localSheetId="5">#REF!</definedName>
    <definedName name="_vena_MultiSiteS1_MultiSiteB2_R_5_431662132053934081" localSheetId="8">'[1]FY26 MYP-Multisite'!#REF!</definedName>
    <definedName name="_vena_MultiSiteS1_MultiSiteB2_R_5_431662132053934081" localSheetId="3">#REF!</definedName>
    <definedName name="_vena_MultiSiteS1_MultiSiteB2_R_5_431662132053934081">#REF!</definedName>
    <definedName name="_vena_MultiSiteS1_MultiSiteB2_R_5_431662132058128385" localSheetId="4">#REF!</definedName>
    <definedName name="_vena_MultiSiteS1_MultiSiteB2_R_5_431662132058128385" localSheetId="5">#REF!</definedName>
    <definedName name="_vena_MultiSiteS1_MultiSiteB2_R_5_431662132058128385" localSheetId="8">'[1]FY26 MYP-Multisite'!#REF!</definedName>
    <definedName name="_vena_MultiSiteS1_MultiSiteB2_R_5_431662132058128385" localSheetId="3">#REF!</definedName>
    <definedName name="_vena_MultiSiteS1_MultiSiteB2_R_5_431662132058128385">#REF!</definedName>
    <definedName name="_vena_MultiSiteS1_MultiSiteB2_R_5_431662132066516992" localSheetId="4">#REF!</definedName>
    <definedName name="_vena_MultiSiteS1_MultiSiteB2_R_5_431662132066516992" localSheetId="5">#REF!</definedName>
    <definedName name="_vena_MultiSiteS1_MultiSiteB2_R_5_431662132066516992" localSheetId="8">'[1]FY26 MYP-Multisite'!#REF!</definedName>
    <definedName name="_vena_MultiSiteS1_MultiSiteB2_R_5_431662132066516992" localSheetId="3">#REF!</definedName>
    <definedName name="_vena_MultiSiteS1_MultiSiteB2_R_5_431662132066516992">#REF!</definedName>
    <definedName name="_vena_MultiSiteS1_MultiSiteB2_R_5_431662132070711297" localSheetId="4">#REF!</definedName>
    <definedName name="_vena_MultiSiteS1_MultiSiteB2_R_5_431662132070711297" localSheetId="5">#REF!</definedName>
    <definedName name="_vena_MultiSiteS1_MultiSiteB2_R_5_431662132070711297" localSheetId="8">'[1]FY26 MYP-Multisite'!#REF!</definedName>
    <definedName name="_vena_MultiSiteS1_MultiSiteB2_R_5_431662132070711297" localSheetId="3">#REF!</definedName>
    <definedName name="_vena_MultiSiteS1_MultiSiteB2_R_5_431662132070711297">#REF!</definedName>
    <definedName name="_vena_MultiSiteS1_MultiSiteB2_R_5_431662132074905601" localSheetId="4">#REF!</definedName>
    <definedName name="_vena_MultiSiteS1_MultiSiteB2_R_5_431662132074905601" localSheetId="5">#REF!</definedName>
    <definedName name="_vena_MultiSiteS1_MultiSiteB2_R_5_431662132074905601" localSheetId="8">'[1]FY26 MYP-Multisite'!#REF!</definedName>
    <definedName name="_vena_MultiSiteS1_MultiSiteB2_R_5_431662132074905601" localSheetId="3">#REF!</definedName>
    <definedName name="_vena_MultiSiteS1_MultiSiteB2_R_5_431662132074905601">#REF!</definedName>
    <definedName name="_vena_MultiSiteS1_MultiSiteB2_R_5_431662132079099905" localSheetId="4">#REF!</definedName>
    <definedName name="_vena_MultiSiteS1_MultiSiteB2_R_5_431662132079099905" localSheetId="5">#REF!</definedName>
    <definedName name="_vena_MultiSiteS1_MultiSiteB2_R_5_431662132079099905" localSheetId="8">'[1]FY26 MYP-Multisite'!#REF!</definedName>
    <definedName name="_vena_MultiSiteS1_MultiSiteB2_R_5_431662132079099905" localSheetId="3">#REF!</definedName>
    <definedName name="_vena_MultiSiteS1_MultiSiteB2_R_5_431662132079099905">#REF!</definedName>
    <definedName name="_vena_MultiSiteS1_MultiSiteB2_R_5_431662132087488513" localSheetId="4">#REF!</definedName>
    <definedName name="_vena_MultiSiteS1_MultiSiteB2_R_5_431662132087488513" localSheetId="5">#REF!</definedName>
    <definedName name="_vena_MultiSiteS1_MultiSiteB2_R_5_431662132087488513" localSheetId="8">'[1]FY26 MYP-Multisite'!#REF!</definedName>
    <definedName name="_vena_MultiSiteS1_MultiSiteB2_R_5_431662132087488513" localSheetId="3">#REF!</definedName>
    <definedName name="_vena_MultiSiteS1_MultiSiteB2_R_5_431662132087488513">#REF!</definedName>
    <definedName name="_vena_MultiSiteS1_MultiSiteB2_R_5_431662132091682817" localSheetId="4">#REF!</definedName>
    <definedName name="_vena_MultiSiteS1_MultiSiteB2_R_5_431662132091682817" localSheetId="5">#REF!</definedName>
    <definedName name="_vena_MultiSiteS1_MultiSiteB2_R_5_431662132091682817" localSheetId="8">'[1]FY26 MYP-Multisite'!#REF!</definedName>
    <definedName name="_vena_MultiSiteS1_MultiSiteB2_R_5_431662132091682817" localSheetId="3">#REF!</definedName>
    <definedName name="_vena_MultiSiteS1_MultiSiteB2_R_5_431662132091682817">#REF!</definedName>
    <definedName name="_vena_MultiSiteS1_MultiSiteB2_R_5_431662132095877121" localSheetId="4">#REF!</definedName>
    <definedName name="_vena_MultiSiteS1_MultiSiteB2_R_5_431662132095877121" localSheetId="5">#REF!</definedName>
    <definedName name="_vena_MultiSiteS1_MultiSiteB2_R_5_431662132095877121" localSheetId="8">'[1]FY26 MYP-Multisite'!#REF!</definedName>
    <definedName name="_vena_MultiSiteS1_MultiSiteB2_R_5_431662132095877121" localSheetId="3">#REF!</definedName>
    <definedName name="_vena_MultiSiteS1_MultiSiteB2_R_5_431662132095877121">#REF!</definedName>
    <definedName name="_vena_MultiSiteS1_MultiSiteB2_R_5_431662132104265728" localSheetId="4">#REF!</definedName>
    <definedName name="_vena_MultiSiteS1_MultiSiteB2_R_5_431662132104265728" localSheetId="5">#REF!</definedName>
    <definedName name="_vena_MultiSiteS1_MultiSiteB2_R_5_431662132104265728" localSheetId="8">'[1]FY26 MYP-Multisite'!#REF!</definedName>
    <definedName name="_vena_MultiSiteS1_MultiSiteB2_R_5_431662132104265728" localSheetId="3">#REF!</definedName>
    <definedName name="_vena_MultiSiteS1_MultiSiteB2_R_5_431662132104265728">#REF!</definedName>
    <definedName name="_vena_MultiSiteS1_MultiSiteB2_R_5_431662132108460033" localSheetId="4">#REF!</definedName>
    <definedName name="_vena_MultiSiteS1_MultiSiteB2_R_5_431662132108460033" localSheetId="5">#REF!</definedName>
    <definedName name="_vena_MultiSiteS1_MultiSiteB2_R_5_431662132108460033" localSheetId="8">'[1]FY26 MYP-Multisite'!#REF!</definedName>
    <definedName name="_vena_MultiSiteS1_MultiSiteB2_R_5_431662132108460033" localSheetId="3">#REF!</definedName>
    <definedName name="_vena_MultiSiteS1_MultiSiteB2_R_5_431662132108460033">#REF!</definedName>
    <definedName name="_vena_MultiSiteS1_MultiSiteB2_R_5_431662132112654337" localSheetId="4">#REF!</definedName>
    <definedName name="_vena_MultiSiteS1_MultiSiteB2_R_5_431662132112654337" localSheetId="5">#REF!</definedName>
    <definedName name="_vena_MultiSiteS1_MultiSiteB2_R_5_431662132112654337" localSheetId="8">'[1]FY26 MYP-Multisite'!#REF!</definedName>
    <definedName name="_vena_MultiSiteS1_MultiSiteB2_R_5_431662132112654337" localSheetId="3">#REF!</definedName>
    <definedName name="_vena_MultiSiteS1_MultiSiteB2_R_5_431662132112654337">#REF!</definedName>
    <definedName name="_vena_MultiSiteS1_MultiSiteB2_R_5_431662132121042945" localSheetId="4">#REF!</definedName>
    <definedName name="_vena_MultiSiteS1_MultiSiteB2_R_5_431662132121042945" localSheetId="5">#REF!</definedName>
    <definedName name="_vena_MultiSiteS1_MultiSiteB2_R_5_431662132121042945" localSheetId="8">'[1]FY26 MYP-Multisite'!#REF!</definedName>
    <definedName name="_vena_MultiSiteS1_MultiSiteB2_R_5_431662132121042945" localSheetId="3">#REF!</definedName>
    <definedName name="_vena_MultiSiteS1_MultiSiteB2_R_5_431662132121042945">#REF!</definedName>
    <definedName name="_vena_MultiSiteS1_MultiSiteB2_R_5_431662132125237249" localSheetId="4">#REF!</definedName>
    <definedName name="_vena_MultiSiteS1_MultiSiteB2_R_5_431662132125237249" localSheetId="5">#REF!</definedName>
    <definedName name="_vena_MultiSiteS1_MultiSiteB2_R_5_431662132125237249" localSheetId="8">'[1]FY26 MYP-Multisite'!#REF!</definedName>
    <definedName name="_vena_MultiSiteS1_MultiSiteB2_R_5_431662132125237249" localSheetId="3">#REF!</definedName>
    <definedName name="_vena_MultiSiteS1_MultiSiteB2_R_5_431662132125237249">#REF!</definedName>
    <definedName name="_vena_MultiSiteS1_MultiSiteB2_R_5_431662132133625857" localSheetId="4">#REF!</definedName>
    <definedName name="_vena_MultiSiteS1_MultiSiteB2_R_5_431662132133625857" localSheetId="5">#REF!</definedName>
    <definedName name="_vena_MultiSiteS1_MultiSiteB2_R_5_431662132133625857" localSheetId="8">'[1]FY26 MYP-Multisite'!#REF!</definedName>
    <definedName name="_vena_MultiSiteS1_MultiSiteB2_R_5_431662132133625857" localSheetId="3">#REF!</definedName>
    <definedName name="_vena_MultiSiteS1_MultiSiteB2_R_5_431662132133625857">#REF!</definedName>
    <definedName name="_vena_MultiSiteS1_MultiSiteB2_R_5_431662132137820161" localSheetId="4">#REF!</definedName>
    <definedName name="_vena_MultiSiteS1_MultiSiteB2_R_5_431662132137820161" localSheetId="5">#REF!</definedName>
    <definedName name="_vena_MultiSiteS1_MultiSiteB2_R_5_431662132137820161" localSheetId="8">'[1]FY26 MYP-Multisite'!#REF!</definedName>
    <definedName name="_vena_MultiSiteS1_MultiSiteB2_R_5_431662132137820161" localSheetId="3">#REF!</definedName>
    <definedName name="_vena_MultiSiteS1_MultiSiteB2_R_5_431662132137820161">#REF!</definedName>
    <definedName name="_vena_MultiSiteS1_MultiSiteB2_R_5_431662132142014465" localSheetId="4">#REF!</definedName>
    <definedName name="_vena_MultiSiteS1_MultiSiteB2_R_5_431662132142014465" localSheetId="5">#REF!</definedName>
    <definedName name="_vena_MultiSiteS1_MultiSiteB2_R_5_431662132142014465" localSheetId="8">'[1]FY26 MYP-Multisite'!#REF!</definedName>
    <definedName name="_vena_MultiSiteS1_MultiSiteB2_R_5_431662132142014465" localSheetId="3">#REF!</definedName>
    <definedName name="_vena_MultiSiteS1_MultiSiteB2_R_5_431662132142014465">#REF!</definedName>
    <definedName name="_vena_MultiSiteS1_MultiSiteB2_R_5_431662132150403073" localSheetId="4">#REF!</definedName>
    <definedName name="_vena_MultiSiteS1_MultiSiteB2_R_5_431662132150403073" localSheetId="5">#REF!</definedName>
    <definedName name="_vena_MultiSiteS1_MultiSiteB2_R_5_431662132150403073" localSheetId="8">'[1]FY26 MYP-Multisite'!#REF!</definedName>
    <definedName name="_vena_MultiSiteS1_MultiSiteB2_R_5_431662132150403073" localSheetId="3">#REF!</definedName>
    <definedName name="_vena_MultiSiteS1_MultiSiteB2_R_5_431662132150403073">#REF!</definedName>
    <definedName name="_vena_MultiSiteS1_MultiSiteB2_R_5_431662132154597377" localSheetId="4">#REF!</definedName>
    <definedName name="_vena_MultiSiteS1_MultiSiteB2_R_5_431662132154597377" localSheetId="5">#REF!</definedName>
    <definedName name="_vena_MultiSiteS1_MultiSiteB2_R_5_431662132154597377" localSheetId="8">'[1]FY26 MYP-Multisite'!#REF!</definedName>
    <definedName name="_vena_MultiSiteS1_MultiSiteB2_R_5_431662132154597377" localSheetId="3">#REF!</definedName>
    <definedName name="_vena_MultiSiteS1_MultiSiteB2_R_5_431662132154597377">#REF!</definedName>
    <definedName name="_vena_MultiSiteS1_MultiSiteB2_R_5_431662132158791681" localSheetId="4">#REF!</definedName>
    <definedName name="_vena_MultiSiteS1_MultiSiteB2_R_5_431662132158791681" localSheetId="5">#REF!</definedName>
    <definedName name="_vena_MultiSiteS1_MultiSiteB2_R_5_431662132158791681" localSheetId="8">'[1]FY26 MYP-Multisite'!#REF!</definedName>
    <definedName name="_vena_MultiSiteS1_MultiSiteB2_R_5_431662132158791681" localSheetId="3">#REF!</definedName>
    <definedName name="_vena_MultiSiteS1_MultiSiteB2_R_5_431662132158791681">#REF!</definedName>
    <definedName name="_vena_MultiSiteS1_MultiSiteB2_R_5_431662132175568897" localSheetId="4">#REF!</definedName>
    <definedName name="_vena_MultiSiteS1_MultiSiteB2_R_5_431662132175568897" localSheetId="5">#REF!</definedName>
    <definedName name="_vena_MultiSiteS1_MultiSiteB2_R_5_431662132175568897" localSheetId="8">'[1]FY26 MYP-Multisite'!#REF!</definedName>
    <definedName name="_vena_MultiSiteS1_MultiSiteB2_R_5_431662132175568897" localSheetId="3">#REF!</definedName>
    <definedName name="_vena_MultiSiteS1_MultiSiteB2_R_5_431662132175568897">#REF!</definedName>
    <definedName name="_vena_MultiSiteS1_MultiSiteB2_R_5_431662132188151809" localSheetId="4">#REF!</definedName>
    <definedName name="_vena_MultiSiteS1_MultiSiteB2_R_5_431662132188151809" localSheetId="5">#REF!</definedName>
    <definedName name="_vena_MultiSiteS1_MultiSiteB2_R_5_431662132188151809" localSheetId="8">'[1]FY26 MYP-Multisite'!#REF!</definedName>
    <definedName name="_vena_MultiSiteS1_MultiSiteB2_R_5_431662132188151809" localSheetId="3">#REF!</definedName>
    <definedName name="_vena_MultiSiteS1_MultiSiteB2_R_5_431662132188151809">#REF!</definedName>
    <definedName name="_vena_MultiSiteS1_MultiSiteB2_R_5_431662132192346113" localSheetId="4">#REF!</definedName>
    <definedName name="_vena_MultiSiteS1_MultiSiteB2_R_5_431662132192346113" localSheetId="5">#REF!</definedName>
    <definedName name="_vena_MultiSiteS1_MultiSiteB2_R_5_431662132192346113" localSheetId="8">'[1]FY26 MYP-Multisite'!#REF!</definedName>
    <definedName name="_vena_MultiSiteS1_MultiSiteB2_R_5_431662132192346113" localSheetId="3">#REF!</definedName>
    <definedName name="_vena_MultiSiteS1_MultiSiteB2_R_5_431662132192346113">#REF!</definedName>
    <definedName name="_vena_MultiSiteS1_MultiSiteB2_R_5_431662132200734721" localSheetId="4">#REF!</definedName>
    <definedName name="_vena_MultiSiteS1_MultiSiteB2_R_5_431662132200734721" localSheetId="5">#REF!</definedName>
    <definedName name="_vena_MultiSiteS1_MultiSiteB2_R_5_431662132200734721" localSheetId="8">'[1]FY26 MYP-Multisite'!#REF!</definedName>
    <definedName name="_vena_MultiSiteS1_MultiSiteB2_R_5_431662132200734721" localSheetId="3">#REF!</definedName>
    <definedName name="_vena_MultiSiteS1_MultiSiteB2_R_5_431662132200734721">#REF!</definedName>
    <definedName name="_vena_MultiSiteS1_MultiSiteB2_R_5_431662132204929025" localSheetId="4">#REF!</definedName>
    <definedName name="_vena_MultiSiteS1_MultiSiteB2_R_5_431662132204929025" localSheetId="5">#REF!</definedName>
    <definedName name="_vena_MultiSiteS1_MultiSiteB2_R_5_431662132204929025" localSheetId="8">'[1]FY26 MYP-Multisite'!#REF!</definedName>
    <definedName name="_vena_MultiSiteS1_MultiSiteB2_R_5_431662132204929025" localSheetId="3">#REF!</definedName>
    <definedName name="_vena_MultiSiteS1_MultiSiteB2_R_5_431662132204929025">#REF!</definedName>
    <definedName name="_vena_MultiSiteS1_MultiSiteB2_R_5_431662132209123329" localSheetId="4">#REF!</definedName>
    <definedName name="_vena_MultiSiteS1_MultiSiteB2_R_5_431662132209123329" localSheetId="5">#REF!</definedName>
    <definedName name="_vena_MultiSiteS1_MultiSiteB2_R_5_431662132209123329" localSheetId="8">'[1]FY26 MYP-Multisite'!#REF!</definedName>
    <definedName name="_vena_MultiSiteS1_MultiSiteB2_R_5_431662132209123329" localSheetId="3">#REF!</definedName>
    <definedName name="_vena_MultiSiteS1_MultiSiteB2_R_5_431662132209123329">#REF!</definedName>
    <definedName name="_vena_MultiSiteS1_MultiSiteB2_R_5_431662132217511937" localSheetId="4">#REF!</definedName>
    <definedName name="_vena_MultiSiteS1_MultiSiteB2_R_5_431662132217511937" localSheetId="5">#REF!</definedName>
    <definedName name="_vena_MultiSiteS1_MultiSiteB2_R_5_431662132217511937" localSheetId="8">'[1]FY26 MYP-Multisite'!#REF!</definedName>
    <definedName name="_vena_MultiSiteS1_MultiSiteB2_R_5_431662132217511937" localSheetId="3">#REF!</definedName>
    <definedName name="_vena_MultiSiteS1_MultiSiteB2_R_5_431662132217511937">#REF!</definedName>
    <definedName name="_vena_MultiSiteS1_MultiSiteB2_R_5_431662132221706241" localSheetId="4">#REF!</definedName>
    <definedName name="_vena_MultiSiteS1_MultiSiteB2_R_5_431662132221706241" localSheetId="5">#REF!</definedName>
    <definedName name="_vena_MultiSiteS1_MultiSiteB2_R_5_431662132221706241" localSheetId="8">'[1]FY26 MYP-Multisite'!#REF!</definedName>
    <definedName name="_vena_MultiSiteS1_MultiSiteB2_R_5_431662132221706241" localSheetId="3">#REF!</definedName>
    <definedName name="_vena_MultiSiteS1_MultiSiteB2_R_5_431662132221706241">#REF!</definedName>
    <definedName name="_vena_MultiSiteS1_MultiSiteB2_R_5_431662132225900545" localSheetId="4">#REF!</definedName>
    <definedName name="_vena_MultiSiteS1_MultiSiteB2_R_5_431662132225900545" localSheetId="5">#REF!</definedName>
    <definedName name="_vena_MultiSiteS1_MultiSiteB2_R_5_431662132225900545" localSheetId="8">'[1]FY26 MYP-Multisite'!#REF!</definedName>
    <definedName name="_vena_MultiSiteS1_MultiSiteB2_R_5_431662132225900545" localSheetId="3">#REF!</definedName>
    <definedName name="_vena_MultiSiteS1_MultiSiteB2_R_5_431662132225900545">#REF!</definedName>
    <definedName name="_vena_MultiSiteS1_MultiSiteB2_R_5_431662132234289153" localSheetId="4">#REF!</definedName>
    <definedName name="_vena_MultiSiteS1_MultiSiteB2_R_5_431662132234289153" localSheetId="5">#REF!</definedName>
    <definedName name="_vena_MultiSiteS1_MultiSiteB2_R_5_431662132234289153" localSheetId="8">'[1]FY26 MYP-Multisite'!#REF!</definedName>
    <definedName name="_vena_MultiSiteS1_MultiSiteB2_R_5_431662132234289153" localSheetId="3">#REF!</definedName>
    <definedName name="_vena_MultiSiteS1_MultiSiteB2_R_5_431662132234289153">#REF!</definedName>
    <definedName name="_vena_MultiSiteS1_MultiSiteB2_R_5_431662132242677761" localSheetId="4">#REF!</definedName>
    <definedName name="_vena_MultiSiteS1_MultiSiteB2_R_5_431662132242677761" localSheetId="5">#REF!</definedName>
    <definedName name="_vena_MultiSiteS1_MultiSiteB2_R_5_431662132242677761" localSheetId="8">'[1]FY26 MYP-Multisite'!#REF!</definedName>
    <definedName name="_vena_MultiSiteS1_MultiSiteB2_R_5_431662132242677761" localSheetId="3">#REF!</definedName>
    <definedName name="_vena_MultiSiteS1_MultiSiteB2_R_5_431662132242677761">#REF!</definedName>
    <definedName name="_vena_MultiSiteS1_MultiSiteB2_R_5_431662132259454976" localSheetId="4">#REF!</definedName>
    <definedName name="_vena_MultiSiteS1_MultiSiteB2_R_5_431662132259454976" localSheetId="5">#REF!</definedName>
    <definedName name="_vena_MultiSiteS1_MultiSiteB2_R_5_431662132259454976" localSheetId="8">'[1]FY26 MYP-Multisite'!#REF!</definedName>
    <definedName name="_vena_MultiSiteS1_MultiSiteB2_R_5_431662132259454976" localSheetId="3">#REF!</definedName>
    <definedName name="_vena_MultiSiteS1_MultiSiteB2_R_5_431662132259454976">#REF!</definedName>
    <definedName name="_vena_MultiSiteS1_MultiSiteB2_R_5_431662132267843585" localSheetId="4">#REF!</definedName>
    <definedName name="_vena_MultiSiteS1_MultiSiteB2_R_5_431662132267843585" localSheetId="5">#REF!</definedName>
    <definedName name="_vena_MultiSiteS1_MultiSiteB2_R_5_431662132267843585" localSheetId="8">'[1]FY26 MYP-Multisite'!#REF!</definedName>
    <definedName name="_vena_MultiSiteS1_MultiSiteB2_R_5_431662132267843585" localSheetId="3">#REF!</definedName>
    <definedName name="_vena_MultiSiteS1_MultiSiteB2_R_5_431662132267843585">#REF!</definedName>
    <definedName name="_vena_MultiSiteS1_MultiSiteB2_R_5_431662132272037889" localSheetId="4">#REF!</definedName>
    <definedName name="_vena_MultiSiteS1_MultiSiteB2_R_5_431662132272037889" localSheetId="5">#REF!</definedName>
    <definedName name="_vena_MultiSiteS1_MultiSiteB2_R_5_431662132272037889" localSheetId="8">'[1]FY26 MYP-Multisite'!#REF!</definedName>
    <definedName name="_vena_MultiSiteS1_MultiSiteB2_R_5_431662132272037889" localSheetId="3">#REF!</definedName>
    <definedName name="_vena_MultiSiteS1_MultiSiteB2_R_5_431662132272037889">#REF!</definedName>
    <definedName name="_vena_MultiSiteS1_MultiSiteB2_R_5_431662132276232193" localSheetId="4">#REF!</definedName>
    <definedName name="_vena_MultiSiteS1_MultiSiteB2_R_5_431662132276232193" localSheetId="5">#REF!</definedName>
    <definedName name="_vena_MultiSiteS1_MultiSiteB2_R_5_431662132276232193" localSheetId="8">'[1]FY26 MYP-Multisite'!#REF!</definedName>
    <definedName name="_vena_MultiSiteS1_MultiSiteB2_R_5_431662132276232193" localSheetId="3">#REF!</definedName>
    <definedName name="_vena_MultiSiteS1_MultiSiteB2_R_5_431662132276232193">#REF!</definedName>
    <definedName name="_vena_MultiSiteS1_MultiSiteB2_R_5_431662132284620801" localSheetId="4">#REF!</definedName>
    <definedName name="_vena_MultiSiteS1_MultiSiteB2_R_5_431662132284620801" localSheetId="5">#REF!</definedName>
    <definedName name="_vena_MultiSiteS1_MultiSiteB2_R_5_431662132284620801" localSheetId="8">'[1]FY26 MYP-Multisite'!#REF!</definedName>
    <definedName name="_vena_MultiSiteS1_MultiSiteB2_R_5_431662132284620801" localSheetId="3">#REF!</definedName>
    <definedName name="_vena_MultiSiteS1_MultiSiteB2_R_5_431662132284620801">#REF!</definedName>
    <definedName name="_vena_MultiSiteS1_MultiSiteB2_R_5_431662132288815105" localSheetId="4">#REF!</definedName>
    <definedName name="_vena_MultiSiteS1_MultiSiteB2_R_5_431662132288815105" localSheetId="5">#REF!</definedName>
    <definedName name="_vena_MultiSiteS1_MultiSiteB2_R_5_431662132288815105" localSheetId="8">'[1]FY26 MYP-Multisite'!#REF!</definedName>
    <definedName name="_vena_MultiSiteS1_MultiSiteB2_R_5_431662132288815105" localSheetId="3">#REF!</definedName>
    <definedName name="_vena_MultiSiteS1_MultiSiteB2_R_5_431662132288815105">#REF!</definedName>
    <definedName name="_vena_MultiSiteS1_MultiSiteB2_R_5_431662132297203713" localSheetId="4">#REF!</definedName>
    <definedName name="_vena_MultiSiteS1_MultiSiteB2_R_5_431662132297203713" localSheetId="5">#REF!</definedName>
    <definedName name="_vena_MultiSiteS1_MultiSiteB2_R_5_431662132297203713" localSheetId="8">'[1]FY26 MYP-Multisite'!#REF!</definedName>
    <definedName name="_vena_MultiSiteS1_MultiSiteB2_R_5_431662132297203713" localSheetId="3">#REF!</definedName>
    <definedName name="_vena_MultiSiteS1_MultiSiteB2_R_5_431662132297203713">#REF!</definedName>
    <definedName name="_vena_MultiSiteS1_MultiSiteB2_R_5_431662132301398017" localSheetId="4">#REF!</definedName>
    <definedName name="_vena_MultiSiteS1_MultiSiteB2_R_5_431662132301398017" localSheetId="5">#REF!</definedName>
    <definedName name="_vena_MultiSiteS1_MultiSiteB2_R_5_431662132301398017" localSheetId="8">'[1]FY26 MYP-Multisite'!#REF!</definedName>
    <definedName name="_vena_MultiSiteS1_MultiSiteB2_R_5_431662132301398017" localSheetId="3">#REF!</definedName>
    <definedName name="_vena_MultiSiteS1_MultiSiteB2_R_5_431662132301398017">#REF!</definedName>
    <definedName name="_vena_MultiSiteS1_MultiSiteB2_R_5_431662132305592321" localSheetId="4">#REF!</definedName>
    <definedName name="_vena_MultiSiteS1_MultiSiteB2_R_5_431662132305592321" localSheetId="5">#REF!</definedName>
    <definedName name="_vena_MultiSiteS1_MultiSiteB2_R_5_431662132305592321" localSheetId="8">'[1]FY26 MYP-Multisite'!#REF!</definedName>
    <definedName name="_vena_MultiSiteS1_MultiSiteB2_R_5_431662132305592321" localSheetId="3">#REF!</definedName>
    <definedName name="_vena_MultiSiteS1_MultiSiteB2_R_5_431662132305592321">#REF!</definedName>
    <definedName name="_vena_MultiSiteS1_MultiSiteB2_R_5_431662132309786625" localSheetId="4">#REF!</definedName>
    <definedName name="_vena_MultiSiteS1_MultiSiteB2_R_5_431662132309786625" localSheetId="5">#REF!</definedName>
    <definedName name="_vena_MultiSiteS1_MultiSiteB2_R_5_431662132309786625" localSheetId="8">'[1]FY26 MYP-Multisite'!#REF!</definedName>
    <definedName name="_vena_MultiSiteS1_MultiSiteB2_R_5_431662132309786625" localSheetId="3">#REF!</definedName>
    <definedName name="_vena_MultiSiteS1_MultiSiteB2_R_5_431662132309786625">#REF!</definedName>
    <definedName name="_vena_MultiSiteS1_MultiSiteB2_R_5_431662132318175233" localSheetId="4">#REF!</definedName>
    <definedName name="_vena_MultiSiteS1_MultiSiteB2_R_5_431662132318175233" localSheetId="5">#REF!</definedName>
    <definedName name="_vena_MultiSiteS1_MultiSiteB2_R_5_431662132318175233" localSheetId="8">'[1]FY26 MYP-Multisite'!#REF!</definedName>
    <definedName name="_vena_MultiSiteS1_MultiSiteB2_R_5_431662132318175233" localSheetId="3">#REF!</definedName>
    <definedName name="_vena_MultiSiteS1_MultiSiteB2_R_5_431662132318175233">#REF!</definedName>
    <definedName name="_vena_MultiSiteS1_MultiSiteB2_R_5_431662132322369537" localSheetId="4">#REF!</definedName>
    <definedName name="_vena_MultiSiteS1_MultiSiteB2_R_5_431662132322369537" localSheetId="5">#REF!</definedName>
    <definedName name="_vena_MultiSiteS1_MultiSiteB2_R_5_431662132322369537" localSheetId="8">'[1]FY26 MYP-Multisite'!#REF!</definedName>
    <definedName name="_vena_MultiSiteS1_MultiSiteB2_R_5_431662132322369537" localSheetId="3">#REF!</definedName>
    <definedName name="_vena_MultiSiteS1_MultiSiteB2_R_5_431662132322369537">#REF!</definedName>
    <definedName name="_vena_MultiSiteS1_MultiSiteB2_R_5_431662132326563841" localSheetId="4">#REF!</definedName>
    <definedName name="_vena_MultiSiteS1_MultiSiteB2_R_5_431662132326563841" localSheetId="5">#REF!</definedName>
    <definedName name="_vena_MultiSiteS1_MultiSiteB2_R_5_431662132326563841" localSheetId="8">'[1]FY26 MYP-Multisite'!#REF!</definedName>
    <definedName name="_vena_MultiSiteS1_MultiSiteB2_R_5_431662132326563841" localSheetId="3">#REF!</definedName>
    <definedName name="_vena_MultiSiteS1_MultiSiteB2_R_5_431662132326563841">#REF!</definedName>
    <definedName name="_vena_MultiSiteS1_MultiSiteB2_R_5_431662132334952449" localSheetId="4">#REF!</definedName>
    <definedName name="_vena_MultiSiteS1_MultiSiteB2_R_5_431662132334952449" localSheetId="5">#REF!</definedName>
    <definedName name="_vena_MultiSiteS1_MultiSiteB2_R_5_431662132334952449" localSheetId="8">'[1]FY26 MYP-Multisite'!#REF!</definedName>
    <definedName name="_vena_MultiSiteS1_MultiSiteB2_R_5_431662132334952449" localSheetId="3">#REF!</definedName>
    <definedName name="_vena_MultiSiteS1_MultiSiteB2_R_5_431662132334952449">#REF!</definedName>
    <definedName name="_vena_MultiSiteS1_MultiSiteB2_R_5_431662132339146753" localSheetId="4">#REF!</definedName>
    <definedName name="_vena_MultiSiteS1_MultiSiteB2_R_5_431662132339146753" localSheetId="5">#REF!</definedName>
    <definedName name="_vena_MultiSiteS1_MultiSiteB2_R_5_431662132339146753" localSheetId="8">'[1]FY26 MYP-Multisite'!#REF!</definedName>
    <definedName name="_vena_MultiSiteS1_MultiSiteB2_R_5_431662132339146753" localSheetId="3">#REF!</definedName>
    <definedName name="_vena_MultiSiteS1_MultiSiteB2_R_5_431662132339146753">#REF!</definedName>
    <definedName name="_vena_MultiSiteS1_MultiSiteB2_R_5_431662132347535361" localSheetId="4">#REF!</definedName>
    <definedName name="_vena_MultiSiteS1_MultiSiteB2_R_5_431662132347535361" localSheetId="5">#REF!</definedName>
    <definedName name="_vena_MultiSiteS1_MultiSiteB2_R_5_431662132347535361" localSheetId="8">'[1]FY26 MYP-Multisite'!#REF!</definedName>
    <definedName name="_vena_MultiSiteS1_MultiSiteB2_R_5_431662132347535361" localSheetId="3">#REF!</definedName>
    <definedName name="_vena_MultiSiteS1_MultiSiteB2_R_5_431662132347535361">#REF!</definedName>
    <definedName name="_vena_MultiSiteS1_MultiSiteB2_R_5_431662132351729665" localSheetId="4">#REF!</definedName>
    <definedName name="_vena_MultiSiteS1_MultiSiteB2_R_5_431662132351729665" localSheetId="5">#REF!</definedName>
    <definedName name="_vena_MultiSiteS1_MultiSiteB2_R_5_431662132351729665" localSheetId="8">'[1]FY26 MYP-Multisite'!#REF!</definedName>
    <definedName name="_vena_MultiSiteS1_MultiSiteB2_R_5_431662132351729665" localSheetId="3">#REF!</definedName>
    <definedName name="_vena_MultiSiteS1_MultiSiteB2_R_5_431662132351729665">#REF!</definedName>
    <definedName name="_vena_MultiSiteS1_MultiSiteB2_R_5_431662132355923969" localSheetId="4">#REF!</definedName>
    <definedName name="_vena_MultiSiteS1_MultiSiteB2_R_5_431662132355923969" localSheetId="5">#REF!</definedName>
    <definedName name="_vena_MultiSiteS1_MultiSiteB2_R_5_431662132355923969" localSheetId="8">'[1]FY26 MYP-Multisite'!#REF!</definedName>
    <definedName name="_vena_MultiSiteS1_MultiSiteB2_R_5_431662132355923969" localSheetId="3">#REF!</definedName>
    <definedName name="_vena_MultiSiteS1_MultiSiteB2_R_5_431662132355923969">#REF!</definedName>
    <definedName name="_vena_MultiSiteS1_MultiSiteB2_R_5_431662132364312576" localSheetId="4">#REF!</definedName>
    <definedName name="_vena_MultiSiteS1_MultiSiteB2_R_5_431662132364312576" localSheetId="5">#REF!</definedName>
    <definedName name="_vena_MultiSiteS1_MultiSiteB2_R_5_431662132364312576" localSheetId="8">'[1]FY26 MYP-Multisite'!#REF!</definedName>
    <definedName name="_vena_MultiSiteS1_MultiSiteB2_R_5_431662132364312576" localSheetId="3">#REF!</definedName>
    <definedName name="_vena_MultiSiteS1_MultiSiteB2_R_5_431662132364312576">#REF!</definedName>
    <definedName name="_vena_MultiSiteS1_MultiSiteB2_R_5_431662132368506881" localSheetId="4">#REF!</definedName>
    <definedName name="_vena_MultiSiteS1_MultiSiteB2_R_5_431662132368506881" localSheetId="5">#REF!</definedName>
    <definedName name="_vena_MultiSiteS1_MultiSiteB2_R_5_431662132368506881" localSheetId="8">'[1]FY26 MYP-Multisite'!#REF!</definedName>
    <definedName name="_vena_MultiSiteS1_MultiSiteB2_R_5_431662132368506881" localSheetId="3">#REF!</definedName>
    <definedName name="_vena_MultiSiteS1_MultiSiteB2_R_5_431662132368506881">#REF!</definedName>
    <definedName name="_vena_MultiSiteS1_MultiSiteB2_R_5_431662132372701185" localSheetId="4">#REF!</definedName>
    <definedName name="_vena_MultiSiteS1_MultiSiteB2_R_5_431662132372701185" localSheetId="5">#REF!</definedName>
    <definedName name="_vena_MultiSiteS1_MultiSiteB2_R_5_431662132372701185" localSheetId="8">'[1]FY26 MYP-Multisite'!#REF!</definedName>
    <definedName name="_vena_MultiSiteS1_MultiSiteB2_R_5_431662132372701185" localSheetId="3">#REF!</definedName>
    <definedName name="_vena_MultiSiteS1_MultiSiteB2_R_5_431662132372701185">#REF!</definedName>
    <definedName name="_vena_MultiSiteS1_MultiSiteB2_R_5_431662132376895489" localSheetId="4">#REF!</definedName>
    <definedName name="_vena_MultiSiteS1_MultiSiteB2_R_5_431662132376895489" localSheetId="5">#REF!</definedName>
    <definedName name="_vena_MultiSiteS1_MultiSiteB2_R_5_431662132376895489" localSheetId="8">'[1]FY26 MYP-Multisite'!#REF!</definedName>
    <definedName name="_vena_MultiSiteS1_MultiSiteB2_R_5_431662132376895489" localSheetId="3">#REF!</definedName>
    <definedName name="_vena_MultiSiteS1_MultiSiteB2_R_5_431662132376895489">#REF!</definedName>
    <definedName name="_vena_MultiSiteS1_MultiSiteB2_R_5_431662132385284097" localSheetId="4">#REF!</definedName>
    <definedName name="_vena_MultiSiteS1_MultiSiteB2_R_5_431662132385284097" localSheetId="5">#REF!</definedName>
    <definedName name="_vena_MultiSiteS1_MultiSiteB2_R_5_431662132385284097" localSheetId="8">'[1]FY26 MYP-Multisite'!#REF!</definedName>
    <definedName name="_vena_MultiSiteS1_MultiSiteB2_R_5_431662132385284097" localSheetId="3">#REF!</definedName>
    <definedName name="_vena_MultiSiteS1_MultiSiteB2_R_5_431662132385284097">#REF!</definedName>
    <definedName name="_vena_MultiSiteS1_MultiSiteB2_R_5_431662132389478401" localSheetId="4">#REF!</definedName>
    <definedName name="_vena_MultiSiteS1_MultiSiteB2_R_5_431662132389478401" localSheetId="5">#REF!</definedName>
    <definedName name="_vena_MultiSiteS1_MultiSiteB2_R_5_431662132389478401" localSheetId="8">'[1]FY26 MYP-Multisite'!#REF!</definedName>
    <definedName name="_vena_MultiSiteS1_MultiSiteB2_R_5_431662132389478401" localSheetId="3">#REF!</definedName>
    <definedName name="_vena_MultiSiteS1_MultiSiteB2_R_5_431662132389478401">#REF!</definedName>
    <definedName name="_vena_MultiSiteS1_MultiSiteB2_R_5_431662132393672705" localSheetId="4">#REF!</definedName>
    <definedName name="_vena_MultiSiteS1_MultiSiteB2_R_5_431662132393672705" localSheetId="5">#REF!</definedName>
    <definedName name="_vena_MultiSiteS1_MultiSiteB2_R_5_431662132393672705" localSheetId="8">'[1]FY26 MYP-Multisite'!#REF!</definedName>
    <definedName name="_vena_MultiSiteS1_MultiSiteB2_R_5_431662132393672705" localSheetId="3">#REF!</definedName>
    <definedName name="_vena_MultiSiteS1_MultiSiteB2_R_5_431662132393672705">#REF!</definedName>
    <definedName name="_vena_MultiSiteS1_MultiSiteB2_R_5_431662132397867009" localSheetId="4">#REF!</definedName>
    <definedName name="_vena_MultiSiteS1_MultiSiteB2_R_5_431662132397867009" localSheetId="5">#REF!</definedName>
    <definedName name="_vena_MultiSiteS1_MultiSiteB2_R_5_431662132397867009" localSheetId="8">'[1]FY26 MYP-Multisite'!#REF!</definedName>
    <definedName name="_vena_MultiSiteS1_MultiSiteB2_R_5_431662132397867009" localSheetId="3">#REF!</definedName>
    <definedName name="_vena_MultiSiteS1_MultiSiteB2_R_5_431662132397867009">#REF!</definedName>
    <definedName name="_vena_MultiSiteS1_MultiSiteB2_R_5_431662132406255617" localSheetId="4">#REF!</definedName>
    <definedName name="_vena_MultiSiteS1_MultiSiteB2_R_5_431662132406255617" localSheetId="5">#REF!</definedName>
    <definedName name="_vena_MultiSiteS1_MultiSiteB2_R_5_431662132406255617" localSheetId="8">'[1]FY26 MYP-Multisite'!#REF!</definedName>
    <definedName name="_vena_MultiSiteS1_MultiSiteB2_R_5_431662132406255617" localSheetId="3">#REF!</definedName>
    <definedName name="_vena_MultiSiteS1_MultiSiteB2_R_5_431662132406255617">#REF!</definedName>
    <definedName name="_vena_MultiSiteS1_MultiSiteB2_R_5_431662132410449921" localSheetId="4">#REF!</definedName>
    <definedName name="_vena_MultiSiteS1_MultiSiteB2_R_5_431662132410449921" localSheetId="5">#REF!</definedName>
    <definedName name="_vena_MultiSiteS1_MultiSiteB2_R_5_431662132410449921" localSheetId="8">'[1]FY26 MYP-Multisite'!#REF!</definedName>
    <definedName name="_vena_MultiSiteS1_MultiSiteB2_R_5_431662132410449921" localSheetId="3">#REF!</definedName>
    <definedName name="_vena_MultiSiteS1_MultiSiteB2_R_5_431662132410449921">#REF!</definedName>
    <definedName name="_vena_MultiSiteS1_MultiSiteB2_R_5_431662132414644225" localSheetId="4">#REF!</definedName>
    <definedName name="_vena_MultiSiteS1_MultiSiteB2_R_5_431662132414644225" localSheetId="5">#REF!</definedName>
    <definedName name="_vena_MultiSiteS1_MultiSiteB2_R_5_431662132414644225" localSheetId="8">'[1]FY26 MYP-Multisite'!#REF!</definedName>
    <definedName name="_vena_MultiSiteS1_MultiSiteB2_R_5_431662132414644225" localSheetId="3">#REF!</definedName>
    <definedName name="_vena_MultiSiteS1_MultiSiteB2_R_5_431662132414644225">#REF!</definedName>
    <definedName name="_vena_MultiSiteS1_MultiSiteB2_R_5_431662132423032833" localSheetId="4">#REF!</definedName>
    <definedName name="_vena_MultiSiteS1_MultiSiteB2_R_5_431662132423032833" localSheetId="5">#REF!</definedName>
    <definedName name="_vena_MultiSiteS1_MultiSiteB2_R_5_431662132423032833" localSheetId="8">'[1]FY26 MYP-Multisite'!#REF!</definedName>
    <definedName name="_vena_MultiSiteS1_MultiSiteB2_R_5_431662132423032833" localSheetId="3">#REF!</definedName>
    <definedName name="_vena_MultiSiteS1_MultiSiteB2_R_5_431662132423032833">#REF!</definedName>
    <definedName name="_vena_MultiSiteS1_MultiSiteB2_R_5_431662132427227137" localSheetId="4">#REF!</definedName>
    <definedName name="_vena_MultiSiteS1_MultiSiteB2_R_5_431662132427227137" localSheetId="5">#REF!</definedName>
    <definedName name="_vena_MultiSiteS1_MultiSiteB2_R_5_431662132427227137" localSheetId="8">'[1]FY26 MYP-Multisite'!#REF!</definedName>
    <definedName name="_vena_MultiSiteS1_MultiSiteB2_R_5_431662132427227137" localSheetId="3">#REF!</definedName>
    <definedName name="_vena_MultiSiteS1_MultiSiteB2_R_5_431662132427227137">#REF!</definedName>
    <definedName name="_vena_MultiSiteS1_MultiSiteB2_R_5_431662132431421441" localSheetId="4">#REF!</definedName>
    <definedName name="_vena_MultiSiteS1_MultiSiteB2_R_5_431662132431421441" localSheetId="5">#REF!</definedName>
    <definedName name="_vena_MultiSiteS1_MultiSiteB2_R_5_431662132431421441" localSheetId="8">'[1]FY26 MYP-Multisite'!#REF!</definedName>
    <definedName name="_vena_MultiSiteS1_MultiSiteB2_R_5_431662132431421441" localSheetId="3">#REF!</definedName>
    <definedName name="_vena_MultiSiteS1_MultiSiteB2_R_5_431662132431421441">#REF!</definedName>
    <definedName name="_vena_MultiSiteS1_MultiSiteB2_R_5_431662132435615745" localSheetId="4">#REF!</definedName>
    <definedName name="_vena_MultiSiteS1_MultiSiteB2_R_5_431662132435615745" localSheetId="5">#REF!</definedName>
    <definedName name="_vena_MultiSiteS1_MultiSiteB2_R_5_431662132435615745" localSheetId="8">'[1]FY26 MYP-Multisite'!#REF!</definedName>
    <definedName name="_vena_MultiSiteS1_MultiSiteB2_R_5_431662132435615745" localSheetId="3">#REF!</definedName>
    <definedName name="_vena_MultiSiteS1_MultiSiteB2_R_5_431662132435615745">#REF!</definedName>
    <definedName name="_vena_MultiSiteS1_MultiSiteB2_R_5_431662132444004353" localSheetId="4">#REF!</definedName>
    <definedName name="_vena_MultiSiteS1_MultiSiteB2_R_5_431662132444004353" localSheetId="5">#REF!</definedName>
    <definedName name="_vena_MultiSiteS1_MultiSiteB2_R_5_431662132444004353" localSheetId="8">'[1]FY26 MYP-Multisite'!#REF!</definedName>
    <definedName name="_vena_MultiSiteS1_MultiSiteB2_R_5_431662132444004353" localSheetId="3">#REF!</definedName>
    <definedName name="_vena_MultiSiteS1_MultiSiteB2_R_5_431662132444004353">#REF!</definedName>
    <definedName name="_vena_MultiSiteS1_MultiSiteB2_R_5_431662132448198657" localSheetId="4">#REF!</definedName>
    <definedName name="_vena_MultiSiteS1_MultiSiteB2_R_5_431662132448198657" localSheetId="5">#REF!</definedName>
    <definedName name="_vena_MultiSiteS1_MultiSiteB2_R_5_431662132448198657" localSheetId="8">'[1]FY26 MYP-Multisite'!#REF!</definedName>
    <definedName name="_vena_MultiSiteS1_MultiSiteB2_R_5_431662132448198657" localSheetId="3">#REF!</definedName>
    <definedName name="_vena_MultiSiteS1_MultiSiteB2_R_5_431662132448198657">#REF!</definedName>
    <definedName name="_vena_MultiSiteS1_MultiSiteB2_R_5_431662132452392961" localSheetId="4">#REF!</definedName>
    <definedName name="_vena_MultiSiteS1_MultiSiteB2_R_5_431662132452392961" localSheetId="5">#REF!</definedName>
    <definedName name="_vena_MultiSiteS1_MultiSiteB2_R_5_431662132452392961" localSheetId="8">'[1]FY26 MYP-Multisite'!#REF!</definedName>
    <definedName name="_vena_MultiSiteS1_MultiSiteB2_R_5_431662132452392961" localSheetId="3">#REF!</definedName>
    <definedName name="_vena_MultiSiteS1_MultiSiteB2_R_5_431662132452392961">#REF!</definedName>
    <definedName name="_vena_MultiSiteS1_MultiSiteB2_R_5_431662132460781568" localSheetId="4">#REF!</definedName>
    <definedName name="_vena_MultiSiteS1_MultiSiteB2_R_5_431662132460781568" localSheetId="5">#REF!</definedName>
    <definedName name="_vena_MultiSiteS1_MultiSiteB2_R_5_431662132460781568" localSheetId="8">'[1]FY26 MYP-Multisite'!#REF!</definedName>
    <definedName name="_vena_MultiSiteS1_MultiSiteB2_R_5_431662132460781568" localSheetId="3">#REF!</definedName>
    <definedName name="_vena_MultiSiteS1_MultiSiteB2_R_5_431662132460781568">#REF!</definedName>
    <definedName name="_vena_MultiSiteS1_MultiSiteB2_R_5_431662132464975873" localSheetId="4">#REF!</definedName>
    <definedName name="_vena_MultiSiteS1_MultiSiteB2_R_5_431662132464975873" localSheetId="5">#REF!</definedName>
    <definedName name="_vena_MultiSiteS1_MultiSiteB2_R_5_431662132464975873" localSheetId="8">'[1]FY26 MYP-Multisite'!#REF!</definedName>
    <definedName name="_vena_MultiSiteS1_MultiSiteB2_R_5_431662132464975873" localSheetId="3">#REF!</definedName>
    <definedName name="_vena_MultiSiteS1_MultiSiteB2_R_5_431662132464975873">#REF!</definedName>
    <definedName name="_vena_MultiSiteS1_MultiSiteB2_R_5_431662132469170177" localSheetId="4">#REF!</definedName>
    <definedName name="_vena_MultiSiteS1_MultiSiteB2_R_5_431662132469170177" localSheetId="5">#REF!</definedName>
    <definedName name="_vena_MultiSiteS1_MultiSiteB2_R_5_431662132469170177" localSheetId="8">'[1]FY26 MYP-Multisite'!#REF!</definedName>
    <definedName name="_vena_MultiSiteS1_MultiSiteB2_R_5_431662132469170177" localSheetId="3">#REF!</definedName>
    <definedName name="_vena_MultiSiteS1_MultiSiteB2_R_5_431662132469170177">#REF!</definedName>
    <definedName name="_vena_MultiSiteS1_MultiSiteB2_R_5_431662132477558784" localSheetId="4">#REF!</definedName>
    <definedName name="_vena_MultiSiteS1_MultiSiteB2_R_5_431662132477558784" localSheetId="5">#REF!</definedName>
    <definedName name="_vena_MultiSiteS1_MultiSiteB2_R_5_431662132477558784" localSheetId="8">'[1]FY26 MYP-Multisite'!#REF!</definedName>
    <definedName name="_vena_MultiSiteS1_MultiSiteB2_R_5_431662132477558784" localSheetId="3">#REF!</definedName>
    <definedName name="_vena_MultiSiteS1_MultiSiteB2_R_5_431662132477558784">#REF!</definedName>
    <definedName name="_vena_MultiSiteS1_MultiSiteB2_R_5_431662132481753089" localSheetId="4">#REF!</definedName>
    <definedName name="_vena_MultiSiteS1_MultiSiteB2_R_5_431662132481753089" localSheetId="5">#REF!</definedName>
    <definedName name="_vena_MultiSiteS1_MultiSiteB2_R_5_431662132481753089" localSheetId="8">'[1]FY26 MYP-Multisite'!#REF!</definedName>
    <definedName name="_vena_MultiSiteS1_MultiSiteB2_R_5_431662132481753089" localSheetId="3">#REF!</definedName>
    <definedName name="_vena_MultiSiteS1_MultiSiteB2_R_5_431662132481753089">#REF!</definedName>
    <definedName name="_vena_MultiSiteS1_MultiSiteB2_R_5_431662132485947393" localSheetId="4">#REF!</definedName>
    <definedName name="_vena_MultiSiteS1_MultiSiteB2_R_5_431662132485947393" localSheetId="5">#REF!</definedName>
    <definedName name="_vena_MultiSiteS1_MultiSiteB2_R_5_431662132485947393" localSheetId="8">'[1]FY26 MYP-Multisite'!#REF!</definedName>
    <definedName name="_vena_MultiSiteS1_MultiSiteB2_R_5_431662132485947393" localSheetId="3">#REF!</definedName>
    <definedName name="_vena_MultiSiteS1_MultiSiteB2_R_5_431662132485947393">#REF!</definedName>
    <definedName name="_vena_MultiSiteS1_MultiSiteB2_R_5_431662132494336001" localSheetId="4">#REF!</definedName>
    <definedName name="_vena_MultiSiteS1_MultiSiteB2_R_5_431662132494336001" localSheetId="5">#REF!</definedName>
    <definedName name="_vena_MultiSiteS1_MultiSiteB2_R_5_431662132494336001" localSheetId="8">'[1]FY26 MYP-Multisite'!#REF!</definedName>
    <definedName name="_vena_MultiSiteS1_MultiSiteB2_R_5_431662132494336001" localSheetId="3">#REF!</definedName>
    <definedName name="_vena_MultiSiteS1_MultiSiteB2_R_5_431662132494336001">#REF!</definedName>
    <definedName name="_vena_MultiSiteS1_MultiSiteB2_R_5_431662132498530305" localSheetId="4">#REF!</definedName>
    <definedName name="_vena_MultiSiteS1_MultiSiteB2_R_5_431662132498530305" localSheetId="5">#REF!</definedName>
    <definedName name="_vena_MultiSiteS1_MultiSiteB2_R_5_431662132498530305" localSheetId="8">'[1]FY26 MYP-Multisite'!#REF!</definedName>
    <definedName name="_vena_MultiSiteS1_MultiSiteB2_R_5_431662132498530305" localSheetId="3">#REF!</definedName>
    <definedName name="_vena_MultiSiteS1_MultiSiteB2_R_5_431662132498530305">#REF!</definedName>
    <definedName name="_vena_MultiSiteS1_MultiSiteB2_R_5_431662132502724609" localSheetId="4">#REF!</definedName>
    <definedName name="_vena_MultiSiteS1_MultiSiteB2_R_5_431662132502724609" localSheetId="5">#REF!</definedName>
    <definedName name="_vena_MultiSiteS1_MultiSiteB2_R_5_431662132502724609" localSheetId="8">'[1]FY26 MYP-Multisite'!#REF!</definedName>
    <definedName name="_vena_MultiSiteS1_MultiSiteB2_R_5_431662132502724609" localSheetId="3">#REF!</definedName>
    <definedName name="_vena_MultiSiteS1_MultiSiteB2_R_5_431662132502724609">#REF!</definedName>
    <definedName name="_vena_MultiSiteS1_MultiSiteB2_R_5_431662132506918913" localSheetId="4">#REF!</definedName>
    <definedName name="_vena_MultiSiteS1_MultiSiteB2_R_5_431662132506918913" localSheetId="5">#REF!</definedName>
    <definedName name="_vena_MultiSiteS1_MultiSiteB2_R_5_431662132506918913" localSheetId="8">'[1]FY26 MYP-Multisite'!#REF!</definedName>
    <definedName name="_vena_MultiSiteS1_MultiSiteB2_R_5_431662132506918913" localSheetId="3">#REF!</definedName>
    <definedName name="_vena_MultiSiteS1_MultiSiteB2_R_5_431662132506918913">#REF!</definedName>
    <definedName name="_vena_MultiSiteS1_MultiSiteB2_R_5_431662132511113217" localSheetId="4">#REF!</definedName>
    <definedName name="_vena_MultiSiteS1_MultiSiteB2_R_5_431662132511113217" localSheetId="5">#REF!</definedName>
    <definedName name="_vena_MultiSiteS1_MultiSiteB2_R_5_431662132511113217" localSheetId="8">'[1]FY26 MYP-Multisite'!#REF!</definedName>
    <definedName name="_vena_MultiSiteS1_MultiSiteB2_R_5_431662132511113217" localSheetId="3">#REF!</definedName>
    <definedName name="_vena_MultiSiteS1_MultiSiteB2_R_5_431662132511113217">#REF!</definedName>
    <definedName name="_vena_MultiSiteS1_MultiSiteB2_R_5_431662132515307521" localSheetId="4">#REF!</definedName>
    <definedName name="_vena_MultiSiteS1_MultiSiteB2_R_5_431662132515307521" localSheetId="5">#REF!</definedName>
    <definedName name="_vena_MultiSiteS1_MultiSiteB2_R_5_431662132515307521" localSheetId="8">'[1]FY26 MYP-Multisite'!#REF!</definedName>
    <definedName name="_vena_MultiSiteS1_MultiSiteB2_R_5_431662132515307521" localSheetId="3">#REF!</definedName>
    <definedName name="_vena_MultiSiteS1_MultiSiteB2_R_5_431662132515307521">#REF!</definedName>
    <definedName name="_vena_MultiSiteS1_MultiSiteB2_R_5_431662132527890433" localSheetId="4">#REF!</definedName>
    <definedName name="_vena_MultiSiteS1_MultiSiteB2_R_5_431662132527890433" localSheetId="5">#REF!</definedName>
    <definedName name="_vena_MultiSiteS1_MultiSiteB2_R_5_431662132527890433" localSheetId="8">'[1]FY26 MYP-Multisite'!#REF!</definedName>
    <definedName name="_vena_MultiSiteS1_MultiSiteB2_R_5_431662132527890433" localSheetId="3">#REF!</definedName>
    <definedName name="_vena_MultiSiteS1_MultiSiteB2_R_5_431662132527890433">#REF!</definedName>
    <definedName name="_vena_MultiSiteS1_MultiSiteB2_R_5_431662132544667648" localSheetId="4">#REF!</definedName>
    <definedName name="_vena_MultiSiteS1_MultiSiteB2_R_5_431662132544667648" localSheetId="5">#REF!</definedName>
    <definedName name="_vena_MultiSiteS1_MultiSiteB2_R_5_431662132544667648" localSheetId="8">'[1]FY26 MYP-Multisite'!#REF!</definedName>
    <definedName name="_vena_MultiSiteS1_MultiSiteB2_R_5_431662132544667648" localSheetId="3">#REF!</definedName>
    <definedName name="_vena_MultiSiteS1_MultiSiteB2_R_5_431662132544667648">#REF!</definedName>
    <definedName name="_vena_MultiSiteS1_MultiSiteB2_R_5_431662132557250561" localSheetId="4">#REF!</definedName>
    <definedName name="_vena_MultiSiteS1_MultiSiteB2_R_5_431662132557250561" localSheetId="5">#REF!</definedName>
    <definedName name="_vena_MultiSiteS1_MultiSiteB2_R_5_431662132557250561" localSheetId="8">'[1]FY26 MYP-Multisite'!#REF!</definedName>
    <definedName name="_vena_MultiSiteS1_MultiSiteB2_R_5_431662132557250561" localSheetId="3">#REF!</definedName>
    <definedName name="_vena_MultiSiteS1_MultiSiteB2_R_5_431662132557250561">#REF!</definedName>
    <definedName name="_vena_MultiSiteS1_MultiSiteB2_R_5_431662132574027777" localSheetId="4">#REF!</definedName>
    <definedName name="_vena_MultiSiteS1_MultiSiteB2_R_5_431662132574027777" localSheetId="5">#REF!</definedName>
    <definedName name="_vena_MultiSiteS1_MultiSiteB2_R_5_431662132574027777" localSheetId="8">'[1]FY26 MYP-Multisite'!#REF!</definedName>
    <definedName name="_vena_MultiSiteS1_MultiSiteB2_R_5_431662132574027777" localSheetId="3">#REF!</definedName>
    <definedName name="_vena_MultiSiteS1_MultiSiteB2_R_5_431662132574027777">#REF!</definedName>
    <definedName name="_vena_MultiSiteS1_MultiSiteB2_R_5_431662132599193601" localSheetId="4">#REF!</definedName>
    <definedName name="_vena_MultiSiteS1_MultiSiteB2_R_5_431662132599193601" localSheetId="5">#REF!</definedName>
    <definedName name="_vena_MultiSiteS1_MultiSiteB2_R_5_431662132599193601" localSheetId="8">'[1]FY26 MYP-Multisite'!#REF!</definedName>
    <definedName name="_vena_MultiSiteS1_MultiSiteB2_R_5_431662132599193601" localSheetId="3">#REF!</definedName>
    <definedName name="_vena_MultiSiteS1_MultiSiteB2_R_5_431662132599193601">#REF!</definedName>
    <definedName name="_vena_MultiSiteS1_MultiSiteB2_R_5_431662132615970817" localSheetId="4">#REF!</definedName>
    <definedName name="_vena_MultiSiteS1_MultiSiteB2_R_5_431662132615970817" localSheetId="5">#REF!</definedName>
    <definedName name="_vena_MultiSiteS1_MultiSiteB2_R_5_431662132615970817" localSheetId="8">'[1]FY26 MYP-Multisite'!#REF!</definedName>
    <definedName name="_vena_MultiSiteS1_MultiSiteB2_R_5_431662132615970817" localSheetId="3">#REF!</definedName>
    <definedName name="_vena_MultiSiteS1_MultiSiteB2_R_5_431662132615970817">#REF!</definedName>
    <definedName name="_vena_MultiSiteS1_MultiSiteB2_R_5_431662132641136641" localSheetId="4">#REF!</definedName>
    <definedName name="_vena_MultiSiteS1_MultiSiteB2_R_5_431662132641136641" localSheetId="5">#REF!</definedName>
    <definedName name="_vena_MultiSiteS1_MultiSiteB2_R_5_431662132641136641" localSheetId="8">'[1]FY26 MYP-Multisite'!#REF!</definedName>
    <definedName name="_vena_MultiSiteS1_MultiSiteB2_R_5_431662132641136641" localSheetId="3">#REF!</definedName>
    <definedName name="_vena_MultiSiteS1_MultiSiteB2_R_5_431662132641136641">#REF!</definedName>
    <definedName name="_vena_MultiSiteS1_MultiSiteB2_R_5_431662132653719553" localSheetId="4">#REF!</definedName>
    <definedName name="_vena_MultiSiteS1_MultiSiteB2_R_5_431662132653719553" localSheetId="5">#REF!</definedName>
    <definedName name="_vena_MultiSiteS1_MultiSiteB2_R_5_431662132653719553" localSheetId="8">'[1]FY26 MYP-Multisite'!#REF!</definedName>
    <definedName name="_vena_MultiSiteS1_MultiSiteB2_R_5_431662132653719553" localSheetId="3">#REF!</definedName>
    <definedName name="_vena_MultiSiteS1_MultiSiteB2_R_5_431662132653719553">#REF!</definedName>
    <definedName name="_vena_MultiSiteS1_MultiSiteB2_R_5_431662132666302467" localSheetId="4">#REF!</definedName>
    <definedName name="_vena_MultiSiteS1_MultiSiteB2_R_5_431662132666302467" localSheetId="5">#REF!</definedName>
    <definedName name="_vena_MultiSiteS1_MultiSiteB2_R_5_431662132666302467" localSheetId="8">'[1]FY26 MYP-Multisite'!#REF!</definedName>
    <definedName name="_vena_MultiSiteS1_MultiSiteB2_R_5_431662132666302467" localSheetId="3">#REF!</definedName>
    <definedName name="_vena_MultiSiteS1_MultiSiteB2_R_5_431662132666302467">#REF!</definedName>
    <definedName name="_vena_MultiSiteS1_MultiSiteB2_R_5_431662132683079681" localSheetId="4">#REF!</definedName>
    <definedName name="_vena_MultiSiteS1_MultiSiteB2_R_5_431662132683079681" localSheetId="5">#REF!</definedName>
    <definedName name="_vena_MultiSiteS1_MultiSiteB2_R_5_431662132683079681" localSheetId="8">'[1]FY26 MYP-Multisite'!#REF!</definedName>
    <definedName name="_vena_MultiSiteS1_MultiSiteB2_R_5_431662132683079681" localSheetId="3">#REF!</definedName>
    <definedName name="_vena_MultiSiteS1_MultiSiteB2_R_5_431662132683079681">#REF!</definedName>
    <definedName name="_vena_MultiSiteS1_MultiSiteB2_R_5_431662132708245505" localSheetId="4">#REF!</definedName>
    <definedName name="_vena_MultiSiteS1_MultiSiteB2_R_5_431662132708245505" localSheetId="5">#REF!</definedName>
    <definedName name="_vena_MultiSiteS1_MultiSiteB2_R_5_431662132708245505" localSheetId="8">'[1]FY26 MYP-Multisite'!#REF!</definedName>
    <definedName name="_vena_MultiSiteS1_MultiSiteB2_R_5_431662132708245505" localSheetId="3">#REF!</definedName>
    <definedName name="_vena_MultiSiteS1_MultiSiteB2_R_5_431662132708245505">#REF!</definedName>
    <definedName name="_vena_MultiSiteS1_MultiSiteB2_R_5_431662132720828416" localSheetId="4">#REF!</definedName>
    <definedName name="_vena_MultiSiteS1_MultiSiteB2_R_5_431662132720828416" localSheetId="5">#REF!</definedName>
    <definedName name="_vena_MultiSiteS1_MultiSiteB2_R_5_431662132720828416" localSheetId="8">'[1]FY26 MYP-Multisite'!#REF!</definedName>
    <definedName name="_vena_MultiSiteS1_MultiSiteB2_R_5_431662132720828416" localSheetId="3">#REF!</definedName>
    <definedName name="_vena_MultiSiteS1_MultiSiteB2_R_5_431662132720828416">#REF!</definedName>
    <definedName name="_vena_MultiSiteS1_MultiSiteB2_R_5_431662132725022721" localSheetId="4">#REF!</definedName>
    <definedName name="_vena_MultiSiteS1_MultiSiteB2_R_5_431662132725022721" localSheetId="5">#REF!</definedName>
    <definedName name="_vena_MultiSiteS1_MultiSiteB2_R_5_431662132725022721" localSheetId="8">'[1]FY26 MYP-Multisite'!#REF!</definedName>
    <definedName name="_vena_MultiSiteS1_MultiSiteB2_R_5_431662132725022721" localSheetId="3">#REF!</definedName>
    <definedName name="_vena_MultiSiteS1_MultiSiteB2_R_5_431662132725022721">#REF!</definedName>
    <definedName name="_vena_MultiSiteS1_MultiSiteB2_R_5_431662132729217025" localSheetId="4">#REF!</definedName>
    <definedName name="_vena_MultiSiteS1_MultiSiteB2_R_5_431662132729217025" localSheetId="5">#REF!</definedName>
    <definedName name="_vena_MultiSiteS1_MultiSiteB2_R_5_431662132729217025" localSheetId="8">'[1]FY26 MYP-Multisite'!#REF!</definedName>
    <definedName name="_vena_MultiSiteS1_MultiSiteB2_R_5_431662132729217025" localSheetId="3">#REF!</definedName>
    <definedName name="_vena_MultiSiteS1_MultiSiteB2_R_5_431662132729217025">#REF!</definedName>
    <definedName name="_vena_MultiSiteS1_MultiSiteB2_R_5_431662132737605633" localSheetId="4">#REF!</definedName>
    <definedName name="_vena_MultiSiteS1_MultiSiteB2_R_5_431662132737605633" localSheetId="5">#REF!</definedName>
    <definedName name="_vena_MultiSiteS1_MultiSiteB2_R_5_431662132737605633" localSheetId="8">'[1]FY26 MYP-Multisite'!#REF!</definedName>
    <definedName name="_vena_MultiSiteS1_MultiSiteB2_R_5_431662132737605633" localSheetId="3">#REF!</definedName>
    <definedName name="_vena_MultiSiteS1_MultiSiteB2_R_5_431662132737605633">#REF!</definedName>
    <definedName name="_vena_MultiSiteS1_MultiSiteB2_R_5_431662132741799937" localSheetId="4">#REF!</definedName>
    <definedName name="_vena_MultiSiteS1_MultiSiteB2_R_5_431662132741799937" localSheetId="5">#REF!</definedName>
    <definedName name="_vena_MultiSiteS1_MultiSiteB2_R_5_431662132741799937" localSheetId="8">'[1]FY26 MYP-Multisite'!#REF!</definedName>
    <definedName name="_vena_MultiSiteS1_MultiSiteB2_R_5_431662132741799937" localSheetId="3">#REF!</definedName>
    <definedName name="_vena_MultiSiteS1_MultiSiteB2_R_5_431662132741799937">#REF!</definedName>
    <definedName name="_vena_MultiSiteS1_MultiSiteB2_R_5_431662132745994241" localSheetId="4">#REF!</definedName>
    <definedName name="_vena_MultiSiteS1_MultiSiteB2_R_5_431662132745994241" localSheetId="5">#REF!</definedName>
    <definedName name="_vena_MultiSiteS1_MultiSiteB2_R_5_431662132745994241" localSheetId="8">'[1]FY26 MYP-Multisite'!#REF!</definedName>
    <definedName name="_vena_MultiSiteS1_MultiSiteB2_R_5_431662132745994241" localSheetId="3">#REF!</definedName>
    <definedName name="_vena_MultiSiteS1_MultiSiteB2_R_5_431662132745994241">#REF!</definedName>
    <definedName name="_vena_MultiSiteS1_MultiSiteB2_R_5_431662132754382849" localSheetId="4">#REF!</definedName>
    <definedName name="_vena_MultiSiteS1_MultiSiteB2_R_5_431662132754382849" localSheetId="5">#REF!</definedName>
    <definedName name="_vena_MultiSiteS1_MultiSiteB2_R_5_431662132754382849" localSheetId="8">'[1]FY26 MYP-Multisite'!#REF!</definedName>
    <definedName name="_vena_MultiSiteS1_MultiSiteB2_R_5_431662132754382849" localSheetId="3">#REF!</definedName>
    <definedName name="_vena_MultiSiteS1_MultiSiteB2_R_5_431662132754382849">#REF!</definedName>
    <definedName name="_vena_MultiSiteS1_MultiSiteB2_R_5_431662132758577153" localSheetId="4">#REF!</definedName>
    <definedName name="_vena_MultiSiteS1_MultiSiteB2_R_5_431662132758577153" localSheetId="5">#REF!</definedName>
    <definedName name="_vena_MultiSiteS1_MultiSiteB2_R_5_431662132758577153" localSheetId="8">'[1]FY26 MYP-Multisite'!#REF!</definedName>
    <definedName name="_vena_MultiSiteS1_MultiSiteB2_R_5_431662132758577153" localSheetId="3">#REF!</definedName>
    <definedName name="_vena_MultiSiteS1_MultiSiteB2_R_5_431662132758577153">#REF!</definedName>
    <definedName name="_vena_MultiSiteS1_MultiSiteB2_R_5_431662132762771457" localSheetId="4">#REF!</definedName>
    <definedName name="_vena_MultiSiteS1_MultiSiteB2_R_5_431662132762771457" localSheetId="5">#REF!</definedName>
    <definedName name="_vena_MultiSiteS1_MultiSiteB2_R_5_431662132762771457" localSheetId="8">'[1]FY26 MYP-Multisite'!#REF!</definedName>
    <definedName name="_vena_MultiSiteS1_MultiSiteB2_R_5_431662132762771457" localSheetId="3">#REF!</definedName>
    <definedName name="_vena_MultiSiteS1_MultiSiteB2_R_5_431662132762771457">#REF!</definedName>
    <definedName name="_vena_MultiSiteS1_MultiSiteB2_R_5_431662132766965761" localSheetId="4">#REF!</definedName>
    <definedName name="_vena_MultiSiteS1_MultiSiteB2_R_5_431662132766965761" localSheetId="5">#REF!</definedName>
    <definedName name="_vena_MultiSiteS1_MultiSiteB2_R_5_431662132766965761" localSheetId="8">'[1]FY26 MYP-Multisite'!#REF!</definedName>
    <definedName name="_vena_MultiSiteS1_MultiSiteB2_R_5_431662132766965761" localSheetId="3">#REF!</definedName>
    <definedName name="_vena_MultiSiteS1_MultiSiteB2_R_5_431662132766965761">#REF!</definedName>
    <definedName name="_vena_MultiSiteS1_MultiSiteB2_R_5_431662132771160065" localSheetId="4">#REF!</definedName>
    <definedName name="_vena_MultiSiteS1_MultiSiteB2_R_5_431662132771160065" localSheetId="5">#REF!</definedName>
    <definedName name="_vena_MultiSiteS1_MultiSiteB2_R_5_431662132771160065" localSheetId="8">'[1]FY26 MYP-Multisite'!#REF!</definedName>
    <definedName name="_vena_MultiSiteS1_MultiSiteB2_R_5_431662132771160065" localSheetId="3">#REF!</definedName>
    <definedName name="_vena_MultiSiteS1_MultiSiteB2_R_5_431662132771160065">#REF!</definedName>
    <definedName name="_vena_MultiSiteS1_MultiSiteB2_R_5_431662132775354369" localSheetId="4">#REF!</definedName>
    <definedName name="_vena_MultiSiteS1_MultiSiteB2_R_5_431662132775354369" localSheetId="5">#REF!</definedName>
    <definedName name="_vena_MultiSiteS1_MultiSiteB2_R_5_431662132775354369" localSheetId="8">'[1]FY26 MYP-Multisite'!#REF!</definedName>
    <definedName name="_vena_MultiSiteS1_MultiSiteB2_R_5_431662132775354369" localSheetId="3">#REF!</definedName>
    <definedName name="_vena_MultiSiteS1_MultiSiteB2_R_5_431662132775354369">#REF!</definedName>
    <definedName name="_vena_MultiSiteS1_MultiSiteB2_R_5_431662132783742977" localSheetId="4">#REF!</definedName>
    <definedName name="_vena_MultiSiteS1_MultiSiteB2_R_5_431662132783742977" localSheetId="5">#REF!</definedName>
    <definedName name="_vena_MultiSiteS1_MultiSiteB2_R_5_431662132783742977" localSheetId="8">'[1]FY26 MYP-Multisite'!#REF!</definedName>
    <definedName name="_vena_MultiSiteS1_MultiSiteB2_R_5_431662132783742977" localSheetId="3">#REF!</definedName>
    <definedName name="_vena_MultiSiteS1_MultiSiteB2_R_5_431662132783742977">#REF!</definedName>
    <definedName name="_vena_MultiSiteS1_MultiSiteB2_R_5_431662132787937281" localSheetId="4">#REF!</definedName>
    <definedName name="_vena_MultiSiteS1_MultiSiteB2_R_5_431662132787937281" localSheetId="5">#REF!</definedName>
    <definedName name="_vena_MultiSiteS1_MultiSiteB2_R_5_431662132787937281" localSheetId="8">'[1]FY26 MYP-Multisite'!#REF!</definedName>
    <definedName name="_vena_MultiSiteS1_MultiSiteB2_R_5_431662132787937281" localSheetId="3">#REF!</definedName>
    <definedName name="_vena_MultiSiteS1_MultiSiteB2_R_5_431662132787937281">#REF!</definedName>
    <definedName name="_vena_MultiSiteS1_MultiSiteB2_R_5_431662132792131585" localSheetId="4">#REF!</definedName>
    <definedName name="_vena_MultiSiteS1_MultiSiteB2_R_5_431662132792131585" localSheetId="5">#REF!</definedName>
    <definedName name="_vena_MultiSiteS1_MultiSiteB2_R_5_431662132792131585" localSheetId="8">'[1]FY26 MYP-Multisite'!#REF!</definedName>
    <definedName name="_vena_MultiSiteS1_MultiSiteB2_R_5_431662132792131585" localSheetId="3">#REF!</definedName>
    <definedName name="_vena_MultiSiteS1_MultiSiteB2_R_5_431662132792131585">#REF!</definedName>
    <definedName name="_vena_MultiSiteS1_MultiSiteB2_R_5_431662132796325889" localSheetId="4">#REF!</definedName>
    <definedName name="_vena_MultiSiteS1_MultiSiteB2_R_5_431662132796325889" localSheetId="5">#REF!</definedName>
    <definedName name="_vena_MultiSiteS1_MultiSiteB2_R_5_431662132796325889" localSheetId="8">'[1]FY26 MYP-Multisite'!#REF!</definedName>
    <definedName name="_vena_MultiSiteS1_MultiSiteB2_R_5_431662132796325889" localSheetId="3">#REF!</definedName>
    <definedName name="_vena_MultiSiteS1_MultiSiteB2_R_5_431662132796325889">#REF!</definedName>
    <definedName name="_vena_MultiSiteS1_MultiSiteB2_R_5_431662132800520193" localSheetId="4">#REF!</definedName>
    <definedName name="_vena_MultiSiteS1_MultiSiteB2_R_5_431662132800520193" localSheetId="5">#REF!</definedName>
    <definedName name="_vena_MultiSiteS1_MultiSiteB2_R_5_431662132800520193" localSheetId="8">'[1]FY26 MYP-Multisite'!#REF!</definedName>
    <definedName name="_vena_MultiSiteS1_MultiSiteB2_R_5_431662132800520193" localSheetId="3">#REF!</definedName>
    <definedName name="_vena_MultiSiteS1_MultiSiteB2_R_5_431662132800520193">#REF!</definedName>
    <definedName name="_vena_MultiSiteS1_MultiSiteB2_R_5_431662132804714497" localSheetId="4">#REF!</definedName>
    <definedName name="_vena_MultiSiteS1_MultiSiteB2_R_5_431662132804714497" localSheetId="5">#REF!</definedName>
    <definedName name="_vena_MultiSiteS1_MultiSiteB2_R_5_431662132804714497" localSheetId="8">'[1]FY26 MYP-Multisite'!#REF!</definedName>
    <definedName name="_vena_MultiSiteS1_MultiSiteB2_R_5_431662132804714497" localSheetId="3">#REF!</definedName>
    <definedName name="_vena_MultiSiteS1_MultiSiteB2_R_5_431662132804714497">#REF!</definedName>
    <definedName name="_vena_MultiSiteS1_MultiSiteB2_R_5_431662132813103104" localSheetId="4">#REF!</definedName>
    <definedName name="_vena_MultiSiteS1_MultiSiteB2_R_5_431662132813103104" localSheetId="5">#REF!</definedName>
    <definedName name="_vena_MultiSiteS1_MultiSiteB2_R_5_431662132813103104" localSheetId="8">'[1]FY26 MYP-Multisite'!#REF!</definedName>
    <definedName name="_vena_MultiSiteS1_MultiSiteB2_R_5_431662132813103104" localSheetId="3">#REF!</definedName>
    <definedName name="_vena_MultiSiteS1_MultiSiteB2_R_5_431662132813103104">#REF!</definedName>
    <definedName name="_vena_MultiSiteS1_MultiSiteB2_R_5_431662132817297409" localSheetId="4">#REF!</definedName>
    <definedName name="_vena_MultiSiteS1_MultiSiteB2_R_5_431662132817297409" localSheetId="5">#REF!</definedName>
    <definedName name="_vena_MultiSiteS1_MultiSiteB2_R_5_431662132817297409" localSheetId="8">'[1]FY26 MYP-Multisite'!#REF!</definedName>
    <definedName name="_vena_MultiSiteS1_MultiSiteB2_R_5_431662132817297409" localSheetId="3">#REF!</definedName>
    <definedName name="_vena_MultiSiteS1_MultiSiteB2_R_5_431662132817297409">#REF!</definedName>
    <definedName name="_vena_MultiSiteS1_MultiSiteB2_R_5_431662132821491713" localSheetId="4">#REF!</definedName>
    <definedName name="_vena_MultiSiteS1_MultiSiteB2_R_5_431662132821491713" localSheetId="5">#REF!</definedName>
    <definedName name="_vena_MultiSiteS1_MultiSiteB2_R_5_431662132821491713" localSheetId="8">'[1]FY26 MYP-Multisite'!#REF!</definedName>
    <definedName name="_vena_MultiSiteS1_MultiSiteB2_R_5_431662132821491713" localSheetId="3">#REF!</definedName>
    <definedName name="_vena_MultiSiteS1_MultiSiteB2_R_5_431662132821491713">#REF!</definedName>
    <definedName name="_vena_MultiSiteS1_MultiSiteB2_R_5_431662132825686017" localSheetId="4">#REF!</definedName>
    <definedName name="_vena_MultiSiteS1_MultiSiteB2_R_5_431662132825686017" localSheetId="5">#REF!</definedName>
    <definedName name="_vena_MultiSiteS1_MultiSiteB2_R_5_431662132825686017" localSheetId="8">'[1]FY26 MYP-Multisite'!#REF!</definedName>
    <definedName name="_vena_MultiSiteS1_MultiSiteB2_R_5_431662132825686017" localSheetId="3">#REF!</definedName>
    <definedName name="_vena_MultiSiteS1_MultiSiteB2_R_5_431662132825686017">#REF!</definedName>
    <definedName name="_vena_MultiSiteS1_MultiSiteB2_R_5_431662132829880321" localSheetId="4">#REF!</definedName>
    <definedName name="_vena_MultiSiteS1_MultiSiteB2_R_5_431662132829880321" localSheetId="5">#REF!</definedName>
    <definedName name="_vena_MultiSiteS1_MultiSiteB2_R_5_431662132829880321" localSheetId="8">'[1]FY26 MYP-Multisite'!#REF!</definedName>
    <definedName name="_vena_MultiSiteS1_MultiSiteB2_R_5_431662132829880321" localSheetId="3">#REF!</definedName>
    <definedName name="_vena_MultiSiteS1_MultiSiteB2_R_5_431662132829880321">#REF!</definedName>
    <definedName name="_vena_MultiSiteS1_MultiSiteB2_R_5_431662132834074625" localSheetId="4">#REF!</definedName>
    <definedName name="_vena_MultiSiteS1_MultiSiteB2_R_5_431662132834074625" localSheetId="5">#REF!</definedName>
    <definedName name="_vena_MultiSiteS1_MultiSiteB2_R_5_431662132834074625" localSheetId="8">'[1]FY26 MYP-Multisite'!#REF!</definedName>
    <definedName name="_vena_MultiSiteS1_MultiSiteB2_R_5_431662132834074625" localSheetId="3">#REF!</definedName>
    <definedName name="_vena_MultiSiteS1_MultiSiteB2_R_5_431662132834074625">#REF!</definedName>
    <definedName name="_vena_MultiSiteS1_MultiSiteB2_R_5_431662132838268929" localSheetId="4">#REF!</definedName>
    <definedName name="_vena_MultiSiteS1_MultiSiteB2_R_5_431662132838268929" localSheetId="5">#REF!</definedName>
    <definedName name="_vena_MultiSiteS1_MultiSiteB2_R_5_431662132838268929" localSheetId="8">'[1]FY26 MYP-Multisite'!#REF!</definedName>
    <definedName name="_vena_MultiSiteS1_MultiSiteB2_R_5_431662132838268929" localSheetId="3">#REF!</definedName>
    <definedName name="_vena_MultiSiteS1_MultiSiteB2_R_5_431662132838268929">#REF!</definedName>
    <definedName name="_vena_MultiSiteS1_MultiSiteB2_R_5_431662132846657537" localSheetId="4">#REF!</definedName>
    <definedName name="_vena_MultiSiteS1_MultiSiteB2_R_5_431662132846657537" localSheetId="5">#REF!</definedName>
    <definedName name="_vena_MultiSiteS1_MultiSiteB2_R_5_431662132846657537" localSheetId="8">'[1]FY26 MYP-Multisite'!#REF!</definedName>
    <definedName name="_vena_MultiSiteS1_MultiSiteB2_R_5_431662132846657537" localSheetId="3">#REF!</definedName>
    <definedName name="_vena_MultiSiteS1_MultiSiteB2_R_5_431662132846657537">#REF!</definedName>
    <definedName name="_vena_MultiSiteS1_MultiSiteB2_R_5_431662132850851841" localSheetId="4">#REF!</definedName>
    <definedName name="_vena_MultiSiteS1_MultiSiteB2_R_5_431662132850851841" localSheetId="5">#REF!</definedName>
    <definedName name="_vena_MultiSiteS1_MultiSiteB2_R_5_431662132850851841" localSheetId="8">'[1]FY26 MYP-Multisite'!#REF!</definedName>
    <definedName name="_vena_MultiSiteS1_MultiSiteB2_R_5_431662132850851841" localSheetId="3">#REF!</definedName>
    <definedName name="_vena_MultiSiteS1_MultiSiteB2_R_5_431662132850851841">#REF!</definedName>
    <definedName name="_vena_MultiSiteS1_MultiSiteB2_R_5_431662132855046145" localSheetId="4">#REF!</definedName>
    <definedName name="_vena_MultiSiteS1_MultiSiteB2_R_5_431662132855046145" localSheetId="5">#REF!</definedName>
    <definedName name="_vena_MultiSiteS1_MultiSiteB2_R_5_431662132855046145" localSheetId="8">'[1]FY26 MYP-Multisite'!#REF!</definedName>
    <definedName name="_vena_MultiSiteS1_MultiSiteB2_R_5_431662132855046145" localSheetId="3">#REF!</definedName>
    <definedName name="_vena_MultiSiteS1_MultiSiteB2_R_5_431662132855046145">#REF!</definedName>
    <definedName name="_vena_MultiSiteS1_MultiSiteB2_R_5_431662132859240449" localSheetId="4">#REF!</definedName>
    <definedName name="_vena_MultiSiteS1_MultiSiteB2_R_5_431662132859240449" localSheetId="5">#REF!</definedName>
    <definedName name="_vena_MultiSiteS1_MultiSiteB2_R_5_431662132859240449" localSheetId="8">'[1]FY26 MYP-Multisite'!#REF!</definedName>
    <definedName name="_vena_MultiSiteS1_MultiSiteB2_R_5_431662132859240449" localSheetId="3">#REF!</definedName>
    <definedName name="_vena_MultiSiteS1_MultiSiteB2_R_5_431662132859240449">#REF!</definedName>
    <definedName name="_vena_MultiSiteS1_MultiSiteB2_R_5_431662132863434753" localSheetId="4">#REF!</definedName>
    <definedName name="_vena_MultiSiteS1_MultiSiteB2_R_5_431662132863434753" localSheetId="5">#REF!</definedName>
    <definedName name="_vena_MultiSiteS1_MultiSiteB2_R_5_431662132863434753" localSheetId="8">'[1]FY26 MYP-Multisite'!#REF!</definedName>
    <definedName name="_vena_MultiSiteS1_MultiSiteB2_R_5_431662132863434753" localSheetId="3">#REF!</definedName>
    <definedName name="_vena_MultiSiteS1_MultiSiteB2_R_5_431662132863434753">#REF!</definedName>
    <definedName name="_vena_MultiSiteS1_MultiSiteB2_R_5_431662132871823361" localSheetId="4">#REF!</definedName>
    <definedName name="_vena_MultiSiteS1_MultiSiteB2_R_5_431662132871823361" localSheetId="5">#REF!</definedName>
    <definedName name="_vena_MultiSiteS1_MultiSiteB2_R_5_431662132871823361" localSheetId="8">'[1]FY26 MYP-Multisite'!#REF!</definedName>
    <definedName name="_vena_MultiSiteS1_MultiSiteB2_R_5_431662132871823361" localSheetId="3">#REF!</definedName>
    <definedName name="_vena_MultiSiteS1_MultiSiteB2_R_5_431662132871823361">#REF!</definedName>
    <definedName name="_vena_MultiSiteS1_MultiSiteB2_R_5_431662132876017665" localSheetId="4">#REF!</definedName>
    <definedName name="_vena_MultiSiteS1_MultiSiteB2_R_5_431662132876017665" localSheetId="5">#REF!</definedName>
    <definedName name="_vena_MultiSiteS1_MultiSiteB2_R_5_431662132876017665" localSheetId="8">'[1]FY26 MYP-Multisite'!#REF!</definedName>
    <definedName name="_vena_MultiSiteS1_MultiSiteB2_R_5_431662132876017665" localSheetId="3">#REF!</definedName>
    <definedName name="_vena_MultiSiteS1_MultiSiteB2_R_5_431662132876017665">#REF!</definedName>
    <definedName name="_vena_MultiSiteS1_MultiSiteB2_R_5_431662132880211969" localSheetId="4">#REF!</definedName>
    <definedName name="_vena_MultiSiteS1_MultiSiteB2_R_5_431662132880211969" localSheetId="5">#REF!</definedName>
    <definedName name="_vena_MultiSiteS1_MultiSiteB2_R_5_431662132880211969" localSheetId="8">'[1]FY26 MYP-Multisite'!#REF!</definedName>
    <definedName name="_vena_MultiSiteS1_MultiSiteB2_R_5_431662132880211969" localSheetId="3">#REF!</definedName>
    <definedName name="_vena_MultiSiteS1_MultiSiteB2_R_5_431662132880211969">#REF!</definedName>
    <definedName name="_vena_MultiSiteS1_MultiSiteB2_R_5_431662132884406273" localSheetId="4">#REF!</definedName>
    <definedName name="_vena_MultiSiteS1_MultiSiteB2_R_5_431662132884406273" localSheetId="5">#REF!</definedName>
    <definedName name="_vena_MultiSiteS1_MultiSiteB2_R_5_431662132884406273" localSheetId="8">'[1]FY26 MYP-Multisite'!#REF!</definedName>
    <definedName name="_vena_MultiSiteS1_MultiSiteB2_R_5_431662132884406273" localSheetId="3">#REF!</definedName>
    <definedName name="_vena_MultiSiteS1_MultiSiteB2_R_5_431662132884406273">#REF!</definedName>
    <definedName name="_vena_MultiSiteS1_MultiSiteB2_R_5_431662132888600577" localSheetId="4">#REF!</definedName>
    <definedName name="_vena_MultiSiteS1_MultiSiteB2_R_5_431662132888600577" localSheetId="5">#REF!</definedName>
    <definedName name="_vena_MultiSiteS1_MultiSiteB2_R_5_431662132888600577" localSheetId="8">'[1]FY26 MYP-Multisite'!#REF!</definedName>
    <definedName name="_vena_MultiSiteS1_MultiSiteB2_R_5_431662132888600577" localSheetId="3">#REF!</definedName>
    <definedName name="_vena_MultiSiteS1_MultiSiteB2_R_5_431662132888600577">#REF!</definedName>
    <definedName name="_vena_MultiSiteS1_MultiSiteB2_R_5_431662132892794881" localSheetId="4">#REF!</definedName>
    <definedName name="_vena_MultiSiteS1_MultiSiteB2_R_5_431662132892794881" localSheetId="5">#REF!</definedName>
    <definedName name="_vena_MultiSiteS1_MultiSiteB2_R_5_431662132892794881" localSheetId="8">'[1]FY26 MYP-Multisite'!#REF!</definedName>
    <definedName name="_vena_MultiSiteS1_MultiSiteB2_R_5_431662132892794881" localSheetId="3">#REF!</definedName>
    <definedName name="_vena_MultiSiteS1_MultiSiteB2_R_5_431662132892794881">#REF!</definedName>
    <definedName name="_vena_MultiSiteS1_MultiSiteB2_R_5_431662132901183489" localSheetId="4">#REF!</definedName>
    <definedName name="_vena_MultiSiteS1_MultiSiteB2_R_5_431662132901183489" localSheetId="5">#REF!</definedName>
    <definedName name="_vena_MultiSiteS1_MultiSiteB2_R_5_431662132901183489" localSheetId="8">'[1]FY26 MYP-Multisite'!#REF!</definedName>
    <definedName name="_vena_MultiSiteS1_MultiSiteB2_R_5_431662132901183489" localSheetId="3">#REF!</definedName>
    <definedName name="_vena_MultiSiteS1_MultiSiteB2_R_5_431662132901183489">#REF!</definedName>
    <definedName name="_vena_MultiSiteS1_MultiSiteB2_R_5_431662132905377793" localSheetId="4">#REF!</definedName>
    <definedName name="_vena_MultiSiteS1_MultiSiteB2_R_5_431662132905377793" localSheetId="5">#REF!</definedName>
    <definedName name="_vena_MultiSiteS1_MultiSiteB2_R_5_431662132905377793" localSheetId="8">'[1]FY26 MYP-Multisite'!#REF!</definedName>
    <definedName name="_vena_MultiSiteS1_MultiSiteB2_R_5_431662132905377793" localSheetId="3">#REF!</definedName>
    <definedName name="_vena_MultiSiteS1_MultiSiteB2_R_5_431662132905377793">#REF!</definedName>
    <definedName name="_vena_MultiSiteS1_MultiSiteB2_R_5_431662132909572097" localSheetId="4">#REF!</definedName>
    <definedName name="_vena_MultiSiteS1_MultiSiteB2_R_5_431662132909572097" localSheetId="5">#REF!</definedName>
    <definedName name="_vena_MultiSiteS1_MultiSiteB2_R_5_431662132909572097" localSheetId="8">'[1]FY26 MYP-Multisite'!#REF!</definedName>
    <definedName name="_vena_MultiSiteS1_MultiSiteB2_R_5_431662132909572097" localSheetId="3">#REF!</definedName>
    <definedName name="_vena_MultiSiteS1_MultiSiteB2_R_5_431662132909572097">#REF!</definedName>
    <definedName name="_vena_MultiSiteS1_MultiSiteB2_R_5_431662132913766401" localSheetId="4">#REF!</definedName>
    <definedName name="_vena_MultiSiteS1_MultiSiteB2_R_5_431662132913766401" localSheetId="5">#REF!</definedName>
    <definedName name="_vena_MultiSiteS1_MultiSiteB2_R_5_431662132913766401" localSheetId="8">'[1]FY26 MYP-Multisite'!#REF!</definedName>
    <definedName name="_vena_MultiSiteS1_MultiSiteB2_R_5_431662132913766401" localSheetId="3">#REF!</definedName>
    <definedName name="_vena_MultiSiteS1_MultiSiteB2_R_5_431662132913766401">#REF!</definedName>
    <definedName name="_vena_MultiSiteS1_MultiSiteB2_R_5_431662132922155008" localSheetId="4">#REF!</definedName>
    <definedName name="_vena_MultiSiteS1_MultiSiteB2_R_5_431662132922155008" localSheetId="5">#REF!</definedName>
    <definedName name="_vena_MultiSiteS1_MultiSiteB2_R_5_431662132922155008" localSheetId="8">'[1]FY26 MYP-Multisite'!#REF!</definedName>
    <definedName name="_vena_MultiSiteS1_MultiSiteB2_R_5_431662132922155008" localSheetId="3">#REF!</definedName>
    <definedName name="_vena_MultiSiteS1_MultiSiteB2_R_5_431662132922155008">#REF!</definedName>
    <definedName name="_vena_MultiSiteS1_MultiSiteB2_R_5_431662132926349313" localSheetId="4">#REF!</definedName>
    <definedName name="_vena_MultiSiteS1_MultiSiteB2_R_5_431662132926349313" localSheetId="5">#REF!</definedName>
    <definedName name="_vena_MultiSiteS1_MultiSiteB2_R_5_431662132926349313" localSheetId="8">'[1]FY26 MYP-Multisite'!#REF!</definedName>
    <definedName name="_vena_MultiSiteS1_MultiSiteB2_R_5_431662132926349313" localSheetId="3">#REF!</definedName>
    <definedName name="_vena_MultiSiteS1_MultiSiteB2_R_5_431662132926349313">#REF!</definedName>
    <definedName name="_vena_MultiSiteS1_MultiSiteB2_R_5_431662132930543617" localSheetId="4">#REF!</definedName>
    <definedName name="_vena_MultiSiteS1_MultiSiteB2_R_5_431662132930543617" localSheetId="5">#REF!</definedName>
    <definedName name="_vena_MultiSiteS1_MultiSiteB2_R_5_431662132930543617" localSheetId="8">'[1]FY26 MYP-Multisite'!#REF!</definedName>
    <definedName name="_vena_MultiSiteS1_MultiSiteB2_R_5_431662132930543617" localSheetId="3">#REF!</definedName>
    <definedName name="_vena_MultiSiteS1_MultiSiteB2_R_5_431662132930543617">#REF!</definedName>
    <definedName name="_vena_MultiSiteS1_MultiSiteB2_R_5_431662132934737921" localSheetId="4">#REF!</definedName>
    <definedName name="_vena_MultiSiteS1_MultiSiteB2_R_5_431662132934737921" localSheetId="5">#REF!</definedName>
    <definedName name="_vena_MultiSiteS1_MultiSiteB2_R_5_431662132934737921" localSheetId="8">'[1]FY26 MYP-Multisite'!#REF!</definedName>
    <definedName name="_vena_MultiSiteS1_MultiSiteB2_R_5_431662132934737921" localSheetId="3">#REF!</definedName>
    <definedName name="_vena_MultiSiteS1_MultiSiteB2_R_5_431662132934737921">#REF!</definedName>
    <definedName name="_vena_MultiSiteS1_MultiSiteB2_R_5_431662132938932225" localSheetId="4">#REF!</definedName>
    <definedName name="_vena_MultiSiteS1_MultiSiteB2_R_5_431662132938932225" localSheetId="5">#REF!</definedName>
    <definedName name="_vena_MultiSiteS1_MultiSiteB2_R_5_431662132938932225" localSheetId="8">'[1]FY26 MYP-Multisite'!#REF!</definedName>
    <definedName name="_vena_MultiSiteS1_MultiSiteB2_R_5_431662132938932225" localSheetId="3">#REF!</definedName>
    <definedName name="_vena_MultiSiteS1_MultiSiteB2_R_5_431662132938932225">#REF!</definedName>
    <definedName name="_vena_MultiSiteS1_MultiSiteB2_R_5_431662132947320833" localSheetId="4">#REF!</definedName>
    <definedName name="_vena_MultiSiteS1_MultiSiteB2_R_5_431662132947320833" localSheetId="5">#REF!</definedName>
    <definedName name="_vena_MultiSiteS1_MultiSiteB2_R_5_431662132947320833" localSheetId="8">'[1]FY26 MYP-Multisite'!#REF!</definedName>
    <definedName name="_vena_MultiSiteS1_MultiSiteB2_R_5_431662132947320833" localSheetId="3">#REF!</definedName>
    <definedName name="_vena_MultiSiteS1_MultiSiteB2_R_5_431662132947320833">#REF!</definedName>
    <definedName name="_vena_MultiSiteS1_MultiSiteB2_R_5_431662132951515137" localSheetId="4">#REF!</definedName>
    <definedName name="_vena_MultiSiteS1_MultiSiteB2_R_5_431662132951515137" localSheetId="5">#REF!</definedName>
    <definedName name="_vena_MultiSiteS1_MultiSiteB2_R_5_431662132951515137" localSheetId="8">'[1]FY26 MYP-Multisite'!#REF!</definedName>
    <definedName name="_vena_MultiSiteS1_MultiSiteB2_R_5_431662132951515137" localSheetId="3">#REF!</definedName>
    <definedName name="_vena_MultiSiteS1_MultiSiteB2_R_5_431662132951515137">#REF!</definedName>
    <definedName name="_vena_MultiSiteS1_MultiSiteB2_R_5_431662132955709441" localSheetId="4">#REF!</definedName>
    <definedName name="_vena_MultiSiteS1_MultiSiteB2_R_5_431662132955709441" localSheetId="5">#REF!</definedName>
    <definedName name="_vena_MultiSiteS1_MultiSiteB2_R_5_431662132955709441" localSheetId="8">'[1]FY26 MYP-Multisite'!#REF!</definedName>
    <definedName name="_vena_MultiSiteS1_MultiSiteB2_R_5_431662132955709441" localSheetId="3">#REF!</definedName>
    <definedName name="_vena_MultiSiteS1_MultiSiteB2_R_5_431662132955709441">#REF!</definedName>
    <definedName name="_vena_MultiSiteS1_MultiSiteB2_R_5_431662132959903745" localSheetId="4">#REF!</definedName>
    <definedName name="_vena_MultiSiteS1_MultiSiteB2_R_5_431662132959903745" localSheetId="5">#REF!</definedName>
    <definedName name="_vena_MultiSiteS1_MultiSiteB2_R_5_431662132959903745" localSheetId="8">'[1]FY26 MYP-Multisite'!#REF!</definedName>
    <definedName name="_vena_MultiSiteS1_MultiSiteB2_R_5_431662132959903745" localSheetId="3">#REF!</definedName>
    <definedName name="_vena_MultiSiteS1_MultiSiteB2_R_5_431662132959903745">#REF!</definedName>
    <definedName name="_vena_MultiSiteS1_MultiSiteB2_R_5_431662132968292353" localSheetId="4">#REF!</definedName>
    <definedName name="_vena_MultiSiteS1_MultiSiteB2_R_5_431662132968292353" localSheetId="5">#REF!</definedName>
    <definedName name="_vena_MultiSiteS1_MultiSiteB2_R_5_431662132968292353" localSheetId="8">'[1]FY26 MYP-Multisite'!#REF!</definedName>
    <definedName name="_vena_MultiSiteS1_MultiSiteB2_R_5_431662132968292353" localSheetId="3">#REF!</definedName>
    <definedName name="_vena_MultiSiteS1_MultiSiteB2_R_5_431662132968292353">#REF!</definedName>
    <definedName name="_vena_MultiSiteS1_MultiSiteB2_R_5_431662132976680961" localSheetId="4">#REF!</definedName>
    <definedName name="_vena_MultiSiteS1_MultiSiteB2_R_5_431662132976680961" localSheetId="5">#REF!</definedName>
    <definedName name="_vena_MultiSiteS1_MultiSiteB2_R_5_431662132976680961" localSheetId="8">'[1]FY26 MYP-Multisite'!#REF!</definedName>
    <definedName name="_vena_MultiSiteS1_MultiSiteB2_R_5_431662132976680961" localSheetId="3">#REF!</definedName>
    <definedName name="_vena_MultiSiteS1_MultiSiteB2_R_5_431662132976680961">#REF!</definedName>
    <definedName name="_vena_MultiSiteS1_MultiSiteB2_R_5_431662132985069569" localSheetId="4">#REF!</definedName>
    <definedName name="_vena_MultiSiteS1_MultiSiteB2_R_5_431662132985069569" localSheetId="5">#REF!</definedName>
    <definedName name="_vena_MultiSiteS1_MultiSiteB2_R_5_431662132985069569" localSheetId="8">'[1]FY26 MYP-Multisite'!#REF!</definedName>
    <definedName name="_vena_MultiSiteS1_MultiSiteB2_R_5_431662132985069569" localSheetId="3">#REF!</definedName>
    <definedName name="_vena_MultiSiteS1_MultiSiteB2_R_5_431662132985069569">#REF!</definedName>
    <definedName name="_vena_MultiSiteS1_MultiSiteB2_R_5_431662133001846784" localSheetId="4">#REF!</definedName>
    <definedName name="_vena_MultiSiteS1_MultiSiteB2_R_5_431662133001846784" localSheetId="5">#REF!</definedName>
    <definedName name="_vena_MultiSiteS1_MultiSiteB2_R_5_431662133001846784" localSheetId="8">'[1]FY26 MYP-Multisite'!#REF!</definedName>
    <definedName name="_vena_MultiSiteS1_MultiSiteB2_R_5_431662133001846784" localSheetId="3">#REF!</definedName>
    <definedName name="_vena_MultiSiteS1_MultiSiteB2_R_5_431662133001846784">#REF!</definedName>
    <definedName name="_vena_MultiSiteS1_MultiSiteB2_R_5_431662133006041089" localSheetId="4">#REF!</definedName>
    <definedName name="_vena_MultiSiteS1_MultiSiteB2_R_5_431662133006041089" localSheetId="5">#REF!</definedName>
    <definedName name="_vena_MultiSiteS1_MultiSiteB2_R_5_431662133006041089" localSheetId="8">'[1]FY26 MYP-Multisite'!#REF!</definedName>
    <definedName name="_vena_MultiSiteS1_MultiSiteB2_R_5_431662133006041089" localSheetId="3">#REF!</definedName>
    <definedName name="_vena_MultiSiteS1_MultiSiteB2_R_5_431662133006041089">#REF!</definedName>
    <definedName name="_vena_MultiSiteS1_MultiSiteB2_R_5_431662133014429697" localSheetId="4">#REF!</definedName>
    <definedName name="_vena_MultiSiteS1_MultiSiteB2_R_5_431662133014429697" localSheetId="5">#REF!</definedName>
    <definedName name="_vena_MultiSiteS1_MultiSiteB2_R_5_431662133014429697" localSheetId="8">'[1]FY26 MYP-Multisite'!#REF!</definedName>
    <definedName name="_vena_MultiSiteS1_MultiSiteB2_R_5_431662133014429697" localSheetId="3">#REF!</definedName>
    <definedName name="_vena_MultiSiteS1_MultiSiteB2_R_5_431662133014429697">#REF!</definedName>
    <definedName name="_vena_MultiSiteS1_MultiSiteB2_R_5_431662133018624001" localSheetId="4">#REF!</definedName>
    <definedName name="_vena_MultiSiteS1_MultiSiteB2_R_5_431662133018624001" localSheetId="5">#REF!</definedName>
    <definedName name="_vena_MultiSiteS1_MultiSiteB2_R_5_431662133018624001" localSheetId="8">'[1]FY26 MYP-Multisite'!#REF!</definedName>
    <definedName name="_vena_MultiSiteS1_MultiSiteB2_R_5_431662133018624001" localSheetId="3">#REF!</definedName>
    <definedName name="_vena_MultiSiteS1_MultiSiteB2_R_5_431662133018624001">#REF!</definedName>
    <definedName name="_vena_MultiSiteS1_MultiSiteB2_R_5_431662133022818305" localSheetId="4">#REF!</definedName>
    <definedName name="_vena_MultiSiteS1_MultiSiteB2_R_5_431662133022818305" localSheetId="5">#REF!</definedName>
    <definedName name="_vena_MultiSiteS1_MultiSiteB2_R_5_431662133022818305" localSheetId="8">'[1]FY26 MYP-Multisite'!#REF!</definedName>
    <definedName name="_vena_MultiSiteS1_MultiSiteB2_R_5_431662133022818305" localSheetId="3">#REF!</definedName>
    <definedName name="_vena_MultiSiteS1_MultiSiteB2_R_5_431662133022818305">#REF!</definedName>
    <definedName name="_vena_MultiSiteS1_MultiSiteB2_R_5_431662133031206913" localSheetId="4">#REF!</definedName>
    <definedName name="_vena_MultiSiteS1_MultiSiteB2_R_5_431662133031206913" localSheetId="5">#REF!</definedName>
    <definedName name="_vena_MultiSiteS1_MultiSiteB2_R_5_431662133031206913" localSheetId="8">'[1]FY26 MYP-Multisite'!#REF!</definedName>
    <definedName name="_vena_MultiSiteS1_MultiSiteB2_R_5_431662133031206913" localSheetId="3">#REF!</definedName>
    <definedName name="_vena_MultiSiteS1_MultiSiteB2_R_5_431662133031206913">#REF!</definedName>
    <definedName name="_vena_MultiSiteS1_MultiSiteB2_R_5_431662133035401217" localSheetId="4">#REF!</definedName>
    <definedName name="_vena_MultiSiteS1_MultiSiteB2_R_5_431662133035401217" localSheetId="5">#REF!</definedName>
    <definedName name="_vena_MultiSiteS1_MultiSiteB2_R_5_431662133035401217" localSheetId="8">'[1]FY26 MYP-Multisite'!#REF!</definedName>
    <definedName name="_vena_MultiSiteS1_MultiSiteB2_R_5_431662133035401217" localSheetId="3">#REF!</definedName>
    <definedName name="_vena_MultiSiteS1_MultiSiteB2_R_5_431662133035401217">#REF!</definedName>
    <definedName name="_vena_MultiSiteS1_MultiSiteB2_R_5_431662133039595521" localSheetId="4">#REF!</definedName>
    <definedName name="_vena_MultiSiteS1_MultiSiteB2_R_5_431662133039595521" localSheetId="5">#REF!</definedName>
    <definedName name="_vena_MultiSiteS1_MultiSiteB2_R_5_431662133039595521" localSheetId="8">'[1]FY26 MYP-Multisite'!#REF!</definedName>
    <definedName name="_vena_MultiSiteS1_MultiSiteB2_R_5_431662133039595521" localSheetId="3">#REF!</definedName>
    <definedName name="_vena_MultiSiteS1_MultiSiteB2_R_5_431662133039595521">#REF!</definedName>
    <definedName name="_vena_MultiSiteS1_MultiSiteB2_R_5_431662133043789825" localSheetId="4">#REF!</definedName>
    <definedName name="_vena_MultiSiteS1_MultiSiteB2_R_5_431662133043789825" localSheetId="5">#REF!</definedName>
    <definedName name="_vena_MultiSiteS1_MultiSiteB2_R_5_431662133043789825" localSheetId="8">'[1]FY26 MYP-Multisite'!#REF!</definedName>
    <definedName name="_vena_MultiSiteS1_MultiSiteB2_R_5_431662133043789825" localSheetId="3">#REF!</definedName>
    <definedName name="_vena_MultiSiteS1_MultiSiteB2_R_5_431662133043789825">#REF!</definedName>
    <definedName name="_vena_MultiSiteS1_MultiSiteB2_R_5_431662133047984129" localSheetId="4">#REF!</definedName>
    <definedName name="_vena_MultiSiteS1_MultiSiteB2_R_5_431662133047984129" localSheetId="5">#REF!</definedName>
    <definedName name="_vena_MultiSiteS1_MultiSiteB2_R_5_431662133047984129" localSheetId="8">'[1]FY26 MYP-Multisite'!#REF!</definedName>
    <definedName name="_vena_MultiSiteS1_MultiSiteB2_R_5_431662133047984129" localSheetId="3">#REF!</definedName>
    <definedName name="_vena_MultiSiteS1_MultiSiteB2_R_5_431662133047984129">#REF!</definedName>
    <definedName name="_vena_MultiSiteS1_MultiSiteB2_R_5_431662133052178433" localSheetId="4">#REF!</definedName>
    <definedName name="_vena_MultiSiteS1_MultiSiteB2_R_5_431662133052178433" localSheetId="5">#REF!</definedName>
    <definedName name="_vena_MultiSiteS1_MultiSiteB2_R_5_431662133052178433" localSheetId="8">'[1]FY26 MYP-Multisite'!#REF!</definedName>
    <definedName name="_vena_MultiSiteS1_MultiSiteB2_R_5_431662133052178433" localSheetId="3">#REF!</definedName>
    <definedName name="_vena_MultiSiteS1_MultiSiteB2_R_5_431662133052178433">#REF!</definedName>
    <definedName name="_vena_MultiSiteS1_MultiSiteB2_R_5_431662133056372737" localSheetId="4">#REF!</definedName>
    <definedName name="_vena_MultiSiteS1_MultiSiteB2_R_5_431662133056372737" localSheetId="5">#REF!</definedName>
    <definedName name="_vena_MultiSiteS1_MultiSiteB2_R_5_431662133056372737" localSheetId="8">'[1]FY26 MYP-Multisite'!#REF!</definedName>
    <definedName name="_vena_MultiSiteS1_MultiSiteB2_R_5_431662133056372737" localSheetId="3">#REF!</definedName>
    <definedName name="_vena_MultiSiteS1_MultiSiteB2_R_5_431662133056372737">#REF!</definedName>
    <definedName name="_vena_MultiSiteS1_MultiSiteB2_R_5_431662133064761344" localSheetId="4">#REF!</definedName>
    <definedName name="_vena_MultiSiteS1_MultiSiteB2_R_5_431662133064761344" localSheetId="5">#REF!</definedName>
    <definedName name="_vena_MultiSiteS1_MultiSiteB2_R_5_431662133064761344" localSheetId="8">'[1]FY26 MYP-Multisite'!#REF!</definedName>
    <definedName name="_vena_MultiSiteS1_MultiSiteB2_R_5_431662133064761344" localSheetId="3">#REF!</definedName>
    <definedName name="_vena_MultiSiteS1_MultiSiteB2_R_5_431662133064761344">#REF!</definedName>
    <definedName name="_vena_MultiSiteS1_MultiSiteB2_R_5_431662133068955649" localSheetId="4">#REF!</definedName>
    <definedName name="_vena_MultiSiteS1_MultiSiteB2_R_5_431662133068955649" localSheetId="5">#REF!</definedName>
    <definedName name="_vena_MultiSiteS1_MultiSiteB2_R_5_431662133068955649" localSheetId="8">'[1]FY26 MYP-Multisite'!#REF!</definedName>
    <definedName name="_vena_MultiSiteS1_MultiSiteB2_R_5_431662133068955649" localSheetId="3">#REF!</definedName>
    <definedName name="_vena_MultiSiteS1_MultiSiteB2_R_5_431662133068955649">#REF!</definedName>
    <definedName name="_vena_MultiSiteS1_MultiSiteB2_R_5_431662133073149953" localSheetId="4">#REF!</definedName>
    <definedName name="_vena_MultiSiteS1_MultiSiteB2_R_5_431662133073149953" localSheetId="5">#REF!</definedName>
    <definedName name="_vena_MultiSiteS1_MultiSiteB2_R_5_431662133073149953" localSheetId="8">'[1]FY26 MYP-Multisite'!#REF!</definedName>
    <definedName name="_vena_MultiSiteS1_MultiSiteB2_R_5_431662133073149953" localSheetId="3">#REF!</definedName>
    <definedName name="_vena_MultiSiteS1_MultiSiteB2_R_5_431662133073149953">#REF!</definedName>
    <definedName name="_vena_MultiSiteS1_MultiSiteB2_R_5_431662133077344257" localSheetId="4">#REF!</definedName>
    <definedName name="_vena_MultiSiteS1_MultiSiteB2_R_5_431662133077344257" localSheetId="5">#REF!</definedName>
    <definedName name="_vena_MultiSiteS1_MultiSiteB2_R_5_431662133077344257" localSheetId="8">'[1]FY26 MYP-Multisite'!#REF!</definedName>
    <definedName name="_vena_MultiSiteS1_MultiSiteB2_R_5_431662133077344257" localSheetId="3">#REF!</definedName>
    <definedName name="_vena_MultiSiteS1_MultiSiteB2_R_5_431662133077344257">#REF!</definedName>
    <definedName name="_vena_MultiSiteS1_MultiSiteB2_R_5_431662133081538561" localSheetId="4">#REF!</definedName>
    <definedName name="_vena_MultiSiteS1_MultiSiteB2_R_5_431662133081538561" localSheetId="5">#REF!</definedName>
    <definedName name="_vena_MultiSiteS1_MultiSiteB2_R_5_431662133081538561" localSheetId="8">'[1]FY26 MYP-Multisite'!#REF!</definedName>
    <definedName name="_vena_MultiSiteS1_MultiSiteB2_R_5_431662133081538561" localSheetId="3">#REF!</definedName>
    <definedName name="_vena_MultiSiteS1_MultiSiteB2_R_5_431662133081538561">#REF!</definedName>
    <definedName name="_vena_MultiSiteS1_MultiSiteB2_R_5_431662133085732865" localSheetId="4">#REF!</definedName>
    <definedName name="_vena_MultiSiteS1_MultiSiteB2_R_5_431662133085732865" localSheetId="5">#REF!</definedName>
    <definedName name="_vena_MultiSiteS1_MultiSiteB2_R_5_431662133085732865" localSheetId="8">'[1]FY26 MYP-Multisite'!#REF!</definedName>
    <definedName name="_vena_MultiSiteS1_MultiSiteB2_R_5_431662133085732865" localSheetId="3">#REF!</definedName>
    <definedName name="_vena_MultiSiteS1_MultiSiteB2_R_5_431662133085732865">#REF!</definedName>
    <definedName name="_vena_MultiSiteS1_MultiSiteB2_R_5_431662133089927169" localSheetId="4">#REF!</definedName>
    <definedName name="_vena_MultiSiteS1_MultiSiteB2_R_5_431662133089927169" localSheetId="5">#REF!</definedName>
    <definedName name="_vena_MultiSiteS1_MultiSiteB2_R_5_431662133089927169" localSheetId="8">'[1]FY26 MYP-Multisite'!#REF!</definedName>
    <definedName name="_vena_MultiSiteS1_MultiSiteB2_R_5_431662133089927169" localSheetId="3">#REF!</definedName>
    <definedName name="_vena_MultiSiteS1_MultiSiteB2_R_5_431662133089927169">#REF!</definedName>
    <definedName name="_vena_MultiSiteS1_MultiSiteB2_R_5_431662133098315777" localSheetId="4">#REF!</definedName>
    <definedName name="_vena_MultiSiteS1_MultiSiteB2_R_5_431662133098315777" localSheetId="5">#REF!</definedName>
    <definedName name="_vena_MultiSiteS1_MultiSiteB2_R_5_431662133098315777" localSheetId="8">'[1]FY26 MYP-Multisite'!#REF!</definedName>
    <definedName name="_vena_MultiSiteS1_MultiSiteB2_R_5_431662133098315777" localSheetId="3">#REF!</definedName>
    <definedName name="_vena_MultiSiteS1_MultiSiteB2_R_5_431662133098315777">#REF!</definedName>
    <definedName name="_vena_MultiSiteS1_MultiSiteB2_R_5_431662133102510081" localSheetId="4">#REF!</definedName>
    <definedName name="_vena_MultiSiteS1_MultiSiteB2_R_5_431662133102510081" localSheetId="5">#REF!</definedName>
    <definedName name="_vena_MultiSiteS1_MultiSiteB2_R_5_431662133102510081" localSheetId="8">'[1]FY26 MYP-Multisite'!#REF!</definedName>
    <definedName name="_vena_MultiSiteS1_MultiSiteB2_R_5_431662133102510081" localSheetId="3">#REF!</definedName>
    <definedName name="_vena_MultiSiteS1_MultiSiteB2_R_5_431662133102510081">#REF!</definedName>
    <definedName name="_vena_MultiSiteS1_MultiSiteB2_R_5_431662133106704385" localSheetId="4">#REF!</definedName>
    <definedName name="_vena_MultiSiteS1_MultiSiteB2_R_5_431662133106704385" localSheetId="5">#REF!</definedName>
    <definedName name="_vena_MultiSiteS1_MultiSiteB2_R_5_431662133106704385" localSheetId="8">'[1]FY26 MYP-Multisite'!#REF!</definedName>
    <definedName name="_vena_MultiSiteS1_MultiSiteB2_R_5_431662133106704385" localSheetId="3">#REF!</definedName>
    <definedName name="_vena_MultiSiteS1_MultiSiteB2_R_5_431662133106704385">#REF!</definedName>
    <definedName name="_vena_MultiSiteS1_MultiSiteB2_R_5_431662133110898689" localSheetId="4">#REF!</definedName>
    <definedName name="_vena_MultiSiteS1_MultiSiteB2_R_5_431662133110898689" localSheetId="5">#REF!</definedName>
    <definedName name="_vena_MultiSiteS1_MultiSiteB2_R_5_431662133110898689" localSheetId="8">'[1]FY26 MYP-Multisite'!#REF!</definedName>
    <definedName name="_vena_MultiSiteS1_MultiSiteB2_R_5_431662133110898689" localSheetId="3">#REF!</definedName>
    <definedName name="_vena_MultiSiteS1_MultiSiteB2_R_5_431662133110898689">#REF!</definedName>
    <definedName name="_vena_MultiSiteS1_MultiSiteB2_R_5_431662133115092993" localSheetId="4">#REF!</definedName>
    <definedName name="_vena_MultiSiteS1_MultiSiteB2_R_5_431662133115092993" localSheetId="5">#REF!</definedName>
    <definedName name="_vena_MultiSiteS1_MultiSiteB2_R_5_431662133115092993" localSheetId="8">'[1]FY26 MYP-Multisite'!#REF!</definedName>
    <definedName name="_vena_MultiSiteS1_MultiSiteB2_R_5_431662133115092993" localSheetId="3">#REF!</definedName>
    <definedName name="_vena_MultiSiteS1_MultiSiteB2_R_5_431662133115092993">#REF!</definedName>
    <definedName name="_vena_MultiSiteS1_MultiSiteB2_R_5_431662133119287297" localSheetId="4">#REF!</definedName>
    <definedName name="_vena_MultiSiteS1_MultiSiteB2_R_5_431662133119287297" localSheetId="5">#REF!</definedName>
    <definedName name="_vena_MultiSiteS1_MultiSiteB2_R_5_431662133119287297" localSheetId="8">'[1]FY26 MYP-Multisite'!#REF!</definedName>
    <definedName name="_vena_MultiSiteS1_MultiSiteB2_R_5_431662133119287297" localSheetId="3">#REF!</definedName>
    <definedName name="_vena_MultiSiteS1_MultiSiteB2_R_5_431662133119287297">#REF!</definedName>
    <definedName name="_vena_MultiSiteS1_MultiSiteB2_R_5_431662133123481601" localSheetId="4">#REF!</definedName>
    <definedName name="_vena_MultiSiteS1_MultiSiteB2_R_5_431662133123481601" localSheetId="5">#REF!</definedName>
    <definedName name="_vena_MultiSiteS1_MultiSiteB2_R_5_431662133123481601" localSheetId="8">'[1]FY26 MYP-Multisite'!#REF!</definedName>
    <definedName name="_vena_MultiSiteS1_MultiSiteB2_R_5_431662133123481601" localSheetId="3">#REF!</definedName>
    <definedName name="_vena_MultiSiteS1_MultiSiteB2_R_5_431662133123481601">#REF!</definedName>
    <definedName name="_vena_MultiSiteS1_MultiSiteB2_R_5_431662133131870208" localSheetId="4">#REF!</definedName>
    <definedName name="_vena_MultiSiteS1_MultiSiteB2_R_5_431662133131870208" localSheetId="5">#REF!</definedName>
    <definedName name="_vena_MultiSiteS1_MultiSiteB2_R_5_431662133131870208" localSheetId="8">'[1]FY26 MYP-Multisite'!#REF!</definedName>
    <definedName name="_vena_MultiSiteS1_MultiSiteB2_R_5_431662133131870208" localSheetId="3">#REF!</definedName>
    <definedName name="_vena_MultiSiteS1_MultiSiteB2_R_5_431662133131870208">#REF!</definedName>
    <definedName name="_vena_MultiSiteS1_MultiSiteB2_R_5_431662133136064513" localSheetId="4">#REF!</definedName>
    <definedName name="_vena_MultiSiteS1_MultiSiteB2_R_5_431662133136064513" localSheetId="5">#REF!</definedName>
    <definedName name="_vena_MultiSiteS1_MultiSiteB2_R_5_431662133136064513" localSheetId="8">'[1]FY26 MYP-Multisite'!#REF!</definedName>
    <definedName name="_vena_MultiSiteS1_MultiSiteB2_R_5_431662133136064513" localSheetId="3">#REF!</definedName>
    <definedName name="_vena_MultiSiteS1_MultiSiteB2_R_5_431662133136064513">#REF!</definedName>
    <definedName name="_vena_MultiSiteS1_MultiSiteB2_R_5_431662133140258817" localSheetId="4">#REF!</definedName>
    <definedName name="_vena_MultiSiteS1_MultiSiteB2_R_5_431662133140258817" localSheetId="5">#REF!</definedName>
    <definedName name="_vena_MultiSiteS1_MultiSiteB2_R_5_431662133140258817" localSheetId="8">'[1]FY26 MYP-Multisite'!#REF!</definedName>
    <definedName name="_vena_MultiSiteS1_MultiSiteB2_R_5_431662133140258817" localSheetId="3">#REF!</definedName>
    <definedName name="_vena_MultiSiteS1_MultiSiteB2_R_5_431662133140258817">#REF!</definedName>
    <definedName name="_vena_MultiSiteS1_MultiSiteB2_R_5_431662133144453121" localSheetId="4">#REF!</definedName>
    <definedName name="_vena_MultiSiteS1_MultiSiteB2_R_5_431662133144453121" localSheetId="5">#REF!</definedName>
    <definedName name="_vena_MultiSiteS1_MultiSiteB2_R_5_431662133144453121" localSheetId="8">'[1]FY26 MYP-Multisite'!#REF!</definedName>
    <definedName name="_vena_MultiSiteS1_MultiSiteB2_R_5_431662133144453121" localSheetId="3">#REF!</definedName>
    <definedName name="_vena_MultiSiteS1_MultiSiteB2_R_5_431662133144453121">#REF!</definedName>
    <definedName name="_vena_MultiSiteS1_MultiSiteB2_R_5_431662133148647425" localSheetId="4">#REF!</definedName>
    <definedName name="_vena_MultiSiteS1_MultiSiteB2_R_5_431662133148647425" localSheetId="5">#REF!</definedName>
    <definedName name="_vena_MultiSiteS1_MultiSiteB2_R_5_431662133148647425" localSheetId="8">'[1]FY26 MYP-Multisite'!#REF!</definedName>
    <definedName name="_vena_MultiSiteS1_MultiSiteB2_R_5_431662133148647425" localSheetId="3">#REF!</definedName>
    <definedName name="_vena_MultiSiteS1_MultiSiteB2_R_5_431662133148647425">#REF!</definedName>
    <definedName name="_vena_MultiSiteS1_MultiSiteB2_R_5_431662133152841729" localSheetId="4">#REF!</definedName>
    <definedName name="_vena_MultiSiteS1_MultiSiteB2_R_5_431662133152841729" localSheetId="5">#REF!</definedName>
    <definedName name="_vena_MultiSiteS1_MultiSiteB2_R_5_431662133152841729" localSheetId="8">'[1]FY26 MYP-Multisite'!#REF!</definedName>
    <definedName name="_vena_MultiSiteS1_MultiSiteB2_R_5_431662133152841729" localSheetId="3">#REF!</definedName>
    <definedName name="_vena_MultiSiteS1_MultiSiteB2_R_5_431662133152841729">#REF!</definedName>
    <definedName name="_vena_MultiSiteS1_MultiSiteB2_R_5_431662133157036033" localSheetId="4">#REF!</definedName>
    <definedName name="_vena_MultiSiteS1_MultiSiteB2_R_5_431662133157036033" localSheetId="5">#REF!</definedName>
    <definedName name="_vena_MultiSiteS1_MultiSiteB2_R_5_431662133157036033" localSheetId="8">'[1]FY26 MYP-Multisite'!#REF!</definedName>
    <definedName name="_vena_MultiSiteS1_MultiSiteB2_R_5_431662133157036033" localSheetId="3">#REF!</definedName>
    <definedName name="_vena_MultiSiteS1_MultiSiteB2_R_5_431662133157036033">#REF!</definedName>
    <definedName name="_vena_MultiSiteS1_MultiSiteB2_R_5_431662133165424641" localSheetId="4">#REF!</definedName>
    <definedName name="_vena_MultiSiteS1_MultiSiteB2_R_5_431662133165424641" localSheetId="5">#REF!</definedName>
    <definedName name="_vena_MultiSiteS1_MultiSiteB2_R_5_431662133165424641" localSheetId="8">'[1]FY26 MYP-Multisite'!#REF!</definedName>
    <definedName name="_vena_MultiSiteS1_MultiSiteB2_R_5_431662133165424641" localSheetId="3">#REF!</definedName>
    <definedName name="_vena_MultiSiteS1_MultiSiteB2_R_5_431662133165424641">#REF!</definedName>
    <definedName name="_vena_MultiSiteS1_MultiSiteB2_R_5_431662133169618945" localSheetId="4">#REF!</definedName>
    <definedName name="_vena_MultiSiteS1_MultiSiteB2_R_5_431662133169618945" localSheetId="5">#REF!</definedName>
    <definedName name="_vena_MultiSiteS1_MultiSiteB2_R_5_431662133169618945" localSheetId="8">'[1]FY26 MYP-Multisite'!#REF!</definedName>
    <definedName name="_vena_MultiSiteS1_MultiSiteB2_R_5_431662133169618945" localSheetId="3">#REF!</definedName>
    <definedName name="_vena_MultiSiteS1_MultiSiteB2_R_5_431662133169618945">#REF!</definedName>
    <definedName name="_vena_MultiSiteS1_MultiSiteB2_R_5_431662133173813249" localSheetId="4">#REF!</definedName>
    <definedName name="_vena_MultiSiteS1_MultiSiteB2_R_5_431662133173813249" localSheetId="5">#REF!</definedName>
    <definedName name="_vena_MultiSiteS1_MultiSiteB2_R_5_431662133173813249" localSheetId="8">'[1]FY26 MYP-Multisite'!#REF!</definedName>
    <definedName name="_vena_MultiSiteS1_MultiSiteB2_R_5_431662133173813249" localSheetId="3">#REF!</definedName>
    <definedName name="_vena_MultiSiteS1_MultiSiteB2_R_5_431662133173813249">#REF!</definedName>
    <definedName name="_vena_MultiSiteS1_MultiSiteB2_R_5_431662133178007553" localSheetId="4">#REF!</definedName>
    <definedName name="_vena_MultiSiteS1_MultiSiteB2_R_5_431662133178007553" localSheetId="5">#REF!</definedName>
    <definedName name="_vena_MultiSiteS1_MultiSiteB2_R_5_431662133178007553" localSheetId="8">'[1]FY26 MYP-Multisite'!#REF!</definedName>
    <definedName name="_vena_MultiSiteS1_MultiSiteB2_R_5_431662133178007553" localSheetId="3">#REF!</definedName>
    <definedName name="_vena_MultiSiteS1_MultiSiteB2_R_5_431662133178007553">#REF!</definedName>
    <definedName name="_vena_MultiSiteS1_MultiSiteB2_R_5_431662133182201857" localSheetId="4">#REF!</definedName>
    <definedName name="_vena_MultiSiteS1_MultiSiteB2_R_5_431662133182201857" localSheetId="5">#REF!</definedName>
    <definedName name="_vena_MultiSiteS1_MultiSiteB2_R_5_431662133182201857" localSheetId="8">'[1]FY26 MYP-Multisite'!#REF!</definedName>
    <definedName name="_vena_MultiSiteS1_MultiSiteB2_R_5_431662133182201857" localSheetId="3">#REF!</definedName>
    <definedName name="_vena_MultiSiteS1_MultiSiteB2_R_5_431662133182201857">#REF!</definedName>
    <definedName name="_vena_MultiSiteS1_MultiSiteB2_R_5_431662133186396161" localSheetId="4">#REF!</definedName>
    <definedName name="_vena_MultiSiteS1_MultiSiteB2_R_5_431662133186396161" localSheetId="5">#REF!</definedName>
    <definedName name="_vena_MultiSiteS1_MultiSiteB2_R_5_431662133186396161" localSheetId="8">'[1]FY26 MYP-Multisite'!#REF!</definedName>
    <definedName name="_vena_MultiSiteS1_MultiSiteB2_R_5_431662133186396161" localSheetId="3">#REF!</definedName>
    <definedName name="_vena_MultiSiteS1_MultiSiteB2_R_5_431662133186396161">#REF!</definedName>
    <definedName name="_vena_MultiSiteS1_MultiSiteB2_R_5_431662133194784769" localSheetId="4">#REF!</definedName>
    <definedName name="_vena_MultiSiteS1_MultiSiteB2_R_5_431662133194784769" localSheetId="5">#REF!</definedName>
    <definedName name="_vena_MultiSiteS1_MultiSiteB2_R_5_431662133194784769" localSheetId="8">'[1]FY26 MYP-Multisite'!#REF!</definedName>
    <definedName name="_vena_MultiSiteS1_MultiSiteB2_R_5_431662133194784769" localSheetId="3">#REF!</definedName>
    <definedName name="_vena_MultiSiteS1_MultiSiteB2_R_5_431662133194784769">#REF!</definedName>
    <definedName name="_vena_MultiSiteS1_MultiSiteB2_R_5_431662133198979073" localSheetId="4">#REF!</definedName>
    <definedName name="_vena_MultiSiteS1_MultiSiteB2_R_5_431662133198979073" localSheetId="5">#REF!</definedName>
    <definedName name="_vena_MultiSiteS1_MultiSiteB2_R_5_431662133198979073" localSheetId="8">'[1]FY26 MYP-Multisite'!#REF!</definedName>
    <definedName name="_vena_MultiSiteS1_MultiSiteB2_R_5_431662133198979073" localSheetId="3">#REF!</definedName>
    <definedName name="_vena_MultiSiteS1_MultiSiteB2_R_5_431662133198979073">#REF!</definedName>
    <definedName name="_vena_MultiSiteS1_MultiSiteB2_R_5_431662133203173377" localSheetId="4">#REF!</definedName>
    <definedName name="_vena_MultiSiteS1_MultiSiteB2_R_5_431662133203173377" localSheetId="5">#REF!</definedName>
    <definedName name="_vena_MultiSiteS1_MultiSiteB2_R_5_431662133203173377" localSheetId="8">'[1]FY26 MYP-Multisite'!#REF!</definedName>
    <definedName name="_vena_MultiSiteS1_MultiSiteB2_R_5_431662133203173377" localSheetId="3">#REF!</definedName>
    <definedName name="_vena_MultiSiteS1_MultiSiteB2_R_5_431662133203173377">#REF!</definedName>
    <definedName name="_vena_MultiSiteS1_MultiSiteB2_R_5_431662133207367681" localSheetId="4">#REF!</definedName>
    <definedName name="_vena_MultiSiteS1_MultiSiteB2_R_5_431662133207367681" localSheetId="5">#REF!</definedName>
    <definedName name="_vena_MultiSiteS1_MultiSiteB2_R_5_431662133207367681" localSheetId="8">'[1]FY26 MYP-Multisite'!#REF!</definedName>
    <definedName name="_vena_MultiSiteS1_MultiSiteB2_R_5_431662133207367681" localSheetId="3">#REF!</definedName>
    <definedName name="_vena_MultiSiteS1_MultiSiteB2_R_5_431662133207367681">#REF!</definedName>
    <definedName name="_vena_MultiSiteS1_MultiSiteB2_R_5_431662133211561985" localSheetId="4">#REF!</definedName>
    <definedName name="_vena_MultiSiteS1_MultiSiteB2_R_5_431662133211561985" localSheetId="5">#REF!</definedName>
    <definedName name="_vena_MultiSiteS1_MultiSiteB2_R_5_431662133211561985" localSheetId="8">'[1]FY26 MYP-Multisite'!#REF!</definedName>
    <definedName name="_vena_MultiSiteS1_MultiSiteB2_R_5_431662133211561985" localSheetId="3">#REF!</definedName>
    <definedName name="_vena_MultiSiteS1_MultiSiteB2_R_5_431662133211561985">#REF!</definedName>
    <definedName name="_vena_MultiSiteS1_MultiSiteB2_R_5_431662133219950592" localSheetId="4">#REF!</definedName>
    <definedName name="_vena_MultiSiteS1_MultiSiteB2_R_5_431662133219950592" localSheetId="5">#REF!</definedName>
    <definedName name="_vena_MultiSiteS1_MultiSiteB2_R_5_431662133219950592" localSheetId="8">'[1]FY26 MYP-Multisite'!#REF!</definedName>
    <definedName name="_vena_MultiSiteS1_MultiSiteB2_R_5_431662133219950592" localSheetId="3">#REF!</definedName>
    <definedName name="_vena_MultiSiteS1_MultiSiteB2_R_5_431662133219950592">#REF!</definedName>
    <definedName name="_vena_MultiSiteS1_MultiSiteB2_R_5_431662133224144897" localSheetId="4">#REF!</definedName>
    <definedName name="_vena_MultiSiteS1_MultiSiteB2_R_5_431662133224144897" localSheetId="5">#REF!</definedName>
    <definedName name="_vena_MultiSiteS1_MultiSiteB2_R_5_431662133224144897" localSheetId="8">'[1]FY26 MYP-Multisite'!#REF!</definedName>
    <definedName name="_vena_MultiSiteS1_MultiSiteB2_R_5_431662133224144897" localSheetId="3">#REF!</definedName>
    <definedName name="_vena_MultiSiteS1_MultiSiteB2_R_5_431662133224144897">#REF!</definedName>
    <definedName name="_vena_MultiSiteS1_MultiSiteB2_R_5_431662133228339201" localSheetId="4">#REF!</definedName>
    <definedName name="_vena_MultiSiteS1_MultiSiteB2_R_5_431662133228339201" localSheetId="5">#REF!</definedName>
    <definedName name="_vena_MultiSiteS1_MultiSiteB2_R_5_431662133228339201" localSheetId="8">'[1]FY26 MYP-Multisite'!#REF!</definedName>
    <definedName name="_vena_MultiSiteS1_MultiSiteB2_R_5_431662133228339201" localSheetId="3">#REF!</definedName>
    <definedName name="_vena_MultiSiteS1_MultiSiteB2_R_5_431662133228339201">#REF!</definedName>
    <definedName name="_vena_MultiSiteS1_MultiSiteB2_R_5_431662133232533505" localSheetId="4">#REF!</definedName>
    <definedName name="_vena_MultiSiteS1_MultiSiteB2_R_5_431662133232533505" localSheetId="5">#REF!</definedName>
    <definedName name="_vena_MultiSiteS1_MultiSiteB2_R_5_431662133232533505" localSheetId="8">'[1]FY26 MYP-Multisite'!#REF!</definedName>
    <definedName name="_vena_MultiSiteS1_MultiSiteB2_R_5_431662133232533505" localSheetId="3">#REF!</definedName>
    <definedName name="_vena_MultiSiteS1_MultiSiteB2_R_5_431662133232533505">#REF!</definedName>
    <definedName name="_vena_MultiSiteS1_MultiSiteB2_R_5_431662133236727809" localSheetId="4">#REF!</definedName>
    <definedName name="_vena_MultiSiteS1_MultiSiteB2_R_5_431662133236727809" localSheetId="5">#REF!</definedName>
    <definedName name="_vena_MultiSiteS1_MultiSiteB2_R_5_431662133236727809" localSheetId="8">'[1]FY26 MYP-Multisite'!#REF!</definedName>
    <definedName name="_vena_MultiSiteS1_MultiSiteB2_R_5_431662133236727809" localSheetId="3">#REF!</definedName>
    <definedName name="_vena_MultiSiteS1_MultiSiteB2_R_5_431662133236727809">#REF!</definedName>
    <definedName name="_vena_MultiSiteS1_MultiSiteB2_R_5_431662133240922113" localSheetId="4">#REF!</definedName>
    <definedName name="_vena_MultiSiteS1_MultiSiteB2_R_5_431662133240922113" localSheetId="5">#REF!</definedName>
    <definedName name="_vena_MultiSiteS1_MultiSiteB2_R_5_431662133240922113" localSheetId="8">'[1]FY26 MYP-Multisite'!#REF!</definedName>
    <definedName name="_vena_MultiSiteS1_MultiSiteB2_R_5_431662133240922113" localSheetId="3">#REF!</definedName>
    <definedName name="_vena_MultiSiteS1_MultiSiteB2_R_5_431662133240922113">#REF!</definedName>
    <definedName name="_vena_MultiSiteS1_MultiSiteB2_R_5_431662133245116417" localSheetId="4">#REF!</definedName>
    <definedName name="_vena_MultiSiteS1_MultiSiteB2_R_5_431662133245116417" localSheetId="5">#REF!</definedName>
    <definedName name="_vena_MultiSiteS1_MultiSiteB2_R_5_431662133245116417" localSheetId="8">'[1]FY26 MYP-Multisite'!#REF!</definedName>
    <definedName name="_vena_MultiSiteS1_MultiSiteB2_R_5_431662133245116417" localSheetId="3">#REF!</definedName>
    <definedName name="_vena_MultiSiteS1_MultiSiteB2_R_5_431662133245116417">#REF!</definedName>
    <definedName name="_vena_MultiSiteS1_MultiSiteB2_R_5_431662133249310721" localSheetId="4">#REF!</definedName>
    <definedName name="_vena_MultiSiteS1_MultiSiteB2_R_5_431662133249310721" localSheetId="5">#REF!</definedName>
    <definedName name="_vena_MultiSiteS1_MultiSiteB2_R_5_431662133249310721" localSheetId="8">'[1]FY26 MYP-Multisite'!#REF!</definedName>
    <definedName name="_vena_MultiSiteS1_MultiSiteB2_R_5_431662133249310721" localSheetId="3">#REF!</definedName>
    <definedName name="_vena_MultiSiteS1_MultiSiteB2_R_5_431662133249310721">#REF!</definedName>
    <definedName name="_vena_MultiSiteS1_MultiSiteB2_R_5_431662133257699328" localSheetId="4">#REF!</definedName>
    <definedName name="_vena_MultiSiteS1_MultiSiteB2_R_5_431662133257699328" localSheetId="5">#REF!</definedName>
    <definedName name="_vena_MultiSiteS1_MultiSiteB2_R_5_431662133257699328" localSheetId="8">'[1]FY26 MYP-Multisite'!#REF!</definedName>
    <definedName name="_vena_MultiSiteS1_MultiSiteB2_R_5_431662133257699328" localSheetId="3">#REF!</definedName>
    <definedName name="_vena_MultiSiteS1_MultiSiteB2_R_5_431662133257699328">#REF!</definedName>
    <definedName name="_vena_MultiSiteS1_MultiSiteB2_R_5_431662133261893633" localSheetId="4">#REF!</definedName>
    <definedName name="_vena_MultiSiteS1_MultiSiteB2_R_5_431662133261893633" localSheetId="5">#REF!</definedName>
    <definedName name="_vena_MultiSiteS1_MultiSiteB2_R_5_431662133261893633" localSheetId="8">'[1]FY26 MYP-Multisite'!#REF!</definedName>
    <definedName name="_vena_MultiSiteS1_MultiSiteB2_R_5_431662133261893633" localSheetId="3">#REF!</definedName>
    <definedName name="_vena_MultiSiteS1_MultiSiteB2_R_5_431662133261893633">#REF!</definedName>
    <definedName name="_vena_MultiSiteS1_MultiSiteB2_R_5_431662133266087937" localSheetId="4">#REF!</definedName>
    <definedName name="_vena_MultiSiteS1_MultiSiteB2_R_5_431662133266087937" localSheetId="5">#REF!</definedName>
    <definedName name="_vena_MultiSiteS1_MultiSiteB2_R_5_431662133266087937" localSheetId="8">'[1]FY26 MYP-Multisite'!#REF!</definedName>
    <definedName name="_vena_MultiSiteS1_MultiSiteB2_R_5_431662133266087937" localSheetId="3">#REF!</definedName>
    <definedName name="_vena_MultiSiteS1_MultiSiteB2_R_5_431662133266087937">#REF!</definedName>
    <definedName name="_vena_MultiSiteS1_MultiSiteB2_R_5_431662133270282241" localSheetId="4">#REF!</definedName>
    <definedName name="_vena_MultiSiteS1_MultiSiteB2_R_5_431662133270282241" localSheetId="5">#REF!</definedName>
    <definedName name="_vena_MultiSiteS1_MultiSiteB2_R_5_431662133270282241" localSheetId="8">'[1]FY26 MYP-Multisite'!#REF!</definedName>
    <definedName name="_vena_MultiSiteS1_MultiSiteB2_R_5_431662133270282241" localSheetId="3">#REF!</definedName>
    <definedName name="_vena_MultiSiteS1_MultiSiteB2_R_5_431662133270282241">#REF!</definedName>
    <definedName name="_vena_MultiSiteS1_MultiSiteB2_R_5_431662133274476545" localSheetId="4">#REF!</definedName>
    <definedName name="_vena_MultiSiteS1_MultiSiteB2_R_5_431662133274476545" localSheetId="5">#REF!</definedName>
    <definedName name="_vena_MultiSiteS1_MultiSiteB2_R_5_431662133274476545" localSheetId="8">'[1]FY26 MYP-Multisite'!#REF!</definedName>
    <definedName name="_vena_MultiSiteS1_MultiSiteB2_R_5_431662133274476545" localSheetId="3">#REF!</definedName>
    <definedName name="_vena_MultiSiteS1_MultiSiteB2_R_5_431662133274476545">#REF!</definedName>
    <definedName name="_vena_MultiSiteS1_MultiSiteB2_R_5_431662133282865153" localSheetId="4">#REF!</definedName>
    <definedName name="_vena_MultiSiteS1_MultiSiteB2_R_5_431662133282865153" localSheetId="5">#REF!</definedName>
    <definedName name="_vena_MultiSiteS1_MultiSiteB2_R_5_431662133282865153" localSheetId="8">'[1]FY26 MYP-Multisite'!#REF!</definedName>
    <definedName name="_vena_MultiSiteS1_MultiSiteB2_R_5_431662133282865153" localSheetId="3">#REF!</definedName>
    <definedName name="_vena_MultiSiteS1_MultiSiteB2_R_5_431662133282865153">#REF!</definedName>
    <definedName name="_vena_MultiSiteS1_MultiSiteB2_R_5_431662133291253761" localSheetId="4">#REF!</definedName>
    <definedName name="_vena_MultiSiteS1_MultiSiteB2_R_5_431662133291253761" localSheetId="5">#REF!</definedName>
    <definedName name="_vena_MultiSiteS1_MultiSiteB2_R_5_431662133291253761" localSheetId="8">'[1]FY26 MYP-Multisite'!#REF!</definedName>
    <definedName name="_vena_MultiSiteS1_MultiSiteB2_R_5_431662133291253761" localSheetId="3">#REF!</definedName>
    <definedName name="_vena_MultiSiteS1_MultiSiteB2_R_5_431662133291253761">#REF!</definedName>
    <definedName name="_vena_MultiSiteS1_MultiSiteB2_R_5_431662133299642369" localSheetId="4">#REF!</definedName>
    <definedName name="_vena_MultiSiteS1_MultiSiteB2_R_5_431662133299642369" localSheetId="5">#REF!</definedName>
    <definedName name="_vena_MultiSiteS1_MultiSiteB2_R_5_431662133299642369" localSheetId="8">'[1]FY26 MYP-Multisite'!#REF!</definedName>
    <definedName name="_vena_MultiSiteS1_MultiSiteB2_R_5_431662133299642369" localSheetId="3">#REF!</definedName>
    <definedName name="_vena_MultiSiteS1_MultiSiteB2_R_5_431662133299642369">#REF!</definedName>
    <definedName name="_vena_MultiSiteS1_MultiSiteB2_R_5_431662133308030977" localSheetId="4">#REF!</definedName>
    <definedName name="_vena_MultiSiteS1_MultiSiteB2_R_5_431662133308030977" localSheetId="5">#REF!</definedName>
    <definedName name="_vena_MultiSiteS1_MultiSiteB2_R_5_431662133308030977" localSheetId="8">'[1]FY26 MYP-Multisite'!#REF!</definedName>
    <definedName name="_vena_MultiSiteS1_MultiSiteB2_R_5_431662133308030977" localSheetId="3">#REF!</definedName>
    <definedName name="_vena_MultiSiteS1_MultiSiteB2_R_5_431662133308030977">#REF!</definedName>
    <definedName name="_vena_MultiSiteS1_MultiSiteB2_R_5_431662133312225281" localSheetId="4">#REF!</definedName>
    <definedName name="_vena_MultiSiteS1_MultiSiteB2_R_5_431662133312225281" localSheetId="5">#REF!</definedName>
    <definedName name="_vena_MultiSiteS1_MultiSiteB2_R_5_431662133312225281" localSheetId="8">'[1]FY26 MYP-Multisite'!#REF!</definedName>
    <definedName name="_vena_MultiSiteS1_MultiSiteB2_R_5_431662133312225281" localSheetId="3">#REF!</definedName>
    <definedName name="_vena_MultiSiteS1_MultiSiteB2_R_5_431662133312225281">#REF!</definedName>
    <definedName name="_vena_MultiSiteS1_MultiSiteB2_R_5_431662133316419585" localSheetId="4">#REF!</definedName>
    <definedName name="_vena_MultiSiteS1_MultiSiteB2_R_5_431662133316419585" localSheetId="5">#REF!</definedName>
    <definedName name="_vena_MultiSiteS1_MultiSiteB2_R_5_431662133316419585" localSheetId="8">'[1]FY26 MYP-Multisite'!#REF!</definedName>
    <definedName name="_vena_MultiSiteS1_MultiSiteB2_R_5_431662133316419585" localSheetId="3">#REF!</definedName>
    <definedName name="_vena_MultiSiteS1_MultiSiteB2_R_5_431662133316419585">#REF!</definedName>
    <definedName name="_vena_MultiSiteS1_MultiSiteB2_R_5_431662133320613889" localSheetId="4">#REF!</definedName>
    <definedName name="_vena_MultiSiteS1_MultiSiteB2_R_5_431662133320613889" localSheetId="5">#REF!</definedName>
    <definedName name="_vena_MultiSiteS1_MultiSiteB2_R_5_431662133320613889" localSheetId="8">'[1]FY26 MYP-Multisite'!#REF!</definedName>
    <definedName name="_vena_MultiSiteS1_MultiSiteB2_R_5_431662133320613889" localSheetId="3">#REF!</definedName>
    <definedName name="_vena_MultiSiteS1_MultiSiteB2_R_5_431662133320613889">#REF!</definedName>
    <definedName name="_vena_MultiSiteS1_MultiSiteB2_R_5_431662133329002497" localSheetId="4">#REF!</definedName>
    <definedName name="_vena_MultiSiteS1_MultiSiteB2_R_5_431662133329002497" localSheetId="5">#REF!</definedName>
    <definedName name="_vena_MultiSiteS1_MultiSiteB2_R_5_431662133329002497" localSheetId="8">'[1]FY26 MYP-Multisite'!#REF!</definedName>
    <definedName name="_vena_MultiSiteS1_MultiSiteB2_R_5_431662133329002497" localSheetId="3">#REF!</definedName>
    <definedName name="_vena_MultiSiteS1_MultiSiteB2_R_5_431662133329002497">#REF!</definedName>
    <definedName name="_vena_MultiSiteS1_MultiSiteB2_R_5_431662133333196801" localSheetId="4">#REF!</definedName>
    <definedName name="_vena_MultiSiteS1_MultiSiteB2_R_5_431662133333196801" localSheetId="5">#REF!</definedName>
    <definedName name="_vena_MultiSiteS1_MultiSiteB2_R_5_431662133333196801" localSheetId="8">'[1]FY26 MYP-Multisite'!#REF!</definedName>
    <definedName name="_vena_MultiSiteS1_MultiSiteB2_R_5_431662133333196801" localSheetId="3">#REF!</definedName>
    <definedName name="_vena_MultiSiteS1_MultiSiteB2_R_5_431662133333196801">#REF!</definedName>
    <definedName name="_vena_MultiSiteS1_MultiSiteB2_R_5_431662133337391105" localSheetId="4">#REF!</definedName>
    <definedName name="_vena_MultiSiteS1_MultiSiteB2_R_5_431662133337391105" localSheetId="5">#REF!</definedName>
    <definedName name="_vena_MultiSiteS1_MultiSiteB2_R_5_431662133337391105" localSheetId="8">'[1]FY26 MYP-Multisite'!#REF!</definedName>
    <definedName name="_vena_MultiSiteS1_MultiSiteB2_R_5_431662133337391105" localSheetId="3">#REF!</definedName>
    <definedName name="_vena_MultiSiteS1_MultiSiteB2_R_5_431662133337391105">#REF!</definedName>
    <definedName name="_vena_MultiSiteS1_MultiSiteB2_R_5_431662133341585409" localSheetId="4">#REF!</definedName>
    <definedName name="_vena_MultiSiteS1_MultiSiteB2_R_5_431662133341585409" localSheetId="5">#REF!</definedName>
    <definedName name="_vena_MultiSiteS1_MultiSiteB2_R_5_431662133341585409" localSheetId="8">'[1]FY26 MYP-Multisite'!#REF!</definedName>
    <definedName name="_vena_MultiSiteS1_MultiSiteB2_R_5_431662133341585409" localSheetId="3">#REF!</definedName>
    <definedName name="_vena_MultiSiteS1_MultiSiteB2_R_5_431662133341585409">#REF!</definedName>
    <definedName name="_vena_MultiSiteS1_MultiSiteB2_R_5_431662133345779713" localSheetId="4">#REF!</definedName>
    <definedName name="_vena_MultiSiteS1_MultiSiteB2_R_5_431662133345779713" localSheetId="5">#REF!</definedName>
    <definedName name="_vena_MultiSiteS1_MultiSiteB2_R_5_431662133345779713" localSheetId="8">'[1]FY26 MYP-Multisite'!#REF!</definedName>
    <definedName name="_vena_MultiSiteS1_MultiSiteB2_R_5_431662133345779713" localSheetId="3">#REF!</definedName>
    <definedName name="_vena_MultiSiteS1_MultiSiteB2_R_5_431662133345779713">#REF!</definedName>
    <definedName name="_vena_MultiSiteS1_MultiSiteB2_R_5_431662133349974017" localSheetId="4">#REF!</definedName>
    <definedName name="_vena_MultiSiteS1_MultiSiteB2_R_5_431662133349974017" localSheetId="5">#REF!</definedName>
    <definedName name="_vena_MultiSiteS1_MultiSiteB2_R_5_431662133349974017" localSheetId="8">'[1]FY26 MYP-Multisite'!#REF!</definedName>
    <definedName name="_vena_MultiSiteS1_MultiSiteB2_R_5_431662133349974017" localSheetId="3">#REF!</definedName>
    <definedName name="_vena_MultiSiteS1_MultiSiteB2_R_5_431662133349974017">#REF!</definedName>
    <definedName name="_vena_MultiSiteS1_MultiSiteB2_R_5_431662133358362624" localSheetId="4">#REF!</definedName>
    <definedName name="_vena_MultiSiteS1_MultiSiteB2_R_5_431662133358362624" localSheetId="5">#REF!</definedName>
    <definedName name="_vena_MultiSiteS1_MultiSiteB2_R_5_431662133358362624" localSheetId="8">'[1]FY26 MYP-Multisite'!#REF!</definedName>
    <definedName name="_vena_MultiSiteS1_MultiSiteB2_R_5_431662133358362624" localSheetId="3">#REF!</definedName>
    <definedName name="_vena_MultiSiteS1_MultiSiteB2_R_5_431662133358362624">#REF!</definedName>
    <definedName name="_vena_MultiSiteS1_MultiSiteB2_R_5_431662133362556929" localSheetId="4">#REF!</definedName>
    <definedName name="_vena_MultiSiteS1_MultiSiteB2_R_5_431662133362556929" localSheetId="5">#REF!</definedName>
    <definedName name="_vena_MultiSiteS1_MultiSiteB2_R_5_431662133362556929" localSheetId="8">'[1]FY26 MYP-Multisite'!#REF!</definedName>
    <definedName name="_vena_MultiSiteS1_MultiSiteB2_R_5_431662133362556929" localSheetId="3">#REF!</definedName>
    <definedName name="_vena_MultiSiteS1_MultiSiteB2_R_5_431662133362556929">#REF!</definedName>
    <definedName name="_vena_MultiSiteS1_MultiSiteB2_R_5_431662133366751233" localSheetId="4">#REF!</definedName>
    <definedName name="_vena_MultiSiteS1_MultiSiteB2_R_5_431662133366751233" localSheetId="5">#REF!</definedName>
    <definedName name="_vena_MultiSiteS1_MultiSiteB2_R_5_431662133366751233" localSheetId="8">'[1]FY26 MYP-Multisite'!#REF!</definedName>
    <definedName name="_vena_MultiSiteS1_MultiSiteB2_R_5_431662133366751233" localSheetId="3">#REF!</definedName>
    <definedName name="_vena_MultiSiteS1_MultiSiteB2_R_5_431662133366751233">#REF!</definedName>
    <definedName name="_vena_MultiSiteS1_MultiSiteB2_R_5_431662133370945537" localSheetId="4">#REF!</definedName>
    <definedName name="_vena_MultiSiteS1_MultiSiteB2_R_5_431662133370945537" localSheetId="5">#REF!</definedName>
    <definedName name="_vena_MultiSiteS1_MultiSiteB2_R_5_431662133370945537" localSheetId="8">'[1]FY26 MYP-Multisite'!#REF!</definedName>
    <definedName name="_vena_MultiSiteS1_MultiSiteB2_R_5_431662133370945537" localSheetId="3">#REF!</definedName>
    <definedName name="_vena_MultiSiteS1_MultiSiteB2_R_5_431662133370945537">#REF!</definedName>
    <definedName name="_vena_MultiSiteS1_MultiSiteB2_R_5_431662133375139841" localSheetId="4">#REF!</definedName>
    <definedName name="_vena_MultiSiteS1_MultiSiteB2_R_5_431662133375139841" localSheetId="5">#REF!</definedName>
    <definedName name="_vena_MultiSiteS1_MultiSiteB2_R_5_431662133375139841" localSheetId="8">'[1]FY26 MYP-Multisite'!#REF!</definedName>
    <definedName name="_vena_MultiSiteS1_MultiSiteB2_R_5_431662133375139841" localSheetId="3">#REF!</definedName>
    <definedName name="_vena_MultiSiteS1_MultiSiteB2_R_5_431662133375139841">#REF!</definedName>
    <definedName name="_vena_MultiSiteS1_MultiSiteB2_R_5_431662133383528449" localSheetId="4">#REF!</definedName>
    <definedName name="_vena_MultiSiteS1_MultiSiteB2_R_5_431662133383528449" localSheetId="5">#REF!</definedName>
    <definedName name="_vena_MultiSiteS1_MultiSiteB2_R_5_431662133383528449" localSheetId="8">'[1]FY26 MYP-Multisite'!#REF!</definedName>
    <definedName name="_vena_MultiSiteS1_MultiSiteB2_R_5_431662133383528449" localSheetId="3">#REF!</definedName>
    <definedName name="_vena_MultiSiteS1_MultiSiteB2_R_5_431662133383528449">#REF!</definedName>
    <definedName name="_vena_MultiSiteS1_MultiSiteB2_R_5_431662133387722753" localSheetId="4">#REF!</definedName>
    <definedName name="_vena_MultiSiteS1_MultiSiteB2_R_5_431662133387722753" localSheetId="5">#REF!</definedName>
    <definedName name="_vena_MultiSiteS1_MultiSiteB2_R_5_431662133387722753" localSheetId="8">'[1]FY26 MYP-Multisite'!#REF!</definedName>
    <definedName name="_vena_MultiSiteS1_MultiSiteB2_R_5_431662133387722753" localSheetId="3">#REF!</definedName>
    <definedName name="_vena_MultiSiteS1_MultiSiteB2_R_5_431662133387722753">#REF!</definedName>
    <definedName name="_vena_MultiSiteS1_MultiSiteB2_R_5_431662133391917057" localSheetId="4">#REF!</definedName>
    <definedName name="_vena_MultiSiteS1_MultiSiteB2_R_5_431662133391917057" localSheetId="5">#REF!</definedName>
    <definedName name="_vena_MultiSiteS1_MultiSiteB2_R_5_431662133391917057" localSheetId="8">'[1]FY26 MYP-Multisite'!#REF!</definedName>
    <definedName name="_vena_MultiSiteS1_MultiSiteB2_R_5_431662133391917057" localSheetId="3">#REF!</definedName>
    <definedName name="_vena_MultiSiteS1_MultiSiteB2_R_5_431662133391917057">#REF!</definedName>
    <definedName name="_vena_MultiSiteS1_MultiSiteB2_R_5_431662133396111361" localSheetId="4">#REF!</definedName>
    <definedName name="_vena_MultiSiteS1_MultiSiteB2_R_5_431662133396111361" localSheetId="5">#REF!</definedName>
    <definedName name="_vena_MultiSiteS1_MultiSiteB2_R_5_431662133396111361" localSheetId="8">'[1]FY26 MYP-Multisite'!#REF!</definedName>
    <definedName name="_vena_MultiSiteS1_MultiSiteB2_R_5_431662133396111361" localSheetId="3">#REF!</definedName>
    <definedName name="_vena_MultiSiteS1_MultiSiteB2_R_5_431662133396111361">#REF!</definedName>
    <definedName name="_vena_MultiSiteS1_MultiSiteB2_R_5_431662133400305665" localSheetId="4">#REF!</definedName>
    <definedName name="_vena_MultiSiteS1_MultiSiteB2_R_5_431662133400305665" localSheetId="5">#REF!</definedName>
    <definedName name="_vena_MultiSiteS1_MultiSiteB2_R_5_431662133400305665" localSheetId="8">'[1]FY26 MYP-Multisite'!#REF!</definedName>
    <definedName name="_vena_MultiSiteS1_MultiSiteB2_R_5_431662133400305665" localSheetId="3">#REF!</definedName>
    <definedName name="_vena_MultiSiteS1_MultiSiteB2_R_5_431662133400305665">#REF!</definedName>
    <definedName name="_vena_MultiSiteS1_MultiSiteB2_R_5_431662133404499969" localSheetId="4">#REF!</definedName>
    <definedName name="_vena_MultiSiteS1_MultiSiteB2_R_5_431662133404499969" localSheetId="5">#REF!</definedName>
    <definedName name="_vena_MultiSiteS1_MultiSiteB2_R_5_431662133404499969" localSheetId="8">'[1]FY26 MYP-Multisite'!#REF!</definedName>
    <definedName name="_vena_MultiSiteS1_MultiSiteB2_R_5_431662133404499969" localSheetId="3">#REF!</definedName>
    <definedName name="_vena_MultiSiteS1_MultiSiteB2_R_5_431662133404499969">#REF!</definedName>
    <definedName name="_vena_MultiSiteS1_MultiSiteB2_R_5_431662133408694273" localSheetId="4">#REF!</definedName>
    <definedName name="_vena_MultiSiteS1_MultiSiteB2_R_5_431662133408694273" localSheetId="5">#REF!</definedName>
    <definedName name="_vena_MultiSiteS1_MultiSiteB2_R_5_431662133408694273" localSheetId="8">'[1]FY26 MYP-Multisite'!#REF!</definedName>
    <definedName name="_vena_MultiSiteS1_MultiSiteB2_R_5_431662133408694273" localSheetId="3">#REF!</definedName>
    <definedName name="_vena_MultiSiteS1_MultiSiteB2_R_5_431662133408694273">#REF!</definedName>
    <definedName name="_vena_MultiSiteS1_MultiSiteB2_R_5_431662133417082881" localSheetId="4">#REF!</definedName>
    <definedName name="_vena_MultiSiteS1_MultiSiteB2_R_5_431662133417082881" localSheetId="5">#REF!</definedName>
    <definedName name="_vena_MultiSiteS1_MultiSiteB2_R_5_431662133417082881" localSheetId="8">'[1]FY26 MYP-Multisite'!#REF!</definedName>
    <definedName name="_vena_MultiSiteS1_MultiSiteB2_R_5_431662133417082881" localSheetId="3">#REF!</definedName>
    <definedName name="_vena_MultiSiteS1_MultiSiteB2_R_5_431662133417082881">#REF!</definedName>
    <definedName name="_vena_MultiSiteS1_MultiSiteB2_R_5_431662133421277185" localSheetId="4">#REF!</definedName>
    <definedName name="_vena_MultiSiteS1_MultiSiteB2_R_5_431662133421277185" localSheetId="5">#REF!</definedName>
    <definedName name="_vena_MultiSiteS1_MultiSiteB2_R_5_431662133421277185" localSheetId="8">'[1]FY26 MYP-Multisite'!#REF!</definedName>
    <definedName name="_vena_MultiSiteS1_MultiSiteB2_R_5_431662133421277185" localSheetId="3">#REF!</definedName>
    <definedName name="_vena_MultiSiteS1_MultiSiteB2_R_5_431662133421277185">#REF!</definedName>
    <definedName name="_vena_MultiSiteS1_MultiSiteB2_R_5_431662133425471489" localSheetId="4">#REF!</definedName>
    <definedName name="_vena_MultiSiteS1_MultiSiteB2_R_5_431662133425471489" localSheetId="5">#REF!</definedName>
    <definedName name="_vena_MultiSiteS1_MultiSiteB2_R_5_431662133425471489" localSheetId="8">'[1]FY26 MYP-Multisite'!#REF!</definedName>
    <definedName name="_vena_MultiSiteS1_MultiSiteB2_R_5_431662133425471489" localSheetId="3">#REF!</definedName>
    <definedName name="_vena_MultiSiteS1_MultiSiteB2_R_5_431662133425471489">#REF!</definedName>
    <definedName name="_vena_MultiSiteS1_MultiSiteB2_R_5_431662133429665793" localSheetId="4">#REF!</definedName>
    <definedName name="_vena_MultiSiteS1_MultiSiteB2_R_5_431662133429665793" localSheetId="5">#REF!</definedName>
    <definedName name="_vena_MultiSiteS1_MultiSiteB2_R_5_431662133429665793" localSheetId="8">'[1]FY26 MYP-Multisite'!#REF!</definedName>
    <definedName name="_vena_MultiSiteS1_MultiSiteB2_R_5_431662133429665793" localSheetId="3">#REF!</definedName>
    <definedName name="_vena_MultiSiteS1_MultiSiteB2_R_5_431662133429665793">#REF!</definedName>
    <definedName name="_vena_MultiSiteS1_MultiSiteB2_R_5_431662133433860097" localSheetId="4">#REF!</definedName>
    <definedName name="_vena_MultiSiteS1_MultiSiteB2_R_5_431662133433860097" localSheetId="5">#REF!</definedName>
    <definedName name="_vena_MultiSiteS1_MultiSiteB2_R_5_431662133433860097" localSheetId="8">'[1]FY26 MYP-Multisite'!#REF!</definedName>
    <definedName name="_vena_MultiSiteS1_MultiSiteB2_R_5_431662133433860097" localSheetId="3">#REF!</definedName>
    <definedName name="_vena_MultiSiteS1_MultiSiteB2_R_5_431662133433860097">#REF!</definedName>
    <definedName name="_vena_MultiSiteS1_MultiSiteB2_R_5_431662133438054401" localSheetId="4">#REF!</definedName>
    <definedName name="_vena_MultiSiteS1_MultiSiteB2_R_5_431662133438054401" localSheetId="5">#REF!</definedName>
    <definedName name="_vena_MultiSiteS1_MultiSiteB2_R_5_431662133438054401" localSheetId="8">'[1]FY26 MYP-Multisite'!#REF!</definedName>
    <definedName name="_vena_MultiSiteS1_MultiSiteB2_R_5_431662133438054401" localSheetId="3">#REF!</definedName>
    <definedName name="_vena_MultiSiteS1_MultiSiteB2_R_5_431662133438054401">#REF!</definedName>
    <definedName name="_vena_MultiSiteS1_MultiSiteB2_R_5_431662133442248705" localSheetId="4">#REF!</definedName>
    <definedName name="_vena_MultiSiteS1_MultiSiteB2_R_5_431662133442248705" localSheetId="5">#REF!</definedName>
    <definedName name="_vena_MultiSiteS1_MultiSiteB2_R_5_431662133442248705" localSheetId="8">'[1]FY26 MYP-Multisite'!#REF!</definedName>
    <definedName name="_vena_MultiSiteS1_MultiSiteB2_R_5_431662133442248705" localSheetId="3">#REF!</definedName>
    <definedName name="_vena_MultiSiteS1_MultiSiteB2_R_5_431662133442248705">#REF!</definedName>
    <definedName name="_vena_MultiSiteS1_MultiSiteB2_R_5_431662133450637313" localSheetId="4">#REF!</definedName>
    <definedName name="_vena_MultiSiteS1_MultiSiteB2_R_5_431662133450637313" localSheetId="5">#REF!</definedName>
    <definedName name="_vena_MultiSiteS1_MultiSiteB2_R_5_431662133450637313" localSheetId="8">'[1]FY26 MYP-Multisite'!#REF!</definedName>
    <definedName name="_vena_MultiSiteS1_MultiSiteB2_R_5_431662133450637313" localSheetId="3">#REF!</definedName>
    <definedName name="_vena_MultiSiteS1_MultiSiteB2_R_5_431662133450637313">#REF!</definedName>
    <definedName name="_vena_MultiSiteS1_MultiSiteB2_R_5_431662133454831617" localSheetId="4">#REF!</definedName>
    <definedName name="_vena_MultiSiteS1_MultiSiteB2_R_5_431662133454831617" localSheetId="5">#REF!</definedName>
    <definedName name="_vena_MultiSiteS1_MultiSiteB2_R_5_431662133454831617" localSheetId="8">'[1]FY26 MYP-Multisite'!#REF!</definedName>
    <definedName name="_vena_MultiSiteS1_MultiSiteB2_R_5_431662133454831617" localSheetId="3">#REF!</definedName>
    <definedName name="_vena_MultiSiteS1_MultiSiteB2_R_5_431662133454831617">#REF!</definedName>
    <definedName name="_vena_MultiSiteS1_MultiSiteB2_R_5_431662133459025921" localSheetId="4">#REF!</definedName>
    <definedName name="_vena_MultiSiteS1_MultiSiteB2_R_5_431662133459025921" localSheetId="5">#REF!</definedName>
    <definedName name="_vena_MultiSiteS1_MultiSiteB2_R_5_431662133459025921" localSheetId="8">'[1]FY26 MYP-Multisite'!#REF!</definedName>
    <definedName name="_vena_MultiSiteS1_MultiSiteB2_R_5_431662133459025921" localSheetId="3">#REF!</definedName>
    <definedName name="_vena_MultiSiteS1_MultiSiteB2_R_5_431662133459025921">#REF!</definedName>
    <definedName name="_vena_MultiSiteS1_MultiSiteB2_R_5_431662133463220225" localSheetId="4">#REF!</definedName>
    <definedName name="_vena_MultiSiteS1_MultiSiteB2_R_5_431662133463220225" localSheetId="5">#REF!</definedName>
    <definedName name="_vena_MultiSiteS1_MultiSiteB2_R_5_431662133463220225" localSheetId="8">'[1]FY26 MYP-Multisite'!#REF!</definedName>
    <definedName name="_vena_MultiSiteS1_MultiSiteB2_R_5_431662133463220225" localSheetId="3">#REF!</definedName>
    <definedName name="_vena_MultiSiteS1_MultiSiteB2_R_5_431662133463220225">#REF!</definedName>
    <definedName name="_vena_MultiSiteS1_MultiSiteB2_R_5_431662133467414529" localSheetId="4">#REF!</definedName>
    <definedName name="_vena_MultiSiteS1_MultiSiteB2_R_5_431662133467414529" localSheetId="5">#REF!</definedName>
    <definedName name="_vena_MultiSiteS1_MultiSiteB2_R_5_431662133467414529" localSheetId="8">'[1]FY26 MYP-Multisite'!#REF!</definedName>
    <definedName name="_vena_MultiSiteS1_MultiSiteB2_R_5_431662133467414529" localSheetId="3">#REF!</definedName>
    <definedName name="_vena_MultiSiteS1_MultiSiteB2_R_5_431662133467414529">#REF!</definedName>
    <definedName name="_vena_MultiSiteS1_MultiSiteB2_R_5_431662133479997441" localSheetId="4">#REF!</definedName>
    <definedName name="_vena_MultiSiteS1_MultiSiteB2_R_5_431662133479997441" localSheetId="5">#REF!</definedName>
    <definedName name="_vena_MultiSiteS1_MultiSiteB2_R_5_431662133479997441" localSheetId="8">'[1]FY26 MYP-Multisite'!#REF!</definedName>
    <definedName name="_vena_MultiSiteS1_MultiSiteB2_R_5_431662133479997441" localSheetId="3">#REF!</definedName>
    <definedName name="_vena_MultiSiteS1_MultiSiteB2_R_5_431662133479997441">#REF!</definedName>
    <definedName name="_vena_MultiSiteS1_MultiSiteB2_R_5_431662133484191745" localSheetId="4">#REF!</definedName>
    <definedName name="_vena_MultiSiteS1_MultiSiteB2_R_5_431662133484191745" localSheetId="5">#REF!</definedName>
    <definedName name="_vena_MultiSiteS1_MultiSiteB2_R_5_431662133484191745" localSheetId="8">'[1]FY26 MYP-Multisite'!#REF!</definedName>
    <definedName name="_vena_MultiSiteS1_MultiSiteB2_R_5_431662133484191745" localSheetId="3">#REF!</definedName>
    <definedName name="_vena_MultiSiteS1_MultiSiteB2_R_5_431662133484191745">#REF!</definedName>
    <definedName name="_vena_MultiSiteS1_MultiSiteB2_R_5_431662133488386049" localSheetId="4">#REF!</definedName>
    <definedName name="_vena_MultiSiteS1_MultiSiteB2_R_5_431662133488386049" localSheetId="5">#REF!</definedName>
    <definedName name="_vena_MultiSiteS1_MultiSiteB2_R_5_431662133488386049" localSheetId="8">'[1]FY26 MYP-Multisite'!#REF!</definedName>
    <definedName name="_vena_MultiSiteS1_MultiSiteB2_R_5_431662133488386049" localSheetId="3">#REF!</definedName>
    <definedName name="_vena_MultiSiteS1_MultiSiteB2_R_5_431662133488386049">#REF!</definedName>
    <definedName name="_vena_MultiSiteS1_MultiSiteB2_R_5_431662133492580353" localSheetId="4">#REF!</definedName>
    <definedName name="_vena_MultiSiteS1_MultiSiteB2_R_5_431662133492580353" localSheetId="5">#REF!</definedName>
    <definedName name="_vena_MultiSiteS1_MultiSiteB2_R_5_431662133492580353" localSheetId="8">'[1]FY26 MYP-Multisite'!#REF!</definedName>
    <definedName name="_vena_MultiSiteS1_MultiSiteB2_R_5_431662133492580353" localSheetId="3">#REF!</definedName>
    <definedName name="_vena_MultiSiteS1_MultiSiteB2_R_5_431662133492580353">#REF!</definedName>
    <definedName name="_vena_MultiSiteS1_MultiSiteB2_R_5_431662133500968961" localSheetId="4">#REF!</definedName>
    <definedName name="_vena_MultiSiteS1_MultiSiteB2_R_5_431662133500968961" localSheetId="5">#REF!</definedName>
    <definedName name="_vena_MultiSiteS1_MultiSiteB2_R_5_431662133500968961" localSheetId="8">'[1]FY26 MYP-Multisite'!#REF!</definedName>
    <definedName name="_vena_MultiSiteS1_MultiSiteB2_R_5_431662133500968961" localSheetId="3">#REF!</definedName>
    <definedName name="_vena_MultiSiteS1_MultiSiteB2_R_5_431662133500968961">#REF!</definedName>
    <definedName name="_vena_MultiSiteS1_MultiSiteB2_R_5_431662133505163265" localSheetId="4">#REF!</definedName>
    <definedName name="_vena_MultiSiteS1_MultiSiteB2_R_5_431662133505163265" localSheetId="5">#REF!</definedName>
    <definedName name="_vena_MultiSiteS1_MultiSiteB2_R_5_431662133505163265" localSheetId="8">'[1]FY26 MYP-Multisite'!#REF!</definedName>
    <definedName name="_vena_MultiSiteS1_MultiSiteB2_R_5_431662133505163265" localSheetId="3">#REF!</definedName>
    <definedName name="_vena_MultiSiteS1_MultiSiteB2_R_5_431662133505163265">#REF!</definedName>
    <definedName name="_vena_MultiSiteS1_MultiSiteB2_R_5_431662133509357569" localSheetId="4">#REF!</definedName>
    <definedName name="_vena_MultiSiteS1_MultiSiteB2_R_5_431662133509357569" localSheetId="5">#REF!</definedName>
    <definedName name="_vena_MultiSiteS1_MultiSiteB2_R_5_431662133509357569" localSheetId="8">'[1]FY26 MYP-Multisite'!#REF!</definedName>
    <definedName name="_vena_MultiSiteS1_MultiSiteB2_R_5_431662133509357569" localSheetId="3">#REF!</definedName>
    <definedName name="_vena_MultiSiteS1_MultiSiteB2_R_5_431662133509357569">#REF!</definedName>
    <definedName name="_vena_MultiSiteS1_MultiSiteB2_R_5_431662133513551873" localSheetId="4">#REF!</definedName>
    <definedName name="_vena_MultiSiteS1_MultiSiteB2_R_5_431662133513551873" localSheetId="5">#REF!</definedName>
    <definedName name="_vena_MultiSiteS1_MultiSiteB2_R_5_431662133513551873" localSheetId="8">'[1]FY26 MYP-Multisite'!#REF!</definedName>
    <definedName name="_vena_MultiSiteS1_MultiSiteB2_R_5_431662133513551873" localSheetId="3">#REF!</definedName>
    <definedName name="_vena_MultiSiteS1_MultiSiteB2_R_5_431662133513551873">#REF!</definedName>
    <definedName name="_vena_MultiSiteS1_MultiSiteB2_R_5_431662133517746177" localSheetId="4">#REF!</definedName>
    <definedName name="_vena_MultiSiteS1_MultiSiteB2_R_5_431662133517746177" localSheetId="5">#REF!</definedName>
    <definedName name="_vena_MultiSiteS1_MultiSiteB2_R_5_431662133517746177" localSheetId="8">'[1]FY26 MYP-Multisite'!#REF!</definedName>
    <definedName name="_vena_MultiSiteS1_MultiSiteB2_R_5_431662133517746177" localSheetId="3">#REF!</definedName>
    <definedName name="_vena_MultiSiteS1_MultiSiteB2_R_5_431662133517746177">#REF!</definedName>
    <definedName name="_vena_MultiSiteS1_MultiSiteB2_R_5_431662133521940481" localSheetId="4">#REF!</definedName>
    <definedName name="_vena_MultiSiteS1_MultiSiteB2_R_5_431662133521940481" localSheetId="5">#REF!</definedName>
    <definedName name="_vena_MultiSiteS1_MultiSiteB2_R_5_431662133521940481" localSheetId="8">'[1]FY26 MYP-Multisite'!#REF!</definedName>
    <definedName name="_vena_MultiSiteS1_MultiSiteB2_R_5_431662133521940481" localSheetId="3">#REF!</definedName>
    <definedName name="_vena_MultiSiteS1_MultiSiteB2_R_5_431662133521940481">#REF!</definedName>
    <definedName name="_vena_MultiSiteS1_MultiSiteB2_R_5_431662133530329089" localSheetId="4">#REF!</definedName>
    <definedName name="_vena_MultiSiteS1_MultiSiteB2_R_5_431662133530329089" localSheetId="5">#REF!</definedName>
    <definedName name="_vena_MultiSiteS1_MultiSiteB2_R_5_431662133530329089" localSheetId="8">'[1]FY26 MYP-Multisite'!#REF!</definedName>
    <definedName name="_vena_MultiSiteS1_MultiSiteB2_R_5_431662133530329089" localSheetId="3">#REF!</definedName>
    <definedName name="_vena_MultiSiteS1_MultiSiteB2_R_5_431662133530329089">#REF!</definedName>
    <definedName name="_vena_MultiSiteS1_MultiSiteB2_R_5_431662133534523393" localSheetId="4">#REF!</definedName>
    <definedName name="_vena_MultiSiteS1_MultiSiteB2_R_5_431662133534523393" localSheetId="5">#REF!</definedName>
    <definedName name="_vena_MultiSiteS1_MultiSiteB2_R_5_431662133534523393" localSheetId="8">'[1]FY26 MYP-Multisite'!#REF!</definedName>
    <definedName name="_vena_MultiSiteS1_MultiSiteB2_R_5_431662133534523393" localSheetId="3">#REF!</definedName>
    <definedName name="_vena_MultiSiteS1_MultiSiteB2_R_5_431662133534523393">#REF!</definedName>
    <definedName name="_vena_MultiSiteS1_MultiSiteB2_R_5_431662133538717697" localSheetId="4">#REF!</definedName>
    <definedName name="_vena_MultiSiteS1_MultiSiteB2_R_5_431662133538717697" localSheetId="5">#REF!</definedName>
    <definedName name="_vena_MultiSiteS1_MultiSiteB2_R_5_431662133538717697" localSheetId="8">'[1]FY26 MYP-Multisite'!#REF!</definedName>
    <definedName name="_vena_MultiSiteS1_MultiSiteB2_R_5_431662133538717697" localSheetId="3">#REF!</definedName>
    <definedName name="_vena_MultiSiteS1_MultiSiteB2_R_5_431662133538717697">#REF!</definedName>
    <definedName name="_vena_MultiSiteS1_MultiSiteB2_R_5_431662133547106305" localSheetId="4">#REF!</definedName>
    <definedName name="_vena_MultiSiteS1_MultiSiteB2_R_5_431662133547106305" localSheetId="5">#REF!</definedName>
    <definedName name="_vena_MultiSiteS1_MultiSiteB2_R_5_431662133547106305" localSheetId="8">'[1]FY26 MYP-Multisite'!#REF!</definedName>
    <definedName name="_vena_MultiSiteS1_MultiSiteB2_R_5_431662133547106305" localSheetId="3">#REF!</definedName>
    <definedName name="_vena_MultiSiteS1_MultiSiteB2_R_5_431662133547106305">#REF!</definedName>
    <definedName name="_vena_MultiSiteS1_MultiSiteB2_R_5_431662133551300609" localSheetId="4">#REF!</definedName>
    <definedName name="_vena_MultiSiteS1_MultiSiteB2_R_5_431662133551300609" localSheetId="5">#REF!</definedName>
    <definedName name="_vena_MultiSiteS1_MultiSiteB2_R_5_431662133551300609" localSheetId="8">'[1]FY26 MYP-Multisite'!#REF!</definedName>
    <definedName name="_vena_MultiSiteS1_MultiSiteB2_R_5_431662133551300609" localSheetId="3">#REF!</definedName>
    <definedName name="_vena_MultiSiteS1_MultiSiteB2_R_5_431662133551300609">#REF!</definedName>
    <definedName name="_vena_MultiSiteS1_MultiSiteB2_R_5_431662133555494913" localSheetId="4">#REF!</definedName>
    <definedName name="_vena_MultiSiteS1_MultiSiteB2_R_5_431662133555494913" localSheetId="5">#REF!</definedName>
    <definedName name="_vena_MultiSiteS1_MultiSiteB2_R_5_431662133555494913" localSheetId="8">'[1]FY26 MYP-Multisite'!#REF!</definedName>
    <definedName name="_vena_MultiSiteS1_MultiSiteB2_R_5_431662133555494913" localSheetId="3">#REF!</definedName>
    <definedName name="_vena_MultiSiteS1_MultiSiteB2_R_5_431662133555494913">#REF!</definedName>
    <definedName name="_vena_MultiSiteS1_MultiSiteB2_R_5_431662133559689217" localSheetId="4">#REF!</definedName>
    <definedName name="_vena_MultiSiteS1_MultiSiteB2_R_5_431662133559689217" localSheetId="5">#REF!</definedName>
    <definedName name="_vena_MultiSiteS1_MultiSiteB2_R_5_431662133559689217" localSheetId="8">'[1]FY26 MYP-Multisite'!#REF!</definedName>
    <definedName name="_vena_MultiSiteS1_MultiSiteB2_R_5_431662133559689217" localSheetId="3">#REF!</definedName>
    <definedName name="_vena_MultiSiteS1_MultiSiteB2_R_5_431662133559689217">#REF!</definedName>
    <definedName name="_vena_MultiSiteS1_MultiSiteB2_R_5_431662133568077825" localSheetId="4">#REF!</definedName>
    <definedName name="_vena_MultiSiteS1_MultiSiteB2_R_5_431662133568077825" localSheetId="5">#REF!</definedName>
    <definedName name="_vena_MultiSiteS1_MultiSiteB2_R_5_431662133568077825" localSheetId="8">'[1]FY26 MYP-Multisite'!#REF!</definedName>
    <definedName name="_vena_MultiSiteS1_MultiSiteB2_R_5_431662133568077825" localSheetId="3">#REF!</definedName>
    <definedName name="_vena_MultiSiteS1_MultiSiteB2_R_5_431662133568077825">#REF!</definedName>
    <definedName name="_vena_MultiSiteS1_MultiSiteB2_R_5_431662133572272129" localSheetId="4">#REF!</definedName>
    <definedName name="_vena_MultiSiteS1_MultiSiteB2_R_5_431662133572272129" localSheetId="5">#REF!</definedName>
    <definedName name="_vena_MultiSiteS1_MultiSiteB2_R_5_431662133572272129" localSheetId="8">'[1]FY26 MYP-Multisite'!#REF!</definedName>
    <definedName name="_vena_MultiSiteS1_MultiSiteB2_R_5_431662133572272129" localSheetId="3">#REF!</definedName>
    <definedName name="_vena_MultiSiteS1_MultiSiteB2_R_5_431662133572272129">#REF!</definedName>
    <definedName name="_vena_MultiSiteS1_MultiSiteB2_R_5_431662133580660736" localSheetId="4">#REF!</definedName>
    <definedName name="_vena_MultiSiteS1_MultiSiteB2_R_5_431662133580660736" localSheetId="5">#REF!</definedName>
    <definedName name="_vena_MultiSiteS1_MultiSiteB2_R_5_431662133580660736" localSheetId="8">'[1]FY26 MYP-Multisite'!#REF!</definedName>
    <definedName name="_vena_MultiSiteS1_MultiSiteB2_R_5_431662133580660736" localSheetId="3">#REF!</definedName>
    <definedName name="_vena_MultiSiteS1_MultiSiteB2_R_5_431662133580660736">#REF!</definedName>
    <definedName name="_vena_MultiSiteS1_MultiSiteB2_R_5_431662133584855041" localSheetId="4">#REF!</definedName>
    <definedName name="_vena_MultiSiteS1_MultiSiteB2_R_5_431662133584855041" localSheetId="5">#REF!</definedName>
    <definedName name="_vena_MultiSiteS1_MultiSiteB2_R_5_431662133584855041" localSheetId="8">'[1]FY26 MYP-Multisite'!#REF!</definedName>
    <definedName name="_vena_MultiSiteS1_MultiSiteB2_R_5_431662133584855041" localSheetId="3">#REF!</definedName>
    <definedName name="_vena_MultiSiteS1_MultiSiteB2_R_5_431662133584855041">#REF!</definedName>
    <definedName name="_vena_MultiSiteS1_MultiSiteB2_R_5_431662133589049345" localSheetId="4">#REF!</definedName>
    <definedName name="_vena_MultiSiteS1_MultiSiteB2_R_5_431662133589049345" localSheetId="5">#REF!</definedName>
    <definedName name="_vena_MultiSiteS1_MultiSiteB2_R_5_431662133589049345" localSheetId="8">'[1]FY26 MYP-Multisite'!#REF!</definedName>
    <definedName name="_vena_MultiSiteS1_MultiSiteB2_R_5_431662133589049345" localSheetId="3">#REF!</definedName>
    <definedName name="_vena_MultiSiteS1_MultiSiteB2_R_5_431662133589049345">#REF!</definedName>
    <definedName name="_vena_MultiSiteS1_MultiSiteB2_R_5_431662133593243649" localSheetId="4">#REF!</definedName>
    <definedName name="_vena_MultiSiteS1_MultiSiteB2_R_5_431662133593243649" localSheetId="5">#REF!</definedName>
    <definedName name="_vena_MultiSiteS1_MultiSiteB2_R_5_431662133593243649" localSheetId="8">'[1]FY26 MYP-Multisite'!#REF!</definedName>
    <definedName name="_vena_MultiSiteS1_MultiSiteB2_R_5_431662133593243649" localSheetId="3">#REF!</definedName>
    <definedName name="_vena_MultiSiteS1_MultiSiteB2_R_5_431662133593243649">#REF!</definedName>
    <definedName name="_vena_MultiSiteS1_MultiSiteB2_R_5_431662133605826561" localSheetId="4">#REF!</definedName>
    <definedName name="_vena_MultiSiteS1_MultiSiteB2_R_5_431662133605826561" localSheetId="5">#REF!</definedName>
    <definedName name="_vena_MultiSiteS1_MultiSiteB2_R_5_431662133605826561" localSheetId="8">'[1]FY26 MYP-Multisite'!#REF!</definedName>
    <definedName name="_vena_MultiSiteS1_MultiSiteB2_R_5_431662133605826561" localSheetId="3">#REF!</definedName>
    <definedName name="_vena_MultiSiteS1_MultiSiteB2_R_5_431662133605826561">#REF!</definedName>
    <definedName name="_vena_MultiSiteS1_MultiSiteB2_R_5_431662133622603776" localSheetId="4">#REF!</definedName>
    <definedName name="_vena_MultiSiteS1_MultiSiteB2_R_5_431662133622603776" localSheetId="5">#REF!</definedName>
    <definedName name="_vena_MultiSiteS1_MultiSiteB2_R_5_431662133622603776" localSheetId="8">'[1]FY26 MYP-Multisite'!#REF!</definedName>
    <definedName name="_vena_MultiSiteS1_MultiSiteB2_R_5_431662133622603776" localSheetId="3">#REF!</definedName>
    <definedName name="_vena_MultiSiteS1_MultiSiteB2_R_5_431662133622603776">#REF!</definedName>
    <definedName name="_vena_MultiSiteS1_MultiSiteB2_R_5_431662133626798081" localSheetId="4">#REF!</definedName>
    <definedName name="_vena_MultiSiteS1_MultiSiteB2_R_5_431662133626798081" localSheetId="5">#REF!</definedName>
    <definedName name="_vena_MultiSiteS1_MultiSiteB2_R_5_431662133626798081" localSheetId="8">'[1]FY26 MYP-Multisite'!#REF!</definedName>
    <definedName name="_vena_MultiSiteS1_MultiSiteB2_R_5_431662133626798081" localSheetId="3">#REF!</definedName>
    <definedName name="_vena_MultiSiteS1_MultiSiteB2_R_5_431662133626798081">#REF!</definedName>
    <definedName name="_vena_MultiSiteS1_MultiSiteB2_R_5_431662133635186689" localSheetId="4">#REF!</definedName>
    <definedName name="_vena_MultiSiteS1_MultiSiteB2_R_5_431662133635186689" localSheetId="5">#REF!</definedName>
    <definedName name="_vena_MultiSiteS1_MultiSiteB2_R_5_431662133635186689" localSheetId="8">'[1]FY26 MYP-Multisite'!#REF!</definedName>
    <definedName name="_vena_MultiSiteS1_MultiSiteB2_R_5_431662133635186689" localSheetId="3">#REF!</definedName>
    <definedName name="_vena_MultiSiteS1_MultiSiteB2_R_5_431662133635186689">#REF!</definedName>
    <definedName name="_vena_MultiSiteS1_MultiSiteB2_R_5_431662133643575297" localSheetId="4">#REF!</definedName>
    <definedName name="_vena_MultiSiteS1_MultiSiteB2_R_5_431662133643575297" localSheetId="5">#REF!</definedName>
    <definedName name="_vena_MultiSiteS1_MultiSiteB2_R_5_431662133643575297" localSheetId="8">'[1]FY26 MYP-Multisite'!#REF!</definedName>
    <definedName name="_vena_MultiSiteS1_MultiSiteB2_R_5_431662133643575297" localSheetId="3">#REF!</definedName>
    <definedName name="_vena_MultiSiteS1_MultiSiteB2_R_5_431662133643575297">#REF!</definedName>
    <definedName name="_vena_MultiSiteS1_MultiSiteB2_R_5_431662133647769601" localSheetId="4">#REF!</definedName>
    <definedName name="_vena_MultiSiteS1_MultiSiteB2_R_5_431662133647769601" localSheetId="5">#REF!</definedName>
    <definedName name="_vena_MultiSiteS1_MultiSiteB2_R_5_431662133647769601" localSheetId="8">'[1]FY26 MYP-Multisite'!#REF!</definedName>
    <definedName name="_vena_MultiSiteS1_MultiSiteB2_R_5_431662133647769601" localSheetId="3">#REF!</definedName>
    <definedName name="_vena_MultiSiteS1_MultiSiteB2_R_5_431662133647769601">#REF!</definedName>
    <definedName name="_vena_MultiSiteS1_MultiSiteB2_R_5_431662133651963905" localSheetId="4">#REF!</definedName>
    <definedName name="_vena_MultiSiteS1_MultiSiteB2_R_5_431662133651963905" localSheetId="5">#REF!</definedName>
    <definedName name="_vena_MultiSiteS1_MultiSiteB2_R_5_431662133651963905" localSheetId="8">'[1]FY26 MYP-Multisite'!#REF!</definedName>
    <definedName name="_vena_MultiSiteS1_MultiSiteB2_R_5_431662133651963905" localSheetId="3">#REF!</definedName>
    <definedName name="_vena_MultiSiteS1_MultiSiteB2_R_5_431662133651963905">#REF!</definedName>
    <definedName name="_vena_MultiSiteS1_MultiSiteB2_R_5_431662133656158209" localSheetId="4">#REF!</definedName>
    <definedName name="_vena_MultiSiteS1_MultiSiteB2_R_5_431662133656158209" localSheetId="5">#REF!</definedName>
    <definedName name="_vena_MultiSiteS1_MultiSiteB2_R_5_431662133656158209" localSheetId="8">'[1]FY26 MYP-Multisite'!#REF!</definedName>
    <definedName name="_vena_MultiSiteS1_MultiSiteB2_R_5_431662133656158209" localSheetId="3">#REF!</definedName>
    <definedName name="_vena_MultiSiteS1_MultiSiteB2_R_5_431662133656158209">#REF!</definedName>
    <definedName name="_vena_MultiSiteS1_MultiSiteB2_R_5_431662133660352513" localSheetId="4">#REF!</definedName>
    <definedName name="_vena_MultiSiteS1_MultiSiteB2_R_5_431662133660352513" localSheetId="5">#REF!</definedName>
    <definedName name="_vena_MultiSiteS1_MultiSiteB2_R_5_431662133660352513" localSheetId="8">'[1]FY26 MYP-Multisite'!#REF!</definedName>
    <definedName name="_vena_MultiSiteS1_MultiSiteB2_R_5_431662133660352513" localSheetId="3">#REF!</definedName>
    <definedName name="_vena_MultiSiteS1_MultiSiteB2_R_5_431662133660352513">#REF!</definedName>
    <definedName name="_vena_MultiSiteS1_MultiSiteB2_R_5_431662133664546817" localSheetId="4">#REF!</definedName>
    <definedName name="_vena_MultiSiteS1_MultiSiteB2_R_5_431662133664546817" localSheetId="5">#REF!</definedName>
    <definedName name="_vena_MultiSiteS1_MultiSiteB2_R_5_431662133664546817" localSheetId="8">'[1]FY26 MYP-Multisite'!#REF!</definedName>
    <definedName name="_vena_MultiSiteS1_MultiSiteB2_R_5_431662133664546817" localSheetId="3">#REF!</definedName>
    <definedName name="_vena_MultiSiteS1_MultiSiteB2_R_5_431662133664546817">#REF!</definedName>
    <definedName name="_vena_MultiSiteS1_MultiSiteB2_R_5_431662133677129729" localSheetId="4">#REF!</definedName>
    <definedName name="_vena_MultiSiteS1_MultiSiteB2_R_5_431662133677129729" localSheetId="5">#REF!</definedName>
    <definedName name="_vena_MultiSiteS1_MultiSiteB2_R_5_431662133677129729" localSheetId="8">'[1]FY26 MYP-Multisite'!#REF!</definedName>
    <definedName name="_vena_MultiSiteS1_MultiSiteB2_R_5_431662133677129729" localSheetId="3">#REF!</definedName>
    <definedName name="_vena_MultiSiteS1_MultiSiteB2_R_5_431662133677129729">#REF!</definedName>
    <definedName name="_vena_MultiSiteS1_MultiSiteB2_R_5_431662133693906944" localSheetId="4">#REF!</definedName>
    <definedName name="_vena_MultiSiteS1_MultiSiteB2_R_5_431662133693906944" localSheetId="5">#REF!</definedName>
    <definedName name="_vena_MultiSiteS1_MultiSiteB2_R_5_431662133693906944" localSheetId="8">'[1]FY26 MYP-Multisite'!#REF!</definedName>
    <definedName name="_vena_MultiSiteS1_MultiSiteB2_R_5_431662133693906944" localSheetId="3">#REF!</definedName>
    <definedName name="_vena_MultiSiteS1_MultiSiteB2_R_5_431662133693906944">#REF!</definedName>
    <definedName name="_vena_MultiSiteS1_MultiSiteB2_R_5_431662133698101249" localSheetId="4">#REF!</definedName>
    <definedName name="_vena_MultiSiteS1_MultiSiteB2_R_5_431662133698101249" localSheetId="5">#REF!</definedName>
    <definedName name="_vena_MultiSiteS1_MultiSiteB2_R_5_431662133698101249" localSheetId="8">'[1]FY26 MYP-Multisite'!#REF!</definedName>
    <definedName name="_vena_MultiSiteS1_MultiSiteB2_R_5_431662133698101249" localSheetId="3">#REF!</definedName>
    <definedName name="_vena_MultiSiteS1_MultiSiteB2_R_5_431662133698101249">#REF!</definedName>
    <definedName name="_vena_MultiSiteS1_MultiSiteB2_R_5_431662133706489857" localSheetId="4">#REF!</definedName>
    <definedName name="_vena_MultiSiteS1_MultiSiteB2_R_5_431662133706489857" localSheetId="5">#REF!</definedName>
    <definedName name="_vena_MultiSiteS1_MultiSiteB2_R_5_431662133706489857" localSheetId="8">'[1]FY26 MYP-Multisite'!#REF!</definedName>
    <definedName name="_vena_MultiSiteS1_MultiSiteB2_R_5_431662133706489857" localSheetId="3">#REF!</definedName>
    <definedName name="_vena_MultiSiteS1_MultiSiteB2_R_5_431662133706489857">#REF!</definedName>
    <definedName name="_vena_MultiSiteS1_MultiSiteB2_R_5_431662133710684161" localSheetId="4">#REF!</definedName>
    <definedName name="_vena_MultiSiteS1_MultiSiteB2_R_5_431662133710684161" localSheetId="5">#REF!</definedName>
    <definedName name="_vena_MultiSiteS1_MultiSiteB2_R_5_431662133710684161" localSheetId="8">'[1]FY26 MYP-Multisite'!#REF!</definedName>
    <definedName name="_vena_MultiSiteS1_MultiSiteB2_R_5_431662133710684161" localSheetId="3">#REF!</definedName>
    <definedName name="_vena_MultiSiteS1_MultiSiteB2_R_5_431662133710684161">#REF!</definedName>
    <definedName name="_vena_MultiSiteS1_MultiSiteB2_R_5_431662133714878465" localSheetId="4">#REF!</definedName>
    <definedName name="_vena_MultiSiteS1_MultiSiteB2_R_5_431662133714878465" localSheetId="5">#REF!</definedName>
    <definedName name="_vena_MultiSiteS1_MultiSiteB2_R_5_431662133714878465" localSheetId="8">'[1]FY26 MYP-Multisite'!#REF!</definedName>
    <definedName name="_vena_MultiSiteS1_MultiSiteB2_R_5_431662133714878465" localSheetId="3">#REF!</definedName>
    <definedName name="_vena_MultiSiteS1_MultiSiteB2_R_5_431662133714878465">#REF!</definedName>
    <definedName name="_vena_MultiSiteS1_MultiSiteB2_R_5_431662133723267073" localSheetId="4">#REF!</definedName>
    <definedName name="_vena_MultiSiteS1_MultiSiteB2_R_5_431662133723267073" localSheetId="5">#REF!</definedName>
    <definedName name="_vena_MultiSiteS1_MultiSiteB2_R_5_431662133723267073" localSheetId="8">'[1]FY26 MYP-Multisite'!#REF!</definedName>
    <definedName name="_vena_MultiSiteS1_MultiSiteB2_R_5_431662133723267073" localSheetId="3">#REF!</definedName>
    <definedName name="_vena_MultiSiteS1_MultiSiteB2_R_5_431662133723267073">#REF!</definedName>
    <definedName name="_vena_MultiSiteS1_MultiSiteB2_R_5_431662133727461377" localSheetId="4">#REF!</definedName>
    <definedName name="_vena_MultiSiteS1_MultiSiteB2_R_5_431662133727461377" localSheetId="5">#REF!</definedName>
    <definedName name="_vena_MultiSiteS1_MultiSiteB2_R_5_431662133727461377" localSheetId="8">'[1]FY26 MYP-Multisite'!#REF!</definedName>
    <definedName name="_vena_MultiSiteS1_MultiSiteB2_R_5_431662133727461377" localSheetId="3">#REF!</definedName>
    <definedName name="_vena_MultiSiteS1_MultiSiteB2_R_5_431662133727461377">#REF!</definedName>
    <definedName name="_vena_MultiSiteS1_MultiSiteB2_R_5_431662133731655681" localSheetId="4">#REF!</definedName>
    <definedName name="_vena_MultiSiteS1_MultiSiteB2_R_5_431662133731655681" localSheetId="5">#REF!</definedName>
    <definedName name="_vena_MultiSiteS1_MultiSiteB2_R_5_431662133731655681" localSheetId="8">'[1]FY26 MYP-Multisite'!#REF!</definedName>
    <definedName name="_vena_MultiSiteS1_MultiSiteB2_R_5_431662133731655681" localSheetId="3">#REF!</definedName>
    <definedName name="_vena_MultiSiteS1_MultiSiteB2_R_5_431662133731655681">#REF!</definedName>
    <definedName name="_vena_MultiSiteS1_MultiSiteB2_R_5_431662133735849985" localSheetId="4">#REF!</definedName>
    <definedName name="_vena_MultiSiteS1_MultiSiteB2_R_5_431662133735849985" localSheetId="5">#REF!</definedName>
    <definedName name="_vena_MultiSiteS1_MultiSiteB2_R_5_431662133735849985" localSheetId="8">'[1]FY26 MYP-Multisite'!#REF!</definedName>
    <definedName name="_vena_MultiSiteS1_MultiSiteB2_R_5_431662133735849985" localSheetId="3">#REF!</definedName>
    <definedName name="_vena_MultiSiteS1_MultiSiteB2_R_5_431662133735849985">#REF!</definedName>
    <definedName name="_vena_MultiSiteS1_MultiSiteB2_R_5_431662133740044289" localSheetId="4">#REF!</definedName>
    <definedName name="_vena_MultiSiteS1_MultiSiteB2_R_5_431662133740044289" localSheetId="5">#REF!</definedName>
    <definedName name="_vena_MultiSiteS1_MultiSiteB2_R_5_431662133740044289" localSheetId="8">'[1]FY26 MYP-Multisite'!#REF!</definedName>
    <definedName name="_vena_MultiSiteS1_MultiSiteB2_R_5_431662133740044289" localSheetId="3">#REF!</definedName>
    <definedName name="_vena_MultiSiteS1_MultiSiteB2_R_5_431662133740044289">#REF!</definedName>
    <definedName name="_vena_MultiSiteS1_MultiSiteB2_R_5_484175100812591104" localSheetId="4">#REF!</definedName>
    <definedName name="_vena_MultiSiteS1_MultiSiteB2_R_5_484175100812591104" localSheetId="5">#REF!</definedName>
    <definedName name="_vena_MultiSiteS1_MultiSiteB2_R_5_484175100812591104" localSheetId="8">'[1]FY26 MYP-Multisite'!#REF!</definedName>
    <definedName name="_vena_MultiSiteS1_MultiSiteB2_R_5_484175100812591104" localSheetId="3">#REF!</definedName>
    <definedName name="_vena_MultiSiteS1_MultiSiteB2_R_5_484175100812591104">#REF!</definedName>
    <definedName name="_vena_MultiSiteS1_MultiSiteB2_R_5_484175225560367104" localSheetId="4">#REF!</definedName>
    <definedName name="_vena_MultiSiteS1_MultiSiteB2_R_5_484175225560367104" localSheetId="5">#REF!</definedName>
    <definedName name="_vena_MultiSiteS1_MultiSiteB2_R_5_484175225560367104" localSheetId="8">'[1]FY26 MYP-Multisite'!#REF!</definedName>
    <definedName name="_vena_MultiSiteS1_MultiSiteB2_R_5_484175225560367104" localSheetId="3">#REF!</definedName>
    <definedName name="_vena_MultiSiteS1_MultiSiteB2_R_5_484175225560367104">#REF!</definedName>
    <definedName name="_vena_MultiSiteS1_MultiSiteB2_R_5_484537393690181632" localSheetId="4">#REF!</definedName>
    <definedName name="_vena_MultiSiteS1_MultiSiteB2_R_5_484537393690181632" localSheetId="5">#REF!</definedName>
    <definedName name="_vena_MultiSiteS1_MultiSiteB2_R_5_484537393690181632" localSheetId="8">'[1]FY26 MYP-Multisite'!#REF!</definedName>
    <definedName name="_vena_MultiSiteS1_MultiSiteB2_R_5_484537393690181632" localSheetId="3">#REF!</definedName>
    <definedName name="_vena_MultiSiteS1_MultiSiteB2_R_5_484537393690181632">#REF!</definedName>
    <definedName name="_vena_MultiSiteS1_MultiSiteB2_R_5_495736496901324800" localSheetId="4">#REF!</definedName>
    <definedName name="_vena_MultiSiteS1_MultiSiteB2_R_5_495736496901324800" localSheetId="5">#REF!</definedName>
    <definedName name="_vena_MultiSiteS1_MultiSiteB2_R_5_495736496901324800" localSheetId="8">'[1]FY26 MYP-Multisite'!#REF!</definedName>
    <definedName name="_vena_MultiSiteS1_MultiSiteB2_R_5_495736496901324800" localSheetId="3">#REF!</definedName>
    <definedName name="_vena_MultiSiteS1_MultiSiteB2_R_5_495736496901324800">#REF!</definedName>
    <definedName name="_vena_MultiSiteS1_MultiSiteB2_R_5_495736637918674944" localSheetId="4">#REF!</definedName>
    <definedName name="_vena_MultiSiteS1_MultiSiteB2_R_5_495736637918674944" localSheetId="5">#REF!</definedName>
    <definedName name="_vena_MultiSiteS1_MultiSiteB2_R_5_495736637918674944" localSheetId="8">'[1]FY26 MYP-Multisite'!#REF!</definedName>
    <definedName name="_vena_MultiSiteS1_MultiSiteB2_R_5_495736637918674944" localSheetId="3">#REF!</definedName>
    <definedName name="_vena_MultiSiteS1_MultiSiteB2_R_5_495736637918674944">#REF!</definedName>
    <definedName name="_vena_MultiSiteS1_MultiSiteB2_R_5_495736795930689536" localSheetId="4">#REF!</definedName>
    <definedName name="_vena_MultiSiteS1_MultiSiteB2_R_5_495736795930689536" localSheetId="5">#REF!</definedName>
    <definedName name="_vena_MultiSiteS1_MultiSiteB2_R_5_495736795930689536" localSheetId="8">'[1]FY26 MYP-Multisite'!#REF!</definedName>
    <definedName name="_vena_MultiSiteS1_MultiSiteB2_R_5_495736795930689536" localSheetId="3">#REF!</definedName>
    <definedName name="_vena_MultiSiteS1_MultiSiteB2_R_5_495736795930689536">#REF!</definedName>
    <definedName name="_vena_MultiSiteS1_MultiSiteB2_R_5_495736973987151921" localSheetId="4">#REF!</definedName>
    <definedName name="_vena_MultiSiteS1_MultiSiteB2_R_5_495736973987151921" localSheetId="5">#REF!</definedName>
    <definedName name="_vena_MultiSiteS1_MultiSiteB2_R_5_495736973987151921" localSheetId="8">'[1]FY26 MYP-Multisite'!#REF!</definedName>
    <definedName name="_vena_MultiSiteS1_MultiSiteB2_R_5_495736973987151921" localSheetId="3">#REF!</definedName>
    <definedName name="_vena_MultiSiteS1_MultiSiteB2_R_5_495736973987151921">#REF!</definedName>
    <definedName name="_vena_MultiSiteS1_MultiSiteB2_R_5_495737043323191296" localSheetId="4">#REF!</definedName>
    <definedName name="_vena_MultiSiteS1_MultiSiteB2_R_5_495737043323191296" localSheetId="5">#REF!</definedName>
    <definedName name="_vena_MultiSiteS1_MultiSiteB2_R_5_495737043323191296" localSheetId="8">'[1]FY26 MYP-Multisite'!#REF!</definedName>
    <definedName name="_vena_MultiSiteS1_MultiSiteB2_R_5_495737043323191296" localSheetId="3">#REF!</definedName>
    <definedName name="_vena_MultiSiteS1_MultiSiteB2_R_5_495737043323191296">#REF!</definedName>
    <definedName name="_vena_MultiSiteS1_MultiSiteB2_R_5_495737181823827968" localSheetId="4">#REF!</definedName>
    <definedName name="_vena_MultiSiteS1_MultiSiteB2_R_5_495737181823827968" localSheetId="5">#REF!</definedName>
    <definedName name="_vena_MultiSiteS1_MultiSiteB2_R_5_495737181823827968" localSheetId="8">'[1]FY26 MYP-Multisite'!#REF!</definedName>
    <definedName name="_vena_MultiSiteS1_MultiSiteB2_R_5_495737181823827968" localSheetId="3">#REF!</definedName>
    <definedName name="_vena_MultiSiteS1_MultiSiteB2_R_5_495737181823827968">#REF!</definedName>
    <definedName name="_vena_MultiSiteS1_MultiSiteB2_R_5_495812598937157632" localSheetId="4">#REF!</definedName>
    <definedName name="_vena_MultiSiteS1_MultiSiteB2_R_5_495812598937157632" localSheetId="5">#REF!</definedName>
    <definedName name="_vena_MultiSiteS1_MultiSiteB2_R_5_495812598937157632" localSheetId="8">'[1]FY26 MYP-Multisite'!#REF!</definedName>
    <definedName name="_vena_MultiSiteS1_MultiSiteB2_R_5_495812598937157632" localSheetId="3">#REF!</definedName>
    <definedName name="_vena_MultiSiteS1_MultiSiteB2_R_5_495812598937157632">#REF!</definedName>
    <definedName name="_vena_MultiSiteS1_MultiSiteB2_R_5_552736486795378689">#REF!</definedName>
    <definedName name="_vena_MultiSiteS1_MultiSiteB2_R_5_552736486812155904">#REF!</definedName>
    <definedName name="_vena_MultiSiteS1_MultiSiteB2_R_5_552736486816350209">#REF!</definedName>
    <definedName name="_vena_MultiSiteS1_MultiSiteB2_R_5_552736486824738817">#REF!</definedName>
    <definedName name="_vena_MultiSiteS1_MultiSiteB2_R_5_552736486833127425">#REF!</definedName>
    <definedName name="_vena_MultiSiteS1_MultiSiteB2_R_5_552736486837321729">#REF!</definedName>
    <definedName name="_vena_MultiSiteS1_MultiSiteB2_R_5_552736486845710337">#REF!</definedName>
    <definedName name="_vena_MultiSiteS1_MultiSiteB2_R_5_552736486854098945">#REF!</definedName>
    <definedName name="_vena_MultiSiteS1_MultiSiteB2_R_5_552736486858293249">#REF!</definedName>
    <definedName name="_vena_MultiSiteS1_MultiSiteB2_R_5_552736486866681857">#REF!</definedName>
    <definedName name="_vena_MultiSiteS1_MultiSiteB2_R_5_552736486875070465">#REF!</definedName>
    <definedName name="_vena_MultiSiteS1_MultiSiteB2_R_5_552736486879264769">#REF!</definedName>
    <definedName name="_vena_MultiSiteS1_MultiSiteB2_R_5_552736486887653377">#REF!</definedName>
    <definedName name="_vena_MultiSiteS1_MultiSiteB2_R_5_552736486896041985">#REF!</definedName>
    <definedName name="_vena_MultiSiteS1_MultiSiteB2_R_5_552736486904430593">#REF!</definedName>
    <definedName name="_vena_MultiSiteS1_MultiSiteB2_R_5_552736486912819201">#REF!</definedName>
    <definedName name="_vena_MultiSiteS1_MultiSiteB2_R_5_552736486925402113">#REF!</definedName>
    <definedName name="_vena_MultiSiteS1_MultiSiteB2_R_5_552736486933790721">#REF!</definedName>
    <definedName name="_vena_MultiSiteS1_MultiSiteB2_R_5_552736486942179329">#REF!</definedName>
    <definedName name="_vena_MultiSiteS1_MultiSiteB2_R_5_552736486950567937">#REF!</definedName>
    <definedName name="_vena_MultiSiteS1_MultiSiteB2_R_5_552736486954762241">#REF!</definedName>
    <definedName name="_vena_MultiSiteS1_MultiSiteB2_R_5_552736486963150849">#REF!</definedName>
    <definedName name="_vena_MultiSiteS1_MultiSiteB2_R_5_552736486979928065">#REF!</definedName>
    <definedName name="_vena_MultiSiteS1_MultiSiteB2_R_5_552736486992510976">#REF!</definedName>
    <definedName name="_vena_MultiSiteS1_MultiSiteB2_R_5_552736487000899585">#REF!</definedName>
    <definedName name="_vena_MultiSiteS1_MultiSiteB2_R_5_552736487009288193">#REF!</definedName>
    <definedName name="_vena_MultiSiteS1_MultiSiteB2_R_5_552736487013482497">#REF!</definedName>
    <definedName name="_vena_MultiSiteS1_MultiSiteB2_R_5_552736487021871105">#REF!</definedName>
    <definedName name="_vena_MultiSiteS1_MultiSiteB2_R_5_552736487030259713">#REF!</definedName>
    <definedName name="_vena_MultiSiteS1_MultiSiteB2_R_5_552736487034454017">#REF!</definedName>
    <definedName name="_vena_MultiSiteS1_MultiSiteB2_R_5_552736487042842625">#REF!</definedName>
    <definedName name="_vena_MultiSiteS1_MultiSiteB2_R_5_552736487051231233">#REF!</definedName>
    <definedName name="_vena_MultiSiteS1_MultiSiteB2_R_5_552736487055425537">#REF!</definedName>
    <definedName name="_vena_MultiSiteS1_MultiSiteB2_R_5_552736487063814145">#REF!</definedName>
    <definedName name="_vena_MultiSiteS1_MultiSiteB2_R_5_552736487072202753">#REF!</definedName>
    <definedName name="_vena_MultiSiteS1_MultiSiteB2_R_5_552736487080591360">#REF!</definedName>
    <definedName name="_vena_MultiSiteS1_MultiSiteB2_R_5_552736487084785665">#REF!</definedName>
    <definedName name="_vena_MultiSiteS1_MultiSiteB2_R_5_552736487101562881">#REF!</definedName>
    <definedName name="_vena_MultiSiteS1_MultiSiteB2_R_5_552736487114145792">#REF!</definedName>
    <definedName name="_vena_MultiSiteS1_MultiSiteB2_R_5_552736487122534401">#REF!</definedName>
    <definedName name="_vena_MultiSiteS1_MultiSiteB2_R_5_552736487130923009">#REF!</definedName>
    <definedName name="_vena_MultiSiteS1_MultiSiteB2_R_5_552736487135117313">#REF!</definedName>
    <definedName name="_vena_MultiSiteS1_MultiSiteB2_R_5_552736487143505921">#REF!</definedName>
    <definedName name="_vena_MultiSiteS1_MultiSiteB2_R_5_552736487151894529">#REF!</definedName>
    <definedName name="_vena_MultiSiteS1_MultiSiteB2_R_5_552736487156088833">#REF!</definedName>
    <definedName name="_vena_MultiSiteS1_MultiSiteB2_R_5_552736487164477441">#REF!</definedName>
    <definedName name="_vena_MultiSiteS1_MultiSiteB2_R_5_552736487172866049">#REF!</definedName>
    <definedName name="_vena_MultiSiteS1_MultiSiteB2_R_5_552736487181254657">#REF!</definedName>
    <definedName name="_vena_MultiSiteS1_MultiSiteB2_R_5_552736487189643264">#REF!</definedName>
    <definedName name="_vena_MultiSiteS1_MultiSiteB2_R_5_552736487193837569">#REF!</definedName>
    <definedName name="_vena_MultiSiteS1_MultiSiteB2_R_5_552736487210614785">#REF!</definedName>
    <definedName name="_vena_MultiSiteS1_MultiSiteB2_R_5_552736487235780608">#REF!</definedName>
    <definedName name="_vena_MultiSiteS1_MultiSiteB2_R_5_552736487248363520">#REF!</definedName>
    <definedName name="_vena_MultiSiteS1_MultiSiteB2_R_5_552736487256752129">#REF!</definedName>
    <definedName name="_vena_MultiSiteS1_MultiSiteB2_R_5_552736487265140737">#REF!</definedName>
    <definedName name="_vena_MultiSiteS1_MultiSiteB2_R_5_552736487269335041">#REF!</definedName>
    <definedName name="_vena_MultiSiteS1_MultiSiteB2_R_5_552736487277723649">#REF!</definedName>
    <definedName name="_vena_MultiSiteS1_MultiSiteB2_R_5_552736487286112257">#REF!</definedName>
    <definedName name="_vena_MultiSiteS1_MultiSiteB2_R_5_552736487294500865">#REF!</definedName>
    <definedName name="_vena_MultiSiteS1_MultiSiteB2_R_5_552736487302889473">#REF!</definedName>
    <definedName name="_vena_MultiSiteS1_MultiSiteB2_R_5_552736487311278081">#REF!</definedName>
    <definedName name="_vena_MultiSiteS1_MultiSiteB2_R_5_552736487315472385">#REF!</definedName>
    <definedName name="_vena_MultiSiteS1_MultiSiteB2_R_5_552736487323860993">#REF!</definedName>
    <definedName name="_vena_MultiSiteS1_MultiSiteB2_R_5_552736487332249601">#REF!</definedName>
    <definedName name="_vena_MultiSiteS1_MultiSiteB2_R_5_552736487340638209">#REF!</definedName>
    <definedName name="_vena_MultiSiteS1_MultiSiteB2_R_5_552736487344832513">#REF!</definedName>
    <definedName name="_vena_MultiSiteS1_MultiSiteB2_R_5_552736487353221121">#REF!</definedName>
    <definedName name="_vena_MultiSiteS1_MultiSiteB2_R_5_552736487361609729">#REF!</definedName>
    <definedName name="_vena_MultiSiteS1_MultiSiteB2_R_5_552736487369998337">#REF!</definedName>
    <definedName name="_vena_MultiSiteS1_MultiSiteB2_R_5_552736487382581249">#REF!</definedName>
    <definedName name="_vena_MultiSiteS1_MultiSiteB2_R_5_552736487399358464">#REF!</definedName>
    <definedName name="_vena_MultiSiteS1_MultiSiteB2_R_5_552736487403552769">#REF!</definedName>
    <definedName name="_vena_MultiSiteS1_MultiSiteB2_R_5_552736487411941377">#REF!</definedName>
    <definedName name="_vena_MultiSiteS1_MultiSiteB2_R_5_552736487420329985">#REF!</definedName>
    <definedName name="_vena_MultiSiteS1_MultiSiteB2_R_5_552736487428718593">#REF!</definedName>
    <definedName name="_vena_MultiSiteS1_MultiSiteB2_R_5_552736487437107201">#REF!</definedName>
    <definedName name="_vena_MultiSiteS1_MultiSiteB2_R_5_552736487445495808">#REF!</definedName>
    <definedName name="_vena_MultiSiteS1_MultiSiteB2_R_5_552736487449690113">#REF!</definedName>
    <definedName name="_vena_MultiSiteS1_MultiSiteB2_R_5_552736487458078721">#REF!</definedName>
    <definedName name="_vena_MultiSiteS1_MultiSiteB2_R_5_552736487466467329">#REF!</definedName>
    <definedName name="_vena_MultiSiteS1_MultiSiteB2_R_5_552736487495827457">#REF!</definedName>
    <definedName name="_vena_MultiSiteS1_MultiSiteB2_R_5_552736487512604672">#REF!</definedName>
    <definedName name="_vena_MultiSiteS1_MultiSiteB2_R_5_552736487516798977">#REF!</definedName>
    <definedName name="_vena_MultiSiteS1_MultiSiteB2_R_5_552736487525187585">#REF!</definedName>
    <definedName name="_vena_MultiSiteS1_MultiSiteB2_R_5_552736487533576193">#REF!</definedName>
    <definedName name="_vena_MultiSiteS1_MultiSiteB2_R_5_552736487541964801">#REF!</definedName>
    <definedName name="_vena_MultiSiteS1_MultiSiteB2_R_5_552736487550353408">#REF!</definedName>
    <definedName name="_vena_MultiSiteS1_MultiSiteB2_R_5_552736487554547713">#REF!</definedName>
    <definedName name="_vena_MultiSiteS1_MultiSiteB2_R_5_552736487562936321">#REF!</definedName>
    <definedName name="_vena_MultiSiteS1_MultiSiteB2_R_5_552736487571324929">#REF!</definedName>
    <definedName name="_vena_MultiSiteS1_MultiSiteB2_R_5_552736487575519233">#REF!</definedName>
    <definedName name="_vena_MultiSiteS1_MultiSiteB2_R_5_552736487592296449">#REF!</definedName>
    <definedName name="_vena_MultiSiteS1_MultiSiteB2_R_5_552736487609073664">#REF!</definedName>
    <definedName name="_vena_MultiSiteS1_MultiSiteB2_R_5_552736487613267969">#REF!</definedName>
    <definedName name="_vena_MultiSiteS1_MultiSiteB2_R_5_552736487621656577">#REF!</definedName>
    <definedName name="_vena_MultiSiteS1_MultiSiteB2_R_5_552736487630045185">#REF!</definedName>
    <definedName name="_vena_MultiSiteS1_MultiSiteB2_R_5_552736487638433793">#REF!</definedName>
    <definedName name="_vena_MultiSiteS1_MultiSiteB2_R_5_552736487646822401">#REF!</definedName>
    <definedName name="_vena_MultiSiteS1_MultiSiteB2_R_5_552736487655211009">#REF!</definedName>
    <definedName name="_vena_MultiSiteS1_MultiSiteB2_R_5_552736487667793921">#REF!</definedName>
    <definedName name="_vena_MultiSiteS1_MultiSiteB2_R_5_552736487684571136">#REF!</definedName>
    <definedName name="_vena_MultiSiteS1_MultiSiteB2_R_5_552736487692959744">#REF!</definedName>
    <definedName name="_vena_MultiSiteS1_MultiSiteB2_R_5_552736487697154049">#REF!</definedName>
    <definedName name="_vena_MultiSiteS1_MultiSiteB2_R_5_552736487705542657">#REF!</definedName>
    <definedName name="_vena_MultiSiteS1_MultiSiteB2_R_5_552736487713931265">#REF!</definedName>
    <definedName name="_vena_MultiSiteS1_MultiSiteB2_R_5_552736487722319872">#REF!</definedName>
    <definedName name="_vena_MultiSiteS1_MultiSiteB2_R_5_552736487726514177">#REF!</definedName>
    <definedName name="_vena_MultiSiteS1_MultiSiteB2_R_5_552736487739097089">#REF!</definedName>
    <definedName name="_vena_MultiSiteS1_MultiSiteB2_R_5_552736487743291393">#REF!</definedName>
    <definedName name="_vena_MultiSiteS1_MultiSiteB2_R_5_552736487818788865">#REF!</definedName>
    <definedName name="_vena_MultiSiteS1_MultiSiteB2_R_5_552736487835566080">#REF!</definedName>
    <definedName name="_vena_MultiSiteS1_MultiSiteB2_R_5_552736487843954688">#REF!</definedName>
    <definedName name="_vena_MultiSiteS1_MultiSiteB2_R_5_552736487848148993">#REF!</definedName>
    <definedName name="_vena_MultiSiteS1_MultiSiteB2_R_5_552736487856537601">#REF!</definedName>
    <definedName name="_vena_MultiSiteS1_MultiSiteB2_R_5_552736487864926209">#REF!</definedName>
    <definedName name="_vena_MultiSiteS1_MultiSiteB2_R_5_552736487873314817">#REF!</definedName>
    <definedName name="_vena_MultiSiteS1_MultiSiteB2_R_5_552736487881703424">#REF!</definedName>
    <definedName name="_vena_MultiSiteS1_MultiSiteB2_R_5_552736487885897729">#REF!</definedName>
    <definedName name="_vena_MultiSiteS1_MultiSiteB2_R_5_552736487894286337">#REF!</definedName>
    <definedName name="_vena_MultiSiteS1_MultiSiteB2_R_5_552736487902674945">#REF!</definedName>
    <definedName name="_vena_MultiSiteS1_MultiSiteB2_R_5_552736487919452161">#REF!</definedName>
    <definedName name="_vena_MultiSiteS1_MultiSiteB2_R_5_552736487936229376">#REF!</definedName>
    <definedName name="_vena_MultiSiteS1_MultiSiteB2_R_5_552736487940423681">#REF!</definedName>
    <definedName name="_vena_MultiSiteS1_MultiSiteB2_R_5_552736487948812289">#REF!</definedName>
    <definedName name="_vena_MultiSiteS1_MultiSiteB2_R_5_552736487957200897">#REF!</definedName>
    <definedName name="_vena_MultiSiteS1_MultiSiteB2_R_5_552736487965589505">#REF!</definedName>
    <definedName name="_vena_MultiSiteS1_MultiSiteB2_R_5_552736487973978113">#REF!</definedName>
    <definedName name="_vena_MultiSiteS1_MultiSiteB2_R_5_552736487982366721">#REF!</definedName>
    <definedName name="_vena_MultiSiteS1_MultiSiteB2_R_5_552736487990755329">#REF!</definedName>
    <definedName name="_vena_MultiSiteS1_MultiSiteB2_R_5_552736487999143937">#REF!</definedName>
    <definedName name="_vena_MultiSiteS1_MultiSiteB2_R_5_552736488007532545">#REF!</definedName>
    <definedName name="_vena_MultiSiteS1_MultiSiteB2_R_5_552736488015921153">#REF!</definedName>
    <definedName name="_vena_MultiSiteS1_MultiSiteB2_R_5_552736488024309760">#REF!</definedName>
    <definedName name="_vena_MultiSiteS1_MultiSiteB2_R_5_552736488028504065">#REF!</definedName>
    <definedName name="_vena_MultiSiteS1_MultiSiteB2_R_5_552736488049475585">#REF!</definedName>
    <definedName name="_vena_MultiSiteS1_MultiSiteB2_R_5_552736488066252800">#REF!</definedName>
    <definedName name="_vena_MultiSiteS1_MultiSiteB2_R_5_552736488074641409">#REF!</definedName>
    <definedName name="_vena_MultiSiteS1_MultiSiteB2_R_5_552736488078835713">#REF!</definedName>
    <definedName name="_vena_MultiSiteS1_MultiSiteB2_R_5_552736488087224321">#REF!</definedName>
    <definedName name="_vena_MultiSiteS1_MultiSiteB2_R_5_552736488095612929">#REF!</definedName>
    <definedName name="_vena_MultiSiteS1_MultiSiteB2_R_5_552736488124973057">#REF!</definedName>
    <definedName name="_vena_MultiSiteS1_MultiSiteB2_R_5_552736488154333185">#REF!</definedName>
    <definedName name="_vena_MultiSiteS1_MultiSiteB2_R_5_552736488162721793">#REF!</definedName>
    <definedName name="_vena_MultiSiteS1_MultiSiteB2_R_5_552736488175304704">#REF!</definedName>
    <definedName name="_vena_MultiSiteS1_MultiSiteB2_R_5_552736488183693313">#REF!</definedName>
    <definedName name="_vena_MultiSiteS1_MultiSiteB2_R_5_552736488200470528">#REF!</definedName>
    <definedName name="_vena_MultiSiteS1_MultiSiteB2_R_5_552736488208859137">#REF!</definedName>
    <definedName name="_vena_MultiSiteS1_MultiSiteB2_R_5_552736488217247745">#REF!</definedName>
    <definedName name="_vena_MultiSiteS1_MultiSiteB2_R_5_552736488225636353">#REF!</definedName>
    <definedName name="_vena_MultiSiteS1_MultiSiteB2_R_5_552736488234024961">#REF!</definedName>
    <definedName name="_vena_MultiSiteS1_MultiSiteB2_R_5_552736488242413569">#REF!</definedName>
    <definedName name="_vena_MultiSiteS1_MultiSiteB2_R_5_552736488259190784">#REF!</definedName>
    <definedName name="_vena_MultiSiteS1_MultiSiteB2_R_5_552736488263385089">#REF!</definedName>
    <definedName name="_vena_MultiSiteS1_MultiSiteB2_R_5_552736488280162304">#REF!</definedName>
    <definedName name="_vena_MultiSiteS1_MultiSiteB2_R_5_552736488292745216">#REF!</definedName>
    <definedName name="_vena_MultiSiteS1_MultiSiteB2_R_5_552736488305328128">#REF!</definedName>
    <definedName name="_vena_MultiSiteS1_MultiSiteB2_R_5_552736488313716737">#REF!</definedName>
    <definedName name="_vena_MultiSiteS1_MultiSiteB2_R_5_552736488322105345">#REF!</definedName>
    <definedName name="_vena_MultiSiteS1_MultiSiteB2_R_5_552736488334688256">#REF!</definedName>
    <definedName name="_vena_MultiSiteS1_MultiSiteB2_R_5_552736488355659776">#REF!</definedName>
    <definedName name="_vena_MultiSiteS1_MultiSiteB2_R_5_552736488364048385">#REF!</definedName>
    <definedName name="_vena_MultiSiteS1_MultiSiteB2_R_5_552736488380825600">#REF!</definedName>
    <definedName name="_vena_MultiSiteS1_MultiSiteB2_R_5_552736488389214209">#REF!</definedName>
    <definedName name="_vena_MultiSiteS1_MultiSiteB2_R_5_552736488397602817">#REF!</definedName>
    <definedName name="_vena_MultiSiteS1_MultiSiteB2_R_5_552736488414380032">#REF!</definedName>
    <definedName name="_vena_MultiSiteS1_MultiSiteB2_R_5_552736488418574337">#REF!</definedName>
    <definedName name="_vena_MultiSiteS1_MultiSiteB2_R_5_552736488426962945">#REF!</definedName>
    <definedName name="_vena_MultiSiteS1_MultiSiteB2_R_5_552736488456323072">#REF!</definedName>
    <definedName name="_vena_MultiSiteS1_MultiSiteB2_R_5_552736488464711681">#REF!</definedName>
    <definedName name="_vena_MultiSiteS1_MultiSiteB2_R_5_552736488485683200">#REF!</definedName>
    <definedName name="_vena_MultiSiteS1_MultiSiteB2_R_5_552736488489877505">#REF!</definedName>
    <definedName name="_vena_MultiSiteS1_MultiSiteB2_R_5_552736488502460416">#REF!</definedName>
    <definedName name="_vena_MultiSiteS1_MultiSiteB2_R_5_552736488519237632">#REF!</definedName>
    <definedName name="_vena_MultiSiteS1_MultiSiteB2_R_5_552736488531820545">#REF!</definedName>
    <definedName name="_vena_MultiSiteS1_MultiSiteB2_R_5_552736488544403457">#REF!</definedName>
    <definedName name="_vena_MultiSiteS1_MultiSiteB2_R_5_552736488556986369">#REF!</definedName>
    <definedName name="_vena_MultiSiteS1_MultiSiteB2_R_5_552736488565374977">#REF!</definedName>
    <definedName name="_vena_MultiSiteS1_MultiSiteB2_R_5_552736488569569281">#REF!</definedName>
    <definedName name="_vena_MultiSiteS1_MultiSiteB2_R_5_552736488586346496">#REF!</definedName>
    <definedName name="_vena_MultiSiteS1_MultiSiteB2_R_5_552736488594735105">#REF!</definedName>
    <definedName name="_vena_MultiSiteS1_MultiSiteB2_R_5_552736488603123713">#REF!</definedName>
    <definedName name="_vena_MultiSiteS1_MultiSiteB2_R_5_552736488615706624">#REF!</definedName>
    <definedName name="_vena_MultiSiteS1_MultiSiteB2_R_5_552736488624095233">#REF!</definedName>
    <definedName name="_vena_MultiSiteS1_MultiSiteB2_R_5_552736488636678144">#REF!</definedName>
    <definedName name="_vena_MultiSiteS1_MultiSiteB2_R_5_552736488645066753">#REF!</definedName>
    <definedName name="_vena_MultiSiteS1_MultiSiteB2_R_5_552736488653455361">#REF!</definedName>
    <definedName name="_vena_MultiSiteS1_MultiSiteB2_R_5_552736488661843969">#REF!</definedName>
    <definedName name="_vena_MultiSiteS1_MultiSiteB2_R_5_552736488674426881">#REF!</definedName>
    <definedName name="_vena_MultiSiteS1_MultiSiteB2_R_5_552736488691204096">#REF!</definedName>
    <definedName name="_vena_MultiSiteS1_MultiSiteB2_R_5_552736488699592705">#REF!</definedName>
    <definedName name="_vena_MultiSiteS1_MultiSiteB2_R_5_552736488716369920">#REF!</definedName>
    <definedName name="_vena_MultiSiteS1_MultiSiteB2_R_5_552736488720564225">#REF!</definedName>
    <definedName name="_vena_MultiSiteS1_MultiSiteB2_R_5_552736488733147137">#REF!</definedName>
    <definedName name="_vena_MultiSiteS1_MultiSiteB2_R_5_552736488749924352">#REF!</definedName>
    <definedName name="_vena_MultiSiteS1_MultiSiteB2_R_5_552736488766701569">#REF!</definedName>
    <definedName name="_vena_MultiSiteS1_MultiSiteB2_R_5_552736488800256000">#REF!</definedName>
    <definedName name="_vena_MultiSiteS1_MultiSiteB2_R_5_552736488808644609">#REF!</definedName>
    <definedName name="_vena_MultiSiteS1_MultiSiteB2_R_5_552736488817033217">#REF!</definedName>
    <definedName name="_vena_MultiSiteS1_MultiSiteB2_R_5_552736488825421825">#REF!</definedName>
    <definedName name="_vena_MultiSiteS1_MultiSiteB2_R_5_552736488829616129">#REF!</definedName>
    <definedName name="_vena_MultiSiteS1_MultiSiteB2_R_5_552736488838004737">#REF!</definedName>
    <definedName name="_vena_MultiSiteS1_MultiSiteB2_R_5_552736488846393345">#REF!</definedName>
    <definedName name="_vena_MultiSiteS1_MultiSiteB2_R_5_552736488863170560">#REF!</definedName>
    <definedName name="_vena_MultiSiteS1_MultiSiteB2_R_5_552736488879947776">#REF!</definedName>
    <definedName name="_vena_MultiSiteS1_MultiSiteB2_R_5_552736488888336384">#REF!</definedName>
    <definedName name="_vena_MultiSiteS1_MultiSiteB2_R_5_552736488892530689">#REF!</definedName>
    <definedName name="_vena_MultiSiteS1_MultiSiteB2_R_5_552736488900919297">#REF!</definedName>
    <definedName name="_vena_MultiSiteS1_MultiSiteB2_R_5_552736488913502209">#REF!</definedName>
    <definedName name="_vena_MultiSiteS1_MultiSiteB2_R_5_552736488921890817">#REF!</definedName>
    <definedName name="_vena_MultiSiteS1_MultiSiteB2_R_5_552736488930279425">#REF!</definedName>
    <definedName name="_vena_MultiSiteS1_MultiSiteB2_R_5_552736488934473729">#REF!</definedName>
    <definedName name="_vena_MultiSiteS1_MultiSiteB2_R_5_552736488942862337">#REF!</definedName>
    <definedName name="_vena_MultiSiteS1_MultiSiteB2_R_5_552736488951250945">#REF!</definedName>
    <definedName name="_vena_MultiSiteS1_MultiSiteB2_R_5_552736488959639553">#REF!</definedName>
    <definedName name="_vena_MultiSiteS1_MultiSiteB2_R_5_552736488976416768">#REF!</definedName>
    <definedName name="_vena_MultiSiteS1_MultiSiteB2_R_5_552736488984805377">#REF!</definedName>
    <definedName name="_vena_MultiSiteS1_MultiSiteB2_R_5_552736489001582592">#REF!</definedName>
    <definedName name="_vena_MultiSiteS1_MultiSiteB2_R_5_552736489014165504">#REF!</definedName>
    <definedName name="_vena_MultiSiteS1_MultiSiteB2_R_5_552736489026748416">#REF!</definedName>
    <definedName name="_vena_MultiSiteS1_MultiSiteB2_R_5_552736489035137025">#REF!</definedName>
    <definedName name="_vena_MultiSiteS1_MultiSiteB2_R_5_552736489047719936">#REF!</definedName>
    <definedName name="_vena_MultiSiteS1_MultiSiteB2_R_5_552736489056108545">#REF!</definedName>
    <definedName name="_vena_MultiSiteS1_MultiSiteB2_R_5_552736489064497153">#REF!</definedName>
    <definedName name="_vena_MultiSiteS1_MultiSiteB2_R_5_552736489085468672">#REF!</definedName>
    <definedName name="_vena_MultiSiteS1_MultiSiteB2_R_5_552736489089662977">#REF!</definedName>
    <definedName name="_vena_MultiSiteS1_MultiSiteB2_R_5_552736489110634496">#REF!</definedName>
    <definedName name="_vena_MultiSiteS1_MultiSiteB2_R_5_552736489119023104">#REF!</definedName>
    <definedName name="_vena_MultiSiteS1_MultiSiteB2_R_5_552736489127411713">#REF!</definedName>
    <definedName name="_vena_MultiSiteS1_MultiSiteB2_R_5_553004603877228544">#REF!</definedName>
    <definedName name="_vena_MultiSiteS1_MultiSiteB2_R_5_553004856093966336">#REF!</definedName>
    <definedName name="_vena_MultiSiteS1_MultiSiteB2_R_5_553005432164974592">#REF!</definedName>
    <definedName name="_vena_MultiSiteS1_MultiSiteB2_R_5_553020693446131712">#REF!</definedName>
    <definedName name="_vena_MultiSiteS1_MultiSiteB2_R_5_553020693450326017">#REF!</definedName>
    <definedName name="_vena_MultiSiteS1_MultiSiteB2_R_5_553020693454520321">#REF!</definedName>
    <definedName name="_vena_MultiSiteS1_MultiSiteB2_R_5_553020693454520323">#REF!</definedName>
    <definedName name="_vena_MultiSiteS1_MultiSiteB2_R_5_553020693458714625">#REF!</definedName>
    <definedName name="_vena_MultiSiteS1_MultiSiteB2_R_5_553020693462908929">#REF!</definedName>
    <definedName name="_vena_MultiSiteS1_MultiSiteB2_R_5_553020693462908931">#REF!</definedName>
    <definedName name="_vena_MultiSiteS1_MultiSiteB2_R_5_553020693467103233">#REF!</definedName>
    <definedName name="_vena_MultiSiteS1_MultiSiteB2_R_5_553020693471297537">#REF!</definedName>
    <definedName name="_vena_MultiSiteS1_MultiSiteB2_R_5_553020693471297539">#REF!</definedName>
    <definedName name="_vena_MultiSiteS1_MultiSiteB2_R_5_553020693475491841">#REF!</definedName>
    <definedName name="_vena_MultiSiteS1_MultiSiteB2_R_5_553020693479686147">#REF!</definedName>
    <definedName name="_vena_MultiSiteS1_MultiSiteB2_R_5_553020693483880449">#REF!</definedName>
    <definedName name="_vena_MultiSiteS1_MultiSiteB2_R_5_553020693488074753">#REF!</definedName>
    <definedName name="_vena_MultiSiteS1_MultiSiteB2_R_5_553020693488074755">#REF!</definedName>
    <definedName name="_vena_MultiSiteS1_MultiSiteB2_R_5_553020693492269057">#REF!</definedName>
    <definedName name="_vena_MultiSiteS1_MultiSiteB2_R_5_553020693496463361">#REF!</definedName>
    <definedName name="_vena_MultiSiteS1_MultiSiteB2_R_5_553020693496463363">#REF!</definedName>
    <definedName name="_vena_MultiSiteS1_MultiSiteB2_R_5_553020693500657665">#REF!</definedName>
    <definedName name="_vena_MultiSiteS1_MultiSiteB2_R_5_553020693504851969">#REF!</definedName>
    <definedName name="_vena_MultiSiteS1_MultiSiteB2_R_5_553020693521629184">#REF!</definedName>
    <definedName name="_vena_MultiSiteS1_MultiSiteB2_R_5_553020693525823489">#REF!</definedName>
    <definedName name="_vena_MultiSiteS1_MultiSiteB2_R_5_553020693530017793">#REF!</definedName>
    <definedName name="_vena_MultiSiteS1_MultiSiteB2_R_5_555286447117959168">#REF!</definedName>
    <definedName name="_vena_MultiSiteS1_MultiSiteB2_R_5_555594863500853248">#REF!</definedName>
    <definedName name="_vena_MultiSiteS1_MultiSiteB2_R_5_555595689988980736">#REF!</definedName>
    <definedName name="_vena_MultiSiteS1_MultiSiteB2_R_5_555600502600237056">#REF!</definedName>
    <definedName name="_vena_MultiSiteS1_MultiSiteB2_R_5_567892648623472640">#REF!</definedName>
    <definedName name="_vena_MultiSiteS1_MultiSiteB2_R_5_567893146436894720">#REF!</definedName>
    <definedName name="_vena_MultiSiteS1_MultiSiteB2_R_5_567893413639356416">#REF!</definedName>
    <definedName name="_vena_MultiSiteS1_MultiSiteB2_R_5_567893530102464512">#REF!</definedName>
    <definedName name="_vena_MultiSiteS1_MultiSiteB2_R_5_567893685237710848">#REF!</definedName>
    <definedName name="_vena_MultiSiteS1_MultiSiteB2_R_5_567893851260583936">#REF!</definedName>
    <definedName name="_vena_MultiSiteS1_MultiSiteB2_R_5_567894059482349568">#REF!</definedName>
    <definedName name="_vena_MultiSiteS1_MultiSiteB2_R_5_567894184993226752">#REF!</definedName>
    <definedName name="_vena_MultiSiteS1_MultiSiteB2_R_5_567894306095104000">#REF!</definedName>
    <definedName name="_vena_MultiSiteS1_MultiSiteB2_R_5_567894417365925888">#REF!</definedName>
    <definedName name="_vena_MultiSiteS1_MultiSiteB2_R_5_567895058167758848">#REF!</definedName>
    <definedName name="_vena_MultiSiteS1_MultiSiteB2_R_5_567895151054422016">#REF!</definedName>
    <definedName name="_vena_MultiSiteS1_MultiSiteB2_R_5_567895227948990464">#REF!</definedName>
    <definedName name="_vena_MultiSiteS1_MultiSiteB2_R_5_567895334349701120">#REF!</definedName>
    <definedName name="_vena_MultiSiteS1_MultiSiteB2_R_5_588955414247505920">#REF!</definedName>
    <definedName name="_vena_MultiSiteS1_MultiSiteB2_R_5_588955952527835136">#REF!</definedName>
    <definedName name="_vena_MultiSiteS1_MultiSiteB2_R_5_607045133481148416">#REF!</definedName>
    <definedName name="_vena_MultiSiteS1_MultiSiteB2_R_5_632005310831919105">#REF!</definedName>
    <definedName name="_vena_MultiSiteS1_MultiSiteB2_R_5_632005310831919111">#REF!</definedName>
    <definedName name="_vena_MultiSiteS1_MultiSiteB2_R_5_632005310831919113">#REF!</definedName>
    <definedName name="_vena_MultiSiteS1_MultiSiteB2_R_5_632005310836113408">#REF!</definedName>
    <definedName name="_vena_MultiSiteS1_MultiSiteB2_R_5_632005310836113410">#REF!</definedName>
    <definedName name="_vena_MultiSiteS1_MultiSiteB2_R_5_632005310840307712">#REF!</definedName>
    <definedName name="_vena_MultiSiteS1_MultiSiteB2_R_5_632005310852890628">#REF!</definedName>
    <definedName name="_vena_MultiSiteS1_MultiSiteB2_R_5_632005310857084934">#REF!</definedName>
    <definedName name="_vena_MultiSiteS1_MultiSiteB2_R_5_632005310857084936">#REF!</definedName>
    <definedName name="_vena_MultiSiteS1_MultiSiteB2_R_5_632005310861279232">#REF!</definedName>
    <definedName name="_vena_MultiSiteS1_MultiSiteB2_R_5_632005310861279234">#REF!</definedName>
    <definedName name="_vena_MultiSiteS1_MultiSiteB2_R_5_632005310861279238">#REF!</definedName>
    <definedName name="_vena_MultiSiteS1_MultiSiteB2_R_5_632005310882250754">#REF!</definedName>
    <definedName name="_vena_MultiSiteS1_MultiSiteB2_R_5_632005310882250756">#REF!</definedName>
    <definedName name="_vena_MultiSiteS1_MultiSiteB2_R_5_632005310890639362">#REF!</definedName>
    <definedName name="_vena_MultiSiteS1_MultiSiteB2_R_5_632005310890639364">#REF!</definedName>
    <definedName name="_vena_MultiSiteS1_MultiSiteB2_R_5_632005310890639366">#REF!</definedName>
    <definedName name="_vena_MultiSiteS1_MultiSiteB2_R_5_632005310894833664">#REF!</definedName>
    <definedName name="_vena_MultiSiteS1_MultiSiteB2_R_5_632005310894833672">#REF!</definedName>
    <definedName name="_vena_MultiSiteS1_MultiSiteB2_R_5_632005310915805190">#REF!</definedName>
    <definedName name="_vena_MultiSiteS1_MultiSiteB2_R_5_632005310919999492">#REF!</definedName>
    <definedName name="_vena_MultiSiteS1_MultiSiteB2_R_5_632005310919999494">#REF!</definedName>
    <definedName name="_vena_MultiSiteS1_MultiSiteB2_R_5_632005310919999496">#REF!</definedName>
    <definedName name="_vena_MultiSiteS1_MultiSiteB2_R_5_632005310924193792">#REF!</definedName>
    <definedName name="_vena_MultiSiteS1_MultiSiteB2_R_5_632005310924193798">#REF!</definedName>
    <definedName name="_vena_MultiSiteS1_MultiSiteB2_R_5_632005310940971013">#REF!</definedName>
    <definedName name="_vena_MultiSiteS1_MultiSiteB2_R_5_632005310945165316">#REF!</definedName>
    <definedName name="_vena_MultiSiteS1_MultiSiteB2_R_5_632005310949359624">#REF!</definedName>
    <definedName name="_vena_MultiSiteS1_MultiSiteB2_R_5_632005310953553920">#REF!</definedName>
    <definedName name="_vena_MultiSiteS1_MultiSiteB2_R_5_632005310953553922">#REF!</definedName>
    <definedName name="_vena_MultiSiteS1_MultiSiteB2_R_5_632005310953553924">#REF!</definedName>
    <definedName name="_vena_MultiSiteS1_MultiSiteB2_R_5_632005310957748224">#REF!</definedName>
    <definedName name="_vena_MultiSiteS1_MultiSiteB2_R_5_632005310957748226">#REF!</definedName>
    <definedName name="_vena_MultiSiteS1_MultiSiteB2_R_5_632005310974525442">#REF!</definedName>
    <definedName name="_vena_MultiSiteS1_MultiSiteB2_R_5_632005310974525444">#REF!</definedName>
    <definedName name="_vena_MultiSiteS1_MultiSiteB2_R_5_632005310978719744">#REF!</definedName>
    <definedName name="_vena_MultiSiteS1_MultiSiteB2_R_5_632005310982914050">#REF!</definedName>
    <definedName name="_vena_MultiSiteS1_MultiSiteB2_R_5_632005310982914052">#REF!</definedName>
    <definedName name="_vena_MultiSiteS1_MultiSiteB2_R_5_632005310982914054">#REF!</definedName>
    <definedName name="_vena_MultiSiteS1_MultiSiteB2_R_5_632005310982914056">#REF!</definedName>
    <definedName name="_vena_MultiSiteS1_MultiSiteB2_R_5_632005310987108357">#REF!</definedName>
    <definedName name="_vena_MultiSiteS1_MultiSiteB2_R_5_632005310995496960">#REF!</definedName>
    <definedName name="_vena_MultiSiteS1_MultiSiteB2_R_5_632005310995496962">#REF!</definedName>
    <definedName name="_vena_MultiSiteS1_MultiSiteB2_R_5_632005310995496966">#REF!</definedName>
    <definedName name="_vena_MultiSiteS1_MultiSiteB2_R_5_632005311008079873">#REF!</definedName>
    <definedName name="_vena_MultiSiteS1_MultiSiteB2_R_5_632005311012274180">#REF!</definedName>
    <definedName name="_vena_MultiSiteS1_MultiSiteB2_R_5_632005311012274184">#REF!</definedName>
    <definedName name="_vena_MultiSiteS1_MultiSiteB2_R_5_632005311016468480">#REF!</definedName>
    <definedName name="_vena_MultiSiteS1_MultiSiteB2_R_5_632005311016468486">#REF!</definedName>
    <definedName name="_vena_MultiSiteS1_MultiSiteB2_R_5_632005311033245699">#REF!</definedName>
    <definedName name="_vena_MultiSiteS1_MultiSiteB2_R_5_632005311033245703">#REF!</definedName>
    <definedName name="_vena_MultiSiteS1_MultiSiteB2_R_5_632005311037440008">#REF!</definedName>
    <definedName name="_vena_MultiSiteS1_MultiSiteB2_R_5_632005311041634304">#REF!</definedName>
    <definedName name="_vena_MultiSiteS1_MultiSiteB2_R_5_632005311041634306">#REF!</definedName>
    <definedName name="_vena_MultiSiteS1_MultiSiteB2_R_5_632005311041634308">#REF!</definedName>
    <definedName name="_vena_MultiSiteS1_MultiSiteB2_R_5_632005311062605830">#REF!</definedName>
    <definedName name="_vena_MultiSiteS1_MultiSiteB2_R_5_632005311070994432">#REF!</definedName>
    <definedName name="_vena_MultiSiteS1_MultiSiteB2_R_5_632005311070994434">#REF!</definedName>
    <definedName name="_vena_MultiSiteS1_MultiSiteB2_R_5_632005311070994436">#REF!</definedName>
    <definedName name="_vena_MultiSiteS1_MultiSiteB2_R_5_632005311070994438">#REF!</definedName>
    <definedName name="_vena_MultiSiteS1_MultiSiteB2_R_5_632005311083577348">#REF!</definedName>
    <definedName name="_vena_MultiSiteS1_MultiSiteB2_R_5_632005311096160258">#REF!</definedName>
    <definedName name="_vena_MultiSiteS1_MultiSiteB2_R_5_632005311096160260">#REF!</definedName>
    <definedName name="_vena_MultiSiteS1_MultiSiteB2_R_5_632005311096160262">#REF!</definedName>
    <definedName name="_vena_MultiSiteS1_MultiSiteB2_R_5_632005311096160264">#REF!</definedName>
    <definedName name="_vena_MultiSiteS1_MultiSiteB2_R_5_632005311100354567">#REF!</definedName>
    <definedName name="_vena_MultiSiteS1_MultiSiteB2_R_5_632005311121326082">#REF!</definedName>
    <definedName name="_vena_MultiSiteS1_MultiSiteB2_R_5_632005311121326086">#REF!</definedName>
    <definedName name="_vena_MultiSiteS1_MultiSiteB2_R_5_632005311125520384">#REF!</definedName>
    <definedName name="_vena_MultiSiteS1_MultiSiteB2_R_5_632005311125520386">#REF!</definedName>
    <definedName name="_vena_MultiSiteS1_MultiSiteB2_R_5_632005311125520392">#REF!</definedName>
    <definedName name="_vena_MultiSiteS1_MultiSiteB2_R_5_632005311146491912">#REF!</definedName>
    <definedName name="_vena_MultiSiteS1_MultiSiteB2_R_5_632005311150686208">#REF!</definedName>
    <definedName name="_vena_MultiSiteS1_MultiSiteB2_R_5_632005311154880512">#REF!</definedName>
    <definedName name="_vena_MultiSiteS1_MultiSiteB2_R_5_632005311154880514">#REF!</definedName>
    <definedName name="_vena_MultiSiteS1_MultiSiteB2_R_5_632005311154880516">#REF!</definedName>
    <definedName name="_vena_MultiSiteS1_MultiSiteB2_R_5_632005311159074816">#REF!</definedName>
    <definedName name="_vena_MultiSiteS1_MultiSiteB2_R_5_632005311175852035">#REF!</definedName>
    <definedName name="_vena_MultiSiteS1_MultiSiteB2_R_5_632005311175852039">#REF!</definedName>
    <definedName name="_vena_MultiSiteS1_MultiSiteB2_R_5_632005311184240640">#REF!</definedName>
    <definedName name="_vena_MultiSiteS1_MultiSiteB2_R_5_632005311184240642">#REF!</definedName>
    <definedName name="_vena_MultiSiteS1_MultiSiteB2_R_5_632005311184240644">#REF!</definedName>
    <definedName name="_vena_MultiSiteS1_MultiSiteB2_R_5_632005311188434945">#REF!</definedName>
    <definedName name="_vena_MultiSiteS1_MultiSiteB2_R_5_632005311209406470">#REF!</definedName>
    <definedName name="_vena_MultiSiteS1_MultiSiteB2_R_5_632005311209406472">#REF!</definedName>
    <definedName name="_vena_MultiSiteS1_MultiSiteB2_R_5_632005311213600768">#REF!</definedName>
    <definedName name="_vena_MultiSiteS1_MultiSiteB2_R_5_632005311213600770">#REF!</definedName>
    <definedName name="_vena_MultiSiteS1_MultiSiteB2_R_5_632005311230377986">#REF!</definedName>
    <definedName name="_vena_MultiSiteS1_MultiSiteB2_R_5_632005311234572292">#REF!</definedName>
    <definedName name="_vena_MultiSiteS1_MultiSiteB2_R_5_632005311234572294">#REF!</definedName>
    <definedName name="_vena_MultiSiteS1_MultiSiteB2_R_5_632005311238766592">#REF!</definedName>
    <definedName name="_vena_MultiSiteS1_MultiSiteB2_R_5_632005311238766596">#REF!</definedName>
    <definedName name="_vena_MultiSiteS1_MultiSiteB2_R_5_632005311238766600">#REF!</definedName>
    <definedName name="_vena_MultiSiteS1_MultiSiteB2_R_5_632005311255543815">#REF!</definedName>
    <definedName name="_vena_MultiSiteS1_MultiSiteB2_R_5_632005311259738112">#REF!</definedName>
    <definedName name="_vena_MultiSiteS1_MultiSiteB2_R_5_632005311259738114">#REF!</definedName>
    <definedName name="_vena_MultiSiteS1_MultiSiteB2_R_5_632005311263932420">#REF!</definedName>
    <definedName name="_vena_MultiSiteS1_MultiSiteB2_R_5_632005311263932422">#REF!</definedName>
    <definedName name="_vena_MultiSiteS1_MultiSiteB2_R_5_632005311268126720">#REF!</definedName>
    <definedName name="_vena_MultiSiteS1_MultiSiteB2_R_5_632005311268126726">#REF!</definedName>
    <definedName name="_vena_MultiSiteS1_MultiSiteB2_R_5_632005311268126728">#REF!</definedName>
    <definedName name="_vena_MultiSiteS1_MultiSiteB2_R_5_632005311284903938">#REF!</definedName>
    <definedName name="_vena_MultiSiteS1_MultiSiteB2_R_5_632005311284903942">#REF!</definedName>
    <definedName name="_vena_MultiSiteS1_MultiSiteB2_R_5_632005311289098249">#REF!</definedName>
    <definedName name="_vena_MultiSiteS1_MultiSiteB2_R_5_632005311293292544">#REF!</definedName>
    <definedName name="_vena_MultiSiteS1_MultiSiteB2_R_5_632005311293292546">#REF!</definedName>
    <definedName name="_vena_MultiSiteS1_MultiSiteB2_R_5_632005311293292548">#REF!</definedName>
    <definedName name="_vena_MultiSiteS1_MultiSiteB2_R_5_632005311297486850">#REF!</definedName>
    <definedName name="_vena_MultiSiteS1_MultiSiteB2_R_5_632005311297486852">#REF!</definedName>
    <definedName name="_vena_MultiSiteS1_MultiSiteB2_R_5_632005311318458370">#REF!</definedName>
    <definedName name="_vena_MultiSiteS1_MultiSiteB2_R_5_632005311318458372">#REF!</definedName>
    <definedName name="_vena_MultiSiteS1_MultiSiteB2_R_5_632005311318458374">#REF!</definedName>
    <definedName name="_vena_MultiSiteS1_MultiSiteB2_R_5_632005311318458376">#REF!</definedName>
    <definedName name="_vena_MultiSiteS1_MultiSiteB2_R_5_632005311322652677">#REF!</definedName>
    <definedName name="_vena_MultiSiteS1_MultiSiteB2_R_5_632005311322652679">#REF!</definedName>
    <definedName name="_vena_MultiSiteS1_MultiSiteB2_R_5_632005311335235592">#REF!</definedName>
    <definedName name="_vena_MultiSiteS1_MultiSiteB2_R_5_632005311339429888">#REF!</definedName>
    <definedName name="_vena_MultiSiteS1_MultiSiteB2_R_5_632005311339429890">#REF!</definedName>
    <definedName name="_vena_MultiSiteS1_MultiSiteB2_R_5_632005311339429892">#REF!</definedName>
    <definedName name="_vena_MultiSiteS1_MultiSiteB2_R_5_632005311339429894">#REF!</definedName>
    <definedName name="_vena_MultiSiteS1_MultiSiteB2_R_5_632005311343624200">#REF!</definedName>
    <definedName name="_vena_MultiSiteS1_MultiSiteB2_R_5_632005311347818496">#REF!</definedName>
    <definedName name="_vena_MultiSiteS1_MultiSiteB2_R_5_632005311347818498">#REF!</definedName>
    <definedName name="_vena_MultiSiteS1_MultiSiteB2_R_5_632005311347818500">#REF!</definedName>
    <definedName name="_vena_MultiSiteS1_MultiSiteB2_R_5_632005311352012802">#REF!</definedName>
    <definedName name="_vena_MultiSiteS1_MultiSiteB2_R_5_632005311352012804">#REF!</definedName>
    <definedName name="_vena_MultiSiteS1_MultiSiteB2_R_5_632005311377178626">#REF!</definedName>
    <definedName name="_vena_MultiSiteS1_MultiSiteB2_R_5_632005311377178628">#REF!</definedName>
    <definedName name="_vena_MultiSiteS1_MultiSiteB2_R_5_632005311377178630">#REF!</definedName>
    <definedName name="_vena_MultiSiteS1_MultiSiteB2_R_5_632005311377178632">#REF!</definedName>
    <definedName name="_vena_MultiSiteS1_MultiSiteB2_R_5_632005311381372931">#REF!</definedName>
    <definedName name="_vena_MultiSiteS1_MultiSiteB2_R_5_632005311381372933">#REF!</definedName>
    <definedName name="_vena_MultiSiteS1_MultiSiteB2_R_5_632005311398150152">#REF!</definedName>
    <definedName name="_vena_MultiSiteS1_MultiSiteB2_R_5_632005311402344448">#REF!</definedName>
    <definedName name="_vena_MultiSiteS1_MultiSiteB2_R_5_632005311402344450">#REF!</definedName>
    <definedName name="_vena_MultiSiteS1_MultiSiteB2_R_5_632005311402344452">#REF!</definedName>
    <definedName name="_vena_MultiSiteS1_MultiSiteB2_R_5_632005311406538754">#REF!</definedName>
    <definedName name="_vena_MultiSiteS1_MultiSiteB2_R_5_632005311406538756">#REF!</definedName>
    <definedName name="_vena_MultiSiteS1_MultiSiteB2_R_5_632005311406538758">#REF!</definedName>
    <definedName name="_vena_MultiSiteS1_MultiSiteB2_R_5_632005311423315976">#REF!</definedName>
    <definedName name="_vena_MultiSiteS1_MultiSiteB2_R_5_632005311427510272">#REF!</definedName>
    <definedName name="_vena_MultiSiteS1_MultiSiteB2_R_5_632005311427510274">#REF!</definedName>
    <definedName name="_vena_MultiSiteS1_MultiSiteB2_R_5_632005311431704581">#REF!</definedName>
    <definedName name="_vena_MultiSiteS1_MultiSiteB2_R_5_632005311431704583">#REF!</definedName>
    <definedName name="_vena_MultiSiteS1_MultiSiteB2_R_5_632005311435898880">#REF!</definedName>
    <definedName name="_vena_MultiSiteS1_MultiSiteB2_R_5_632005311435898882">#REF!</definedName>
    <definedName name="_vena_MultiSiteS1_MultiSiteB2_R_5_632005311440093184">#REF!</definedName>
    <definedName name="_vena_MultiSiteS1_MultiSiteB2_R_5_632005311452676096">#REF!</definedName>
    <definedName name="_vena_MultiSiteS1_MultiSiteB2_R_5_632005311452676098">#REF!</definedName>
    <definedName name="_vena_MultiSiteS1_MultiSiteB2_R_5_632005311452676100">#REF!</definedName>
    <definedName name="_vena_MultiSiteS1_MultiSiteB2_R_5_632005311452676102">#REF!</definedName>
    <definedName name="_vena_MultiSiteS1_MultiSiteB2_R_5_632005311456870402">#REF!</definedName>
    <definedName name="_vena_MultiSiteS1_MultiSiteB2_R_5_632005311473647616">#REF!</definedName>
    <definedName name="_vena_MultiSiteS1_MultiSiteB2_R_5_632005311477841923">#REF!</definedName>
    <definedName name="_vena_MultiSiteS1_MultiSiteB2_R_5_632005311477841925">#REF!</definedName>
    <definedName name="_vena_MultiSiteS1_MultiSiteB2_R_5_632005311477841927">#REF!</definedName>
    <definedName name="_vena_MultiSiteS1_MultiSiteB2_R_5_632005311482036224">#REF!</definedName>
    <definedName name="_vena_MultiSiteS1_MultiSiteB2_R_5_632005311482036226">#REF!</definedName>
    <definedName name="_vena_MultiSiteS1_MultiSiteB2_R_5_632005311486230528">#REF!</definedName>
    <definedName name="_vena_MultiSiteS1_MultiSiteB2_R_5_632005311486230530">#REF!</definedName>
    <definedName name="_vena_MultiSiteS1_MultiSiteB2_R_5_632005311503007752">#REF!</definedName>
    <definedName name="_vena_MultiSiteS1_MultiSiteB2_R_5_632005311507202050">#REF!</definedName>
    <definedName name="_vena_MultiSiteS1_MultiSiteB2_R_5_632005311507202054">#REF!</definedName>
    <definedName name="_vena_MultiSiteS1_MultiSiteB2_R_5_632005311507202056">#REF!</definedName>
    <definedName name="_vena_MultiSiteS1_MultiSiteB2_R_5_632005311511396352">#REF!</definedName>
    <definedName name="_vena_MultiSiteS1_MultiSiteB2_R_5_632005311511396358">#REF!</definedName>
    <definedName name="_vena_MultiSiteS1_MultiSiteB2_R_5_632005311515590656">#REF!</definedName>
    <definedName name="_vena_MultiSiteS1_MultiSiteB2_R_5_632005311515590658">#REF!</definedName>
    <definedName name="_vena_MultiSiteS1_MultiSiteB2_R_5_632005311523979268">#REF!</definedName>
    <definedName name="_vena_MultiSiteS1_MultiSiteB2_R_5_632005311532367880">#REF!</definedName>
    <definedName name="_vena_MultiSiteS1_MultiSiteB2_R_5_632005311536562178">#REF!</definedName>
    <definedName name="_vena_MultiSiteS1_MultiSiteB2_R_5_632005311536562180">#REF!</definedName>
    <definedName name="_vena_MultiSiteS1_MultiSiteB2_R_5_632005311540756486">#REF!</definedName>
    <definedName name="_vena_MultiSiteS1_MultiSiteB2_R_5_632005311540756488">#REF!</definedName>
    <definedName name="_vena_MultiSiteS1_MultiSiteB2_R_5_632005311544950784">#REF!</definedName>
    <definedName name="_vena_MultiSiteS1_MultiSiteB2_R_5_632005311549145088">#REF!</definedName>
    <definedName name="_vena_MultiSiteS1_MultiSiteB2_R_5_632005311549145090">#REF!</definedName>
    <definedName name="_vena_MultiSiteS1_MultiSiteB2_R_5_632005311549145096">#REF!</definedName>
    <definedName name="_vena_MultiSiteS1_MultiSiteB2_R_5_632005311565922304">#REF!</definedName>
    <definedName name="_vena_MultiSiteS1_MultiSiteB2_R_5_632005311570116610">#REF!</definedName>
    <definedName name="_vena_MultiSiteS1_MultiSiteB2_R_5_632005311570116612">#REF!</definedName>
    <definedName name="_vena_MultiSiteS1_MultiSiteB2_R_5_632005311570116614">#REF!</definedName>
    <definedName name="_vena_MultiSiteS1_MultiSiteB2_R_5_632005311574310912">#REF!</definedName>
    <definedName name="_vena_MultiSiteS1_MultiSiteB2_R_5_632005311574310916">#REF!</definedName>
    <definedName name="_vena_MultiSiteS1_MultiSiteB2_R_5_632005311574310918">#REF!</definedName>
    <definedName name="_vena_MultiSiteS1_MultiSiteB2_R_5_632005311599476737">#REF!</definedName>
    <definedName name="_vena_MultiSiteS1_MultiSiteB2_R_5_632005311603671046">#REF!</definedName>
    <definedName name="_vena_MultiSiteS1_MultiSiteB2_R_5_632005311603671049">#REF!</definedName>
    <definedName name="_vena_MultiSiteS1_MultiSiteB2_R_5_632005311607865344">#REF!</definedName>
    <definedName name="_vena_MultiSiteS1_MultiSiteB2_R_5_632005311607865346">#REF!</definedName>
    <definedName name="_vena_MultiSiteS1_MultiSiteB2_R_5_632005311612059648">#REF!</definedName>
    <definedName name="_vena_MultiSiteS1_MultiSiteB2_R_5_632005311612059650">#REF!</definedName>
    <definedName name="_vena_MultiSiteS1_MultiSiteB2_R_5_632005311628836870">#REF!</definedName>
    <definedName name="_vena_MultiSiteS1_MultiSiteB2_R_5_632005311641419782">#REF!</definedName>
    <definedName name="_vena_MultiSiteS1_MultiSiteB2_R_5_632005311645614080">#REF!</definedName>
    <definedName name="_vena_MultiSiteS1_MultiSiteB2_R_5_632005311645614082">#REF!</definedName>
    <definedName name="_vena_MultiSiteS1_MultiSiteB2_R_5_632005311649808390">#REF!</definedName>
    <definedName name="_vena_MultiSiteS1_MultiSiteB2_R_5_632005311649808392">#REF!</definedName>
    <definedName name="_vena_MultiSiteS1_MultiSiteB2_R_5_632005311654002688">#REF!</definedName>
    <definedName name="_vena_MultiSiteS1_MultiSiteB2_R_5_632005311654002690">#REF!</definedName>
    <definedName name="_vena_MultiSiteS1_MultiSiteB2_R_5_632005311654002694">#REF!</definedName>
    <definedName name="_vena_MultiSiteS1_MultiSiteB2_R_5_632005311654002696">#REF!</definedName>
    <definedName name="_vena_MultiSiteS1_MultiSiteB2_R_5_632005311674974208">#REF!</definedName>
    <definedName name="_vena_MultiSiteS1_MultiSiteB2_R_5_632005311674974217">#REF!</definedName>
    <definedName name="_vena_MultiSiteS1_MultiSiteB2_R_5_632005311679168512">#REF!</definedName>
    <definedName name="_vena_MultiSiteS1_MultiSiteB2_R_5_632005311679168514">#REF!</definedName>
    <definedName name="_vena_MultiSiteS1_MultiSiteB2_R_5_632005311679168516">#REF!</definedName>
    <definedName name="_vena_MultiSiteS1_MultiSiteB2_R_5_632005311683362816">#REF!</definedName>
    <definedName name="_vena_MultiSiteS1_MultiSiteB2_R_5_632005311683362818">#REF!</definedName>
    <definedName name="_vena_MultiSiteS1_MultiSiteB2_R_5_632005311691751424">#REF!</definedName>
    <definedName name="_vena_MultiSiteS1_MultiSiteB2_R_5_632005311700140038">#REF!</definedName>
    <definedName name="_vena_MultiSiteS1_MultiSiteB2_R_5_632005311704334340">#REF!</definedName>
    <definedName name="_vena_MultiSiteS1_MultiSiteB2_R_5_632005311704334342">#REF!</definedName>
    <definedName name="_vena_MultiSiteS1_MultiSiteB2_R_5_632005311704334344">#REF!</definedName>
    <definedName name="_vena_MultiSiteS1_MultiSiteB2_R_5_632005311704334346">#REF!</definedName>
    <definedName name="_vena_MultiSiteS1_MultiSiteB2_R_5_632005311708528643">#REF!</definedName>
    <definedName name="_vena_MultiSiteS1_MultiSiteB2_R_5_632005311725305856">#REF!</definedName>
    <definedName name="_vena_MultiSiteS1_MultiSiteB2_R_5_632005311729500162">#REF!</definedName>
    <definedName name="_vena_MultiSiteS1_MultiSiteB2_R_5_632005311729500164">#REF!</definedName>
    <definedName name="_vena_MultiSiteS1_MultiSiteB2_R_5_632005311729500168">#REF!</definedName>
    <definedName name="_vena_MultiSiteS1_MultiSiteB2_R_5_632005311733694472">#REF!</definedName>
    <definedName name="_vena_MultiSiteS1_MultiSiteB2_R_5_632005311737888768">#REF!</definedName>
    <definedName name="_vena_MultiSiteS1_MultiSiteB2_R_5_632005311737888770">#REF!</definedName>
    <definedName name="_vena_MultiSiteS1_MultiSiteB2_R_5_632005311737888772">#REF!</definedName>
    <definedName name="_vena_MultiSiteS1_MultiSiteB2_R_5_632005311758860291">#REF!</definedName>
    <definedName name="_vena_MultiSiteS1_MultiSiteB2_R_5_632005311758860295">#REF!</definedName>
    <definedName name="_vena_MultiSiteS1_MultiSiteB2_R_5_632005311758860297">#REF!</definedName>
    <definedName name="_vena_MultiSiteS1_MultiSiteB2_R_5_632005311763054592">#REF!</definedName>
    <definedName name="_vena_MultiSiteS1_MultiSiteB2_R_5_632005311763054594">#REF!</definedName>
    <definedName name="_vena_MultiSiteS1_MultiSiteB2_R_5_632005311763054596">#REF!</definedName>
    <definedName name="_vena_MultiSiteS1_MultiSiteB2_R_5_632005311763054598">#REF!</definedName>
    <definedName name="_vena_MultiSiteS1_MultiSiteB2_R_5_632005311771443204">#REF!</definedName>
    <definedName name="_vena_MultiSiteS1_MultiSiteB2_R_5_632005311784026112">#REF!</definedName>
    <definedName name="_vena_MultiSiteS1_MultiSiteB2_R_5_632005311784026114">#REF!</definedName>
    <definedName name="_vena_MultiSiteS1_MultiSiteB2_R_5_632005311784026116">#REF!</definedName>
    <definedName name="_vena_MultiSiteS1_MultiSiteB2_R_5_632005311788220419">#REF!</definedName>
    <definedName name="_vena_MultiSiteS1_MultiSiteB2_R_5_632005311788220421">#REF!</definedName>
    <definedName name="_vena_MultiSiteS1_MultiSiteB2_R_5_632005311788220425">#REF!</definedName>
    <definedName name="_vena_MultiSiteS1_MultiSiteB2_R_5_632005311792414722">#REF!</definedName>
    <definedName name="_vena_MultiSiteS1_MultiSiteB2_R_5_632005311792414724">#REF!</definedName>
    <definedName name="_vena_MultiSiteS1_MultiSiteB2_R_5_632005311792414726">#REF!</definedName>
    <definedName name="_vena_MultiSiteS1_MultiSiteB2_R_5_632005311809191946">#REF!</definedName>
    <definedName name="_vena_MultiSiteS1_MultiSiteB2_R_5_632005311817580544">#REF!</definedName>
    <definedName name="_vena_MultiSiteS1_MultiSiteB2_R_5_632005311817580546">#REF!</definedName>
    <definedName name="_vena_MultiSiteS1_MultiSiteB2_R_5_632005311817580548">#REF!</definedName>
    <definedName name="_vena_MultiSiteS1_MultiSiteB2_R_5_632005311817580550">#REF!</definedName>
    <definedName name="_vena_MultiSiteS1_MultiSiteB2_R_5_632005311817580552">#REF!</definedName>
    <definedName name="_vena_MultiSiteS1_MultiSiteB2_R_5_632005311821774848">#REF!</definedName>
    <definedName name="_vena_MultiSiteS1_MultiSiteB2_R_5_632005311838552072">#REF!</definedName>
    <definedName name="_vena_MultiSiteS1_MultiSiteB2_R_5_632005311842746368">#REF!</definedName>
    <definedName name="_vena_MultiSiteS1_MultiSiteB2_R_5_632005311842746370">#REF!</definedName>
    <definedName name="_vena_MultiSiteS1_MultiSiteB2_R_5_632005311842746372">#REF!</definedName>
    <definedName name="_vena_MultiSiteS1_MultiSiteB2_R_5_632005311846940672">#REF!</definedName>
    <definedName name="_vena_MultiSiteS1_MultiSiteB2_R_5_632005311846940674">#REF!</definedName>
    <definedName name="_vena_MultiSiteS1_MultiSiteB2_R_5_632005311859523594">#REF!</definedName>
    <definedName name="_vena_MultiSiteS1_MultiSiteB2_R_5_632005311863717888">#REF!</definedName>
    <definedName name="_vena_MultiSiteS1_MultiSiteB2_R_5_632005311867912192">#REF!</definedName>
    <definedName name="_vena_MultiSiteS1_MultiSiteB2_R_5_632005311867912194">#REF!</definedName>
    <definedName name="_vena_MultiSiteS1_MultiSiteB2_R_5_632005311867912196">#REF!</definedName>
    <definedName name="_vena_MultiSiteS1_MultiSiteB2_R_5_632005311867912198">#REF!</definedName>
    <definedName name="_vena_MultiSiteS1_MultiSiteB2_R_5_632005311872106499">#REF!</definedName>
    <definedName name="_vena_MultiSiteS1_MultiSiteB2_R_5_632005311888883714">#REF!</definedName>
    <definedName name="_vena_MultiSiteS1_MultiSiteB2_R_5_632005311888883718">#REF!</definedName>
    <definedName name="_vena_MultiSiteS1_MultiSiteB2_R_5_632005311893078018">#REF!</definedName>
    <definedName name="_vena_MultiSiteS1_MultiSiteB2_R_5_632005311893078020">#REF!</definedName>
    <definedName name="_vena_MultiSiteS1_MultiSiteB2_R_5_632005311893078022">#REF!</definedName>
    <definedName name="_vena_MultiSiteS1_MultiSiteB2_R_5_632005311897272322">#REF!</definedName>
    <definedName name="_vena_MultiSiteS1_MultiSiteB2_R_5_632005311897272324">#REF!</definedName>
    <definedName name="_vena_MultiSiteS1_MultiSiteB2_R_5_632005311914049538">#REF!</definedName>
    <definedName name="_vena_MultiSiteS1_MultiSiteB2_R_5_632005311918243845">#REF!</definedName>
    <definedName name="_vena_MultiSiteS1_MultiSiteB2_R_5_632005311918243847">#REF!</definedName>
    <definedName name="_vena_MultiSiteS1_MultiSiteB2_R_5_632005311918243849">#REF!</definedName>
    <definedName name="_vena_MultiSiteS1_MultiSiteB2_R_5_632005311922438144">#REF!</definedName>
    <definedName name="_vena_MultiSiteS1_MultiSiteB2_R_5_632005311922438150">#REF!</definedName>
    <definedName name="_vena_MultiSiteS1_MultiSiteB2_R_5_632005311939215368">#REF!</definedName>
    <definedName name="_vena_MultiSiteS1_MultiSiteB2_R_5_632005311943409668">#REF!</definedName>
    <definedName name="_vena_MultiSiteS1_MultiSiteB2_R_5_632005311943409670">#REF!</definedName>
    <definedName name="_vena_MultiSiteS1_MultiSiteB2_R_5_632005311943409672">#REF!</definedName>
    <definedName name="_vena_MultiSiteS1_MultiSiteB2_R_5_632005311943409674">#REF!</definedName>
    <definedName name="_vena_MultiSiteS1_MultiSiteB2_R_5_632005311947603973">#REF!</definedName>
    <definedName name="_vena_MultiSiteS1_MultiSiteB2_R_5_632005311947603975">#REF!</definedName>
    <definedName name="_vena_MultiSiteS1_MultiSiteB2_R_5_632005311960186888">#REF!</definedName>
    <definedName name="_vena_MultiSiteS1_MultiSiteB2_R_5_632005311964381184">#REF!</definedName>
    <definedName name="_vena_MultiSiteS1_MultiSiteB2_R_5_632005311964381192">#REF!</definedName>
    <definedName name="_vena_MultiSiteS1_MultiSiteB2_R_5_632005311968575488">#REF!</definedName>
    <definedName name="_vena_MultiSiteS1_MultiSiteB2_R_5_632005311972769793">#REF!</definedName>
    <definedName name="_vena_MultiSiteS1_MultiSiteB2_R_5_632005311972769795">#REF!</definedName>
    <definedName name="_vena_MultiSiteS1_MultiSiteB2_R_5_632005311972769797">#REF!</definedName>
    <definedName name="_vena_MultiSiteS1_MultiSiteB2_R_5_632005311972769805">#REF!</definedName>
    <definedName name="_vena_MultiSiteS1_MultiSiteB2_R_5_632005311976964096">#REF!</definedName>
    <definedName name="_vena_MultiSiteS1_MultiSiteB2_R_5_632005311976964121">#REF!</definedName>
    <definedName name="_vena_MultiSiteS1_MultiSiteB2_R_5_632005311997935642">#REF!</definedName>
    <definedName name="_vena_MultiSiteS1_MultiSiteB2_R_5_632005312002129944">#REF!</definedName>
    <definedName name="_vena_MultiSiteS1_MultiSiteB2_R_5_632005312002129952">#REF!</definedName>
    <definedName name="_vena_MultiSiteS1_MultiSiteB2_R_5_632005312002129961">#REF!</definedName>
    <definedName name="_vena_MultiSiteS1_MultiSiteB2_R_5_632005312006324232">#REF!</definedName>
    <definedName name="_vena_MultiSiteS1_MultiSiteB2_R_5_632005312006324257">#REF!</definedName>
    <definedName name="_vena_MultiSiteS1_MultiSiteB2_R_5_632005312027295755">#REF!</definedName>
    <definedName name="_vena_MultiSiteS1_MultiSiteB2_R_5_632005312031490051">#REF!</definedName>
    <definedName name="_vena_MultiSiteS1_MultiSiteB2_R_5_632005312031490058">#REF!</definedName>
    <definedName name="_vena_MultiSiteS1_MultiSiteB2_R_5_632005312031490068">#REF!</definedName>
    <definedName name="_vena_MultiSiteS1_MultiSiteB2_R_5_632005312031490077">#REF!</definedName>
    <definedName name="_vena_MultiSiteS1_MultiSiteB2_R_5_632005312035684364">#REF!</definedName>
    <definedName name="_vena_MultiSiteS1_MultiSiteB2_R_5_632005312048267270">#REF!</definedName>
    <definedName name="_vena_MultiSiteS1_MultiSiteB2_R_5_632005312048267272">#REF!</definedName>
    <definedName name="_vena_MultiSiteS1_MultiSiteB2_R_5_632005312048267274">#REF!</definedName>
    <definedName name="_vena_MultiSiteS1_MultiSiteB2_R_5_632005312052461569">#REF!</definedName>
    <definedName name="_vena_MultiSiteS1_MultiSiteB2_R_5_632005312052461577">#REF!</definedName>
    <definedName name="_vena_MultiSiteS1_MultiSiteB2_R_5_632005312056655872">#REF!</definedName>
    <definedName name="_vena_MultiSiteS1_MultiSiteB2_R_5_632005312056655874">#REF!</definedName>
    <definedName name="_vena_MultiSiteS1_MultiSiteB2_R_5_632005312056655876">#REF!</definedName>
    <definedName name="_vena_MultiSiteS1_MultiSiteB2_R_5_632005312060850179">#REF!</definedName>
    <definedName name="_vena_MultiSiteS1_MultiSiteB2_R_5_632005312077627400">#REF!</definedName>
    <definedName name="_vena_MultiSiteS1_MultiSiteB2_R_5_632005312077627402">#REF!</definedName>
    <definedName name="_vena_MultiSiteS1_MultiSiteB2_R_5_632005312081821697">#REF!</definedName>
    <definedName name="_vena_MultiSiteS1_MultiSiteB2_R_5_632005312081821699">#REF!</definedName>
    <definedName name="_vena_MultiSiteS1_MultiSiteB2_R_5_632005312086016000">#REF!</definedName>
    <definedName name="_vena_MultiSiteS1_MultiSiteB2_R_5_632005312086016002">#REF!</definedName>
    <definedName name="_vena_MultiSiteS1_MultiSiteB2_R_5_632005312098598914">#REF!</definedName>
    <definedName name="_vena_MultiSiteS1_MultiSiteB2_R_5_632005312098598918">#REF!</definedName>
    <definedName name="_vena_MultiSiteS1_MultiSiteB2_R_5_632005312102793222">#REF!</definedName>
    <definedName name="_vena_MultiSiteS1_MultiSiteB2_R_5_632005312102793224">#REF!</definedName>
    <definedName name="_vena_MultiSiteS1_MultiSiteB2_R_5_632005312106987520">#REF!</definedName>
    <definedName name="_vena_MultiSiteS1_MultiSiteB2_R_5_632005312106987522">#REF!</definedName>
    <definedName name="_vena_MultiSiteS1_MultiSiteB2_R_5_632005312111181824">#REF!</definedName>
    <definedName name="_vena_MultiSiteS1_MultiSiteB2_R_5_632005312111181826">#REF!</definedName>
    <definedName name="_vena_MultiSiteS1_MultiSiteB2_R_5_632005312111181828">#REF!</definedName>
    <definedName name="_vena_MultiSiteS1_MultiSiteB2_R_5_632005312127959044">#REF!</definedName>
    <definedName name="_vena_MultiSiteS1_MultiSiteB2_R_5_632005312127959056">#REF!</definedName>
    <definedName name="_vena_MultiSiteS1_MultiSiteB2_R_5_632005312127959058">#REF!</definedName>
    <definedName name="_vena_MultiSiteS1_MultiSiteB2_R_5_632005312132153347">#REF!</definedName>
    <definedName name="_vena_MultiSiteS1_MultiSiteB2_R_5_632005312132153349">#REF!</definedName>
    <definedName name="_vena_MultiSiteS1_MultiSiteB2_R_5_632005312148930564">#REF!</definedName>
    <definedName name="_vena_MultiSiteS1_MultiSiteB2_R_5_632005312148930568">#REF!</definedName>
    <definedName name="_vena_MultiSiteS1_MultiSiteB2_R_5_632005312153124870">#REF!</definedName>
    <definedName name="_vena_MultiSiteS1_MultiSiteB2_R_5_632005312153124872">#REF!</definedName>
    <definedName name="_vena_MultiSiteS1_MultiSiteB2_R_5_632005312157319168">#REF!</definedName>
    <definedName name="_vena_MultiSiteS1_MultiSiteB2_R_5_632005312157319170">#REF!</definedName>
    <definedName name="_vena_MultiSiteS1_MultiSiteB2_R_5_632005312157319176">#REF!</definedName>
    <definedName name="_vena_MultiSiteS1_MultiSiteB2_R_5_632005312161513472">#REF!</definedName>
    <definedName name="_vena_MultiSiteS1_MultiSiteB2_R_5_632005312161513474">#REF!</definedName>
    <definedName name="_vena_MultiSiteS1_MultiSiteB2_R_5_632005312161513476">#REF!</definedName>
    <definedName name="_vena_MultiSiteS1_MultiSiteB2_R_5_632005312178290696">#REF!</definedName>
    <definedName name="_vena_MultiSiteS1_MultiSiteB2_R_5_632005312182484998">#REF!</definedName>
    <definedName name="_vena_MultiSiteS1_MultiSiteB2_R_5_632005312182485000">#REF!</definedName>
    <definedName name="_vena_MultiSiteS1_MultiSiteB2_R_5_632005312186679296">#REF!</definedName>
    <definedName name="_vena_MultiSiteS1_MultiSiteB2_R_5_632005312186679302">#REF!</definedName>
    <definedName name="_vena_MultiSiteS1_MultiSiteB2_R_5_632005312186679304">#REF!</definedName>
    <definedName name="_vena_MultiSiteS1_MultiSiteB2_R_5_632005312199262218">#REF!</definedName>
    <definedName name="_vena_MultiSiteS1_MultiSiteB2_R_5_632005312211845122">#REF!</definedName>
    <definedName name="_vena_MultiSiteS1_MultiSiteB2_R_5_632005312211845124">#REF!</definedName>
    <definedName name="_vena_MultiSiteS1_MultiSiteB2_R_5_632005312211845127">#REF!</definedName>
    <definedName name="_vena_MultiSiteS1_MultiSiteB2_R_5_632005312216039426">#REF!</definedName>
    <definedName name="_vena_MultiSiteS1_MultiSiteB2_R_5_632005312216039428">#REF!</definedName>
    <definedName name="_vena_MultiSiteS1_MultiSiteB2_R_5_632005312228622346">#REF!</definedName>
    <definedName name="_vena_MultiSiteS1_MultiSiteB2_R_5_632005312232816640">#REF!</definedName>
    <definedName name="_vena_MultiSiteS1_MultiSiteB2_R_5_632005312232816642">#REF!</definedName>
    <definedName name="_vena_MultiSiteS1_MultiSiteB2_R_5_632005312237010952">#REF!</definedName>
    <definedName name="_vena_MultiSiteS1_MultiSiteB2_R_5_632005312241205248">#REF!</definedName>
    <definedName name="_vena_MultiSiteS1_MultiSiteB2_R_5_632005312241205254">#REF!</definedName>
    <definedName name="_vena_MultiSiteS1_MultiSiteB2_R_5_632005312262176775">#REF!</definedName>
    <definedName name="_vena_MultiSiteS1_MultiSiteB2_R_5_632005312266371080">#REF!</definedName>
    <definedName name="_vena_MultiSiteS1_MultiSiteB2_R_5_632005312270565376">#REF!</definedName>
    <definedName name="_vena_MultiSiteS1_MultiSiteB2_R_5_632005312270565382">#REF!</definedName>
    <definedName name="_vena_MultiSiteS1_MultiSiteB2_R_5_632005312270565384">#REF!</definedName>
    <definedName name="_vena_MultiSiteS1_MultiSiteB2_R_5_632005312291536902">#REF!</definedName>
    <definedName name="_vena_MultiSiteS1_MultiSiteB2_R_5_632005312295731208">#REF!</definedName>
    <definedName name="_vena_MultiSiteS1_MultiSiteB2_R_5_632005312295731210">#REF!</definedName>
    <definedName name="_vena_MultiSiteS1_MultiSiteB2_R_5_632005312299925505">#REF!</definedName>
    <definedName name="_vena_MultiSiteS1_MultiSiteB2_R_5_632005312299925511">#REF!</definedName>
    <definedName name="_vena_MultiSiteS1_MultiSiteB2_R_5_632005312304119808">#REF!</definedName>
    <definedName name="_vena_MultiSiteS1_MultiSiteB2_R_5_632005312304119810">#REF!</definedName>
    <definedName name="_vena_MultiSiteS1_MultiSiteB2_R_5_632005312304119814">#REF!</definedName>
    <definedName name="_vena_MultiSiteS1_MultiSiteB2_R_5_632005312308314114">#REF!</definedName>
    <definedName name="_vena_MultiSiteS1_MultiSiteB2_R_5_632005312325091332">#REF!</definedName>
    <definedName name="_vena_MultiSiteS1_MultiSiteB2_R_5_632005312325091334">#REF!</definedName>
    <definedName name="_vena_MultiSiteS1_MultiSiteB2_R_5_632005312325091336">#REF!</definedName>
    <definedName name="_vena_MultiSiteS1_MultiSiteB2_R_5_632005312329285634">#REF!</definedName>
    <definedName name="_vena_MultiSiteS1_MultiSiteB2_R_5_632005312329285636">#REF!</definedName>
    <definedName name="_vena_MultiSiteS1_MultiSiteB2_R_5_632005312350257152">#REF!</definedName>
    <definedName name="_vena_MultiSiteS1_MultiSiteB2_R_5_632005312350257154">#REF!</definedName>
    <definedName name="_vena_MultiSiteS1_MultiSiteB2_R_5_632005312354451456">#REF!</definedName>
    <definedName name="_vena_MultiSiteS1_MultiSiteB2_R_5_632005312358645762">#REF!</definedName>
    <definedName name="_vena_MultiSiteS1_MultiSiteB2_R_5_632005312358645764">#REF!</definedName>
    <definedName name="_vena_MultiSiteS1_MultiSiteB2_R_5_632005312358645768">#REF!</definedName>
    <definedName name="_vena_MultiSiteS1_MultiSiteB2_R_5_632005312362840065">#REF!</definedName>
    <definedName name="_vena_MultiSiteS1_MultiSiteB2_R_5_632005312362840067">#REF!</definedName>
    <definedName name="_vena_MultiSiteS1_MultiSiteB2_R_5_632005312379617286">#REF!</definedName>
    <definedName name="_vena_MultiSiteS1_MultiSiteB2_R_5_632005312388005890">#REF!</definedName>
    <definedName name="_vena_MultiSiteS1_MultiSiteB2_R_5_632005312388005892">#REF!</definedName>
    <definedName name="_vena_MultiSiteS1_MultiSiteB2_R_5_632005312388005894">#REF!</definedName>
    <definedName name="_vena_MultiSiteS1_MultiSiteB2_R_5_632005312392200194">#REF!</definedName>
    <definedName name="_vena_MultiSiteS1_MultiSiteB2_R_5_632005312392200196">#REF!</definedName>
    <definedName name="_vena_MultiSiteS1_MultiSiteB2_R_5_632005312417366022">#REF!</definedName>
    <definedName name="_vena_MultiSiteS1_MultiSiteB2_R_5_632005312417366024">#REF!</definedName>
    <definedName name="_vena_MultiSiteS1_MultiSiteB2_R_5_632005312417366026">#REF!</definedName>
    <definedName name="_vena_MultiSiteS1_MultiSiteB2_R_5_632005312421560325">#REF!</definedName>
    <definedName name="_vena_MultiSiteS1_MultiSiteB2_R_5_632005312421560327">#REF!</definedName>
    <definedName name="_vena_MultiSiteS1_MultiSiteB2_R_5_632005312429948928">#REF!</definedName>
    <definedName name="_vena_MultiSiteS1_MultiSiteB2_R_5_632005312438337544">#REF!</definedName>
    <definedName name="_vena_MultiSiteS1_MultiSiteB2_R_5_632005312442531848">#REF!</definedName>
    <definedName name="_vena_MultiSiteS1_MultiSiteB2_R_5_632005312446726145">#REF!</definedName>
    <definedName name="_vena_MultiSiteS1_MultiSiteB2_R_5_632005312450920456">#REF!</definedName>
    <definedName name="_vena_MultiSiteS1_MultiSiteB2_R_5_632005312455114752">#REF!</definedName>
    <definedName name="_vena_MultiSiteS1_MultiSiteB2_R_5_632005312455114754">#REF!</definedName>
    <definedName name="_vena_MultiSiteS1_MultiSiteB2_R_5_632005312455114760">#REF!</definedName>
    <definedName name="_vena_MultiSiteS1_MultiSiteB2_R_5_632005312459309056">#REF!</definedName>
    <definedName name="_vena_MultiSiteS1_MultiSiteB2_R_5_632005312471891978">#REF!</definedName>
    <definedName name="_vena_MultiSiteS1_MultiSiteB2_R_5_632005312476086273">#REF!</definedName>
    <definedName name="_vena_MultiSiteS1_MultiSiteB2_R_5_632005312476086275">#REF!</definedName>
    <definedName name="_vena_MultiSiteS1_MultiSiteB2_R_5_632005312480280576">#REF!</definedName>
    <definedName name="_vena_MultiSiteS1_MultiSiteB2_R_5_632005312480280578">#REF!</definedName>
    <definedName name="_vena_MultiSiteS1_MultiSiteB2_R_5_632005312484474880">#REF!</definedName>
    <definedName name="_vena_MultiSiteS1_MultiSiteB2_R_5_632005312492863495">#REF!</definedName>
    <definedName name="_vena_MultiSiteS1_MultiSiteB2_R_5_632005312497057796">#REF!</definedName>
    <definedName name="_vena_MultiSiteS1_MultiSiteB2_R_5_632005312497057798">#REF!</definedName>
    <definedName name="_vena_MultiSiteS1_MultiSiteB2_R_5_632005312497057800">#REF!</definedName>
    <definedName name="_vena_MultiSiteS1_MultiSiteB2_R_5_632005312501252100">#REF!</definedName>
    <definedName name="_vena_MultiSiteS1_MultiSiteB2_R_5_632005312501252102">#REF!</definedName>
    <definedName name="_vena_MultiSiteS1_MultiSiteB2_R_5_632005312501252104">#REF!</definedName>
    <definedName name="_vena_MultiSiteS1_MultiSiteB2_R_5_632005312522223616">#REF!</definedName>
    <definedName name="_vena_MultiSiteS1_MultiSiteB2_R_5_632005312522223618">#REF!</definedName>
    <definedName name="_vena_MultiSiteS1_MultiSiteB2_R_5_632005312526417958">#REF!</definedName>
    <definedName name="_vena_MultiSiteS1_MultiSiteB2_R_5_632005312530612224">#REF!</definedName>
    <definedName name="_vena_MultiSiteS1_MultiSiteB2_R_5_632005312530612226">#REF!</definedName>
    <definedName name="_vena_MultiSiteS1_MultiSiteB2_R_5_632005312530612232">#REF!</definedName>
    <definedName name="_vena_MultiSiteS1_MultiSiteB2_R_5_632005312534806528">#REF!</definedName>
    <definedName name="_vena_MultiSiteS1_MultiSiteB2_R_5_632005312547389446">#REF!</definedName>
    <definedName name="_vena_MultiSiteS1_MultiSiteB2_R_5_632005312547389448">#REF!</definedName>
    <definedName name="_vena_MultiSiteS1_MultiSiteB2_R_5_632005312551583744">#REF!</definedName>
    <definedName name="_vena_MultiSiteS1_MultiSiteB2_R_5_632005312551583750">#REF!</definedName>
    <definedName name="_vena_MultiSiteS1_MultiSiteB2_R_5_632005312555778048">#REF!</definedName>
    <definedName name="_vena_MultiSiteS1_MultiSiteB2_R_5_632005312564166664">#REF!</definedName>
    <definedName name="_vena_MultiSiteS1_MultiSiteB2_R_5_632005312568360964">#REF!</definedName>
    <definedName name="_vena_MultiSiteS1_MultiSiteB2_R_5_632005312568360968">#REF!</definedName>
    <definedName name="_vena_MultiSiteS1_MultiSiteB2_R_5_632005312572555270">#REF!</definedName>
    <definedName name="_vena_MultiSiteS1_MultiSiteB2_R_5_632005312572555272">#REF!</definedName>
    <definedName name="_vena_MultiSiteS1_MultiSiteB2_R_5_632005312576749568">#REF!</definedName>
    <definedName name="_vena_MultiSiteS1_MultiSiteB2_R_5_632005312576749570">#REF!</definedName>
    <definedName name="_vena_MultiSiteS1_MultiSiteB2_R_5_632005312576749576">#REF!</definedName>
    <definedName name="_vena_MultiSiteS1_MultiSiteB2_R_5_632005312580943872">#REF!</definedName>
    <definedName name="_vena_MultiSiteS1_MultiSiteB2_R_5_632005312585138180">#REF!</definedName>
    <definedName name="_vena_MultiSiteS1_MultiSiteB2_R_5_632005312597721093">#REF!</definedName>
    <definedName name="_vena_MultiSiteS1_MultiSiteB2_R_5_632005312597721095">#REF!</definedName>
    <definedName name="_vena_MultiSiteS1_MultiSiteB2_R_5_632005312597721097">#REF!</definedName>
    <definedName name="_vena_MultiSiteS1_MultiSiteB2_R_5_632005312601915392">#REF!</definedName>
    <definedName name="_vena_MultiSiteS1_MultiSiteB2_R_5_632005312601915396">#REF!</definedName>
    <definedName name="_vena_MultiSiteS1_MultiSiteB2_R_5_632005312601915398">#REF!</definedName>
    <definedName name="_vena_MultiSiteS1_MultiSiteB2_R_5_632802684999303168">#REF!</definedName>
    <definedName name="_vena_MultiSiteS1_MultiSiteB2_R_5_632802806714466304">#REF!</definedName>
    <definedName name="_vena_MultiSiteS1_MultiSiteB2_R_5_640425049593872384">#REF!</definedName>
    <definedName name="_vena_MultiSiteS1_MultiSiteB2_R_5_640425049946193920">#REF!</definedName>
    <definedName name="_vena_MultiSiteS1_MultiSiteB2_R_5_640425050315292672">#REF!</definedName>
    <definedName name="_vena_MultiSiteS1_MultiSiteB2_R_5_672280564707885073">#REF!</definedName>
    <definedName name="_vena_MultiSiteS1_MultiSiteB2_R_5_781732079313747968" localSheetId="4">#REF!</definedName>
    <definedName name="_vena_MultiSiteS1_MultiSiteB2_R_5_781732079313747968" localSheetId="5">#REF!</definedName>
    <definedName name="_vena_MultiSiteS1_MultiSiteB2_R_5_781732079313747968" localSheetId="8">'[1]FY26 MYP-Multisite'!#REF!</definedName>
    <definedName name="_vena_MultiSiteS1_MultiSiteB2_R_5_781732079313747968" localSheetId="3">#REF!</definedName>
    <definedName name="_vena_MultiSiteS1_MultiSiteB2_R_5_781732079313747968">#REF!</definedName>
    <definedName name="_vena_MultiSiteS1_MultiSiteB2_R_5_781747737229918208" localSheetId="4">#REF!</definedName>
    <definedName name="_vena_MultiSiteS1_MultiSiteB2_R_5_781747737229918208" localSheetId="5">#REF!</definedName>
    <definedName name="_vena_MultiSiteS1_MultiSiteB2_R_5_781747737229918208" localSheetId="8">'[1]FY26 MYP-Multisite'!#REF!</definedName>
    <definedName name="_vena_MultiSiteS1_MultiSiteB2_R_5_781747737229918208" localSheetId="3">#REF!</definedName>
    <definedName name="_vena_MultiSiteS1_MultiSiteB2_R_5_781747737229918208">#REF!</definedName>
    <definedName name="_vena_MultiSiteS1_MultiSiteB2_R_5_781747762450399232" localSheetId="4">#REF!</definedName>
    <definedName name="_vena_MultiSiteS1_MultiSiteB2_R_5_781747762450399232" localSheetId="5">#REF!</definedName>
    <definedName name="_vena_MultiSiteS1_MultiSiteB2_R_5_781747762450399232" localSheetId="8">'[1]FY26 MYP-Multisite'!#REF!</definedName>
    <definedName name="_vena_MultiSiteS1_MultiSiteB2_R_5_781747762450399232" localSheetId="3">#REF!</definedName>
    <definedName name="_vena_MultiSiteS1_MultiSiteB2_R_5_781747762450399232">#REF!</definedName>
    <definedName name="_vena_MultiSiteS1_MultiSiteB2_R_5_781747791617327104" localSheetId="4">#REF!</definedName>
    <definedName name="_vena_MultiSiteS1_MultiSiteB2_R_5_781747791617327104" localSheetId="5">#REF!</definedName>
    <definedName name="_vena_MultiSiteS1_MultiSiteB2_R_5_781747791617327104" localSheetId="8">'[1]FY26 MYP-Multisite'!#REF!</definedName>
    <definedName name="_vena_MultiSiteS1_MultiSiteB2_R_5_781747791617327104" localSheetId="3">#REF!</definedName>
    <definedName name="_vena_MultiSiteS1_MultiSiteB2_R_5_781747791617327104">#REF!</definedName>
    <definedName name="_vena_MultiSiteS1_MultiSiteB2_R_5_781747818582507520" localSheetId="4">#REF!</definedName>
    <definedName name="_vena_MultiSiteS1_MultiSiteB2_R_5_781747818582507520" localSheetId="5">#REF!</definedName>
    <definedName name="_vena_MultiSiteS1_MultiSiteB2_R_5_781747818582507520" localSheetId="8">'[1]FY26 MYP-Multisite'!#REF!</definedName>
    <definedName name="_vena_MultiSiteS1_MultiSiteB2_R_5_781747818582507520" localSheetId="3">#REF!</definedName>
    <definedName name="_vena_MultiSiteS1_MultiSiteB2_R_5_781747818582507520">#REF!</definedName>
    <definedName name="_vena_MultiSiteS1_MultiSiteB2_R_5_781748213857910784" localSheetId="4">#REF!</definedName>
    <definedName name="_vena_MultiSiteS1_MultiSiteB2_R_5_781748213857910784" localSheetId="5">#REF!</definedName>
    <definedName name="_vena_MultiSiteS1_MultiSiteB2_R_5_781748213857910784" localSheetId="8">'[1]FY26 MYP-Multisite'!#REF!</definedName>
    <definedName name="_vena_MultiSiteS1_MultiSiteB2_R_5_781748213857910784" localSheetId="3">#REF!</definedName>
    <definedName name="_vena_MultiSiteS1_MultiSiteB2_R_5_781748213857910784">#REF!</definedName>
    <definedName name="_vena_MultiSiteS1_MultiSiteB2_R_5_781748321865433090" localSheetId="4">#REF!</definedName>
    <definedName name="_vena_MultiSiteS1_MultiSiteB2_R_5_781748321865433090" localSheetId="5">#REF!</definedName>
    <definedName name="_vena_MultiSiteS1_MultiSiteB2_R_5_781748321865433090" localSheetId="8">'[1]FY26 MYP-Multisite'!#REF!</definedName>
    <definedName name="_vena_MultiSiteS1_MultiSiteB2_R_5_781748321865433090" localSheetId="3">#REF!</definedName>
    <definedName name="_vena_MultiSiteS1_MultiSiteB2_R_5_781748321865433090">#REF!</definedName>
    <definedName name="_vena_MultiSiteS1_MultiSiteB2_R_5_781748379378253826" localSheetId="4">#REF!</definedName>
    <definedName name="_vena_MultiSiteS1_MultiSiteB2_R_5_781748379378253826" localSheetId="5">#REF!</definedName>
    <definedName name="_vena_MultiSiteS1_MultiSiteB2_R_5_781748379378253826" localSheetId="8">'[1]FY26 MYP-Multisite'!#REF!</definedName>
    <definedName name="_vena_MultiSiteS1_MultiSiteB2_R_5_781748379378253826" localSheetId="3">#REF!</definedName>
    <definedName name="_vena_MultiSiteS1_MultiSiteB2_R_5_781748379378253826">#REF!</definedName>
    <definedName name="_vena_MultiSiteS1_MultiSiteB2_R_5_781748554007838720" localSheetId="4">#REF!</definedName>
    <definedName name="_vena_MultiSiteS1_MultiSiteB2_R_5_781748554007838720" localSheetId="5">#REF!</definedName>
    <definedName name="_vena_MultiSiteS1_MultiSiteB2_R_5_781748554007838720" localSheetId="8">'[1]FY26 MYP-Multisite'!#REF!</definedName>
    <definedName name="_vena_MultiSiteS1_MultiSiteB2_R_5_781748554007838720" localSheetId="3">#REF!</definedName>
    <definedName name="_vena_MultiSiteS1_MultiSiteB2_R_5_781748554007838720">#REF!</definedName>
    <definedName name="_vena_MultiSiteS1_MultiSiteB2_R_5_781753509934530560" localSheetId="4">#REF!</definedName>
    <definedName name="_vena_MultiSiteS1_MultiSiteB2_R_5_781753509934530560" localSheetId="5">#REF!</definedName>
    <definedName name="_vena_MultiSiteS1_MultiSiteB2_R_5_781753509934530560" localSheetId="8">'[1]FY26 MYP-Multisite'!#REF!</definedName>
    <definedName name="_vena_MultiSiteS1_MultiSiteB2_R_5_781753509934530560" localSheetId="3">#REF!</definedName>
    <definedName name="_vena_MultiSiteS1_MultiSiteB2_R_5_781753509934530560">#REF!</definedName>
    <definedName name="_vena_MultiSiteS1_MultiSiteB2_R_5_781753609746644992" localSheetId="4">#REF!</definedName>
    <definedName name="_vena_MultiSiteS1_MultiSiteB2_R_5_781753609746644992" localSheetId="5">#REF!</definedName>
    <definedName name="_vena_MultiSiteS1_MultiSiteB2_R_5_781753609746644992" localSheetId="8">'[1]FY26 MYP-Multisite'!#REF!</definedName>
    <definedName name="_vena_MultiSiteS1_MultiSiteB2_R_5_781753609746644992" localSheetId="3">#REF!</definedName>
    <definedName name="_vena_MultiSiteS1_MultiSiteB2_R_5_781753609746644992">#REF!</definedName>
    <definedName name="_vena_MultiSiteS1_MultiSiteB2_R_5_781753643997069312" localSheetId="4">#REF!</definedName>
    <definedName name="_vena_MultiSiteS1_MultiSiteB2_R_5_781753643997069312" localSheetId="5">#REF!</definedName>
    <definedName name="_vena_MultiSiteS1_MultiSiteB2_R_5_781753643997069312" localSheetId="8">'[1]FY26 MYP-Multisite'!#REF!</definedName>
    <definedName name="_vena_MultiSiteS1_MultiSiteB2_R_5_781753643997069312" localSheetId="3">#REF!</definedName>
    <definedName name="_vena_MultiSiteS1_MultiSiteB2_R_5_781753643997069312">#REF!</definedName>
    <definedName name="_vena_MultiSiteS1_MultiSiteB2_R_5_820620957949886465">#REF!</definedName>
    <definedName name="_vena_MultiSiteS1_MultiSiteB2_R_5_969124762453147649">#REF!</definedName>
    <definedName name="_vena_MultiSiteS1_MultiSiteB2_R_5_969124837275336705">#REF!</definedName>
    <definedName name="_vena_MultiSiteS1_MultiSiteB2_R_5_969124902391644161">#REF!</definedName>
    <definedName name="_vena_MultiSiteS1_MultiSiteB2_R_5_969124968162525249">#REF!</definedName>
    <definedName name="_vena_MultiSiteS1_MultiSiteB2_R_5_980297783344758784" localSheetId="4">#REF!</definedName>
    <definedName name="_vena_MultiSiteS1_MultiSiteB2_R_5_980297783344758784" localSheetId="5">#REF!</definedName>
    <definedName name="_vena_MultiSiteS1_MultiSiteB2_R_5_980297783344758784" localSheetId="8">'[1]FY26 MYP-Multisite'!#REF!</definedName>
    <definedName name="_vena_MultiSiteS1_MultiSiteB2_R_5_980297783344758784" localSheetId="3">#REF!</definedName>
    <definedName name="_vena_MultiSiteS1_MultiSiteB2_R_5_980297783344758784">#REF!</definedName>
    <definedName name="_vena_MultiSiteS1_MultiSiteB2_R_5_980297783562862592" localSheetId="4">#REF!</definedName>
    <definedName name="_vena_MultiSiteS1_MultiSiteB2_R_5_980297783562862592" localSheetId="5">#REF!</definedName>
    <definedName name="_vena_MultiSiteS1_MultiSiteB2_R_5_980297783562862592" localSheetId="8">'[1]FY26 MYP-Multisite'!#REF!</definedName>
    <definedName name="_vena_MultiSiteS1_MultiSiteB2_R_5_980297783562862592" localSheetId="3">#REF!</definedName>
    <definedName name="_vena_MultiSiteS1_MultiSiteB2_R_5_980297783562862592">#REF!</definedName>
    <definedName name="_vena_MultiSiteS1_MultiSiteB2_R_5_980297783579639808" localSheetId="4">#REF!</definedName>
    <definedName name="_vena_MultiSiteS1_MultiSiteB2_R_5_980297783579639808" localSheetId="5">#REF!</definedName>
    <definedName name="_vena_MultiSiteS1_MultiSiteB2_R_5_980297783579639808" localSheetId="8">'[1]FY26 MYP-Multisite'!#REF!</definedName>
    <definedName name="_vena_MultiSiteS1_MultiSiteB2_R_5_980297783579639808" localSheetId="3">#REF!</definedName>
    <definedName name="_vena_MultiSiteS1_MultiSiteB2_R_5_980297783579639808">#REF!</definedName>
    <definedName name="_vena_MultiSiteS1_MultiSiteB2_R_5_980297783588028417" localSheetId="4">#REF!</definedName>
    <definedName name="_vena_MultiSiteS1_MultiSiteB2_R_5_980297783588028417" localSheetId="5">#REF!</definedName>
    <definedName name="_vena_MultiSiteS1_MultiSiteB2_R_5_980297783588028417" localSheetId="8">'[1]FY26 MYP-Multisite'!#REF!</definedName>
    <definedName name="_vena_MultiSiteS1_MultiSiteB2_R_5_980297783588028417" localSheetId="3">#REF!</definedName>
    <definedName name="_vena_MultiSiteS1_MultiSiteB2_R_5_980297783588028417">#REF!</definedName>
    <definedName name="_vena_MultiSiteS1_MultiSiteB2_R_5_980297783600611329" localSheetId="4">#REF!</definedName>
    <definedName name="_vena_MultiSiteS1_MultiSiteB2_R_5_980297783600611329" localSheetId="5">#REF!</definedName>
    <definedName name="_vena_MultiSiteS1_MultiSiteB2_R_5_980297783600611329" localSheetId="8">'[1]FY26 MYP-Multisite'!#REF!</definedName>
    <definedName name="_vena_MultiSiteS1_MultiSiteB2_R_5_980297783600611329" localSheetId="3">#REF!</definedName>
    <definedName name="_vena_MultiSiteS1_MultiSiteB2_R_5_980297783600611329">#REF!</definedName>
    <definedName name="_vena_MultiSiteS1_MultiSiteB2_R_5_980297783613194240" localSheetId="4">#REF!</definedName>
    <definedName name="_vena_MultiSiteS1_MultiSiteB2_R_5_980297783613194240" localSheetId="5">#REF!</definedName>
    <definedName name="_vena_MultiSiteS1_MultiSiteB2_R_5_980297783613194240" localSheetId="8">'[1]FY26 MYP-Multisite'!#REF!</definedName>
    <definedName name="_vena_MultiSiteS1_MultiSiteB2_R_5_980297783613194240" localSheetId="3">#REF!</definedName>
    <definedName name="_vena_MultiSiteS1_MultiSiteB2_R_5_980297783613194240">#REF!</definedName>
    <definedName name="_vena_MultiSiteS1_MultiSiteB2_R_5_980297783621582849" localSheetId="4">#REF!</definedName>
    <definedName name="_vena_MultiSiteS1_MultiSiteB2_R_5_980297783621582849" localSheetId="5">#REF!</definedName>
    <definedName name="_vena_MultiSiteS1_MultiSiteB2_R_5_980297783621582849" localSheetId="8">'[1]FY26 MYP-Multisite'!#REF!</definedName>
    <definedName name="_vena_MultiSiteS1_MultiSiteB2_R_5_980297783621582849" localSheetId="3">#REF!</definedName>
    <definedName name="_vena_MultiSiteS1_MultiSiteB2_R_5_980297783621582849">#REF!</definedName>
    <definedName name="_vena_MultiSiteS1_MultiSiteB2_R_5_980297783638360065" localSheetId="4">#REF!</definedName>
    <definedName name="_vena_MultiSiteS1_MultiSiteB2_R_5_980297783638360065" localSheetId="5">#REF!</definedName>
    <definedName name="_vena_MultiSiteS1_MultiSiteB2_R_5_980297783638360065" localSheetId="8">'[1]FY26 MYP-Multisite'!#REF!</definedName>
    <definedName name="_vena_MultiSiteS1_MultiSiteB2_R_5_980297783638360065" localSheetId="3">#REF!</definedName>
    <definedName name="_vena_MultiSiteS1_MultiSiteB2_R_5_980297783638360065">#REF!</definedName>
    <definedName name="_vena_MultiSiteS1_MultiSiteB2_R_5_980297783650942977" localSheetId="4">#REF!</definedName>
    <definedName name="_vena_MultiSiteS1_MultiSiteB2_R_5_980297783650942977" localSheetId="5">#REF!</definedName>
    <definedName name="_vena_MultiSiteS1_MultiSiteB2_R_5_980297783650942977" localSheetId="8">'[1]FY26 MYP-Multisite'!#REF!</definedName>
    <definedName name="_vena_MultiSiteS1_MultiSiteB2_R_5_980297783650942977" localSheetId="3">#REF!</definedName>
    <definedName name="_vena_MultiSiteS1_MultiSiteB2_R_5_980297783650942977">#REF!</definedName>
    <definedName name="_vena_MultiSiteS1_MultiSiteB2_R_5_980297783663525889" localSheetId="4">#REF!</definedName>
    <definedName name="_vena_MultiSiteS1_MultiSiteB2_R_5_980297783663525889" localSheetId="5">#REF!</definedName>
    <definedName name="_vena_MultiSiteS1_MultiSiteB2_R_5_980297783663525889" localSheetId="8">'[1]FY26 MYP-Multisite'!#REF!</definedName>
    <definedName name="_vena_MultiSiteS1_MultiSiteB2_R_5_980297783663525889" localSheetId="3">#REF!</definedName>
    <definedName name="_vena_MultiSiteS1_MultiSiteB2_R_5_980297783663525889">#REF!</definedName>
    <definedName name="_vena_MultiSiteS1_MultiSiteB2_R_5_980297783676108800" localSheetId="4">#REF!</definedName>
    <definedName name="_vena_MultiSiteS1_MultiSiteB2_R_5_980297783676108800" localSheetId="5">#REF!</definedName>
    <definedName name="_vena_MultiSiteS1_MultiSiteB2_R_5_980297783676108800" localSheetId="8">'[1]FY26 MYP-Multisite'!#REF!</definedName>
    <definedName name="_vena_MultiSiteS1_MultiSiteB2_R_5_980297783676108800" localSheetId="3">#REF!</definedName>
    <definedName name="_vena_MultiSiteS1_MultiSiteB2_R_5_980297783676108800">#REF!</definedName>
    <definedName name="_vena_MultiSiteS1_MultiSiteB2_R_5_980297783684497409" localSheetId="4">#REF!</definedName>
    <definedName name="_vena_MultiSiteS1_MultiSiteB2_R_5_980297783684497409" localSheetId="5">#REF!</definedName>
    <definedName name="_vena_MultiSiteS1_MultiSiteB2_R_5_980297783684497409" localSheetId="8">'[1]FY26 MYP-Multisite'!#REF!</definedName>
    <definedName name="_vena_MultiSiteS1_MultiSiteB2_R_5_980297783684497409" localSheetId="3">#REF!</definedName>
    <definedName name="_vena_MultiSiteS1_MultiSiteB2_R_5_980297783684497409">#REF!</definedName>
    <definedName name="_vena_MultiSiteS1_MultiSiteB2_R_5_980297783697080321" localSheetId="4">#REF!</definedName>
    <definedName name="_vena_MultiSiteS1_MultiSiteB2_R_5_980297783697080321" localSheetId="5">#REF!</definedName>
    <definedName name="_vena_MultiSiteS1_MultiSiteB2_R_5_980297783697080321" localSheetId="8">'[1]FY26 MYP-Multisite'!#REF!</definedName>
    <definedName name="_vena_MultiSiteS1_MultiSiteB2_R_5_980297783697080321" localSheetId="3">#REF!</definedName>
    <definedName name="_vena_MultiSiteS1_MultiSiteB2_R_5_980297783697080321">#REF!</definedName>
    <definedName name="_vena_MultiSiteS1_MultiSiteB2_R_5_980297783705468929" localSheetId="4">#REF!</definedName>
    <definedName name="_vena_MultiSiteS1_MultiSiteB2_R_5_980297783705468929" localSheetId="5">#REF!</definedName>
    <definedName name="_vena_MultiSiteS1_MultiSiteB2_R_5_980297783705468929" localSheetId="8">'[1]FY26 MYP-Multisite'!#REF!</definedName>
    <definedName name="_vena_MultiSiteS1_MultiSiteB2_R_5_980297783705468929" localSheetId="3">#REF!</definedName>
    <definedName name="_vena_MultiSiteS1_MultiSiteB2_R_5_980297783705468929">#REF!</definedName>
    <definedName name="_vena_MultiSiteS1_MultiSiteB2_R_5_980297783726440449" localSheetId="4">#REF!</definedName>
    <definedName name="_vena_MultiSiteS1_MultiSiteB2_R_5_980297783726440449" localSheetId="5">#REF!</definedName>
    <definedName name="_vena_MultiSiteS1_MultiSiteB2_R_5_980297783726440449" localSheetId="8">'[1]FY26 MYP-Multisite'!#REF!</definedName>
    <definedName name="_vena_MultiSiteS1_MultiSiteB2_R_5_980297783726440449" localSheetId="3">#REF!</definedName>
    <definedName name="_vena_MultiSiteS1_MultiSiteB2_R_5_980297783726440449">#REF!</definedName>
    <definedName name="_vena_MultiSiteS1_MultiSiteB2_R_5_980297783734829057" localSheetId="4">#REF!</definedName>
    <definedName name="_vena_MultiSiteS1_MultiSiteB2_R_5_980297783734829057" localSheetId="5">#REF!</definedName>
    <definedName name="_vena_MultiSiteS1_MultiSiteB2_R_5_980297783734829057" localSheetId="8">'[1]FY26 MYP-Multisite'!#REF!</definedName>
    <definedName name="_vena_MultiSiteS1_MultiSiteB2_R_5_980297783734829057" localSheetId="3">#REF!</definedName>
    <definedName name="_vena_MultiSiteS1_MultiSiteB2_R_5_980297783734829057">#REF!</definedName>
    <definedName name="_vena_MultiSiteS1_MultiSiteB2_R_5_980297783747411969" localSheetId="4">#REF!</definedName>
    <definedName name="_vena_MultiSiteS1_MultiSiteB2_R_5_980297783747411969" localSheetId="5">#REF!</definedName>
    <definedName name="_vena_MultiSiteS1_MultiSiteB2_R_5_980297783747411969" localSheetId="8">'[1]FY26 MYP-Multisite'!#REF!</definedName>
    <definedName name="_vena_MultiSiteS1_MultiSiteB2_R_5_980297783747411969" localSheetId="3">#REF!</definedName>
    <definedName name="_vena_MultiSiteS1_MultiSiteB2_R_5_980297783747411969">#REF!</definedName>
    <definedName name="_vena_MultiSiteS1_MultiSiteB2_R_5_980297783759994881" localSheetId="4">#REF!</definedName>
    <definedName name="_vena_MultiSiteS1_MultiSiteB2_R_5_980297783759994881" localSheetId="5">#REF!</definedName>
    <definedName name="_vena_MultiSiteS1_MultiSiteB2_R_5_980297783759994881" localSheetId="8">'[1]FY26 MYP-Multisite'!#REF!</definedName>
    <definedName name="_vena_MultiSiteS1_MultiSiteB2_R_5_980297783759994881" localSheetId="3">#REF!</definedName>
    <definedName name="_vena_MultiSiteS1_MultiSiteB2_R_5_980297783759994881">#REF!</definedName>
    <definedName name="_vena_MultiSiteS1_MultiSiteB2_R_5_980297783772577793" localSheetId="4">#REF!</definedName>
    <definedName name="_vena_MultiSiteS1_MultiSiteB2_R_5_980297783772577793" localSheetId="5">#REF!</definedName>
    <definedName name="_vena_MultiSiteS1_MultiSiteB2_R_5_980297783772577793" localSheetId="8">'[1]FY26 MYP-Multisite'!#REF!</definedName>
    <definedName name="_vena_MultiSiteS1_MultiSiteB2_R_5_980297783772577793" localSheetId="3">#REF!</definedName>
    <definedName name="_vena_MultiSiteS1_MultiSiteB2_R_5_980297783772577793">#REF!</definedName>
    <definedName name="_vena_MultiSiteS1_MultiSiteB2_R_5_980297783785160705" localSheetId="4">#REF!</definedName>
    <definedName name="_vena_MultiSiteS1_MultiSiteB2_R_5_980297783785160705" localSheetId="5">#REF!</definedName>
    <definedName name="_vena_MultiSiteS1_MultiSiteB2_R_5_980297783785160705" localSheetId="8">'[1]FY26 MYP-Multisite'!#REF!</definedName>
    <definedName name="_vena_MultiSiteS1_MultiSiteB2_R_5_980297783785160705" localSheetId="3">#REF!</definedName>
    <definedName name="_vena_MultiSiteS1_MultiSiteB2_R_5_980297783785160705">#REF!</definedName>
    <definedName name="_vena_MultiSiteS1_MultiSiteB3_C_8_431662182280724481" localSheetId="4">#REF!</definedName>
    <definedName name="_vena_MultiSiteS1_MultiSiteB3_C_8_431662182280724481" localSheetId="5">#REF!</definedName>
    <definedName name="_vena_MultiSiteS1_MultiSiteB3_C_8_431662182280724481" localSheetId="8">'[1]FY26 MYP-Multisite'!#REF!</definedName>
    <definedName name="_vena_MultiSiteS1_MultiSiteB3_C_8_431662182280724481" localSheetId="3">#REF!</definedName>
    <definedName name="_vena_MultiSiteS1_MultiSiteB3_C_8_431662182280724481">#REF!</definedName>
    <definedName name="_vena_MultiSiteS1_MultiSiteB3_C_8_431662182280724481_10" localSheetId="4">#REF!</definedName>
    <definedName name="_vena_MultiSiteS1_MultiSiteB3_C_8_431662182280724481_10" localSheetId="5">#REF!</definedName>
    <definedName name="_vena_MultiSiteS1_MultiSiteB3_C_8_431662182280724481_10" localSheetId="8">'[1]FY26 MYP-Multisite'!#REF!</definedName>
    <definedName name="_vena_MultiSiteS1_MultiSiteB3_C_8_431662182280724481_10" localSheetId="3">#REF!</definedName>
    <definedName name="_vena_MultiSiteS1_MultiSiteB3_C_8_431662182280724481_10">#REF!</definedName>
    <definedName name="_vena_MultiSiteS1_MultiSiteB3_C_8_431662182280724481_11" localSheetId="4">#REF!</definedName>
    <definedName name="_vena_MultiSiteS1_MultiSiteB3_C_8_431662182280724481_11" localSheetId="5">#REF!</definedName>
    <definedName name="_vena_MultiSiteS1_MultiSiteB3_C_8_431662182280724481_11" localSheetId="8">'[1]FY26 MYP-Multisite'!#REF!</definedName>
    <definedName name="_vena_MultiSiteS1_MultiSiteB3_C_8_431662182280724481_11" localSheetId="3">#REF!</definedName>
    <definedName name="_vena_MultiSiteS1_MultiSiteB3_C_8_431662182280724481_11">#REF!</definedName>
    <definedName name="_vena_MultiSiteS1_MultiSiteB3_C_8_431662182280724481_12" localSheetId="4">#REF!</definedName>
    <definedName name="_vena_MultiSiteS1_MultiSiteB3_C_8_431662182280724481_12" localSheetId="5">#REF!</definedName>
    <definedName name="_vena_MultiSiteS1_MultiSiteB3_C_8_431662182280724481_12" localSheetId="8">'[1]FY26 MYP-Multisite'!#REF!</definedName>
    <definedName name="_vena_MultiSiteS1_MultiSiteB3_C_8_431662182280724481_12" localSheetId="3">#REF!</definedName>
    <definedName name="_vena_MultiSiteS1_MultiSiteB3_C_8_431662182280724481_12">#REF!</definedName>
    <definedName name="_vena_MultiSiteS1_MultiSiteB3_C_8_431662182280724481_13" localSheetId="4">#REF!</definedName>
    <definedName name="_vena_MultiSiteS1_MultiSiteB3_C_8_431662182280724481_13" localSheetId="5">#REF!</definedName>
    <definedName name="_vena_MultiSiteS1_MultiSiteB3_C_8_431662182280724481_13" localSheetId="8">'[1]FY26 MYP-Multisite'!#REF!</definedName>
    <definedName name="_vena_MultiSiteS1_MultiSiteB3_C_8_431662182280724481_13" localSheetId="3">#REF!</definedName>
    <definedName name="_vena_MultiSiteS1_MultiSiteB3_C_8_431662182280724481_13">#REF!</definedName>
    <definedName name="_vena_MultiSiteS1_MultiSiteB3_C_8_431662182280724481_14" localSheetId="4">#REF!</definedName>
    <definedName name="_vena_MultiSiteS1_MultiSiteB3_C_8_431662182280724481_14" localSheetId="5">#REF!</definedName>
    <definedName name="_vena_MultiSiteS1_MultiSiteB3_C_8_431662182280724481_14" localSheetId="8">'[1]FY26 MYP-Multisite'!#REF!</definedName>
    <definedName name="_vena_MultiSiteS1_MultiSiteB3_C_8_431662182280724481_14" localSheetId="3">#REF!</definedName>
    <definedName name="_vena_MultiSiteS1_MultiSiteB3_C_8_431662182280724481_14">#REF!</definedName>
    <definedName name="_vena_MultiSiteS1_MultiSiteB3_C_8_431662182280724481_15" localSheetId="4">#REF!</definedName>
    <definedName name="_vena_MultiSiteS1_MultiSiteB3_C_8_431662182280724481_15" localSheetId="5">#REF!</definedName>
    <definedName name="_vena_MultiSiteS1_MultiSiteB3_C_8_431662182280724481_15" localSheetId="8">'[1]FY26 MYP-Multisite'!#REF!</definedName>
    <definedName name="_vena_MultiSiteS1_MultiSiteB3_C_8_431662182280724481_15" localSheetId="3">#REF!</definedName>
    <definedName name="_vena_MultiSiteS1_MultiSiteB3_C_8_431662182280724481_15">#REF!</definedName>
    <definedName name="_vena_MultiSiteS1_MultiSiteB3_C_8_431662182280724481_16" localSheetId="4">#REF!</definedName>
    <definedName name="_vena_MultiSiteS1_MultiSiteB3_C_8_431662182280724481_16" localSheetId="5">#REF!</definedName>
    <definedName name="_vena_MultiSiteS1_MultiSiteB3_C_8_431662182280724481_16" localSheetId="8">'[1]FY26 MYP-Multisite'!#REF!</definedName>
    <definedName name="_vena_MultiSiteS1_MultiSiteB3_C_8_431662182280724481_16" localSheetId="3">#REF!</definedName>
    <definedName name="_vena_MultiSiteS1_MultiSiteB3_C_8_431662182280724481_16">#REF!</definedName>
    <definedName name="_vena_MultiSiteS1_MultiSiteB3_C_8_431662182280724481_17" localSheetId="4">#REF!</definedName>
    <definedName name="_vena_MultiSiteS1_MultiSiteB3_C_8_431662182280724481_17" localSheetId="5">#REF!</definedName>
    <definedName name="_vena_MultiSiteS1_MultiSiteB3_C_8_431662182280724481_17" localSheetId="8">'[1]FY26 MYP-Multisite'!#REF!</definedName>
    <definedName name="_vena_MultiSiteS1_MultiSiteB3_C_8_431662182280724481_17" localSheetId="3">#REF!</definedName>
    <definedName name="_vena_MultiSiteS1_MultiSiteB3_C_8_431662182280724481_17">#REF!</definedName>
    <definedName name="_vena_MultiSiteS1_MultiSiteB3_C_8_431662182280724481_18" localSheetId="4">#REF!</definedName>
    <definedName name="_vena_MultiSiteS1_MultiSiteB3_C_8_431662182280724481_18" localSheetId="5">#REF!</definedName>
    <definedName name="_vena_MultiSiteS1_MultiSiteB3_C_8_431662182280724481_18" localSheetId="8">'[1]FY26 MYP-Multisite'!#REF!</definedName>
    <definedName name="_vena_MultiSiteS1_MultiSiteB3_C_8_431662182280724481_18" localSheetId="3">#REF!</definedName>
    <definedName name="_vena_MultiSiteS1_MultiSiteB3_C_8_431662182280724481_18">#REF!</definedName>
    <definedName name="_vena_MultiSiteS1_MultiSiteB3_C_8_431662182280724481_19" localSheetId="4">#REF!</definedName>
    <definedName name="_vena_MultiSiteS1_MultiSiteB3_C_8_431662182280724481_19" localSheetId="5">#REF!</definedName>
    <definedName name="_vena_MultiSiteS1_MultiSiteB3_C_8_431662182280724481_19" localSheetId="8">'[1]FY26 MYP-Multisite'!#REF!</definedName>
    <definedName name="_vena_MultiSiteS1_MultiSiteB3_C_8_431662182280724481_19" localSheetId="3">#REF!</definedName>
    <definedName name="_vena_MultiSiteS1_MultiSiteB3_C_8_431662182280724481_19">#REF!</definedName>
    <definedName name="_vena_MultiSiteS1_MultiSiteB3_C_8_431662182280724481_2">#REF!</definedName>
    <definedName name="_vena_MultiSiteS1_MultiSiteB3_C_8_431662182280724481_20" localSheetId="4">#REF!</definedName>
    <definedName name="_vena_MultiSiteS1_MultiSiteB3_C_8_431662182280724481_20" localSheetId="5">#REF!</definedName>
    <definedName name="_vena_MultiSiteS1_MultiSiteB3_C_8_431662182280724481_20" localSheetId="8">'[1]FY26 MYP-Multisite'!#REF!</definedName>
    <definedName name="_vena_MultiSiteS1_MultiSiteB3_C_8_431662182280724481_20" localSheetId="3">#REF!</definedName>
    <definedName name="_vena_MultiSiteS1_MultiSiteB3_C_8_431662182280724481_20">#REF!</definedName>
    <definedName name="_vena_MultiSiteS1_MultiSiteB3_C_8_431662182280724481_21" localSheetId="4">#REF!</definedName>
    <definedName name="_vena_MultiSiteS1_MultiSiteB3_C_8_431662182280724481_21" localSheetId="5">#REF!</definedName>
    <definedName name="_vena_MultiSiteS1_MultiSiteB3_C_8_431662182280724481_21" localSheetId="8">'[1]FY26 MYP-Multisite'!#REF!</definedName>
    <definedName name="_vena_MultiSiteS1_MultiSiteB3_C_8_431662182280724481_21" localSheetId="3">#REF!</definedName>
    <definedName name="_vena_MultiSiteS1_MultiSiteB3_C_8_431662182280724481_21">#REF!</definedName>
    <definedName name="_vena_MultiSiteS1_MultiSiteB3_C_8_431662182280724481_22" localSheetId="4">#REF!</definedName>
    <definedName name="_vena_MultiSiteS1_MultiSiteB3_C_8_431662182280724481_22" localSheetId="5">#REF!</definedName>
    <definedName name="_vena_MultiSiteS1_MultiSiteB3_C_8_431662182280724481_22" localSheetId="8">'[1]FY26 MYP-Multisite'!#REF!</definedName>
    <definedName name="_vena_MultiSiteS1_MultiSiteB3_C_8_431662182280724481_22" localSheetId="3">#REF!</definedName>
    <definedName name="_vena_MultiSiteS1_MultiSiteB3_C_8_431662182280724481_22">#REF!</definedName>
    <definedName name="_vena_MultiSiteS1_MultiSiteB3_C_8_431662182280724481_23" localSheetId="4">#REF!</definedName>
    <definedName name="_vena_MultiSiteS1_MultiSiteB3_C_8_431662182280724481_23" localSheetId="5">#REF!</definedName>
    <definedName name="_vena_MultiSiteS1_MultiSiteB3_C_8_431662182280724481_23" localSheetId="8">'[1]FY26 MYP-Multisite'!#REF!</definedName>
    <definedName name="_vena_MultiSiteS1_MultiSiteB3_C_8_431662182280724481_23" localSheetId="3">#REF!</definedName>
    <definedName name="_vena_MultiSiteS1_MultiSiteB3_C_8_431662182280724481_23">#REF!</definedName>
    <definedName name="_vena_MultiSiteS1_MultiSiteB3_C_8_431662182280724481_24" localSheetId="4">#REF!</definedName>
    <definedName name="_vena_MultiSiteS1_MultiSiteB3_C_8_431662182280724481_24" localSheetId="5">#REF!</definedName>
    <definedName name="_vena_MultiSiteS1_MultiSiteB3_C_8_431662182280724481_24" localSheetId="8">'[1]FY26 MYP-Multisite'!#REF!</definedName>
    <definedName name="_vena_MultiSiteS1_MultiSiteB3_C_8_431662182280724481_24" localSheetId="3">#REF!</definedName>
    <definedName name="_vena_MultiSiteS1_MultiSiteB3_C_8_431662182280724481_24">#REF!</definedName>
    <definedName name="_vena_MultiSiteS1_MultiSiteB3_C_8_431662182280724481_25" localSheetId="4">#REF!</definedName>
    <definedName name="_vena_MultiSiteS1_MultiSiteB3_C_8_431662182280724481_25" localSheetId="5">#REF!</definedName>
    <definedName name="_vena_MultiSiteS1_MultiSiteB3_C_8_431662182280724481_25" localSheetId="8">'[1]FY26 MYP-Multisite'!#REF!</definedName>
    <definedName name="_vena_MultiSiteS1_MultiSiteB3_C_8_431662182280724481_25" localSheetId="3">#REF!</definedName>
    <definedName name="_vena_MultiSiteS1_MultiSiteB3_C_8_431662182280724481_25">#REF!</definedName>
    <definedName name="_vena_MultiSiteS1_MultiSiteB3_C_8_431662182280724481_26" localSheetId="4">#REF!</definedName>
    <definedName name="_vena_MultiSiteS1_MultiSiteB3_C_8_431662182280724481_26" localSheetId="5">#REF!</definedName>
    <definedName name="_vena_MultiSiteS1_MultiSiteB3_C_8_431662182280724481_26" localSheetId="8">'[1]FY26 MYP-Multisite'!#REF!</definedName>
    <definedName name="_vena_MultiSiteS1_MultiSiteB3_C_8_431662182280724481_26" localSheetId="3">#REF!</definedName>
    <definedName name="_vena_MultiSiteS1_MultiSiteB3_C_8_431662182280724481_26">#REF!</definedName>
    <definedName name="_vena_MultiSiteS1_MultiSiteB3_C_8_431662182280724481_27" localSheetId="4">#REF!</definedName>
    <definedName name="_vena_MultiSiteS1_MultiSiteB3_C_8_431662182280724481_27" localSheetId="5">#REF!</definedName>
    <definedName name="_vena_MultiSiteS1_MultiSiteB3_C_8_431662182280724481_27" localSheetId="8">'[1]FY26 MYP-Multisite'!#REF!</definedName>
    <definedName name="_vena_MultiSiteS1_MultiSiteB3_C_8_431662182280724481_27" localSheetId="3">#REF!</definedName>
    <definedName name="_vena_MultiSiteS1_MultiSiteB3_C_8_431662182280724481_27">#REF!</definedName>
    <definedName name="_vena_MultiSiteS1_MultiSiteB3_C_8_431662182280724481_3">#REF!</definedName>
    <definedName name="_vena_MultiSiteS1_MultiSiteB3_C_8_431662182280724481_4">#REF!</definedName>
    <definedName name="_vena_MultiSiteS1_MultiSiteB3_C_8_431662182280724481_5" localSheetId="4">#REF!</definedName>
    <definedName name="_vena_MultiSiteS1_MultiSiteB3_C_8_431662182280724481_5" localSheetId="5">#REF!</definedName>
    <definedName name="_vena_MultiSiteS1_MultiSiteB3_C_8_431662182280724481_5" localSheetId="8">'[1]FY26 MYP-Multisite'!#REF!</definedName>
    <definedName name="_vena_MultiSiteS1_MultiSiteB3_C_8_431662182280724481_5" localSheetId="3">#REF!</definedName>
    <definedName name="_vena_MultiSiteS1_MultiSiteB3_C_8_431662182280724481_5">#REF!</definedName>
    <definedName name="_vena_MultiSiteS1_MultiSiteB3_C_8_431662182280724481_6" localSheetId="4">#REF!</definedName>
    <definedName name="_vena_MultiSiteS1_MultiSiteB3_C_8_431662182280724481_6" localSheetId="5">#REF!</definedName>
    <definedName name="_vena_MultiSiteS1_MultiSiteB3_C_8_431662182280724481_6" localSheetId="8">'[1]FY26 MYP-Multisite'!#REF!</definedName>
    <definedName name="_vena_MultiSiteS1_MultiSiteB3_C_8_431662182280724481_6" localSheetId="3">#REF!</definedName>
    <definedName name="_vena_MultiSiteS1_MultiSiteB3_C_8_431662182280724481_6">#REF!</definedName>
    <definedName name="_vena_MultiSiteS1_MultiSiteB3_C_8_431662182280724481_7" localSheetId="4">#REF!</definedName>
    <definedName name="_vena_MultiSiteS1_MultiSiteB3_C_8_431662182280724481_7" localSheetId="5">#REF!</definedName>
    <definedName name="_vena_MultiSiteS1_MultiSiteB3_C_8_431662182280724481_7" localSheetId="8">'[1]FY26 MYP-Multisite'!#REF!</definedName>
    <definedName name="_vena_MultiSiteS1_MultiSiteB3_C_8_431662182280724481_7" localSheetId="3">#REF!</definedName>
    <definedName name="_vena_MultiSiteS1_MultiSiteB3_C_8_431662182280724481_7">#REF!</definedName>
    <definedName name="_vena_MultiSiteS1_MultiSiteB3_C_8_431662182280724481_8" localSheetId="4">#REF!</definedName>
    <definedName name="_vena_MultiSiteS1_MultiSiteB3_C_8_431662182280724481_8" localSheetId="5">#REF!</definedName>
    <definedName name="_vena_MultiSiteS1_MultiSiteB3_C_8_431662182280724481_8" localSheetId="8">'[1]FY26 MYP-Multisite'!#REF!</definedName>
    <definedName name="_vena_MultiSiteS1_MultiSiteB3_C_8_431662182280724481_8" localSheetId="3">#REF!</definedName>
    <definedName name="_vena_MultiSiteS1_MultiSiteB3_C_8_431662182280724481_8">#REF!</definedName>
    <definedName name="_vena_MultiSiteS1_MultiSiteB3_C_8_431662182280724481_9" localSheetId="4">#REF!</definedName>
    <definedName name="_vena_MultiSiteS1_MultiSiteB3_C_8_431662182280724481_9" localSheetId="5">#REF!</definedName>
    <definedName name="_vena_MultiSiteS1_MultiSiteB3_C_8_431662182280724481_9" localSheetId="8">'[1]FY26 MYP-Multisite'!#REF!</definedName>
    <definedName name="_vena_MultiSiteS1_MultiSiteB3_C_8_431662182280724481_9" localSheetId="3">#REF!</definedName>
    <definedName name="_vena_MultiSiteS1_MultiSiteB3_C_8_431662182280724481_9">#REF!</definedName>
    <definedName name="_vena_MultiSiteS1_MultiSiteB3_C_8_551651297725251586">#REF!</definedName>
    <definedName name="_vena_MultiSiteS1_MultiSiteB3_C_8_551651297725251586_2">#REF!</definedName>
    <definedName name="_vena_MultiSiteS1_MultiSiteB3_C_8_551651297725251586_3">#REF!</definedName>
    <definedName name="_vena_MultiSiteS1_MultiSiteB3_C_8_551651297725251586_4">#REF!</definedName>
    <definedName name="_vena_MultiSiteS1_MultiSiteB3_C_8_632005313629519872">#REF!</definedName>
    <definedName name="_vena_MultiSiteS1_MultiSiteB3_C_8_632005313629519872_1">#REF!</definedName>
    <definedName name="_vena_MultiSiteS1_MultiSiteB3_C_8_632005313629519872_2">#REF!</definedName>
    <definedName name="_vena_MultiSiteS1_MultiSiteB3_C_8_632005313629519872_3">#REF!</definedName>
    <definedName name="_vena_MultiSiteS1_MultiSiteB3_C_8_632005313629519872_4">#REF!</definedName>
    <definedName name="_vena_MultiSiteS1_MultiSiteB3_C_8_632005313629519872_5">#REF!</definedName>
    <definedName name="_vena_MultiSiteS1_MultiSiteB3_C_FV_56493ffece784c5db4cd0fd3b40a250d_1" localSheetId="4">#REF!</definedName>
    <definedName name="_vena_MultiSiteS1_MultiSiteB3_C_FV_56493ffece784c5db4cd0fd3b40a250d_1" localSheetId="5">#REF!</definedName>
    <definedName name="_vena_MultiSiteS1_MultiSiteB3_C_FV_56493ffece784c5db4cd0fd3b40a250d_1" localSheetId="8">'[1]FY26 MYP-Multisite'!#REF!</definedName>
    <definedName name="_vena_MultiSiteS1_MultiSiteB3_C_FV_56493ffece784c5db4cd0fd3b40a250d_1" localSheetId="3">#REF!</definedName>
    <definedName name="_vena_MultiSiteS1_MultiSiteB3_C_FV_56493ffece784c5db4cd0fd3b40a250d_1">#REF!</definedName>
    <definedName name="_vena_MultiSiteS1_MultiSiteB3_C_FV_56493ffece784c5db4cd0fd3b40a250d_10" localSheetId="4">#REF!</definedName>
    <definedName name="_vena_MultiSiteS1_MultiSiteB3_C_FV_56493ffece784c5db4cd0fd3b40a250d_10" localSheetId="5">#REF!</definedName>
    <definedName name="_vena_MultiSiteS1_MultiSiteB3_C_FV_56493ffece784c5db4cd0fd3b40a250d_10" localSheetId="8">'[1]FY26 MYP-Multisite'!#REF!</definedName>
    <definedName name="_vena_MultiSiteS1_MultiSiteB3_C_FV_56493ffece784c5db4cd0fd3b40a250d_10" localSheetId="3">#REF!</definedName>
    <definedName name="_vena_MultiSiteS1_MultiSiteB3_C_FV_56493ffece784c5db4cd0fd3b40a250d_10">#REF!</definedName>
    <definedName name="_vena_MultiSiteS1_MultiSiteB3_C_FV_56493ffece784c5db4cd0fd3b40a250d_11" localSheetId="4">#REF!</definedName>
    <definedName name="_vena_MultiSiteS1_MultiSiteB3_C_FV_56493ffece784c5db4cd0fd3b40a250d_11" localSheetId="5">#REF!</definedName>
    <definedName name="_vena_MultiSiteS1_MultiSiteB3_C_FV_56493ffece784c5db4cd0fd3b40a250d_11" localSheetId="8">'[1]FY26 MYP-Multisite'!#REF!</definedName>
    <definedName name="_vena_MultiSiteS1_MultiSiteB3_C_FV_56493ffece784c5db4cd0fd3b40a250d_11" localSheetId="3">#REF!</definedName>
    <definedName name="_vena_MultiSiteS1_MultiSiteB3_C_FV_56493ffece784c5db4cd0fd3b40a250d_11">#REF!</definedName>
    <definedName name="_vena_MultiSiteS1_MultiSiteB3_C_FV_56493ffece784c5db4cd0fd3b40a250d_12" localSheetId="4">#REF!</definedName>
    <definedName name="_vena_MultiSiteS1_MultiSiteB3_C_FV_56493ffece784c5db4cd0fd3b40a250d_12" localSheetId="5">#REF!</definedName>
    <definedName name="_vena_MultiSiteS1_MultiSiteB3_C_FV_56493ffece784c5db4cd0fd3b40a250d_12" localSheetId="8">'[1]FY26 MYP-Multisite'!#REF!</definedName>
    <definedName name="_vena_MultiSiteS1_MultiSiteB3_C_FV_56493ffece784c5db4cd0fd3b40a250d_12" localSheetId="3">#REF!</definedName>
    <definedName name="_vena_MultiSiteS1_MultiSiteB3_C_FV_56493ffece784c5db4cd0fd3b40a250d_12">#REF!</definedName>
    <definedName name="_vena_MultiSiteS1_MultiSiteB3_C_FV_56493ffece784c5db4cd0fd3b40a250d_13" localSheetId="4">#REF!</definedName>
    <definedName name="_vena_MultiSiteS1_MultiSiteB3_C_FV_56493ffece784c5db4cd0fd3b40a250d_13" localSheetId="5">#REF!</definedName>
    <definedName name="_vena_MultiSiteS1_MultiSiteB3_C_FV_56493ffece784c5db4cd0fd3b40a250d_13" localSheetId="8">'[1]FY26 MYP-Multisite'!#REF!</definedName>
    <definedName name="_vena_MultiSiteS1_MultiSiteB3_C_FV_56493ffece784c5db4cd0fd3b40a250d_13" localSheetId="3">#REF!</definedName>
    <definedName name="_vena_MultiSiteS1_MultiSiteB3_C_FV_56493ffece784c5db4cd0fd3b40a250d_13">#REF!</definedName>
    <definedName name="_vena_MultiSiteS1_MultiSiteB3_C_FV_56493ffece784c5db4cd0fd3b40a250d_14" localSheetId="4">#REF!</definedName>
    <definedName name="_vena_MultiSiteS1_MultiSiteB3_C_FV_56493ffece784c5db4cd0fd3b40a250d_14" localSheetId="5">#REF!</definedName>
    <definedName name="_vena_MultiSiteS1_MultiSiteB3_C_FV_56493ffece784c5db4cd0fd3b40a250d_14" localSheetId="8">'[1]FY26 MYP-Multisite'!#REF!</definedName>
    <definedName name="_vena_MultiSiteS1_MultiSiteB3_C_FV_56493ffece784c5db4cd0fd3b40a250d_14" localSheetId="3">#REF!</definedName>
    <definedName name="_vena_MultiSiteS1_MultiSiteB3_C_FV_56493ffece784c5db4cd0fd3b40a250d_14">#REF!</definedName>
    <definedName name="_vena_MultiSiteS1_MultiSiteB3_C_FV_56493ffece784c5db4cd0fd3b40a250d_15" localSheetId="4">#REF!</definedName>
    <definedName name="_vena_MultiSiteS1_MultiSiteB3_C_FV_56493ffece784c5db4cd0fd3b40a250d_15" localSheetId="5">#REF!</definedName>
    <definedName name="_vena_MultiSiteS1_MultiSiteB3_C_FV_56493ffece784c5db4cd0fd3b40a250d_15" localSheetId="8">'[1]FY26 MYP-Multisite'!#REF!</definedName>
    <definedName name="_vena_MultiSiteS1_MultiSiteB3_C_FV_56493ffece784c5db4cd0fd3b40a250d_15" localSheetId="3">#REF!</definedName>
    <definedName name="_vena_MultiSiteS1_MultiSiteB3_C_FV_56493ffece784c5db4cd0fd3b40a250d_15">#REF!</definedName>
    <definedName name="_vena_MultiSiteS1_MultiSiteB3_C_FV_56493ffece784c5db4cd0fd3b40a250d_16" localSheetId="4">#REF!</definedName>
    <definedName name="_vena_MultiSiteS1_MultiSiteB3_C_FV_56493ffece784c5db4cd0fd3b40a250d_16" localSheetId="5">#REF!</definedName>
    <definedName name="_vena_MultiSiteS1_MultiSiteB3_C_FV_56493ffece784c5db4cd0fd3b40a250d_16" localSheetId="8">'[1]FY26 MYP-Multisite'!#REF!</definedName>
    <definedName name="_vena_MultiSiteS1_MultiSiteB3_C_FV_56493ffece784c5db4cd0fd3b40a250d_16" localSheetId="3">#REF!</definedName>
    <definedName name="_vena_MultiSiteS1_MultiSiteB3_C_FV_56493ffece784c5db4cd0fd3b40a250d_16">#REF!</definedName>
    <definedName name="_vena_MultiSiteS1_MultiSiteB3_C_FV_56493ffece784c5db4cd0fd3b40a250d_17" localSheetId="4">#REF!</definedName>
    <definedName name="_vena_MultiSiteS1_MultiSiteB3_C_FV_56493ffece784c5db4cd0fd3b40a250d_17" localSheetId="5">#REF!</definedName>
    <definedName name="_vena_MultiSiteS1_MultiSiteB3_C_FV_56493ffece784c5db4cd0fd3b40a250d_17" localSheetId="8">'[1]FY26 MYP-Multisite'!#REF!</definedName>
    <definedName name="_vena_MultiSiteS1_MultiSiteB3_C_FV_56493ffece784c5db4cd0fd3b40a250d_17" localSheetId="3">#REF!</definedName>
    <definedName name="_vena_MultiSiteS1_MultiSiteB3_C_FV_56493ffece784c5db4cd0fd3b40a250d_17">#REF!</definedName>
    <definedName name="_vena_MultiSiteS1_MultiSiteB3_C_FV_56493ffece784c5db4cd0fd3b40a250d_18" localSheetId="4">#REF!</definedName>
    <definedName name="_vena_MultiSiteS1_MultiSiteB3_C_FV_56493ffece784c5db4cd0fd3b40a250d_18" localSheetId="5">#REF!</definedName>
    <definedName name="_vena_MultiSiteS1_MultiSiteB3_C_FV_56493ffece784c5db4cd0fd3b40a250d_18" localSheetId="8">'[1]FY26 MYP-Multisite'!#REF!</definedName>
    <definedName name="_vena_MultiSiteS1_MultiSiteB3_C_FV_56493ffece784c5db4cd0fd3b40a250d_18" localSheetId="3">#REF!</definedName>
    <definedName name="_vena_MultiSiteS1_MultiSiteB3_C_FV_56493ffece784c5db4cd0fd3b40a250d_18">#REF!</definedName>
    <definedName name="_vena_MultiSiteS1_MultiSiteB3_C_FV_56493ffece784c5db4cd0fd3b40a250d_19" localSheetId="4">#REF!</definedName>
    <definedName name="_vena_MultiSiteS1_MultiSiteB3_C_FV_56493ffece784c5db4cd0fd3b40a250d_19" localSheetId="5">#REF!</definedName>
    <definedName name="_vena_MultiSiteS1_MultiSiteB3_C_FV_56493ffece784c5db4cd0fd3b40a250d_19" localSheetId="8">'[1]FY26 MYP-Multisite'!#REF!</definedName>
    <definedName name="_vena_MultiSiteS1_MultiSiteB3_C_FV_56493ffece784c5db4cd0fd3b40a250d_19" localSheetId="3">#REF!</definedName>
    <definedName name="_vena_MultiSiteS1_MultiSiteB3_C_FV_56493ffece784c5db4cd0fd3b40a250d_19">#REF!</definedName>
    <definedName name="_vena_MultiSiteS1_MultiSiteB3_C_FV_56493ffece784c5db4cd0fd3b40a250d_20" localSheetId="4">#REF!</definedName>
    <definedName name="_vena_MultiSiteS1_MultiSiteB3_C_FV_56493ffece784c5db4cd0fd3b40a250d_20" localSheetId="5">#REF!</definedName>
    <definedName name="_vena_MultiSiteS1_MultiSiteB3_C_FV_56493ffece784c5db4cd0fd3b40a250d_20" localSheetId="8">'[1]FY26 MYP-Multisite'!#REF!</definedName>
    <definedName name="_vena_MultiSiteS1_MultiSiteB3_C_FV_56493ffece784c5db4cd0fd3b40a250d_20" localSheetId="3">#REF!</definedName>
    <definedName name="_vena_MultiSiteS1_MultiSiteB3_C_FV_56493ffece784c5db4cd0fd3b40a250d_20">#REF!</definedName>
    <definedName name="_vena_MultiSiteS1_MultiSiteB3_C_FV_56493ffece784c5db4cd0fd3b40a250d_21" localSheetId="4">#REF!</definedName>
    <definedName name="_vena_MultiSiteS1_MultiSiteB3_C_FV_56493ffece784c5db4cd0fd3b40a250d_21" localSheetId="5">#REF!</definedName>
    <definedName name="_vena_MultiSiteS1_MultiSiteB3_C_FV_56493ffece784c5db4cd0fd3b40a250d_21" localSheetId="8">'[1]FY26 MYP-Multisite'!#REF!</definedName>
    <definedName name="_vena_MultiSiteS1_MultiSiteB3_C_FV_56493ffece784c5db4cd0fd3b40a250d_21" localSheetId="3">#REF!</definedName>
    <definedName name="_vena_MultiSiteS1_MultiSiteB3_C_FV_56493ffece784c5db4cd0fd3b40a250d_21">#REF!</definedName>
    <definedName name="_vena_MultiSiteS1_MultiSiteB3_C_FV_56493ffece784c5db4cd0fd3b40a250d_22" localSheetId="4">#REF!</definedName>
    <definedName name="_vena_MultiSiteS1_MultiSiteB3_C_FV_56493ffece784c5db4cd0fd3b40a250d_22" localSheetId="5">#REF!</definedName>
    <definedName name="_vena_MultiSiteS1_MultiSiteB3_C_FV_56493ffece784c5db4cd0fd3b40a250d_22" localSheetId="8">'[1]FY26 MYP-Multisite'!#REF!</definedName>
    <definedName name="_vena_MultiSiteS1_MultiSiteB3_C_FV_56493ffece784c5db4cd0fd3b40a250d_22" localSheetId="3">#REF!</definedName>
    <definedName name="_vena_MultiSiteS1_MultiSiteB3_C_FV_56493ffece784c5db4cd0fd3b40a250d_22">#REF!</definedName>
    <definedName name="_vena_MultiSiteS1_MultiSiteB3_C_FV_56493ffece784c5db4cd0fd3b40a250d_23" localSheetId="4">#REF!</definedName>
    <definedName name="_vena_MultiSiteS1_MultiSiteB3_C_FV_56493ffece784c5db4cd0fd3b40a250d_23" localSheetId="5">#REF!</definedName>
    <definedName name="_vena_MultiSiteS1_MultiSiteB3_C_FV_56493ffece784c5db4cd0fd3b40a250d_23" localSheetId="8">'[1]FY26 MYP-Multisite'!#REF!</definedName>
    <definedName name="_vena_MultiSiteS1_MultiSiteB3_C_FV_56493ffece784c5db4cd0fd3b40a250d_23" localSheetId="3">#REF!</definedName>
    <definedName name="_vena_MultiSiteS1_MultiSiteB3_C_FV_56493ffece784c5db4cd0fd3b40a250d_23">#REF!</definedName>
    <definedName name="_vena_MultiSiteS1_MultiSiteB3_C_FV_56493ffece784c5db4cd0fd3b40a250d_24" localSheetId="4">#REF!</definedName>
    <definedName name="_vena_MultiSiteS1_MultiSiteB3_C_FV_56493ffece784c5db4cd0fd3b40a250d_24" localSheetId="5">#REF!</definedName>
    <definedName name="_vena_MultiSiteS1_MultiSiteB3_C_FV_56493ffece784c5db4cd0fd3b40a250d_24" localSheetId="8">'[1]FY26 MYP-Multisite'!#REF!</definedName>
    <definedName name="_vena_MultiSiteS1_MultiSiteB3_C_FV_56493ffece784c5db4cd0fd3b40a250d_24" localSheetId="3">#REF!</definedName>
    <definedName name="_vena_MultiSiteS1_MultiSiteB3_C_FV_56493ffece784c5db4cd0fd3b40a250d_24">#REF!</definedName>
    <definedName name="_vena_MultiSiteS1_MultiSiteB3_C_FV_56493ffece784c5db4cd0fd3b40a250d_25" localSheetId="4">#REF!</definedName>
    <definedName name="_vena_MultiSiteS1_MultiSiteB3_C_FV_56493ffece784c5db4cd0fd3b40a250d_25" localSheetId="5">#REF!</definedName>
    <definedName name="_vena_MultiSiteS1_MultiSiteB3_C_FV_56493ffece784c5db4cd0fd3b40a250d_25" localSheetId="8">'[1]FY26 MYP-Multisite'!#REF!</definedName>
    <definedName name="_vena_MultiSiteS1_MultiSiteB3_C_FV_56493ffece784c5db4cd0fd3b40a250d_25" localSheetId="3">#REF!</definedName>
    <definedName name="_vena_MultiSiteS1_MultiSiteB3_C_FV_56493ffece784c5db4cd0fd3b40a250d_25">#REF!</definedName>
    <definedName name="_vena_MultiSiteS1_MultiSiteB3_C_FV_56493ffece784c5db4cd0fd3b40a250d_26" localSheetId="4">#REF!</definedName>
    <definedName name="_vena_MultiSiteS1_MultiSiteB3_C_FV_56493ffece784c5db4cd0fd3b40a250d_26" localSheetId="5">#REF!</definedName>
    <definedName name="_vena_MultiSiteS1_MultiSiteB3_C_FV_56493ffece784c5db4cd0fd3b40a250d_26" localSheetId="8">'[1]FY26 MYP-Multisite'!#REF!</definedName>
    <definedName name="_vena_MultiSiteS1_MultiSiteB3_C_FV_56493ffece784c5db4cd0fd3b40a250d_26" localSheetId="3">#REF!</definedName>
    <definedName name="_vena_MultiSiteS1_MultiSiteB3_C_FV_56493ffece784c5db4cd0fd3b40a250d_26">#REF!</definedName>
    <definedName name="_vena_MultiSiteS1_MultiSiteB3_C_FV_56493ffece784c5db4cd0fd3b40a250d_27" localSheetId="4">#REF!</definedName>
    <definedName name="_vena_MultiSiteS1_MultiSiteB3_C_FV_56493ffece784c5db4cd0fd3b40a250d_27" localSheetId="5">#REF!</definedName>
    <definedName name="_vena_MultiSiteS1_MultiSiteB3_C_FV_56493ffece784c5db4cd0fd3b40a250d_27" localSheetId="8">'[1]FY26 MYP-Multisite'!#REF!</definedName>
    <definedName name="_vena_MultiSiteS1_MultiSiteB3_C_FV_56493ffece784c5db4cd0fd3b40a250d_27" localSheetId="3">#REF!</definedName>
    <definedName name="_vena_MultiSiteS1_MultiSiteB3_C_FV_56493ffece784c5db4cd0fd3b40a250d_27">#REF!</definedName>
    <definedName name="_vena_MultiSiteS1_MultiSiteB3_C_FV_56493ffece784c5db4cd0fd3b40a250d_28" localSheetId="4">#REF!</definedName>
    <definedName name="_vena_MultiSiteS1_MultiSiteB3_C_FV_56493ffece784c5db4cd0fd3b40a250d_28" localSheetId="5">#REF!</definedName>
    <definedName name="_vena_MultiSiteS1_MultiSiteB3_C_FV_56493ffece784c5db4cd0fd3b40a250d_28" localSheetId="8">'[1]FY26 MYP-Multisite'!#REF!</definedName>
    <definedName name="_vena_MultiSiteS1_MultiSiteB3_C_FV_56493ffece784c5db4cd0fd3b40a250d_28" localSheetId="3">#REF!</definedName>
    <definedName name="_vena_MultiSiteS1_MultiSiteB3_C_FV_56493ffece784c5db4cd0fd3b40a250d_28">#REF!</definedName>
    <definedName name="_vena_MultiSiteS1_MultiSiteB3_C_FV_56493ffece784c5db4cd0fd3b40a250d_3">#REF!</definedName>
    <definedName name="_vena_MultiSiteS1_MultiSiteB3_C_FV_56493ffece784c5db4cd0fd3b40a250d_4">#REF!</definedName>
    <definedName name="_vena_MultiSiteS1_MultiSiteB3_C_FV_56493ffece784c5db4cd0fd3b40a250d_5">#REF!</definedName>
    <definedName name="_vena_MultiSiteS1_MultiSiteB3_C_FV_56493ffece784c5db4cd0fd3b40a250d_6" localSheetId="4">#REF!</definedName>
    <definedName name="_vena_MultiSiteS1_MultiSiteB3_C_FV_56493ffece784c5db4cd0fd3b40a250d_6" localSheetId="5">#REF!</definedName>
    <definedName name="_vena_MultiSiteS1_MultiSiteB3_C_FV_56493ffece784c5db4cd0fd3b40a250d_6" localSheetId="8">'[1]FY26 MYP-Multisite'!#REF!</definedName>
    <definedName name="_vena_MultiSiteS1_MultiSiteB3_C_FV_56493ffece784c5db4cd0fd3b40a250d_6" localSheetId="3">#REF!</definedName>
    <definedName name="_vena_MultiSiteS1_MultiSiteB3_C_FV_56493ffece784c5db4cd0fd3b40a250d_6">#REF!</definedName>
    <definedName name="_vena_MultiSiteS1_MultiSiteB3_C_FV_56493ffece784c5db4cd0fd3b40a250d_7" localSheetId="4">#REF!</definedName>
    <definedName name="_vena_MultiSiteS1_MultiSiteB3_C_FV_56493ffece784c5db4cd0fd3b40a250d_7" localSheetId="5">#REF!</definedName>
    <definedName name="_vena_MultiSiteS1_MultiSiteB3_C_FV_56493ffece784c5db4cd0fd3b40a250d_7" localSheetId="8">'[1]FY26 MYP-Multisite'!#REF!</definedName>
    <definedName name="_vena_MultiSiteS1_MultiSiteB3_C_FV_56493ffece784c5db4cd0fd3b40a250d_7" localSheetId="3">#REF!</definedName>
    <definedName name="_vena_MultiSiteS1_MultiSiteB3_C_FV_56493ffece784c5db4cd0fd3b40a250d_7">#REF!</definedName>
    <definedName name="_vena_MultiSiteS1_MultiSiteB3_C_FV_56493ffece784c5db4cd0fd3b40a250d_8" localSheetId="4">#REF!</definedName>
    <definedName name="_vena_MultiSiteS1_MultiSiteB3_C_FV_56493ffece784c5db4cd0fd3b40a250d_8" localSheetId="5">#REF!</definedName>
    <definedName name="_vena_MultiSiteS1_MultiSiteB3_C_FV_56493ffece784c5db4cd0fd3b40a250d_8" localSheetId="8">'[1]FY26 MYP-Multisite'!#REF!</definedName>
    <definedName name="_vena_MultiSiteS1_MultiSiteB3_C_FV_56493ffece784c5db4cd0fd3b40a250d_8" localSheetId="3">#REF!</definedName>
    <definedName name="_vena_MultiSiteS1_MultiSiteB3_C_FV_56493ffece784c5db4cd0fd3b40a250d_8">#REF!</definedName>
    <definedName name="_vena_MultiSiteS1_MultiSiteB3_C_FV_56493ffece784c5db4cd0fd3b40a250d_9" localSheetId="4">#REF!</definedName>
    <definedName name="_vena_MultiSiteS1_MultiSiteB3_C_FV_56493ffece784c5db4cd0fd3b40a250d_9" localSheetId="5">#REF!</definedName>
    <definedName name="_vena_MultiSiteS1_MultiSiteB3_C_FV_56493ffece784c5db4cd0fd3b40a250d_9" localSheetId="8">'[1]FY26 MYP-Multisite'!#REF!</definedName>
    <definedName name="_vena_MultiSiteS1_MultiSiteB3_C_FV_56493ffece784c5db4cd0fd3b40a250d_9" localSheetId="3">#REF!</definedName>
    <definedName name="_vena_MultiSiteS1_MultiSiteB3_C_FV_56493ffece784c5db4cd0fd3b40a250d_9">#REF!</definedName>
    <definedName name="_vena_MultiSiteS1_MultiSiteB3_C_FV_e1c3a244dc3d4f149ecdf7d748811086" localSheetId="4">#REF!</definedName>
    <definedName name="_vena_MultiSiteS1_MultiSiteB3_C_FV_e1c3a244dc3d4f149ecdf7d748811086" localSheetId="5">#REF!</definedName>
    <definedName name="_vena_MultiSiteS1_MultiSiteB3_C_FV_e1c3a244dc3d4f149ecdf7d748811086" localSheetId="8">'[1]FY26 MYP-Multisite'!#REF!</definedName>
    <definedName name="_vena_MultiSiteS1_MultiSiteB3_C_FV_e1c3a244dc3d4f149ecdf7d748811086" localSheetId="3">#REF!</definedName>
    <definedName name="_vena_MultiSiteS1_MultiSiteB3_C_FV_e1c3a244dc3d4f149ecdf7d748811086">#REF!</definedName>
    <definedName name="_vena_MultiSiteS1_MultiSiteB3_C_FV_e1c3a244dc3d4f149ecdf7d748811086_10" localSheetId="4">#REF!</definedName>
    <definedName name="_vena_MultiSiteS1_MultiSiteB3_C_FV_e1c3a244dc3d4f149ecdf7d748811086_10" localSheetId="5">#REF!</definedName>
    <definedName name="_vena_MultiSiteS1_MultiSiteB3_C_FV_e1c3a244dc3d4f149ecdf7d748811086_10" localSheetId="8">'[1]FY26 MYP-Multisite'!#REF!</definedName>
    <definedName name="_vena_MultiSiteS1_MultiSiteB3_C_FV_e1c3a244dc3d4f149ecdf7d748811086_10" localSheetId="3">#REF!</definedName>
    <definedName name="_vena_MultiSiteS1_MultiSiteB3_C_FV_e1c3a244dc3d4f149ecdf7d748811086_10">#REF!</definedName>
    <definedName name="_vena_MultiSiteS1_MultiSiteB3_C_FV_e1c3a244dc3d4f149ecdf7d748811086_11" localSheetId="4">#REF!</definedName>
    <definedName name="_vena_MultiSiteS1_MultiSiteB3_C_FV_e1c3a244dc3d4f149ecdf7d748811086_11" localSheetId="5">#REF!</definedName>
    <definedName name="_vena_MultiSiteS1_MultiSiteB3_C_FV_e1c3a244dc3d4f149ecdf7d748811086_11" localSheetId="8">'[1]FY26 MYP-Multisite'!#REF!</definedName>
    <definedName name="_vena_MultiSiteS1_MultiSiteB3_C_FV_e1c3a244dc3d4f149ecdf7d748811086_11" localSheetId="3">#REF!</definedName>
    <definedName name="_vena_MultiSiteS1_MultiSiteB3_C_FV_e1c3a244dc3d4f149ecdf7d748811086_11">#REF!</definedName>
    <definedName name="_vena_MultiSiteS1_MultiSiteB3_C_FV_e1c3a244dc3d4f149ecdf7d748811086_12" localSheetId="4">#REF!</definedName>
    <definedName name="_vena_MultiSiteS1_MultiSiteB3_C_FV_e1c3a244dc3d4f149ecdf7d748811086_12" localSheetId="5">#REF!</definedName>
    <definedName name="_vena_MultiSiteS1_MultiSiteB3_C_FV_e1c3a244dc3d4f149ecdf7d748811086_12" localSheetId="8">'[1]FY26 MYP-Multisite'!#REF!</definedName>
    <definedName name="_vena_MultiSiteS1_MultiSiteB3_C_FV_e1c3a244dc3d4f149ecdf7d748811086_12" localSheetId="3">#REF!</definedName>
    <definedName name="_vena_MultiSiteS1_MultiSiteB3_C_FV_e1c3a244dc3d4f149ecdf7d748811086_12">#REF!</definedName>
    <definedName name="_vena_MultiSiteS1_MultiSiteB3_C_FV_e1c3a244dc3d4f149ecdf7d748811086_13" localSheetId="4">#REF!</definedName>
    <definedName name="_vena_MultiSiteS1_MultiSiteB3_C_FV_e1c3a244dc3d4f149ecdf7d748811086_13" localSheetId="5">#REF!</definedName>
    <definedName name="_vena_MultiSiteS1_MultiSiteB3_C_FV_e1c3a244dc3d4f149ecdf7d748811086_13" localSheetId="8">'[1]FY26 MYP-Multisite'!#REF!</definedName>
    <definedName name="_vena_MultiSiteS1_MultiSiteB3_C_FV_e1c3a244dc3d4f149ecdf7d748811086_13" localSheetId="3">#REF!</definedName>
    <definedName name="_vena_MultiSiteS1_MultiSiteB3_C_FV_e1c3a244dc3d4f149ecdf7d748811086_13">#REF!</definedName>
    <definedName name="_vena_MultiSiteS1_MultiSiteB3_C_FV_e1c3a244dc3d4f149ecdf7d748811086_14" localSheetId="4">#REF!</definedName>
    <definedName name="_vena_MultiSiteS1_MultiSiteB3_C_FV_e1c3a244dc3d4f149ecdf7d748811086_14" localSheetId="5">#REF!</definedName>
    <definedName name="_vena_MultiSiteS1_MultiSiteB3_C_FV_e1c3a244dc3d4f149ecdf7d748811086_14" localSheetId="8">'[1]FY26 MYP-Multisite'!#REF!</definedName>
    <definedName name="_vena_MultiSiteS1_MultiSiteB3_C_FV_e1c3a244dc3d4f149ecdf7d748811086_14" localSheetId="3">#REF!</definedName>
    <definedName name="_vena_MultiSiteS1_MultiSiteB3_C_FV_e1c3a244dc3d4f149ecdf7d748811086_14">#REF!</definedName>
    <definedName name="_vena_MultiSiteS1_MultiSiteB3_C_FV_e1c3a244dc3d4f149ecdf7d748811086_15" localSheetId="4">#REF!</definedName>
    <definedName name="_vena_MultiSiteS1_MultiSiteB3_C_FV_e1c3a244dc3d4f149ecdf7d748811086_15" localSheetId="5">#REF!</definedName>
    <definedName name="_vena_MultiSiteS1_MultiSiteB3_C_FV_e1c3a244dc3d4f149ecdf7d748811086_15" localSheetId="8">'[1]FY26 MYP-Multisite'!#REF!</definedName>
    <definedName name="_vena_MultiSiteS1_MultiSiteB3_C_FV_e1c3a244dc3d4f149ecdf7d748811086_15" localSheetId="3">#REF!</definedName>
    <definedName name="_vena_MultiSiteS1_MultiSiteB3_C_FV_e1c3a244dc3d4f149ecdf7d748811086_15">#REF!</definedName>
    <definedName name="_vena_MultiSiteS1_MultiSiteB3_C_FV_e1c3a244dc3d4f149ecdf7d748811086_16" localSheetId="4">#REF!</definedName>
    <definedName name="_vena_MultiSiteS1_MultiSiteB3_C_FV_e1c3a244dc3d4f149ecdf7d748811086_16" localSheetId="5">#REF!</definedName>
    <definedName name="_vena_MultiSiteS1_MultiSiteB3_C_FV_e1c3a244dc3d4f149ecdf7d748811086_16" localSheetId="8">'[1]FY26 MYP-Multisite'!#REF!</definedName>
    <definedName name="_vena_MultiSiteS1_MultiSiteB3_C_FV_e1c3a244dc3d4f149ecdf7d748811086_16" localSheetId="3">#REF!</definedName>
    <definedName name="_vena_MultiSiteS1_MultiSiteB3_C_FV_e1c3a244dc3d4f149ecdf7d748811086_16">#REF!</definedName>
    <definedName name="_vena_MultiSiteS1_MultiSiteB3_C_FV_e1c3a244dc3d4f149ecdf7d748811086_17" localSheetId="4">#REF!</definedName>
    <definedName name="_vena_MultiSiteS1_MultiSiteB3_C_FV_e1c3a244dc3d4f149ecdf7d748811086_17" localSheetId="5">#REF!</definedName>
    <definedName name="_vena_MultiSiteS1_MultiSiteB3_C_FV_e1c3a244dc3d4f149ecdf7d748811086_17" localSheetId="8">'[1]FY26 MYP-Multisite'!#REF!</definedName>
    <definedName name="_vena_MultiSiteS1_MultiSiteB3_C_FV_e1c3a244dc3d4f149ecdf7d748811086_17" localSheetId="3">#REF!</definedName>
    <definedName name="_vena_MultiSiteS1_MultiSiteB3_C_FV_e1c3a244dc3d4f149ecdf7d748811086_17">#REF!</definedName>
    <definedName name="_vena_MultiSiteS1_MultiSiteB3_C_FV_e1c3a244dc3d4f149ecdf7d748811086_18" localSheetId="4">#REF!</definedName>
    <definedName name="_vena_MultiSiteS1_MultiSiteB3_C_FV_e1c3a244dc3d4f149ecdf7d748811086_18" localSheetId="5">#REF!</definedName>
    <definedName name="_vena_MultiSiteS1_MultiSiteB3_C_FV_e1c3a244dc3d4f149ecdf7d748811086_18" localSheetId="8">'[1]FY26 MYP-Multisite'!#REF!</definedName>
    <definedName name="_vena_MultiSiteS1_MultiSiteB3_C_FV_e1c3a244dc3d4f149ecdf7d748811086_18" localSheetId="3">#REF!</definedName>
    <definedName name="_vena_MultiSiteS1_MultiSiteB3_C_FV_e1c3a244dc3d4f149ecdf7d748811086_18">#REF!</definedName>
    <definedName name="_vena_MultiSiteS1_MultiSiteB3_C_FV_e1c3a244dc3d4f149ecdf7d748811086_19" localSheetId="4">#REF!</definedName>
    <definedName name="_vena_MultiSiteS1_MultiSiteB3_C_FV_e1c3a244dc3d4f149ecdf7d748811086_19" localSheetId="5">#REF!</definedName>
    <definedName name="_vena_MultiSiteS1_MultiSiteB3_C_FV_e1c3a244dc3d4f149ecdf7d748811086_19" localSheetId="8">'[1]FY26 MYP-Multisite'!#REF!</definedName>
    <definedName name="_vena_MultiSiteS1_MultiSiteB3_C_FV_e1c3a244dc3d4f149ecdf7d748811086_19" localSheetId="3">#REF!</definedName>
    <definedName name="_vena_MultiSiteS1_MultiSiteB3_C_FV_e1c3a244dc3d4f149ecdf7d748811086_19">#REF!</definedName>
    <definedName name="_vena_MultiSiteS1_MultiSiteB3_C_FV_e1c3a244dc3d4f149ecdf7d748811086_2">#REF!</definedName>
    <definedName name="_vena_MultiSiteS1_MultiSiteB3_C_FV_e1c3a244dc3d4f149ecdf7d748811086_20" localSheetId="4">#REF!</definedName>
    <definedName name="_vena_MultiSiteS1_MultiSiteB3_C_FV_e1c3a244dc3d4f149ecdf7d748811086_20" localSheetId="5">#REF!</definedName>
    <definedName name="_vena_MultiSiteS1_MultiSiteB3_C_FV_e1c3a244dc3d4f149ecdf7d748811086_20" localSheetId="8">'[1]FY26 MYP-Multisite'!#REF!</definedName>
    <definedName name="_vena_MultiSiteS1_MultiSiteB3_C_FV_e1c3a244dc3d4f149ecdf7d748811086_20" localSheetId="3">#REF!</definedName>
    <definedName name="_vena_MultiSiteS1_MultiSiteB3_C_FV_e1c3a244dc3d4f149ecdf7d748811086_20">#REF!</definedName>
    <definedName name="_vena_MultiSiteS1_MultiSiteB3_C_FV_e1c3a244dc3d4f149ecdf7d748811086_21" localSheetId="4">#REF!</definedName>
    <definedName name="_vena_MultiSiteS1_MultiSiteB3_C_FV_e1c3a244dc3d4f149ecdf7d748811086_21" localSheetId="5">#REF!</definedName>
    <definedName name="_vena_MultiSiteS1_MultiSiteB3_C_FV_e1c3a244dc3d4f149ecdf7d748811086_21" localSheetId="8">'[1]FY26 MYP-Multisite'!#REF!</definedName>
    <definedName name="_vena_MultiSiteS1_MultiSiteB3_C_FV_e1c3a244dc3d4f149ecdf7d748811086_21" localSheetId="3">#REF!</definedName>
    <definedName name="_vena_MultiSiteS1_MultiSiteB3_C_FV_e1c3a244dc3d4f149ecdf7d748811086_21">#REF!</definedName>
    <definedName name="_vena_MultiSiteS1_MultiSiteB3_C_FV_e1c3a244dc3d4f149ecdf7d748811086_22" localSheetId="4">#REF!</definedName>
    <definedName name="_vena_MultiSiteS1_MultiSiteB3_C_FV_e1c3a244dc3d4f149ecdf7d748811086_22" localSheetId="5">#REF!</definedName>
    <definedName name="_vena_MultiSiteS1_MultiSiteB3_C_FV_e1c3a244dc3d4f149ecdf7d748811086_22" localSheetId="8">'[1]FY26 MYP-Multisite'!#REF!</definedName>
    <definedName name="_vena_MultiSiteS1_MultiSiteB3_C_FV_e1c3a244dc3d4f149ecdf7d748811086_22" localSheetId="3">#REF!</definedName>
    <definedName name="_vena_MultiSiteS1_MultiSiteB3_C_FV_e1c3a244dc3d4f149ecdf7d748811086_22">#REF!</definedName>
    <definedName name="_vena_MultiSiteS1_MultiSiteB3_C_FV_e1c3a244dc3d4f149ecdf7d748811086_23" localSheetId="4">#REF!</definedName>
    <definedName name="_vena_MultiSiteS1_MultiSiteB3_C_FV_e1c3a244dc3d4f149ecdf7d748811086_23" localSheetId="5">#REF!</definedName>
    <definedName name="_vena_MultiSiteS1_MultiSiteB3_C_FV_e1c3a244dc3d4f149ecdf7d748811086_23" localSheetId="8">'[1]FY26 MYP-Multisite'!#REF!</definedName>
    <definedName name="_vena_MultiSiteS1_MultiSiteB3_C_FV_e1c3a244dc3d4f149ecdf7d748811086_23" localSheetId="3">#REF!</definedName>
    <definedName name="_vena_MultiSiteS1_MultiSiteB3_C_FV_e1c3a244dc3d4f149ecdf7d748811086_23">#REF!</definedName>
    <definedName name="_vena_MultiSiteS1_MultiSiteB3_C_FV_e1c3a244dc3d4f149ecdf7d748811086_24" localSheetId="4">#REF!</definedName>
    <definedName name="_vena_MultiSiteS1_MultiSiteB3_C_FV_e1c3a244dc3d4f149ecdf7d748811086_24" localSheetId="5">#REF!</definedName>
    <definedName name="_vena_MultiSiteS1_MultiSiteB3_C_FV_e1c3a244dc3d4f149ecdf7d748811086_24" localSheetId="8">'[1]FY26 MYP-Multisite'!#REF!</definedName>
    <definedName name="_vena_MultiSiteS1_MultiSiteB3_C_FV_e1c3a244dc3d4f149ecdf7d748811086_24" localSheetId="3">#REF!</definedName>
    <definedName name="_vena_MultiSiteS1_MultiSiteB3_C_FV_e1c3a244dc3d4f149ecdf7d748811086_24">#REF!</definedName>
    <definedName name="_vena_MultiSiteS1_MultiSiteB3_C_FV_e1c3a244dc3d4f149ecdf7d748811086_25" localSheetId="4">#REF!</definedName>
    <definedName name="_vena_MultiSiteS1_MultiSiteB3_C_FV_e1c3a244dc3d4f149ecdf7d748811086_25" localSheetId="5">#REF!</definedName>
    <definedName name="_vena_MultiSiteS1_MultiSiteB3_C_FV_e1c3a244dc3d4f149ecdf7d748811086_25" localSheetId="8">'[1]FY26 MYP-Multisite'!#REF!</definedName>
    <definedName name="_vena_MultiSiteS1_MultiSiteB3_C_FV_e1c3a244dc3d4f149ecdf7d748811086_25" localSheetId="3">#REF!</definedName>
    <definedName name="_vena_MultiSiteS1_MultiSiteB3_C_FV_e1c3a244dc3d4f149ecdf7d748811086_25">#REF!</definedName>
    <definedName name="_vena_MultiSiteS1_MultiSiteB3_C_FV_e1c3a244dc3d4f149ecdf7d748811086_26" localSheetId="4">#REF!</definedName>
    <definedName name="_vena_MultiSiteS1_MultiSiteB3_C_FV_e1c3a244dc3d4f149ecdf7d748811086_26" localSheetId="5">#REF!</definedName>
    <definedName name="_vena_MultiSiteS1_MultiSiteB3_C_FV_e1c3a244dc3d4f149ecdf7d748811086_26" localSheetId="8">'[1]FY26 MYP-Multisite'!#REF!</definedName>
    <definedName name="_vena_MultiSiteS1_MultiSiteB3_C_FV_e1c3a244dc3d4f149ecdf7d748811086_26" localSheetId="3">#REF!</definedName>
    <definedName name="_vena_MultiSiteS1_MultiSiteB3_C_FV_e1c3a244dc3d4f149ecdf7d748811086_26">#REF!</definedName>
    <definedName name="_vena_MultiSiteS1_MultiSiteB3_C_FV_e1c3a244dc3d4f149ecdf7d748811086_27" localSheetId="4">#REF!</definedName>
    <definedName name="_vena_MultiSiteS1_MultiSiteB3_C_FV_e1c3a244dc3d4f149ecdf7d748811086_27" localSheetId="5">#REF!</definedName>
    <definedName name="_vena_MultiSiteS1_MultiSiteB3_C_FV_e1c3a244dc3d4f149ecdf7d748811086_27" localSheetId="8">'[1]FY26 MYP-Multisite'!#REF!</definedName>
    <definedName name="_vena_MultiSiteS1_MultiSiteB3_C_FV_e1c3a244dc3d4f149ecdf7d748811086_27" localSheetId="3">#REF!</definedName>
    <definedName name="_vena_MultiSiteS1_MultiSiteB3_C_FV_e1c3a244dc3d4f149ecdf7d748811086_27">#REF!</definedName>
    <definedName name="_vena_MultiSiteS1_MultiSiteB3_C_FV_e1c3a244dc3d4f149ecdf7d748811086_3">#REF!</definedName>
    <definedName name="_vena_MultiSiteS1_MultiSiteB3_C_FV_e1c3a244dc3d4f149ecdf7d748811086_4">#REF!</definedName>
    <definedName name="_vena_MultiSiteS1_MultiSiteB3_C_FV_e1c3a244dc3d4f149ecdf7d748811086_5" localSheetId="4">#REF!</definedName>
    <definedName name="_vena_MultiSiteS1_MultiSiteB3_C_FV_e1c3a244dc3d4f149ecdf7d748811086_5" localSheetId="5">#REF!</definedName>
    <definedName name="_vena_MultiSiteS1_MultiSiteB3_C_FV_e1c3a244dc3d4f149ecdf7d748811086_5" localSheetId="8">'[1]FY26 MYP-Multisite'!#REF!</definedName>
    <definedName name="_vena_MultiSiteS1_MultiSiteB3_C_FV_e1c3a244dc3d4f149ecdf7d748811086_5" localSheetId="3">#REF!</definedName>
    <definedName name="_vena_MultiSiteS1_MultiSiteB3_C_FV_e1c3a244dc3d4f149ecdf7d748811086_5">#REF!</definedName>
    <definedName name="_vena_MultiSiteS1_MultiSiteB3_C_FV_e1c3a244dc3d4f149ecdf7d748811086_6" localSheetId="4">#REF!</definedName>
    <definedName name="_vena_MultiSiteS1_MultiSiteB3_C_FV_e1c3a244dc3d4f149ecdf7d748811086_6" localSheetId="5">#REF!</definedName>
    <definedName name="_vena_MultiSiteS1_MultiSiteB3_C_FV_e1c3a244dc3d4f149ecdf7d748811086_6" localSheetId="8">'[1]FY26 MYP-Multisite'!#REF!</definedName>
    <definedName name="_vena_MultiSiteS1_MultiSiteB3_C_FV_e1c3a244dc3d4f149ecdf7d748811086_6" localSheetId="3">#REF!</definedName>
    <definedName name="_vena_MultiSiteS1_MultiSiteB3_C_FV_e1c3a244dc3d4f149ecdf7d748811086_6">#REF!</definedName>
    <definedName name="_vena_MultiSiteS1_MultiSiteB3_C_FV_e1c3a244dc3d4f149ecdf7d748811086_7" localSheetId="4">#REF!</definedName>
    <definedName name="_vena_MultiSiteS1_MultiSiteB3_C_FV_e1c3a244dc3d4f149ecdf7d748811086_7" localSheetId="5">#REF!</definedName>
    <definedName name="_vena_MultiSiteS1_MultiSiteB3_C_FV_e1c3a244dc3d4f149ecdf7d748811086_7" localSheetId="8">'[1]FY26 MYP-Multisite'!#REF!</definedName>
    <definedName name="_vena_MultiSiteS1_MultiSiteB3_C_FV_e1c3a244dc3d4f149ecdf7d748811086_7" localSheetId="3">#REF!</definedName>
    <definedName name="_vena_MultiSiteS1_MultiSiteB3_C_FV_e1c3a244dc3d4f149ecdf7d748811086_7">#REF!</definedName>
    <definedName name="_vena_MultiSiteS1_MultiSiteB3_C_FV_e1c3a244dc3d4f149ecdf7d748811086_8" localSheetId="4">#REF!</definedName>
    <definedName name="_vena_MultiSiteS1_MultiSiteB3_C_FV_e1c3a244dc3d4f149ecdf7d748811086_8" localSheetId="5">#REF!</definedName>
    <definedName name="_vena_MultiSiteS1_MultiSiteB3_C_FV_e1c3a244dc3d4f149ecdf7d748811086_8" localSheetId="8">'[1]FY26 MYP-Multisite'!#REF!</definedName>
    <definedName name="_vena_MultiSiteS1_MultiSiteB3_C_FV_e1c3a244dc3d4f149ecdf7d748811086_8" localSheetId="3">#REF!</definedName>
    <definedName name="_vena_MultiSiteS1_MultiSiteB3_C_FV_e1c3a244dc3d4f149ecdf7d748811086_8">#REF!</definedName>
    <definedName name="_vena_MultiSiteS1_MultiSiteB3_C_FV_e1c3a244dc3d4f149ecdf7d748811086_9" localSheetId="4">#REF!</definedName>
    <definedName name="_vena_MultiSiteS1_MultiSiteB3_C_FV_e1c3a244dc3d4f149ecdf7d748811086_9" localSheetId="5">#REF!</definedName>
    <definedName name="_vena_MultiSiteS1_MultiSiteB3_C_FV_e1c3a244dc3d4f149ecdf7d748811086_9" localSheetId="8">'[1]FY26 MYP-Multisite'!#REF!</definedName>
    <definedName name="_vena_MultiSiteS1_MultiSiteB3_C_FV_e1c3a244dc3d4f149ecdf7d748811086_9" localSheetId="3">#REF!</definedName>
    <definedName name="_vena_MultiSiteS1_MultiSiteB3_C_FV_e1c3a244dc3d4f149ecdf7d748811086_9">#REF!</definedName>
    <definedName name="_vena_MultiSiteS1_MultiSiteB3_C_FV_e3545e3dcc52420a84dcdae3a23a4597" localSheetId="4">#REF!</definedName>
    <definedName name="_vena_MultiSiteS1_MultiSiteB3_C_FV_e3545e3dcc52420a84dcdae3a23a4597" localSheetId="5">#REF!</definedName>
    <definedName name="_vena_MultiSiteS1_MultiSiteB3_C_FV_e3545e3dcc52420a84dcdae3a23a4597" localSheetId="8">'[1]FY26 MYP-Multisite'!#REF!</definedName>
    <definedName name="_vena_MultiSiteS1_MultiSiteB3_C_FV_e3545e3dcc52420a84dcdae3a23a4597" localSheetId="3">#REF!</definedName>
    <definedName name="_vena_MultiSiteS1_MultiSiteB3_C_FV_e3545e3dcc52420a84dcdae3a23a4597">#REF!</definedName>
    <definedName name="_vena_MultiSiteS1_MultiSiteB3_C_FV_e3545e3dcc52420a84dcdae3a23a4597_10" localSheetId="4">#REF!</definedName>
    <definedName name="_vena_MultiSiteS1_MultiSiteB3_C_FV_e3545e3dcc52420a84dcdae3a23a4597_10" localSheetId="5">#REF!</definedName>
    <definedName name="_vena_MultiSiteS1_MultiSiteB3_C_FV_e3545e3dcc52420a84dcdae3a23a4597_10" localSheetId="8">'[1]FY26 MYP-Multisite'!#REF!</definedName>
    <definedName name="_vena_MultiSiteS1_MultiSiteB3_C_FV_e3545e3dcc52420a84dcdae3a23a4597_10" localSheetId="3">#REF!</definedName>
    <definedName name="_vena_MultiSiteS1_MultiSiteB3_C_FV_e3545e3dcc52420a84dcdae3a23a4597_10">#REF!</definedName>
    <definedName name="_vena_MultiSiteS1_MultiSiteB3_C_FV_e3545e3dcc52420a84dcdae3a23a4597_11" localSheetId="4">#REF!</definedName>
    <definedName name="_vena_MultiSiteS1_MultiSiteB3_C_FV_e3545e3dcc52420a84dcdae3a23a4597_11" localSheetId="5">#REF!</definedName>
    <definedName name="_vena_MultiSiteS1_MultiSiteB3_C_FV_e3545e3dcc52420a84dcdae3a23a4597_11" localSheetId="8">'[1]FY26 MYP-Multisite'!#REF!</definedName>
    <definedName name="_vena_MultiSiteS1_MultiSiteB3_C_FV_e3545e3dcc52420a84dcdae3a23a4597_11" localSheetId="3">#REF!</definedName>
    <definedName name="_vena_MultiSiteS1_MultiSiteB3_C_FV_e3545e3dcc52420a84dcdae3a23a4597_11">#REF!</definedName>
    <definedName name="_vena_MultiSiteS1_MultiSiteB3_C_FV_e3545e3dcc52420a84dcdae3a23a4597_12" localSheetId="4">#REF!</definedName>
    <definedName name="_vena_MultiSiteS1_MultiSiteB3_C_FV_e3545e3dcc52420a84dcdae3a23a4597_12" localSheetId="5">#REF!</definedName>
    <definedName name="_vena_MultiSiteS1_MultiSiteB3_C_FV_e3545e3dcc52420a84dcdae3a23a4597_12" localSheetId="8">'[1]FY26 MYP-Multisite'!#REF!</definedName>
    <definedName name="_vena_MultiSiteS1_MultiSiteB3_C_FV_e3545e3dcc52420a84dcdae3a23a4597_12" localSheetId="3">#REF!</definedName>
    <definedName name="_vena_MultiSiteS1_MultiSiteB3_C_FV_e3545e3dcc52420a84dcdae3a23a4597_12">#REF!</definedName>
    <definedName name="_vena_MultiSiteS1_MultiSiteB3_C_FV_e3545e3dcc52420a84dcdae3a23a4597_13" localSheetId="4">#REF!</definedName>
    <definedName name="_vena_MultiSiteS1_MultiSiteB3_C_FV_e3545e3dcc52420a84dcdae3a23a4597_13" localSheetId="5">#REF!</definedName>
    <definedName name="_vena_MultiSiteS1_MultiSiteB3_C_FV_e3545e3dcc52420a84dcdae3a23a4597_13" localSheetId="8">'[1]FY26 MYP-Multisite'!#REF!</definedName>
    <definedName name="_vena_MultiSiteS1_MultiSiteB3_C_FV_e3545e3dcc52420a84dcdae3a23a4597_13" localSheetId="3">#REF!</definedName>
    <definedName name="_vena_MultiSiteS1_MultiSiteB3_C_FV_e3545e3dcc52420a84dcdae3a23a4597_13">#REF!</definedName>
    <definedName name="_vena_MultiSiteS1_MultiSiteB3_C_FV_e3545e3dcc52420a84dcdae3a23a4597_14" localSheetId="4">#REF!</definedName>
    <definedName name="_vena_MultiSiteS1_MultiSiteB3_C_FV_e3545e3dcc52420a84dcdae3a23a4597_14" localSheetId="5">#REF!</definedName>
    <definedName name="_vena_MultiSiteS1_MultiSiteB3_C_FV_e3545e3dcc52420a84dcdae3a23a4597_14" localSheetId="8">'[1]FY26 MYP-Multisite'!#REF!</definedName>
    <definedName name="_vena_MultiSiteS1_MultiSiteB3_C_FV_e3545e3dcc52420a84dcdae3a23a4597_14" localSheetId="3">#REF!</definedName>
    <definedName name="_vena_MultiSiteS1_MultiSiteB3_C_FV_e3545e3dcc52420a84dcdae3a23a4597_14">#REF!</definedName>
    <definedName name="_vena_MultiSiteS1_MultiSiteB3_C_FV_e3545e3dcc52420a84dcdae3a23a4597_15" localSheetId="4">#REF!</definedName>
    <definedName name="_vena_MultiSiteS1_MultiSiteB3_C_FV_e3545e3dcc52420a84dcdae3a23a4597_15" localSheetId="5">#REF!</definedName>
    <definedName name="_vena_MultiSiteS1_MultiSiteB3_C_FV_e3545e3dcc52420a84dcdae3a23a4597_15" localSheetId="8">'[1]FY26 MYP-Multisite'!#REF!</definedName>
    <definedName name="_vena_MultiSiteS1_MultiSiteB3_C_FV_e3545e3dcc52420a84dcdae3a23a4597_15" localSheetId="3">#REF!</definedName>
    <definedName name="_vena_MultiSiteS1_MultiSiteB3_C_FV_e3545e3dcc52420a84dcdae3a23a4597_15">#REF!</definedName>
    <definedName name="_vena_MultiSiteS1_MultiSiteB3_C_FV_e3545e3dcc52420a84dcdae3a23a4597_16" localSheetId="4">#REF!</definedName>
    <definedName name="_vena_MultiSiteS1_MultiSiteB3_C_FV_e3545e3dcc52420a84dcdae3a23a4597_16" localSheetId="5">#REF!</definedName>
    <definedName name="_vena_MultiSiteS1_MultiSiteB3_C_FV_e3545e3dcc52420a84dcdae3a23a4597_16" localSheetId="8">'[1]FY26 MYP-Multisite'!#REF!</definedName>
    <definedName name="_vena_MultiSiteS1_MultiSiteB3_C_FV_e3545e3dcc52420a84dcdae3a23a4597_16" localSheetId="3">#REF!</definedName>
    <definedName name="_vena_MultiSiteS1_MultiSiteB3_C_FV_e3545e3dcc52420a84dcdae3a23a4597_16">#REF!</definedName>
    <definedName name="_vena_MultiSiteS1_MultiSiteB3_C_FV_e3545e3dcc52420a84dcdae3a23a4597_17" localSheetId="4">#REF!</definedName>
    <definedName name="_vena_MultiSiteS1_MultiSiteB3_C_FV_e3545e3dcc52420a84dcdae3a23a4597_17" localSheetId="5">#REF!</definedName>
    <definedName name="_vena_MultiSiteS1_MultiSiteB3_C_FV_e3545e3dcc52420a84dcdae3a23a4597_17" localSheetId="8">'[1]FY26 MYP-Multisite'!#REF!</definedName>
    <definedName name="_vena_MultiSiteS1_MultiSiteB3_C_FV_e3545e3dcc52420a84dcdae3a23a4597_17" localSheetId="3">#REF!</definedName>
    <definedName name="_vena_MultiSiteS1_MultiSiteB3_C_FV_e3545e3dcc52420a84dcdae3a23a4597_17">#REF!</definedName>
    <definedName name="_vena_MultiSiteS1_MultiSiteB3_C_FV_e3545e3dcc52420a84dcdae3a23a4597_18" localSheetId="4">#REF!</definedName>
    <definedName name="_vena_MultiSiteS1_MultiSiteB3_C_FV_e3545e3dcc52420a84dcdae3a23a4597_18" localSheetId="5">#REF!</definedName>
    <definedName name="_vena_MultiSiteS1_MultiSiteB3_C_FV_e3545e3dcc52420a84dcdae3a23a4597_18" localSheetId="8">'[1]FY26 MYP-Multisite'!#REF!</definedName>
    <definedName name="_vena_MultiSiteS1_MultiSiteB3_C_FV_e3545e3dcc52420a84dcdae3a23a4597_18" localSheetId="3">#REF!</definedName>
    <definedName name="_vena_MultiSiteS1_MultiSiteB3_C_FV_e3545e3dcc52420a84dcdae3a23a4597_18">#REF!</definedName>
    <definedName name="_vena_MultiSiteS1_MultiSiteB3_C_FV_e3545e3dcc52420a84dcdae3a23a4597_19" localSheetId="4">#REF!</definedName>
    <definedName name="_vena_MultiSiteS1_MultiSiteB3_C_FV_e3545e3dcc52420a84dcdae3a23a4597_19" localSheetId="5">#REF!</definedName>
    <definedName name="_vena_MultiSiteS1_MultiSiteB3_C_FV_e3545e3dcc52420a84dcdae3a23a4597_19" localSheetId="8">'[1]FY26 MYP-Multisite'!#REF!</definedName>
    <definedName name="_vena_MultiSiteS1_MultiSiteB3_C_FV_e3545e3dcc52420a84dcdae3a23a4597_19" localSheetId="3">#REF!</definedName>
    <definedName name="_vena_MultiSiteS1_MultiSiteB3_C_FV_e3545e3dcc52420a84dcdae3a23a4597_19">#REF!</definedName>
    <definedName name="_vena_MultiSiteS1_MultiSiteB3_C_FV_e3545e3dcc52420a84dcdae3a23a4597_2">#REF!</definedName>
    <definedName name="_vena_MultiSiteS1_MultiSiteB3_C_FV_e3545e3dcc52420a84dcdae3a23a4597_20" localSheetId="4">#REF!</definedName>
    <definedName name="_vena_MultiSiteS1_MultiSiteB3_C_FV_e3545e3dcc52420a84dcdae3a23a4597_20" localSheetId="5">#REF!</definedName>
    <definedName name="_vena_MultiSiteS1_MultiSiteB3_C_FV_e3545e3dcc52420a84dcdae3a23a4597_20" localSheetId="8">'[1]FY26 MYP-Multisite'!#REF!</definedName>
    <definedName name="_vena_MultiSiteS1_MultiSiteB3_C_FV_e3545e3dcc52420a84dcdae3a23a4597_20" localSheetId="3">#REF!</definedName>
    <definedName name="_vena_MultiSiteS1_MultiSiteB3_C_FV_e3545e3dcc52420a84dcdae3a23a4597_20">#REF!</definedName>
    <definedName name="_vena_MultiSiteS1_MultiSiteB3_C_FV_e3545e3dcc52420a84dcdae3a23a4597_21" localSheetId="4">#REF!</definedName>
    <definedName name="_vena_MultiSiteS1_MultiSiteB3_C_FV_e3545e3dcc52420a84dcdae3a23a4597_21" localSheetId="5">#REF!</definedName>
    <definedName name="_vena_MultiSiteS1_MultiSiteB3_C_FV_e3545e3dcc52420a84dcdae3a23a4597_21" localSheetId="8">'[1]FY26 MYP-Multisite'!#REF!</definedName>
    <definedName name="_vena_MultiSiteS1_MultiSiteB3_C_FV_e3545e3dcc52420a84dcdae3a23a4597_21" localSheetId="3">#REF!</definedName>
    <definedName name="_vena_MultiSiteS1_MultiSiteB3_C_FV_e3545e3dcc52420a84dcdae3a23a4597_21">#REF!</definedName>
    <definedName name="_vena_MultiSiteS1_MultiSiteB3_C_FV_e3545e3dcc52420a84dcdae3a23a4597_22" localSheetId="4">#REF!</definedName>
    <definedName name="_vena_MultiSiteS1_MultiSiteB3_C_FV_e3545e3dcc52420a84dcdae3a23a4597_22" localSheetId="5">#REF!</definedName>
    <definedName name="_vena_MultiSiteS1_MultiSiteB3_C_FV_e3545e3dcc52420a84dcdae3a23a4597_22" localSheetId="8">'[1]FY26 MYP-Multisite'!#REF!</definedName>
    <definedName name="_vena_MultiSiteS1_MultiSiteB3_C_FV_e3545e3dcc52420a84dcdae3a23a4597_22" localSheetId="3">#REF!</definedName>
    <definedName name="_vena_MultiSiteS1_MultiSiteB3_C_FV_e3545e3dcc52420a84dcdae3a23a4597_22">#REF!</definedName>
    <definedName name="_vena_MultiSiteS1_MultiSiteB3_C_FV_e3545e3dcc52420a84dcdae3a23a4597_23" localSheetId="4">#REF!</definedName>
    <definedName name="_vena_MultiSiteS1_MultiSiteB3_C_FV_e3545e3dcc52420a84dcdae3a23a4597_23" localSheetId="5">#REF!</definedName>
    <definedName name="_vena_MultiSiteS1_MultiSiteB3_C_FV_e3545e3dcc52420a84dcdae3a23a4597_23" localSheetId="8">'[1]FY26 MYP-Multisite'!#REF!</definedName>
    <definedName name="_vena_MultiSiteS1_MultiSiteB3_C_FV_e3545e3dcc52420a84dcdae3a23a4597_23" localSheetId="3">#REF!</definedName>
    <definedName name="_vena_MultiSiteS1_MultiSiteB3_C_FV_e3545e3dcc52420a84dcdae3a23a4597_23">#REF!</definedName>
    <definedName name="_vena_MultiSiteS1_MultiSiteB3_C_FV_e3545e3dcc52420a84dcdae3a23a4597_24" localSheetId="4">#REF!</definedName>
    <definedName name="_vena_MultiSiteS1_MultiSiteB3_C_FV_e3545e3dcc52420a84dcdae3a23a4597_24" localSheetId="5">#REF!</definedName>
    <definedName name="_vena_MultiSiteS1_MultiSiteB3_C_FV_e3545e3dcc52420a84dcdae3a23a4597_24" localSheetId="8">'[1]FY26 MYP-Multisite'!#REF!</definedName>
    <definedName name="_vena_MultiSiteS1_MultiSiteB3_C_FV_e3545e3dcc52420a84dcdae3a23a4597_24" localSheetId="3">#REF!</definedName>
    <definedName name="_vena_MultiSiteS1_MultiSiteB3_C_FV_e3545e3dcc52420a84dcdae3a23a4597_24">#REF!</definedName>
    <definedName name="_vena_MultiSiteS1_MultiSiteB3_C_FV_e3545e3dcc52420a84dcdae3a23a4597_25" localSheetId="4">#REF!</definedName>
    <definedName name="_vena_MultiSiteS1_MultiSiteB3_C_FV_e3545e3dcc52420a84dcdae3a23a4597_25" localSheetId="5">#REF!</definedName>
    <definedName name="_vena_MultiSiteS1_MultiSiteB3_C_FV_e3545e3dcc52420a84dcdae3a23a4597_25" localSheetId="8">'[1]FY26 MYP-Multisite'!#REF!</definedName>
    <definedName name="_vena_MultiSiteS1_MultiSiteB3_C_FV_e3545e3dcc52420a84dcdae3a23a4597_25" localSheetId="3">#REF!</definedName>
    <definedName name="_vena_MultiSiteS1_MultiSiteB3_C_FV_e3545e3dcc52420a84dcdae3a23a4597_25">#REF!</definedName>
    <definedName name="_vena_MultiSiteS1_MultiSiteB3_C_FV_e3545e3dcc52420a84dcdae3a23a4597_26" localSheetId="4">#REF!</definedName>
    <definedName name="_vena_MultiSiteS1_MultiSiteB3_C_FV_e3545e3dcc52420a84dcdae3a23a4597_26" localSheetId="5">#REF!</definedName>
    <definedName name="_vena_MultiSiteS1_MultiSiteB3_C_FV_e3545e3dcc52420a84dcdae3a23a4597_26" localSheetId="8">'[1]FY26 MYP-Multisite'!#REF!</definedName>
    <definedName name="_vena_MultiSiteS1_MultiSiteB3_C_FV_e3545e3dcc52420a84dcdae3a23a4597_26" localSheetId="3">#REF!</definedName>
    <definedName name="_vena_MultiSiteS1_MultiSiteB3_C_FV_e3545e3dcc52420a84dcdae3a23a4597_26">#REF!</definedName>
    <definedName name="_vena_MultiSiteS1_MultiSiteB3_C_FV_e3545e3dcc52420a84dcdae3a23a4597_27" localSheetId="4">#REF!</definedName>
    <definedName name="_vena_MultiSiteS1_MultiSiteB3_C_FV_e3545e3dcc52420a84dcdae3a23a4597_27" localSheetId="5">#REF!</definedName>
    <definedName name="_vena_MultiSiteS1_MultiSiteB3_C_FV_e3545e3dcc52420a84dcdae3a23a4597_27" localSheetId="8">'[1]FY26 MYP-Multisite'!#REF!</definedName>
    <definedName name="_vena_MultiSiteS1_MultiSiteB3_C_FV_e3545e3dcc52420a84dcdae3a23a4597_27" localSheetId="3">#REF!</definedName>
    <definedName name="_vena_MultiSiteS1_MultiSiteB3_C_FV_e3545e3dcc52420a84dcdae3a23a4597_27">#REF!</definedName>
    <definedName name="_vena_MultiSiteS1_MultiSiteB3_C_FV_e3545e3dcc52420a84dcdae3a23a4597_3">#REF!</definedName>
    <definedName name="_vena_MultiSiteS1_MultiSiteB3_C_FV_e3545e3dcc52420a84dcdae3a23a4597_4">#REF!</definedName>
    <definedName name="_vena_MultiSiteS1_MultiSiteB3_C_FV_e3545e3dcc52420a84dcdae3a23a4597_5" localSheetId="4">#REF!</definedName>
    <definedName name="_vena_MultiSiteS1_MultiSiteB3_C_FV_e3545e3dcc52420a84dcdae3a23a4597_5" localSheetId="5">#REF!</definedName>
    <definedName name="_vena_MultiSiteS1_MultiSiteB3_C_FV_e3545e3dcc52420a84dcdae3a23a4597_5" localSheetId="8">'[1]FY26 MYP-Multisite'!#REF!</definedName>
    <definedName name="_vena_MultiSiteS1_MultiSiteB3_C_FV_e3545e3dcc52420a84dcdae3a23a4597_5" localSheetId="3">#REF!</definedName>
    <definedName name="_vena_MultiSiteS1_MultiSiteB3_C_FV_e3545e3dcc52420a84dcdae3a23a4597_5">#REF!</definedName>
    <definedName name="_vena_MultiSiteS1_MultiSiteB3_C_FV_e3545e3dcc52420a84dcdae3a23a4597_6" localSheetId="4">#REF!</definedName>
    <definedName name="_vena_MultiSiteS1_MultiSiteB3_C_FV_e3545e3dcc52420a84dcdae3a23a4597_6" localSheetId="5">#REF!</definedName>
    <definedName name="_vena_MultiSiteS1_MultiSiteB3_C_FV_e3545e3dcc52420a84dcdae3a23a4597_6" localSheetId="8">'[1]FY26 MYP-Multisite'!#REF!</definedName>
    <definedName name="_vena_MultiSiteS1_MultiSiteB3_C_FV_e3545e3dcc52420a84dcdae3a23a4597_6" localSheetId="3">#REF!</definedName>
    <definedName name="_vena_MultiSiteS1_MultiSiteB3_C_FV_e3545e3dcc52420a84dcdae3a23a4597_6">#REF!</definedName>
    <definedName name="_vena_MultiSiteS1_MultiSiteB3_C_FV_e3545e3dcc52420a84dcdae3a23a4597_7" localSheetId="4">#REF!</definedName>
    <definedName name="_vena_MultiSiteS1_MultiSiteB3_C_FV_e3545e3dcc52420a84dcdae3a23a4597_7" localSheetId="5">#REF!</definedName>
    <definedName name="_vena_MultiSiteS1_MultiSiteB3_C_FV_e3545e3dcc52420a84dcdae3a23a4597_7" localSheetId="8">'[1]FY26 MYP-Multisite'!#REF!</definedName>
    <definedName name="_vena_MultiSiteS1_MultiSiteB3_C_FV_e3545e3dcc52420a84dcdae3a23a4597_7" localSheetId="3">#REF!</definedName>
    <definedName name="_vena_MultiSiteS1_MultiSiteB3_C_FV_e3545e3dcc52420a84dcdae3a23a4597_7">#REF!</definedName>
    <definedName name="_vena_MultiSiteS1_MultiSiteB3_C_FV_e3545e3dcc52420a84dcdae3a23a4597_8" localSheetId="4">#REF!</definedName>
    <definedName name="_vena_MultiSiteS1_MultiSiteB3_C_FV_e3545e3dcc52420a84dcdae3a23a4597_8" localSheetId="5">#REF!</definedName>
    <definedName name="_vena_MultiSiteS1_MultiSiteB3_C_FV_e3545e3dcc52420a84dcdae3a23a4597_8" localSheetId="8">'[1]FY26 MYP-Multisite'!#REF!</definedName>
    <definedName name="_vena_MultiSiteS1_MultiSiteB3_C_FV_e3545e3dcc52420a84dcdae3a23a4597_8" localSheetId="3">#REF!</definedName>
    <definedName name="_vena_MultiSiteS1_MultiSiteB3_C_FV_e3545e3dcc52420a84dcdae3a23a4597_8">#REF!</definedName>
    <definedName name="_vena_MultiSiteS1_MultiSiteB3_C_FV_e3545e3dcc52420a84dcdae3a23a4597_9" localSheetId="4">#REF!</definedName>
    <definedName name="_vena_MultiSiteS1_MultiSiteB3_C_FV_e3545e3dcc52420a84dcdae3a23a4597_9" localSheetId="5">#REF!</definedName>
    <definedName name="_vena_MultiSiteS1_MultiSiteB3_C_FV_e3545e3dcc52420a84dcdae3a23a4597_9" localSheetId="8">'[1]FY26 MYP-Multisite'!#REF!</definedName>
    <definedName name="_vena_MultiSiteS1_MultiSiteB3_C_FV_e3545e3dcc52420a84dcdae3a23a4597_9" localSheetId="3">#REF!</definedName>
    <definedName name="_vena_MultiSiteS1_MultiSiteB3_C_FV_e3545e3dcc52420a84dcdae3a23a4597_9">#REF!</definedName>
    <definedName name="_vena_MultiSiteS1_MultiSiteB3_R_5_487048143000043520" localSheetId="4">#REF!</definedName>
    <definedName name="_vena_MultiSiteS1_MultiSiteB3_R_5_487048143000043520" localSheetId="5">#REF!</definedName>
    <definedName name="_vena_MultiSiteS1_MultiSiteB3_R_5_487048143000043520" localSheetId="8">'[1]FY26 MYP-Multisite'!#REF!</definedName>
    <definedName name="_vena_MultiSiteS1_MultiSiteB3_R_5_487048143000043520" localSheetId="3">#REF!</definedName>
    <definedName name="_vena_MultiSiteS1_MultiSiteB3_R_5_487048143000043520">#REF!</definedName>
    <definedName name="_vena_MultiSiteS1_MultiSiteB3_R_5_487048162646294528" localSheetId="4">#REF!</definedName>
    <definedName name="_vena_MultiSiteS1_MultiSiteB3_R_5_487048162646294528" localSheetId="5">#REF!</definedName>
    <definedName name="_vena_MultiSiteS1_MultiSiteB3_R_5_487048162646294528" localSheetId="8">'[1]FY26 MYP-Multisite'!#REF!</definedName>
    <definedName name="_vena_MultiSiteS1_MultiSiteB3_R_5_487048162646294528" localSheetId="3">#REF!</definedName>
    <definedName name="_vena_MultiSiteS1_MultiSiteB3_R_5_487048162646294528">#REF!</definedName>
    <definedName name="_vena_MultiSiteS1_MultiSiteB3_R_5_551651279656189954">#REF!</definedName>
    <definedName name="_vena_MultiSiteS1_MultiSiteB3_R_5_551651279983345666">#REF!</definedName>
    <definedName name="_vena_MultiSiteS1_MultiSiteB3_R_5_632005311788220416">#REF!</definedName>
    <definedName name="_vena_MultiSiteS1_MultiSiteB3_R_5_632005312266371076">#REF!</definedName>
    <definedName name="_vena_MultiSiteS1_MultiSiteB4_C_8_462549070872707072" localSheetId="4">#REF!</definedName>
    <definedName name="_vena_MultiSiteS1_MultiSiteB4_C_8_462549070872707072" localSheetId="5">#REF!</definedName>
    <definedName name="_vena_MultiSiteS1_MultiSiteB4_C_8_462549070872707072" localSheetId="8">'[1]FY26 MYP-Multisite'!#REF!</definedName>
    <definedName name="_vena_MultiSiteS1_MultiSiteB4_C_8_462549070872707072" localSheetId="3">#REF!</definedName>
    <definedName name="_vena_MultiSiteS1_MultiSiteB4_C_8_462549070872707072">#REF!</definedName>
    <definedName name="_vena_MultiSiteS1_MultiSiteB4_C_8_462549070872707072_10" localSheetId="4">#REF!</definedName>
    <definedName name="_vena_MultiSiteS1_MultiSiteB4_C_8_462549070872707072_10" localSheetId="5">#REF!</definedName>
    <definedName name="_vena_MultiSiteS1_MultiSiteB4_C_8_462549070872707072_10" localSheetId="8">'[1]FY26 MYP-Multisite'!#REF!</definedName>
    <definedName name="_vena_MultiSiteS1_MultiSiteB4_C_8_462549070872707072_10" localSheetId="3">#REF!</definedName>
    <definedName name="_vena_MultiSiteS1_MultiSiteB4_C_8_462549070872707072_10">#REF!</definedName>
    <definedName name="_vena_MultiSiteS1_MultiSiteB4_C_8_462549070872707072_11" localSheetId="4">#REF!</definedName>
    <definedName name="_vena_MultiSiteS1_MultiSiteB4_C_8_462549070872707072_11" localSheetId="5">#REF!</definedName>
    <definedName name="_vena_MultiSiteS1_MultiSiteB4_C_8_462549070872707072_11" localSheetId="8">'[1]FY26 MYP-Multisite'!#REF!</definedName>
    <definedName name="_vena_MultiSiteS1_MultiSiteB4_C_8_462549070872707072_11" localSheetId="3">#REF!</definedName>
    <definedName name="_vena_MultiSiteS1_MultiSiteB4_C_8_462549070872707072_11">#REF!</definedName>
    <definedName name="_vena_MultiSiteS1_MultiSiteB4_C_8_462549070872707072_12" localSheetId="4">#REF!</definedName>
    <definedName name="_vena_MultiSiteS1_MultiSiteB4_C_8_462549070872707072_12" localSheetId="5">#REF!</definedName>
    <definedName name="_vena_MultiSiteS1_MultiSiteB4_C_8_462549070872707072_12" localSheetId="8">'[1]FY26 MYP-Multisite'!#REF!</definedName>
    <definedName name="_vena_MultiSiteS1_MultiSiteB4_C_8_462549070872707072_12" localSheetId="3">#REF!</definedName>
    <definedName name="_vena_MultiSiteS1_MultiSiteB4_C_8_462549070872707072_12">#REF!</definedName>
    <definedName name="_vena_MultiSiteS1_MultiSiteB4_C_8_462549070872707072_13" localSheetId="4">#REF!</definedName>
    <definedName name="_vena_MultiSiteS1_MultiSiteB4_C_8_462549070872707072_13" localSheetId="5">#REF!</definedName>
    <definedName name="_vena_MultiSiteS1_MultiSiteB4_C_8_462549070872707072_13" localSheetId="8">'[1]FY26 MYP-Multisite'!#REF!</definedName>
    <definedName name="_vena_MultiSiteS1_MultiSiteB4_C_8_462549070872707072_13" localSheetId="3">#REF!</definedName>
    <definedName name="_vena_MultiSiteS1_MultiSiteB4_C_8_462549070872707072_13">#REF!</definedName>
    <definedName name="_vena_MultiSiteS1_MultiSiteB4_C_8_462549070872707072_14" localSheetId="4">#REF!</definedName>
    <definedName name="_vena_MultiSiteS1_MultiSiteB4_C_8_462549070872707072_14" localSheetId="5">#REF!</definedName>
    <definedName name="_vena_MultiSiteS1_MultiSiteB4_C_8_462549070872707072_14" localSheetId="8">'[1]FY26 MYP-Multisite'!#REF!</definedName>
    <definedName name="_vena_MultiSiteS1_MultiSiteB4_C_8_462549070872707072_14" localSheetId="3">#REF!</definedName>
    <definedName name="_vena_MultiSiteS1_MultiSiteB4_C_8_462549070872707072_14">#REF!</definedName>
    <definedName name="_vena_MultiSiteS1_MultiSiteB4_C_8_462549070872707072_15" localSheetId="4">#REF!</definedName>
    <definedName name="_vena_MultiSiteS1_MultiSiteB4_C_8_462549070872707072_15" localSheetId="5">#REF!</definedName>
    <definedName name="_vena_MultiSiteS1_MultiSiteB4_C_8_462549070872707072_15" localSheetId="8">'[1]FY26 MYP-Multisite'!#REF!</definedName>
    <definedName name="_vena_MultiSiteS1_MultiSiteB4_C_8_462549070872707072_15" localSheetId="3">#REF!</definedName>
    <definedName name="_vena_MultiSiteS1_MultiSiteB4_C_8_462549070872707072_15">#REF!</definedName>
    <definedName name="_vena_MultiSiteS1_MultiSiteB4_C_8_462549070872707072_16" localSheetId="4">#REF!</definedName>
    <definedName name="_vena_MultiSiteS1_MultiSiteB4_C_8_462549070872707072_16" localSheetId="5">#REF!</definedName>
    <definedName name="_vena_MultiSiteS1_MultiSiteB4_C_8_462549070872707072_16" localSheetId="8">'[1]FY26 MYP-Multisite'!#REF!</definedName>
    <definedName name="_vena_MultiSiteS1_MultiSiteB4_C_8_462549070872707072_16" localSheetId="3">#REF!</definedName>
    <definedName name="_vena_MultiSiteS1_MultiSiteB4_C_8_462549070872707072_16">#REF!</definedName>
    <definedName name="_vena_MultiSiteS1_MultiSiteB4_C_8_462549070872707072_17" localSheetId="4">#REF!</definedName>
    <definedName name="_vena_MultiSiteS1_MultiSiteB4_C_8_462549070872707072_17" localSheetId="5">#REF!</definedName>
    <definedName name="_vena_MultiSiteS1_MultiSiteB4_C_8_462549070872707072_17" localSheetId="8">'[1]FY26 MYP-Multisite'!#REF!</definedName>
    <definedName name="_vena_MultiSiteS1_MultiSiteB4_C_8_462549070872707072_17" localSheetId="3">#REF!</definedName>
    <definedName name="_vena_MultiSiteS1_MultiSiteB4_C_8_462549070872707072_17">#REF!</definedName>
    <definedName name="_vena_MultiSiteS1_MultiSiteB4_C_8_462549070872707072_18" localSheetId="4">#REF!</definedName>
    <definedName name="_vena_MultiSiteS1_MultiSiteB4_C_8_462549070872707072_18" localSheetId="5">#REF!</definedName>
    <definedName name="_vena_MultiSiteS1_MultiSiteB4_C_8_462549070872707072_18" localSheetId="8">'[1]FY26 MYP-Multisite'!#REF!</definedName>
    <definedName name="_vena_MultiSiteS1_MultiSiteB4_C_8_462549070872707072_18" localSheetId="3">#REF!</definedName>
    <definedName name="_vena_MultiSiteS1_MultiSiteB4_C_8_462549070872707072_18">#REF!</definedName>
    <definedName name="_vena_MultiSiteS1_MultiSiteB4_C_8_462549070872707072_19" localSheetId="4">#REF!</definedName>
    <definedName name="_vena_MultiSiteS1_MultiSiteB4_C_8_462549070872707072_19" localSheetId="5">#REF!</definedName>
    <definedName name="_vena_MultiSiteS1_MultiSiteB4_C_8_462549070872707072_19" localSheetId="8">'[1]FY26 MYP-Multisite'!#REF!</definedName>
    <definedName name="_vena_MultiSiteS1_MultiSiteB4_C_8_462549070872707072_19" localSheetId="3">#REF!</definedName>
    <definedName name="_vena_MultiSiteS1_MultiSiteB4_C_8_462549070872707072_19">#REF!</definedName>
    <definedName name="_vena_MultiSiteS1_MultiSiteB4_C_8_462549070872707072_2" localSheetId="4">#REF!</definedName>
    <definedName name="_vena_MultiSiteS1_MultiSiteB4_C_8_462549070872707072_2" localSheetId="5">#REF!</definedName>
    <definedName name="_vena_MultiSiteS1_MultiSiteB4_C_8_462549070872707072_2" localSheetId="8">'[1]FY26 MYP-Multisite'!#REF!</definedName>
    <definedName name="_vena_MultiSiteS1_MultiSiteB4_C_8_462549070872707072_2" localSheetId="3">#REF!</definedName>
    <definedName name="_vena_MultiSiteS1_MultiSiteB4_C_8_462549070872707072_2">#REF!</definedName>
    <definedName name="_vena_MultiSiteS1_MultiSiteB4_C_8_462549070872707072_20" localSheetId="4">#REF!</definedName>
    <definedName name="_vena_MultiSiteS1_MultiSiteB4_C_8_462549070872707072_20" localSheetId="5">#REF!</definedName>
    <definedName name="_vena_MultiSiteS1_MultiSiteB4_C_8_462549070872707072_20" localSheetId="8">'[1]FY26 MYP-Multisite'!#REF!</definedName>
    <definedName name="_vena_MultiSiteS1_MultiSiteB4_C_8_462549070872707072_20" localSheetId="3">#REF!</definedName>
    <definedName name="_vena_MultiSiteS1_MultiSiteB4_C_8_462549070872707072_20">#REF!</definedName>
    <definedName name="_vena_MultiSiteS1_MultiSiteB4_C_8_462549070872707072_21" localSheetId="4">#REF!</definedName>
    <definedName name="_vena_MultiSiteS1_MultiSiteB4_C_8_462549070872707072_21" localSheetId="5">#REF!</definedName>
    <definedName name="_vena_MultiSiteS1_MultiSiteB4_C_8_462549070872707072_21" localSheetId="8">'[1]FY26 MYP-Multisite'!#REF!</definedName>
    <definedName name="_vena_MultiSiteS1_MultiSiteB4_C_8_462549070872707072_21" localSheetId="3">#REF!</definedName>
    <definedName name="_vena_MultiSiteS1_MultiSiteB4_C_8_462549070872707072_21">#REF!</definedName>
    <definedName name="_vena_MultiSiteS1_MultiSiteB4_C_8_462549070872707072_22" localSheetId="4">#REF!</definedName>
    <definedName name="_vena_MultiSiteS1_MultiSiteB4_C_8_462549070872707072_22" localSheetId="5">#REF!</definedName>
    <definedName name="_vena_MultiSiteS1_MultiSiteB4_C_8_462549070872707072_22" localSheetId="8">'[1]FY26 MYP-Multisite'!#REF!</definedName>
    <definedName name="_vena_MultiSiteS1_MultiSiteB4_C_8_462549070872707072_22" localSheetId="3">#REF!</definedName>
    <definedName name="_vena_MultiSiteS1_MultiSiteB4_C_8_462549070872707072_22">#REF!</definedName>
    <definedName name="_vena_MultiSiteS1_MultiSiteB4_C_8_462549070872707072_23" localSheetId="4">#REF!</definedName>
    <definedName name="_vena_MultiSiteS1_MultiSiteB4_C_8_462549070872707072_23" localSheetId="5">#REF!</definedName>
    <definedName name="_vena_MultiSiteS1_MultiSiteB4_C_8_462549070872707072_23" localSheetId="8">'[1]FY26 MYP-Multisite'!#REF!</definedName>
    <definedName name="_vena_MultiSiteS1_MultiSiteB4_C_8_462549070872707072_23" localSheetId="3">#REF!</definedName>
    <definedName name="_vena_MultiSiteS1_MultiSiteB4_C_8_462549070872707072_23">#REF!</definedName>
    <definedName name="_vena_MultiSiteS1_MultiSiteB4_C_8_462549070872707072_24" localSheetId="4">#REF!</definedName>
    <definedName name="_vena_MultiSiteS1_MultiSiteB4_C_8_462549070872707072_24" localSheetId="5">#REF!</definedName>
    <definedName name="_vena_MultiSiteS1_MultiSiteB4_C_8_462549070872707072_24" localSheetId="8">'[1]FY26 MYP-Multisite'!#REF!</definedName>
    <definedName name="_vena_MultiSiteS1_MultiSiteB4_C_8_462549070872707072_24" localSheetId="3">#REF!</definedName>
    <definedName name="_vena_MultiSiteS1_MultiSiteB4_C_8_462549070872707072_24">#REF!</definedName>
    <definedName name="_vena_MultiSiteS1_MultiSiteB4_C_8_462549070872707072_25" localSheetId="4">#REF!</definedName>
    <definedName name="_vena_MultiSiteS1_MultiSiteB4_C_8_462549070872707072_25" localSheetId="5">#REF!</definedName>
    <definedName name="_vena_MultiSiteS1_MultiSiteB4_C_8_462549070872707072_25" localSheetId="8">'[1]FY26 MYP-Multisite'!#REF!</definedName>
    <definedName name="_vena_MultiSiteS1_MultiSiteB4_C_8_462549070872707072_25" localSheetId="3">#REF!</definedName>
    <definedName name="_vena_MultiSiteS1_MultiSiteB4_C_8_462549070872707072_25">#REF!</definedName>
    <definedName name="_vena_MultiSiteS1_MultiSiteB4_C_8_462549070872707072_26" localSheetId="4">#REF!</definedName>
    <definedName name="_vena_MultiSiteS1_MultiSiteB4_C_8_462549070872707072_26" localSheetId="5">#REF!</definedName>
    <definedName name="_vena_MultiSiteS1_MultiSiteB4_C_8_462549070872707072_26" localSheetId="8">'[1]FY26 MYP-Multisite'!#REF!</definedName>
    <definedName name="_vena_MultiSiteS1_MultiSiteB4_C_8_462549070872707072_26" localSheetId="3">#REF!</definedName>
    <definedName name="_vena_MultiSiteS1_MultiSiteB4_C_8_462549070872707072_26">#REF!</definedName>
    <definedName name="_vena_MultiSiteS1_MultiSiteB4_C_8_462549070872707072_27" localSheetId="4">#REF!</definedName>
    <definedName name="_vena_MultiSiteS1_MultiSiteB4_C_8_462549070872707072_27" localSheetId="5">#REF!</definedName>
    <definedName name="_vena_MultiSiteS1_MultiSiteB4_C_8_462549070872707072_27" localSheetId="8">'[1]FY26 MYP-Multisite'!#REF!</definedName>
    <definedName name="_vena_MultiSiteS1_MultiSiteB4_C_8_462549070872707072_27" localSheetId="3">#REF!</definedName>
    <definedName name="_vena_MultiSiteS1_MultiSiteB4_C_8_462549070872707072_27">#REF!</definedName>
    <definedName name="_vena_MultiSiteS1_MultiSiteB4_C_8_462549070872707072_28" localSheetId="4">#REF!</definedName>
    <definedName name="_vena_MultiSiteS1_MultiSiteB4_C_8_462549070872707072_28" localSheetId="5">#REF!</definedName>
    <definedName name="_vena_MultiSiteS1_MultiSiteB4_C_8_462549070872707072_28" localSheetId="8">'[1]FY26 MYP-Multisite'!#REF!</definedName>
    <definedName name="_vena_MultiSiteS1_MultiSiteB4_C_8_462549070872707072_28" localSheetId="3">#REF!</definedName>
    <definedName name="_vena_MultiSiteS1_MultiSiteB4_C_8_462549070872707072_28">#REF!</definedName>
    <definedName name="_vena_MultiSiteS1_MultiSiteB4_C_8_462549070872707072_29" localSheetId="4">#REF!</definedName>
    <definedName name="_vena_MultiSiteS1_MultiSiteB4_C_8_462549070872707072_29" localSheetId="5">#REF!</definedName>
    <definedName name="_vena_MultiSiteS1_MultiSiteB4_C_8_462549070872707072_29" localSheetId="8">'[1]FY26 MYP-Multisite'!#REF!</definedName>
    <definedName name="_vena_MultiSiteS1_MultiSiteB4_C_8_462549070872707072_29" localSheetId="3">#REF!</definedName>
    <definedName name="_vena_MultiSiteS1_MultiSiteB4_C_8_462549070872707072_29">#REF!</definedName>
    <definedName name="_vena_MultiSiteS1_MultiSiteB4_C_8_462549070872707072_30" localSheetId="4">#REF!</definedName>
    <definedName name="_vena_MultiSiteS1_MultiSiteB4_C_8_462549070872707072_30" localSheetId="5">#REF!</definedName>
    <definedName name="_vena_MultiSiteS1_MultiSiteB4_C_8_462549070872707072_30" localSheetId="8">'[1]FY26 MYP-Multisite'!#REF!</definedName>
    <definedName name="_vena_MultiSiteS1_MultiSiteB4_C_8_462549070872707072_30" localSheetId="3">#REF!</definedName>
    <definedName name="_vena_MultiSiteS1_MultiSiteB4_C_8_462549070872707072_30">#REF!</definedName>
    <definedName name="_vena_MultiSiteS1_MultiSiteB4_C_8_462549070872707072_31" localSheetId="4">#REF!</definedName>
    <definedName name="_vena_MultiSiteS1_MultiSiteB4_C_8_462549070872707072_31" localSheetId="5">#REF!</definedName>
    <definedName name="_vena_MultiSiteS1_MultiSiteB4_C_8_462549070872707072_31" localSheetId="8">'[1]FY26 MYP-Multisite'!#REF!</definedName>
    <definedName name="_vena_MultiSiteS1_MultiSiteB4_C_8_462549070872707072_31" localSheetId="3">#REF!</definedName>
    <definedName name="_vena_MultiSiteS1_MultiSiteB4_C_8_462549070872707072_31">#REF!</definedName>
    <definedName name="_vena_MultiSiteS1_MultiSiteB4_C_8_462549070872707072_32" localSheetId="4">#REF!</definedName>
    <definedName name="_vena_MultiSiteS1_MultiSiteB4_C_8_462549070872707072_32" localSheetId="5">#REF!</definedName>
    <definedName name="_vena_MultiSiteS1_MultiSiteB4_C_8_462549070872707072_32" localSheetId="8">'[1]FY26 MYP-Multisite'!#REF!</definedName>
    <definedName name="_vena_MultiSiteS1_MultiSiteB4_C_8_462549070872707072_32" localSheetId="3">#REF!</definedName>
    <definedName name="_vena_MultiSiteS1_MultiSiteB4_C_8_462549070872707072_32">#REF!</definedName>
    <definedName name="_vena_MultiSiteS1_MultiSiteB4_C_8_462549070872707072_33" localSheetId="4">#REF!</definedName>
    <definedName name="_vena_MultiSiteS1_MultiSiteB4_C_8_462549070872707072_33" localSheetId="5">#REF!</definedName>
    <definedName name="_vena_MultiSiteS1_MultiSiteB4_C_8_462549070872707072_33" localSheetId="8">'[1]FY26 MYP-Multisite'!#REF!</definedName>
    <definedName name="_vena_MultiSiteS1_MultiSiteB4_C_8_462549070872707072_33" localSheetId="3">#REF!</definedName>
    <definedName name="_vena_MultiSiteS1_MultiSiteB4_C_8_462549070872707072_33">#REF!</definedName>
    <definedName name="_vena_MultiSiteS1_MultiSiteB4_C_8_462549070872707072_34" localSheetId="4">#REF!</definedName>
    <definedName name="_vena_MultiSiteS1_MultiSiteB4_C_8_462549070872707072_34" localSheetId="5">#REF!</definedName>
    <definedName name="_vena_MultiSiteS1_MultiSiteB4_C_8_462549070872707072_34" localSheetId="8">'[1]FY26 MYP-Multisite'!#REF!</definedName>
    <definedName name="_vena_MultiSiteS1_MultiSiteB4_C_8_462549070872707072_34" localSheetId="3">#REF!</definedName>
    <definedName name="_vena_MultiSiteS1_MultiSiteB4_C_8_462549070872707072_34">#REF!</definedName>
    <definedName name="_vena_MultiSiteS1_MultiSiteB4_C_8_462549070872707072_35" localSheetId="4">#REF!</definedName>
    <definedName name="_vena_MultiSiteS1_MultiSiteB4_C_8_462549070872707072_35" localSheetId="5">#REF!</definedName>
    <definedName name="_vena_MultiSiteS1_MultiSiteB4_C_8_462549070872707072_35" localSheetId="8">'[1]FY26 MYP-Multisite'!#REF!</definedName>
    <definedName name="_vena_MultiSiteS1_MultiSiteB4_C_8_462549070872707072_35" localSheetId="3">#REF!</definedName>
    <definedName name="_vena_MultiSiteS1_MultiSiteB4_C_8_462549070872707072_35">#REF!</definedName>
    <definedName name="_vena_MultiSiteS1_MultiSiteB4_C_8_462549070872707072_36" localSheetId="4">#REF!</definedName>
    <definedName name="_vena_MultiSiteS1_MultiSiteB4_C_8_462549070872707072_36" localSheetId="5">#REF!</definedName>
    <definedName name="_vena_MultiSiteS1_MultiSiteB4_C_8_462549070872707072_36" localSheetId="8">'[1]FY26 MYP-Multisite'!#REF!</definedName>
    <definedName name="_vena_MultiSiteS1_MultiSiteB4_C_8_462549070872707072_36" localSheetId="3">#REF!</definedName>
    <definedName name="_vena_MultiSiteS1_MultiSiteB4_C_8_462549070872707072_36">#REF!</definedName>
    <definedName name="_vena_MultiSiteS1_MultiSiteB4_C_8_462549070872707072_37" localSheetId="4">#REF!</definedName>
    <definedName name="_vena_MultiSiteS1_MultiSiteB4_C_8_462549070872707072_37" localSheetId="5">#REF!</definedName>
    <definedName name="_vena_MultiSiteS1_MultiSiteB4_C_8_462549070872707072_37" localSheetId="8">'[1]FY26 MYP-Multisite'!#REF!</definedName>
    <definedName name="_vena_MultiSiteS1_MultiSiteB4_C_8_462549070872707072_37" localSheetId="3">#REF!</definedName>
    <definedName name="_vena_MultiSiteS1_MultiSiteB4_C_8_462549070872707072_37">#REF!</definedName>
    <definedName name="_vena_MultiSiteS1_MultiSiteB4_C_8_462549070872707072_38" localSheetId="4">#REF!</definedName>
    <definedName name="_vena_MultiSiteS1_MultiSiteB4_C_8_462549070872707072_38" localSheetId="5">#REF!</definedName>
    <definedName name="_vena_MultiSiteS1_MultiSiteB4_C_8_462549070872707072_38" localSheetId="8">'[1]FY26 MYP-Multisite'!#REF!</definedName>
    <definedName name="_vena_MultiSiteS1_MultiSiteB4_C_8_462549070872707072_38" localSheetId="3">#REF!</definedName>
    <definedName name="_vena_MultiSiteS1_MultiSiteB4_C_8_462549070872707072_38">#REF!</definedName>
    <definedName name="_vena_MultiSiteS1_MultiSiteB4_C_8_462549070872707072_39" localSheetId="4">#REF!</definedName>
    <definedName name="_vena_MultiSiteS1_MultiSiteB4_C_8_462549070872707072_39" localSheetId="5">#REF!</definedName>
    <definedName name="_vena_MultiSiteS1_MultiSiteB4_C_8_462549070872707072_39" localSheetId="8">'[1]FY26 MYP-Multisite'!#REF!</definedName>
    <definedName name="_vena_MultiSiteS1_MultiSiteB4_C_8_462549070872707072_39" localSheetId="3">#REF!</definedName>
    <definedName name="_vena_MultiSiteS1_MultiSiteB4_C_8_462549070872707072_39">#REF!</definedName>
    <definedName name="_vena_MultiSiteS1_MultiSiteB4_C_8_462549070872707072_4" localSheetId="4">#REF!</definedName>
    <definedName name="_vena_MultiSiteS1_MultiSiteB4_C_8_462549070872707072_4" localSheetId="5">#REF!</definedName>
    <definedName name="_vena_MultiSiteS1_MultiSiteB4_C_8_462549070872707072_4" localSheetId="8">'[1]FY26 MYP-Multisite'!#REF!</definedName>
    <definedName name="_vena_MultiSiteS1_MultiSiteB4_C_8_462549070872707072_4" localSheetId="3">#REF!</definedName>
    <definedName name="_vena_MultiSiteS1_MultiSiteB4_C_8_462549070872707072_4">#REF!</definedName>
    <definedName name="_vena_MultiSiteS1_MultiSiteB4_C_8_462549070872707072_40" localSheetId="4">#REF!</definedName>
    <definedName name="_vena_MultiSiteS1_MultiSiteB4_C_8_462549070872707072_40" localSheetId="5">#REF!</definedName>
    <definedName name="_vena_MultiSiteS1_MultiSiteB4_C_8_462549070872707072_40" localSheetId="8">'[1]FY26 MYP-Multisite'!#REF!</definedName>
    <definedName name="_vena_MultiSiteS1_MultiSiteB4_C_8_462549070872707072_40" localSheetId="3">#REF!</definedName>
    <definedName name="_vena_MultiSiteS1_MultiSiteB4_C_8_462549070872707072_40">#REF!</definedName>
    <definedName name="_vena_MultiSiteS1_MultiSiteB4_C_8_462549070872707072_41" localSheetId="4">#REF!</definedName>
    <definedName name="_vena_MultiSiteS1_MultiSiteB4_C_8_462549070872707072_41" localSheetId="5">#REF!</definedName>
    <definedName name="_vena_MultiSiteS1_MultiSiteB4_C_8_462549070872707072_41" localSheetId="8">'[1]FY26 MYP-Multisite'!#REF!</definedName>
    <definedName name="_vena_MultiSiteS1_MultiSiteB4_C_8_462549070872707072_41" localSheetId="3">#REF!</definedName>
    <definedName name="_vena_MultiSiteS1_MultiSiteB4_C_8_462549070872707072_41">#REF!</definedName>
    <definedName name="_vena_MultiSiteS1_MultiSiteB4_C_8_462549070872707072_42" localSheetId="4">#REF!</definedName>
    <definedName name="_vena_MultiSiteS1_MultiSiteB4_C_8_462549070872707072_42" localSheetId="5">#REF!</definedName>
    <definedName name="_vena_MultiSiteS1_MultiSiteB4_C_8_462549070872707072_42" localSheetId="8">'[1]FY26 MYP-Multisite'!#REF!</definedName>
    <definedName name="_vena_MultiSiteS1_MultiSiteB4_C_8_462549070872707072_42" localSheetId="3">#REF!</definedName>
    <definedName name="_vena_MultiSiteS1_MultiSiteB4_C_8_462549070872707072_42">#REF!</definedName>
    <definedName name="_vena_MultiSiteS1_MultiSiteB4_C_8_462549070872707072_43" localSheetId="4">#REF!</definedName>
    <definedName name="_vena_MultiSiteS1_MultiSiteB4_C_8_462549070872707072_43" localSheetId="5">#REF!</definedName>
    <definedName name="_vena_MultiSiteS1_MultiSiteB4_C_8_462549070872707072_43" localSheetId="8">'[1]FY26 MYP-Multisite'!#REF!</definedName>
    <definedName name="_vena_MultiSiteS1_MultiSiteB4_C_8_462549070872707072_43" localSheetId="3">#REF!</definedName>
    <definedName name="_vena_MultiSiteS1_MultiSiteB4_C_8_462549070872707072_43">#REF!</definedName>
    <definedName name="_vena_MultiSiteS1_MultiSiteB4_C_8_462549070872707072_6" localSheetId="4">#REF!</definedName>
    <definedName name="_vena_MultiSiteS1_MultiSiteB4_C_8_462549070872707072_6" localSheetId="5">#REF!</definedName>
    <definedName name="_vena_MultiSiteS1_MultiSiteB4_C_8_462549070872707072_6" localSheetId="8">'[1]FY26 MYP-Multisite'!#REF!</definedName>
    <definedName name="_vena_MultiSiteS1_MultiSiteB4_C_8_462549070872707072_6" localSheetId="3">#REF!</definedName>
    <definedName name="_vena_MultiSiteS1_MultiSiteB4_C_8_462549070872707072_6">#REF!</definedName>
    <definedName name="_vena_MultiSiteS1_MultiSiteB4_C_8_462549070872707072_8" localSheetId="4">#REF!</definedName>
    <definedName name="_vena_MultiSiteS1_MultiSiteB4_C_8_462549070872707072_8" localSheetId="5">#REF!</definedName>
    <definedName name="_vena_MultiSiteS1_MultiSiteB4_C_8_462549070872707072_8" localSheetId="8">'[1]FY26 MYP-Multisite'!#REF!</definedName>
    <definedName name="_vena_MultiSiteS1_MultiSiteB4_C_8_462549070872707072_8" localSheetId="3">#REF!</definedName>
    <definedName name="_vena_MultiSiteS1_MultiSiteB4_C_8_462549070872707072_8">#REF!</definedName>
    <definedName name="_vena_MultiSiteS1_MultiSiteB4_C_8_462549070872707072_9" localSheetId="4">#REF!</definedName>
    <definedName name="_vena_MultiSiteS1_MultiSiteB4_C_8_462549070872707072_9" localSheetId="5">#REF!</definedName>
    <definedName name="_vena_MultiSiteS1_MultiSiteB4_C_8_462549070872707072_9" localSheetId="8">'[1]FY26 MYP-Multisite'!#REF!</definedName>
    <definedName name="_vena_MultiSiteS1_MultiSiteB4_C_8_462549070872707072_9" localSheetId="3">#REF!</definedName>
    <definedName name="_vena_MultiSiteS1_MultiSiteB4_C_8_462549070872707072_9">#REF!</definedName>
    <definedName name="_vena_MultiSiteS1_MultiSiteB4_C_8_551651297771388928">#REF!</definedName>
    <definedName name="_vena_MultiSiteS1_MultiSiteB4_C_8_551651297771388928_10">#REF!</definedName>
    <definedName name="_vena_MultiSiteS1_MultiSiteB4_C_8_551651297771388928_11">#REF!</definedName>
    <definedName name="_vena_MultiSiteS1_MultiSiteB4_C_8_551651297771388928_12">#REF!</definedName>
    <definedName name="_vena_MultiSiteS1_MultiSiteB4_C_8_551651297771388928_13">#REF!</definedName>
    <definedName name="_vena_MultiSiteS1_MultiSiteB4_C_8_551651297771388928_2">#REF!</definedName>
    <definedName name="_vena_MultiSiteS1_MultiSiteB4_C_8_551651297771388928_4">#REF!</definedName>
    <definedName name="_vena_MultiSiteS1_MultiSiteB4_C_8_551651297771388928_6">#REF!</definedName>
    <definedName name="_vena_MultiSiteS1_MultiSiteB4_C_8_551651297771388928_8">#REF!</definedName>
    <definedName name="_vena_MultiSiteS1_MultiSiteB4_C_8_551651297771388928_9">#REF!</definedName>
    <definedName name="_vena_MultiSiteS1_MultiSiteB4_C_8_632005313608548353">#REF!</definedName>
    <definedName name="_vena_MultiSiteS1_MultiSiteB4_C_8_632005313608548353_10">#REF!</definedName>
    <definedName name="_vena_MultiSiteS1_MultiSiteB4_C_8_632005313608548353_11">#REF!</definedName>
    <definedName name="_vena_MultiSiteS1_MultiSiteB4_C_8_632005313608548353_12">#REF!</definedName>
    <definedName name="_vena_MultiSiteS1_MultiSiteB4_C_8_632005313608548353_13">#REF!</definedName>
    <definedName name="_vena_MultiSiteS1_MultiSiteB4_C_8_632005313608548353_2">#REF!</definedName>
    <definedName name="_vena_MultiSiteS1_MultiSiteB4_C_8_632005313608548353_4">#REF!</definedName>
    <definedName name="_vena_MultiSiteS1_MultiSiteB4_C_8_632005313608548353_6">#REF!</definedName>
    <definedName name="_vena_MultiSiteS1_MultiSiteB4_C_8_632005313608548353_8">#REF!</definedName>
    <definedName name="_vena_MultiSiteS1_MultiSiteB4_C_8_632005313608548353_9">#REF!</definedName>
    <definedName name="_vena_MultiSiteS1_MultiSiteB4_C_FV_56493ffece784c5db4cd0fd3b40a250d" localSheetId="4">#REF!</definedName>
    <definedName name="_vena_MultiSiteS1_MultiSiteB4_C_FV_56493ffece784c5db4cd0fd3b40a250d" localSheetId="5">#REF!</definedName>
    <definedName name="_vena_MultiSiteS1_MultiSiteB4_C_FV_56493ffece784c5db4cd0fd3b40a250d" localSheetId="8">'[1]FY26 MYP-Multisite'!#REF!</definedName>
    <definedName name="_vena_MultiSiteS1_MultiSiteB4_C_FV_56493ffece784c5db4cd0fd3b40a250d" localSheetId="3">#REF!</definedName>
    <definedName name="_vena_MultiSiteS1_MultiSiteB4_C_FV_56493ffece784c5db4cd0fd3b40a250d">#REF!</definedName>
    <definedName name="_vena_MultiSiteS1_MultiSiteB4_C_FV_56493ffece784c5db4cd0fd3b40a250d_10" localSheetId="4">#REF!</definedName>
    <definedName name="_vena_MultiSiteS1_MultiSiteB4_C_FV_56493ffece784c5db4cd0fd3b40a250d_10" localSheetId="5">#REF!</definedName>
    <definedName name="_vena_MultiSiteS1_MultiSiteB4_C_FV_56493ffece784c5db4cd0fd3b40a250d_10" localSheetId="8">'[1]FY26 MYP-Multisite'!#REF!</definedName>
    <definedName name="_vena_MultiSiteS1_MultiSiteB4_C_FV_56493ffece784c5db4cd0fd3b40a250d_10" localSheetId="3">#REF!</definedName>
    <definedName name="_vena_MultiSiteS1_MultiSiteB4_C_FV_56493ffece784c5db4cd0fd3b40a250d_10">#REF!</definedName>
    <definedName name="_vena_MultiSiteS1_MultiSiteB4_C_FV_56493ffece784c5db4cd0fd3b40a250d_11" localSheetId="4">#REF!</definedName>
    <definedName name="_vena_MultiSiteS1_MultiSiteB4_C_FV_56493ffece784c5db4cd0fd3b40a250d_11" localSheetId="5">#REF!</definedName>
    <definedName name="_vena_MultiSiteS1_MultiSiteB4_C_FV_56493ffece784c5db4cd0fd3b40a250d_11" localSheetId="8">'[1]FY26 MYP-Multisite'!#REF!</definedName>
    <definedName name="_vena_MultiSiteS1_MultiSiteB4_C_FV_56493ffece784c5db4cd0fd3b40a250d_11" localSheetId="3">#REF!</definedName>
    <definedName name="_vena_MultiSiteS1_MultiSiteB4_C_FV_56493ffece784c5db4cd0fd3b40a250d_11">#REF!</definedName>
    <definedName name="_vena_MultiSiteS1_MultiSiteB4_C_FV_56493ffece784c5db4cd0fd3b40a250d_12" localSheetId="4">#REF!</definedName>
    <definedName name="_vena_MultiSiteS1_MultiSiteB4_C_FV_56493ffece784c5db4cd0fd3b40a250d_12" localSheetId="5">#REF!</definedName>
    <definedName name="_vena_MultiSiteS1_MultiSiteB4_C_FV_56493ffece784c5db4cd0fd3b40a250d_12" localSheetId="8">'[1]FY26 MYP-Multisite'!#REF!</definedName>
    <definedName name="_vena_MultiSiteS1_MultiSiteB4_C_FV_56493ffece784c5db4cd0fd3b40a250d_12" localSheetId="3">#REF!</definedName>
    <definedName name="_vena_MultiSiteS1_MultiSiteB4_C_FV_56493ffece784c5db4cd0fd3b40a250d_12">#REF!</definedName>
    <definedName name="_vena_MultiSiteS1_MultiSiteB4_C_FV_56493ffece784c5db4cd0fd3b40a250d_13" localSheetId="4">#REF!</definedName>
    <definedName name="_vena_MultiSiteS1_MultiSiteB4_C_FV_56493ffece784c5db4cd0fd3b40a250d_13" localSheetId="5">#REF!</definedName>
    <definedName name="_vena_MultiSiteS1_MultiSiteB4_C_FV_56493ffece784c5db4cd0fd3b40a250d_13" localSheetId="8">'[1]FY26 MYP-Multisite'!#REF!</definedName>
    <definedName name="_vena_MultiSiteS1_MultiSiteB4_C_FV_56493ffece784c5db4cd0fd3b40a250d_13" localSheetId="3">#REF!</definedName>
    <definedName name="_vena_MultiSiteS1_MultiSiteB4_C_FV_56493ffece784c5db4cd0fd3b40a250d_13">#REF!</definedName>
    <definedName name="_vena_MultiSiteS1_MultiSiteB4_C_FV_56493ffece784c5db4cd0fd3b40a250d_14" localSheetId="4">#REF!</definedName>
    <definedName name="_vena_MultiSiteS1_MultiSiteB4_C_FV_56493ffece784c5db4cd0fd3b40a250d_14" localSheetId="5">#REF!</definedName>
    <definedName name="_vena_MultiSiteS1_MultiSiteB4_C_FV_56493ffece784c5db4cd0fd3b40a250d_14" localSheetId="8">'[1]FY26 MYP-Multisite'!#REF!</definedName>
    <definedName name="_vena_MultiSiteS1_MultiSiteB4_C_FV_56493ffece784c5db4cd0fd3b40a250d_14" localSheetId="3">#REF!</definedName>
    <definedName name="_vena_MultiSiteS1_MultiSiteB4_C_FV_56493ffece784c5db4cd0fd3b40a250d_14">#REF!</definedName>
    <definedName name="_vena_MultiSiteS1_MultiSiteB4_C_FV_56493ffece784c5db4cd0fd3b40a250d_15" localSheetId="4">#REF!</definedName>
    <definedName name="_vena_MultiSiteS1_MultiSiteB4_C_FV_56493ffece784c5db4cd0fd3b40a250d_15" localSheetId="5">#REF!</definedName>
    <definedName name="_vena_MultiSiteS1_MultiSiteB4_C_FV_56493ffece784c5db4cd0fd3b40a250d_15" localSheetId="8">'[1]FY26 MYP-Multisite'!#REF!</definedName>
    <definedName name="_vena_MultiSiteS1_MultiSiteB4_C_FV_56493ffece784c5db4cd0fd3b40a250d_15" localSheetId="3">#REF!</definedName>
    <definedName name="_vena_MultiSiteS1_MultiSiteB4_C_FV_56493ffece784c5db4cd0fd3b40a250d_15">#REF!</definedName>
    <definedName name="_vena_MultiSiteS1_MultiSiteB4_C_FV_56493ffece784c5db4cd0fd3b40a250d_16" localSheetId="4">#REF!</definedName>
    <definedName name="_vena_MultiSiteS1_MultiSiteB4_C_FV_56493ffece784c5db4cd0fd3b40a250d_16" localSheetId="5">#REF!</definedName>
    <definedName name="_vena_MultiSiteS1_MultiSiteB4_C_FV_56493ffece784c5db4cd0fd3b40a250d_16" localSheetId="8">'[1]FY26 MYP-Multisite'!#REF!</definedName>
    <definedName name="_vena_MultiSiteS1_MultiSiteB4_C_FV_56493ffece784c5db4cd0fd3b40a250d_16" localSheetId="3">#REF!</definedName>
    <definedName name="_vena_MultiSiteS1_MultiSiteB4_C_FV_56493ffece784c5db4cd0fd3b40a250d_16">#REF!</definedName>
    <definedName name="_vena_MultiSiteS1_MultiSiteB4_C_FV_56493ffece784c5db4cd0fd3b40a250d_17" localSheetId="4">#REF!</definedName>
    <definedName name="_vena_MultiSiteS1_MultiSiteB4_C_FV_56493ffece784c5db4cd0fd3b40a250d_17" localSheetId="5">#REF!</definedName>
    <definedName name="_vena_MultiSiteS1_MultiSiteB4_C_FV_56493ffece784c5db4cd0fd3b40a250d_17" localSheetId="8">'[1]FY26 MYP-Multisite'!#REF!</definedName>
    <definedName name="_vena_MultiSiteS1_MultiSiteB4_C_FV_56493ffece784c5db4cd0fd3b40a250d_17" localSheetId="3">#REF!</definedName>
    <definedName name="_vena_MultiSiteS1_MultiSiteB4_C_FV_56493ffece784c5db4cd0fd3b40a250d_17">#REF!</definedName>
    <definedName name="_vena_MultiSiteS1_MultiSiteB4_C_FV_56493ffece784c5db4cd0fd3b40a250d_18" localSheetId="4">#REF!</definedName>
    <definedName name="_vena_MultiSiteS1_MultiSiteB4_C_FV_56493ffece784c5db4cd0fd3b40a250d_18" localSheetId="5">#REF!</definedName>
    <definedName name="_vena_MultiSiteS1_MultiSiteB4_C_FV_56493ffece784c5db4cd0fd3b40a250d_18" localSheetId="8">'[1]FY26 MYP-Multisite'!#REF!</definedName>
    <definedName name="_vena_MultiSiteS1_MultiSiteB4_C_FV_56493ffece784c5db4cd0fd3b40a250d_18" localSheetId="3">#REF!</definedName>
    <definedName name="_vena_MultiSiteS1_MultiSiteB4_C_FV_56493ffece784c5db4cd0fd3b40a250d_18">#REF!</definedName>
    <definedName name="_vena_MultiSiteS1_MultiSiteB4_C_FV_56493ffece784c5db4cd0fd3b40a250d_19" localSheetId="4">#REF!</definedName>
    <definedName name="_vena_MultiSiteS1_MultiSiteB4_C_FV_56493ffece784c5db4cd0fd3b40a250d_19" localSheetId="5">#REF!</definedName>
    <definedName name="_vena_MultiSiteS1_MultiSiteB4_C_FV_56493ffece784c5db4cd0fd3b40a250d_19" localSheetId="8">'[1]FY26 MYP-Multisite'!#REF!</definedName>
    <definedName name="_vena_MultiSiteS1_MultiSiteB4_C_FV_56493ffece784c5db4cd0fd3b40a250d_19" localSheetId="3">#REF!</definedName>
    <definedName name="_vena_MultiSiteS1_MultiSiteB4_C_FV_56493ffece784c5db4cd0fd3b40a250d_19">#REF!</definedName>
    <definedName name="_vena_MultiSiteS1_MultiSiteB4_C_FV_56493ffece784c5db4cd0fd3b40a250d_2" localSheetId="4">#REF!</definedName>
    <definedName name="_vena_MultiSiteS1_MultiSiteB4_C_FV_56493ffece784c5db4cd0fd3b40a250d_2" localSheetId="5">#REF!</definedName>
    <definedName name="_vena_MultiSiteS1_MultiSiteB4_C_FV_56493ffece784c5db4cd0fd3b40a250d_2" localSheetId="8">'[1]FY26 MYP-Multisite'!#REF!</definedName>
    <definedName name="_vena_MultiSiteS1_MultiSiteB4_C_FV_56493ffece784c5db4cd0fd3b40a250d_2" localSheetId="3">#REF!</definedName>
    <definedName name="_vena_MultiSiteS1_MultiSiteB4_C_FV_56493ffece784c5db4cd0fd3b40a250d_2">#REF!</definedName>
    <definedName name="_vena_MultiSiteS1_MultiSiteB4_C_FV_56493ffece784c5db4cd0fd3b40a250d_20" localSheetId="4">#REF!</definedName>
    <definedName name="_vena_MultiSiteS1_MultiSiteB4_C_FV_56493ffece784c5db4cd0fd3b40a250d_20" localSheetId="5">#REF!</definedName>
    <definedName name="_vena_MultiSiteS1_MultiSiteB4_C_FV_56493ffece784c5db4cd0fd3b40a250d_20" localSheetId="8">'[1]FY26 MYP-Multisite'!#REF!</definedName>
    <definedName name="_vena_MultiSiteS1_MultiSiteB4_C_FV_56493ffece784c5db4cd0fd3b40a250d_20" localSheetId="3">#REF!</definedName>
    <definedName name="_vena_MultiSiteS1_MultiSiteB4_C_FV_56493ffece784c5db4cd0fd3b40a250d_20">#REF!</definedName>
    <definedName name="_vena_MultiSiteS1_MultiSiteB4_C_FV_56493ffece784c5db4cd0fd3b40a250d_21" localSheetId="4">#REF!</definedName>
    <definedName name="_vena_MultiSiteS1_MultiSiteB4_C_FV_56493ffece784c5db4cd0fd3b40a250d_21" localSheetId="5">#REF!</definedName>
    <definedName name="_vena_MultiSiteS1_MultiSiteB4_C_FV_56493ffece784c5db4cd0fd3b40a250d_21" localSheetId="8">'[1]FY26 MYP-Multisite'!#REF!</definedName>
    <definedName name="_vena_MultiSiteS1_MultiSiteB4_C_FV_56493ffece784c5db4cd0fd3b40a250d_21" localSheetId="3">#REF!</definedName>
    <definedName name="_vena_MultiSiteS1_MultiSiteB4_C_FV_56493ffece784c5db4cd0fd3b40a250d_21">#REF!</definedName>
    <definedName name="_vena_MultiSiteS1_MultiSiteB4_C_FV_56493ffece784c5db4cd0fd3b40a250d_22" localSheetId="4">#REF!</definedName>
    <definedName name="_vena_MultiSiteS1_MultiSiteB4_C_FV_56493ffece784c5db4cd0fd3b40a250d_22" localSheetId="5">#REF!</definedName>
    <definedName name="_vena_MultiSiteS1_MultiSiteB4_C_FV_56493ffece784c5db4cd0fd3b40a250d_22" localSheetId="8">'[1]FY26 MYP-Multisite'!#REF!</definedName>
    <definedName name="_vena_MultiSiteS1_MultiSiteB4_C_FV_56493ffece784c5db4cd0fd3b40a250d_22" localSheetId="3">#REF!</definedName>
    <definedName name="_vena_MultiSiteS1_MultiSiteB4_C_FV_56493ffece784c5db4cd0fd3b40a250d_22">#REF!</definedName>
    <definedName name="_vena_MultiSiteS1_MultiSiteB4_C_FV_56493ffece784c5db4cd0fd3b40a250d_23" localSheetId="4">#REF!</definedName>
    <definedName name="_vena_MultiSiteS1_MultiSiteB4_C_FV_56493ffece784c5db4cd0fd3b40a250d_23" localSheetId="5">#REF!</definedName>
    <definedName name="_vena_MultiSiteS1_MultiSiteB4_C_FV_56493ffece784c5db4cd0fd3b40a250d_23" localSheetId="8">'[1]FY26 MYP-Multisite'!#REF!</definedName>
    <definedName name="_vena_MultiSiteS1_MultiSiteB4_C_FV_56493ffece784c5db4cd0fd3b40a250d_23" localSheetId="3">#REF!</definedName>
    <definedName name="_vena_MultiSiteS1_MultiSiteB4_C_FV_56493ffece784c5db4cd0fd3b40a250d_23">#REF!</definedName>
    <definedName name="_vena_MultiSiteS1_MultiSiteB4_C_FV_56493ffece784c5db4cd0fd3b40a250d_24" localSheetId="4">#REF!</definedName>
    <definedName name="_vena_MultiSiteS1_MultiSiteB4_C_FV_56493ffece784c5db4cd0fd3b40a250d_24" localSheetId="5">#REF!</definedName>
    <definedName name="_vena_MultiSiteS1_MultiSiteB4_C_FV_56493ffece784c5db4cd0fd3b40a250d_24" localSheetId="8">'[1]FY26 MYP-Multisite'!#REF!</definedName>
    <definedName name="_vena_MultiSiteS1_MultiSiteB4_C_FV_56493ffece784c5db4cd0fd3b40a250d_24" localSheetId="3">#REF!</definedName>
    <definedName name="_vena_MultiSiteS1_MultiSiteB4_C_FV_56493ffece784c5db4cd0fd3b40a250d_24">#REF!</definedName>
    <definedName name="_vena_MultiSiteS1_MultiSiteB4_C_FV_56493ffece784c5db4cd0fd3b40a250d_25" localSheetId="4">#REF!</definedName>
    <definedName name="_vena_MultiSiteS1_MultiSiteB4_C_FV_56493ffece784c5db4cd0fd3b40a250d_25" localSheetId="5">#REF!</definedName>
    <definedName name="_vena_MultiSiteS1_MultiSiteB4_C_FV_56493ffece784c5db4cd0fd3b40a250d_25" localSheetId="8">'[1]FY26 MYP-Multisite'!#REF!</definedName>
    <definedName name="_vena_MultiSiteS1_MultiSiteB4_C_FV_56493ffece784c5db4cd0fd3b40a250d_25" localSheetId="3">#REF!</definedName>
    <definedName name="_vena_MultiSiteS1_MultiSiteB4_C_FV_56493ffece784c5db4cd0fd3b40a250d_25">#REF!</definedName>
    <definedName name="_vena_MultiSiteS1_MultiSiteB4_C_FV_56493ffece784c5db4cd0fd3b40a250d_26" localSheetId="4">#REF!</definedName>
    <definedName name="_vena_MultiSiteS1_MultiSiteB4_C_FV_56493ffece784c5db4cd0fd3b40a250d_26" localSheetId="5">#REF!</definedName>
    <definedName name="_vena_MultiSiteS1_MultiSiteB4_C_FV_56493ffece784c5db4cd0fd3b40a250d_26" localSheetId="8">'[1]FY26 MYP-Multisite'!#REF!</definedName>
    <definedName name="_vena_MultiSiteS1_MultiSiteB4_C_FV_56493ffece784c5db4cd0fd3b40a250d_26" localSheetId="3">#REF!</definedName>
    <definedName name="_vena_MultiSiteS1_MultiSiteB4_C_FV_56493ffece784c5db4cd0fd3b40a250d_26">#REF!</definedName>
    <definedName name="_vena_MultiSiteS1_MultiSiteB4_C_FV_56493ffece784c5db4cd0fd3b40a250d_27" localSheetId="4">#REF!</definedName>
    <definedName name="_vena_MultiSiteS1_MultiSiteB4_C_FV_56493ffece784c5db4cd0fd3b40a250d_27" localSheetId="5">#REF!</definedName>
    <definedName name="_vena_MultiSiteS1_MultiSiteB4_C_FV_56493ffece784c5db4cd0fd3b40a250d_27" localSheetId="8">'[1]FY26 MYP-Multisite'!#REF!</definedName>
    <definedName name="_vena_MultiSiteS1_MultiSiteB4_C_FV_56493ffece784c5db4cd0fd3b40a250d_27" localSheetId="3">#REF!</definedName>
    <definedName name="_vena_MultiSiteS1_MultiSiteB4_C_FV_56493ffece784c5db4cd0fd3b40a250d_27">#REF!</definedName>
    <definedName name="_vena_MultiSiteS1_MultiSiteB4_C_FV_56493ffece784c5db4cd0fd3b40a250d_28" localSheetId="4">#REF!</definedName>
    <definedName name="_vena_MultiSiteS1_MultiSiteB4_C_FV_56493ffece784c5db4cd0fd3b40a250d_28" localSheetId="5">#REF!</definedName>
    <definedName name="_vena_MultiSiteS1_MultiSiteB4_C_FV_56493ffece784c5db4cd0fd3b40a250d_28" localSheetId="8">'[1]FY26 MYP-Multisite'!#REF!</definedName>
    <definedName name="_vena_MultiSiteS1_MultiSiteB4_C_FV_56493ffece784c5db4cd0fd3b40a250d_28" localSheetId="3">#REF!</definedName>
    <definedName name="_vena_MultiSiteS1_MultiSiteB4_C_FV_56493ffece784c5db4cd0fd3b40a250d_28">#REF!</definedName>
    <definedName name="_vena_MultiSiteS1_MultiSiteB4_C_FV_56493ffece784c5db4cd0fd3b40a250d_29" localSheetId="4">#REF!</definedName>
    <definedName name="_vena_MultiSiteS1_MultiSiteB4_C_FV_56493ffece784c5db4cd0fd3b40a250d_29" localSheetId="5">#REF!</definedName>
    <definedName name="_vena_MultiSiteS1_MultiSiteB4_C_FV_56493ffece784c5db4cd0fd3b40a250d_29" localSheetId="8">'[1]FY26 MYP-Multisite'!#REF!</definedName>
    <definedName name="_vena_MultiSiteS1_MultiSiteB4_C_FV_56493ffece784c5db4cd0fd3b40a250d_29" localSheetId="3">#REF!</definedName>
    <definedName name="_vena_MultiSiteS1_MultiSiteB4_C_FV_56493ffece784c5db4cd0fd3b40a250d_29">#REF!</definedName>
    <definedName name="_vena_MultiSiteS1_MultiSiteB4_C_FV_56493ffece784c5db4cd0fd3b40a250d_30" localSheetId="4">#REF!</definedName>
    <definedName name="_vena_MultiSiteS1_MultiSiteB4_C_FV_56493ffece784c5db4cd0fd3b40a250d_30" localSheetId="5">#REF!</definedName>
    <definedName name="_vena_MultiSiteS1_MultiSiteB4_C_FV_56493ffece784c5db4cd0fd3b40a250d_30" localSheetId="8">'[1]FY26 MYP-Multisite'!#REF!</definedName>
    <definedName name="_vena_MultiSiteS1_MultiSiteB4_C_FV_56493ffece784c5db4cd0fd3b40a250d_30" localSheetId="3">#REF!</definedName>
    <definedName name="_vena_MultiSiteS1_MultiSiteB4_C_FV_56493ffece784c5db4cd0fd3b40a250d_30">#REF!</definedName>
    <definedName name="_vena_MultiSiteS1_MultiSiteB4_C_FV_56493ffece784c5db4cd0fd3b40a250d_31" localSheetId="4">#REF!</definedName>
    <definedName name="_vena_MultiSiteS1_MultiSiteB4_C_FV_56493ffece784c5db4cd0fd3b40a250d_31" localSheetId="5">#REF!</definedName>
    <definedName name="_vena_MultiSiteS1_MultiSiteB4_C_FV_56493ffece784c5db4cd0fd3b40a250d_31" localSheetId="8">'[1]FY26 MYP-Multisite'!#REF!</definedName>
    <definedName name="_vena_MultiSiteS1_MultiSiteB4_C_FV_56493ffece784c5db4cd0fd3b40a250d_31" localSheetId="3">#REF!</definedName>
    <definedName name="_vena_MultiSiteS1_MultiSiteB4_C_FV_56493ffece784c5db4cd0fd3b40a250d_31">#REF!</definedName>
    <definedName name="_vena_MultiSiteS1_MultiSiteB4_C_FV_56493ffece784c5db4cd0fd3b40a250d_32" localSheetId="4">#REF!</definedName>
    <definedName name="_vena_MultiSiteS1_MultiSiteB4_C_FV_56493ffece784c5db4cd0fd3b40a250d_32" localSheetId="5">#REF!</definedName>
    <definedName name="_vena_MultiSiteS1_MultiSiteB4_C_FV_56493ffece784c5db4cd0fd3b40a250d_32" localSheetId="8">'[1]FY26 MYP-Multisite'!#REF!</definedName>
    <definedName name="_vena_MultiSiteS1_MultiSiteB4_C_FV_56493ffece784c5db4cd0fd3b40a250d_32" localSheetId="3">#REF!</definedName>
    <definedName name="_vena_MultiSiteS1_MultiSiteB4_C_FV_56493ffece784c5db4cd0fd3b40a250d_32">#REF!</definedName>
    <definedName name="_vena_MultiSiteS1_MultiSiteB4_C_FV_56493ffece784c5db4cd0fd3b40a250d_33" localSheetId="4">#REF!</definedName>
    <definedName name="_vena_MultiSiteS1_MultiSiteB4_C_FV_56493ffece784c5db4cd0fd3b40a250d_33" localSheetId="5">#REF!</definedName>
    <definedName name="_vena_MultiSiteS1_MultiSiteB4_C_FV_56493ffece784c5db4cd0fd3b40a250d_33" localSheetId="8">'[1]FY26 MYP-Multisite'!#REF!</definedName>
    <definedName name="_vena_MultiSiteS1_MultiSiteB4_C_FV_56493ffece784c5db4cd0fd3b40a250d_33" localSheetId="3">#REF!</definedName>
    <definedName name="_vena_MultiSiteS1_MultiSiteB4_C_FV_56493ffece784c5db4cd0fd3b40a250d_33">#REF!</definedName>
    <definedName name="_vena_MultiSiteS1_MultiSiteB4_C_FV_56493ffece784c5db4cd0fd3b40a250d_34" localSheetId="4">#REF!</definedName>
    <definedName name="_vena_MultiSiteS1_MultiSiteB4_C_FV_56493ffece784c5db4cd0fd3b40a250d_34" localSheetId="5">#REF!</definedName>
    <definedName name="_vena_MultiSiteS1_MultiSiteB4_C_FV_56493ffece784c5db4cd0fd3b40a250d_34" localSheetId="8">'[1]FY26 MYP-Multisite'!#REF!</definedName>
    <definedName name="_vena_MultiSiteS1_MultiSiteB4_C_FV_56493ffece784c5db4cd0fd3b40a250d_34" localSheetId="3">#REF!</definedName>
    <definedName name="_vena_MultiSiteS1_MultiSiteB4_C_FV_56493ffece784c5db4cd0fd3b40a250d_34">#REF!</definedName>
    <definedName name="_vena_MultiSiteS1_MultiSiteB4_C_FV_56493ffece784c5db4cd0fd3b40a250d_35" localSheetId="4">#REF!</definedName>
    <definedName name="_vena_MultiSiteS1_MultiSiteB4_C_FV_56493ffece784c5db4cd0fd3b40a250d_35" localSheetId="5">#REF!</definedName>
    <definedName name="_vena_MultiSiteS1_MultiSiteB4_C_FV_56493ffece784c5db4cd0fd3b40a250d_35" localSheetId="8">'[1]FY26 MYP-Multisite'!#REF!</definedName>
    <definedName name="_vena_MultiSiteS1_MultiSiteB4_C_FV_56493ffece784c5db4cd0fd3b40a250d_35" localSheetId="3">#REF!</definedName>
    <definedName name="_vena_MultiSiteS1_MultiSiteB4_C_FV_56493ffece784c5db4cd0fd3b40a250d_35">#REF!</definedName>
    <definedName name="_vena_MultiSiteS1_MultiSiteB4_C_FV_56493ffece784c5db4cd0fd3b40a250d_36" localSheetId="4">#REF!</definedName>
    <definedName name="_vena_MultiSiteS1_MultiSiteB4_C_FV_56493ffece784c5db4cd0fd3b40a250d_36" localSheetId="5">#REF!</definedName>
    <definedName name="_vena_MultiSiteS1_MultiSiteB4_C_FV_56493ffece784c5db4cd0fd3b40a250d_36" localSheetId="8">'[1]FY26 MYP-Multisite'!#REF!</definedName>
    <definedName name="_vena_MultiSiteS1_MultiSiteB4_C_FV_56493ffece784c5db4cd0fd3b40a250d_36" localSheetId="3">#REF!</definedName>
    <definedName name="_vena_MultiSiteS1_MultiSiteB4_C_FV_56493ffece784c5db4cd0fd3b40a250d_36">#REF!</definedName>
    <definedName name="_vena_MultiSiteS1_MultiSiteB4_C_FV_56493ffece784c5db4cd0fd3b40a250d_37" localSheetId="4">#REF!</definedName>
    <definedName name="_vena_MultiSiteS1_MultiSiteB4_C_FV_56493ffece784c5db4cd0fd3b40a250d_37" localSheetId="5">#REF!</definedName>
    <definedName name="_vena_MultiSiteS1_MultiSiteB4_C_FV_56493ffece784c5db4cd0fd3b40a250d_37" localSheetId="8">'[1]FY26 MYP-Multisite'!#REF!</definedName>
    <definedName name="_vena_MultiSiteS1_MultiSiteB4_C_FV_56493ffece784c5db4cd0fd3b40a250d_37" localSheetId="3">#REF!</definedName>
    <definedName name="_vena_MultiSiteS1_MultiSiteB4_C_FV_56493ffece784c5db4cd0fd3b40a250d_37">#REF!</definedName>
    <definedName name="_vena_MultiSiteS1_MultiSiteB4_C_FV_56493ffece784c5db4cd0fd3b40a250d_38" localSheetId="4">#REF!</definedName>
    <definedName name="_vena_MultiSiteS1_MultiSiteB4_C_FV_56493ffece784c5db4cd0fd3b40a250d_38" localSheetId="5">#REF!</definedName>
    <definedName name="_vena_MultiSiteS1_MultiSiteB4_C_FV_56493ffece784c5db4cd0fd3b40a250d_38" localSheetId="8">'[1]FY26 MYP-Multisite'!#REF!</definedName>
    <definedName name="_vena_MultiSiteS1_MultiSiteB4_C_FV_56493ffece784c5db4cd0fd3b40a250d_38" localSheetId="3">#REF!</definedName>
    <definedName name="_vena_MultiSiteS1_MultiSiteB4_C_FV_56493ffece784c5db4cd0fd3b40a250d_38">#REF!</definedName>
    <definedName name="_vena_MultiSiteS1_MultiSiteB4_C_FV_56493ffece784c5db4cd0fd3b40a250d_39" localSheetId="4">#REF!</definedName>
    <definedName name="_vena_MultiSiteS1_MultiSiteB4_C_FV_56493ffece784c5db4cd0fd3b40a250d_39" localSheetId="5">#REF!</definedName>
    <definedName name="_vena_MultiSiteS1_MultiSiteB4_C_FV_56493ffece784c5db4cd0fd3b40a250d_39" localSheetId="8">'[1]FY26 MYP-Multisite'!#REF!</definedName>
    <definedName name="_vena_MultiSiteS1_MultiSiteB4_C_FV_56493ffece784c5db4cd0fd3b40a250d_39" localSheetId="3">#REF!</definedName>
    <definedName name="_vena_MultiSiteS1_MultiSiteB4_C_FV_56493ffece784c5db4cd0fd3b40a250d_39">#REF!</definedName>
    <definedName name="_vena_MultiSiteS1_MultiSiteB4_C_FV_56493ffece784c5db4cd0fd3b40a250d_4" localSheetId="4">#REF!</definedName>
    <definedName name="_vena_MultiSiteS1_MultiSiteB4_C_FV_56493ffece784c5db4cd0fd3b40a250d_4" localSheetId="5">#REF!</definedName>
    <definedName name="_vena_MultiSiteS1_MultiSiteB4_C_FV_56493ffece784c5db4cd0fd3b40a250d_4" localSheetId="8">'[1]FY26 MYP-Multisite'!#REF!</definedName>
    <definedName name="_vena_MultiSiteS1_MultiSiteB4_C_FV_56493ffece784c5db4cd0fd3b40a250d_4" localSheetId="3">#REF!</definedName>
    <definedName name="_vena_MultiSiteS1_MultiSiteB4_C_FV_56493ffece784c5db4cd0fd3b40a250d_4">#REF!</definedName>
    <definedName name="_vena_MultiSiteS1_MultiSiteB4_C_FV_56493ffece784c5db4cd0fd3b40a250d_40" localSheetId="4">#REF!</definedName>
    <definedName name="_vena_MultiSiteS1_MultiSiteB4_C_FV_56493ffece784c5db4cd0fd3b40a250d_40" localSheetId="5">#REF!</definedName>
    <definedName name="_vena_MultiSiteS1_MultiSiteB4_C_FV_56493ffece784c5db4cd0fd3b40a250d_40" localSheetId="8">'[1]FY26 MYP-Multisite'!#REF!</definedName>
    <definedName name="_vena_MultiSiteS1_MultiSiteB4_C_FV_56493ffece784c5db4cd0fd3b40a250d_40" localSheetId="3">#REF!</definedName>
    <definedName name="_vena_MultiSiteS1_MultiSiteB4_C_FV_56493ffece784c5db4cd0fd3b40a250d_40">#REF!</definedName>
    <definedName name="_vena_MultiSiteS1_MultiSiteB4_C_FV_56493ffece784c5db4cd0fd3b40a250d_41" localSheetId="4">#REF!</definedName>
    <definedName name="_vena_MultiSiteS1_MultiSiteB4_C_FV_56493ffece784c5db4cd0fd3b40a250d_41" localSheetId="5">#REF!</definedName>
    <definedName name="_vena_MultiSiteS1_MultiSiteB4_C_FV_56493ffece784c5db4cd0fd3b40a250d_41" localSheetId="8">'[1]FY26 MYP-Multisite'!#REF!</definedName>
    <definedName name="_vena_MultiSiteS1_MultiSiteB4_C_FV_56493ffece784c5db4cd0fd3b40a250d_41" localSheetId="3">#REF!</definedName>
    <definedName name="_vena_MultiSiteS1_MultiSiteB4_C_FV_56493ffece784c5db4cd0fd3b40a250d_41">#REF!</definedName>
    <definedName name="_vena_MultiSiteS1_MultiSiteB4_C_FV_56493ffece784c5db4cd0fd3b40a250d_42" localSheetId="4">#REF!</definedName>
    <definedName name="_vena_MultiSiteS1_MultiSiteB4_C_FV_56493ffece784c5db4cd0fd3b40a250d_42" localSheetId="5">#REF!</definedName>
    <definedName name="_vena_MultiSiteS1_MultiSiteB4_C_FV_56493ffece784c5db4cd0fd3b40a250d_42" localSheetId="8">'[1]FY26 MYP-Multisite'!#REF!</definedName>
    <definedName name="_vena_MultiSiteS1_MultiSiteB4_C_FV_56493ffece784c5db4cd0fd3b40a250d_42" localSheetId="3">#REF!</definedName>
    <definedName name="_vena_MultiSiteS1_MultiSiteB4_C_FV_56493ffece784c5db4cd0fd3b40a250d_42">#REF!</definedName>
    <definedName name="_vena_MultiSiteS1_MultiSiteB4_C_FV_56493ffece784c5db4cd0fd3b40a250d_43" localSheetId="4">#REF!</definedName>
    <definedName name="_vena_MultiSiteS1_MultiSiteB4_C_FV_56493ffece784c5db4cd0fd3b40a250d_43" localSheetId="5">#REF!</definedName>
    <definedName name="_vena_MultiSiteS1_MultiSiteB4_C_FV_56493ffece784c5db4cd0fd3b40a250d_43" localSheetId="8">'[1]FY26 MYP-Multisite'!#REF!</definedName>
    <definedName name="_vena_MultiSiteS1_MultiSiteB4_C_FV_56493ffece784c5db4cd0fd3b40a250d_43" localSheetId="3">#REF!</definedName>
    <definedName name="_vena_MultiSiteS1_MultiSiteB4_C_FV_56493ffece784c5db4cd0fd3b40a250d_43">#REF!</definedName>
    <definedName name="_vena_MultiSiteS1_MultiSiteB4_C_FV_56493ffece784c5db4cd0fd3b40a250d_6" localSheetId="4">#REF!</definedName>
    <definedName name="_vena_MultiSiteS1_MultiSiteB4_C_FV_56493ffece784c5db4cd0fd3b40a250d_6" localSheetId="5">#REF!</definedName>
    <definedName name="_vena_MultiSiteS1_MultiSiteB4_C_FV_56493ffece784c5db4cd0fd3b40a250d_6" localSheetId="8">'[1]FY26 MYP-Multisite'!#REF!</definedName>
    <definedName name="_vena_MultiSiteS1_MultiSiteB4_C_FV_56493ffece784c5db4cd0fd3b40a250d_6" localSheetId="3">#REF!</definedName>
    <definedName name="_vena_MultiSiteS1_MultiSiteB4_C_FV_56493ffece784c5db4cd0fd3b40a250d_6">#REF!</definedName>
    <definedName name="_vena_MultiSiteS1_MultiSiteB4_C_FV_56493ffece784c5db4cd0fd3b40a250d_8" localSheetId="4">#REF!</definedName>
    <definedName name="_vena_MultiSiteS1_MultiSiteB4_C_FV_56493ffece784c5db4cd0fd3b40a250d_8" localSheetId="5">#REF!</definedName>
    <definedName name="_vena_MultiSiteS1_MultiSiteB4_C_FV_56493ffece784c5db4cd0fd3b40a250d_8" localSheetId="8">'[1]FY26 MYP-Multisite'!#REF!</definedName>
    <definedName name="_vena_MultiSiteS1_MultiSiteB4_C_FV_56493ffece784c5db4cd0fd3b40a250d_8" localSheetId="3">#REF!</definedName>
    <definedName name="_vena_MultiSiteS1_MultiSiteB4_C_FV_56493ffece784c5db4cd0fd3b40a250d_8">#REF!</definedName>
    <definedName name="_vena_MultiSiteS1_MultiSiteB4_C_FV_56493ffece784c5db4cd0fd3b40a250d_9" localSheetId="4">#REF!</definedName>
    <definedName name="_vena_MultiSiteS1_MultiSiteB4_C_FV_56493ffece784c5db4cd0fd3b40a250d_9" localSheetId="5">#REF!</definedName>
    <definedName name="_vena_MultiSiteS1_MultiSiteB4_C_FV_56493ffece784c5db4cd0fd3b40a250d_9" localSheetId="8">'[1]FY26 MYP-Multisite'!#REF!</definedName>
    <definedName name="_vena_MultiSiteS1_MultiSiteB4_C_FV_56493ffece784c5db4cd0fd3b40a250d_9" localSheetId="3">#REF!</definedName>
    <definedName name="_vena_MultiSiteS1_MultiSiteB4_C_FV_56493ffece784c5db4cd0fd3b40a250d_9">#REF!</definedName>
    <definedName name="_vena_MultiSiteS1_MultiSiteB4_C_FV_e1c3a244dc3d4f149ecdf7d748811086_10" localSheetId="4">#REF!</definedName>
    <definedName name="_vena_MultiSiteS1_MultiSiteB4_C_FV_e1c3a244dc3d4f149ecdf7d748811086_10" localSheetId="5">#REF!</definedName>
    <definedName name="_vena_MultiSiteS1_MultiSiteB4_C_FV_e1c3a244dc3d4f149ecdf7d748811086_10" localSheetId="8">'[1]FY26 MYP-Multisite'!#REF!</definedName>
    <definedName name="_vena_MultiSiteS1_MultiSiteB4_C_FV_e1c3a244dc3d4f149ecdf7d748811086_10" localSheetId="3">#REF!</definedName>
    <definedName name="_vena_MultiSiteS1_MultiSiteB4_C_FV_e1c3a244dc3d4f149ecdf7d748811086_10">#REF!</definedName>
    <definedName name="_vena_MultiSiteS1_MultiSiteB4_C_FV_e1c3a244dc3d4f149ecdf7d748811086_12" localSheetId="4">#REF!</definedName>
    <definedName name="_vena_MultiSiteS1_MultiSiteB4_C_FV_e1c3a244dc3d4f149ecdf7d748811086_12" localSheetId="5">#REF!</definedName>
    <definedName name="_vena_MultiSiteS1_MultiSiteB4_C_FV_e1c3a244dc3d4f149ecdf7d748811086_12" localSheetId="8">'[1]FY26 MYP-Multisite'!#REF!</definedName>
    <definedName name="_vena_MultiSiteS1_MultiSiteB4_C_FV_e1c3a244dc3d4f149ecdf7d748811086_12" localSheetId="3">#REF!</definedName>
    <definedName name="_vena_MultiSiteS1_MultiSiteB4_C_FV_e1c3a244dc3d4f149ecdf7d748811086_12">#REF!</definedName>
    <definedName name="_vena_MultiSiteS1_MultiSiteB4_C_FV_e1c3a244dc3d4f149ecdf7d748811086_14" localSheetId="4">#REF!</definedName>
    <definedName name="_vena_MultiSiteS1_MultiSiteB4_C_FV_e1c3a244dc3d4f149ecdf7d748811086_14" localSheetId="5">#REF!</definedName>
    <definedName name="_vena_MultiSiteS1_MultiSiteB4_C_FV_e1c3a244dc3d4f149ecdf7d748811086_14" localSheetId="8">'[1]FY26 MYP-Multisite'!#REF!</definedName>
    <definedName name="_vena_MultiSiteS1_MultiSiteB4_C_FV_e1c3a244dc3d4f149ecdf7d748811086_14" localSheetId="3">#REF!</definedName>
    <definedName name="_vena_MultiSiteS1_MultiSiteB4_C_FV_e1c3a244dc3d4f149ecdf7d748811086_14">#REF!</definedName>
    <definedName name="_vena_MultiSiteS1_MultiSiteB4_C_FV_e1c3a244dc3d4f149ecdf7d748811086_16" localSheetId="4">#REF!</definedName>
    <definedName name="_vena_MultiSiteS1_MultiSiteB4_C_FV_e1c3a244dc3d4f149ecdf7d748811086_16" localSheetId="5">#REF!</definedName>
    <definedName name="_vena_MultiSiteS1_MultiSiteB4_C_FV_e1c3a244dc3d4f149ecdf7d748811086_16" localSheetId="8">'[1]FY26 MYP-Multisite'!#REF!</definedName>
    <definedName name="_vena_MultiSiteS1_MultiSiteB4_C_FV_e1c3a244dc3d4f149ecdf7d748811086_16" localSheetId="3">#REF!</definedName>
    <definedName name="_vena_MultiSiteS1_MultiSiteB4_C_FV_e1c3a244dc3d4f149ecdf7d748811086_16">#REF!</definedName>
    <definedName name="_vena_MultiSiteS1_MultiSiteB4_C_FV_e1c3a244dc3d4f149ecdf7d748811086_17" localSheetId="4">#REF!</definedName>
    <definedName name="_vena_MultiSiteS1_MultiSiteB4_C_FV_e1c3a244dc3d4f149ecdf7d748811086_17" localSheetId="5">#REF!</definedName>
    <definedName name="_vena_MultiSiteS1_MultiSiteB4_C_FV_e1c3a244dc3d4f149ecdf7d748811086_17" localSheetId="8">'[1]FY26 MYP-Multisite'!#REF!</definedName>
    <definedName name="_vena_MultiSiteS1_MultiSiteB4_C_FV_e1c3a244dc3d4f149ecdf7d748811086_17" localSheetId="3">#REF!</definedName>
    <definedName name="_vena_MultiSiteS1_MultiSiteB4_C_FV_e1c3a244dc3d4f149ecdf7d748811086_17">#REF!</definedName>
    <definedName name="_vena_MultiSiteS1_MultiSiteB4_C_FV_e1c3a244dc3d4f149ecdf7d748811086_18" localSheetId="4">#REF!</definedName>
    <definedName name="_vena_MultiSiteS1_MultiSiteB4_C_FV_e1c3a244dc3d4f149ecdf7d748811086_18" localSheetId="5">#REF!</definedName>
    <definedName name="_vena_MultiSiteS1_MultiSiteB4_C_FV_e1c3a244dc3d4f149ecdf7d748811086_18" localSheetId="8">'[1]FY26 MYP-Multisite'!#REF!</definedName>
    <definedName name="_vena_MultiSiteS1_MultiSiteB4_C_FV_e1c3a244dc3d4f149ecdf7d748811086_18" localSheetId="3">#REF!</definedName>
    <definedName name="_vena_MultiSiteS1_MultiSiteB4_C_FV_e1c3a244dc3d4f149ecdf7d748811086_18">#REF!</definedName>
    <definedName name="_vena_MultiSiteS1_MultiSiteB4_C_FV_e1c3a244dc3d4f149ecdf7d748811086_19" localSheetId="4">#REF!</definedName>
    <definedName name="_vena_MultiSiteS1_MultiSiteB4_C_FV_e1c3a244dc3d4f149ecdf7d748811086_19" localSheetId="5">#REF!</definedName>
    <definedName name="_vena_MultiSiteS1_MultiSiteB4_C_FV_e1c3a244dc3d4f149ecdf7d748811086_19" localSheetId="8">'[1]FY26 MYP-Multisite'!#REF!</definedName>
    <definedName name="_vena_MultiSiteS1_MultiSiteB4_C_FV_e1c3a244dc3d4f149ecdf7d748811086_19" localSheetId="3">#REF!</definedName>
    <definedName name="_vena_MultiSiteS1_MultiSiteB4_C_FV_e1c3a244dc3d4f149ecdf7d748811086_19">#REF!</definedName>
    <definedName name="_vena_MultiSiteS1_MultiSiteB4_C_FV_e1c3a244dc3d4f149ecdf7d748811086_20" localSheetId="4">#REF!</definedName>
    <definedName name="_vena_MultiSiteS1_MultiSiteB4_C_FV_e1c3a244dc3d4f149ecdf7d748811086_20" localSheetId="5">#REF!</definedName>
    <definedName name="_vena_MultiSiteS1_MultiSiteB4_C_FV_e1c3a244dc3d4f149ecdf7d748811086_20" localSheetId="8">'[1]FY26 MYP-Multisite'!#REF!</definedName>
    <definedName name="_vena_MultiSiteS1_MultiSiteB4_C_FV_e1c3a244dc3d4f149ecdf7d748811086_20" localSheetId="3">#REF!</definedName>
    <definedName name="_vena_MultiSiteS1_MultiSiteB4_C_FV_e1c3a244dc3d4f149ecdf7d748811086_20">#REF!</definedName>
    <definedName name="_vena_MultiSiteS1_MultiSiteB4_C_FV_e1c3a244dc3d4f149ecdf7d748811086_21" localSheetId="4">#REF!</definedName>
    <definedName name="_vena_MultiSiteS1_MultiSiteB4_C_FV_e1c3a244dc3d4f149ecdf7d748811086_21" localSheetId="5">#REF!</definedName>
    <definedName name="_vena_MultiSiteS1_MultiSiteB4_C_FV_e1c3a244dc3d4f149ecdf7d748811086_21" localSheetId="8">'[1]FY26 MYP-Multisite'!#REF!</definedName>
    <definedName name="_vena_MultiSiteS1_MultiSiteB4_C_FV_e1c3a244dc3d4f149ecdf7d748811086_21" localSheetId="3">#REF!</definedName>
    <definedName name="_vena_MultiSiteS1_MultiSiteB4_C_FV_e1c3a244dc3d4f149ecdf7d748811086_21">#REF!</definedName>
    <definedName name="_vena_MultiSiteS1_MultiSiteB4_C_FV_e1c3a244dc3d4f149ecdf7d748811086_22" localSheetId="4">#REF!</definedName>
    <definedName name="_vena_MultiSiteS1_MultiSiteB4_C_FV_e1c3a244dc3d4f149ecdf7d748811086_22" localSheetId="5">#REF!</definedName>
    <definedName name="_vena_MultiSiteS1_MultiSiteB4_C_FV_e1c3a244dc3d4f149ecdf7d748811086_22" localSheetId="8">'[1]FY26 MYP-Multisite'!#REF!</definedName>
    <definedName name="_vena_MultiSiteS1_MultiSiteB4_C_FV_e1c3a244dc3d4f149ecdf7d748811086_22" localSheetId="3">#REF!</definedName>
    <definedName name="_vena_MultiSiteS1_MultiSiteB4_C_FV_e1c3a244dc3d4f149ecdf7d748811086_22">#REF!</definedName>
    <definedName name="_vena_MultiSiteS1_MultiSiteB4_C_FV_e1c3a244dc3d4f149ecdf7d748811086_23" localSheetId="4">#REF!</definedName>
    <definedName name="_vena_MultiSiteS1_MultiSiteB4_C_FV_e1c3a244dc3d4f149ecdf7d748811086_23" localSheetId="5">#REF!</definedName>
    <definedName name="_vena_MultiSiteS1_MultiSiteB4_C_FV_e1c3a244dc3d4f149ecdf7d748811086_23" localSheetId="8">'[1]FY26 MYP-Multisite'!#REF!</definedName>
    <definedName name="_vena_MultiSiteS1_MultiSiteB4_C_FV_e1c3a244dc3d4f149ecdf7d748811086_23" localSheetId="3">#REF!</definedName>
    <definedName name="_vena_MultiSiteS1_MultiSiteB4_C_FV_e1c3a244dc3d4f149ecdf7d748811086_23">#REF!</definedName>
    <definedName name="_vena_MultiSiteS1_MultiSiteB4_C_FV_e1c3a244dc3d4f149ecdf7d748811086_24" localSheetId="4">#REF!</definedName>
    <definedName name="_vena_MultiSiteS1_MultiSiteB4_C_FV_e1c3a244dc3d4f149ecdf7d748811086_24" localSheetId="5">#REF!</definedName>
    <definedName name="_vena_MultiSiteS1_MultiSiteB4_C_FV_e1c3a244dc3d4f149ecdf7d748811086_24" localSheetId="8">'[1]FY26 MYP-Multisite'!#REF!</definedName>
    <definedName name="_vena_MultiSiteS1_MultiSiteB4_C_FV_e1c3a244dc3d4f149ecdf7d748811086_24" localSheetId="3">#REF!</definedName>
    <definedName name="_vena_MultiSiteS1_MultiSiteB4_C_FV_e1c3a244dc3d4f149ecdf7d748811086_24">#REF!</definedName>
    <definedName name="_vena_MultiSiteS1_MultiSiteB4_C_FV_e1c3a244dc3d4f149ecdf7d748811086_25" localSheetId="4">#REF!</definedName>
    <definedName name="_vena_MultiSiteS1_MultiSiteB4_C_FV_e1c3a244dc3d4f149ecdf7d748811086_25" localSheetId="5">#REF!</definedName>
    <definedName name="_vena_MultiSiteS1_MultiSiteB4_C_FV_e1c3a244dc3d4f149ecdf7d748811086_25" localSheetId="8">'[1]FY26 MYP-Multisite'!#REF!</definedName>
    <definedName name="_vena_MultiSiteS1_MultiSiteB4_C_FV_e1c3a244dc3d4f149ecdf7d748811086_25" localSheetId="3">#REF!</definedName>
    <definedName name="_vena_MultiSiteS1_MultiSiteB4_C_FV_e1c3a244dc3d4f149ecdf7d748811086_25">#REF!</definedName>
    <definedName name="_vena_MultiSiteS1_MultiSiteB4_C_FV_e1c3a244dc3d4f149ecdf7d748811086_26" localSheetId="4">#REF!</definedName>
    <definedName name="_vena_MultiSiteS1_MultiSiteB4_C_FV_e1c3a244dc3d4f149ecdf7d748811086_26" localSheetId="5">#REF!</definedName>
    <definedName name="_vena_MultiSiteS1_MultiSiteB4_C_FV_e1c3a244dc3d4f149ecdf7d748811086_26" localSheetId="8">'[1]FY26 MYP-Multisite'!#REF!</definedName>
    <definedName name="_vena_MultiSiteS1_MultiSiteB4_C_FV_e1c3a244dc3d4f149ecdf7d748811086_26" localSheetId="3">#REF!</definedName>
    <definedName name="_vena_MultiSiteS1_MultiSiteB4_C_FV_e1c3a244dc3d4f149ecdf7d748811086_26">#REF!</definedName>
    <definedName name="_vena_MultiSiteS1_MultiSiteB4_C_FV_e1c3a244dc3d4f149ecdf7d748811086_27" localSheetId="4">#REF!</definedName>
    <definedName name="_vena_MultiSiteS1_MultiSiteB4_C_FV_e1c3a244dc3d4f149ecdf7d748811086_27" localSheetId="5">#REF!</definedName>
    <definedName name="_vena_MultiSiteS1_MultiSiteB4_C_FV_e1c3a244dc3d4f149ecdf7d748811086_27" localSheetId="8">'[1]FY26 MYP-Multisite'!#REF!</definedName>
    <definedName name="_vena_MultiSiteS1_MultiSiteB4_C_FV_e1c3a244dc3d4f149ecdf7d748811086_27" localSheetId="3">#REF!</definedName>
    <definedName name="_vena_MultiSiteS1_MultiSiteB4_C_FV_e1c3a244dc3d4f149ecdf7d748811086_27">#REF!</definedName>
    <definedName name="_vena_MultiSiteS1_MultiSiteB4_C_FV_e1c3a244dc3d4f149ecdf7d748811086_28" localSheetId="4">#REF!</definedName>
    <definedName name="_vena_MultiSiteS1_MultiSiteB4_C_FV_e1c3a244dc3d4f149ecdf7d748811086_28" localSheetId="5">#REF!</definedName>
    <definedName name="_vena_MultiSiteS1_MultiSiteB4_C_FV_e1c3a244dc3d4f149ecdf7d748811086_28" localSheetId="8">'[1]FY26 MYP-Multisite'!#REF!</definedName>
    <definedName name="_vena_MultiSiteS1_MultiSiteB4_C_FV_e1c3a244dc3d4f149ecdf7d748811086_28" localSheetId="3">#REF!</definedName>
    <definedName name="_vena_MultiSiteS1_MultiSiteB4_C_FV_e1c3a244dc3d4f149ecdf7d748811086_28">#REF!</definedName>
    <definedName name="_vena_MultiSiteS1_MultiSiteB4_C_FV_e1c3a244dc3d4f149ecdf7d748811086_29" localSheetId="4">#REF!</definedName>
    <definedName name="_vena_MultiSiteS1_MultiSiteB4_C_FV_e1c3a244dc3d4f149ecdf7d748811086_29" localSheetId="5">#REF!</definedName>
    <definedName name="_vena_MultiSiteS1_MultiSiteB4_C_FV_e1c3a244dc3d4f149ecdf7d748811086_29" localSheetId="8">'[1]FY26 MYP-Multisite'!#REF!</definedName>
    <definedName name="_vena_MultiSiteS1_MultiSiteB4_C_FV_e1c3a244dc3d4f149ecdf7d748811086_29" localSheetId="3">#REF!</definedName>
    <definedName name="_vena_MultiSiteS1_MultiSiteB4_C_FV_e1c3a244dc3d4f149ecdf7d748811086_29">#REF!</definedName>
    <definedName name="_vena_MultiSiteS1_MultiSiteB4_C_FV_e1c3a244dc3d4f149ecdf7d748811086_30" localSheetId="4">#REF!</definedName>
    <definedName name="_vena_MultiSiteS1_MultiSiteB4_C_FV_e1c3a244dc3d4f149ecdf7d748811086_30" localSheetId="5">#REF!</definedName>
    <definedName name="_vena_MultiSiteS1_MultiSiteB4_C_FV_e1c3a244dc3d4f149ecdf7d748811086_30" localSheetId="8">'[1]FY26 MYP-Multisite'!#REF!</definedName>
    <definedName name="_vena_MultiSiteS1_MultiSiteB4_C_FV_e1c3a244dc3d4f149ecdf7d748811086_30" localSheetId="3">#REF!</definedName>
    <definedName name="_vena_MultiSiteS1_MultiSiteB4_C_FV_e1c3a244dc3d4f149ecdf7d748811086_30">#REF!</definedName>
    <definedName name="_vena_MultiSiteS1_MultiSiteB4_C_FV_e1c3a244dc3d4f149ecdf7d748811086_31" localSheetId="4">#REF!</definedName>
    <definedName name="_vena_MultiSiteS1_MultiSiteB4_C_FV_e1c3a244dc3d4f149ecdf7d748811086_31" localSheetId="5">#REF!</definedName>
    <definedName name="_vena_MultiSiteS1_MultiSiteB4_C_FV_e1c3a244dc3d4f149ecdf7d748811086_31" localSheetId="8">'[1]FY26 MYP-Multisite'!#REF!</definedName>
    <definedName name="_vena_MultiSiteS1_MultiSiteB4_C_FV_e1c3a244dc3d4f149ecdf7d748811086_31" localSheetId="3">#REF!</definedName>
    <definedName name="_vena_MultiSiteS1_MultiSiteB4_C_FV_e1c3a244dc3d4f149ecdf7d748811086_31">#REF!</definedName>
    <definedName name="_vena_MultiSiteS1_MultiSiteB4_C_FV_e1c3a244dc3d4f149ecdf7d748811086_32" localSheetId="4">#REF!</definedName>
    <definedName name="_vena_MultiSiteS1_MultiSiteB4_C_FV_e1c3a244dc3d4f149ecdf7d748811086_32" localSheetId="5">#REF!</definedName>
    <definedName name="_vena_MultiSiteS1_MultiSiteB4_C_FV_e1c3a244dc3d4f149ecdf7d748811086_32" localSheetId="8">'[1]FY26 MYP-Multisite'!#REF!</definedName>
    <definedName name="_vena_MultiSiteS1_MultiSiteB4_C_FV_e1c3a244dc3d4f149ecdf7d748811086_32" localSheetId="3">#REF!</definedName>
    <definedName name="_vena_MultiSiteS1_MultiSiteB4_C_FV_e1c3a244dc3d4f149ecdf7d748811086_32">#REF!</definedName>
    <definedName name="_vena_MultiSiteS1_MultiSiteB4_C_FV_e1c3a244dc3d4f149ecdf7d748811086_33" localSheetId="4">#REF!</definedName>
    <definedName name="_vena_MultiSiteS1_MultiSiteB4_C_FV_e1c3a244dc3d4f149ecdf7d748811086_33" localSheetId="5">#REF!</definedName>
    <definedName name="_vena_MultiSiteS1_MultiSiteB4_C_FV_e1c3a244dc3d4f149ecdf7d748811086_33" localSheetId="8">'[1]FY26 MYP-Multisite'!#REF!</definedName>
    <definedName name="_vena_MultiSiteS1_MultiSiteB4_C_FV_e1c3a244dc3d4f149ecdf7d748811086_33" localSheetId="3">#REF!</definedName>
    <definedName name="_vena_MultiSiteS1_MultiSiteB4_C_FV_e1c3a244dc3d4f149ecdf7d748811086_33">#REF!</definedName>
    <definedName name="_vena_MultiSiteS1_MultiSiteB4_C_FV_e1c3a244dc3d4f149ecdf7d748811086_34" localSheetId="4">#REF!</definedName>
    <definedName name="_vena_MultiSiteS1_MultiSiteB4_C_FV_e1c3a244dc3d4f149ecdf7d748811086_34" localSheetId="5">#REF!</definedName>
    <definedName name="_vena_MultiSiteS1_MultiSiteB4_C_FV_e1c3a244dc3d4f149ecdf7d748811086_34" localSheetId="8">'[1]FY26 MYP-Multisite'!#REF!</definedName>
    <definedName name="_vena_MultiSiteS1_MultiSiteB4_C_FV_e1c3a244dc3d4f149ecdf7d748811086_34" localSheetId="3">#REF!</definedName>
    <definedName name="_vena_MultiSiteS1_MultiSiteB4_C_FV_e1c3a244dc3d4f149ecdf7d748811086_34">#REF!</definedName>
    <definedName name="_vena_MultiSiteS1_MultiSiteB4_C_FV_e1c3a244dc3d4f149ecdf7d748811086_35" localSheetId="4">#REF!</definedName>
    <definedName name="_vena_MultiSiteS1_MultiSiteB4_C_FV_e1c3a244dc3d4f149ecdf7d748811086_35" localSheetId="5">#REF!</definedName>
    <definedName name="_vena_MultiSiteS1_MultiSiteB4_C_FV_e1c3a244dc3d4f149ecdf7d748811086_35" localSheetId="8">'[1]FY26 MYP-Multisite'!#REF!</definedName>
    <definedName name="_vena_MultiSiteS1_MultiSiteB4_C_FV_e1c3a244dc3d4f149ecdf7d748811086_35" localSheetId="3">#REF!</definedName>
    <definedName name="_vena_MultiSiteS1_MultiSiteB4_C_FV_e1c3a244dc3d4f149ecdf7d748811086_35">#REF!</definedName>
    <definedName name="_vena_MultiSiteS1_MultiSiteB4_C_FV_e1c3a244dc3d4f149ecdf7d748811086_36" localSheetId="4">#REF!</definedName>
    <definedName name="_vena_MultiSiteS1_MultiSiteB4_C_FV_e1c3a244dc3d4f149ecdf7d748811086_36" localSheetId="5">#REF!</definedName>
    <definedName name="_vena_MultiSiteS1_MultiSiteB4_C_FV_e1c3a244dc3d4f149ecdf7d748811086_36" localSheetId="8">'[1]FY26 MYP-Multisite'!#REF!</definedName>
    <definedName name="_vena_MultiSiteS1_MultiSiteB4_C_FV_e1c3a244dc3d4f149ecdf7d748811086_36" localSheetId="3">#REF!</definedName>
    <definedName name="_vena_MultiSiteS1_MultiSiteB4_C_FV_e1c3a244dc3d4f149ecdf7d748811086_36">#REF!</definedName>
    <definedName name="_vena_MultiSiteS1_MultiSiteB4_C_FV_e1c3a244dc3d4f149ecdf7d748811086_37" localSheetId="4">#REF!</definedName>
    <definedName name="_vena_MultiSiteS1_MultiSiteB4_C_FV_e1c3a244dc3d4f149ecdf7d748811086_37" localSheetId="5">#REF!</definedName>
    <definedName name="_vena_MultiSiteS1_MultiSiteB4_C_FV_e1c3a244dc3d4f149ecdf7d748811086_37" localSheetId="8">'[1]FY26 MYP-Multisite'!#REF!</definedName>
    <definedName name="_vena_MultiSiteS1_MultiSiteB4_C_FV_e1c3a244dc3d4f149ecdf7d748811086_37" localSheetId="3">#REF!</definedName>
    <definedName name="_vena_MultiSiteS1_MultiSiteB4_C_FV_e1c3a244dc3d4f149ecdf7d748811086_37">#REF!</definedName>
    <definedName name="_vena_MultiSiteS1_MultiSiteB4_C_FV_e1c3a244dc3d4f149ecdf7d748811086_38" localSheetId="4">#REF!</definedName>
    <definedName name="_vena_MultiSiteS1_MultiSiteB4_C_FV_e1c3a244dc3d4f149ecdf7d748811086_38" localSheetId="5">#REF!</definedName>
    <definedName name="_vena_MultiSiteS1_MultiSiteB4_C_FV_e1c3a244dc3d4f149ecdf7d748811086_38" localSheetId="8">'[1]FY26 MYP-Multisite'!#REF!</definedName>
    <definedName name="_vena_MultiSiteS1_MultiSiteB4_C_FV_e1c3a244dc3d4f149ecdf7d748811086_38" localSheetId="3">#REF!</definedName>
    <definedName name="_vena_MultiSiteS1_MultiSiteB4_C_FV_e1c3a244dc3d4f149ecdf7d748811086_38">#REF!</definedName>
    <definedName name="_vena_MultiSiteS1_MultiSiteB4_C_FV_e1c3a244dc3d4f149ecdf7d748811086_39" localSheetId="4">#REF!</definedName>
    <definedName name="_vena_MultiSiteS1_MultiSiteB4_C_FV_e1c3a244dc3d4f149ecdf7d748811086_39" localSheetId="5">#REF!</definedName>
    <definedName name="_vena_MultiSiteS1_MultiSiteB4_C_FV_e1c3a244dc3d4f149ecdf7d748811086_39" localSheetId="8">'[1]FY26 MYP-Multisite'!#REF!</definedName>
    <definedName name="_vena_MultiSiteS1_MultiSiteB4_C_FV_e1c3a244dc3d4f149ecdf7d748811086_39" localSheetId="3">#REF!</definedName>
    <definedName name="_vena_MultiSiteS1_MultiSiteB4_C_FV_e1c3a244dc3d4f149ecdf7d748811086_39">#REF!</definedName>
    <definedName name="_vena_MultiSiteS1_MultiSiteB4_C_FV_e1c3a244dc3d4f149ecdf7d748811086_40" localSheetId="4">#REF!</definedName>
    <definedName name="_vena_MultiSiteS1_MultiSiteB4_C_FV_e1c3a244dc3d4f149ecdf7d748811086_40" localSheetId="5">#REF!</definedName>
    <definedName name="_vena_MultiSiteS1_MultiSiteB4_C_FV_e1c3a244dc3d4f149ecdf7d748811086_40" localSheetId="8">'[1]FY26 MYP-Multisite'!#REF!</definedName>
    <definedName name="_vena_MultiSiteS1_MultiSiteB4_C_FV_e1c3a244dc3d4f149ecdf7d748811086_40" localSheetId="3">#REF!</definedName>
    <definedName name="_vena_MultiSiteS1_MultiSiteB4_C_FV_e1c3a244dc3d4f149ecdf7d748811086_40">#REF!</definedName>
    <definedName name="_vena_MultiSiteS1_MultiSiteB4_C_FV_e1c3a244dc3d4f149ecdf7d748811086_41" localSheetId="4">#REF!</definedName>
    <definedName name="_vena_MultiSiteS1_MultiSiteB4_C_FV_e1c3a244dc3d4f149ecdf7d748811086_41" localSheetId="5">#REF!</definedName>
    <definedName name="_vena_MultiSiteS1_MultiSiteB4_C_FV_e1c3a244dc3d4f149ecdf7d748811086_41" localSheetId="8">'[1]FY26 MYP-Multisite'!#REF!</definedName>
    <definedName name="_vena_MultiSiteS1_MultiSiteB4_C_FV_e1c3a244dc3d4f149ecdf7d748811086_41" localSheetId="3">#REF!</definedName>
    <definedName name="_vena_MultiSiteS1_MultiSiteB4_C_FV_e1c3a244dc3d4f149ecdf7d748811086_41">#REF!</definedName>
    <definedName name="_vena_MultiSiteS1_MultiSiteB4_C_FV_e1c3a244dc3d4f149ecdf7d748811086_42" localSheetId="4">#REF!</definedName>
    <definedName name="_vena_MultiSiteS1_MultiSiteB4_C_FV_e1c3a244dc3d4f149ecdf7d748811086_42" localSheetId="5">#REF!</definedName>
    <definedName name="_vena_MultiSiteS1_MultiSiteB4_C_FV_e1c3a244dc3d4f149ecdf7d748811086_42" localSheetId="8">'[1]FY26 MYP-Multisite'!#REF!</definedName>
    <definedName name="_vena_MultiSiteS1_MultiSiteB4_C_FV_e1c3a244dc3d4f149ecdf7d748811086_42" localSheetId="3">#REF!</definedName>
    <definedName name="_vena_MultiSiteS1_MultiSiteB4_C_FV_e1c3a244dc3d4f149ecdf7d748811086_42">#REF!</definedName>
    <definedName name="_vena_MultiSiteS1_MultiSiteB4_C_FV_e1c3a244dc3d4f149ecdf7d748811086_43" localSheetId="4">#REF!</definedName>
    <definedName name="_vena_MultiSiteS1_MultiSiteB4_C_FV_e1c3a244dc3d4f149ecdf7d748811086_43" localSheetId="5">#REF!</definedName>
    <definedName name="_vena_MultiSiteS1_MultiSiteB4_C_FV_e1c3a244dc3d4f149ecdf7d748811086_43" localSheetId="8">'[1]FY26 MYP-Multisite'!#REF!</definedName>
    <definedName name="_vena_MultiSiteS1_MultiSiteB4_C_FV_e1c3a244dc3d4f149ecdf7d748811086_43" localSheetId="3">#REF!</definedName>
    <definedName name="_vena_MultiSiteS1_MultiSiteB4_C_FV_e1c3a244dc3d4f149ecdf7d748811086_43">#REF!</definedName>
    <definedName name="_vena_MultiSiteS1_MultiSiteB4_C_FV_e1c3a244dc3d4f149ecdf7d748811086_44" localSheetId="4">#REF!</definedName>
    <definedName name="_vena_MultiSiteS1_MultiSiteB4_C_FV_e1c3a244dc3d4f149ecdf7d748811086_44" localSheetId="5">#REF!</definedName>
    <definedName name="_vena_MultiSiteS1_MultiSiteB4_C_FV_e1c3a244dc3d4f149ecdf7d748811086_44" localSheetId="8">'[1]FY26 MYP-Multisite'!#REF!</definedName>
    <definedName name="_vena_MultiSiteS1_MultiSiteB4_C_FV_e1c3a244dc3d4f149ecdf7d748811086_44" localSheetId="3">#REF!</definedName>
    <definedName name="_vena_MultiSiteS1_MultiSiteB4_C_FV_e1c3a244dc3d4f149ecdf7d748811086_44">#REF!</definedName>
    <definedName name="_vena_MultiSiteS1_MultiSiteB4_C_FV_e1c3a244dc3d4f149ecdf7d748811086_45" localSheetId="4">#REF!</definedName>
    <definedName name="_vena_MultiSiteS1_MultiSiteB4_C_FV_e1c3a244dc3d4f149ecdf7d748811086_45" localSheetId="5">#REF!</definedName>
    <definedName name="_vena_MultiSiteS1_MultiSiteB4_C_FV_e1c3a244dc3d4f149ecdf7d748811086_45" localSheetId="8">'[1]FY26 MYP-Multisite'!#REF!</definedName>
    <definedName name="_vena_MultiSiteS1_MultiSiteB4_C_FV_e1c3a244dc3d4f149ecdf7d748811086_45" localSheetId="3">#REF!</definedName>
    <definedName name="_vena_MultiSiteS1_MultiSiteB4_C_FV_e1c3a244dc3d4f149ecdf7d748811086_45">#REF!</definedName>
    <definedName name="_vena_MultiSiteS1_MultiSiteB4_C_FV_e1c3a244dc3d4f149ecdf7d748811086_46" localSheetId="4">#REF!</definedName>
    <definedName name="_vena_MultiSiteS1_MultiSiteB4_C_FV_e1c3a244dc3d4f149ecdf7d748811086_46" localSheetId="5">#REF!</definedName>
    <definedName name="_vena_MultiSiteS1_MultiSiteB4_C_FV_e1c3a244dc3d4f149ecdf7d748811086_46" localSheetId="8">'[1]FY26 MYP-Multisite'!#REF!</definedName>
    <definedName name="_vena_MultiSiteS1_MultiSiteB4_C_FV_e1c3a244dc3d4f149ecdf7d748811086_46" localSheetId="3">#REF!</definedName>
    <definedName name="_vena_MultiSiteS1_MultiSiteB4_C_FV_e1c3a244dc3d4f149ecdf7d748811086_46">#REF!</definedName>
    <definedName name="_vena_MultiSiteS1_MultiSiteB4_C_FV_e1c3a244dc3d4f149ecdf7d748811086_47" localSheetId="4">#REF!</definedName>
    <definedName name="_vena_MultiSiteS1_MultiSiteB4_C_FV_e1c3a244dc3d4f149ecdf7d748811086_47" localSheetId="5">#REF!</definedName>
    <definedName name="_vena_MultiSiteS1_MultiSiteB4_C_FV_e1c3a244dc3d4f149ecdf7d748811086_47" localSheetId="8">'[1]FY26 MYP-Multisite'!#REF!</definedName>
    <definedName name="_vena_MultiSiteS1_MultiSiteB4_C_FV_e1c3a244dc3d4f149ecdf7d748811086_47" localSheetId="3">#REF!</definedName>
    <definedName name="_vena_MultiSiteS1_MultiSiteB4_C_FV_e1c3a244dc3d4f149ecdf7d748811086_47">#REF!</definedName>
    <definedName name="_vena_MultiSiteS1_MultiSiteB4_C_FV_e1c3a244dc3d4f149ecdf7d748811086_48" localSheetId="4">#REF!</definedName>
    <definedName name="_vena_MultiSiteS1_MultiSiteB4_C_FV_e1c3a244dc3d4f149ecdf7d748811086_48" localSheetId="5">#REF!</definedName>
    <definedName name="_vena_MultiSiteS1_MultiSiteB4_C_FV_e1c3a244dc3d4f149ecdf7d748811086_48" localSheetId="8">'[1]FY26 MYP-Multisite'!#REF!</definedName>
    <definedName name="_vena_MultiSiteS1_MultiSiteB4_C_FV_e1c3a244dc3d4f149ecdf7d748811086_48" localSheetId="3">#REF!</definedName>
    <definedName name="_vena_MultiSiteS1_MultiSiteB4_C_FV_e1c3a244dc3d4f149ecdf7d748811086_48">#REF!</definedName>
    <definedName name="_vena_MultiSiteS1_MultiSiteB4_C_FV_e1c3a244dc3d4f149ecdf7d748811086_49" localSheetId="4">#REF!</definedName>
    <definedName name="_vena_MultiSiteS1_MultiSiteB4_C_FV_e1c3a244dc3d4f149ecdf7d748811086_49" localSheetId="5">#REF!</definedName>
    <definedName name="_vena_MultiSiteS1_MultiSiteB4_C_FV_e1c3a244dc3d4f149ecdf7d748811086_49" localSheetId="8">'[1]FY26 MYP-Multisite'!#REF!</definedName>
    <definedName name="_vena_MultiSiteS1_MultiSiteB4_C_FV_e1c3a244dc3d4f149ecdf7d748811086_49" localSheetId="3">#REF!</definedName>
    <definedName name="_vena_MultiSiteS1_MultiSiteB4_C_FV_e1c3a244dc3d4f149ecdf7d748811086_49">#REF!</definedName>
    <definedName name="_vena_MultiSiteS1_MultiSiteB4_C_FV_e1c3a244dc3d4f149ecdf7d748811086_50" localSheetId="4">#REF!</definedName>
    <definedName name="_vena_MultiSiteS1_MultiSiteB4_C_FV_e1c3a244dc3d4f149ecdf7d748811086_50" localSheetId="5">#REF!</definedName>
    <definedName name="_vena_MultiSiteS1_MultiSiteB4_C_FV_e1c3a244dc3d4f149ecdf7d748811086_50" localSheetId="8">'[1]FY26 MYP-Multisite'!#REF!</definedName>
    <definedName name="_vena_MultiSiteS1_MultiSiteB4_C_FV_e1c3a244dc3d4f149ecdf7d748811086_50" localSheetId="3">#REF!</definedName>
    <definedName name="_vena_MultiSiteS1_MultiSiteB4_C_FV_e1c3a244dc3d4f149ecdf7d748811086_50">#REF!</definedName>
    <definedName name="_vena_MultiSiteS1_MultiSiteB4_C_FV_e1c3a244dc3d4f149ecdf7d748811086_51" localSheetId="4">#REF!</definedName>
    <definedName name="_vena_MultiSiteS1_MultiSiteB4_C_FV_e1c3a244dc3d4f149ecdf7d748811086_51" localSheetId="5">#REF!</definedName>
    <definedName name="_vena_MultiSiteS1_MultiSiteB4_C_FV_e1c3a244dc3d4f149ecdf7d748811086_51" localSheetId="8">'[1]FY26 MYP-Multisite'!#REF!</definedName>
    <definedName name="_vena_MultiSiteS1_MultiSiteB4_C_FV_e1c3a244dc3d4f149ecdf7d748811086_51" localSheetId="3">#REF!</definedName>
    <definedName name="_vena_MultiSiteS1_MultiSiteB4_C_FV_e1c3a244dc3d4f149ecdf7d748811086_51">#REF!</definedName>
    <definedName name="_vena_MultiSiteS1_MultiSiteB4_C_FV_e1c3a244dc3d4f149ecdf7d748811086_8" localSheetId="4">#REF!</definedName>
    <definedName name="_vena_MultiSiteS1_MultiSiteB4_C_FV_e1c3a244dc3d4f149ecdf7d748811086_8" localSheetId="5">#REF!</definedName>
    <definedName name="_vena_MultiSiteS1_MultiSiteB4_C_FV_e1c3a244dc3d4f149ecdf7d748811086_8" localSheetId="8">'[1]FY26 MYP-Multisite'!#REF!</definedName>
    <definedName name="_vena_MultiSiteS1_MultiSiteB4_C_FV_e1c3a244dc3d4f149ecdf7d748811086_8" localSheetId="3">#REF!</definedName>
    <definedName name="_vena_MultiSiteS1_MultiSiteB4_C_FV_e1c3a244dc3d4f149ecdf7d748811086_8">#REF!</definedName>
    <definedName name="_vena_MultiSiteS1_MultiSiteB4_C_FV_e3545e3dcc52420a84dcdae3a23a4597" localSheetId="4">#REF!</definedName>
    <definedName name="_vena_MultiSiteS1_MultiSiteB4_C_FV_e3545e3dcc52420a84dcdae3a23a4597" localSheetId="5">#REF!</definedName>
    <definedName name="_vena_MultiSiteS1_MultiSiteB4_C_FV_e3545e3dcc52420a84dcdae3a23a4597" localSheetId="8">'[1]FY26 MYP-Multisite'!#REF!</definedName>
    <definedName name="_vena_MultiSiteS1_MultiSiteB4_C_FV_e3545e3dcc52420a84dcdae3a23a4597" localSheetId="3">#REF!</definedName>
    <definedName name="_vena_MultiSiteS1_MultiSiteB4_C_FV_e3545e3dcc52420a84dcdae3a23a4597">#REF!</definedName>
    <definedName name="_vena_MultiSiteS1_MultiSiteB4_C_FV_e3545e3dcc52420a84dcdae3a23a4597_10" localSheetId="4">#REF!</definedName>
    <definedName name="_vena_MultiSiteS1_MultiSiteB4_C_FV_e3545e3dcc52420a84dcdae3a23a4597_10" localSheetId="5">#REF!</definedName>
    <definedName name="_vena_MultiSiteS1_MultiSiteB4_C_FV_e3545e3dcc52420a84dcdae3a23a4597_10" localSheetId="8">'[1]FY26 MYP-Multisite'!#REF!</definedName>
    <definedName name="_vena_MultiSiteS1_MultiSiteB4_C_FV_e3545e3dcc52420a84dcdae3a23a4597_10" localSheetId="3">#REF!</definedName>
    <definedName name="_vena_MultiSiteS1_MultiSiteB4_C_FV_e3545e3dcc52420a84dcdae3a23a4597_10">#REF!</definedName>
    <definedName name="_vena_MultiSiteS1_MultiSiteB4_C_FV_e3545e3dcc52420a84dcdae3a23a4597_11" localSheetId="4">#REF!</definedName>
    <definedName name="_vena_MultiSiteS1_MultiSiteB4_C_FV_e3545e3dcc52420a84dcdae3a23a4597_11" localSheetId="5">#REF!</definedName>
    <definedName name="_vena_MultiSiteS1_MultiSiteB4_C_FV_e3545e3dcc52420a84dcdae3a23a4597_11" localSheetId="8">'[1]FY26 MYP-Multisite'!#REF!</definedName>
    <definedName name="_vena_MultiSiteS1_MultiSiteB4_C_FV_e3545e3dcc52420a84dcdae3a23a4597_11" localSheetId="3">#REF!</definedName>
    <definedName name="_vena_MultiSiteS1_MultiSiteB4_C_FV_e3545e3dcc52420a84dcdae3a23a4597_11">#REF!</definedName>
    <definedName name="_vena_MultiSiteS1_MultiSiteB4_C_FV_e3545e3dcc52420a84dcdae3a23a4597_12" localSheetId="4">#REF!</definedName>
    <definedName name="_vena_MultiSiteS1_MultiSiteB4_C_FV_e3545e3dcc52420a84dcdae3a23a4597_12" localSheetId="5">#REF!</definedName>
    <definedName name="_vena_MultiSiteS1_MultiSiteB4_C_FV_e3545e3dcc52420a84dcdae3a23a4597_12" localSheetId="8">'[1]FY26 MYP-Multisite'!#REF!</definedName>
    <definedName name="_vena_MultiSiteS1_MultiSiteB4_C_FV_e3545e3dcc52420a84dcdae3a23a4597_12" localSheetId="3">#REF!</definedName>
    <definedName name="_vena_MultiSiteS1_MultiSiteB4_C_FV_e3545e3dcc52420a84dcdae3a23a4597_12">#REF!</definedName>
    <definedName name="_vena_MultiSiteS1_MultiSiteB4_C_FV_e3545e3dcc52420a84dcdae3a23a4597_13" localSheetId="4">#REF!</definedName>
    <definedName name="_vena_MultiSiteS1_MultiSiteB4_C_FV_e3545e3dcc52420a84dcdae3a23a4597_13" localSheetId="5">#REF!</definedName>
    <definedName name="_vena_MultiSiteS1_MultiSiteB4_C_FV_e3545e3dcc52420a84dcdae3a23a4597_13" localSheetId="8">'[1]FY26 MYP-Multisite'!#REF!</definedName>
    <definedName name="_vena_MultiSiteS1_MultiSiteB4_C_FV_e3545e3dcc52420a84dcdae3a23a4597_13" localSheetId="3">#REF!</definedName>
    <definedName name="_vena_MultiSiteS1_MultiSiteB4_C_FV_e3545e3dcc52420a84dcdae3a23a4597_13">#REF!</definedName>
    <definedName name="_vena_MultiSiteS1_MultiSiteB4_C_FV_e3545e3dcc52420a84dcdae3a23a4597_14" localSheetId="4">#REF!</definedName>
    <definedName name="_vena_MultiSiteS1_MultiSiteB4_C_FV_e3545e3dcc52420a84dcdae3a23a4597_14" localSheetId="5">#REF!</definedName>
    <definedName name="_vena_MultiSiteS1_MultiSiteB4_C_FV_e3545e3dcc52420a84dcdae3a23a4597_14" localSheetId="8">'[1]FY26 MYP-Multisite'!#REF!</definedName>
    <definedName name="_vena_MultiSiteS1_MultiSiteB4_C_FV_e3545e3dcc52420a84dcdae3a23a4597_14" localSheetId="3">#REF!</definedName>
    <definedName name="_vena_MultiSiteS1_MultiSiteB4_C_FV_e3545e3dcc52420a84dcdae3a23a4597_14">#REF!</definedName>
    <definedName name="_vena_MultiSiteS1_MultiSiteB4_C_FV_e3545e3dcc52420a84dcdae3a23a4597_15" localSheetId="4">#REF!</definedName>
    <definedName name="_vena_MultiSiteS1_MultiSiteB4_C_FV_e3545e3dcc52420a84dcdae3a23a4597_15" localSheetId="5">#REF!</definedName>
    <definedName name="_vena_MultiSiteS1_MultiSiteB4_C_FV_e3545e3dcc52420a84dcdae3a23a4597_15" localSheetId="8">'[1]FY26 MYP-Multisite'!#REF!</definedName>
    <definedName name="_vena_MultiSiteS1_MultiSiteB4_C_FV_e3545e3dcc52420a84dcdae3a23a4597_15" localSheetId="3">#REF!</definedName>
    <definedName name="_vena_MultiSiteS1_MultiSiteB4_C_FV_e3545e3dcc52420a84dcdae3a23a4597_15">#REF!</definedName>
    <definedName name="_vena_MultiSiteS1_MultiSiteB4_C_FV_e3545e3dcc52420a84dcdae3a23a4597_16" localSheetId="4">#REF!</definedName>
    <definedName name="_vena_MultiSiteS1_MultiSiteB4_C_FV_e3545e3dcc52420a84dcdae3a23a4597_16" localSheetId="5">#REF!</definedName>
    <definedName name="_vena_MultiSiteS1_MultiSiteB4_C_FV_e3545e3dcc52420a84dcdae3a23a4597_16" localSheetId="8">'[1]FY26 MYP-Multisite'!#REF!</definedName>
    <definedName name="_vena_MultiSiteS1_MultiSiteB4_C_FV_e3545e3dcc52420a84dcdae3a23a4597_16" localSheetId="3">#REF!</definedName>
    <definedName name="_vena_MultiSiteS1_MultiSiteB4_C_FV_e3545e3dcc52420a84dcdae3a23a4597_16">#REF!</definedName>
    <definedName name="_vena_MultiSiteS1_MultiSiteB4_C_FV_e3545e3dcc52420a84dcdae3a23a4597_17" localSheetId="4">#REF!</definedName>
    <definedName name="_vena_MultiSiteS1_MultiSiteB4_C_FV_e3545e3dcc52420a84dcdae3a23a4597_17" localSheetId="5">#REF!</definedName>
    <definedName name="_vena_MultiSiteS1_MultiSiteB4_C_FV_e3545e3dcc52420a84dcdae3a23a4597_17" localSheetId="8">'[1]FY26 MYP-Multisite'!#REF!</definedName>
    <definedName name="_vena_MultiSiteS1_MultiSiteB4_C_FV_e3545e3dcc52420a84dcdae3a23a4597_17" localSheetId="3">#REF!</definedName>
    <definedName name="_vena_MultiSiteS1_MultiSiteB4_C_FV_e3545e3dcc52420a84dcdae3a23a4597_17">#REF!</definedName>
    <definedName name="_vena_MultiSiteS1_MultiSiteB4_C_FV_e3545e3dcc52420a84dcdae3a23a4597_18" localSheetId="4">#REF!</definedName>
    <definedName name="_vena_MultiSiteS1_MultiSiteB4_C_FV_e3545e3dcc52420a84dcdae3a23a4597_18" localSheetId="5">#REF!</definedName>
    <definedName name="_vena_MultiSiteS1_MultiSiteB4_C_FV_e3545e3dcc52420a84dcdae3a23a4597_18" localSheetId="8">'[1]FY26 MYP-Multisite'!#REF!</definedName>
    <definedName name="_vena_MultiSiteS1_MultiSiteB4_C_FV_e3545e3dcc52420a84dcdae3a23a4597_18" localSheetId="3">#REF!</definedName>
    <definedName name="_vena_MultiSiteS1_MultiSiteB4_C_FV_e3545e3dcc52420a84dcdae3a23a4597_18">#REF!</definedName>
    <definedName name="_vena_MultiSiteS1_MultiSiteB4_C_FV_e3545e3dcc52420a84dcdae3a23a4597_19" localSheetId="4">#REF!</definedName>
    <definedName name="_vena_MultiSiteS1_MultiSiteB4_C_FV_e3545e3dcc52420a84dcdae3a23a4597_19" localSheetId="5">#REF!</definedName>
    <definedName name="_vena_MultiSiteS1_MultiSiteB4_C_FV_e3545e3dcc52420a84dcdae3a23a4597_19" localSheetId="8">'[1]FY26 MYP-Multisite'!#REF!</definedName>
    <definedName name="_vena_MultiSiteS1_MultiSiteB4_C_FV_e3545e3dcc52420a84dcdae3a23a4597_19" localSheetId="3">#REF!</definedName>
    <definedName name="_vena_MultiSiteS1_MultiSiteB4_C_FV_e3545e3dcc52420a84dcdae3a23a4597_19">#REF!</definedName>
    <definedName name="_vena_MultiSiteS1_MultiSiteB4_C_FV_e3545e3dcc52420a84dcdae3a23a4597_2" localSheetId="4">#REF!</definedName>
    <definedName name="_vena_MultiSiteS1_MultiSiteB4_C_FV_e3545e3dcc52420a84dcdae3a23a4597_2" localSheetId="5">#REF!</definedName>
    <definedName name="_vena_MultiSiteS1_MultiSiteB4_C_FV_e3545e3dcc52420a84dcdae3a23a4597_2" localSheetId="8">'[1]FY26 MYP-Multisite'!#REF!</definedName>
    <definedName name="_vena_MultiSiteS1_MultiSiteB4_C_FV_e3545e3dcc52420a84dcdae3a23a4597_2" localSheetId="3">#REF!</definedName>
    <definedName name="_vena_MultiSiteS1_MultiSiteB4_C_FV_e3545e3dcc52420a84dcdae3a23a4597_2">#REF!</definedName>
    <definedName name="_vena_MultiSiteS1_MultiSiteB4_C_FV_e3545e3dcc52420a84dcdae3a23a4597_20" localSheetId="4">#REF!</definedName>
    <definedName name="_vena_MultiSiteS1_MultiSiteB4_C_FV_e3545e3dcc52420a84dcdae3a23a4597_20" localSheetId="5">#REF!</definedName>
    <definedName name="_vena_MultiSiteS1_MultiSiteB4_C_FV_e3545e3dcc52420a84dcdae3a23a4597_20" localSheetId="8">'[1]FY26 MYP-Multisite'!#REF!</definedName>
    <definedName name="_vena_MultiSiteS1_MultiSiteB4_C_FV_e3545e3dcc52420a84dcdae3a23a4597_20" localSheetId="3">#REF!</definedName>
    <definedName name="_vena_MultiSiteS1_MultiSiteB4_C_FV_e3545e3dcc52420a84dcdae3a23a4597_20">#REF!</definedName>
    <definedName name="_vena_MultiSiteS1_MultiSiteB4_C_FV_e3545e3dcc52420a84dcdae3a23a4597_21" localSheetId="4">#REF!</definedName>
    <definedName name="_vena_MultiSiteS1_MultiSiteB4_C_FV_e3545e3dcc52420a84dcdae3a23a4597_21" localSheetId="5">#REF!</definedName>
    <definedName name="_vena_MultiSiteS1_MultiSiteB4_C_FV_e3545e3dcc52420a84dcdae3a23a4597_21" localSheetId="8">'[1]FY26 MYP-Multisite'!#REF!</definedName>
    <definedName name="_vena_MultiSiteS1_MultiSiteB4_C_FV_e3545e3dcc52420a84dcdae3a23a4597_21" localSheetId="3">#REF!</definedName>
    <definedName name="_vena_MultiSiteS1_MultiSiteB4_C_FV_e3545e3dcc52420a84dcdae3a23a4597_21">#REF!</definedName>
    <definedName name="_vena_MultiSiteS1_MultiSiteB4_C_FV_e3545e3dcc52420a84dcdae3a23a4597_22" localSheetId="4">#REF!</definedName>
    <definedName name="_vena_MultiSiteS1_MultiSiteB4_C_FV_e3545e3dcc52420a84dcdae3a23a4597_22" localSheetId="5">#REF!</definedName>
    <definedName name="_vena_MultiSiteS1_MultiSiteB4_C_FV_e3545e3dcc52420a84dcdae3a23a4597_22" localSheetId="8">'[1]FY26 MYP-Multisite'!#REF!</definedName>
    <definedName name="_vena_MultiSiteS1_MultiSiteB4_C_FV_e3545e3dcc52420a84dcdae3a23a4597_22" localSheetId="3">#REF!</definedName>
    <definedName name="_vena_MultiSiteS1_MultiSiteB4_C_FV_e3545e3dcc52420a84dcdae3a23a4597_22">#REF!</definedName>
    <definedName name="_vena_MultiSiteS1_MultiSiteB4_C_FV_e3545e3dcc52420a84dcdae3a23a4597_23" localSheetId="4">#REF!</definedName>
    <definedName name="_vena_MultiSiteS1_MultiSiteB4_C_FV_e3545e3dcc52420a84dcdae3a23a4597_23" localSheetId="5">#REF!</definedName>
    <definedName name="_vena_MultiSiteS1_MultiSiteB4_C_FV_e3545e3dcc52420a84dcdae3a23a4597_23" localSheetId="8">'[1]FY26 MYP-Multisite'!#REF!</definedName>
    <definedName name="_vena_MultiSiteS1_MultiSiteB4_C_FV_e3545e3dcc52420a84dcdae3a23a4597_23" localSheetId="3">#REF!</definedName>
    <definedName name="_vena_MultiSiteS1_MultiSiteB4_C_FV_e3545e3dcc52420a84dcdae3a23a4597_23">#REF!</definedName>
    <definedName name="_vena_MultiSiteS1_MultiSiteB4_C_FV_e3545e3dcc52420a84dcdae3a23a4597_24" localSheetId="4">#REF!</definedName>
    <definedName name="_vena_MultiSiteS1_MultiSiteB4_C_FV_e3545e3dcc52420a84dcdae3a23a4597_24" localSheetId="5">#REF!</definedName>
    <definedName name="_vena_MultiSiteS1_MultiSiteB4_C_FV_e3545e3dcc52420a84dcdae3a23a4597_24" localSheetId="8">'[1]FY26 MYP-Multisite'!#REF!</definedName>
    <definedName name="_vena_MultiSiteS1_MultiSiteB4_C_FV_e3545e3dcc52420a84dcdae3a23a4597_24" localSheetId="3">#REF!</definedName>
    <definedName name="_vena_MultiSiteS1_MultiSiteB4_C_FV_e3545e3dcc52420a84dcdae3a23a4597_24">#REF!</definedName>
    <definedName name="_vena_MultiSiteS1_MultiSiteB4_C_FV_e3545e3dcc52420a84dcdae3a23a4597_25" localSheetId="4">#REF!</definedName>
    <definedName name="_vena_MultiSiteS1_MultiSiteB4_C_FV_e3545e3dcc52420a84dcdae3a23a4597_25" localSheetId="5">#REF!</definedName>
    <definedName name="_vena_MultiSiteS1_MultiSiteB4_C_FV_e3545e3dcc52420a84dcdae3a23a4597_25" localSheetId="8">'[1]FY26 MYP-Multisite'!#REF!</definedName>
    <definedName name="_vena_MultiSiteS1_MultiSiteB4_C_FV_e3545e3dcc52420a84dcdae3a23a4597_25" localSheetId="3">#REF!</definedName>
    <definedName name="_vena_MultiSiteS1_MultiSiteB4_C_FV_e3545e3dcc52420a84dcdae3a23a4597_25">#REF!</definedName>
    <definedName name="_vena_MultiSiteS1_MultiSiteB4_C_FV_e3545e3dcc52420a84dcdae3a23a4597_26" localSheetId="4">#REF!</definedName>
    <definedName name="_vena_MultiSiteS1_MultiSiteB4_C_FV_e3545e3dcc52420a84dcdae3a23a4597_26" localSheetId="5">#REF!</definedName>
    <definedName name="_vena_MultiSiteS1_MultiSiteB4_C_FV_e3545e3dcc52420a84dcdae3a23a4597_26" localSheetId="8">'[1]FY26 MYP-Multisite'!#REF!</definedName>
    <definedName name="_vena_MultiSiteS1_MultiSiteB4_C_FV_e3545e3dcc52420a84dcdae3a23a4597_26" localSheetId="3">#REF!</definedName>
    <definedName name="_vena_MultiSiteS1_MultiSiteB4_C_FV_e3545e3dcc52420a84dcdae3a23a4597_26">#REF!</definedName>
    <definedName name="_vena_MultiSiteS1_MultiSiteB4_C_FV_e3545e3dcc52420a84dcdae3a23a4597_27" localSheetId="4">#REF!</definedName>
    <definedName name="_vena_MultiSiteS1_MultiSiteB4_C_FV_e3545e3dcc52420a84dcdae3a23a4597_27" localSheetId="5">#REF!</definedName>
    <definedName name="_vena_MultiSiteS1_MultiSiteB4_C_FV_e3545e3dcc52420a84dcdae3a23a4597_27" localSheetId="8">'[1]FY26 MYP-Multisite'!#REF!</definedName>
    <definedName name="_vena_MultiSiteS1_MultiSiteB4_C_FV_e3545e3dcc52420a84dcdae3a23a4597_27" localSheetId="3">#REF!</definedName>
    <definedName name="_vena_MultiSiteS1_MultiSiteB4_C_FV_e3545e3dcc52420a84dcdae3a23a4597_27">#REF!</definedName>
    <definedName name="_vena_MultiSiteS1_MultiSiteB4_C_FV_e3545e3dcc52420a84dcdae3a23a4597_28" localSheetId="4">#REF!</definedName>
    <definedName name="_vena_MultiSiteS1_MultiSiteB4_C_FV_e3545e3dcc52420a84dcdae3a23a4597_28" localSheetId="5">#REF!</definedName>
    <definedName name="_vena_MultiSiteS1_MultiSiteB4_C_FV_e3545e3dcc52420a84dcdae3a23a4597_28" localSheetId="8">'[1]FY26 MYP-Multisite'!#REF!</definedName>
    <definedName name="_vena_MultiSiteS1_MultiSiteB4_C_FV_e3545e3dcc52420a84dcdae3a23a4597_28" localSheetId="3">#REF!</definedName>
    <definedName name="_vena_MultiSiteS1_MultiSiteB4_C_FV_e3545e3dcc52420a84dcdae3a23a4597_28">#REF!</definedName>
    <definedName name="_vena_MultiSiteS1_MultiSiteB4_C_FV_e3545e3dcc52420a84dcdae3a23a4597_29" localSheetId="4">#REF!</definedName>
    <definedName name="_vena_MultiSiteS1_MultiSiteB4_C_FV_e3545e3dcc52420a84dcdae3a23a4597_29" localSheetId="5">#REF!</definedName>
    <definedName name="_vena_MultiSiteS1_MultiSiteB4_C_FV_e3545e3dcc52420a84dcdae3a23a4597_29" localSheetId="8">'[1]FY26 MYP-Multisite'!#REF!</definedName>
    <definedName name="_vena_MultiSiteS1_MultiSiteB4_C_FV_e3545e3dcc52420a84dcdae3a23a4597_29" localSheetId="3">#REF!</definedName>
    <definedName name="_vena_MultiSiteS1_MultiSiteB4_C_FV_e3545e3dcc52420a84dcdae3a23a4597_29">#REF!</definedName>
    <definedName name="_vena_MultiSiteS1_MultiSiteB4_C_FV_e3545e3dcc52420a84dcdae3a23a4597_30" localSheetId="4">#REF!</definedName>
    <definedName name="_vena_MultiSiteS1_MultiSiteB4_C_FV_e3545e3dcc52420a84dcdae3a23a4597_30" localSheetId="5">#REF!</definedName>
    <definedName name="_vena_MultiSiteS1_MultiSiteB4_C_FV_e3545e3dcc52420a84dcdae3a23a4597_30" localSheetId="8">'[1]FY26 MYP-Multisite'!#REF!</definedName>
    <definedName name="_vena_MultiSiteS1_MultiSiteB4_C_FV_e3545e3dcc52420a84dcdae3a23a4597_30" localSheetId="3">#REF!</definedName>
    <definedName name="_vena_MultiSiteS1_MultiSiteB4_C_FV_e3545e3dcc52420a84dcdae3a23a4597_30">#REF!</definedName>
    <definedName name="_vena_MultiSiteS1_MultiSiteB4_C_FV_e3545e3dcc52420a84dcdae3a23a4597_31" localSheetId="4">#REF!</definedName>
    <definedName name="_vena_MultiSiteS1_MultiSiteB4_C_FV_e3545e3dcc52420a84dcdae3a23a4597_31" localSheetId="5">#REF!</definedName>
    <definedName name="_vena_MultiSiteS1_MultiSiteB4_C_FV_e3545e3dcc52420a84dcdae3a23a4597_31" localSheetId="8">'[1]FY26 MYP-Multisite'!#REF!</definedName>
    <definedName name="_vena_MultiSiteS1_MultiSiteB4_C_FV_e3545e3dcc52420a84dcdae3a23a4597_31" localSheetId="3">#REF!</definedName>
    <definedName name="_vena_MultiSiteS1_MultiSiteB4_C_FV_e3545e3dcc52420a84dcdae3a23a4597_31">#REF!</definedName>
    <definedName name="_vena_MultiSiteS1_MultiSiteB4_C_FV_e3545e3dcc52420a84dcdae3a23a4597_32" localSheetId="4">#REF!</definedName>
    <definedName name="_vena_MultiSiteS1_MultiSiteB4_C_FV_e3545e3dcc52420a84dcdae3a23a4597_32" localSheetId="5">#REF!</definedName>
    <definedName name="_vena_MultiSiteS1_MultiSiteB4_C_FV_e3545e3dcc52420a84dcdae3a23a4597_32" localSheetId="8">'[1]FY26 MYP-Multisite'!#REF!</definedName>
    <definedName name="_vena_MultiSiteS1_MultiSiteB4_C_FV_e3545e3dcc52420a84dcdae3a23a4597_32" localSheetId="3">#REF!</definedName>
    <definedName name="_vena_MultiSiteS1_MultiSiteB4_C_FV_e3545e3dcc52420a84dcdae3a23a4597_32">#REF!</definedName>
    <definedName name="_vena_MultiSiteS1_MultiSiteB4_C_FV_e3545e3dcc52420a84dcdae3a23a4597_33" localSheetId="4">#REF!</definedName>
    <definedName name="_vena_MultiSiteS1_MultiSiteB4_C_FV_e3545e3dcc52420a84dcdae3a23a4597_33" localSheetId="5">#REF!</definedName>
    <definedName name="_vena_MultiSiteS1_MultiSiteB4_C_FV_e3545e3dcc52420a84dcdae3a23a4597_33" localSheetId="8">'[1]FY26 MYP-Multisite'!#REF!</definedName>
    <definedName name="_vena_MultiSiteS1_MultiSiteB4_C_FV_e3545e3dcc52420a84dcdae3a23a4597_33" localSheetId="3">#REF!</definedName>
    <definedName name="_vena_MultiSiteS1_MultiSiteB4_C_FV_e3545e3dcc52420a84dcdae3a23a4597_33">#REF!</definedName>
    <definedName name="_vena_MultiSiteS1_MultiSiteB4_C_FV_e3545e3dcc52420a84dcdae3a23a4597_34" localSheetId="4">#REF!</definedName>
    <definedName name="_vena_MultiSiteS1_MultiSiteB4_C_FV_e3545e3dcc52420a84dcdae3a23a4597_34" localSheetId="5">#REF!</definedName>
    <definedName name="_vena_MultiSiteS1_MultiSiteB4_C_FV_e3545e3dcc52420a84dcdae3a23a4597_34" localSheetId="8">'[1]FY26 MYP-Multisite'!#REF!</definedName>
    <definedName name="_vena_MultiSiteS1_MultiSiteB4_C_FV_e3545e3dcc52420a84dcdae3a23a4597_34" localSheetId="3">#REF!</definedName>
    <definedName name="_vena_MultiSiteS1_MultiSiteB4_C_FV_e3545e3dcc52420a84dcdae3a23a4597_34">#REF!</definedName>
    <definedName name="_vena_MultiSiteS1_MultiSiteB4_C_FV_e3545e3dcc52420a84dcdae3a23a4597_35" localSheetId="4">#REF!</definedName>
    <definedName name="_vena_MultiSiteS1_MultiSiteB4_C_FV_e3545e3dcc52420a84dcdae3a23a4597_35" localSheetId="5">#REF!</definedName>
    <definedName name="_vena_MultiSiteS1_MultiSiteB4_C_FV_e3545e3dcc52420a84dcdae3a23a4597_35" localSheetId="8">'[1]FY26 MYP-Multisite'!#REF!</definedName>
    <definedName name="_vena_MultiSiteS1_MultiSiteB4_C_FV_e3545e3dcc52420a84dcdae3a23a4597_35" localSheetId="3">#REF!</definedName>
    <definedName name="_vena_MultiSiteS1_MultiSiteB4_C_FV_e3545e3dcc52420a84dcdae3a23a4597_35">#REF!</definedName>
    <definedName name="_vena_MultiSiteS1_MultiSiteB4_C_FV_e3545e3dcc52420a84dcdae3a23a4597_36" localSheetId="4">#REF!</definedName>
    <definedName name="_vena_MultiSiteS1_MultiSiteB4_C_FV_e3545e3dcc52420a84dcdae3a23a4597_36" localSheetId="5">#REF!</definedName>
    <definedName name="_vena_MultiSiteS1_MultiSiteB4_C_FV_e3545e3dcc52420a84dcdae3a23a4597_36" localSheetId="8">'[1]FY26 MYP-Multisite'!#REF!</definedName>
    <definedName name="_vena_MultiSiteS1_MultiSiteB4_C_FV_e3545e3dcc52420a84dcdae3a23a4597_36" localSheetId="3">#REF!</definedName>
    <definedName name="_vena_MultiSiteS1_MultiSiteB4_C_FV_e3545e3dcc52420a84dcdae3a23a4597_36">#REF!</definedName>
    <definedName name="_vena_MultiSiteS1_MultiSiteB4_C_FV_e3545e3dcc52420a84dcdae3a23a4597_37" localSheetId="4">#REF!</definedName>
    <definedName name="_vena_MultiSiteS1_MultiSiteB4_C_FV_e3545e3dcc52420a84dcdae3a23a4597_37" localSheetId="5">#REF!</definedName>
    <definedName name="_vena_MultiSiteS1_MultiSiteB4_C_FV_e3545e3dcc52420a84dcdae3a23a4597_37" localSheetId="8">'[1]FY26 MYP-Multisite'!#REF!</definedName>
    <definedName name="_vena_MultiSiteS1_MultiSiteB4_C_FV_e3545e3dcc52420a84dcdae3a23a4597_37" localSheetId="3">#REF!</definedName>
    <definedName name="_vena_MultiSiteS1_MultiSiteB4_C_FV_e3545e3dcc52420a84dcdae3a23a4597_37">#REF!</definedName>
    <definedName name="_vena_MultiSiteS1_MultiSiteB4_C_FV_e3545e3dcc52420a84dcdae3a23a4597_38" localSheetId="4">#REF!</definedName>
    <definedName name="_vena_MultiSiteS1_MultiSiteB4_C_FV_e3545e3dcc52420a84dcdae3a23a4597_38" localSheetId="5">#REF!</definedName>
    <definedName name="_vena_MultiSiteS1_MultiSiteB4_C_FV_e3545e3dcc52420a84dcdae3a23a4597_38" localSheetId="8">'[1]FY26 MYP-Multisite'!#REF!</definedName>
    <definedName name="_vena_MultiSiteS1_MultiSiteB4_C_FV_e3545e3dcc52420a84dcdae3a23a4597_38" localSheetId="3">#REF!</definedName>
    <definedName name="_vena_MultiSiteS1_MultiSiteB4_C_FV_e3545e3dcc52420a84dcdae3a23a4597_38">#REF!</definedName>
    <definedName name="_vena_MultiSiteS1_MultiSiteB4_C_FV_e3545e3dcc52420a84dcdae3a23a4597_39" localSheetId="4">#REF!</definedName>
    <definedName name="_vena_MultiSiteS1_MultiSiteB4_C_FV_e3545e3dcc52420a84dcdae3a23a4597_39" localSheetId="5">#REF!</definedName>
    <definedName name="_vena_MultiSiteS1_MultiSiteB4_C_FV_e3545e3dcc52420a84dcdae3a23a4597_39" localSheetId="8">'[1]FY26 MYP-Multisite'!#REF!</definedName>
    <definedName name="_vena_MultiSiteS1_MultiSiteB4_C_FV_e3545e3dcc52420a84dcdae3a23a4597_39" localSheetId="3">#REF!</definedName>
    <definedName name="_vena_MultiSiteS1_MultiSiteB4_C_FV_e3545e3dcc52420a84dcdae3a23a4597_39">#REF!</definedName>
    <definedName name="_vena_MultiSiteS1_MultiSiteB4_C_FV_e3545e3dcc52420a84dcdae3a23a4597_4" localSheetId="4">#REF!</definedName>
    <definedName name="_vena_MultiSiteS1_MultiSiteB4_C_FV_e3545e3dcc52420a84dcdae3a23a4597_4" localSheetId="5">#REF!</definedName>
    <definedName name="_vena_MultiSiteS1_MultiSiteB4_C_FV_e3545e3dcc52420a84dcdae3a23a4597_4" localSheetId="8">'[1]FY26 MYP-Multisite'!#REF!</definedName>
    <definedName name="_vena_MultiSiteS1_MultiSiteB4_C_FV_e3545e3dcc52420a84dcdae3a23a4597_4" localSheetId="3">#REF!</definedName>
    <definedName name="_vena_MultiSiteS1_MultiSiteB4_C_FV_e3545e3dcc52420a84dcdae3a23a4597_4">#REF!</definedName>
    <definedName name="_vena_MultiSiteS1_MultiSiteB4_C_FV_e3545e3dcc52420a84dcdae3a23a4597_40" localSheetId="4">#REF!</definedName>
    <definedName name="_vena_MultiSiteS1_MultiSiteB4_C_FV_e3545e3dcc52420a84dcdae3a23a4597_40" localSheetId="5">#REF!</definedName>
    <definedName name="_vena_MultiSiteS1_MultiSiteB4_C_FV_e3545e3dcc52420a84dcdae3a23a4597_40" localSheetId="8">'[1]FY26 MYP-Multisite'!#REF!</definedName>
    <definedName name="_vena_MultiSiteS1_MultiSiteB4_C_FV_e3545e3dcc52420a84dcdae3a23a4597_40" localSheetId="3">#REF!</definedName>
    <definedName name="_vena_MultiSiteS1_MultiSiteB4_C_FV_e3545e3dcc52420a84dcdae3a23a4597_40">#REF!</definedName>
    <definedName name="_vena_MultiSiteS1_MultiSiteB4_C_FV_e3545e3dcc52420a84dcdae3a23a4597_41" localSheetId="4">#REF!</definedName>
    <definedName name="_vena_MultiSiteS1_MultiSiteB4_C_FV_e3545e3dcc52420a84dcdae3a23a4597_41" localSheetId="5">#REF!</definedName>
    <definedName name="_vena_MultiSiteS1_MultiSiteB4_C_FV_e3545e3dcc52420a84dcdae3a23a4597_41" localSheetId="8">'[1]FY26 MYP-Multisite'!#REF!</definedName>
    <definedName name="_vena_MultiSiteS1_MultiSiteB4_C_FV_e3545e3dcc52420a84dcdae3a23a4597_41" localSheetId="3">#REF!</definedName>
    <definedName name="_vena_MultiSiteS1_MultiSiteB4_C_FV_e3545e3dcc52420a84dcdae3a23a4597_41">#REF!</definedName>
    <definedName name="_vena_MultiSiteS1_MultiSiteB4_C_FV_e3545e3dcc52420a84dcdae3a23a4597_42" localSheetId="4">#REF!</definedName>
    <definedName name="_vena_MultiSiteS1_MultiSiteB4_C_FV_e3545e3dcc52420a84dcdae3a23a4597_42" localSheetId="5">#REF!</definedName>
    <definedName name="_vena_MultiSiteS1_MultiSiteB4_C_FV_e3545e3dcc52420a84dcdae3a23a4597_42" localSheetId="8">'[1]FY26 MYP-Multisite'!#REF!</definedName>
    <definedName name="_vena_MultiSiteS1_MultiSiteB4_C_FV_e3545e3dcc52420a84dcdae3a23a4597_42" localSheetId="3">#REF!</definedName>
    <definedName name="_vena_MultiSiteS1_MultiSiteB4_C_FV_e3545e3dcc52420a84dcdae3a23a4597_42">#REF!</definedName>
    <definedName name="_vena_MultiSiteS1_MultiSiteB4_C_FV_e3545e3dcc52420a84dcdae3a23a4597_43" localSheetId="4">#REF!</definedName>
    <definedName name="_vena_MultiSiteS1_MultiSiteB4_C_FV_e3545e3dcc52420a84dcdae3a23a4597_43" localSheetId="5">#REF!</definedName>
    <definedName name="_vena_MultiSiteS1_MultiSiteB4_C_FV_e3545e3dcc52420a84dcdae3a23a4597_43" localSheetId="8">'[1]FY26 MYP-Multisite'!#REF!</definedName>
    <definedName name="_vena_MultiSiteS1_MultiSiteB4_C_FV_e3545e3dcc52420a84dcdae3a23a4597_43" localSheetId="3">#REF!</definedName>
    <definedName name="_vena_MultiSiteS1_MultiSiteB4_C_FV_e3545e3dcc52420a84dcdae3a23a4597_43">#REF!</definedName>
    <definedName name="_vena_MultiSiteS1_MultiSiteB4_C_FV_e3545e3dcc52420a84dcdae3a23a4597_6" localSheetId="4">#REF!</definedName>
    <definedName name="_vena_MultiSiteS1_MultiSiteB4_C_FV_e3545e3dcc52420a84dcdae3a23a4597_6" localSheetId="5">#REF!</definedName>
    <definedName name="_vena_MultiSiteS1_MultiSiteB4_C_FV_e3545e3dcc52420a84dcdae3a23a4597_6" localSheetId="8">'[1]FY26 MYP-Multisite'!#REF!</definedName>
    <definedName name="_vena_MultiSiteS1_MultiSiteB4_C_FV_e3545e3dcc52420a84dcdae3a23a4597_6" localSheetId="3">#REF!</definedName>
    <definedName name="_vena_MultiSiteS1_MultiSiteB4_C_FV_e3545e3dcc52420a84dcdae3a23a4597_6">#REF!</definedName>
    <definedName name="_vena_MultiSiteS1_MultiSiteB4_C_FV_e3545e3dcc52420a84dcdae3a23a4597_8" localSheetId="4">#REF!</definedName>
    <definedName name="_vena_MultiSiteS1_MultiSiteB4_C_FV_e3545e3dcc52420a84dcdae3a23a4597_8" localSheetId="5">#REF!</definedName>
    <definedName name="_vena_MultiSiteS1_MultiSiteB4_C_FV_e3545e3dcc52420a84dcdae3a23a4597_8" localSheetId="8">'[1]FY26 MYP-Multisite'!#REF!</definedName>
    <definedName name="_vena_MultiSiteS1_MultiSiteB4_C_FV_e3545e3dcc52420a84dcdae3a23a4597_8" localSheetId="3">#REF!</definedName>
    <definedName name="_vena_MultiSiteS1_MultiSiteB4_C_FV_e3545e3dcc52420a84dcdae3a23a4597_8">#REF!</definedName>
    <definedName name="_vena_MultiSiteS1_MultiSiteB4_C_FV_e3545e3dcc52420a84dcdae3a23a4597_9" localSheetId="4">#REF!</definedName>
    <definedName name="_vena_MultiSiteS1_MultiSiteB4_C_FV_e3545e3dcc52420a84dcdae3a23a4597_9" localSheetId="5">#REF!</definedName>
    <definedName name="_vena_MultiSiteS1_MultiSiteB4_C_FV_e3545e3dcc52420a84dcdae3a23a4597_9" localSheetId="8">'[1]FY26 MYP-Multisite'!#REF!</definedName>
    <definedName name="_vena_MultiSiteS1_MultiSiteB4_C_FV_e3545e3dcc52420a84dcdae3a23a4597_9" localSheetId="3">#REF!</definedName>
    <definedName name="_vena_MultiSiteS1_MultiSiteB4_C_FV_e3545e3dcc52420a84dcdae3a23a4597_9">#REF!</definedName>
    <definedName name="_vena_MultiSiteS1_MultiSiteB4_R_5_462518467196223488" localSheetId="4">#REF!</definedName>
    <definedName name="_vena_MultiSiteS1_MultiSiteB4_R_5_462518467196223488" localSheetId="5">#REF!</definedName>
    <definedName name="_vena_MultiSiteS1_MultiSiteB4_R_5_462518467196223488" localSheetId="8">'[1]FY26 MYP-Multisite'!#REF!</definedName>
    <definedName name="_vena_MultiSiteS1_MultiSiteB4_R_5_462518467196223488" localSheetId="3">#REF!</definedName>
    <definedName name="_vena_MultiSiteS1_MultiSiteB4_R_5_462518467196223488">#REF!</definedName>
    <definedName name="_vena_MultiSiteS1_MultiSiteB4_R_5_551651283946962944">#REF!</definedName>
    <definedName name="_vena_MultiSiteS1_MultiSiteB4_R_5_632005311750471682">#REF!</definedName>
    <definedName name="_vena_MultiSiteS1_MultiSiteB5_C_8_431662182280724481">#REF!</definedName>
    <definedName name="_vena_MultiSiteS1_MultiSiteB5_C_8_431662182280724481_1">#REF!</definedName>
    <definedName name="_vena_MultiSiteS1_MultiSiteB5_C_8_431662182280724481_10">#REF!</definedName>
    <definedName name="_vena_MultiSiteS1_MultiSiteB5_C_8_431662182280724481_11">#REF!</definedName>
    <definedName name="_vena_MultiSiteS1_MultiSiteB5_C_8_431662182280724481_2">#REF!</definedName>
    <definedName name="_vena_MultiSiteS1_MultiSiteB5_C_8_431662182280724481_3">#REF!</definedName>
    <definedName name="_vena_MultiSiteS1_MultiSiteB5_C_8_431662182280724481_4">#REF!</definedName>
    <definedName name="_vena_MultiSiteS1_MultiSiteB5_C_8_431662182280724481_5">#REF!</definedName>
    <definedName name="_vena_MultiSiteS1_MultiSiteB5_C_8_431662182280724481_6">#REF!</definedName>
    <definedName name="_vena_MultiSiteS1_MultiSiteB5_C_8_431662182280724481_7">#REF!</definedName>
    <definedName name="_vena_MultiSiteS1_MultiSiteB5_C_8_431662182280724481_8">#REF!</definedName>
    <definedName name="_vena_MultiSiteS1_MultiSiteB5_C_8_431662182280724481_9">#REF!</definedName>
    <definedName name="_vena_MultiSiteS1_MultiSiteB5_C_FV_56493ffece784c5db4cd0fd3b40a250d">#REF!</definedName>
    <definedName name="_vena_MultiSiteS1_MultiSiteB5_C_FV_56493ffece784c5db4cd0fd3b40a250d_1">#REF!</definedName>
    <definedName name="_vena_MultiSiteS1_MultiSiteB5_C_FV_56493ffece784c5db4cd0fd3b40a250d_10">#REF!</definedName>
    <definedName name="_vena_MultiSiteS1_MultiSiteB5_C_FV_56493ffece784c5db4cd0fd3b40a250d_11">#REF!</definedName>
    <definedName name="_vena_MultiSiteS1_MultiSiteB5_C_FV_56493ffece784c5db4cd0fd3b40a250d_2">#REF!</definedName>
    <definedName name="_vena_MultiSiteS1_MultiSiteB5_C_FV_56493ffece784c5db4cd0fd3b40a250d_3">#REF!</definedName>
    <definedName name="_vena_MultiSiteS1_MultiSiteB5_C_FV_56493ffece784c5db4cd0fd3b40a250d_4">#REF!</definedName>
    <definedName name="_vena_MultiSiteS1_MultiSiteB5_C_FV_56493ffece784c5db4cd0fd3b40a250d_5">#REF!</definedName>
    <definedName name="_vena_MultiSiteS1_MultiSiteB5_C_FV_56493ffece784c5db4cd0fd3b40a250d_6">#REF!</definedName>
    <definedName name="_vena_MultiSiteS1_MultiSiteB5_C_FV_56493ffece784c5db4cd0fd3b40a250d_7">#REF!</definedName>
    <definedName name="_vena_MultiSiteS1_MultiSiteB5_C_FV_56493ffece784c5db4cd0fd3b40a250d_8">#REF!</definedName>
    <definedName name="_vena_MultiSiteS1_MultiSiteB5_C_FV_56493ffece784c5db4cd0fd3b40a250d_9">#REF!</definedName>
    <definedName name="_vena_MultiSiteS1_MultiSiteB5_C_FV_e1c3a244dc3d4f149ecdf7d748811086">#REF!</definedName>
    <definedName name="_vena_MultiSiteS1_MultiSiteB5_C_FV_e1c3a244dc3d4f149ecdf7d748811086_1">#REF!</definedName>
    <definedName name="_vena_MultiSiteS1_MultiSiteB5_C_FV_e1c3a244dc3d4f149ecdf7d748811086_10">#REF!</definedName>
    <definedName name="_vena_MultiSiteS1_MultiSiteB5_C_FV_e1c3a244dc3d4f149ecdf7d748811086_11">#REF!</definedName>
    <definedName name="_vena_MultiSiteS1_MultiSiteB5_C_FV_e1c3a244dc3d4f149ecdf7d748811086_2">#REF!</definedName>
    <definedName name="_vena_MultiSiteS1_MultiSiteB5_C_FV_e1c3a244dc3d4f149ecdf7d748811086_3">#REF!</definedName>
    <definedName name="_vena_MultiSiteS1_MultiSiteB5_C_FV_e1c3a244dc3d4f149ecdf7d748811086_4">#REF!</definedName>
    <definedName name="_vena_MultiSiteS1_MultiSiteB5_C_FV_e1c3a244dc3d4f149ecdf7d748811086_5">#REF!</definedName>
    <definedName name="_vena_MultiSiteS1_MultiSiteB5_C_FV_e1c3a244dc3d4f149ecdf7d748811086_6">#REF!</definedName>
    <definedName name="_vena_MultiSiteS1_MultiSiteB5_C_FV_e1c3a244dc3d4f149ecdf7d748811086_7">#REF!</definedName>
    <definedName name="_vena_MultiSiteS1_MultiSiteB5_C_FV_e1c3a244dc3d4f149ecdf7d748811086_8">#REF!</definedName>
    <definedName name="_vena_MultiSiteS1_MultiSiteB5_C_FV_e1c3a244dc3d4f149ecdf7d748811086_9">#REF!</definedName>
    <definedName name="_vena_MultiSiteS1_MultiSiteB5_C_FV_e3545e3dcc52420a84dcdae3a23a4597">#REF!</definedName>
    <definedName name="_vena_MultiSiteS1_MultiSiteB5_C_FV_e3545e3dcc52420a84dcdae3a23a4597_1">#REF!</definedName>
    <definedName name="_vena_MultiSiteS1_MultiSiteB5_C_FV_e3545e3dcc52420a84dcdae3a23a4597_10">#REF!</definedName>
    <definedName name="_vena_MultiSiteS1_MultiSiteB5_C_FV_e3545e3dcc52420a84dcdae3a23a4597_11">#REF!</definedName>
    <definedName name="_vena_MultiSiteS1_MultiSiteB5_C_FV_e3545e3dcc52420a84dcdae3a23a4597_2">#REF!</definedName>
    <definedName name="_vena_MultiSiteS1_MultiSiteB5_C_FV_e3545e3dcc52420a84dcdae3a23a4597_3">#REF!</definedName>
    <definedName name="_vena_MultiSiteS1_MultiSiteB5_C_FV_e3545e3dcc52420a84dcdae3a23a4597_4">#REF!</definedName>
    <definedName name="_vena_MultiSiteS1_MultiSiteB5_C_FV_e3545e3dcc52420a84dcdae3a23a4597_5">#REF!</definedName>
    <definedName name="_vena_MultiSiteS1_MultiSiteB5_C_FV_e3545e3dcc52420a84dcdae3a23a4597_6">#REF!</definedName>
    <definedName name="_vena_MultiSiteS1_MultiSiteB5_C_FV_e3545e3dcc52420a84dcdae3a23a4597_7">#REF!</definedName>
    <definedName name="_vena_MultiSiteS1_MultiSiteB5_C_FV_e3545e3dcc52420a84dcdae3a23a4597_8">#REF!</definedName>
    <definedName name="_vena_MultiSiteS1_MultiSiteB5_C_FV_e3545e3dcc52420a84dcdae3a23a4597_9">#REF!</definedName>
    <definedName name="_vena_MultiSiteS1_MultiSiteB5_R_5_567934266869284864">#REF!</definedName>
    <definedName name="_vena_MultiSiteS1_MultiSiteB5_R_5_567934321982177280">#REF!</definedName>
    <definedName name="_vena_MultiSiteS1_P_3_431662182406553601" localSheetId="4">#REF!</definedName>
    <definedName name="_vena_MultiSiteS1_P_3_431662182406553601" comment="*" localSheetId="5">#REF!</definedName>
    <definedName name="_vena_MultiSiteS1_P_3_431662182406553601" comment="*" localSheetId="8">'[1]FY26 MYP-Multisite'!#REF!</definedName>
    <definedName name="_vena_MultiSiteS1_P_3_431662182406553601" localSheetId="3">#REF!</definedName>
    <definedName name="_vena_MultiSiteS1_P_3_431662182406553601">#REF!</definedName>
    <definedName name="_vena_MultiSiteS1_P_3_551651274421698560" comment="*">#REF!</definedName>
    <definedName name="_vena_MultiSiteS1_P_3_632005310022418436" comment="*">#REF!</definedName>
    <definedName name="_vena_MultiSiteS1_P_6_431662182054232065" localSheetId="4">#REF!</definedName>
    <definedName name="_vena_MultiSiteS1_P_6_431662182054232065" comment="*" localSheetId="5">#REF!</definedName>
    <definedName name="_vena_MultiSiteS1_P_6_431662182054232065" comment="*" localSheetId="8">'[1]FY26 MYP-Multisite'!#REF!</definedName>
    <definedName name="_vena_MultiSiteS1_P_6_431662182054232065" localSheetId="3">#REF!</definedName>
    <definedName name="_vena_MultiSiteS1_P_6_431662182054232065">#REF!</definedName>
    <definedName name="_vena_MultiSiteS1_P_6_551651287818305538" comment="*">#REF!</definedName>
    <definedName name="_vena_MultiSiteS1_P_6_632005313063288832" comment="*">#REF!</definedName>
    <definedName name="_vena_MultiSiteS1_P_7_431662179290185729" localSheetId="4">#REF!</definedName>
    <definedName name="_vena_MultiSiteS1_P_7_431662179290185729" comment="*" localSheetId="5">#REF!</definedName>
    <definedName name="_vena_MultiSiteS1_P_7_431662179290185729" comment="*" localSheetId="8">'[1]FY26 MYP-Multisite'!#REF!</definedName>
    <definedName name="_vena_MultiSiteS1_P_7_431662179290185729" localSheetId="3">#REF!</definedName>
    <definedName name="_vena_MultiSiteS1_P_7_431662179290185729">#REF!</definedName>
    <definedName name="_vena_MultiSiteS1_P_7_551651294977982466" comment="*">#REF!</definedName>
    <definedName name="_vena_MultiSiteS1_P_7_632005313256226820" comment="*">#REF!</definedName>
    <definedName name="_vena_MYPS1_MYPB1_C_3_632005310022418436">#REF!</definedName>
    <definedName name="_vena_MYPS1_MYPB1_C_3_632005310022418436_1">#REF!</definedName>
    <definedName name="_vena_MYPS1_MYPB1_C_3_632005310022418436_2">#REF!</definedName>
    <definedName name="_vena_MYPS1_MYPB1_C_3_632005310022418436_3">#REF!</definedName>
    <definedName name="_vena_MYPS1_MYPB1_C_3_632005310022418436_4">#REF!</definedName>
    <definedName name="_vena_MYPS1_MYPB1_C_3_632005310022418436_5">#REF!</definedName>
    <definedName name="_vena_MYPS1_MYPB1_C_3_632005310022418436_6">#REF!</definedName>
    <definedName name="_vena_MYPS1_MYPB1_C_3_632005310022418436_7">#REF!</definedName>
    <definedName name="_vena_MYPS1_MYPB1_C_4_632005309959503878">#REF!</definedName>
    <definedName name="_vena_MYPS1_MYPB1_C_4_632005309959503878_1">#REF!</definedName>
    <definedName name="_vena_MYPS1_MYPB1_C_6_632005313063288832">#REF!</definedName>
    <definedName name="_vena_MYPS1_MYPB1_C_6_632005313063288832_1">#REF!</definedName>
    <definedName name="_vena_MYPS1_MYPB1_C_6_632005313063288832_2">#REF!</definedName>
    <definedName name="_vena_MYPS1_MYPB1_C_6_632005313063288832_3">#REF!</definedName>
    <definedName name="_vena_MYPS1_MYPB1_C_6_632005313063288832_4">#REF!</definedName>
    <definedName name="_vena_MYPS1_MYPB1_C_6_632005313063288832_5">#REF!</definedName>
    <definedName name="_vena_MYPS1_MYPB1_C_6_632005313063288832_6">#REF!</definedName>
    <definedName name="_vena_MYPS1_MYPB1_C_6_632005313063288832_7">#REF!</definedName>
    <definedName name="_vena_MYPS1_MYPB1_C_7_632005313256226820">#REF!</definedName>
    <definedName name="_vena_MYPS1_MYPB1_C_7_632005313256226820_1">#REF!</definedName>
    <definedName name="_vena_MYPS1_MYPB1_C_7_632005313256226820_2">#REF!</definedName>
    <definedName name="_vena_MYPS1_MYPB1_C_7_632005313256226820_3">#REF!</definedName>
    <definedName name="_vena_MYPS1_MYPB1_C_7_632005313256226820_4">#REF!</definedName>
    <definedName name="_vena_MYPS1_MYPB1_C_7_632005313256226820_5">#REF!</definedName>
    <definedName name="_vena_MYPS1_MYPB1_C_7_632005313256226820_6">#REF!</definedName>
    <definedName name="_vena_MYPS1_MYPB1_C_7_632005313256226820_7">#REF!</definedName>
    <definedName name="_vena_MYPS1_MYPB1_C_8_431662182280724481">#REF!</definedName>
    <definedName name="_vena_MYPS1_MYPB1_C_8_431662182280724481_1">#REF!</definedName>
    <definedName name="_vena_MYPS1_MYPB1_C_8_431662182280724481_2">#REF!</definedName>
    <definedName name="_vena_MYPS1_MYPB1_C_8_431662182280724481_3">#REF!</definedName>
    <definedName name="_vena_MYPS1_MYPB1_C_8_431662182280724481_4">#REF!</definedName>
    <definedName name="_vena_MYPS1_MYPB1_C_8_431662182280724481_5">#REF!</definedName>
    <definedName name="_vena_MYPS1_MYPB1_C_8_493968627431768064">#REF!</definedName>
    <definedName name="_vena_MYPS1_MYPB1_C_8_632005313608548359">#REF!</definedName>
    <definedName name="_vena_MYPS1_MYPB1_C_8_632005313616936961">#REF!</definedName>
    <definedName name="_vena_MYPS1_MYPB1_C_8_632005313629519872">#REF!</definedName>
    <definedName name="_vena_MYPS1_MYPB1_C_8_632005313629519872_1">#REF!</definedName>
    <definedName name="_vena_MYPS1_MYPB1_C_8_632005313629519872_2">#REF!</definedName>
    <definedName name="_vena_MYPS1_MYPB1_C_8_632005313629519872_3">#REF!</definedName>
    <definedName name="_vena_MYPS1_MYPB1_C_8_632005313629519872_4">#REF!</definedName>
    <definedName name="_vena_MYPS1_MYPB1_C_8_632005313629519872_5">#REF!</definedName>
    <definedName name="_vena_MYPS1_MYPB1_C_8_632005313642102786">#REF!</definedName>
    <definedName name="_vena_MYPS1_MYPB1_C_FV_56493ffece784c5db4cd0fd3b40a250d">#REF!</definedName>
    <definedName name="_vena_MYPS1_MYPB1_C_FV_56493ffece784c5db4cd0fd3b40a250d_1">#REF!</definedName>
    <definedName name="_vena_MYPS1_MYPB1_C_FV_56493ffece784c5db4cd0fd3b40a250d_2">#REF!</definedName>
    <definedName name="_vena_MYPS1_MYPB1_C_FV_56493ffece784c5db4cd0fd3b40a250d_3">#REF!</definedName>
    <definedName name="_vena_MYPS1_MYPB1_C_FV_56493ffece784c5db4cd0fd3b40a250d_4">#REF!</definedName>
    <definedName name="_vena_MYPS1_MYPB1_C_FV_56493ffece784c5db4cd0fd3b40a250d_5">#REF!</definedName>
    <definedName name="_vena_MYPS1_MYPB1_C_FV_56493ffece784c5db4cd0fd3b40a250d_6">#REF!</definedName>
    <definedName name="_vena_MYPS1_MYPB1_C_FV_e1c3a244dc3d4f149ecdf7d748811086">#REF!</definedName>
    <definedName name="_vena_MYPS1_MYPB1_C_FV_e1c3a244dc3d4f149ecdf7d748811086_1">#REF!</definedName>
    <definedName name="_vena_MYPS1_MYPB1_C_FV_e1c3a244dc3d4f149ecdf7d748811086_10">#REF!</definedName>
    <definedName name="_vena_MYPS1_MYPB1_C_FV_e1c3a244dc3d4f149ecdf7d748811086_11">#REF!</definedName>
    <definedName name="_vena_MYPS1_MYPB1_C_FV_e1c3a244dc3d4f149ecdf7d748811086_12">#REF!</definedName>
    <definedName name="_vena_MYPS1_MYPB1_C_FV_e1c3a244dc3d4f149ecdf7d748811086_13">#REF!</definedName>
    <definedName name="_vena_MYPS1_MYPB1_C_FV_e1c3a244dc3d4f149ecdf7d748811086_14">#REF!</definedName>
    <definedName name="_vena_MYPS1_MYPB1_C_FV_e1c3a244dc3d4f149ecdf7d748811086_15">#REF!</definedName>
    <definedName name="_vena_MYPS1_MYPB1_C_FV_e1c3a244dc3d4f149ecdf7d748811086_2">#REF!</definedName>
    <definedName name="_vena_MYPS1_MYPB1_C_FV_e1c3a244dc3d4f149ecdf7d748811086_3">#REF!</definedName>
    <definedName name="_vena_MYPS1_MYPB1_C_FV_e1c3a244dc3d4f149ecdf7d748811086_4">#REF!</definedName>
    <definedName name="_vena_MYPS1_MYPB1_C_FV_e1c3a244dc3d4f149ecdf7d748811086_5">#REF!</definedName>
    <definedName name="_vena_MYPS1_MYPB1_C_FV_e1c3a244dc3d4f149ecdf7d748811086_6">#REF!</definedName>
    <definedName name="_vena_MYPS1_MYPB1_C_FV_e3545e3dcc52420a84dcdae3a23a4597">#REF!</definedName>
    <definedName name="_vena_MYPS1_MYPB1_C_FV_e3545e3dcc52420a84dcdae3a23a4597_1">#REF!</definedName>
    <definedName name="_vena_MYPS1_MYPB1_C_FV_e3545e3dcc52420a84dcdae3a23a4597_10">#REF!</definedName>
    <definedName name="_vena_MYPS1_MYPB1_C_FV_e3545e3dcc52420a84dcdae3a23a4597_11">#REF!</definedName>
    <definedName name="_vena_MYPS1_MYPB1_C_FV_e3545e3dcc52420a84dcdae3a23a4597_12">#REF!</definedName>
    <definedName name="_vena_MYPS1_MYPB1_C_FV_e3545e3dcc52420a84dcdae3a23a4597_13">#REF!</definedName>
    <definedName name="_vena_MYPS1_MYPB1_C_FV_e3545e3dcc52420a84dcdae3a23a4597_14">#REF!</definedName>
    <definedName name="_vena_MYPS1_MYPB1_C_FV_e3545e3dcc52420a84dcdae3a23a4597_15">#REF!</definedName>
    <definedName name="_vena_MYPS1_MYPB1_C_FV_e3545e3dcc52420a84dcdae3a23a4597_16">#REF!</definedName>
    <definedName name="_vena_MYPS1_MYPB1_C_FV_e3545e3dcc52420a84dcdae3a23a4597_2">#REF!</definedName>
    <definedName name="_vena_MYPS1_MYPB1_C_FV_e3545e3dcc52420a84dcdae3a23a4597_3">#REF!</definedName>
    <definedName name="_vena_MYPS1_MYPB1_C_FV_e3545e3dcc52420a84dcdae3a23a4597_4">#REF!</definedName>
    <definedName name="_vena_MYPS1_MYPB1_C_FV_e3545e3dcc52420a84dcdae3a23a4597_5">#REF!</definedName>
    <definedName name="_vena_MYPS1_MYPB1_C_FV_e3545e3dcc52420a84dcdae3a23a4597_6">#REF!</definedName>
    <definedName name="_vena_MYPS1_MYPB1_C_FV_e3545e3dcc52420a84dcdae3a23a4597_9">#REF!</definedName>
    <definedName name="_vena_MYPS1_MYPB1_R_5_1111159204226662400" comment="*">#REF!</definedName>
    <definedName name="_vena_MYPS1_MYPB1_R_5_1167674209943552000" comment="*">#REF!</definedName>
    <definedName name="_vena_MYPS1_MYPB1_R_5_1170595977436463104" comment="*">#REF!</definedName>
    <definedName name="_vena_MYPS1_MYPB1_R_5_1170596113696817152" comment="*">#REF!</definedName>
    <definedName name="_vena_MYPS1_MYPB1_R_5_1177395213267632128">#REF!</definedName>
    <definedName name="_vena_MYPS1_MYPB1_R_5_1185377430419013632" comment="*">#REF!</definedName>
    <definedName name="_vena_MYPS1_MYPB1_R_5_1185377508101718016" comment="*">#REF!</definedName>
    <definedName name="_vena_MYPS1_MYPB1_R_5_1202087927775100928" comment="*">#REF!</definedName>
    <definedName name="_vena_MYPS1_MYPB1_R_5_1235034379672354816" comment="*">#REF!</definedName>
    <definedName name="_vena_MYPS1_MYPB1_R_5_1251394851461267456" comment="*">#REF!</definedName>
    <definedName name="_vena_MYPS1_MYPB1_R_5_1280678120106754048" comment="*">#REF!</definedName>
    <definedName name="_vena_MYPS1_MYPB1_R_5_1314840998504824832" comment="*">#REF!</definedName>
    <definedName name="_vena_MYPS1_MYPB1_R_5_1390947502044348416">#REF!</definedName>
    <definedName name="_vena_MYPS1_MYPB1_R_5_444308604061876225">#REF!</definedName>
    <definedName name="_vena_MYPS1_MYPB1_R_5_444308604061876227">#REF!</definedName>
    <definedName name="_vena_MYPS1_MYPB1_R_5_444308604066070532">#REF!</definedName>
    <definedName name="_vena_MYPS1_MYPB1_R_5_444308604070264833">#REF!</definedName>
    <definedName name="_vena_MYPS1_MYPB1_R_5_444308604074459137">#REF!</definedName>
    <definedName name="_vena_MYPS1_MYPB1_R_5_444308604074459139">#REF!</definedName>
    <definedName name="_vena_MYPS1_MYPB1_R_5_444308604078653441">#REF!</definedName>
    <definedName name="_vena_MYPS1_MYPB1_R_5_444308604082847745">#REF!</definedName>
    <definedName name="_vena_MYPS1_MYPB1_R_5_444308604082847747">#REF!</definedName>
    <definedName name="_vena_MYPS1_MYPB1_R_5_444308604087042049">#REF!</definedName>
    <definedName name="_vena_MYPS1_MYPB1_R_5_444308604087042051">#REF!</definedName>
    <definedName name="_vena_MYPS1_MYPB1_R_5_444308604091236353">#REF!</definedName>
    <definedName name="_vena_MYPS1_MYPB1_R_5_444308604095430657">#REF!</definedName>
    <definedName name="_vena_MYPS1_MYPB1_R_5_444308604116402177">#REF!</definedName>
    <definedName name="_vena_MYPS1_MYPB1_R_5_444308604116402179">#REF!</definedName>
    <definedName name="_vena_MYPS1_MYPB1_R_5_444308604120596481">#REF!</definedName>
    <definedName name="_vena_MYPS1_MYPB1_R_5_444308604124790785">#REF!</definedName>
    <definedName name="_vena_MYPS1_MYPB1_R_5_444308604124790787">#REF!</definedName>
    <definedName name="_vena_MYPS1_MYPB1_R_5_444308604128985089">#REF!</definedName>
    <definedName name="_vena_MYPS1_MYPB1_R_5_444308604133179393">#REF!</definedName>
    <definedName name="_vena_MYPS1_MYPB1_R_5_444308604137373699">#REF!</definedName>
    <definedName name="_vena_MYPS1_MYPB1_R_5_444308604141568003">#REF!</definedName>
    <definedName name="_vena_MYPS1_MYPB1_R_5_444308604149956609">#REF!</definedName>
    <definedName name="_vena_MYPS1_MYPB1_R_5_444308604154150913">#REF!</definedName>
    <definedName name="_vena_MYPS1_MYPB1_R_5_472311968301187073">#REF!</definedName>
    <definedName name="_vena_MYPS1_MYPB1_R_5_472311968305381377">#REF!</definedName>
    <definedName name="_vena_MYPS1_MYPB1_R_5_472311968309575681">#REF!</definedName>
    <definedName name="_vena_MYPS1_MYPB1_R_5_472311968326352896">#REF!</definedName>
    <definedName name="_vena_MYPS1_MYPB1_R_5_534875295979667456">#REF!</definedName>
    <definedName name="_vena_MYPS1_MYPB1_R_5_535682109713547264">#REF!</definedName>
    <definedName name="_vena_MYPS1_MYPB1_R_5_535694058593452032">#REF!</definedName>
    <definedName name="_vena_MYPS1_MYPB1_R_5_535694950537494528">#REF!</definedName>
    <definedName name="_vena_MYPS1_MYPB1_R_5_535695090094702658">#REF!</definedName>
    <definedName name="_vena_MYPS1_MYPB1_R_5_535697120485965824">#REF!</definedName>
    <definedName name="_vena_MYPS1_MYPB1_R_5_535697260110151680">#REF!</definedName>
    <definedName name="_vena_MYPS1_MYPB1_R_5_542464193711439872">#REF!</definedName>
    <definedName name="_vena_MYPS1_MYPB1_R_5_542464816905191424">#REF!</definedName>
    <definedName name="_vena_MYPS1_MYPB1_R_5_632005310831919105" comment="*">#REF!</definedName>
    <definedName name="_vena_MYPS1_MYPB1_R_5_632005310831919111" comment="*">#REF!</definedName>
    <definedName name="_vena_MYPS1_MYPB1_R_5_632005310831919113" comment="*">#REF!</definedName>
    <definedName name="_vena_MYPS1_MYPB1_R_5_632005310836113408" comment="*">#REF!</definedName>
    <definedName name="_vena_MYPS1_MYPB1_R_5_632005310836113410" comment="*">#REF!</definedName>
    <definedName name="_vena_MYPS1_MYPB1_R_5_632005310840307712" comment="*">#REF!</definedName>
    <definedName name="_vena_MYPS1_MYPB1_R_5_632005310852890628" comment="*">#REF!</definedName>
    <definedName name="_vena_MYPS1_MYPB1_R_5_632005310852890630">#REF!</definedName>
    <definedName name="_vena_MYPS1_MYPB1_R_5_632005310857084934" comment="*">#REF!</definedName>
    <definedName name="_vena_MYPS1_MYPB1_R_5_632005310857084936" comment="*">#REF!</definedName>
    <definedName name="_vena_MYPS1_MYPB1_R_5_632005310861279232" comment="*">#REF!</definedName>
    <definedName name="_vena_MYPS1_MYPB1_R_5_632005310861279234" comment="*">#REF!</definedName>
    <definedName name="_vena_MYPS1_MYPB1_R_5_632005310861279238" comment="*">#REF!</definedName>
    <definedName name="_vena_MYPS1_MYPB1_R_5_632005310882250754" comment="*">#REF!</definedName>
    <definedName name="_vena_MYPS1_MYPB1_R_5_632005310882250756" comment="*">#REF!</definedName>
    <definedName name="_vena_MYPS1_MYPB1_R_5_632005310886445064">#REF!</definedName>
    <definedName name="_vena_MYPS1_MYPB1_R_5_632005310890639362" comment="*">#REF!</definedName>
    <definedName name="_vena_MYPS1_MYPB1_R_5_632005310890639364" comment="*">#REF!</definedName>
    <definedName name="_vena_MYPS1_MYPB1_R_5_632005310890639366" comment="*">#REF!</definedName>
    <definedName name="_vena_MYPS1_MYPB1_R_5_632005310894833664" comment="*">#REF!</definedName>
    <definedName name="_vena_MYPS1_MYPB1_R_5_632005310894833672" comment="*">#REF!</definedName>
    <definedName name="_vena_MYPS1_MYPB1_R_5_632005310915805190" comment="*">#REF!</definedName>
    <definedName name="_vena_MYPS1_MYPB1_R_5_632005310919999492" comment="*">#REF!</definedName>
    <definedName name="_vena_MYPS1_MYPB1_R_5_632005310919999494" comment="*">#REF!</definedName>
    <definedName name="_vena_MYPS1_MYPB1_R_5_632005310919999496" comment="*">#REF!</definedName>
    <definedName name="_vena_MYPS1_MYPB1_R_5_632005310924193792" comment="*">#REF!</definedName>
    <definedName name="_vena_MYPS1_MYPB1_R_5_632005310924193798" comment="*">#REF!</definedName>
    <definedName name="_vena_MYPS1_MYPB1_R_5_632005310940971013" comment="*">#REF!</definedName>
    <definedName name="_vena_MYPS1_MYPB1_R_5_632005310945165312">#REF!</definedName>
    <definedName name="_vena_MYPS1_MYPB1_R_5_632005310945165314">#REF!</definedName>
    <definedName name="_vena_MYPS1_MYPB1_R_5_632005310945165316" comment="*">#REF!</definedName>
    <definedName name="_vena_MYPS1_MYPB1_R_5_632005310949359624" comment="*">#REF!</definedName>
    <definedName name="_vena_MYPS1_MYPB1_R_5_632005310953553920" comment="*">#REF!</definedName>
    <definedName name="_vena_MYPS1_MYPB1_R_5_632005310953553922" comment="*">#REF!</definedName>
    <definedName name="_vena_MYPS1_MYPB1_R_5_632005310953553924" comment="*">#REF!</definedName>
    <definedName name="_vena_MYPS1_MYPB1_R_5_632005310957748224" comment="*">#REF!</definedName>
    <definedName name="_vena_MYPS1_MYPB1_R_5_632005310957748226" comment="*">#REF!</definedName>
    <definedName name="_vena_MYPS1_MYPB1_R_5_632005310974525442" comment="*">#REF!</definedName>
    <definedName name="_vena_MYPS1_MYPB1_R_5_632005310974525444" comment="*">#REF!</definedName>
    <definedName name="_vena_MYPS1_MYPB1_R_5_632005310978719744" comment="*">#REF!</definedName>
    <definedName name="_vena_MYPS1_MYPB1_R_5_632005310982914050" comment="*">#REF!</definedName>
    <definedName name="_vena_MYPS1_MYPB1_R_5_632005310982914052" comment="*">#REF!</definedName>
    <definedName name="_vena_MYPS1_MYPB1_R_5_632005310982914054" comment="*">#REF!</definedName>
    <definedName name="_vena_MYPS1_MYPB1_R_5_632005310982914056" comment="*">#REF!</definedName>
    <definedName name="_vena_MYPS1_MYPB1_R_5_632005310987108357" comment="*">#REF!</definedName>
    <definedName name="_vena_MYPS1_MYPB1_R_5_632005310995496960" comment="*">#REF!</definedName>
    <definedName name="_vena_MYPS1_MYPB1_R_5_632005310995496962" comment="*">#REF!</definedName>
    <definedName name="_vena_MYPS1_MYPB1_R_5_632005310995496966" comment="*">#REF!</definedName>
    <definedName name="_vena_MYPS1_MYPB1_R_5_632005311008079873" comment="*">#REF!</definedName>
    <definedName name="_vena_MYPS1_MYPB1_R_5_632005311012274180" comment="*">#REF!</definedName>
    <definedName name="_vena_MYPS1_MYPB1_R_5_632005311012274184" comment="*">#REF!</definedName>
    <definedName name="_vena_MYPS1_MYPB1_R_5_632005311016468480" comment="*">#REF!</definedName>
    <definedName name="_vena_MYPS1_MYPB1_R_5_632005311016468486" comment="*">#REF!</definedName>
    <definedName name="_vena_MYPS1_MYPB1_R_5_632005311033245699" comment="*">#REF!</definedName>
    <definedName name="_vena_MYPS1_MYPB1_R_5_632005311033245703" comment="*">#REF!</definedName>
    <definedName name="_vena_MYPS1_MYPB1_R_5_632005311037440008" comment="*">#REF!</definedName>
    <definedName name="_vena_MYPS1_MYPB1_R_5_632005311041634304" comment="*">#REF!</definedName>
    <definedName name="_vena_MYPS1_MYPB1_R_5_632005311041634306" comment="*">#REF!</definedName>
    <definedName name="_vena_MYPS1_MYPB1_R_5_632005311041634308" comment="*">#REF!</definedName>
    <definedName name="_vena_MYPS1_MYPB1_R_5_632005311058411522">#REF!</definedName>
    <definedName name="_vena_MYPS1_MYPB1_R_5_632005311062605830" comment="*">#REF!</definedName>
    <definedName name="_vena_MYPS1_MYPB1_R_5_632005311070994432" comment="*">#REF!</definedName>
    <definedName name="_vena_MYPS1_MYPB1_R_5_632005311070994434" comment="*">#REF!</definedName>
    <definedName name="_vena_MYPS1_MYPB1_R_5_632005311070994436" comment="*">#REF!</definedName>
    <definedName name="_vena_MYPS1_MYPB1_R_5_632005311070994438" comment="*">#REF!</definedName>
    <definedName name="_vena_MYPS1_MYPB1_R_5_632005311083577348" comment="*">#REF!</definedName>
    <definedName name="_vena_MYPS1_MYPB1_R_5_632005311096160258" comment="*">#REF!</definedName>
    <definedName name="_vena_MYPS1_MYPB1_R_5_632005311096160260" comment="*">#REF!</definedName>
    <definedName name="_vena_MYPS1_MYPB1_R_5_632005311096160262" comment="*">#REF!</definedName>
    <definedName name="_vena_MYPS1_MYPB1_R_5_632005311096160264" comment="*">#REF!</definedName>
    <definedName name="_vena_MYPS1_MYPB1_R_5_632005311100354567" comment="*">#REF!</definedName>
    <definedName name="_vena_MYPS1_MYPB1_R_5_632005311121326082" comment="*">#REF!</definedName>
    <definedName name="_vena_MYPS1_MYPB1_R_5_632005311121326086" comment="*">#REF!</definedName>
    <definedName name="_vena_MYPS1_MYPB1_R_5_632005311125520384" comment="*">#REF!</definedName>
    <definedName name="_vena_MYPS1_MYPB1_R_5_632005311125520386" comment="*">#REF!</definedName>
    <definedName name="_vena_MYPS1_MYPB1_R_5_632005311125520392" comment="*">#REF!</definedName>
    <definedName name="_vena_MYPS1_MYPB1_R_5_632005311146491912" comment="*">#REF!</definedName>
    <definedName name="_vena_MYPS1_MYPB1_R_5_632005311150686208" comment="*">#REF!</definedName>
    <definedName name="_vena_MYPS1_MYPB1_R_5_632005311154880512" comment="*">#REF!</definedName>
    <definedName name="_vena_MYPS1_MYPB1_R_5_632005311154880514" comment="*">#REF!</definedName>
    <definedName name="_vena_MYPS1_MYPB1_R_5_632005311154880516" comment="*">#REF!</definedName>
    <definedName name="_vena_MYPS1_MYPB1_R_5_632005311159074816" comment="*">#REF!</definedName>
    <definedName name="_vena_MYPS1_MYPB1_R_5_632005311175852035" comment="*">#REF!</definedName>
    <definedName name="_vena_MYPS1_MYPB1_R_5_632005311175852039" comment="*">#REF!</definedName>
    <definedName name="_vena_MYPS1_MYPB1_R_5_632005311184240640" comment="*">#REF!</definedName>
    <definedName name="_vena_MYPS1_MYPB1_R_5_632005311184240642" comment="*">#REF!</definedName>
    <definedName name="_vena_MYPS1_MYPB1_R_5_632005311184240644" comment="*">#REF!</definedName>
    <definedName name="_vena_MYPS1_MYPB1_R_5_632005311188434945" comment="*">#REF!</definedName>
    <definedName name="_vena_MYPS1_MYPB1_R_5_632005311196823560">#REF!</definedName>
    <definedName name="_vena_MYPS1_MYPB1_R_5_632005311209406470" comment="*">#REF!</definedName>
    <definedName name="_vena_MYPS1_MYPB1_R_5_632005311209406472" comment="*">#REF!</definedName>
    <definedName name="_vena_MYPS1_MYPB1_R_5_632005311213600768" comment="*">#REF!</definedName>
    <definedName name="_vena_MYPS1_MYPB1_R_5_632005311213600770" comment="*">#REF!</definedName>
    <definedName name="_vena_MYPS1_MYPB1_R_5_632005311230377986" comment="*">#REF!</definedName>
    <definedName name="_vena_MYPS1_MYPB1_R_5_632005311234572292" comment="*">#REF!</definedName>
    <definedName name="_vena_MYPS1_MYPB1_R_5_632005311234572294" comment="*">#REF!</definedName>
    <definedName name="_vena_MYPS1_MYPB1_R_5_632005311238766592" comment="*">#REF!</definedName>
    <definedName name="_vena_MYPS1_MYPB1_R_5_632005311238766596" comment="*">#REF!</definedName>
    <definedName name="_vena_MYPS1_MYPB1_R_5_632005311238766600" comment="*">#REF!</definedName>
    <definedName name="_vena_MYPS1_MYPB1_R_5_632005311255543815" comment="*">#REF!</definedName>
    <definedName name="_vena_MYPS1_MYPB1_R_5_632005311259738112" comment="*">#REF!</definedName>
    <definedName name="_vena_MYPS1_MYPB1_R_5_632005311259738114" comment="*">#REF!</definedName>
    <definedName name="_vena_MYPS1_MYPB1_R_5_632005311263932420" comment="*">#REF!</definedName>
    <definedName name="_vena_MYPS1_MYPB1_R_5_632005311263932422" comment="*">#REF!</definedName>
    <definedName name="_vena_MYPS1_MYPB1_R_5_632005311268126720" comment="*">#REF!</definedName>
    <definedName name="_vena_MYPS1_MYPB1_R_5_632005311268126726" comment="*">#REF!</definedName>
    <definedName name="_vena_MYPS1_MYPB1_R_5_632005311268126728" comment="*">#REF!</definedName>
    <definedName name="_vena_MYPS1_MYPB1_R_5_632005311284903938" comment="*">#REF!</definedName>
    <definedName name="_vena_MYPS1_MYPB1_R_5_632005311284903942" comment="*">#REF!</definedName>
    <definedName name="_vena_MYPS1_MYPB1_R_5_632005311289098249" comment="*">#REF!</definedName>
    <definedName name="_vena_MYPS1_MYPB1_R_5_632005311293292544" comment="*">#REF!</definedName>
    <definedName name="_vena_MYPS1_MYPB1_R_5_632005311293292546" comment="*">#REF!</definedName>
    <definedName name="_vena_MYPS1_MYPB1_R_5_632005311293292548" comment="*">#REF!</definedName>
    <definedName name="_vena_MYPS1_MYPB1_R_5_632005311297486850" comment="*">#REF!</definedName>
    <definedName name="_vena_MYPS1_MYPB1_R_5_632005311297486852" comment="*">#REF!</definedName>
    <definedName name="_vena_MYPS1_MYPB1_R_5_632005311318458370" comment="*">#REF!</definedName>
    <definedName name="_vena_MYPS1_MYPB1_R_5_632005311318458372" comment="*">#REF!</definedName>
    <definedName name="_vena_MYPS1_MYPB1_R_5_632005311318458374" comment="*">#REF!</definedName>
    <definedName name="_vena_MYPS1_MYPB1_R_5_632005311318458376" comment="*">#REF!</definedName>
    <definedName name="_vena_MYPS1_MYPB1_R_5_632005311322652677" comment="*">#REF!</definedName>
    <definedName name="_vena_MYPS1_MYPB1_R_5_632005311322652679" comment="*">#REF!</definedName>
    <definedName name="_vena_MYPS1_MYPB1_R_5_632005311335235592" comment="*">#REF!</definedName>
    <definedName name="_vena_MYPS1_MYPB1_R_5_632005311339429888" comment="*">#REF!</definedName>
    <definedName name="_vena_MYPS1_MYPB1_R_5_632005311339429890" comment="*">#REF!</definedName>
    <definedName name="_vena_MYPS1_MYPB1_R_5_632005311339429892" comment="*">#REF!</definedName>
    <definedName name="_vena_MYPS1_MYPB1_R_5_632005311339429894" comment="*">#REF!</definedName>
    <definedName name="_vena_MYPS1_MYPB1_R_5_632005311343624200" comment="*">#REF!</definedName>
    <definedName name="_vena_MYPS1_MYPB1_R_5_632005311347818496" comment="*">#REF!</definedName>
    <definedName name="_vena_MYPS1_MYPB1_R_5_632005311347818498" comment="*">#REF!</definedName>
    <definedName name="_vena_MYPS1_MYPB1_R_5_632005311347818500" comment="*">#REF!</definedName>
    <definedName name="_vena_MYPS1_MYPB1_R_5_632005311352012802" comment="*">#REF!</definedName>
    <definedName name="_vena_MYPS1_MYPB1_R_5_632005311352012804" comment="*">#REF!</definedName>
    <definedName name="_vena_MYPS1_MYPB1_R_5_632005311372984320">#REF!</definedName>
    <definedName name="_vena_MYPS1_MYPB1_R_5_632005311372984322">#REF!</definedName>
    <definedName name="_vena_MYPS1_MYPB1_R_5_632005311377178626" comment="*">#REF!</definedName>
    <definedName name="_vena_MYPS1_MYPB1_R_5_632005311377178628" comment="*">#REF!</definedName>
    <definedName name="_vena_MYPS1_MYPB1_R_5_632005311377178630" comment="*">#REF!</definedName>
    <definedName name="_vena_MYPS1_MYPB1_R_5_632005311377178632" comment="*">#REF!</definedName>
    <definedName name="_vena_MYPS1_MYPB1_R_5_632005311381372931" comment="*">#REF!</definedName>
    <definedName name="_vena_MYPS1_MYPB1_R_5_632005311381372933" comment="*">#REF!</definedName>
    <definedName name="_vena_MYPS1_MYPB1_R_5_632005311398150152" comment="*">#REF!</definedName>
    <definedName name="_vena_MYPS1_MYPB1_R_5_632005311402344448" comment="*">#REF!</definedName>
    <definedName name="_vena_MYPS1_MYPB1_R_5_632005311402344450" comment="*">#REF!</definedName>
    <definedName name="_vena_MYPS1_MYPB1_R_5_632005311402344452" comment="*">#REF!</definedName>
    <definedName name="_vena_MYPS1_MYPB1_R_5_632005311406538754" comment="*">#REF!</definedName>
    <definedName name="_vena_MYPS1_MYPB1_R_5_632005311406538756" comment="*">#REF!</definedName>
    <definedName name="_vena_MYPS1_MYPB1_R_5_632005311406538758" comment="*">#REF!</definedName>
    <definedName name="_vena_MYPS1_MYPB1_R_5_632005311423315976" comment="*">#REF!</definedName>
    <definedName name="_vena_MYPS1_MYPB1_R_5_632005311427510272" comment="*">#REF!</definedName>
    <definedName name="_vena_MYPS1_MYPB1_R_5_632005311427510274" comment="*">#REF!</definedName>
    <definedName name="_vena_MYPS1_MYPB1_R_5_632005311431704581" comment="*">#REF!</definedName>
    <definedName name="_vena_MYPS1_MYPB1_R_5_632005311431704583" comment="*">#REF!</definedName>
    <definedName name="_vena_MYPS1_MYPB1_R_5_632005311435898880" comment="*">#REF!</definedName>
    <definedName name="_vena_MYPS1_MYPB1_R_5_632005311435898882" comment="*">#REF!</definedName>
    <definedName name="_vena_MYPS1_MYPB1_R_5_632005311440093184" comment="*">#REF!</definedName>
    <definedName name="_vena_MYPS1_MYPB1_R_5_632005311444287488">#REF!</definedName>
    <definedName name="_vena_MYPS1_MYPB1_R_5_632005311452676096" comment="*">#REF!</definedName>
    <definedName name="_vena_MYPS1_MYPB1_R_5_632005311452676098" comment="*">#REF!</definedName>
    <definedName name="_vena_MYPS1_MYPB1_R_5_632005311452676100" comment="*">#REF!</definedName>
    <definedName name="_vena_MYPS1_MYPB1_R_5_632005311452676102" comment="*">#REF!</definedName>
    <definedName name="_vena_MYPS1_MYPB1_R_5_632005311456870402" comment="*">#REF!</definedName>
    <definedName name="_vena_MYPS1_MYPB1_R_5_632005311473647616" comment="*">#REF!</definedName>
    <definedName name="_vena_MYPS1_MYPB1_R_5_632005311477841923" comment="*">#REF!</definedName>
    <definedName name="_vena_MYPS1_MYPB1_R_5_632005311477841925" comment="*">#REF!</definedName>
    <definedName name="_vena_MYPS1_MYPB1_R_5_632005311477841927" comment="*">#REF!</definedName>
    <definedName name="_vena_MYPS1_MYPB1_R_5_632005311482036224" comment="*">#REF!</definedName>
    <definedName name="_vena_MYPS1_MYPB1_R_5_632005311482036226" comment="*">#REF!</definedName>
    <definedName name="_vena_MYPS1_MYPB1_R_5_632005311486230528" comment="*">#REF!</definedName>
    <definedName name="_vena_MYPS1_MYPB1_R_5_632005311486230530" comment="*">#REF!</definedName>
    <definedName name="_vena_MYPS1_MYPB1_R_5_632005311503007752" comment="*">#REF!</definedName>
    <definedName name="_vena_MYPS1_MYPB1_R_5_632005311507202050" comment="*">#REF!</definedName>
    <definedName name="_vena_MYPS1_MYPB1_R_5_632005311507202054" comment="*">#REF!</definedName>
    <definedName name="_vena_MYPS1_MYPB1_R_5_632005311507202056" comment="*">#REF!</definedName>
    <definedName name="_vena_MYPS1_MYPB1_R_5_632005311511396352" comment="*">#REF!</definedName>
    <definedName name="_vena_MYPS1_MYPB1_R_5_632005311511396358" comment="*">#REF!</definedName>
    <definedName name="_vena_MYPS1_MYPB1_R_5_632005311515590656" comment="*">#REF!</definedName>
    <definedName name="_vena_MYPS1_MYPB1_R_5_632005311515590658" comment="*">#REF!</definedName>
    <definedName name="_vena_MYPS1_MYPB1_R_5_632005311523979268" comment="*">#REF!</definedName>
    <definedName name="_vena_MYPS1_MYPB1_R_5_632005311528173572">#REF!</definedName>
    <definedName name="_vena_MYPS1_MYPB1_R_5_632005311532367880" comment="*">#REF!</definedName>
    <definedName name="_vena_MYPS1_MYPB1_R_5_632005311536562178" comment="*">#REF!</definedName>
    <definedName name="_vena_MYPS1_MYPB1_R_5_632005311536562180" comment="*">#REF!</definedName>
    <definedName name="_vena_MYPS1_MYPB1_R_5_632005311540756484">#REF!</definedName>
    <definedName name="_vena_MYPS1_MYPB1_R_5_632005311540756486" comment="*">#REF!</definedName>
    <definedName name="_vena_MYPS1_MYPB1_R_5_632005311540756488" comment="*">#REF!</definedName>
    <definedName name="_vena_MYPS1_MYPB1_R_5_632005311544950784" comment="*">#REF!</definedName>
    <definedName name="_vena_MYPS1_MYPB1_R_5_632005311549145088" comment="*">#REF!</definedName>
    <definedName name="_vena_MYPS1_MYPB1_R_5_632005311549145090" comment="*">#REF!</definedName>
    <definedName name="_vena_MYPS1_MYPB1_R_5_632005311549145096" comment="*">#REF!</definedName>
    <definedName name="_vena_MYPS1_MYPB1_R_5_632005311565922304" comment="*">#REF!</definedName>
    <definedName name="_vena_MYPS1_MYPB1_R_5_632005311565922306">#REF!</definedName>
    <definedName name="_vena_MYPS1_MYPB1_R_5_632005311570116610" comment="*">#REF!</definedName>
    <definedName name="_vena_MYPS1_MYPB1_R_5_632005311570116612" comment="*">#REF!</definedName>
    <definedName name="_vena_MYPS1_MYPB1_R_5_632005311570116614" comment="*">#REF!</definedName>
    <definedName name="_vena_MYPS1_MYPB1_R_5_632005311574310912" comment="*">#REF!</definedName>
    <definedName name="_vena_MYPS1_MYPB1_R_5_632005311574310916" comment="*">#REF!</definedName>
    <definedName name="_vena_MYPS1_MYPB1_R_5_632005311574310918" comment="*">#REF!</definedName>
    <definedName name="_vena_MYPS1_MYPB1_R_5_632005311599476737" comment="*">#REF!</definedName>
    <definedName name="_vena_MYPS1_MYPB1_R_5_632005311603671046" comment="*">#REF!</definedName>
    <definedName name="_vena_MYPS1_MYPB1_R_5_632005311603671049" comment="*">#REF!</definedName>
    <definedName name="_vena_MYPS1_MYPB1_R_5_632005311607865344" comment="*">#REF!</definedName>
    <definedName name="_vena_MYPS1_MYPB1_R_5_632005311607865346" comment="*">#REF!</definedName>
    <definedName name="_vena_MYPS1_MYPB1_R_5_632005311612059648" comment="*">#REF!</definedName>
    <definedName name="_vena_MYPS1_MYPB1_R_5_632005311612059650" comment="*">#REF!</definedName>
    <definedName name="_vena_MYPS1_MYPB1_R_5_632005311628836870" comment="*">#REF!</definedName>
    <definedName name="_vena_MYPS1_MYPB1_R_5_632005311641419782" comment="*">#REF!</definedName>
    <definedName name="_vena_MYPS1_MYPB1_R_5_632005311645614080" comment="*">#REF!</definedName>
    <definedName name="_vena_MYPS1_MYPB1_R_5_632005311645614082" comment="*">#REF!</definedName>
    <definedName name="_vena_MYPS1_MYPB1_R_5_632005311649808390" comment="*">#REF!</definedName>
    <definedName name="_vena_MYPS1_MYPB1_R_5_632005311649808392" comment="*">#REF!</definedName>
    <definedName name="_vena_MYPS1_MYPB1_R_5_632005311654002688" comment="*">#REF!</definedName>
    <definedName name="_vena_MYPS1_MYPB1_R_5_632005311654002690" comment="*">#REF!</definedName>
    <definedName name="_vena_MYPS1_MYPB1_R_5_632005311654002694" comment="*">#REF!</definedName>
    <definedName name="_vena_MYPS1_MYPB1_R_5_632005311654002696" comment="*">#REF!</definedName>
    <definedName name="_vena_MYPS1_MYPB1_R_5_632005311674974208" comment="*">#REF!</definedName>
    <definedName name="_vena_MYPS1_MYPB1_R_5_632005311674974217" comment="*">#REF!</definedName>
    <definedName name="_vena_MYPS1_MYPB1_R_5_632005311679168512" comment="*">#REF!</definedName>
    <definedName name="_vena_MYPS1_MYPB1_R_5_632005311679168514" comment="*">#REF!</definedName>
    <definedName name="_vena_MYPS1_MYPB1_R_5_632005311679168516" comment="*">#REF!</definedName>
    <definedName name="_vena_MYPS1_MYPB1_R_5_632005311683362816" comment="*">#REF!</definedName>
    <definedName name="_vena_MYPS1_MYPB1_R_5_632005311683362818" comment="*">#REF!</definedName>
    <definedName name="_vena_MYPS1_MYPB1_R_5_632005311691751424" comment="*">#REF!</definedName>
    <definedName name="_vena_MYPS1_MYPB1_R_5_632005311700140038" comment="*">#REF!</definedName>
    <definedName name="_vena_MYPS1_MYPB1_R_5_632005311704334340" comment="*">#REF!</definedName>
    <definedName name="_vena_MYPS1_MYPB1_R_5_632005311704334342" comment="*">#REF!</definedName>
    <definedName name="_vena_MYPS1_MYPB1_R_5_632005311704334344" comment="*">#REF!</definedName>
    <definedName name="_vena_MYPS1_MYPB1_R_5_632005311704334346" comment="*">#REF!</definedName>
    <definedName name="_vena_MYPS1_MYPB1_R_5_632005311708528643" comment="*">#REF!</definedName>
    <definedName name="_vena_MYPS1_MYPB1_R_5_632005311725305856" comment="*">#REF!</definedName>
    <definedName name="_vena_MYPS1_MYPB1_R_5_632005311729500162" comment="*">#REF!</definedName>
    <definedName name="_vena_MYPS1_MYPB1_R_5_632005311729500164" comment="*">#REF!</definedName>
    <definedName name="_vena_MYPS1_MYPB1_R_5_632005311729500168" comment="*">#REF!</definedName>
    <definedName name="_vena_MYPS1_MYPB1_R_5_632005311733694472" comment="*">#REF!</definedName>
    <definedName name="_vena_MYPS1_MYPB1_R_5_632005311737888768" comment="*">#REF!</definedName>
    <definedName name="_vena_MYPS1_MYPB1_R_5_632005311737888770" comment="*">#REF!</definedName>
    <definedName name="_vena_MYPS1_MYPB1_R_5_632005311737888772" comment="*">#REF!</definedName>
    <definedName name="_vena_MYPS1_MYPB1_R_5_632005311758860291" comment="*">#REF!</definedName>
    <definedName name="_vena_MYPS1_MYPB1_R_5_632005311758860295" comment="*">#REF!</definedName>
    <definedName name="_vena_MYPS1_MYPB1_R_5_632005311758860297" comment="*">#REF!</definedName>
    <definedName name="_vena_MYPS1_MYPB1_R_5_632005311763054592" comment="*">#REF!</definedName>
    <definedName name="_vena_MYPS1_MYPB1_R_5_632005311763054594" comment="*">#REF!</definedName>
    <definedName name="_vena_MYPS1_MYPB1_R_5_632005311763054596" comment="*">#REF!</definedName>
    <definedName name="_vena_MYPS1_MYPB1_R_5_632005311763054598" comment="*">#REF!</definedName>
    <definedName name="_vena_MYPS1_MYPB1_R_5_632005311771443204" comment="*">#REF!</definedName>
    <definedName name="_vena_MYPS1_MYPB1_R_5_632005311784026112" comment="*">#REF!</definedName>
    <definedName name="_vena_MYPS1_MYPB1_R_5_632005311784026114" comment="*">#REF!</definedName>
    <definedName name="_vena_MYPS1_MYPB1_R_5_632005311784026116" comment="*">#REF!</definedName>
    <definedName name="_vena_MYPS1_MYPB1_R_5_632005311788220419" comment="*">#REF!</definedName>
    <definedName name="_vena_MYPS1_MYPB1_R_5_632005311788220421" comment="*">#REF!</definedName>
    <definedName name="_vena_MYPS1_MYPB1_R_5_632005311788220425" comment="*">#REF!</definedName>
    <definedName name="_vena_MYPS1_MYPB1_R_5_632005311792414722" comment="*">#REF!</definedName>
    <definedName name="_vena_MYPS1_MYPB1_R_5_632005311792414724" comment="*">#REF!</definedName>
    <definedName name="_vena_MYPS1_MYPB1_R_5_632005311792414726" comment="*">#REF!</definedName>
    <definedName name="_vena_MYPS1_MYPB1_R_5_632005311809191946" comment="*">#REF!</definedName>
    <definedName name="_vena_MYPS1_MYPB1_R_5_632005311817580544" comment="*">#REF!</definedName>
    <definedName name="_vena_MYPS1_MYPB1_R_5_632005311817580546" comment="*">#REF!</definedName>
    <definedName name="_vena_MYPS1_MYPB1_R_5_632005311817580548" comment="*">#REF!</definedName>
    <definedName name="_vena_MYPS1_MYPB1_R_5_632005311817580550" comment="*">#REF!</definedName>
    <definedName name="_vena_MYPS1_MYPB1_R_5_632005311817580552" comment="*">#REF!</definedName>
    <definedName name="_vena_MYPS1_MYPB1_R_5_632005311821774848" comment="*">#REF!</definedName>
    <definedName name="_vena_MYPS1_MYPB1_R_5_632005311838552072" comment="*">#REF!</definedName>
    <definedName name="_vena_MYPS1_MYPB1_R_5_632005311842746368" comment="*">#REF!</definedName>
    <definedName name="_vena_MYPS1_MYPB1_R_5_632005311842746370" comment="*">#REF!</definedName>
    <definedName name="_vena_MYPS1_MYPB1_R_5_632005311842746372" comment="*">#REF!</definedName>
    <definedName name="_vena_MYPS1_MYPB1_R_5_632005311846940672" comment="*">#REF!</definedName>
    <definedName name="_vena_MYPS1_MYPB1_R_5_632005311846940674" comment="*">#REF!</definedName>
    <definedName name="_vena_MYPS1_MYPB1_R_5_632005311859523594" comment="*">#REF!</definedName>
    <definedName name="_vena_MYPS1_MYPB1_R_5_632005311863717888" comment="*">#REF!</definedName>
    <definedName name="_vena_MYPS1_MYPB1_R_5_632005311867912192" comment="*">#REF!</definedName>
    <definedName name="_vena_MYPS1_MYPB1_R_5_632005311867912194" comment="*">#REF!</definedName>
    <definedName name="_vena_MYPS1_MYPB1_R_5_632005311867912196" comment="*">#REF!</definedName>
    <definedName name="_vena_MYPS1_MYPB1_R_5_632005311867912198" comment="*">#REF!</definedName>
    <definedName name="_vena_MYPS1_MYPB1_R_5_632005311872106499" comment="*">#REF!</definedName>
    <definedName name="_vena_MYPS1_MYPB1_R_5_632005311888883714" comment="*">#REF!</definedName>
    <definedName name="_vena_MYPS1_MYPB1_R_5_632005311888883718" comment="*">#REF!</definedName>
    <definedName name="_vena_MYPS1_MYPB1_R_5_632005311893078018" comment="*">#REF!</definedName>
    <definedName name="_vena_MYPS1_MYPB1_R_5_632005311893078020" comment="*">#REF!</definedName>
    <definedName name="_vena_MYPS1_MYPB1_R_5_632005311893078022" comment="*">#REF!</definedName>
    <definedName name="_vena_MYPS1_MYPB1_R_5_632005311897272322" comment="*">#REF!</definedName>
    <definedName name="_vena_MYPS1_MYPB1_R_5_632005311897272324" comment="*">#REF!</definedName>
    <definedName name="_vena_MYPS1_MYPB1_R_5_632005311909855232">#REF!</definedName>
    <definedName name="_vena_MYPS1_MYPB1_R_5_632005311914049538" comment="*">#REF!</definedName>
    <definedName name="_vena_MYPS1_MYPB1_R_5_632005311918243845" comment="*">#REF!</definedName>
    <definedName name="_vena_MYPS1_MYPB1_R_5_632005311918243847" comment="*">#REF!</definedName>
    <definedName name="_vena_MYPS1_MYPB1_R_5_632005311918243849" comment="*">#REF!</definedName>
    <definedName name="_vena_MYPS1_MYPB1_R_5_632005311922438144" comment="*">#REF!</definedName>
    <definedName name="_vena_MYPS1_MYPB1_R_5_632005311922438150" comment="*">#REF!</definedName>
    <definedName name="_vena_MYPS1_MYPB1_R_5_632005311939215368" comment="*">#REF!</definedName>
    <definedName name="_vena_MYPS1_MYPB1_R_5_632005311943409666">#REF!</definedName>
    <definedName name="_vena_MYPS1_MYPB1_R_5_632005311943409668" comment="*">#REF!</definedName>
    <definedName name="_vena_MYPS1_MYPB1_R_5_632005311943409670" comment="*">#REF!</definedName>
    <definedName name="_vena_MYPS1_MYPB1_R_5_632005311943409672" comment="*">#REF!</definedName>
    <definedName name="_vena_MYPS1_MYPB1_R_5_632005311943409674" comment="*">#REF!</definedName>
    <definedName name="_vena_MYPS1_MYPB1_R_5_632005311947603973" comment="*">#REF!</definedName>
    <definedName name="_vena_MYPS1_MYPB1_R_5_632005311947603975" comment="*">#REF!</definedName>
    <definedName name="_vena_MYPS1_MYPB1_R_5_632005311960186888" comment="*">#REF!</definedName>
    <definedName name="_vena_MYPS1_MYPB1_R_5_632005311964381184" comment="*">#REF!</definedName>
    <definedName name="_vena_MYPS1_MYPB1_R_5_632005311964381192" comment="*">#REF!</definedName>
    <definedName name="_vena_MYPS1_MYPB1_R_5_632005311968575488" comment="*">#REF!</definedName>
    <definedName name="_vena_MYPS1_MYPB1_R_5_632005311972769793" comment="*">#REF!</definedName>
    <definedName name="_vena_MYPS1_MYPB1_R_5_632005311972769795" comment="*">#REF!</definedName>
    <definedName name="_vena_MYPS1_MYPB1_R_5_632005311972769797" comment="*">#REF!</definedName>
    <definedName name="_vena_MYPS1_MYPB1_R_5_632005311972769805" comment="*">#REF!</definedName>
    <definedName name="_vena_MYPS1_MYPB1_R_5_632005311976964096" comment="*">#REF!</definedName>
    <definedName name="_vena_MYPS1_MYPB1_R_5_632005311976964121" comment="*">#REF!</definedName>
    <definedName name="_vena_MYPS1_MYPB1_R_5_632005311997935642" comment="*">#REF!</definedName>
    <definedName name="_vena_MYPS1_MYPB1_R_5_632005312002129944" comment="*">#REF!</definedName>
    <definedName name="_vena_MYPS1_MYPB1_R_5_632005312002129952" comment="*">#REF!</definedName>
    <definedName name="_vena_MYPS1_MYPB1_R_5_632005312002129961" comment="*">#REF!</definedName>
    <definedName name="_vena_MYPS1_MYPB1_R_5_632005312006324232" comment="*">#REF!</definedName>
    <definedName name="_vena_MYPS1_MYPB1_R_5_632005312006324257" comment="*">#REF!</definedName>
    <definedName name="_vena_MYPS1_MYPB1_R_5_632005312027295755" comment="*">#REF!</definedName>
    <definedName name="_vena_MYPS1_MYPB1_R_5_632005312031490051" comment="*">#REF!</definedName>
    <definedName name="_vena_MYPS1_MYPB1_R_5_632005312031490058" comment="*">#REF!</definedName>
    <definedName name="_vena_MYPS1_MYPB1_R_5_632005312031490068" comment="*">#REF!</definedName>
    <definedName name="_vena_MYPS1_MYPB1_R_5_632005312031490077" comment="*">#REF!</definedName>
    <definedName name="_vena_MYPS1_MYPB1_R_5_632005312035684364" comment="*">#REF!</definedName>
    <definedName name="_vena_MYPS1_MYPB1_R_5_632005312048267270" comment="*">#REF!</definedName>
    <definedName name="_vena_MYPS1_MYPB1_R_5_632005312048267272" comment="*">#REF!</definedName>
    <definedName name="_vena_MYPS1_MYPB1_R_5_632005312048267274" comment="*">#REF!</definedName>
    <definedName name="_vena_MYPS1_MYPB1_R_5_632005312052461569" comment="*">#REF!</definedName>
    <definedName name="_vena_MYPS1_MYPB1_R_5_632005312052461577" comment="*">#REF!</definedName>
    <definedName name="_vena_MYPS1_MYPB1_R_5_632005312056655872" comment="*">#REF!</definedName>
    <definedName name="_vena_MYPS1_MYPB1_R_5_632005312056655874" comment="*">#REF!</definedName>
    <definedName name="_vena_MYPS1_MYPB1_R_5_632005312056655876" comment="*">#REF!</definedName>
    <definedName name="_vena_MYPS1_MYPB1_R_5_632005312060850179" comment="*">#REF!</definedName>
    <definedName name="_vena_MYPS1_MYPB1_R_5_632005312077627400" comment="*">#REF!</definedName>
    <definedName name="_vena_MYPS1_MYPB1_R_5_632005312077627402" comment="*">#REF!</definedName>
    <definedName name="_vena_MYPS1_MYPB1_R_5_632005312081821697" comment="*">#REF!</definedName>
    <definedName name="_vena_MYPS1_MYPB1_R_5_632005312081821699" comment="*">#REF!</definedName>
    <definedName name="_vena_MYPS1_MYPB1_R_5_632005312086016000" comment="*">#REF!</definedName>
    <definedName name="_vena_MYPS1_MYPB1_R_5_632005312086016002" comment="*">#REF!</definedName>
    <definedName name="_vena_MYPS1_MYPB1_R_5_632005312094404608">#REF!</definedName>
    <definedName name="_vena_MYPS1_MYPB1_R_5_632005312098598914" comment="*">#REF!</definedName>
    <definedName name="_vena_MYPS1_MYPB1_R_5_632005312098598918" comment="*">#REF!</definedName>
    <definedName name="_vena_MYPS1_MYPB1_R_5_632005312102793222" comment="*">#REF!</definedName>
    <definedName name="_vena_MYPS1_MYPB1_R_5_632005312102793224" comment="*">#REF!</definedName>
    <definedName name="_vena_MYPS1_MYPB1_R_5_632005312106987520" comment="*">#REF!</definedName>
    <definedName name="_vena_MYPS1_MYPB1_R_5_632005312106987522" comment="*">#REF!</definedName>
    <definedName name="_vena_MYPS1_MYPB1_R_5_632005312111181824" comment="*">#REF!</definedName>
    <definedName name="_vena_MYPS1_MYPB1_R_5_632005312111181826" comment="*">#REF!</definedName>
    <definedName name="_vena_MYPS1_MYPB1_R_5_632005312111181828" comment="*">#REF!</definedName>
    <definedName name="_vena_MYPS1_MYPB1_R_5_632005312127959044" comment="*">#REF!</definedName>
    <definedName name="_vena_MYPS1_MYPB1_R_5_632005312127959056" comment="*">#REF!</definedName>
    <definedName name="_vena_MYPS1_MYPB1_R_5_632005312127959058" comment="*">#REF!</definedName>
    <definedName name="_vena_MYPS1_MYPB1_R_5_632005312132153347" comment="*">#REF!</definedName>
    <definedName name="_vena_MYPS1_MYPB1_R_5_632005312132153349" comment="*">#REF!</definedName>
    <definedName name="_vena_MYPS1_MYPB1_R_5_632005312148930564" comment="*">#REF!</definedName>
    <definedName name="_vena_MYPS1_MYPB1_R_5_632005312148930568" comment="*">#REF!</definedName>
    <definedName name="_vena_MYPS1_MYPB1_R_5_632005312153124864">#REF!</definedName>
    <definedName name="_vena_MYPS1_MYPB1_R_5_632005312153124870" comment="*">#REF!</definedName>
    <definedName name="_vena_MYPS1_MYPB1_R_5_632005312153124872" comment="*">#REF!</definedName>
    <definedName name="_vena_MYPS1_MYPB1_R_5_632005312157319168" comment="*">#REF!</definedName>
    <definedName name="_vena_MYPS1_MYPB1_R_5_632005312157319170" comment="*">#REF!</definedName>
    <definedName name="_vena_MYPS1_MYPB1_R_5_632005312157319176" comment="*">#REF!</definedName>
    <definedName name="_vena_MYPS1_MYPB1_R_5_632005312161513472" comment="*">#REF!</definedName>
    <definedName name="_vena_MYPS1_MYPB1_R_5_632005312161513474" comment="*">#REF!</definedName>
    <definedName name="_vena_MYPS1_MYPB1_R_5_632005312161513476" comment="*">#REF!</definedName>
    <definedName name="_vena_MYPS1_MYPB1_R_5_632005312178290696" comment="*">#REF!</definedName>
    <definedName name="_vena_MYPS1_MYPB1_R_5_632005312182484998" comment="*">#REF!</definedName>
    <definedName name="_vena_MYPS1_MYPB1_R_5_632005312182485000" comment="*">#REF!</definedName>
    <definedName name="_vena_MYPS1_MYPB1_R_5_632005312186679296" comment="*">#REF!</definedName>
    <definedName name="_vena_MYPS1_MYPB1_R_5_632005312186679302" comment="*">#REF!</definedName>
    <definedName name="_vena_MYPS1_MYPB1_R_5_632005312186679304" comment="*">#REF!</definedName>
    <definedName name="_vena_MYPS1_MYPB1_R_5_632005312199262218" comment="*">#REF!</definedName>
    <definedName name="_vena_MYPS1_MYPB1_R_5_632005312211845122" comment="*">#REF!</definedName>
    <definedName name="_vena_MYPS1_MYPB1_R_5_632005312211845124" comment="*">#REF!</definedName>
    <definedName name="_vena_MYPS1_MYPB1_R_5_632005312211845127" comment="*">#REF!</definedName>
    <definedName name="_vena_MYPS1_MYPB1_R_5_632005312216039426" comment="*">#REF!</definedName>
    <definedName name="_vena_MYPS1_MYPB1_R_5_632005312216039428" comment="*">#REF!</definedName>
    <definedName name="_vena_MYPS1_MYPB1_R_5_632005312228622346" comment="*">#REF!</definedName>
    <definedName name="_vena_MYPS1_MYPB1_R_5_632005312232816640" comment="*">#REF!</definedName>
    <definedName name="_vena_MYPS1_MYPB1_R_5_632005312232816642" comment="*">#REF!</definedName>
    <definedName name="_vena_MYPS1_MYPB1_R_5_632005312237010952" comment="*">#REF!</definedName>
    <definedName name="_vena_MYPS1_MYPB1_R_5_632005312241205248" comment="*">#REF!</definedName>
    <definedName name="_vena_MYPS1_MYPB1_R_5_632005312241205254" comment="*">#REF!</definedName>
    <definedName name="_vena_MYPS1_MYPB1_R_5_632005312262176775" comment="*">#REF!</definedName>
    <definedName name="_vena_MYPS1_MYPB1_R_5_632005312266371080" comment="*">#REF!</definedName>
    <definedName name="_vena_MYPS1_MYPB1_R_5_632005312270565376" comment="*">#REF!</definedName>
    <definedName name="_vena_MYPS1_MYPB1_R_5_632005312270565382" comment="*">#REF!</definedName>
    <definedName name="_vena_MYPS1_MYPB1_R_5_632005312270565384" comment="*">#REF!</definedName>
    <definedName name="_vena_MYPS1_MYPB1_R_5_632005312291536902" comment="*">#REF!</definedName>
    <definedName name="_vena_MYPS1_MYPB1_R_5_632005312295731204">#REF!</definedName>
    <definedName name="_vena_MYPS1_MYPB1_R_5_632005312295731208" comment="*">#REF!</definedName>
    <definedName name="_vena_MYPS1_MYPB1_R_5_632005312295731210" comment="*">#REF!</definedName>
    <definedName name="_vena_MYPS1_MYPB1_R_5_632005312299925505" comment="*">#REF!</definedName>
    <definedName name="_vena_MYPS1_MYPB1_R_5_632005312299925511" comment="*">#REF!</definedName>
    <definedName name="_vena_MYPS1_MYPB1_R_5_632005312304119808" comment="*">#REF!</definedName>
    <definedName name="_vena_MYPS1_MYPB1_R_5_632005312304119810" comment="*">#REF!</definedName>
    <definedName name="_vena_MYPS1_MYPB1_R_5_632005312304119814" comment="*">#REF!</definedName>
    <definedName name="_vena_MYPS1_MYPB1_R_5_632005312308314114" comment="*">#REF!</definedName>
    <definedName name="_vena_MYPS1_MYPB1_R_5_632005312325091332" comment="*">#REF!</definedName>
    <definedName name="_vena_MYPS1_MYPB1_R_5_632005312325091334" comment="*">#REF!</definedName>
    <definedName name="_vena_MYPS1_MYPB1_R_5_632005312325091336" comment="*">#REF!</definedName>
    <definedName name="_vena_MYPS1_MYPB1_R_5_632005312329285634" comment="*">#REF!</definedName>
    <definedName name="_vena_MYPS1_MYPB1_R_5_632005312329285636" comment="*">#REF!</definedName>
    <definedName name="_vena_MYPS1_MYPB1_R_5_632005312337674244">#REF!</definedName>
    <definedName name="_vena_MYPS1_MYPB1_R_5_632005312350257152" comment="*">#REF!</definedName>
    <definedName name="_vena_MYPS1_MYPB1_R_5_632005312350257154" comment="*">#REF!</definedName>
    <definedName name="_vena_MYPS1_MYPB1_R_5_632005312354451456" comment="*">#REF!</definedName>
    <definedName name="_vena_MYPS1_MYPB1_R_5_632005312358645762" comment="*">#REF!</definedName>
    <definedName name="_vena_MYPS1_MYPB1_R_5_632005312358645764" comment="*">#REF!</definedName>
    <definedName name="_vena_MYPS1_MYPB1_R_5_632005312358645768" comment="*">#REF!</definedName>
    <definedName name="_vena_MYPS1_MYPB1_R_5_632005312362840065" comment="*">#REF!</definedName>
    <definedName name="_vena_MYPS1_MYPB1_R_5_632005312362840067" comment="*">#REF!</definedName>
    <definedName name="_vena_MYPS1_MYPB1_R_5_632005312371228680">#REF!</definedName>
    <definedName name="_vena_MYPS1_MYPB1_R_5_632005312379617286" comment="*">#REF!</definedName>
    <definedName name="_vena_MYPS1_MYPB1_R_5_632005312388005890" comment="*">#REF!</definedName>
    <definedName name="_vena_MYPS1_MYPB1_R_5_632005312388005892" comment="*">#REF!</definedName>
    <definedName name="_vena_MYPS1_MYPB1_R_5_632005312388005894" comment="*">#REF!</definedName>
    <definedName name="_vena_MYPS1_MYPB1_R_5_632005312392200194" comment="*">#REF!</definedName>
    <definedName name="_vena_MYPS1_MYPB1_R_5_632005312392200196" comment="*">#REF!</definedName>
    <definedName name="_vena_MYPS1_MYPB1_R_5_632005312417366022" comment="*">#REF!</definedName>
    <definedName name="_vena_MYPS1_MYPB1_R_5_632005312417366024" comment="*">#REF!</definedName>
    <definedName name="_vena_MYPS1_MYPB1_R_5_632005312417366026" comment="*">#REF!</definedName>
    <definedName name="_vena_MYPS1_MYPB1_R_5_632005312421560325" comment="*">#REF!</definedName>
    <definedName name="_vena_MYPS1_MYPB1_R_5_632005312421560327" comment="*">#REF!</definedName>
    <definedName name="_vena_MYPS1_MYPB1_R_5_632005312429948928" comment="*">#REF!</definedName>
    <definedName name="_vena_MYPS1_MYPB1_R_5_632005312438337544" comment="*">#REF!</definedName>
    <definedName name="_vena_MYPS1_MYPB1_R_5_632005312442531848" comment="*">#REF!</definedName>
    <definedName name="_vena_MYPS1_MYPB1_R_5_632005312446726145" comment="*">#REF!</definedName>
    <definedName name="_vena_MYPS1_MYPB1_R_5_632005312450920456" comment="*">#REF!</definedName>
    <definedName name="_vena_MYPS1_MYPB1_R_5_632005312455114752" comment="*">#REF!</definedName>
    <definedName name="_vena_MYPS1_MYPB1_R_5_632005312455114754" comment="*">#REF!</definedName>
    <definedName name="_vena_MYPS1_MYPB1_R_5_632005312455114760" comment="*">#REF!</definedName>
    <definedName name="_vena_MYPS1_MYPB1_R_5_632005312459309056" comment="*">#REF!</definedName>
    <definedName name="_vena_MYPS1_MYPB1_R_5_632005312471891978" comment="*">#REF!</definedName>
    <definedName name="_vena_MYPS1_MYPB1_R_5_632005312476086273" comment="*">#REF!</definedName>
    <definedName name="_vena_MYPS1_MYPB1_R_5_632005312476086275" comment="*">#REF!</definedName>
    <definedName name="_vena_MYPS1_MYPB1_R_5_632005312480280576" comment="*">#REF!</definedName>
    <definedName name="_vena_MYPS1_MYPB1_R_5_632005312480280578" comment="*">#REF!</definedName>
    <definedName name="_vena_MYPS1_MYPB1_R_5_632005312484474880" comment="*">#REF!</definedName>
    <definedName name="_vena_MYPS1_MYPB1_R_5_632005312492863495" comment="*">#REF!</definedName>
    <definedName name="_vena_MYPS1_MYPB1_R_5_632005312497057796" comment="*">#REF!</definedName>
    <definedName name="_vena_MYPS1_MYPB1_R_5_632005312497057798" comment="*">#REF!</definedName>
    <definedName name="_vena_MYPS1_MYPB1_R_5_632005312497057800" comment="*">#REF!</definedName>
    <definedName name="_vena_MYPS1_MYPB1_R_5_632005312501252100" comment="*">#REF!</definedName>
    <definedName name="_vena_MYPS1_MYPB1_R_5_632005312501252102" comment="*">#REF!</definedName>
    <definedName name="_vena_MYPS1_MYPB1_R_5_632005312501252104" comment="*">#REF!</definedName>
    <definedName name="_vena_MYPS1_MYPB1_R_5_632005312522223616" comment="*">#REF!</definedName>
    <definedName name="_vena_MYPS1_MYPB1_R_5_632005312522223618" comment="*">#REF!</definedName>
    <definedName name="_vena_MYPS1_MYPB1_R_5_632005312526417920">#REF!</definedName>
    <definedName name="_vena_MYPS1_MYPB1_R_5_632005312526417958" comment="*">#REF!</definedName>
    <definedName name="_vena_MYPS1_MYPB1_R_5_632005312530612224" comment="*">#REF!</definedName>
    <definedName name="_vena_MYPS1_MYPB1_R_5_632005312530612226" comment="*">#REF!</definedName>
    <definedName name="_vena_MYPS1_MYPB1_R_5_632005312530612232" comment="*">#REF!</definedName>
    <definedName name="_vena_MYPS1_MYPB1_R_5_632005312534806528" comment="*">#REF!</definedName>
    <definedName name="_vena_MYPS1_MYPB1_R_5_632005312539000840">#REF!</definedName>
    <definedName name="_vena_MYPS1_MYPB1_R_5_632005312547389442">#REF!</definedName>
    <definedName name="_vena_MYPS1_MYPB1_R_5_632005312547389446" comment="*">#REF!</definedName>
    <definedName name="_vena_MYPS1_MYPB1_R_5_632005312547389448" comment="*">#REF!</definedName>
    <definedName name="_vena_MYPS1_MYPB1_R_5_632005312551583744" comment="*">#REF!</definedName>
    <definedName name="_vena_MYPS1_MYPB1_R_5_632005312551583750" comment="*">#REF!</definedName>
    <definedName name="_vena_MYPS1_MYPB1_R_5_632005312555778048" comment="*">#REF!</definedName>
    <definedName name="_vena_MYPS1_MYPB1_R_5_632005312564166664" comment="*">#REF!</definedName>
    <definedName name="_vena_MYPS1_MYPB1_R_5_632005312568360964" comment="*">#REF!</definedName>
    <definedName name="_vena_MYPS1_MYPB1_R_5_632005312568360968" comment="*">#REF!</definedName>
    <definedName name="_vena_MYPS1_MYPB1_R_5_632005312572555270" comment="*">#REF!</definedName>
    <definedName name="_vena_MYPS1_MYPB1_R_5_632005312572555272" comment="*">#REF!</definedName>
    <definedName name="_vena_MYPS1_MYPB1_R_5_632005312576749568" comment="*">#REF!</definedName>
    <definedName name="_vena_MYPS1_MYPB1_R_5_632005312576749570" comment="*">#REF!</definedName>
    <definedName name="_vena_MYPS1_MYPB1_R_5_632005312576749576" comment="*">#REF!</definedName>
    <definedName name="_vena_MYPS1_MYPB1_R_5_632005312580943872" comment="*">#REF!</definedName>
    <definedName name="_vena_MYPS1_MYPB1_R_5_632005312585138180" comment="*">#REF!</definedName>
    <definedName name="_vena_MYPS1_MYPB1_R_5_632005312597721093" comment="*">#REF!</definedName>
    <definedName name="_vena_MYPS1_MYPB1_R_5_632005312597721095" comment="*">#REF!</definedName>
    <definedName name="_vena_MYPS1_MYPB1_R_5_632005312597721097" comment="*">#REF!</definedName>
    <definedName name="_vena_MYPS1_MYPB1_R_5_632005312601915392" comment="*">#REF!</definedName>
    <definedName name="_vena_MYPS1_MYPB1_R_5_632005312601915396" comment="*">#REF!</definedName>
    <definedName name="_vena_MYPS1_MYPB1_R_5_632005312601915398" comment="*">#REF!</definedName>
    <definedName name="_vena_MYPS1_MYPB1_R_5_632802684999303168" comment="*">#REF!</definedName>
    <definedName name="_vena_MYPS1_MYPB1_R_5_632802806714466304" comment="*">#REF!</definedName>
    <definedName name="_vena_MYPS1_MYPB1_R_5_640425049593872384" comment="*">#REF!</definedName>
    <definedName name="_vena_MYPS1_MYPB1_R_5_640425049946193920" comment="*">#REF!</definedName>
    <definedName name="_vena_MYPS1_MYPB1_R_5_640425050315292672" comment="*">#REF!</definedName>
    <definedName name="_vena_MYPS1_MYPB1_R_5_672280564707885073" comment="*">#REF!</definedName>
    <definedName name="_vena_MYPS1_MYPB1_R_5_697602918727680000">#REF!</definedName>
    <definedName name="_vena_MYPS1_MYPB1_R_5_758572105981493250">#REF!</definedName>
    <definedName name="_vena_MYPS1_MYPB1_R_5_820620957949886465" comment="*">#REF!</definedName>
    <definedName name="_vena_MYPS1_MYPB1_R_5_969124762453147649" comment="*">#REF!</definedName>
    <definedName name="_vena_MYPS1_MYPB1_R_5_969124837275336705" comment="*">#REF!</definedName>
    <definedName name="_vena_MYPS1_MYPB1_R_5_969124902391644161" comment="*">#REF!</definedName>
    <definedName name="_vena_MYPS1_MYPB1_R_5_969124968162525249" comment="*">#REF!</definedName>
    <definedName name="_vena_MYPS1_MYPB1_R_FV_42f34b52efc14701904e2bd69b949ebb">#REF!</definedName>
    <definedName name="_vena_MYPS1_MYPB1_R_FV_42f34b52efc14701904e2bd69b949ebb_1000">#REF!</definedName>
    <definedName name="_vena_MYPS1_MYPB1_R_FV_42f34b52efc14701904e2bd69b949ebb_1001">#REF!</definedName>
    <definedName name="_vena_MYPS1_MYPB1_R_FV_42f34b52efc14701904e2bd69b949ebb_109">#REF!</definedName>
    <definedName name="_vena_MYPS1_MYPB1_R_FV_42f34b52efc14701904e2bd69b949ebb_114">#REF!</definedName>
    <definedName name="_vena_MYPS1_MYPB1_R_FV_42f34b52efc14701904e2bd69b949ebb_115">#REF!</definedName>
    <definedName name="_vena_MYPS1_MYPB1_R_FV_42f34b52efc14701904e2bd69b949ebb_116">#REF!</definedName>
    <definedName name="_vena_MYPS1_MYPB1_R_FV_42f34b52efc14701904e2bd69b949ebb_117">#REF!</definedName>
    <definedName name="_vena_MYPS1_MYPB1_R_FV_42f34b52efc14701904e2bd69b949ebb_118">#REF!</definedName>
    <definedName name="_vena_MYPS1_MYPB1_R_FV_42f34b52efc14701904e2bd69b949ebb_119">#REF!</definedName>
    <definedName name="_vena_MYPS1_MYPB1_R_FV_42f34b52efc14701904e2bd69b949ebb_120">#REF!</definedName>
    <definedName name="_vena_MYPS1_MYPB1_R_FV_42f34b52efc14701904e2bd69b949ebb_121">#REF!</definedName>
    <definedName name="_vena_MYPS1_MYPB1_R_FV_42f34b52efc14701904e2bd69b949ebb_122">#REF!</definedName>
    <definedName name="_vena_MYPS1_MYPB1_R_FV_42f34b52efc14701904e2bd69b949ebb_123">#REF!</definedName>
    <definedName name="_vena_MYPS1_MYPB1_R_FV_42f34b52efc14701904e2bd69b949ebb_124">#REF!</definedName>
    <definedName name="_vena_MYPS1_MYPB1_R_FV_42f34b52efc14701904e2bd69b949ebb_125">#REF!</definedName>
    <definedName name="_vena_MYPS1_MYPB1_R_FV_42f34b52efc14701904e2bd69b949ebb_126">#REF!</definedName>
    <definedName name="_vena_MYPS1_MYPB1_R_FV_42f34b52efc14701904e2bd69b949ebb_127">#REF!</definedName>
    <definedName name="_vena_MYPS1_MYPB1_R_FV_42f34b52efc14701904e2bd69b949ebb_128">#REF!</definedName>
    <definedName name="_vena_MYPS1_MYPB1_R_FV_42f34b52efc14701904e2bd69b949ebb_129">#REF!</definedName>
    <definedName name="_vena_MYPS1_MYPB1_R_FV_42f34b52efc14701904e2bd69b949ebb_130">#REF!</definedName>
    <definedName name="_vena_MYPS1_MYPB1_R_FV_42f34b52efc14701904e2bd69b949ebb_131">#REF!</definedName>
    <definedName name="_vena_MYPS1_MYPB1_R_FV_42f34b52efc14701904e2bd69b949ebb_132">#REF!</definedName>
    <definedName name="_vena_MYPS1_MYPB1_R_FV_42f34b52efc14701904e2bd69b949ebb_133">#REF!</definedName>
    <definedName name="_vena_MYPS1_MYPB1_R_FV_42f34b52efc14701904e2bd69b949ebb_134">#REF!</definedName>
    <definedName name="_vena_MYPS1_MYPB1_R_FV_42f34b52efc14701904e2bd69b949ebb_135">#REF!</definedName>
    <definedName name="_vena_MYPS1_MYPB1_R_FV_42f34b52efc14701904e2bd69b949ebb_136">#REF!</definedName>
    <definedName name="_vena_MYPS1_MYPB1_R_FV_42f34b52efc14701904e2bd69b949ebb_137">#REF!</definedName>
    <definedName name="_vena_MYPS1_MYPB1_R_FV_42f34b52efc14701904e2bd69b949ebb_138">#REF!</definedName>
    <definedName name="_vena_MYPS1_MYPB1_R_FV_42f34b52efc14701904e2bd69b949ebb_139">#REF!</definedName>
    <definedName name="_vena_MYPS1_MYPB1_R_FV_42f34b52efc14701904e2bd69b949ebb_140">#REF!</definedName>
    <definedName name="_vena_MYPS1_MYPB1_R_FV_42f34b52efc14701904e2bd69b949ebb_141">#REF!</definedName>
    <definedName name="_vena_MYPS1_MYPB1_R_FV_42f34b52efc14701904e2bd69b949ebb_142">#REF!</definedName>
    <definedName name="_vena_MYPS1_MYPB1_R_FV_42f34b52efc14701904e2bd69b949ebb_143">#REF!</definedName>
    <definedName name="_vena_MYPS1_MYPB1_R_FV_42f34b52efc14701904e2bd69b949ebb_144">#REF!</definedName>
    <definedName name="_vena_MYPS1_MYPB1_R_FV_42f34b52efc14701904e2bd69b949ebb_145">#REF!</definedName>
    <definedName name="_vena_MYPS1_MYPB1_R_FV_42f34b52efc14701904e2bd69b949ebb_146">#REF!</definedName>
    <definedName name="_vena_MYPS1_MYPB1_R_FV_42f34b52efc14701904e2bd69b949ebb_147">#REF!</definedName>
    <definedName name="_vena_MYPS1_MYPB1_R_FV_42f34b52efc14701904e2bd69b949ebb_148">#REF!</definedName>
    <definedName name="_vena_MYPS1_MYPB1_R_FV_42f34b52efc14701904e2bd69b949ebb_149">#REF!</definedName>
    <definedName name="_vena_MYPS1_MYPB1_R_FV_42f34b52efc14701904e2bd69b949ebb_150">#REF!</definedName>
    <definedName name="_vena_MYPS1_MYPB1_R_FV_42f34b52efc14701904e2bd69b949ebb_151">#REF!</definedName>
    <definedName name="_vena_MYPS1_MYPB1_R_FV_42f34b52efc14701904e2bd69b949ebb_152">#REF!</definedName>
    <definedName name="_vena_MYPS1_MYPB1_R_FV_42f34b52efc14701904e2bd69b949ebb_153">#REF!</definedName>
    <definedName name="_vena_MYPS1_MYPB1_R_FV_42f34b52efc14701904e2bd69b949ebb_154">#REF!</definedName>
    <definedName name="_vena_MYPS1_MYPB1_R_FV_42f34b52efc14701904e2bd69b949ebb_155">#REF!</definedName>
    <definedName name="_vena_MYPS1_MYPB1_R_FV_42f34b52efc14701904e2bd69b949ebb_156">#REF!</definedName>
    <definedName name="_vena_MYPS1_MYPB1_R_FV_42f34b52efc14701904e2bd69b949ebb_157">#REF!</definedName>
    <definedName name="_vena_MYPS1_MYPB1_R_FV_42f34b52efc14701904e2bd69b949ebb_158">#REF!</definedName>
    <definedName name="_vena_MYPS1_MYPB1_R_FV_42f34b52efc14701904e2bd69b949ebb_159">#REF!</definedName>
    <definedName name="_vena_MYPS1_MYPB1_R_FV_42f34b52efc14701904e2bd69b949ebb_160">#REF!</definedName>
    <definedName name="_vena_MYPS1_MYPB1_R_FV_42f34b52efc14701904e2bd69b949ebb_161">#REF!</definedName>
    <definedName name="_vena_MYPS1_MYPB1_R_FV_42f34b52efc14701904e2bd69b949ebb_162">#REF!</definedName>
    <definedName name="_vena_MYPS1_MYPB1_R_FV_42f34b52efc14701904e2bd69b949ebb_163">#REF!</definedName>
    <definedName name="_vena_MYPS1_MYPB1_R_FV_42f34b52efc14701904e2bd69b949ebb_164">#REF!</definedName>
    <definedName name="_vena_MYPS1_MYPB1_R_FV_42f34b52efc14701904e2bd69b949ebb_165">#REF!</definedName>
    <definedName name="_vena_MYPS1_MYPB1_R_FV_42f34b52efc14701904e2bd69b949ebb_166">#REF!</definedName>
    <definedName name="_vena_MYPS1_MYPB1_R_FV_42f34b52efc14701904e2bd69b949ebb_167">#REF!</definedName>
    <definedName name="_vena_MYPS1_MYPB1_R_FV_42f34b52efc14701904e2bd69b949ebb_168">#REF!</definedName>
    <definedName name="_vena_MYPS1_MYPB1_R_FV_42f34b52efc14701904e2bd69b949ebb_169">#REF!</definedName>
    <definedName name="_vena_MYPS1_MYPB1_R_FV_42f34b52efc14701904e2bd69b949ebb_170">#REF!</definedName>
    <definedName name="_vena_MYPS1_MYPB1_R_FV_42f34b52efc14701904e2bd69b949ebb_171">#REF!</definedName>
    <definedName name="_vena_MYPS1_MYPB1_R_FV_42f34b52efc14701904e2bd69b949ebb_172">#REF!</definedName>
    <definedName name="_vena_MYPS1_MYPB1_R_FV_42f34b52efc14701904e2bd69b949ebb_173">#REF!</definedName>
    <definedName name="_vena_MYPS1_MYPB1_R_FV_42f34b52efc14701904e2bd69b949ebb_174">#REF!</definedName>
    <definedName name="_vena_MYPS1_MYPB1_R_FV_42f34b52efc14701904e2bd69b949ebb_175">#REF!</definedName>
    <definedName name="_vena_MYPS1_MYPB1_R_FV_42f34b52efc14701904e2bd69b949ebb_176">#REF!</definedName>
    <definedName name="_vena_MYPS1_MYPB1_R_FV_42f34b52efc14701904e2bd69b949ebb_177">#REF!</definedName>
    <definedName name="_vena_MYPS1_MYPB1_R_FV_42f34b52efc14701904e2bd69b949ebb_178">#REF!</definedName>
    <definedName name="_vena_MYPS1_MYPB1_R_FV_42f34b52efc14701904e2bd69b949ebb_179">#REF!</definedName>
    <definedName name="_vena_MYPS1_MYPB1_R_FV_42f34b52efc14701904e2bd69b949ebb_180">#REF!</definedName>
    <definedName name="_vena_MYPS1_MYPB1_R_FV_42f34b52efc14701904e2bd69b949ebb_181">#REF!</definedName>
    <definedName name="_vena_MYPS1_MYPB1_R_FV_42f34b52efc14701904e2bd69b949ebb_182">#REF!</definedName>
    <definedName name="_vena_MYPS1_MYPB1_R_FV_42f34b52efc14701904e2bd69b949ebb_183">#REF!</definedName>
    <definedName name="_vena_MYPS1_MYPB1_R_FV_42f34b52efc14701904e2bd69b949ebb_184">#REF!</definedName>
    <definedName name="_vena_MYPS1_MYPB1_R_FV_42f34b52efc14701904e2bd69b949ebb_185">#REF!</definedName>
    <definedName name="_vena_MYPS1_MYPB1_R_FV_42f34b52efc14701904e2bd69b949ebb_186">#REF!</definedName>
    <definedName name="_vena_MYPS1_MYPB1_R_FV_42f34b52efc14701904e2bd69b949ebb_187">#REF!</definedName>
    <definedName name="_vena_MYPS1_MYPB1_R_FV_42f34b52efc14701904e2bd69b949ebb_188">#REF!</definedName>
    <definedName name="_vena_MYPS1_MYPB1_R_FV_42f34b52efc14701904e2bd69b949ebb_189">#REF!</definedName>
    <definedName name="_vena_MYPS1_MYPB1_R_FV_42f34b52efc14701904e2bd69b949ebb_190">#REF!</definedName>
    <definedName name="_vena_MYPS1_MYPB1_R_FV_42f34b52efc14701904e2bd69b949ebb_191">#REF!</definedName>
    <definedName name="_vena_MYPS1_MYPB1_R_FV_42f34b52efc14701904e2bd69b949ebb_192">#REF!</definedName>
    <definedName name="_vena_MYPS1_MYPB1_R_FV_42f34b52efc14701904e2bd69b949ebb_193">#REF!</definedName>
    <definedName name="_vena_MYPS1_MYPB1_R_FV_42f34b52efc14701904e2bd69b949ebb_194">#REF!</definedName>
    <definedName name="_vena_MYPS1_MYPB1_R_FV_42f34b52efc14701904e2bd69b949ebb_195">#REF!</definedName>
    <definedName name="_vena_MYPS1_MYPB1_R_FV_42f34b52efc14701904e2bd69b949ebb_196">#REF!</definedName>
    <definedName name="_vena_MYPS1_MYPB1_R_FV_42f34b52efc14701904e2bd69b949ebb_197">#REF!</definedName>
    <definedName name="_vena_MYPS1_MYPB1_R_FV_42f34b52efc14701904e2bd69b949ebb_198">#REF!</definedName>
    <definedName name="_vena_MYPS1_MYPB1_R_FV_42f34b52efc14701904e2bd69b949ebb_199">#REF!</definedName>
    <definedName name="_vena_MYPS1_MYPB1_R_FV_42f34b52efc14701904e2bd69b949ebb_2">#REF!</definedName>
    <definedName name="_vena_MYPS1_MYPB1_R_FV_42f34b52efc14701904e2bd69b949ebb_200">#REF!</definedName>
    <definedName name="_vena_MYPS1_MYPB1_R_FV_42f34b52efc14701904e2bd69b949ebb_201">#REF!</definedName>
    <definedName name="_vena_MYPS1_MYPB1_R_FV_42f34b52efc14701904e2bd69b949ebb_202">#REF!</definedName>
    <definedName name="_vena_MYPS1_MYPB1_R_FV_42f34b52efc14701904e2bd69b949ebb_203">#REF!</definedName>
    <definedName name="_vena_MYPS1_MYPB1_R_FV_42f34b52efc14701904e2bd69b949ebb_204">#REF!</definedName>
    <definedName name="_vena_MYPS1_MYPB1_R_FV_42f34b52efc14701904e2bd69b949ebb_205">#REF!</definedName>
    <definedName name="_vena_MYPS1_MYPB1_R_FV_42f34b52efc14701904e2bd69b949ebb_206">#REF!</definedName>
    <definedName name="_vena_MYPS1_MYPB1_R_FV_42f34b52efc14701904e2bd69b949ebb_207">#REF!</definedName>
    <definedName name="_vena_MYPS1_MYPB1_R_FV_42f34b52efc14701904e2bd69b949ebb_208">#REF!</definedName>
    <definedName name="_vena_MYPS1_MYPB1_R_FV_42f34b52efc14701904e2bd69b949ebb_209">#REF!</definedName>
    <definedName name="_vena_MYPS1_MYPB1_R_FV_42f34b52efc14701904e2bd69b949ebb_210">#REF!</definedName>
    <definedName name="_vena_MYPS1_MYPB1_R_FV_42f34b52efc14701904e2bd69b949ebb_211">#REF!</definedName>
    <definedName name="_vena_MYPS1_MYPB1_R_FV_42f34b52efc14701904e2bd69b949ebb_212">#REF!</definedName>
    <definedName name="_vena_MYPS1_MYPB1_R_FV_42f34b52efc14701904e2bd69b949ebb_213">#REF!</definedName>
    <definedName name="_vena_MYPS1_MYPB1_R_FV_42f34b52efc14701904e2bd69b949ebb_214">#REF!</definedName>
    <definedName name="_vena_MYPS1_MYPB1_R_FV_42f34b52efc14701904e2bd69b949ebb_215">#REF!</definedName>
    <definedName name="_vena_MYPS1_MYPB1_R_FV_42f34b52efc14701904e2bd69b949ebb_216">#REF!</definedName>
    <definedName name="_vena_MYPS1_MYPB1_R_FV_42f34b52efc14701904e2bd69b949ebb_217">#REF!</definedName>
    <definedName name="_vena_MYPS1_MYPB1_R_FV_42f34b52efc14701904e2bd69b949ebb_218">#REF!</definedName>
    <definedName name="_vena_MYPS1_MYPB1_R_FV_42f34b52efc14701904e2bd69b949ebb_219">#REF!</definedName>
    <definedName name="_vena_MYPS1_MYPB1_R_FV_42f34b52efc14701904e2bd69b949ebb_220">#REF!</definedName>
    <definedName name="_vena_MYPS1_MYPB1_R_FV_42f34b52efc14701904e2bd69b949ebb_221">#REF!</definedName>
    <definedName name="_vena_MYPS1_MYPB1_R_FV_42f34b52efc14701904e2bd69b949ebb_222">#REF!</definedName>
    <definedName name="_vena_MYPS1_MYPB1_R_FV_42f34b52efc14701904e2bd69b949ebb_223">#REF!</definedName>
    <definedName name="_vena_MYPS1_MYPB1_R_FV_42f34b52efc14701904e2bd69b949ebb_224">#REF!</definedName>
    <definedName name="_vena_MYPS1_MYPB1_R_FV_42f34b52efc14701904e2bd69b949ebb_225">#REF!</definedName>
    <definedName name="_vena_MYPS1_MYPB1_R_FV_42f34b52efc14701904e2bd69b949ebb_226">#REF!</definedName>
    <definedName name="_vena_MYPS1_MYPB1_R_FV_42f34b52efc14701904e2bd69b949ebb_227">#REF!</definedName>
    <definedName name="_vena_MYPS1_MYPB1_R_FV_42f34b52efc14701904e2bd69b949ebb_228">#REF!</definedName>
    <definedName name="_vena_MYPS1_MYPB1_R_FV_42f34b52efc14701904e2bd69b949ebb_229">#REF!</definedName>
    <definedName name="_vena_MYPS1_MYPB1_R_FV_42f34b52efc14701904e2bd69b949ebb_230">#REF!</definedName>
    <definedName name="_vena_MYPS1_MYPB1_R_FV_42f34b52efc14701904e2bd69b949ebb_231">#REF!</definedName>
    <definedName name="_vena_MYPS1_MYPB1_R_FV_42f34b52efc14701904e2bd69b949ebb_232">#REF!</definedName>
    <definedName name="_vena_MYPS1_MYPB1_R_FV_42f34b52efc14701904e2bd69b949ebb_233">#REF!</definedName>
    <definedName name="_vena_MYPS1_MYPB1_R_FV_42f34b52efc14701904e2bd69b949ebb_234">#REF!</definedName>
    <definedName name="_vena_MYPS1_MYPB1_R_FV_42f34b52efc14701904e2bd69b949ebb_235">#REF!</definedName>
    <definedName name="_vena_MYPS1_MYPB1_R_FV_42f34b52efc14701904e2bd69b949ebb_236">#REF!</definedName>
    <definedName name="_vena_MYPS1_MYPB1_R_FV_42f34b52efc14701904e2bd69b949ebb_237">#REF!</definedName>
    <definedName name="_vena_MYPS1_MYPB1_R_FV_42f34b52efc14701904e2bd69b949ebb_238">#REF!</definedName>
    <definedName name="_vena_MYPS1_MYPB1_R_FV_42f34b52efc14701904e2bd69b949ebb_239">#REF!</definedName>
    <definedName name="_vena_MYPS1_MYPB1_R_FV_42f34b52efc14701904e2bd69b949ebb_240">#REF!</definedName>
    <definedName name="_vena_MYPS1_MYPB1_R_FV_42f34b52efc14701904e2bd69b949ebb_241">#REF!</definedName>
    <definedName name="_vena_MYPS1_MYPB1_R_FV_42f34b52efc14701904e2bd69b949ebb_242">#REF!</definedName>
    <definedName name="_vena_MYPS1_MYPB1_R_FV_42f34b52efc14701904e2bd69b949ebb_243">#REF!</definedName>
    <definedName name="_vena_MYPS1_MYPB1_R_FV_42f34b52efc14701904e2bd69b949ebb_244">#REF!</definedName>
    <definedName name="_vena_MYPS1_MYPB1_R_FV_42f34b52efc14701904e2bd69b949ebb_245">#REF!</definedName>
    <definedName name="_vena_MYPS1_MYPB1_R_FV_42f34b52efc14701904e2bd69b949ebb_246">#REF!</definedName>
    <definedName name="_vena_MYPS1_MYPB1_R_FV_42f34b52efc14701904e2bd69b949ebb_247">#REF!</definedName>
    <definedName name="_vena_MYPS1_MYPB1_R_FV_42f34b52efc14701904e2bd69b949ebb_248">#REF!</definedName>
    <definedName name="_vena_MYPS1_MYPB1_R_FV_42f34b52efc14701904e2bd69b949ebb_249">#REF!</definedName>
    <definedName name="_vena_MYPS1_MYPB1_R_FV_42f34b52efc14701904e2bd69b949ebb_250">#REF!</definedName>
    <definedName name="_vena_MYPS1_MYPB1_R_FV_42f34b52efc14701904e2bd69b949ebb_251">#REF!</definedName>
    <definedName name="_vena_MYPS1_MYPB1_R_FV_42f34b52efc14701904e2bd69b949ebb_252">#REF!</definedName>
    <definedName name="_vena_MYPS1_MYPB1_R_FV_42f34b52efc14701904e2bd69b949ebb_253">#REF!</definedName>
    <definedName name="_vena_MYPS1_MYPB1_R_FV_42f34b52efc14701904e2bd69b949ebb_254">#REF!</definedName>
    <definedName name="_vena_MYPS1_MYPB1_R_FV_42f34b52efc14701904e2bd69b949ebb_255">#REF!</definedName>
    <definedName name="_vena_MYPS1_MYPB1_R_FV_42f34b52efc14701904e2bd69b949ebb_256">#REF!</definedName>
    <definedName name="_vena_MYPS1_MYPB1_R_FV_42f34b52efc14701904e2bd69b949ebb_257">#REF!</definedName>
    <definedName name="_vena_MYPS1_MYPB1_R_FV_42f34b52efc14701904e2bd69b949ebb_258">#REF!</definedName>
    <definedName name="_vena_MYPS1_MYPB1_R_FV_42f34b52efc14701904e2bd69b949ebb_259">#REF!</definedName>
    <definedName name="_vena_MYPS1_MYPB1_R_FV_42f34b52efc14701904e2bd69b949ebb_260">#REF!</definedName>
    <definedName name="_vena_MYPS1_MYPB1_R_FV_42f34b52efc14701904e2bd69b949ebb_261">#REF!</definedName>
    <definedName name="_vena_MYPS1_MYPB1_R_FV_42f34b52efc14701904e2bd69b949ebb_262">#REF!</definedName>
    <definedName name="_vena_MYPS1_MYPB1_R_FV_42f34b52efc14701904e2bd69b949ebb_263">#REF!</definedName>
    <definedName name="_vena_MYPS1_MYPB1_R_FV_42f34b52efc14701904e2bd69b949ebb_264">#REF!</definedName>
    <definedName name="_vena_MYPS1_MYPB1_R_FV_42f34b52efc14701904e2bd69b949ebb_265">#REF!</definedName>
    <definedName name="_vena_MYPS1_MYPB1_R_FV_42f34b52efc14701904e2bd69b949ebb_266">#REF!</definedName>
    <definedName name="_vena_MYPS1_MYPB1_R_FV_42f34b52efc14701904e2bd69b949ebb_267">#REF!</definedName>
    <definedName name="_vena_MYPS1_MYPB1_R_FV_42f34b52efc14701904e2bd69b949ebb_268">#REF!</definedName>
    <definedName name="_vena_MYPS1_MYPB1_R_FV_42f34b52efc14701904e2bd69b949ebb_269">#REF!</definedName>
    <definedName name="_vena_MYPS1_MYPB1_R_FV_42f34b52efc14701904e2bd69b949ebb_270">#REF!</definedName>
    <definedName name="_vena_MYPS1_MYPB1_R_FV_42f34b52efc14701904e2bd69b949ebb_271">#REF!</definedName>
    <definedName name="_vena_MYPS1_MYPB1_R_FV_42f34b52efc14701904e2bd69b949ebb_272">#REF!</definedName>
    <definedName name="_vena_MYPS1_MYPB1_R_FV_42f34b52efc14701904e2bd69b949ebb_273">#REF!</definedName>
    <definedName name="_vena_MYPS1_MYPB1_R_FV_42f34b52efc14701904e2bd69b949ebb_274">#REF!</definedName>
    <definedName name="_vena_MYPS1_MYPB1_R_FV_42f34b52efc14701904e2bd69b949ebb_275">#REF!</definedName>
    <definedName name="_vena_MYPS1_MYPB1_R_FV_42f34b52efc14701904e2bd69b949ebb_276">#REF!</definedName>
    <definedName name="_vena_MYPS1_MYPB1_R_FV_42f34b52efc14701904e2bd69b949ebb_277">#REF!</definedName>
    <definedName name="_vena_MYPS1_MYPB1_R_FV_42f34b52efc14701904e2bd69b949ebb_278">#REF!</definedName>
    <definedName name="_vena_MYPS1_MYPB1_R_FV_42f34b52efc14701904e2bd69b949ebb_279">#REF!</definedName>
    <definedName name="_vena_MYPS1_MYPB1_R_FV_42f34b52efc14701904e2bd69b949ebb_280">#REF!</definedName>
    <definedName name="_vena_MYPS1_MYPB1_R_FV_42f34b52efc14701904e2bd69b949ebb_281">#REF!</definedName>
    <definedName name="_vena_MYPS1_MYPB1_R_FV_42f34b52efc14701904e2bd69b949ebb_282">#REF!</definedName>
    <definedName name="_vena_MYPS1_MYPB1_R_FV_42f34b52efc14701904e2bd69b949ebb_283">#REF!</definedName>
    <definedName name="_vena_MYPS1_MYPB1_R_FV_42f34b52efc14701904e2bd69b949ebb_284">#REF!</definedName>
    <definedName name="_vena_MYPS1_MYPB1_R_FV_42f34b52efc14701904e2bd69b949ebb_285">#REF!</definedName>
    <definedName name="_vena_MYPS1_MYPB1_R_FV_42f34b52efc14701904e2bd69b949ebb_286">#REF!</definedName>
    <definedName name="_vena_MYPS1_MYPB1_R_FV_42f34b52efc14701904e2bd69b949ebb_287">#REF!</definedName>
    <definedName name="_vena_MYPS1_MYPB1_R_FV_42f34b52efc14701904e2bd69b949ebb_288">#REF!</definedName>
    <definedName name="_vena_MYPS1_MYPB1_R_FV_42f34b52efc14701904e2bd69b949ebb_289">#REF!</definedName>
    <definedName name="_vena_MYPS1_MYPB1_R_FV_42f34b52efc14701904e2bd69b949ebb_290">#REF!</definedName>
    <definedName name="_vena_MYPS1_MYPB1_R_FV_42f34b52efc14701904e2bd69b949ebb_291">#REF!</definedName>
    <definedName name="_vena_MYPS1_MYPB1_R_FV_42f34b52efc14701904e2bd69b949ebb_292">#REF!</definedName>
    <definedName name="_vena_MYPS1_MYPB1_R_FV_42f34b52efc14701904e2bd69b949ebb_293">#REF!</definedName>
    <definedName name="_vena_MYPS1_MYPB1_R_FV_42f34b52efc14701904e2bd69b949ebb_294">#REF!</definedName>
    <definedName name="_vena_MYPS1_MYPB1_R_FV_42f34b52efc14701904e2bd69b949ebb_295">#REF!</definedName>
    <definedName name="_vena_MYPS1_MYPB1_R_FV_42f34b52efc14701904e2bd69b949ebb_296">#REF!</definedName>
    <definedName name="_vena_MYPS1_MYPB1_R_FV_42f34b52efc14701904e2bd69b949ebb_297">#REF!</definedName>
    <definedName name="_vena_MYPS1_MYPB1_R_FV_42f34b52efc14701904e2bd69b949ebb_298">#REF!</definedName>
    <definedName name="_vena_MYPS1_MYPB1_R_FV_42f34b52efc14701904e2bd69b949ebb_299">#REF!</definedName>
    <definedName name="_vena_MYPS1_MYPB1_R_FV_42f34b52efc14701904e2bd69b949ebb_3">#REF!</definedName>
    <definedName name="_vena_MYPS1_MYPB1_R_FV_42f34b52efc14701904e2bd69b949ebb_300">#REF!</definedName>
    <definedName name="_vena_MYPS1_MYPB1_R_FV_42f34b52efc14701904e2bd69b949ebb_301">#REF!</definedName>
    <definedName name="_vena_MYPS1_MYPB1_R_FV_42f34b52efc14701904e2bd69b949ebb_302">#REF!</definedName>
    <definedName name="_vena_MYPS1_MYPB1_R_FV_42f34b52efc14701904e2bd69b949ebb_303">#REF!</definedName>
    <definedName name="_vena_MYPS1_MYPB1_R_FV_42f34b52efc14701904e2bd69b949ebb_304">#REF!</definedName>
    <definedName name="_vena_MYPS1_MYPB1_R_FV_42f34b52efc14701904e2bd69b949ebb_305">#REF!</definedName>
    <definedName name="_vena_MYPS1_MYPB1_R_FV_42f34b52efc14701904e2bd69b949ebb_306">#REF!</definedName>
    <definedName name="_vena_MYPS1_MYPB1_R_FV_42f34b52efc14701904e2bd69b949ebb_307">#REF!</definedName>
    <definedName name="_vena_MYPS1_MYPB1_R_FV_42f34b52efc14701904e2bd69b949ebb_308">#REF!</definedName>
    <definedName name="_vena_MYPS1_MYPB1_R_FV_42f34b52efc14701904e2bd69b949ebb_309">#REF!</definedName>
    <definedName name="_vena_MYPS1_MYPB1_R_FV_42f34b52efc14701904e2bd69b949ebb_310">#REF!</definedName>
    <definedName name="_vena_MYPS1_MYPB1_R_FV_42f34b52efc14701904e2bd69b949ebb_311">#REF!</definedName>
    <definedName name="_vena_MYPS1_MYPB1_R_FV_42f34b52efc14701904e2bd69b949ebb_312">#REF!</definedName>
    <definedName name="_vena_MYPS1_MYPB1_R_FV_42f34b52efc14701904e2bd69b949ebb_313">#REF!</definedName>
    <definedName name="_vena_MYPS1_MYPB1_R_FV_42f34b52efc14701904e2bd69b949ebb_314">#REF!</definedName>
    <definedName name="_vena_MYPS1_MYPB1_R_FV_42f34b52efc14701904e2bd69b949ebb_315">#REF!</definedName>
    <definedName name="_vena_MYPS1_MYPB1_R_FV_42f34b52efc14701904e2bd69b949ebb_316">#REF!</definedName>
    <definedName name="_vena_MYPS1_MYPB1_R_FV_42f34b52efc14701904e2bd69b949ebb_317">#REF!</definedName>
    <definedName name="_vena_MYPS1_MYPB1_R_FV_42f34b52efc14701904e2bd69b949ebb_318">#REF!</definedName>
    <definedName name="_vena_MYPS1_MYPB1_R_FV_42f34b52efc14701904e2bd69b949ebb_319">#REF!</definedName>
    <definedName name="_vena_MYPS1_MYPB1_R_FV_42f34b52efc14701904e2bd69b949ebb_320">#REF!</definedName>
    <definedName name="_vena_MYPS1_MYPB1_R_FV_42f34b52efc14701904e2bd69b949ebb_321">#REF!</definedName>
    <definedName name="_vena_MYPS1_MYPB1_R_FV_42f34b52efc14701904e2bd69b949ebb_322">#REF!</definedName>
    <definedName name="_vena_MYPS1_MYPB1_R_FV_42f34b52efc14701904e2bd69b949ebb_323">#REF!</definedName>
    <definedName name="_vena_MYPS1_MYPB1_R_FV_42f34b52efc14701904e2bd69b949ebb_324">#REF!</definedName>
    <definedName name="_vena_MYPS1_MYPB1_R_FV_42f34b52efc14701904e2bd69b949ebb_325">#REF!</definedName>
    <definedName name="_vena_MYPS1_MYPB1_R_FV_42f34b52efc14701904e2bd69b949ebb_326">#REF!</definedName>
    <definedName name="_vena_MYPS1_MYPB1_R_FV_42f34b52efc14701904e2bd69b949ebb_327">#REF!</definedName>
    <definedName name="_vena_MYPS1_MYPB1_R_FV_42f34b52efc14701904e2bd69b949ebb_328">#REF!</definedName>
    <definedName name="_vena_MYPS1_MYPB1_R_FV_42f34b52efc14701904e2bd69b949ebb_329">#REF!</definedName>
    <definedName name="_vena_MYPS1_MYPB1_R_FV_42f34b52efc14701904e2bd69b949ebb_330">#REF!</definedName>
    <definedName name="_vena_MYPS1_MYPB1_R_FV_42f34b52efc14701904e2bd69b949ebb_331">#REF!</definedName>
    <definedName name="_vena_MYPS1_MYPB1_R_FV_42f34b52efc14701904e2bd69b949ebb_332">#REF!</definedName>
    <definedName name="_vena_MYPS1_MYPB1_R_FV_42f34b52efc14701904e2bd69b949ebb_333">#REF!</definedName>
    <definedName name="_vena_MYPS1_MYPB1_R_FV_42f34b52efc14701904e2bd69b949ebb_334">#REF!</definedName>
    <definedName name="_vena_MYPS1_MYPB1_R_FV_42f34b52efc14701904e2bd69b949ebb_335">#REF!</definedName>
    <definedName name="_vena_MYPS1_MYPB1_R_FV_42f34b52efc14701904e2bd69b949ebb_336">#REF!</definedName>
    <definedName name="_vena_MYPS1_MYPB1_R_FV_42f34b52efc14701904e2bd69b949ebb_337">#REF!</definedName>
    <definedName name="_vena_MYPS1_MYPB1_R_FV_42f34b52efc14701904e2bd69b949ebb_338">#REF!</definedName>
    <definedName name="_vena_MYPS1_MYPB1_R_FV_42f34b52efc14701904e2bd69b949ebb_339">#REF!</definedName>
    <definedName name="_vena_MYPS1_MYPB1_R_FV_42f34b52efc14701904e2bd69b949ebb_340">#REF!</definedName>
    <definedName name="_vena_MYPS1_MYPB1_R_FV_42f34b52efc14701904e2bd69b949ebb_341">#REF!</definedName>
    <definedName name="_vena_MYPS1_MYPB1_R_FV_42f34b52efc14701904e2bd69b949ebb_342">#REF!</definedName>
    <definedName name="_vena_MYPS1_MYPB1_R_FV_42f34b52efc14701904e2bd69b949ebb_343">#REF!</definedName>
    <definedName name="_vena_MYPS1_MYPB1_R_FV_42f34b52efc14701904e2bd69b949ebb_344">#REF!</definedName>
    <definedName name="_vena_MYPS1_MYPB1_R_FV_42f34b52efc14701904e2bd69b949ebb_345">#REF!</definedName>
    <definedName name="_vena_MYPS1_MYPB1_R_FV_42f34b52efc14701904e2bd69b949ebb_346">#REF!</definedName>
    <definedName name="_vena_MYPS1_MYPB1_R_FV_42f34b52efc14701904e2bd69b949ebb_347">#REF!</definedName>
    <definedName name="_vena_MYPS1_MYPB1_R_FV_42f34b52efc14701904e2bd69b949ebb_348">#REF!</definedName>
    <definedName name="_vena_MYPS1_MYPB1_R_FV_42f34b52efc14701904e2bd69b949ebb_349">#REF!</definedName>
    <definedName name="_vena_MYPS1_MYPB1_R_FV_42f34b52efc14701904e2bd69b949ebb_350">#REF!</definedName>
    <definedName name="_vena_MYPS1_MYPB1_R_FV_42f34b52efc14701904e2bd69b949ebb_351">#REF!</definedName>
    <definedName name="_vena_MYPS1_MYPB1_R_FV_42f34b52efc14701904e2bd69b949ebb_352">#REF!</definedName>
    <definedName name="_vena_MYPS1_MYPB1_R_FV_42f34b52efc14701904e2bd69b949ebb_353">#REF!</definedName>
    <definedName name="_vena_MYPS1_MYPB1_R_FV_42f34b52efc14701904e2bd69b949ebb_354">#REF!</definedName>
    <definedName name="_vena_MYPS1_MYPB1_R_FV_42f34b52efc14701904e2bd69b949ebb_355">#REF!</definedName>
    <definedName name="_vena_MYPS1_MYPB1_R_FV_42f34b52efc14701904e2bd69b949ebb_356">#REF!</definedName>
    <definedName name="_vena_MYPS1_MYPB1_R_FV_42f34b52efc14701904e2bd69b949ebb_357">#REF!</definedName>
    <definedName name="_vena_MYPS1_MYPB1_R_FV_42f34b52efc14701904e2bd69b949ebb_358">#REF!</definedName>
    <definedName name="_vena_MYPS1_MYPB1_R_FV_42f34b52efc14701904e2bd69b949ebb_359">#REF!</definedName>
    <definedName name="_vena_MYPS1_MYPB1_R_FV_42f34b52efc14701904e2bd69b949ebb_360">#REF!</definedName>
    <definedName name="_vena_MYPS1_MYPB1_R_FV_42f34b52efc14701904e2bd69b949ebb_361">#REF!</definedName>
    <definedName name="_vena_MYPS1_MYPB1_R_FV_42f34b52efc14701904e2bd69b949ebb_362">#REF!</definedName>
    <definedName name="_vena_MYPS1_MYPB1_R_FV_42f34b52efc14701904e2bd69b949ebb_363">#REF!</definedName>
    <definedName name="_vena_MYPS1_MYPB1_R_FV_42f34b52efc14701904e2bd69b949ebb_364">#REF!</definedName>
    <definedName name="_vena_MYPS1_MYPB1_R_FV_42f34b52efc14701904e2bd69b949ebb_365">#REF!</definedName>
    <definedName name="_vena_MYPS1_MYPB1_R_FV_42f34b52efc14701904e2bd69b949ebb_366">#REF!</definedName>
    <definedName name="_vena_MYPS1_MYPB1_R_FV_42f34b52efc14701904e2bd69b949ebb_367">#REF!</definedName>
    <definedName name="_vena_MYPS1_MYPB1_R_FV_42f34b52efc14701904e2bd69b949ebb_368">#REF!</definedName>
    <definedName name="_vena_MYPS1_MYPB1_R_FV_42f34b52efc14701904e2bd69b949ebb_369">#REF!</definedName>
    <definedName name="_vena_MYPS1_MYPB1_R_FV_42f34b52efc14701904e2bd69b949ebb_370">#REF!</definedName>
    <definedName name="_vena_MYPS1_MYPB1_R_FV_42f34b52efc14701904e2bd69b949ebb_371">#REF!</definedName>
    <definedName name="_vena_MYPS1_MYPB1_R_FV_42f34b52efc14701904e2bd69b949ebb_372">#REF!</definedName>
    <definedName name="_vena_MYPS1_MYPB1_R_FV_42f34b52efc14701904e2bd69b949ebb_373">#REF!</definedName>
    <definedName name="_vena_MYPS1_MYPB1_R_FV_42f34b52efc14701904e2bd69b949ebb_374">#REF!</definedName>
    <definedName name="_vena_MYPS1_MYPB1_R_FV_42f34b52efc14701904e2bd69b949ebb_375">#REF!</definedName>
    <definedName name="_vena_MYPS1_MYPB1_R_FV_42f34b52efc14701904e2bd69b949ebb_376">#REF!</definedName>
    <definedName name="_vena_MYPS1_MYPB1_R_FV_42f34b52efc14701904e2bd69b949ebb_377">#REF!</definedName>
    <definedName name="_vena_MYPS1_MYPB1_R_FV_42f34b52efc14701904e2bd69b949ebb_378">#REF!</definedName>
    <definedName name="_vena_MYPS1_MYPB1_R_FV_42f34b52efc14701904e2bd69b949ebb_379">#REF!</definedName>
    <definedName name="_vena_MYPS1_MYPB1_R_FV_42f34b52efc14701904e2bd69b949ebb_38">#REF!</definedName>
    <definedName name="_vena_MYPS1_MYPB1_R_FV_42f34b52efc14701904e2bd69b949ebb_380">#REF!</definedName>
    <definedName name="_vena_MYPS1_MYPB1_R_FV_42f34b52efc14701904e2bd69b949ebb_381">#REF!</definedName>
    <definedName name="_vena_MYPS1_MYPB1_R_FV_42f34b52efc14701904e2bd69b949ebb_382">#REF!</definedName>
    <definedName name="_vena_MYPS1_MYPB1_R_FV_42f34b52efc14701904e2bd69b949ebb_383">#REF!</definedName>
    <definedName name="_vena_MYPS1_MYPB1_R_FV_42f34b52efc14701904e2bd69b949ebb_384">#REF!</definedName>
    <definedName name="_vena_MYPS1_MYPB1_R_FV_42f34b52efc14701904e2bd69b949ebb_385">#REF!</definedName>
    <definedName name="_vena_MYPS1_MYPB1_R_FV_42f34b52efc14701904e2bd69b949ebb_386">#REF!</definedName>
    <definedName name="_vena_MYPS1_MYPB1_R_FV_42f34b52efc14701904e2bd69b949ebb_387">#REF!</definedName>
    <definedName name="_vena_MYPS1_MYPB1_R_FV_42f34b52efc14701904e2bd69b949ebb_388">#REF!</definedName>
    <definedName name="_vena_MYPS1_MYPB1_R_FV_42f34b52efc14701904e2bd69b949ebb_389">#REF!</definedName>
    <definedName name="_vena_MYPS1_MYPB1_R_FV_42f34b52efc14701904e2bd69b949ebb_390">#REF!</definedName>
    <definedName name="_vena_MYPS1_MYPB1_R_FV_42f34b52efc14701904e2bd69b949ebb_391">#REF!</definedName>
    <definedName name="_vena_MYPS1_MYPB1_R_FV_42f34b52efc14701904e2bd69b949ebb_392">#REF!</definedName>
    <definedName name="_vena_MYPS1_MYPB1_R_FV_42f34b52efc14701904e2bd69b949ebb_393">#REF!</definedName>
    <definedName name="_vena_MYPS1_MYPB1_R_FV_42f34b52efc14701904e2bd69b949ebb_394">#REF!</definedName>
    <definedName name="_vena_MYPS1_MYPB1_R_FV_42f34b52efc14701904e2bd69b949ebb_395">#REF!</definedName>
    <definedName name="_vena_MYPS1_MYPB1_R_FV_42f34b52efc14701904e2bd69b949ebb_396">#REF!</definedName>
    <definedName name="_vena_MYPS1_MYPB1_R_FV_42f34b52efc14701904e2bd69b949ebb_397">#REF!</definedName>
    <definedName name="_vena_MYPS1_MYPB1_R_FV_42f34b52efc14701904e2bd69b949ebb_398">#REF!</definedName>
    <definedName name="_vena_MYPS1_MYPB1_R_FV_42f34b52efc14701904e2bd69b949ebb_399">#REF!</definedName>
    <definedName name="_vena_MYPS1_MYPB1_R_FV_42f34b52efc14701904e2bd69b949ebb_4">#REF!</definedName>
    <definedName name="_vena_MYPS1_MYPB1_R_FV_42f34b52efc14701904e2bd69b949ebb_400">#REF!</definedName>
    <definedName name="_vena_MYPS1_MYPB1_R_FV_42f34b52efc14701904e2bd69b949ebb_401">#REF!</definedName>
    <definedName name="_vena_MYPS1_MYPB1_R_FV_42f34b52efc14701904e2bd69b949ebb_402">#REF!</definedName>
    <definedName name="_vena_MYPS1_MYPB1_R_FV_42f34b52efc14701904e2bd69b949ebb_403">#REF!</definedName>
    <definedName name="_vena_MYPS1_MYPB1_R_FV_42f34b52efc14701904e2bd69b949ebb_404">#REF!</definedName>
    <definedName name="_vena_MYPS1_MYPB1_R_FV_42f34b52efc14701904e2bd69b949ebb_405">#REF!</definedName>
    <definedName name="_vena_MYPS1_MYPB1_R_FV_42f34b52efc14701904e2bd69b949ebb_406">#REF!</definedName>
    <definedName name="_vena_MYPS1_MYPB1_R_FV_42f34b52efc14701904e2bd69b949ebb_407">#REF!</definedName>
    <definedName name="_vena_MYPS1_MYPB1_R_FV_42f34b52efc14701904e2bd69b949ebb_408">#REF!</definedName>
    <definedName name="_vena_MYPS1_MYPB1_R_FV_42f34b52efc14701904e2bd69b949ebb_409">#REF!</definedName>
    <definedName name="_vena_MYPS1_MYPB1_R_FV_42f34b52efc14701904e2bd69b949ebb_410">#REF!</definedName>
    <definedName name="_vena_MYPS1_MYPB1_R_FV_42f34b52efc14701904e2bd69b949ebb_411">#REF!</definedName>
    <definedName name="_vena_MYPS1_MYPB1_R_FV_42f34b52efc14701904e2bd69b949ebb_412">#REF!</definedName>
    <definedName name="_vena_MYPS1_MYPB1_R_FV_42f34b52efc14701904e2bd69b949ebb_413">#REF!</definedName>
    <definedName name="_vena_MYPS1_MYPB1_R_FV_42f34b52efc14701904e2bd69b949ebb_414">#REF!</definedName>
    <definedName name="_vena_MYPS1_MYPB1_R_FV_42f34b52efc14701904e2bd69b949ebb_415">#REF!</definedName>
    <definedName name="_vena_MYPS1_MYPB1_R_FV_42f34b52efc14701904e2bd69b949ebb_416">#REF!</definedName>
    <definedName name="_vena_MYPS1_MYPB1_R_FV_42f34b52efc14701904e2bd69b949ebb_417">#REF!</definedName>
    <definedName name="_vena_MYPS1_MYPB1_R_FV_42f34b52efc14701904e2bd69b949ebb_418">#REF!</definedName>
    <definedName name="_vena_MYPS1_MYPB1_R_FV_42f34b52efc14701904e2bd69b949ebb_419">#REF!</definedName>
    <definedName name="_vena_MYPS1_MYPB1_R_FV_42f34b52efc14701904e2bd69b949ebb_420">#REF!</definedName>
    <definedName name="_vena_MYPS1_MYPB1_R_FV_42f34b52efc14701904e2bd69b949ebb_421">#REF!</definedName>
    <definedName name="_vena_MYPS1_MYPB1_R_FV_42f34b52efc14701904e2bd69b949ebb_422">#REF!</definedName>
    <definedName name="_vena_MYPS1_MYPB1_R_FV_42f34b52efc14701904e2bd69b949ebb_423">#REF!</definedName>
    <definedName name="_vena_MYPS1_MYPB1_R_FV_42f34b52efc14701904e2bd69b949ebb_424">#REF!</definedName>
    <definedName name="_vena_MYPS1_MYPB1_R_FV_42f34b52efc14701904e2bd69b949ebb_425">#REF!</definedName>
    <definedName name="_vena_MYPS1_MYPB1_R_FV_42f34b52efc14701904e2bd69b949ebb_426">#REF!</definedName>
    <definedName name="_vena_MYPS1_MYPB1_R_FV_42f34b52efc14701904e2bd69b949ebb_427">#REF!</definedName>
    <definedName name="_vena_MYPS1_MYPB1_R_FV_42f34b52efc14701904e2bd69b949ebb_428">#REF!</definedName>
    <definedName name="_vena_MYPS1_MYPB1_R_FV_42f34b52efc14701904e2bd69b949ebb_429">#REF!</definedName>
    <definedName name="_vena_MYPS1_MYPB1_R_FV_42f34b52efc14701904e2bd69b949ebb_430">#REF!</definedName>
    <definedName name="_vena_MYPS1_MYPB1_R_FV_42f34b52efc14701904e2bd69b949ebb_431">#REF!</definedName>
    <definedName name="_vena_MYPS1_MYPB1_R_FV_42f34b52efc14701904e2bd69b949ebb_432">#REF!</definedName>
    <definedName name="_vena_MYPS1_MYPB1_R_FV_42f34b52efc14701904e2bd69b949ebb_433">#REF!</definedName>
    <definedName name="_vena_MYPS1_MYPB1_R_FV_42f34b52efc14701904e2bd69b949ebb_434">#REF!</definedName>
    <definedName name="_vena_MYPS1_MYPB1_R_FV_42f34b52efc14701904e2bd69b949ebb_435">#REF!</definedName>
    <definedName name="_vena_MYPS1_MYPB1_R_FV_42f34b52efc14701904e2bd69b949ebb_436">#REF!</definedName>
    <definedName name="_vena_MYPS1_MYPB1_R_FV_42f34b52efc14701904e2bd69b949ebb_437">#REF!</definedName>
    <definedName name="_vena_MYPS1_MYPB1_R_FV_42f34b52efc14701904e2bd69b949ebb_438">#REF!</definedName>
    <definedName name="_vena_MYPS1_MYPB1_R_FV_42f34b52efc14701904e2bd69b949ebb_439">#REF!</definedName>
    <definedName name="_vena_MYPS1_MYPB1_R_FV_42f34b52efc14701904e2bd69b949ebb_440">#REF!</definedName>
    <definedName name="_vena_MYPS1_MYPB1_R_FV_42f34b52efc14701904e2bd69b949ebb_441">#REF!</definedName>
    <definedName name="_vena_MYPS1_MYPB1_R_FV_42f34b52efc14701904e2bd69b949ebb_442">#REF!</definedName>
    <definedName name="_vena_MYPS1_MYPB1_R_FV_42f34b52efc14701904e2bd69b949ebb_443">#REF!</definedName>
    <definedName name="_vena_MYPS1_MYPB1_R_FV_42f34b52efc14701904e2bd69b949ebb_444">#REF!</definedName>
    <definedName name="_vena_MYPS1_MYPB1_R_FV_42f34b52efc14701904e2bd69b949ebb_445">#REF!</definedName>
    <definedName name="_vena_MYPS1_MYPB1_R_FV_42f34b52efc14701904e2bd69b949ebb_446">#REF!</definedName>
    <definedName name="_vena_MYPS1_MYPB1_R_FV_42f34b52efc14701904e2bd69b949ebb_447">#REF!</definedName>
    <definedName name="_vena_MYPS1_MYPB1_R_FV_42f34b52efc14701904e2bd69b949ebb_448">#REF!</definedName>
    <definedName name="_vena_MYPS1_MYPB1_R_FV_42f34b52efc14701904e2bd69b949ebb_449">#REF!</definedName>
    <definedName name="_vena_MYPS1_MYPB1_R_FV_42f34b52efc14701904e2bd69b949ebb_450">#REF!</definedName>
    <definedName name="_vena_MYPS1_MYPB1_R_FV_42f34b52efc14701904e2bd69b949ebb_451">#REF!</definedName>
    <definedName name="_vena_MYPS1_MYPB1_R_FV_42f34b52efc14701904e2bd69b949ebb_452">#REF!</definedName>
    <definedName name="_vena_MYPS1_MYPB1_R_FV_42f34b52efc14701904e2bd69b949ebb_453">#REF!</definedName>
    <definedName name="_vena_MYPS1_MYPB1_R_FV_42f34b52efc14701904e2bd69b949ebb_454">#REF!</definedName>
    <definedName name="_vena_MYPS1_MYPB1_R_FV_42f34b52efc14701904e2bd69b949ebb_455">#REF!</definedName>
    <definedName name="_vena_MYPS1_MYPB1_R_FV_42f34b52efc14701904e2bd69b949ebb_456">#REF!</definedName>
    <definedName name="_vena_MYPS1_MYPB1_R_FV_42f34b52efc14701904e2bd69b949ebb_457">#REF!</definedName>
    <definedName name="_vena_MYPS1_MYPB1_R_FV_42f34b52efc14701904e2bd69b949ebb_458">#REF!</definedName>
    <definedName name="_vena_MYPS1_MYPB1_R_FV_42f34b52efc14701904e2bd69b949ebb_459">#REF!</definedName>
    <definedName name="_vena_MYPS1_MYPB1_R_FV_42f34b52efc14701904e2bd69b949ebb_460">#REF!</definedName>
    <definedName name="_vena_MYPS1_MYPB1_R_FV_42f34b52efc14701904e2bd69b949ebb_461">#REF!</definedName>
    <definedName name="_vena_MYPS1_MYPB1_R_FV_42f34b52efc14701904e2bd69b949ebb_462">#REF!</definedName>
    <definedName name="_vena_MYPS1_MYPB1_R_FV_42f34b52efc14701904e2bd69b949ebb_463">#REF!</definedName>
    <definedName name="_vena_MYPS1_MYPB1_R_FV_42f34b52efc14701904e2bd69b949ebb_464">#REF!</definedName>
    <definedName name="_vena_MYPS1_MYPB1_R_FV_42f34b52efc14701904e2bd69b949ebb_465">#REF!</definedName>
    <definedName name="_vena_MYPS1_MYPB1_R_FV_42f34b52efc14701904e2bd69b949ebb_466">#REF!</definedName>
    <definedName name="_vena_MYPS1_MYPB1_R_FV_42f34b52efc14701904e2bd69b949ebb_467">#REF!</definedName>
    <definedName name="_vena_MYPS1_MYPB1_R_FV_42f34b52efc14701904e2bd69b949ebb_468">#REF!</definedName>
    <definedName name="_vena_MYPS1_MYPB1_R_FV_42f34b52efc14701904e2bd69b949ebb_469">#REF!</definedName>
    <definedName name="_vena_MYPS1_MYPB1_R_FV_42f34b52efc14701904e2bd69b949ebb_470">#REF!</definedName>
    <definedName name="_vena_MYPS1_MYPB1_R_FV_42f34b52efc14701904e2bd69b949ebb_471">#REF!</definedName>
    <definedName name="_vena_MYPS1_MYPB1_R_FV_42f34b52efc14701904e2bd69b949ebb_472">#REF!</definedName>
    <definedName name="_vena_MYPS1_MYPB1_R_FV_42f34b52efc14701904e2bd69b949ebb_473">#REF!</definedName>
    <definedName name="_vena_MYPS1_MYPB1_R_FV_42f34b52efc14701904e2bd69b949ebb_474">#REF!</definedName>
    <definedName name="_vena_MYPS1_MYPB1_R_FV_42f34b52efc14701904e2bd69b949ebb_475">#REF!</definedName>
    <definedName name="_vena_MYPS1_MYPB1_R_FV_42f34b52efc14701904e2bd69b949ebb_476">#REF!</definedName>
    <definedName name="_vena_MYPS1_MYPB1_R_FV_42f34b52efc14701904e2bd69b949ebb_477">#REF!</definedName>
    <definedName name="_vena_MYPS1_MYPB1_R_FV_42f34b52efc14701904e2bd69b949ebb_478">#REF!</definedName>
    <definedName name="_vena_MYPS1_MYPB1_R_FV_42f34b52efc14701904e2bd69b949ebb_479">#REF!</definedName>
    <definedName name="_vena_MYPS1_MYPB1_R_FV_42f34b52efc14701904e2bd69b949ebb_480">#REF!</definedName>
    <definedName name="_vena_MYPS1_MYPB1_R_FV_42f34b52efc14701904e2bd69b949ebb_481">#REF!</definedName>
    <definedName name="_vena_MYPS1_MYPB1_R_FV_42f34b52efc14701904e2bd69b949ebb_482">#REF!</definedName>
    <definedName name="_vena_MYPS1_MYPB1_R_FV_42f34b52efc14701904e2bd69b949ebb_483">#REF!</definedName>
    <definedName name="_vena_MYPS1_MYPB1_R_FV_42f34b52efc14701904e2bd69b949ebb_484">#REF!</definedName>
    <definedName name="_vena_MYPS1_MYPB1_R_FV_42f34b52efc14701904e2bd69b949ebb_485">#REF!</definedName>
    <definedName name="_vena_MYPS1_MYPB1_R_FV_42f34b52efc14701904e2bd69b949ebb_486">#REF!</definedName>
    <definedName name="_vena_MYPS1_MYPB1_R_FV_42f34b52efc14701904e2bd69b949ebb_487">#REF!</definedName>
    <definedName name="_vena_MYPS1_MYPB1_R_FV_42f34b52efc14701904e2bd69b949ebb_488">#REF!</definedName>
    <definedName name="_vena_MYPS1_MYPB1_R_FV_42f34b52efc14701904e2bd69b949ebb_489">#REF!</definedName>
    <definedName name="_vena_MYPS1_MYPB1_R_FV_42f34b52efc14701904e2bd69b949ebb_490">#REF!</definedName>
    <definedName name="_vena_MYPS1_MYPB1_R_FV_42f34b52efc14701904e2bd69b949ebb_491">#REF!</definedName>
    <definedName name="_vena_MYPS1_MYPB1_R_FV_42f34b52efc14701904e2bd69b949ebb_492">#REF!</definedName>
    <definedName name="_vena_MYPS1_MYPB1_R_FV_42f34b52efc14701904e2bd69b949ebb_493">#REF!</definedName>
    <definedName name="_vena_MYPS1_MYPB1_R_FV_42f34b52efc14701904e2bd69b949ebb_494">#REF!</definedName>
    <definedName name="_vena_MYPS1_MYPB1_R_FV_42f34b52efc14701904e2bd69b949ebb_495">#REF!</definedName>
    <definedName name="_vena_MYPS1_MYPB1_R_FV_42f34b52efc14701904e2bd69b949ebb_496">#REF!</definedName>
    <definedName name="_vena_MYPS1_MYPB1_R_FV_42f34b52efc14701904e2bd69b949ebb_497">#REF!</definedName>
    <definedName name="_vena_MYPS1_MYPB1_R_FV_42f34b52efc14701904e2bd69b949ebb_498">#REF!</definedName>
    <definedName name="_vena_MYPS1_MYPB1_R_FV_42f34b52efc14701904e2bd69b949ebb_499">#REF!</definedName>
    <definedName name="_vena_MYPS1_MYPB1_R_FV_42f34b52efc14701904e2bd69b949ebb_5">#REF!</definedName>
    <definedName name="_vena_MYPS1_MYPB1_R_FV_42f34b52efc14701904e2bd69b949ebb_500">#REF!</definedName>
    <definedName name="_vena_MYPS1_MYPB1_R_FV_42f34b52efc14701904e2bd69b949ebb_501">#REF!</definedName>
    <definedName name="_vena_MYPS1_MYPB1_R_FV_42f34b52efc14701904e2bd69b949ebb_502">#REF!</definedName>
    <definedName name="_vena_MYPS1_MYPB1_R_FV_42f34b52efc14701904e2bd69b949ebb_503">#REF!</definedName>
    <definedName name="_vena_MYPS1_MYPB1_R_FV_42f34b52efc14701904e2bd69b949ebb_504">#REF!</definedName>
    <definedName name="_vena_MYPS1_MYPB1_R_FV_42f34b52efc14701904e2bd69b949ebb_505">#REF!</definedName>
    <definedName name="_vena_MYPS1_MYPB1_R_FV_42f34b52efc14701904e2bd69b949ebb_506">#REF!</definedName>
    <definedName name="_vena_MYPS1_MYPB1_R_FV_42f34b52efc14701904e2bd69b949ebb_507">#REF!</definedName>
    <definedName name="_vena_MYPS1_MYPB1_R_FV_42f34b52efc14701904e2bd69b949ebb_508">#REF!</definedName>
    <definedName name="_vena_MYPS1_MYPB1_R_FV_42f34b52efc14701904e2bd69b949ebb_509">#REF!</definedName>
    <definedName name="_vena_MYPS1_MYPB1_R_FV_42f34b52efc14701904e2bd69b949ebb_510">#REF!</definedName>
    <definedName name="_vena_MYPS1_MYPB1_R_FV_42f34b52efc14701904e2bd69b949ebb_511">#REF!</definedName>
    <definedName name="_vena_MYPS1_MYPB1_R_FV_42f34b52efc14701904e2bd69b949ebb_512">#REF!</definedName>
    <definedName name="_vena_MYPS1_MYPB1_R_FV_42f34b52efc14701904e2bd69b949ebb_513">#REF!</definedName>
    <definedName name="_vena_MYPS1_MYPB1_R_FV_42f34b52efc14701904e2bd69b949ebb_514">#REF!</definedName>
    <definedName name="_vena_MYPS1_MYPB1_R_FV_42f34b52efc14701904e2bd69b949ebb_515">#REF!</definedName>
    <definedName name="_vena_MYPS1_MYPB1_R_FV_42f34b52efc14701904e2bd69b949ebb_516">#REF!</definedName>
    <definedName name="_vena_MYPS1_MYPB1_R_FV_42f34b52efc14701904e2bd69b949ebb_517">#REF!</definedName>
    <definedName name="_vena_MYPS1_MYPB1_R_FV_42f34b52efc14701904e2bd69b949ebb_518">#REF!</definedName>
    <definedName name="_vena_MYPS1_MYPB1_R_FV_42f34b52efc14701904e2bd69b949ebb_519">#REF!</definedName>
    <definedName name="_vena_MYPS1_MYPB1_R_FV_42f34b52efc14701904e2bd69b949ebb_520">#REF!</definedName>
    <definedName name="_vena_MYPS1_MYPB1_R_FV_42f34b52efc14701904e2bd69b949ebb_521">#REF!</definedName>
    <definedName name="_vena_MYPS1_MYPB1_R_FV_42f34b52efc14701904e2bd69b949ebb_522">#REF!</definedName>
    <definedName name="_vena_MYPS1_MYPB1_R_FV_42f34b52efc14701904e2bd69b949ebb_523">#REF!</definedName>
    <definedName name="_vena_MYPS1_MYPB1_R_FV_42f34b52efc14701904e2bd69b949ebb_524">#REF!</definedName>
    <definedName name="_vena_MYPS1_MYPB1_R_FV_42f34b52efc14701904e2bd69b949ebb_525">#REF!</definedName>
    <definedName name="_vena_MYPS1_MYPB1_R_FV_42f34b52efc14701904e2bd69b949ebb_526">#REF!</definedName>
    <definedName name="_vena_MYPS1_MYPB1_R_FV_42f34b52efc14701904e2bd69b949ebb_527">#REF!</definedName>
    <definedName name="_vena_MYPS1_MYPB1_R_FV_42f34b52efc14701904e2bd69b949ebb_528">#REF!</definedName>
    <definedName name="_vena_MYPS1_MYPB1_R_FV_42f34b52efc14701904e2bd69b949ebb_529">#REF!</definedName>
    <definedName name="_vena_MYPS1_MYPB1_R_FV_42f34b52efc14701904e2bd69b949ebb_530">#REF!</definedName>
    <definedName name="_vena_MYPS1_MYPB1_R_FV_42f34b52efc14701904e2bd69b949ebb_531">#REF!</definedName>
    <definedName name="_vena_MYPS1_MYPB1_R_FV_42f34b52efc14701904e2bd69b949ebb_532">#REF!</definedName>
    <definedName name="_vena_MYPS1_MYPB1_R_FV_42f34b52efc14701904e2bd69b949ebb_533">#REF!</definedName>
    <definedName name="_vena_MYPS1_MYPB1_R_FV_42f34b52efc14701904e2bd69b949ebb_534">#REF!</definedName>
    <definedName name="_vena_MYPS1_MYPB1_R_FV_42f34b52efc14701904e2bd69b949ebb_535">#REF!</definedName>
    <definedName name="_vena_MYPS1_MYPB1_R_FV_42f34b52efc14701904e2bd69b949ebb_536">#REF!</definedName>
    <definedName name="_vena_MYPS1_MYPB1_R_FV_42f34b52efc14701904e2bd69b949ebb_537">#REF!</definedName>
    <definedName name="_vena_MYPS1_MYPB1_R_FV_42f34b52efc14701904e2bd69b949ebb_538">#REF!</definedName>
    <definedName name="_vena_MYPS1_MYPB1_R_FV_42f34b52efc14701904e2bd69b949ebb_539">#REF!</definedName>
    <definedName name="_vena_MYPS1_MYPB1_R_FV_42f34b52efc14701904e2bd69b949ebb_540">#REF!</definedName>
    <definedName name="_vena_MYPS1_MYPB1_R_FV_42f34b52efc14701904e2bd69b949ebb_541">#REF!</definedName>
    <definedName name="_vena_MYPS1_MYPB1_R_FV_42f34b52efc14701904e2bd69b949ebb_542">#REF!</definedName>
    <definedName name="_vena_MYPS1_MYPB1_R_FV_42f34b52efc14701904e2bd69b949ebb_543">#REF!</definedName>
    <definedName name="_vena_MYPS1_MYPB1_R_FV_42f34b52efc14701904e2bd69b949ebb_544">#REF!</definedName>
    <definedName name="_vena_MYPS1_MYPB1_R_FV_42f34b52efc14701904e2bd69b949ebb_545">#REF!</definedName>
    <definedName name="_vena_MYPS1_MYPB1_R_FV_42f34b52efc14701904e2bd69b949ebb_546">#REF!</definedName>
    <definedName name="_vena_MYPS1_MYPB1_R_FV_42f34b52efc14701904e2bd69b949ebb_547">#REF!</definedName>
    <definedName name="_vena_MYPS1_MYPB1_R_FV_42f34b52efc14701904e2bd69b949ebb_548">#REF!</definedName>
    <definedName name="_vena_MYPS1_MYPB1_R_FV_42f34b52efc14701904e2bd69b949ebb_549">#REF!</definedName>
    <definedName name="_vena_MYPS1_MYPB1_R_FV_42f34b52efc14701904e2bd69b949ebb_550">#REF!</definedName>
    <definedName name="_vena_MYPS1_MYPB1_R_FV_42f34b52efc14701904e2bd69b949ebb_551">#REF!</definedName>
    <definedName name="_vena_MYPS1_MYPB1_R_FV_42f34b52efc14701904e2bd69b949ebb_552">#REF!</definedName>
    <definedName name="_vena_MYPS1_MYPB1_R_FV_42f34b52efc14701904e2bd69b949ebb_553">#REF!</definedName>
    <definedName name="_vena_MYPS1_MYPB1_R_FV_42f34b52efc14701904e2bd69b949ebb_554">#REF!</definedName>
    <definedName name="_vena_MYPS1_MYPB1_R_FV_42f34b52efc14701904e2bd69b949ebb_555">#REF!</definedName>
    <definedName name="_vena_MYPS1_MYPB1_R_FV_42f34b52efc14701904e2bd69b949ebb_556">#REF!</definedName>
    <definedName name="_vena_MYPS1_MYPB1_R_FV_42f34b52efc14701904e2bd69b949ebb_557">#REF!</definedName>
    <definedName name="_vena_MYPS1_MYPB1_R_FV_42f34b52efc14701904e2bd69b949ebb_558">#REF!</definedName>
    <definedName name="_vena_MYPS1_MYPB1_R_FV_42f34b52efc14701904e2bd69b949ebb_559">#REF!</definedName>
    <definedName name="_vena_MYPS1_MYPB1_R_FV_42f34b52efc14701904e2bd69b949ebb_560">#REF!</definedName>
    <definedName name="_vena_MYPS1_MYPB1_R_FV_42f34b52efc14701904e2bd69b949ebb_561">#REF!</definedName>
    <definedName name="_vena_MYPS1_MYPB1_R_FV_42f34b52efc14701904e2bd69b949ebb_562">#REF!</definedName>
    <definedName name="_vena_MYPS1_MYPB1_R_FV_42f34b52efc14701904e2bd69b949ebb_563">#REF!</definedName>
    <definedName name="_vena_MYPS1_MYPB1_R_FV_42f34b52efc14701904e2bd69b949ebb_564">#REF!</definedName>
    <definedName name="_vena_MYPS1_MYPB1_R_FV_42f34b52efc14701904e2bd69b949ebb_565">#REF!</definedName>
    <definedName name="_vena_MYPS1_MYPB1_R_FV_42f34b52efc14701904e2bd69b949ebb_566">#REF!</definedName>
    <definedName name="_vena_MYPS1_MYPB1_R_FV_42f34b52efc14701904e2bd69b949ebb_567">#REF!</definedName>
    <definedName name="_vena_MYPS1_MYPB1_R_FV_42f34b52efc14701904e2bd69b949ebb_568">#REF!</definedName>
    <definedName name="_vena_MYPS1_MYPB1_R_FV_42f34b52efc14701904e2bd69b949ebb_569">#REF!</definedName>
    <definedName name="_vena_MYPS1_MYPB1_R_FV_42f34b52efc14701904e2bd69b949ebb_570">#REF!</definedName>
    <definedName name="_vena_MYPS1_MYPB1_R_FV_42f34b52efc14701904e2bd69b949ebb_571">#REF!</definedName>
    <definedName name="_vena_MYPS1_MYPB1_R_FV_42f34b52efc14701904e2bd69b949ebb_572">#REF!</definedName>
    <definedName name="_vena_MYPS1_MYPB1_R_FV_42f34b52efc14701904e2bd69b949ebb_573">#REF!</definedName>
    <definedName name="_vena_MYPS1_MYPB1_R_FV_42f34b52efc14701904e2bd69b949ebb_574">#REF!</definedName>
    <definedName name="_vena_MYPS1_MYPB1_R_FV_42f34b52efc14701904e2bd69b949ebb_575">#REF!</definedName>
    <definedName name="_vena_MYPS1_MYPB1_R_FV_42f34b52efc14701904e2bd69b949ebb_576">#REF!</definedName>
    <definedName name="_vena_MYPS1_MYPB1_R_FV_42f34b52efc14701904e2bd69b949ebb_577">#REF!</definedName>
    <definedName name="_vena_MYPS1_MYPB1_R_FV_42f34b52efc14701904e2bd69b949ebb_578">#REF!</definedName>
    <definedName name="_vena_MYPS1_MYPB1_R_FV_42f34b52efc14701904e2bd69b949ebb_579">#REF!</definedName>
    <definedName name="_vena_MYPS1_MYPB1_R_FV_42f34b52efc14701904e2bd69b949ebb_580">#REF!</definedName>
    <definedName name="_vena_MYPS1_MYPB1_R_FV_42f34b52efc14701904e2bd69b949ebb_581">#REF!</definedName>
    <definedName name="_vena_MYPS1_MYPB1_R_FV_42f34b52efc14701904e2bd69b949ebb_582">#REF!</definedName>
    <definedName name="_vena_MYPS1_MYPB1_R_FV_42f34b52efc14701904e2bd69b949ebb_583">#REF!</definedName>
    <definedName name="_vena_MYPS1_MYPB1_R_FV_42f34b52efc14701904e2bd69b949ebb_584">#REF!</definedName>
    <definedName name="_vena_MYPS1_MYPB1_R_FV_42f34b52efc14701904e2bd69b949ebb_585">#REF!</definedName>
    <definedName name="_vena_MYPS1_MYPB1_R_FV_42f34b52efc14701904e2bd69b949ebb_586">#REF!</definedName>
    <definedName name="_vena_MYPS1_MYPB1_R_FV_42f34b52efc14701904e2bd69b949ebb_587">#REF!</definedName>
    <definedName name="_vena_MYPS1_MYPB1_R_FV_42f34b52efc14701904e2bd69b949ebb_588">#REF!</definedName>
    <definedName name="_vena_MYPS1_MYPB1_R_FV_42f34b52efc14701904e2bd69b949ebb_589">#REF!</definedName>
    <definedName name="_vena_MYPS1_MYPB1_R_FV_42f34b52efc14701904e2bd69b949ebb_590">#REF!</definedName>
    <definedName name="_vena_MYPS1_MYPB1_R_FV_42f34b52efc14701904e2bd69b949ebb_591">#REF!</definedName>
    <definedName name="_vena_MYPS1_MYPB1_R_FV_42f34b52efc14701904e2bd69b949ebb_592">#REF!</definedName>
    <definedName name="_vena_MYPS1_MYPB1_R_FV_42f34b52efc14701904e2bd69b949ebb_593">#REF!</definedName>
    <definedName name="_vena_MYPS1_MYPB1_R_FV_42f34b52efc14701904e2bd69b949ebb_594">#REF!</definedName>
    <definedName name="_vena_MYPS1_MYPB1_R_FV_42f34b52efc14701904e2bd69b949ebb_595">#REF!</definedName>
    <definedName name="_vena_MYPS1_MYPB1_R_FV_42f34b52efc14701904e2bd69b949ebb_596">#REF!</definedName>
    <definedName name="_vena_MYPS1_MYPB1_R_FV_42f34b52efc14701904e2bd69b949ebb_597">#REF!</definedName>
    <definedName name="_vena_MYPS1_MYPB1_R_FV_42f34b52efc14701904e2bd69b949ebb_598">#REF!</definedName>
    <definedName name="_vena_MYPS1_MYPB1_R_FV_42f34b52efc14701904e2bd69b949ebb_599">#REF!</definedName>
    <definedName name="_vena_MYPS1_MYPB1_R_FV_42f34b52efc14701904e2bd69b949ebb_600">#REF!</definedName>
    <definedName name="_vena_MYPS1_MYPB1_R_FV_42f34b52efc14701904e2bd69b949ebb_601">#REF!</definedName>
    <definedName name="_vena_MYPS1_MYPB1_R_FV_42f34b52efc14701904e2bd69b949ebb_602">#REF!</definedName>
    <definedName name="_vena_MYPS1_MYPB1_R_FV_42f34b52efc14701904e2bd69b949ebb_603">#REF!</definedName>
    <definedName name="_vena_MYPS1_MYPB1_R_FV_42f34b52efc14701904e2bd69b949ebb_604">#REF!</definedName>
    <definedName name="_vena_MYPS1_MYPB1_R_FV_42f34b52efc14701904e2bd69b949ebb_605">#REF!</definedName>
    <definedName name="_vena_MYPS1_MYPB1_R_FV_42f34b52efc14701904e2bd69b949ebb_606">#REF!</definedName>
    <definedName name="_vena_MYPS1_MYPB1_R_FV_42f34b52efc14701904e2bd69b949ebb_607">#REF!</definedName>
    <definedName name="_vena_MYPS1_MYPB1_R_FV_42f34b52efc14701904e2bd69b949ebb_608">#REF!</definedName>
    <definedName name="_vena_MYPS1_MYPB1_R_FV_42f34b52efc14701904e2bd69b949ebb_609">#REF!</definedName>
    <definedName name="_vena_MYPS1_MYPB1_R_FV_42f34b52efc14701904e2bd69b949ebb_610">#REF!</definedName>
    <definedName name="_vena_MYPS1_MYPB1_R_FV_42f34b52efc14701904e2bd69b949ebb_611">#REF!</definedName>
    <definedName name="_vena_MYPS1_MYPB1_R_FV_42f34b52efc14701904e2bd69b949ebb_612">#REF!</definedName>
    <definedName name="_vena_MYPS1_MYPB1_R_FV_42f34b52efc14701904e2bd69b949ebb_613">#REF!</definedName>
    <definedName name="_vena_MYPS1_MYPB1_R_FV_42f34b52efc14701904e2bd69b949ebb_614">#REF!</definedName>
    <definedName name="_vena_MYPS1_MYPB1_R_FV_42f34b52efc14701904e2bd69b949ebb_615">#REF!</definedName>
    <definedName name="_vena_MYPS1_MYPB1_R_FV_42f34b52efc14701904e2bd69b949ebb_616">#REF!</definedName>
    <definedName name="_vena_MYPS1_MYPB1_R_FV_42f34b52efc14701904e2bd69b949ebb_617">#REF!</definedName>
    <definedName name="_vena_MYPS1_MYPB1_R_FV_42f34b52efc14701904e2bd69b949ebb_618">#REF!</definedName>
    <definedName name="_vena_MYPS1_MYPB1_R_FV_42f34b52efc14701904e2bd69b949ebb_619">#REF!</definedName>
    <definedName name="_vena_MYPS1_MYPB1_R_FV_42f34b52efc14701904e2bd69b949ebb_620">#REF!</definedName>
    <definedName name="_vena_MYPS1_MYPB1_R_FV_42f34b52efc14701904e2bd69b949ebb_621">#REF!</definedName>
    <definedName name="_vena_MYPS1_MYPB1_R_FV_42f34b52efc14701904e2bd69b949ebb_622">#REF!</definedName>
    <definedName name="_vena_MYPS1_MYPB1_R_FV_42f34b52efc14701904e2bd69b949ebb_623">#REF!</definedName>
    <definedName name="_vena_MYPS1_MYPB1_R_FV_42f34b52efc14701904e2bd69b949ebb_624">#REF!</definedName>
    <definedName name="_vena_MYPS1_MYPB1_R_FV_42f34b52efc14701904e2bd69b949ebb_625">#REF!</definedName>
    <definedName name="_vena_MYPS1_MYPB1_R_FV_42f34b52efc14701904e2bd69b949ebb_626">#REF!</definedName>
    <definedName name="_vena_MYPS1_MYPB1_R_FV_42f34b52efc14701904e2bd69b949ebb_627">#REF!</definedName>
    <definedName name="_vena_MYPS1_MYPB1_R_FV_42f34b52efc14701904e2bd69b949ebb_628">#REF!</definedName>
    <definedName name="_vena_MYPS1_MYPB1_R_FV_42f34b52efc14701904e2bd69b949ebb_629">#REF!</definedName>
    <definedName name="_vena_MYPS1_MYPB1_R_FV_42f34b52efc14701904e2bd69b949ebb_630">#REF!</definedName>
    <definedName name="_vena_MYPS1_MYPB1_R_FV_42f34b52efc14701904e2bd69b949ebb_631">#REF!</definedName>
    <definedName name="_vena_MYPS1_MYPB1_R_FV_42f34b52efc14701904e2bd69b949ebb_632">#REF!</definedName>
    <definedName name="_vena_MYPS1_MYPB1_R_FV_42f34b52efc14701904e2bd69b949ebb_633">#REF!</definedName>
    <definedName name="_vena_MYPS1_MYPB1_R_FV_42f34b52efc14701904e2bd69b949ebb_634">#REF!</definedName>
    <definedName name="_vena_MYPS1_MYPB1_R_FV_42f34b52efc14701904e2bd69b949ebb_635">#REF!</definedName>
    <definedName name="_vena_MYPS1_MYPB1_R_FV_42f34b52efc14701904e2bd69b949ebb_636">#REF!</definedName>
    <definedName name="_vena_MYPS1_MYPB1_R_FV_42f34b52efc14701904e2bd69b949ebb_637">#REF!</definedName>
    <definedName name="_vena_MYPS1_MYPB1_R_FV_42f34b52efc14701904e2bd69b949ebb_638">#REF!</definedName>
    <definedName name="_vena_MYPS1_MYPB1_R_FV_42f34b52efc14701904e2bd69b949ebb_639">#REF!</definedName>
    <definedName name="_vena_MYPS1_MYPB1_R_FV_42f34b52efc14701904e2bd69b949ebb_640">#REF!</definedName>
    <definedName name="_vena_MYPS1_MYPB1_R_FV_42f34b52efc14701904e2bd69b949ebb_641">#REF!</definedName>
    <definedName name="_vena_MYPS1_MYPB1_R_FV_42f34b52efc14701904e2bd69b949ebb_642">#REF!</definedName>
    <definedName name="_vena_MYPS1_MYPB1_R_FV_42f34b52efc14701904e2bd69b949ebb_643">#REF!</definedName>
    <definedName name="_vena_MYPS1_MYPB1_R_FV_42f34b52efc14701904e2bd69b949ebb_644">#REF!</definedName>
    <definedName name="_vena_MYPS1_MYPB1_R_FV_42f34b52efc14701904e2bd69b949ebb_645">#REF!</definedName>
    <definedName name="_vena_MYPS1_MYPB1_R_FV_42f34b52efc14701904e2bd69b949ebb_646">#REF!</definedName>
    <definedName name="_vena_MYPS1_MYPB1_R_FV_42f34b52efc14701904e2bd69b949ebb_647">#REF!</definedName>
    <definedName name="_vena_MYPS1_MYPB1_R_FV_42f34b52efc14701904e2bd69b949ebb_648">#REF!</definedName>
    <definedName name="_vena_MYPS1_MYPB1_R_FV_42f34b52efc14701904e2bd69b949ebb_649">#REF!</definedName>
    <definedName name="_vena_MYPS1_MYPB1_R_FV_42f34b52efc14701904e2bd69b949ebb_650">#REF!</definedName>
    <definedName name="_vena_MYPS1_MYPB1_R_FV_42f34b52efc14701904e2bd69b949ebb_651">#REF!</definedName>
    <definedName name="_vena_MYPS1_MYPB1_R_FV_42f34b52efc14701904e2bd69b949ebb_652">#REF!</definedName>
    <definedName name="_vena_MYPS1_MYPB1_R_FV_42f34b52efc14701904e2bd69b949ebb_653">#REF!</definedName>
    <definedName name="_vena_MYPS1_MYPB1_R_FV_42f34b52efc14701904e2bd69b949ebb_654">#REF!</definedName>
    <definedName name="_vena_MYPS1_MYPB1_R_FV_42f34b52efc14701904e2bd69b949ebb_655">#REF!</definedName>
    <definedName name="_vena_MYPS1_MYPB1_R_FV_42f34b52efc14701904e2bd69b949ebb_656">#REF!</definedName>
    <definedName name="_vena_MYPS1_MYPB1_R_FV_42f34b52efc14701904e2bd69b949ebb_657">#REF!</definedName>
    <definedName name="_vena_MYPS1_MYPB1_R_FV_42f34b52efc14701904e2bd69b949ebb_658">#REF!</definedName>
    <definedName name="_vena_MYPS1_MYPB1_R_FV_42f34b52efc14701904e2bd69b949ebb_659">#REF!</definedName>
    <definedName name="_vena_MYPS1_MYPB1_R_FV_42f34b52efc14701904e2bd69b949ebb_660">#REF!</definedName>
    <definedName name="_vena_MYPS1_MYPB1_R_FV_42f34b52efc14701904e2bd69b949ebb_661">#REF!</definedName>
    <definedName name="_vena_MYPS1_MYPB1_R_FV_42f34b52efc14701904e2bd69b949ebb_662">#REF!</definedName>
    <definedName name="_vena_MYPS1_MYPB1_R_FV_42f34b52efc14701904e2bd69b949ebb_663">#REF!</definedName>
    <definedName name="_vena_MYPS1_MYPB1_R_FV_42f34b52efc14701904e2bd69b949ebb_664">#REF!</definedName>
    <definedName name="_vena_MYPS1_MYPB1_R_FV_42f34b52efc14701904e2bd69b949ebb_665">#REF!</definedName>
    <definedName name="_vena_MYPS1_MYPB1_R_FV_42f34b52efc14701904e2bd69b949ebb_666">#REF!</definedName>
    <definedName name="_vena_MYPS1_MYPB1_R_FV_42f34b52efc14701904e2bd69b949ebb_667">#REF!</definedName>
    <definedName name="_vena_MYPS1_MYPB1_R_FV_42f34b52efc14701904e2bd69b949ebb_668">#REF!</definedName>
    <definedName name="_vena_MYPS1_MYPB1_R_FV_42f34b52efc14701904e2bd69b949ebb_669">#REF!</definedName>
    <definedName name="_vena_MYPS1_MYPB1_R_FV_42f34b52efc14701904e2bd69b949ebb_670">#REF!</definedName>
    <definedName name="_vena_MYPS1_MYPB1_R_FV_42f34b52efc14701904e2bd69b949ebb_671">#REF!</definedName>
    <definedName name="_vena_MYPS1_MYPB1_R_FV_42f34b52efc14701904e2bd69b949ebb_672">#REF!</definedName>
    <definedName name="_vena_MYPS1_MYPB1_R_FV_42f34b52efc14701904e2bd69b949ebb_673">#REF!</definedName>
    <definedName name="_vena_MYPS1_MYPB1_R_FV_42f34b52efc14701904e2bd69b949ebb_674">#REF!</definedName>
    <definedName name="_vena_MYPS1_MYPB1_R_FV_42f34b52efc14701904e2bd69b949ebb_675">#REF!</definedName>
    <definedName name="_vena_MYPS1_MYPB1_R_FV_42f34b52efc14701904e2bd69b949ebb_676">#REF!</definedName>
    <definedName name="_vena_MYPS1_MYPB1_R_FV_42f34b52efc14701904e2bd69b949ebb_677">#REF!</definedName>
    <definedName name="_vena_MYPS1_MYPB1_R_FV_42f34b52efc14701904e2bd69b949ebb_678">#REF!</definedName>
    <definedName name="_vena_MYPS1_MYPB1_R_FV_42f34b52efc14701904e2bd69b949ebb_679">#REF!</definedName>
    <definedName name="_vena_MYPS1_MYPB1_R_FV_42f34b52efc14701904e2bd69b949ebb_680">#REF!</definedName>
    <definedName name="_vena_MYPS1_MYPB1_R_FV_42f34b52efc14701904e2bd69b949ebb_681">#REF!</definedName>
    <definedName name="_vena_MYPS1_MYPB1_R_FV_42f34b52efc14701904e2bd69b949ebb_682">#REF!</definedName>
    <definedName name="_vena_MYPS1_MYPB1_R_FV_42f34b52efc14701904e2bd69b949ebb_683">#REF!</definedName>
    <definedName name="_vena_MYPS1_MYPB1_R_FV_42f34b52efc14701904e2bd69b949ebb_684">#REF!</definedName>
    <definedName name="_vena_MYPS1_MYPB1_R_FV_42f34b52efc14701904e2bd69b949ebb_685">#REF!</definedName>
    <definedName name="_vena_MYPS1_MYPB1_R_FV_42f34b52efc14701904e2bd69b949ebb_686">#REF!</definedName>
    <definedName name="_vena_MYPS1_MYPB1_R_FV_42f34b52efc14701904e2bd69b949ebb_687">#REF!</definedName>
    <definedName name="_vena_MYPS1_MYPB1_R_FV_42f34b52efc14701904e2bd69b949ebb_688">#REF!</definedName>
    <definedName name="_vena_MYPS1_MYPB1_R_FV_42f34b52efc14701904e2bd69b949ebb_689">#REF!</definedName>
    <definedName name="_vena_MYPS1_MYPB1_R_FV_42f34b52efc14701904e2bd69b949ebb_690">#REF!</definedName>
    <definedName name="_vena_MYPS1_MYPB1_R_FV_42f34b52efc14701904e2bd69b949ebb_691">#REF!</definedName>
    <definedName name="_vena_MYPS1_MYPB1_R_FV_42f34b52efc14701904e2bd69b949ebb_692">#REF!</definedName>
    <definedName name="_vena_MYPS1_MYPB1_R_FV_42f34b52efc14701904e2bd69b949ebb_693">#REF!</definedName>
    <definedName name="_vena_MYPS1_MYPB1_R_FV_42f34b52efc14701904e2bd69b949ebb_694">#REF!</definedName>
    <definedName name="_vena_MYPS1_MYPB1_R_FV_42f34b52efc14701904e2bd69b949ebb_695">#REF!</definedName>
    <definedName name="_vena_MYPS1_MYPB1_R_FV_42f34b52efc14701904e2bd69b949ebb_696">#REF!</definedName>
    <definedName name="_vena_MYPS1_MYPB1_R_FV_42f34b52efc14701904e2bd69b949ebb_697">#REF!</definedName>
    <definedName name="_vena_MYPS1_MYPB1_R_FV_42f34b52efc14701904e2bd69b949ebb_698">#REF!</definedName>
    <definedName name="_vena_MYPS1_MYPB1_R_FV_42f34b52efc14701904e2bd69b949ebb_699">#REF!</definedName>
    <definedName name="_vena_MYPS1_MYPB1_R_FV_42f34b52efc14701904e2bd69b949ebb_700">#REF!</definedName>
    <definedName name="_vena_MYPS1_MYPB1_R_FV_42f34b52efc14701904e2bd69b949ebb_701">#REF!</definedName>
    <definedName name="_vena_MYPS1_MYPB1_R_FV_42f34b52efc14701904e2bd69b949ebb_702">#REF!</definedName>
    <definedName name="_vena_MYPS1_MYPB1_R_FV_42f34b52efc14701904e2bd69b949ebb_703">#REF!</definedName>
    <definedName name="_vena_MYPS1_MYPB1_R_FV_42f34b52efc14701904e2bd69b949ebb_704">#REF!</definedName>
    <definedName name="_vena_MYPS1_MYPB1_R_FV_42f34b52efc14701904e2bd69b949ebb_705">#REF!</definedName>
    <definedName name="_vena_MYPS1_MYPB1_R_FV_42f34b52efc14701904e2bd69b949ebb_706">#REF!</definedName>
    <definedName name="_vena_MYPS1_MYPB1_R_FV_42f34b52efc14701904e2bd69b949ebb_707">#REF!</definedName>
    <definedName name="_vena_MYPS1_MYPB1_R_FV_42f34b52efc14701904e2bd69b949ebb_708">#REF!</definedName>
    <definedName name="_vena_MYPS1_MYPB1_R_FV_42f34b52efc14701904e2bd69b949ebb_709">#REF!</definedName>
    <definedName name="_vena_MYPS1_MYPB1_R_FV_42f34b52efc14701904e2bd69b949ebb_710">#REF!</definedName>
    <definedName name="_vena_MYPS1_MYPB1_R_FV_42f34b52efc14701904e2bd69b949ebb_711">#REF!</definedName>
    <definedName name="_vena_MYPS1_MYPB1_R_FV_42f34b52efc14701904e2bd69b949ebb_712">#REF!</definedName>
    <definedName name="_vena_MYPS1_MYPB1_R_FV_42f34b52efc14701904e2bd69b949ebb_713">#REF!</definedName>
    <definedName name="_vena_MYPS1_MYPB1_R_FV_42f34b52efc14701904e2bd69b949ebb_714">#REF!</definedName>
    <definedName name="_vena_MYPS1_MYPB1_R_FV_42f34b52efc14701904e2bd69b949ebb_715">#REF!</definedName>
    <definedName name="_vena_MYPS1_MYPB1_R_FV_42f34b52efc14701904e2bd69b949ebb_716">#REF!</definedName>
    <definedName name="_vena_MYPS1_MYPB1_R_FV_42f34b52efc14701904e2bd69b949ebb_717">#REF!</definedName>
    <definedName name="_vena_MYPS1_MYPB1_R_FV_42f34b52efc14701904e2bd69b949ebb_718">#REF!</definedName>
    <definedName name="_vena_MYPS1_MYPB1_R_FV_42f34b52efc14701904e2bd69b949ebb_719">#REF!</definedName>
    <definedName name="_vena_MYPS1_MYPB1_R_FV_42f34b52efc14701904e2bd69b949ebb_720">#REF!</definedName>
    <definedName name="_vena_MYPS1_MYPB1_R_FV_42f34b52efc14701904e2bd69b949ebb_721">#REF!</definedName>
    <definedName name="_vena_MYPS1_MYPB1_R_FV_42f34b52efc14701904e2bd69b949ebb_722">#REF!</definedName>
    <definedName name="_vena_MYPS1_MYPB1_R_FV_42f34b52efc14701904e2bd69b949ebb_723">#REF!</definedName>
    <definedName name="_vena_MYPS1_MYPB1_R_FV_42f34b52efc14701904e2bd69b949ebb_724">#REF!</definedName>
    <definedName name="_vena_MYPS1_MYPB1_R_FV_42f34b52efc14701904e2bd69b949ebb_725">#REF!</definedName>
    <definedName name="_vena_MYPS1_MYPB1_R_FV_42f34b52efc14701904e2bd69b949ebb_726">#REF!</definedName>
    <definedName name="_vena_MYPS1_MYPB1_R_FV_42f34b52efc14701904e2bd69b949ebb_727">#REF!</definedName>
    <definedName name="_vena_MYPS1_MYPB1_R_FV_42f34b52efc14701904e2bd69b949ebb_728">#REF!</definedName>
    <definedName name="_vena_MYPS1_MYPB1_R_FV_42f34b52efc14701904e2bd69b949ebb_729">#REF!</definedName>
    <definedName name="_vena_MYPS1_MYPB1_R_FV_42f34b52efc14701904e2bd69b949ebb_730">#REF!</definedName>
    <definedName name="_vena_MYPS1_MYPB1_R_FV_42f34b52efc14701904e2bd69b949ebb_731">#REF!</definedName>
    <definedName name="_vena_MYPS1_MYPB1_R_FV_42f34b52efc14701904e2bd69b949ebb_732">#REF!</definedName>
    <definedName name="_vena_MYPS1_MYPB1_R_FV_42f34b52efc14701904e2bd69b949ebb_733">#REF!</definedName>
    <definedName name="_vena_MYPS1_MYPB1_R_FV_42f34b52efc14701904e2bd69b949ebb_734">#REF!</definedName>
    <definedName name="_vena_MYPS1_MYPB1_R_FV_42f34b52efc14701904e2bd69b949ebb_735">#REF!</definedName>
    <definedName name="_vena_MYPS1_MYPB1_R_FV_42f34b52efc14701904e2bd69b949ebb_736">#REF!</definedName>
    <definedName name="_vena_MYPS1_MYPB1_R_FV_42f34b52efc14701904e2bd69b949ebb_737">#REF!</definedName>
    <definedName name="_vena_MYPS1_MYPB1_R_FV_42f34b52efc14701904e2bd69b949ebb_738">#REF!</definedName>
    <definedName name="_vena_MYPS1_MYPB1_R_FV_42f34b52efc14701904e2bd69b949ebb_739">#REF!</definedName>
    <definedName name="_vena_MYPS1_MYPB1_R_FV_42f34b52efc14701904e2bd69b949ebb_740">#REF!</definedName>
    <definedName name="_vena_MYPS1_MYPB1_R_FV_42f34b52efc14701904e2bd69b949ebb_741">#REF!</definedName>
    <definedName name="_vena_MYPS1_MYPB1_R_FV_42f34b52efc14701904e2bd69b949ebb_742">#REF!</definedName>
    <definedName name="_vena_MYPS1_MYPB1_R_FV_42f34b52efc14701904e2bd69b949ebb_743">#REF!</definedName>
    <definedName name="_vena_MYPS1_MYPB1_R_FV_42f34b52efc14701904e2bd69b949ebb_744">#REF!</definedName>
    <definedName name="_vena_MYPS1_MYPB1_R_FV_42f34b52efc14701904e2bd69b949ebb_745">#REF!</definedName>
    <definedName name="_vena_MYPS1_MYPB1_R_FV_42f34b52efc14701904e2bd69b949ebb_746">#REF!</definedName>
    <definedName name="_vena_MYPS1_MYPB1_R_FV_42f34b52efc14701904e2bd69b949ebb_747">#REF!</definedName>
    <definedName name="_vena_MYPS1_MYPB1_R_FV_42f34b52efc14701904e2bd69b949ebb_748">#REF!</definedName>
    <definedName name="_vena_MYPS1_MYPB1_R_FV_42f34b52efc14701904e2bd69b949ebb_749">#REF!</definedName>
    <definedName name="_vena_MYPS1_MYPB1_R_FV_42f34b52efc14701904e2bd69b949ebb_750">#REF!</definedName>
    <definedName name="_vena_MYPS1_MYPB1_R_FV_42f34b52efc14701904e2bd69b949ebb_751">#REF!</definedName>
    <definedName name="_vena_MYPS1_MYPB1_R_FV_42f34b52efc14701904e2bd69b949ebb_752">#REF!</definedName>
    <definedName name="_vena_MYPS1_MYPB1_R_FV_42f34b52efc14701904e2bd69b949ebb_753">#REF!</definedName>
    <definedName name="_vena_MYPS1_MYPB1_R_FV_42f34b52efc14701904e2bd69b949ebb_754">#REF!</definedName>
    <definedName name="_vena_MYPS1_MYPB1_R_FV_42f34b52efc14701904e2bd69b949ebb_755">#REF!</definedName>
    <definedName name="_vena_MYPS1_MYPB1_R_FV_42f34b52efc14701904e2bd69b949ebb_756">#REF!</definedName>
    <definedName name="_vena_MYPS1_MYPB1_R_FV_42f34b52efc14701904e2bd69b949ebb_757">#REF!</definedName>
    <definedName name="_vena_MYPS1_MYPB1_R_FV_42f34b52efc14701904e2bd69b949ebb_758">#REF!</definedName>
    <definedName name="_vena_MYPS1_MYPB1_R_FV_42f34b52efc14701904e2bd69b949ebb_759">#REF!</definedName>
    <definedName name="_vena_MYPS1_MYPB1_R_FV_42f34b52efc14701904e2bd69b949ebb_760">#REF!</definedName>
    <definedName name="_vena_MYPS1_MYPB1_R_FV_42f34b52efc14701904e2bd69b949ebb_761">#REF!</definedName>
    <definedName name="_vena_MYPS1_MYPB1_R_FV_42f34b52efc14701904e2bd69b949ebb_762">#REF!</definedName>
    <definedName name="_vena_MYPS1_MYPB1_R_FV_42f34b52efc14701904e2bd69b949ebb_763">#REF!</definedName>
    <definedName name="_vena_MYPS1_MYPB1_R_FV_42f34b52efc14701904e2bd69b949ebb_764">#REF!</definedName>
    <definedName name="_vena_MYPS1_MYPB1_R_FV_42f34b52efc14701904e2bd69b949ebb_765">#REF!</definedName>
    <definedName name="_vena_MYPS1_MYPB1_R_FV_42f34b52efc14701904e2bd69b949ebb_766">#REF!</definedName>
    <definedName name="_vena_MYPS1_MYPB1_R_FV_42f34b52efc14701904e2bd69b949ebb_767">#REF!</definedName>
    <definedName name="_vena_MYPS1_MYPB1_R_FV_42f34b52efc14701904e2bd69b949ebb_768">#REF!</definedName>
    <definedName name="_vena_MYPS1_MYPB1_R_FV_42f34b52efc14701904e2bd69b949ebb_769">#REF!</definedName>
    <definedName name="_vena_MYPS1_MYPB1_R_FV_42f34b52efc14701904e2bd69b949ebb_770">#REF!</definedName>
    <definedName name="_vena_MYPS1_MYPB1_R_FV_42f34b52efc14701904e2bd69b949ebb_771">#REF!</definedName>
    <definedName name="_vena_MYPS1_MYPB1_R_FV_42f34b52efc14701904e2bd69b949ebb_772">#REF!</definedName>
    <definedName name="_vena_MYPS1_MYPB1_R_FV_42f34b52efc14701904e2bd69b949ebb_773">#REF!</definedName>
    <definedName name="_vena_MYPS1_MYPB1_R_FV_42f34b52efc14701904e2bd69b949ebb_774">#REF!</definedName>
    <definedName name="_vena_MYPS1_MYPB1_R_FV_42f34b52efc14701904e2bd69b949ebb_775">#REF!</definedName>
    <definedName name="_vena_MYPS1_MYPB1_R_FV_42f34b52efc14701904e2bd69b949ebb_776">#REF!</definedName>
    <definedName name="_vena_MYPS1_MYPB1_R_FV_42f34b52efc14701904e2bd69b949ebb_777">#REF!</definedName>
    <definedName name="_vena_MYPS1_MYPB1_R_FV_42f34b52efc14701904e2bd69b949ebb_778">#REF!</definedName>
    <definedName name="_vena_MYPS1_MYPB1_R_FV_42f34b52efc14701904e2bd69b949ebb_779">#REF!</definedName>
    <definedName name="_vena_MYPS1_MYPB1_R_FV_42f34b52efc14701904e2bd69b949ebb_780">#REF!</definedName>
    <definedName name="_vena_MYPS1_MYPB1_R_FV_42f34b52efc14701904e2bd69b949ebb_781">#REF!</definedName>
    <definedName name="_vena_MYPS1_MYPB1_R_FV_42f34b52efc14701904e2bd69b949ebb_782">#REF!</definedName>
    <definedName name="_vena_MYPS1_MYPB1_R_FV_42f34b52efc14701904e2bd69b949ebb_783">#REF!</definedName>
    <definedName name="_vena_MYPS1_MYPB1_R_FV_42f34b52efc14701904e2bd69b949ebb_784">#REF!</definedName>
    <definedName name="_vena_MYPS1_MYPB1_R_FV_42f34b52efc14701904e2bd69b949ebb_785">#REF!</definedName>
    <definedName name="_vena_MYPS1_MYPB1_R_FV_42f34b52efc14701904e2bd69b949ebb_786">#REF!</definedName>
    <definedName name="_vena_MYPS1_MYPB1_R_FV_42f34b52efc14701904e2bd69b949ebb_787">#REF!</definedName>
    <definedName name="_vena_MYPS1_MYPB1_R_FV_42f34b52efc14701904e2bd69b949ebb_788">#REF!</definedName>
    <definedName name="_vena_MYPS1_MYPB1_R_FV_42f34b52efc14701904e2bd69b949ebb_789">#REF!</definedName>
    <definedName name="_vena_MYPS1_MYPB1_R_FV_42f34b52efc14701904e2bd69b949ebb_790">#REF!</definedName>
    <definedName name="_vena_MYPS1_MYPB1_R_FV_42f34b52efc14701904e2bd69b949ebb_791">#REF!</definedName>
    <definedName name="_vena_MYPS1_MYPB1_R_FV_42f34b52efc14701904e2bd69b949ebb_792">#REF!</definedName>
    <definedName name="_vena_MYPS1_MYPB1_R_FV_42f34b52efc14701904e2bd69b949ebb_793">#REF!</definedName>
    <definedName name="_vena_MYPS1_MYPB1_R_FV_42f34b52efc14701904e2bd69b949ebb_794">#REF!</definedName>
    <definedName name="_vena_MYPS1_MYPB1_R_FV_42f34b52efc14701904e2bd69b949ebb_795">#REF!</definedName>
    <definedName name="_vena_MYPS1_MYPB1_R_FV_42f34b52efc14701904e2bd69b949ebb_796">#REF!</definedName>
    <definedName name="_vena_MYPS1_MYPB1_R_FV_42f34b52efc14701904e2bd69b949ebb_797">#REF!</definedName>
    <definedName name="_vena_MYPS1_MYPB1_R_FV_42f34b52efc14701904e2bd69b949ebb_798">#REF!</definedName>
    <definedName name="_vena_MYPS1_MYPB1_R_FV_42f34b52efc14701904e2bd69b949ebb_799">#REF!</definedName>
    <definedName name="_vena_MYPS1_MYPB1_R_FV_42f34b52efc14701904e2bd69b949ebb_800">#REF!</definedName>
    <definedName name="_vena_MYPS1_MYPB1_R_FV_42f34b52efc14701904e2bd69b949ebb_801">#REF!</definedName>
    <definedName name="_vena_MYPS1_MYPB1_R_FV_42f34b52efc14701904e2bd69b949ebb_802">#REF!</definedName>
    <definedName name="_vena_MYPS1_MYPB1_R_FV_42f34b52efc14701904e2bd69b949ebb_803">#REF!</definedName>
    <definedName name="_vena_MYPS1_MYPB1_R_FV_42f34b52efc14701904e2bd69b949ebb_804">#REF!</definedName>
    <definedName name="_vena_MYPS1_MYPB1_R_FV_42f34b52efc14701904e2bd69b949ebb_805">#REF!</definedName>
    <definedName name="_vena_MYPS1_MYPB1_R_FV_42f34b52efc14701904e2bd69b949ebb_806">#REF!</definedName>
    <definedName name="_vena_MYPS1_MYPB1_R_FV_42f34b52efc14701904e2bd69b949ebb_807">#REF!</definedName>
    <definedName name="_vena_MYPS1_MYPB1_R_FV_42f34b52efc14701904e2bd69b949ebb_808">#REF!</definedName>
    <definedName name="_vena_MYPS1_MYPB1_R_FV_42f34b52efc14701904e2bd69b949ebb_809">#REF!</definedName>
    <definedName name="_vena_MYPS1_MYPB1_R_FV_42f34b52efc14701904e2bd69b949ebb_810">#REF!</definedName>
    <definedName name="_vena_MYPS1_MYPB1_R_FV_42f34b52efc14701904e2bd69b949ebb_811">#REF!</definedName>
    <definedName name="_vena_MYPS1_MYPB1_R_FV_42f34b52efc14701904e2bd69b949ebb_812">#REF!</definedName>
    <definedName name="_vena_MYPS1_MYPB1_R_FV_42f34b52efc14701904e2bd69b949ebb_813">#REF!</definedName>
    <definedName name="_vena_MYPS1_MYPB1_R_FV_42f34b52efc14701904e2bd69b949ebb_814">#REF!</definedName>
    <definedName name="_vena_MYPS1_MYPB1_R_FV_42f34b52efc14701904e2bd69b949ebb_815">#REF!</definedName>
    <definedName name="_vena_MYPS1_MYPB1_R_FV_42f34b52efc14701904e2bd69b949ebb_816">#REF!</definedName>
    <definedName name="_vena_MYPS1_MYPB1_R_FV_42f34b52efc14701904e2bd69b949ebb_817">#REF!</definedName>
    <definedName name="_vena_MYPS1_MYPB1_R_FV_42f34b52efc14701904e2bd69b949ebb_818">#REF!</definedName>
    <definedName name="_vena_MYPS1_MYPB1_R_FV_42f34b52efc14701904e2bd69b949ebb_819">#REF!</definedName>
    <definedName name="_vena_MYPS1_MYPB1_R_FV_42f34b52efc14701904e2bd69b949ebb_820">#REF!</definedName>
    <definedName name="_vena_MYPS1_MYPB1_R_FV_42f34b52efc14701904e2bd69b949ebb_821">#REF!</definedName>
    <definedName name="_vena_MYPS1_MYPB1_R_FV_42f34b52efc14701904e2bd69b949ebb_822">#REF!</definedName>
    <definedName name="_vena_MYPS1_MYPB1_R_FV_42f34b52efc14701904e2bd69b949ebb_823">#REF!</definedName>
    <definedName name="_vena_MYPS1_MYPB1_R_FV_42f34b52efc14701904e2bd69b949ebb_824">#REF!</definedName>
    <definedName name="_vena_MYPS1_MYPB1_R_FV_42f34b52efc14701904e2bd69b949ebb_825">#REF!</definedName>
    <definedName name="_vena_MYPS1_MYPB1_R_FV_42f34b52efc14701904e2bd69b949ebb_826">#REF!</definedName>
    <definedName name="_vena_MYPS1_MYPB1_R_FV_42f34b52efc14701904e2bd69b949ebb_827">#REF!</definedName>
    <definedName name="_vena_MYPS1_MYPB1_R_FV_42f34b52efc14701904e2bd69b949ebb_828">#REF!</definedName>
    <definedName name="_vena_MYPS1_MYPB1_R_FV_42f34b52efc14701904e2bd69b949ebb_829">#REF!</definedName>
    <definedName name="_vena_MYPS1_MYPB1_R_FV_42f34b52efc14701904e2bd69b949ebb_830">#REF!</definedName>
    <definedName name="_vena_MYPS1_MYPB1_R_FV_42f34b52efc14701904e2bd69b949ebb_831">#REF!</definedName>
    <definedName name="_vena_MYPS1_MYPB1_R_FV_42f34b52efc14701904e2bd69b949ebb_832">#REF!</definedName>
    <definedName name="_vena_MYPS1_MYPB1_R_FV_42f34b52efc14701904e2bd69b949ebb_833">#REF!</definedName>
    <definedName name="_vena_MYPS1_MYPB1_R_FV_42f34b52efc14701904e2bd69b949ebb_834">#REF!</definedName>
    <definedName name="_vena_MYPS1_MYPB1_R_FV_42f34b52efc14701904e2bd69b949ebb_835">#REF!</definedName>
    <definedName name="_vena_MYPS1_MYPB1_R_FV_42f34b52efc14701904e2bd69b949ebb_836">#REF!</definedName>
    <definedName name="_vena_MYPS1_MYPB1_R_FV_42f34b52efc14701904e2bd69b949ebb_837">#REF!</definedName>
    <definedName name="_vena_MYPS1_MYPB1_R_FV_42f34b52efc14701904e2bd69b949ebb_838">#REF!</definedName>
    <definedName name="_vena_MYPS1_MYPB1_R_FV_42f34b52efc14701904e2bd69b949ebb_839">#REF!</definedName>
    <definedName name="_vena_MYPS1_MYPB1_R_FV_42f34b52efc14701904e2bd69b949ebb_840">#REF!</definedName>
    <definedName name="_vena_MYPS1_MYPB1_R_FV_42f34b52efc14701904e2bd69b949ebb_841">#REF!</definedName>
    <definedName name="_vena_MYPS1_MYPB1_R_FV_42f34b52efc14701904e2bd69b949ebb_842">#REF!</definedName>
    <definedName name="_vena_MYPS1_MYPB1_R_FV_42f34b52efc14701904e2bd69b949ebb_843">#REF!</definedName>
    <definedName name="_vena_MYPS1_MYPB1_R_FV_42f34b52efc14701904e2bd69b949ebb_844">#REF!</definedName>
    <definedName name="_vena_MYPS1_MYPB1_R_FV_42f34b52efc14701904e2bd69b949ebb_845">#REF!</definedName>
    <definedName name="_vena_MYPS1_MYPB1_R_FV_42f34b52efc14701904e2bd69b949ebb_846">#REF!</definedName>
    <definedName name="_vena_MYPS1_MYPB1_R_FV_42f34b52efc14701904e2bd69b949ebb_847">#REF!</definedName>
    <definedName name="_vena_MYPS1_MYPB1_R_FV_42f34b52efc14701904e2bd69b949ebb_848">#REF!</definedName>
    <definedName name="_vena_MYPS1_MYPB1_R_FV_42f34b52efc14701904e2bd69b949ebb_849">#REF!</definedName>
    <definedName name="_vena_MYPS1_MYPB1_R_FV_42f34b52efc14701904e2bd69b949ebb_850">#REF!</definedName>
    <definedName name="_vena_MYPS1_MYPB1_R_FV_42f34b52efc14701904e2bd69b949ebb_851">#REF!</definedName>
    <definedName name="_vena_MYPS1_MYPB1_R_FV_42f34b52efc14701904e2bd69b949ebb_852">#REF!</definedName>
    <definedName name="_vena_MYPS1_MYPB1_R_FV_42f34b52efc14701904e2bd69b949ebb_853">#REF!</definedName>
    <definedName name="_vena_MYPS1_MYPB1_R_FV_42f34b52efc14701904e2bd69b949ebb_854">#REF!</definedName>
    <definedName name="_vena_MYPS1_MYPB1_R_FV_42f34b52efc14701904e2bd69b949ebb_855">#REF!</definedName>
    <definedName name="_vena_MYPS1_MYPB1_R_FV_42f34b52efc14701904e2bd69b949ebb_856">#REF!</definedName>
    <definedName name="_vena_MYPS1_MYPB1_R_FV_42f34b52efc14701904e2bd69b949ebb_857">#REF!</definedName>
    <definedName name="_vena_MYPS1_MYPB1_R_FV_42f34b52efc14701904e2bd69b949ebb_858">#REF!</definedName>
    <definedName name="_vena_MYPS1_MYPB1_R_FV_42f34b52efc14701904e2bd69b949ebb_859">#REF!</definedName>
    <definedName name="_vena_MYPS1_MYPB1_R_FV_42f34b52efc14701904e2bd69b949ebb_860">#REF!</definedName>
    <definedName name="_vena_MYPS1_MYPB1_R_FV_42f34b52efc14701904e2bd69b949ebb_861">#REF!</definedName>
    <definedName name="_vena_MYPS1_MYPB1_R_FV_42f34b52efc14701904e2bd69b949ebb_862">#REF!</definedName>
    <definedName name="_vena_MYPS1_MYPB1_R_FV_42f34b52efc14701904e2bd69b949ebb_863">#REF!</definedName>
    <definedName name="_vena_MYPS1_MYPB1_R_FV_42f34b52efc14701904e2bd69b949ebb_864">#REF!</definedName>
    <definedName name="_vena_MYPS1_MYPB1_R_FV_42f34b52efc14701904e2bd69b949ebb_865">#REF!</definedName>
    <definedName name="_vena_MYPS1_MYPB1_R_FV_42f34b52efc14701904e2bd69b949ebb_866">#REF!</definedName>
    <definedName name="_vena_MYPS1_MYPB1_R_FV_42f34b52efc14701904e2bd69b949ebb_867">#REF!</definedName>
    <definedName name="_vena_MYPS1_MYPB1_R_FV_42f34b52efc14701904e2bd69b949ebb_868">#REF!</definedName>
    <definedName name="_vena_MYPS1_MYPB1_R_FV_42f34b52efc14701904e2bd69b949ebb_869">#REF!</definedName>
    <definedName name="_vena_MYPS1_MYPB1_R_FV_42f34b52efc14701904e2bd69b949ebb_870">#REF!</definedName>
    <definedName name="_vena_MYPS1_MYPB1_R_FV_42f34b52efc14701904e2bd69b949ebb_871">#REF!</definedName>
    <definedName name="_vena_MYPS1_MYPB1_R_FV_42f34b52efc14701904e2bd69b949ebb_872">#REF!</definedName>
    <definedName name="_vena_MYPS1_MYPB1_R_FV_42f34b52efc14701904e2bd69b949ebb_873">#REF!</definedName>
    <definedName name="_vena_MYPS1_MYPB1_R_FV_42f34b52efc14701904e2bd69b949ebb_874">#REF!</definedName>
    <definedName name="_vena_MYPS1_MYPB1_R_FV_42f34b52efc14701904e2bd69b949ebb_875">#REF!</definedName>
    <definedName name="_vena_MYPS1_MYPB1_R_FV_42f34b52efc14701904e2bd69b949ebb_876">#REF!</definedName>
    <definedName name="_vena_MYPS1_MYPB1_R_FV_42f34b52efc14701904e2bd69b949ebb_877">#REF!</definedName>
    <definedName name="_vena_MYPS1_MYPB1_R_FV_42f34b52efc14701904e2bd69b949ebb_878">#REF!</definedName>
    <definedName name="_vena_MYPS1_MYPB1_R_FV_42f34b52efc14701904e2bd69b949ebb_879">#REF!</definedName>
    <definedName name="_vena_MYPS1_MYPB1_R_FV_42f34b52efc14701904e2bd69b949ebb_880">#REF!</definedName>
    <definedName name="_vena_MYPS1_MYPB1_R_FV_42f34b52efc14701904e2bd69b949ebb_881">#REF!</definedName>
    <definedName name="_vena_MYPS1_MYPB1_R_FV_42f34b52efc14701904e2bd69b949ebb_882">#REF!</definedName>
    <definedName name="_vena_MYPS1_MYPB1_R_FV_42f34b52efc14701904e2bd69b949ebb_883">#REF!</definedName>
    <definedName name="_vena_MYPS1_MYPB1_R_FV_42f34b52efc14701904e2bd69b949ebb_884">#REF!</definedName>
    <definedName name="_vena_MYPS1_MYPB1_R_FV_42f34b52efc14701904e2bd69b949ebb_885">#REF!</definedName>
    <definedName name="_vena_MYPS1_MYPB1_R_FV_42f34b52efc14701904e2bd69b949ebb_886">#REF!</definedName>
    <definedName name="_vena_MYPS1_MYPB1_R_FV_42f34b52efc14701904e2bd69b949ebb_887">#REF!</definedName>
    <definedName name="_vena_MYPS1_MYPB1_R_FV_42f34b52efc14701904e2bd69b949ebb_888">#REF!</definedName>
    <definedName name="_vena_MYPS1_MYPB1_R_FV_42f34b52efc14701904e2bd69b949ebb_889">#REF!</definedName>
    <definedName name="_vena_MYPS1_MYPB1_R_FV_42f34b52efc14701904e2bd69b949ebb_890">#REF!</definedName>
    <definedName name="_vena_MYPS1_MYPB1_R_FV_42f34b52efc14701904e2bd69b949ebb_891">#REF!</definedName>
    <definedName name="_vena_MYPS1_MYPB1_R_FV_42f34b52efc14701904e2bd69b949ebb_892">#REF!</definedName>
    <definedName name="_vena_MYPS1_MYPB1_R_FV_42f34b52efc14701904e2bd69b949ebb_893">#REF!</definedName>
    <definedName name="_vena_MYPS1_MYPB1_R_FV_42f34b52efc14701904e2bd69b949ebb_894">#REF!</definedName>
    <definedName name="_vena_MYPS1_MYPB1_R_FV_42f34b52efc14701904e2bd69b949ebb_895">#REF!</definedName>
    <definedName name="_vena_MYPS1_MYPB1_R_FV_42f34b52efc14701904e2bd69b949ebb_896">#REF!</definedName>
    <definedName name="_vena_MYPS1_MYPB1_R_FV_42f34b52efc14701904e2bd69b949ebb_897">#REF!</definedName>
    <definedName name="_vena_MYPS1_MYPB1_R_FV_42f34b52efc14701904e2bd69b949ebb_898">#REF!</definedName>
    <definedName name="_vena_MYPS1_MYPB1_R_FV_42f34b52efc14701904e2bd69b949ebb_899">#REF!</definedName>
    <definedName name="_vena_MYPS1_MYPB1_R_FV_42f34b52efc14701904e2bd69b949ebb_900">#REF!</definedName>
    <definedName name="_vena_MYPS1_MYPB1_R_FV_42f34b52efc14701904e2bd69b949ebb_901">#REF!</definedName>
    <definedName name="_vena_MYPS1_MYPB1_R_FV_42f34b52efc14701904e2bd69b949ebb_902">#REF!</definedName>
    <definedName name="_vena_MYPS1_MYPB1_R_FV_42f34b52efc14701904e2bd69b949ebb_903">#REF!</definedName>
    <definedName name="_vena_MYPS1_MYPB1_R_FV_42f34b52efc14701904e2bd69b949ebb_904">#REF!</definedName>
    <definedName name="_vena_MYPS1_MYPB1_R_FV_42f34b52efc14701904e2bd69b949ebb_905">#REF!</definedName>
    <definedName name="_vena_MYPS1_MYPB1_R_FV_42f34b52efc14701904e2bd69b949ebb_906">#REF!</definedName>
    <definedName name="_vena_MYPS1_MYPB1_R_FV_42f34b52efc14701904e2bd69b949ebb_907">#REF!</definedName>
    <definedName name="_vena_MYPS1_MYPB1_R_FV_42f34b52efc14701904e2bd69b949ebb_908">#REF!</definedName>
    <definedName name="_vena_MYPS1_MYPB1_R_FV_42f34b52efc14701904e2bd69b949ebb_909">#REF!</definedName>
    <definedName name="_vena_MYPS1_MYPB1_R_FV_42f34b52efc14701904e2bd69b949ebb_910">#REF!</definedName>
    <definedName name="_vena_MYPS1_MYPB1_R_FV_42f34b52efc14701904e2bd69b949ebb_911">#REF!</definedName>
    <definedName name="_vena_MYPS1_MYPB1_R_FV_42f34b52efc14701904e2bd69b949ebb_912">#REF!</definedName>
    <definedName name="_vena_MYPS1_MYPB1_R_FV_42f34b52efc14701904e2bd69b949ebb_913">#REF!</definedName>
    <definedName name="_vena_MYPS1_MYPB1_R_FV_42f34b52efc14701904e2bd69b949ebb_914">#REF!</definedName>
    <definedName name="_vena_MYPS1_MYPB1_R_FV_42f34b52efc14701904e2bd69b949ebb_915">#REF!</definedName>
    <definedName name="_vena_MYPS1_MYPB1_R_FV_42f34b52efc14701904e2bd69b949ebb_916">#REF!</definedName>
    <definedName name="_vena_MYPS1_MYPB1_R_FV_42f34b52efc14701904e2bd69b949ebb_917">#REF!</definedName>
    <definedName name="_vena_MYPS1_MYPB1_R_FV_42f34b52efc14701904e2bd69b949ebb_918">#REF!</definedName>
    <definedName name="_vena_MYPS1_MYPB1_R_FV_42f34b52efc14701904e2bd69b949ebb_919">#REF!</definedName>
    <definedName name="_vena_MYPS1_MYPB1_R_FV_42f34b52efc14701904e2bd69b949ebb_920">#REF!</definedName>
    <definedName name="_vena_MYPS1_MYPB1_R_FV_42f34b52efc14701904e2bd69b949ebb_921">#REF!</definedName>
    <definedName name="_vena_MYPS1_MYPB1_R_FV_42f34b52efc14701904e2bd69b949ebb_922">#REF!</definedName>
    <definedName name="_vena_MYPS1_MYPB1_R_FV_42f34b52efc14701904e2bd69b949ebb_923">#REF!</definedName>
    <definedName name="_vena_MYPS1_MYPB1_R_FV_42f34b52efc14701904e2bd69b949ebb_924">#REF!</definedName>
    <definedName name="_vena_MYPS1_MYPB1_R_FV_42f34b52efc14701904e2bd69b949ebb_925">#REF!</definedName>
    <definedName name="_vena_MYPS1_MYPB1_R_FV_42f34b52efc14701904e2bd69b949ebb_926">#REF!</definedName>
    <definedName name="_vena_MYPS1_MYPB1_R_FV_42f34b52efc14701904e2bd69b949ebb_927">#REF!</definedName>
    <definedName name="_vena_MYPS1_MYPB1_R_FV_42f34b52efc14701904e2bd69b949ebb_928">#REF!</definedName>
    <definedName name="_vena_MYPS1_MYPB1_R_FV_42f34b52efc14701904e2bd69b949ebb_929">#REF!</definedName>
    <definedName name="_vena_MYPS1_MYPB1_R_FV_42f34b52efc14701904e2bd69b949ebb_930">#REF!</definedName>
    <definedName name="_vena_MYPS1_MYPB1_R_FV_42f34b52efc14701904e2bd69b949ebb_931">#REF!</definedName>
    <definedName name="_vena_MYPS1_MYPB1_R_FV_42f34b52efc14701904e2bd69b949ebb_932">#REF!</definedName>
    <definedName name="_vena_MYPS1_MYPB1_R_FV_42f34b52efc14701904e2bd69b949ebb_933">#REF!</definedName>
    <definedName name="_vena_MYPS1_MYPB1_R_FV_42f34b52efc14701904e2bd69b949ebb_934">#REF!</definedName>
    <definedName name="_vena_MYPS1_MYPB1_R_FV_42f34b52efc14701904e2bd69b949ebb_935">#REF!</definedName>
    <definedName name="_vena_MYPS1_MYPB1_R_FV_42f34b52efc14701904e2bd69b949ebb_936">#REF!</definedName>
    <definedName name="_vena_MYPS1_MYPB1_R_FV_42f34b52efc14701904e2bd69b949ebb_937">#REF!</definedName>
    <definedName name="_vena_MYPS1_MYPB1_R_FV_42f34b52efc14701904e2bd69b949ebb_938">#REF!</definedName>
    <definedName name="_vena_MYPS1_MYPB1_R_FV_42f34b52efc14701904e2bd69b949ebb_939">#REF!</definedName>
    <definedName name="_vena_MYPS1_MYPB1_R_FV_42f34b52efc14701904e2bd69b949ebb_94">#REF!</definedName>
    <definedName name="_vena_MYPS1_MYPB1_R_FV_42f34b52efc14701904e2bd69b949ebb_940">#REF!</definedName>
    <definedName name="_vena_MYPS1_MYPB1_R_FV_42f34b52efc14701904e2bd69b949ebb_941">#REF!</definedName>
    <definedName name="_vena_MYPS1_MYPB1_R_FV_42f34b52efc14701904e2bd69b949ebb_942">#REF!</definedName>
    <definedName name="_vena_MYPS1_MYPB1_R_FV_42f34b52efc14701904e2bd69b949ebb_943">#REF!</definedName>
    <definedName name="_vena_MYPS1_MYPB1_R_FV_42f34b52efc14701904e2bd69b949ebb_944">#REF!</definedName>
    <definedName name="_vena_MYPS1_MYPB1_R_FV_42f34b52efc14701904e2bd69b949ebb_945">#REF!</definedName>
    <definedName name="_vena_MYPS1_MYPB1_R_FV_42f34b52efc14701904e2bd69b949ebb_946">#REF!</definedName>
    <definedName name="_vena_MYPS1_MYPB1_R_FV_42f34b52efc14701904e2bd69b949ebb_947">#REF!</definedName>
    <definedName name="_vena_MYPS1_MYPB1_R_FV_42f34b52efc14701904e2bd69b949ebb_948">#REF!</definedName>
    <definedName name="_vena_MYPS1_MYPB1_R_FV_42f34b52efc14701904e2bd69b949ebb_949">#REF!</definedName>
    <definedName name="_vena_MYPS1_MYPB1_R_FV_42f34b52efc14701904e2bd69b949ebb_950">#REF!</definedName>
    <definedName name="_vena_MYPS1_MYPB1_R_FV_42f34b52efc14701904e2bd69b949ebb_951">#REF!</definedName>
    <definedName name="_vena_MYPS1_MYPB1_R_FV_42f34b52efc14701904e2bd69b949ebb_952">#REF!</definedName>
    <definedName name="_vena_MYPS1_MYPB1_R_FV_42f34b52efc14701904e2bd69b949ebb_953">#REF!</definedName>
    <definedName name="_vena_MYPS1_MYPB1_R_FV_42f34b52efc14701904e2bd69b949ebb_954">#REF!</definedName>
    <definedName name="_vena_MYPS1_MYPB1_R_FV_42f34b52efc14701904e2bd69b949ebb_955">#REF!</definedName>
    <definedName name="_vena_MYPS1_MYPB1_R_FV_42f34b52efc14701904e2bd69b949ebb_956">#REF!</definedName>
    <definedName name="_vena_MYPS1_MYPB1_R_FV_42f34b52efc14701904e2bd69b949ebb_957">#REF!</definedName>
    <definedName name="_vena_MYPS1_MYPB1_R_FV_42f34b52efc14701904e2bd69b949ebb_958">#REF!</definedName>
    <definedName name="_vena_MYPS1_MYPB1_R_FV_42f34b52efc14701904e2bd69b949ebb_959">#REF!</definedName>
    <definedName name="_vena_MYPS1_MYPB1_R_FV_42f34b52efc14701904e2bd69b949ebb_960">#REF!</definedName>
    <definedName name="_vena_MYPS1_MYPB1_R_FV_42f34b52efc14701904e2bd69b949ebb_961">#REF!</definedName>
    <definedName name="_vena_MYPS1_MYPB1_R_FV_42f34b52efc14701904e2bd69b949ebb_962">#REF!</definedName>
    <definedName name="_vena_MYPS1_MYPB1_R_FV_42f34b52efc14701904e2bd69b949ebb_963">#REF!</definedName>
    <definedName name="_vena_MYPS1_MYPB1_R_FV_42f34b52efc14701904e2bd69b949ebb_964">#REF!</definedName>
    <definedName name="_vena_MYPS1_MYPB1_R_FV_42f34b52efc14701904e2bd69b949ebb_965">#REF!</definedName>
    <definedName name="_vena_MYPS1_MYPB1_R_FV_42f34b52efc14701904e2bd69b949ebb_966">#REF!</definedName>
    <definedName name="_vena_MYPS1_MYPB1_R_FV_42f34b52efc14701904e2bd69b949ebb_967">#REF!</definedName>
    <definedName name="_vena_MYPS1_MYPB1_R_FV_42f34b52efc14701904e2bd69b949ebb_968">#REF!</definedName>
    <definedName name="_vena_MYPS1_MYPB1_R_FV_42f34b52efc14701904e2bd69b949ebb_969">#REF!</definedName>
    <definedName name="_vena_MYPS1_MYPB1_R_FV_42f34b52efc14701904e2bd69b949ebb_970">#REF!</definedName>
    <definedName name="_vena_MYPS1_MYPB1_R_FV_42f34b52efc14701904e2bd69b949ebb_971">#REF!</definedName>
    <definedName name="_vena_MYPS1_MYPB1_R_FV_42f34b52efc14701904e2bd69b949ebb_972">#REF!</definedName>
    <definedName name="_vena_MYPS1_MYPB1_R_FV_42f34b52efc14701904e2bd69b949ebb_973">#REF!</definedName>
    <definedName name="_vena_MYPS1_MYPB1_R_FV_42f34b52efc14701904e2bd69b949ebb_974">#REF!</definedName>
    <definedName name="_vena_MYPS1_MYPB1_R_FV_42f34b52efc14701904e2bd69b949ebb_975">#REF!</definedName>
    <definedName name="_vena_MYPS1_MYPB1_R_FV_42f34b52efc14701904e2bd69b949ebb_976">#REF!</definedName>
    <definedName name="_vena_MYPS1_MYPB1_R_FV_42f34b52efc14701904e2bd69b949ebb_977">#REF!</definedName>
    <definedName name="_vena_MYPS1_MYPB1_R_FV_42f34b52efc14701904e2bd69b949ebb_978">#REF!</definedName>
    <definedName name="_vena_MYPS1_MYPB1_R_FV_42f34b52efc14701904e2bd69b949ebb_979">#REF!</definedName>
    <definedName name="_vena_MYPS1_MYPB1_R_FV_42f34b52efc14701904e2bd69b949ebb_980">#REF!</definedName>
    <definedName name="_vena_MYPS1_MYPB1_R_FV_42f34b52efc14701904e2bd69b949ebb_981">#REF!</definedName>
    <definedName name="_vena_MYPS1_MYPB1_R_FV_42f34b52efc14701904e2bd69b949ebb_982">#REF!</definedName>
    <definedName name="_vena_MYPS1_MYPB1_R_FV_42f34b52efc14701904e2bd69b949ebb_983">#REF!</definedName>
    <definedName name="_vena_MYPS1_MYPB1_R_FV_42f34b52efc14701904e2bd69b949ebb_984">#REF!</definedName>
    <definedName name="_vena_MYPS1_MYPB1_R_FV_42f34b52efc14701904e2bd69b949ebb_985">#REF!</definedName>
    <definedName name="_vena_MYPS1_MYPB1_R_FV_42f34b52efc14701904e2bd69b949ebb_986">#REF!</definedName>
    <definedName name="_vena_MYPS1_MYPB1_R_FV_42f34b52efc14701904e2bd69b949ebb_987">#REF!</definedName>
    <definedName name="_vena_MYPS1_MYPB1_R_FV_42f34b52efc14701904e2bd69b949ebb_988">#REF!</definedName>
    <definedName name="_vena_MYPS1_MYPB1_R_FV_42f34b52efc14701904e2bd69b949ebb_989">#REF!</definedName>
    <definedName name="_vena_MYPS1_MYPB1_R_FV_42f34b52efc14701904e2bd69b949ebb_990">#REF!</definedName>
    <definedName name="_vena_MYPS1_MYPB1_R_FV_42f34b52efc14701904e2bd69b949ebb_991">#REF!</definedName>
    <definedName name="_vena_MYPS1_MYPB1_R_FV_42f34b52efc14701904e2bd69b949ebb_992">#REF!</definedName>
    <definedName name="_vena_MYPS1_MYPB1_R_FV_42f34b52efc14701904e2bd69b949ebb_993">#REF!</definedName>
    <definedName name="_vena_MYPS1_MYPB1_R_FV_42f34b52efc14701904e2bd69b949ebb_994">#REF!</definedName>
    <definedName name="_vena_MYPS1_MYPB1_R_FV_42f34b52efc14701904e2bd69b949ebb_995">#REF!</definedName>
    <definedName name="_vena_MYPS1_MYPB1_R_FV_42f34b52efc14701904e2bd69b949ebb_996">#REF!</definedName>
    <definedName name="_vena_MYPS1_MYPB1_R_FV_42f34b52efc14701904e2bd69b949ebb_997">#REF!</definedName>
    <definedName name="_vena_MYPS1_MYPB1_R_FV_42f34b52efc14701904e2bd69b949ebb_998">#REF!</definedName>
    <definedName name="_vena_MYPS1_MYPB1_R_FV_42f34b52efc14701904e2bd69b949ebb_999">#REF!</definedName>
    <definedName name="_vena_MYPS1_MYPB2_C_2_632005310802558978">#REF!</definedName>
    <definedName name="_vena_MYPS1_MYPB2_C_2_632005310802558978_1">#REF!</definedName>
    <definedName name="_vena_MYPS1_MYPB2_C_2_632005310802558978_2">#REF!</definedName>
    <definedName name="_vena_MYPS1_MYPB2_C_4_451234991058452480">#REF!</definedName>
    <definedName name="_vena_MYPS1_MYPB2_C_4_451234991058452480_1">#REF!</definedName>
    <definedName name="_vena_MYPS1_MYPB2_C_4_632005309959503878">#REF!</definedName>
    <definedName name="_vena_MYPS1_MYPB2_C_4_632005309959503878_1">#REF!</definedName>
    <definedName name="_vena_MYPS1_MYPB2_C_6_632005313059094533">#REF!</definedName>
    <definedName name="_vena_MYPS1_MYPB2_C_6_632005313059094533_1">#REF!</definedName>
    <definedName name="_vena_MYPS1_MYPB2_C_6_632005313059094533_2">#REF!</definedName>
    <definedName name="_vena_MYPS1_MYPB2_C_7_632005313260421126">#REF!</definedName>
    <definedName name="_vena_MYPS1_MYPB2_C_7_632005313260421126_1">#REF!</definedName>
    <definedName name="_vena_MYPS1_MYPB2_C_7_632005313260421126_2">#REF!</definedName>
    <definedName name="_vena_MYPS1_MYPB2_C_8_431662182314278912">#REF!</definedName>
    <definedName name="_vena_MYPS1_MYPB2_C_8_487140113311727616">#REF!</definedName>
    <definedName name="_vena_MYPS1_MYPB2_C_8_632005313608548359">#REF!</definedName>
    <definedName name="_vena_MYPS1_MYPB2_C_8_632005313642102786">#REF!</definedName>
    <definedName name="_vena_MYPS1_MYPB2_C_8_632005313667268610">#REF!</definedName>
    <definedName name="_vena_MYPS1_MYPB2_C_8_632005313667268610_1">#REF!</definedName>
    <definedName name="_vena_MYPS1_MYPB2_C_8_632005313667268610_2">#REF!</definedName>
    <definedName name="_vena_MYPS1_MYPB2_C_FV_56493ffece784c5db4cd0fd3b40a250d_4">#REF!</definedName>
    <definedName name="_vena_MYPS1_MYPB2_C_FV_56493ffece784c5db4cd0fd3b40a250d_5">#REF!</definedName>
    <definedName name="_vena_MYPS1_MYPB2_C_FV_a398e917565c475b8f0c5e9ebb5e002d">#REF!</definedName>
    <definedName name="_vena_MYPS1_MYPB2_C_FV_a398e917565c475b8f0c5e9ebb5e002d_1">#REF!</definedName>
    <definedName name="_vena_MYPS1_MYPB2_C_FV_a398e917565c475b8f0c5e9ebb5e002d_2">#REF!</definedName>
    <definedName name="_vena_MYPS1_MYPB2_C_FV_e1c3a244dc3d4f149ecdf7d748811086">#REF!</definedName>
    <definedName name="_vena_MYPS1_MYPB2_C_FV_e1c3a244dc3d4f149ecdf7d748811086_1">#REF!</definedName>
    <definedName name="_vena_MYPS1_MYPB2_C_FV_e1c3a244dc3d4f149ecdf7d748811086_2">#REF!</definedName>
    <definedName name="_vena_MYPS1_MYPB2_C_FV_e3545e3dcc52420a84dcdae3a23a4597_1">#REF!</definedName>
    <definedName name="_vena_MYPS1_MYPB2_C_FV_e3545e3dcc52420a84dcdae3a23a4597_2">#REF!</definedName>
    <definedName name="_vena_MYPS1_MYPB2_R_5_1075919563626119168">#REF!</definedName>
    <definedName name="_vena_MYPS1_MYPB2_R_5_1111159204226662400">#REF!</definedName>
    <definedName name="_vena_MYPS1_MYPB2_R_5_1111520259854303232">#REF!</definedName>
    <definedName name="_vena_MYPS1_MYPB2_R_5_1111524173681000448">#REF!</definedName>
    <definedName name="_vena_MYPS1_MYPB2_R_5_1144090288895164416">#REF!</definedName>
    <definedName name="_vena_MYPS1_MYPB2_R_5_1167674209943552000">#REF!</definedName>
    <definedName name="_vena_MYPS1_MYPB2_R_5_1170595977436463104">#REF!</definedName>
    <definedName name="_vena_MYPS1_MYPB2_R_5_1170596113696817152">#REF!</definedName>
    <definedName name="_vena_MYPS1_MYPB2_R_5_1185377430419013632">#REF!</definedName>
    <definedName name="_vena_MYPS1_MYPB2_R_5_1185377508101718016">#REF!</definedName>
    <definedName name="_vena_MYPS1_MYPB2_R_5_1186870856006238208">#REF!</definedName>
    <definedName name="_vena_MYPS1_MYPB2_R_5_1186870856203370497">#REF!</definedName>
    <definedName name="_vena_MYPS1_MYPB2_R_5_1186870856203370499">#REF!</definedName>
    <definedName name="_vena_MYPS1_MYPB2_R_5_1186870856207564801">#REF!</definedName>
    <definedName name="_vena_MYPS1_MYPB2_R_5_1186870856207564805">#REF!</definedName>
    <definedName name="_vena_MYPS1_MYPB2_R_5_1186870856207564807">#REF!</definedName>
    <definedName name="_vena_MYPS1_MYPB2_R_5_1202087927775100928">#REF!</definedName>
    <definedName name="_vena_MYPS1_MYPB2_R_5_1235034379672354816">#REF!</definedName>
    <definedName name="_vena_MYPS1_MYPB2_R_5_1235118656917078017">#REF!</definedName>
    <definedName name="_vena_MYPS1_MYPB2_R_5_1251394851461267456">#REF!</definedName>
    <definedName name="_vena_MYPS1_MYPB2_R_5_1258303532941574144">#REF!</definedName>
    <definedName name="_vena_MYPS1_MYPB2_R_5_1280678120106754048">#REF!</definedName>
    <definedName name="_vena_MYPS1_MYPB2_R_5_1312503216814161920">#REF!</definedName>
    <definedName name="_vena_MYPS1_MYPB2_R_5_1314840998504824832">#REF!</definedName>
    <definedName name="_vena_MYPS1_MYPB2_R_5_1372108834994782487">#REF!</definedName>
    <definedName name="_vena_MYPS1_MYPB2_R_5_1372108961466417152">#REF!</definedName>
    <definedName name="_vena_MYPS1_MYPB2_R_5_1451293258702520320">#REF!</definedName>
    <definedName name="_vena_MYPS1_MYPB2_R_5_431662131277987840">#REF!</definedName>
    <definedName name="_vena_MYPS1_MYPB2_R_5_431662131290570752">#REF!</definedName>
    <definedName name="_vena_MYPS1_MYPB2_R_5_431662131294765057">#REF!</definedName>
    <definedName name="_vena_MYPS1_MYPB2_R_5_431662131298959361">#REF!</definedName>
    <definedName name="_vena_MYPS1_MYPB2_R_5_431662131303153665">#REF!</definedName>
    <definedName name="_vena_MYPS1_MYPB2_R_5_431662131311542273">#REF!</definedName>
    <definedName name="_vena_MYPS1_MYPB2_R_5_431662131315736577">#REF!</definedName>
    <definedName name="_vena_MYPS1_MYPB2_R_5_431662131324125185">#REF!</definedName>
    <definedName name="_vena_MYPS1_MYPB2_R_5_431662131328319489">#REF!</definedName>
    <definedName name="_vena_MYPS1_MYPB2_R_5_431662131332513793">#REF!</definedName>
    <definedName name="_vena_MYPS1_MYPB2_R_5_431662131336708097">#REF!</definedName>
    <definedName name="_vena_MYPS1_MYPB2_R_5_431662131340902401">#REF!</definedName>
    <definedName name="_vena_MYPS1_MYPB2_R_5_431662131345096705">#REF!</definedName>
    <definedName name="_vena_MYPS1_MYPB2_R_5_431662131353485313">#REF!</definedName>
    <definedName name="_vena_MYPS1_MYPB2_R_5_431662131361873921">#REF!</definedName>
    <definedName name="_vena_MYPS1_MYPB2_R_5_431662131378651136">#REF!</definedName>
    <definedName name="_vena_MYPS1_MYPB2_R_5_431662131387039744">#REF!</definedName>
    <definedName name="_vena_MYPS1_MYPB2_R_5_431662131391234049">#REF!</definedName>
    <definedName name="_vena_MYPS1_MYPB2_R_5_431662131395428353">#REF!</definedName>
    <definedName name="_vena_MYPS1_MYPB2_R_5_431662131399622657">#REF!</definedName>
    <definedName name="_vena_MYPS1_MYPB2_R_5_431662131408011265">#REF!</definedName>
    <definedName name="_vena_MYPS1_MYPB2_R_5_431662131412205569">#REF!</definedName>
    <definedName name="_vena_MYPS1_MYPB2_R_5_431662131420594177">#REF!</definedName>
    <definedName name="_vena_MYPS1_MYPB2_R_5_431662131424788481">#REF!</definedName>
    <definedName name="_vena_MYPS1_MYPB2_R_5_431662131433177088">#REF!</definedName>
    <definedName name="_vena_MYPS1_MYPB2_R_5_431662131437371393">#REF!</definedName>
    <definedName name="_vena_MYPS1_MYPB2_R_5_431662131441565697">#REF!</definedName>
    <definedName name="_vena_MYPS1_MYPB2_R_5_431662131445760001">#REF!</definedName>
    <definedName name="_vena_MYPS1_MYPB2_R_5_431662131449954305">#REF!</definedName>
    <definedName name="_vena_MYPS1_MYPB2_R_5_431662131458342913">#REF!</definedName>
    <definedName name="_vena_MYPS1_MYPB2_R_5_431662131462537217">#REF!</definedName>
    <definedName name="_vena_MYPS1_MYPB2_R_5_431662131466731521">#REF!</definedName>
    <definedName name="_vena_MYPS1_MYPB2_R_5_431662131475120129">#REF!</definedName>
    <definedName name="_vena_MYPS1_MYPB2_R_5_431662131479314433">#REF!</definedName>
    <definedName name="_vena_MYPS1_MYPB2_R_5_431662131483508737">#REF!</definedName>
    <definedName name="_vena_MYPS1_MYPB2_R_5_431662131487703041">#REF!</definedName>
    <definedName name="_vena_MYPS1_MYPB2_R_5_431662131496091649">#REF!</definedName>
    <definedName name="_vena_MYPS1_MYPB2_R_5_431662131500285953">#REF!</definedName>
    <definedName name="_vena_MYPS1_MYPB2_R_5_431662131504480257">#REF!</definedName>
    <definedName name="_vena_MYPS1_MYPB2_R_5_431662131508674561">#REF!</definedName>
    <definedName name="_vena_MYPS1_MYPB2_R_5_431662131512868865">#REF!</definedName>
    <definedName name="_vena_MYPS1_MYPB2_R_5_431662131517063169">#REF!</definedName>
    <definedName name="_vena_MYPS1_MYPB2_R_5_431662131529646081">#REF!</definedName>
    <definedName name="_vena_MYPS1_MYPB2_R_5_431662131546423296">#REF!</definedName>
    <definedName name="_vena_MYPS1_MYPB2_R_5_431662131550617601">#REF!</definedName>
    <definedName name="_vena_MYPS1_MYPB2_R_5_431662131554811905">#REF!</definedName>
    <definedName name="_vena_MYPS1_MYPB2_R_5_431662131559006209">#REF!</definedName>
    <definedName name="_vena_MYPS1_MYPB2_R_5_431662131567394816">#REF!</definedName>
    <definedName name="_vena_MYPS1_MYPB2_R_5_431662131571589121">#REF!</definedName>
    <definedName name="_vena_MYPS1_MYPB2_R_5_431662131575783425">#REF!</definedName>
    <definedName name="_vena_MYPS1_MYPB2_R_5_431662131579977729">#REF!</definedName>
    <definedName name="_vena_MYPS1_MYPB2_R_5_431662131588366337">#REF!</definedName>
    <definedName name="_vena_MYPS1_MYPB2_R_5_431662131592560641">#REF!</definedName>
    <definedName name="_vena_MYPS1_MYPB2_R_5_431662131596754945">#REF!</definedName>
    <definedName name="_vena_MYPS1_MYPB2_R_5_431662131600949249">#REF!</definedName>
    <definedName name="_vena_MYPS1_MYPB2_R_5_431662131609337857">#REF!</definedName>
    <definedName name="_vena_MYPS1_MYPB2_R_5_431662131613532161">#REF!</definedName>
    <definedName name="_vena_MYPS1_MYPB2_R_5_431662131621920769">#REF!</definedName>
    <definedName name="_vena_MYPS1_MYPB2_R_5_431662131626115073">#REF!</definedName>
    <definedName name="_vena_MYPS1_MYPB2_R_5_431662131630309377">#REF!</definedName>
    <definedName name="_vena_MYPS1_MYPB2_R_5_431662131638697985">#REF!</definedName>
    <definedName name="_vena_MYPS1_MYPB2_R_5_431662131642892289">#REF!</definedName>
    <definedName name="_vena_MYPS1_MYPB2_R_5_431662131647086593">#REF!</definedName>
    <definedName name="_vena_MYPS1_MYPB2_R_5_431662131655475200">#REF!</definedName>
    <definedName name="_vena_MYPS1_MYPB2_R_5_431662131659669505">#REF!</definedName>
    <definedName name="_vena_MYPS1_MYPB2_R_5_431662131663863809">#REF!</definedName>
    <definedName name="_vena_MYPS1_MYPB2_R_5_431662131668058116">#REF!</definedName>
    <definedName name="_vena_MYPS1_MYPB2_R_5_431662131676446721">#REF!</definedName>
    <definedName name="_vena_MYPS1_MYPB2_R_5_431662131680641025">#REF!</definedName>
    <definedName name="_vena_MYPS1_MYPB2_R_5_431662131689029634">#REF!</definedName>
    <definedName name="_vena_MYPS1_MYPB2_R_5_431662131693223939">#REF!</definedName>
    <definedName name="_vena_MYPS1_MYPB2_R_5_431662131697418241">#REF!</definedName>
    <definedName name="_vena_MYPS1_MYPB2_R_5_431662131701612545">#REF!</definedName>
    <definedName name="_vena_MYPS1_MYPB2_R_5_431662131710001152">#REF!</definedName>
    <definedName name="_vena_MYPS1_MYPB2_R_5_431662131714195457">#REF!</definedName>
    <definedName name="_vena_MYPS1_MYPB2_R_5_431662131718389761">#REF!</definedName>
    <definedName name="_vena_MYPS1_MYPB2_R_5_431662131722584065">#REF!</definedName>
    <definedName name="_vena_MYPS1_MYPB2_R_5_431662131726778369">#REF!</definedName>
    <definedName name="_vena_MYPS1_MYPB2_R_5_431662131730972673">#REF!</definedName>
    <definedName name="_vena_MYPS1_MYPB2_R_5_431662131735166977">#REF!</definedName>
    <definedName name="_vena_MYPS1_MYPB2_R_5_431662131743555585">#REF!</definedName>
    <definedName name="_vena_MYPS1_MYPB2_R_5_431662131747749889">#REF!</definedName>
    <definedName name="_vena_MYPS1_MYPB2_R_5_431662131751944193">#REF!</definedName>
    <definedName name="_vena_MYPS1_MYPB2_R_5_431662131756138497">#REF!</definedName>
    <definedName name="_vena_MYPS1_MYPB2_R_5_431662131760332801">#REF!</definedName>
    <definedName name="_vena_MYPS1_MYPB2_R_5_431662131764527105">#REF!</definedName>
    <definedName name="_vena_MYPS1_MYPB2_R_5_431662131768721409">#REF!</definedName>
    <definedName name="_vena_MYPS1_MYPB2_R_5_431662131777110017">#REF!</definedName>
    <definedName name="_vena_MYPS1_MYPB2_R_5_431662131781304321">#REF!</definedName>
    <definedName name="_vena_MYPS1_MYPB2_R_5_431662131785498625">#REF!</definedName>
    <definedName name="_vena_MYPS1_MYPB2_R_5_431662131789692929">#REF!</definedName>
    <definedName name="_vena_MYPS1_MYPB2_R_5_431662131793887233">#REF!</definedName>
    <definedName name="_vena_MYPS1_MYPB2_R_5_431662131802275840">#REF!</definedName>
    <definedName name="_vena_MYPS1_MYPB2_R_5_431662131810664449">#REF!</definedName>
    <definedName name="_vena_MYPS1_MYPB2_R_5_431662131823247360">#REF!</definedName>
    <definedName name="_vena_MYPS1_MYPB2_R_5_431662131831635968">#REF!</definedName>
    <definedName name="_vena_MYPS1_MYPB2_R_5_431662131835830273">#REF!</definedName>
    <definedName name="_vena_MYPS1_MYPB2_R_5_431662131840024577">#REF!</definedName>
    <definedName name="_vena_MYPS1_MYPB2_R_5_431662131848413185">#REF!</definedName>
    <definedName name="_vena_MYPS1_MYPB2_R_5_431662131852607489">#REF!</definedName>
    <definedName name="_vena_MYPS1_MYPB2_R_5_431662131856801793">#REF!</definedName>
    <definedName name="_vena_MYPS1_MYPB2_R_5_431662131860996097">#REF!</definedName>
    <definedName name="_vena_MYPS1_MYPB2_R_5_431662131865190401">#REF!</definedName>
    <definedName name="_vena_MYPS1_MYPB2_R_5_431662131869384705">#REF!</definedName>
    <definedName name="_vena_MYPS1_MYPB2_R_5_431662131877773313">#REF!</definedName>
    <definedName name="_vena_MYPS1_MYPB2_R_5_431662131881967617">#REF!</definedName>
    <definedName name="_vena_MYPS1_MYPB2_R_5_431662131886161921">#REF!</definedName>
    <definedName name="_vena_MYPS1_MYPB2_R_5_431662131890356226">#REF!</definedName>
    <definedName name="_vena_MYPS1_MYPB2_R_5_431662131898744835">#REF!</definedName>
    <definedName name="_vena_MYPS1_MYPB2_R_5_431662131915522048">#REF!</definedName>
    <definedName name="_vena_MYPS1_MYPB2_R_5_431662131919716368">#REF!</definedName>
    <definedName name="_vena_MYPS1_MYPB2_R_5_431662131928104961">#REF!</definedName>
    <definedName name="_vena_MYPS1_MYPB2_R_5_431662131932299265">#REF!</definedName>
    <definedName name="_vena_MYPS1_MYPB2_R_5_431662131978436608">#REF!</definedName>
    <definedName name="_vena_MYPS1_MYPB2_R_5_431662131995213824">#REF!</definedName>
    <definedName name="_vena_MYPS1_MYPB2_R_5_431662131999408129">#REF!</definedName>
    <definedName name="_vena_MYPS1_MYPB2_R_5_431662132007796737">#REF!</definedName>
    <definedName name="_vena_MYPS1_MYPB2_R_5_431662132011991041">#REF!</definedName>
    <definedName name="_vena_MYPS1_MYPB2_R_5_431662132016185345">#REF!</definedName>
    <definedName name="_vena_MYPS1_MYPB2_R_5_431662132020379649">#REF!</definedName>
    <definedName name="_vena_MYPS1_MYPB2_R_5_431662132037156865">#REF!</definedName>
    <definedName name="_vena_MYPS1_MYPB2_R_5_431662132041351169">#REF!</definedName>
    <definedName name="_vena_MYPS1_MYPB2_R_5_431662132049739777">#REF!</definedName>
    <definedName name="_vena_MYPS1_MYPB2_R_5_431662132053934081">#REF!</definedName>
    <definedName name="_vena_MYPS1_MYPB2_R_5_431662132058128385">#REF!</definedName>
    <definedName name="_vena_MYPS1_MYPB2_R_5_431662132066516992">#REF!</definedName>
    <definedName name="_vena_MYPS1_MYPB2_R_5_431662132070711297">#REF!</definedName>
    <definedName name="_vena_MYPS1_MYPB2_R_5_431662132074905601">#REF!</definedName>
    <definedName name="_vena_MYPS1_MYPB2_R_5_431662132079099905">#REF!</definedName>
    <definedName name="_vena_MYPS1_MYPB2_R_5_431662132087488513">#REF!</definedName>
    <definedName name="_vena_MYPS1_MYPB2_R_5_431662132091682817">#REF!</definedName>
    <definedName name="_vena_MYPS1_MYPB2_R_5_431662132095877121">#REF!</definedName>
    <definedName name="_vena_MYPS1_MYPB2_R_5_431662132104265728">#REF!</definedName>
    <definedName name="_vena_MYPS1_MYPB2_R_5_431662132108460033">#REF!</definedName>
    <definedName name="_vena_MYPS1_MYPB2_R_5_431662132112654337">#REF!</definedName>
    <definedName name="_vena_MYPS1_MYPB2_R_5_431662132121042945">#REF!</definedName>
    <definedName name="_vena_MYPS1_MYPB2_R_5_431662132125237249">#REF!</definedName>
    <definedName name="_vena_MYPS1_MYPB2_R_5_431662132133625857">#REF!</definedName>
    <definedName name="_vena_MYPS1_MYPB2_R_5_431662132137820161">#REF!</definedName>
    <definedName name="_vena_MYPS1_MYPB2_R_5_431662132142014465">#REF!</definedName>
    <definedName name="_vena_MYPS1_MYPB2_R_5_431662132150403073">#REF!</definedName>
    <definedName name="_vena_MYPS1_MYPB2_R_5_431662132154597377">#REF!</definedName>
    <definedName name="_vena_MYPS1_MYPB2_R_5_431662132158791681">#REF!</definedName>
    <definedName name="_vena_MYPS1_MYPB2_R_5_431662132175568897">#REF!</definedName>
    <definedName name="_vena_MYPS1_MYPB2_R_5_431662132188151809">#REF!</definedName>
    <definedName name="_vena_MYPS1_MYPB2_R_5_431662132192346113">#REF!</definedName>
    <definedName name="_vena_MYPS1_MYPB2_R_5_431662132200734721">#REF!</definedName>
    <definedName name="_vena_MYPS1_MYPB2_R_5_431662132204929025">#REF!</definedName>
    <definedName name="_vena_MYPS1_MYPB2_R_5_431662132209123329">#REF!</definedName>
    <definedName name="_vena_MYPS1_MYPB2_R_5_431662132217511937">#REF!</definedName>
    <definedName name="_vena_MYPS1_MYPB2_R_5_431662132221706241">#REF!</definedName>
    <definedName name="_vena_MYPS1_MYPB2_R_5_431662132225900545">#REF!</definedName>
    <definedName name="_vena_MYPS1_MYPB2_R_5_431662132234289153">#REF!</definedName>
    <definedName name="_vena_MYPS1_MYPB2_R_5_431662132242677761">#REF!</definedName>
    <definedName name="_vena_MYPS1_MYPB2_R_5_431662132259454976">#REF!</definedName>
    <definedName name="_vena_MYPS1_MYPB2_R_5_431662132267843585">#REF!</definedName>
    <definedName name="_vena_MYPS1_MYPB2_R_5_431662132272037889">#REF!</definedName>
    <definedName name="_vena_MYPS1_MYPB2_R_5_431662132276232193">#REF!</definedName>
    <definedName name="_vena_MYPS1_MYPB2_R_5_431662132284620801">#REF!</definedName>
    <definedName name="_vena_MYPS1_MYPB2_R_5_431662132288815105">#REF!</definedName>
    <definedName name="_vena_MYPS1_MYPB2_R_5_431662132297203713">#REF!</definedName>
    <definedName name="_vena_MYPS1_MYPB2_R_5_431662132301398017">#REF!</definedName>
    <definedName name="_vena_MYPS1_MYPB2_R_5_431662132305592321">#REF!</definedName>
    <definedName name="_vena_MYPS1_MYPB2_R_5_431662132309786625">#REF!</definedName>
    <definedName name="_vena_MYPS1_MYPB2_R_5_431662132318175233">#REF!</definedName>
    <definedName name="_vena_MYPS1_MYPB2_R_5_431662132322369537">#REF!</definedName>
    <definedName name="_vena_MYPS1_MYPB2_R_5_431662132326563841">#REF!</definedName>
    <definedName name="_vena_MYPS1_MYPB2_R_5_431662132334952449">#REF!</definedName>
    <definedName name="_vena_MYPS1_MYPB2_R_5_431662132339146753">#REF!</definedName>
    <definedName name="_vena_MYPS1_MYPB2_R_5_431662132347535361">#REF!</definedName>
    <definedName name="_vena_MYPS1_MYPB2_R_5_431662132351729665">#REF!</definedName>
    <definedName name="_vena_MYPS1_MYPB2_R_5_431662132355923969">#REF!</definedName>
    <definedName name="_vena_MYPS1_MYPB2_R_5_431662132364312576">#REF!</definedName>
    <definedName name="_vena_MYPS1_MYPB2_R_5_431662132368506881">#REF!</definedName>
    <definedName name="_vena_MYPS1_MYPB2_R_5_431662132372701185">#REF!</definedName>
    <definedName name="_vena_MYPS1_MYPB2_R_5_431662132376895489">#REF!</definedName>
    <definedName name="_vena_MYPS1_MYPB2_R_5_431662132385284097">#REF!</definedName>
    <definedName name="_vena_MYPS1_MYPB2_R_5_431662132389478401">#REF!</definedName>
    <definedName name="_vena_MYPS1_MYPB2_R_5_431662132393672705">#REF!</definedName>
    <definedName name="_vena_MYPS1_MYPB2_R_5_431662132397867009">#REF!</definedName>
    <definedName name="_vena_MYPS1_MYPB2_R_5_431662132406255617">#REF!</definedName>
    <definedName name="_vena_MYPS1_MYPB2_R_5_431662132410449921">#REF!</definedName>
    <definedName name="_vena_MYPS1_MYPB2_R_5_431662132414644225">#REF!</definedName>
    <definedName name="_vena_MYPS1_MYPB2_R_5_431662132423032833">#REF!</definedName>
    <definedName name="_vena_MYPS1_MYPB2_R_5_431662132427227137">#REF!</definedName>
    <definedName name="_vena_MYPS1_MYPB2_R_5_431662132431421441">#REF!</definedName>
    <definedName name="_vena_MYPS1_MYPB2_R_5_431662132435615745">#REF!</definedName>
    <definedName name="_vena_MYPS1_MYPB2_R_5_431662132444004353">#REF!</definedName>
    <definedName name="_vena_MYPS1_MYPB2_R_5_431662132448198657">#REF!</definedName>
    <definedName name="_vena_MYPS1_MYPB2_R_5_431662132452392961">#REF!</definedName>
    <definedName name="_vena_MYPS1_MYPB2_R_5_431662132460781568">#REF!</definedName>
    <definedName name="_vena_MYPS1_MYPB2_R_5_431662132464975873">#REF!</definedName>
    <definedName name="_vena_MYPS1_MYPB2_R_5_431662132469170177">#REF!</definedName>
    <definedName name="_vena_MYPS1_MYPB2_R_5_431662132477558784">#REF!</definedName>
    <definedName name="_vena_MYPS1_MYPB2_R_5_431662132481753089">#REF!</definedName>
    <definedName name="_vena_MYPS1_MYPB2_R_5_431662132485947393">#REF!</definedName>
    <definedName name="_vena_MYPS1_MYPB2_R_5_431662132494336001">#REF!</definedName>
    <definedName name="_vena_MYPS1_MYPB2_R_5_431662132498530305">#REF!</definedName>
    <definedName name="_vena_MYPS1_MYPB2_R_5_431662132502724609">#REF!</definedName>
    <definedName name="_vena_MYPS1_MYPB2_R_5_431662132506918913">#REF!</definedName>
    <definedName name="_vena_MYPS1_MYPB2_R_5_431662132511113217">#REF!</definedName>
    <definedName name="_vena_MYPS1_MYPB2_R_5_431662132515307521">#REF!</definedName>
    <definedName name="_vena_MYPS1_MYPB2_R_5_431662132527890433">#REF!</definedName>
    <definedName name="_vena_MYPS1_MYPB2_R_5_431662132544667648">#REF!</definedName>
    <definedName name="_vena_MYPS1_MYPB2_R_5_431662132557250561">#REF!</definedName>
    <definedName name="_vena_MYPS1_MYPB2_R_5_431662132574027777">#REF!</definedName>
    <definedName name="_vena_MYPS1_MYPB2_R_5_431662132599193601">#REF!</definedName>
    <definedName name="_vena_MYPS1_MYPB2_R_5_431662132615970817">#REF!</definedName>
    <definedName name="_vena_MYPS1_MYPB2_R_5_431662132641136641">#REF!</definedName>
    <definedName name="_vena_MYPS1_MYPB2_R_5_431662132653719553">#REF!</definedName>
    <definedName name="_vena_MYPS1_MYPB2_R_5_431662132666302467">#REF!</definedName>
    <definedName name="_vena_MYPS1_MYPB2_R_5_431662132683079681">#REF!</definedName>
    <definedName name="_vena_MYPS1_MYPB2_R_5_431662132708245505">#REF!</definedName>
    <definedName name="_vena_MYPS1_MYPB2_R_5_431662132720828416">#REF!</definedName>
    <definedName name="_vena_MYPS1_MYPB2_R_5_431662132725022721">#REF!</definedName>
    <definedName name="_vena_MYPS1_MYPB2_R_5_431662132729217025">#REF!</definedName>
    <definedName name="_vena_MYPS1_MYPB2_R_5_431662132737605633">#REF!</definedName>
    <definedName name="_vena_MYPS1_MYPB2_R_5_431662132741799937">#REF!</definedName>
    <definedName name="_vena_MYPS1_MYPB2_R_5_431662132745994241">#REF!</definedName>
    <definedName name="_vena_MYPS1_MYPB2_R_5_431662132754382849">#REF!</definedName>
    <definedName name="_vena_MYPS1_MYPB2_R_5_431662132758577153">#REF!</definedName>
    <definedName name="_vena_MYPS1_MYPB2_R_5_431662132762771457">#REF!</definedName>
    <definedName name="_vena_MYPS1_MYPB2_R_5_431662132766965761">#REF!</definedName>
    <definedName name="_vena_MYPS1_MYPB2_R_5_431662132771160065">#REF!</definedName>
    <definedName name="_vena_MYPS1_MYPB2_R_5_431662132775354369">#REF!</definedName>
    <definedName name="_vena_MYPS1_MYPB2_R_5_431662132783742977">#REF!</definedName>
    <definedName name="_vena_MYPS1_MYPB2_R_5_431662132787937281">#REF!</definedName>
    <definedName name="_vena_MYPS1_MYPB2_R_5_431662132792131585">#REF!</definedName>
    <definedName name="_vena_MYPS1_MYPB2_R_5_431662132796325889">#REF!</definedName>
    <definedName name="_vena_MYPS1_MYPB2_R_5_431662132800520193">#REF!</definedName>
    <definedName name="_vena_MYPS1_MYPB2_R_5_431662132804714497">#REF!</definedName>
    <definedName name="_vena_MYPS1_MYPB2_R_5_431662132813103104">#REF!</definedName>
    <definedName name="_vena_MYPS1_MYPB2_R_5_431662132817297409">#REF!</definedName>
    <definedName name="_vena_MYPS1_MYPB2_R_5_431662132821491713">#REF!</definedName>
    <definedName name="_vena_MYPS1_MYPB2_R_5_431662132825686017">#REF!</definedName>
    <definedName name="_vena_MYPS1_MYPB2_R_5_431662132829880321">#REF!</definedName>
    <definedName name="_vena_MYPS1_MYPB2_R_5_431662132834074625">#REF!</definedName>
    <definedName name="_vena_MYPS1_MYPB2_R_5_431662132838268929">#REF!</definedName>
    <definedName name="_vena_MYPS1_MYPB2_R_5_431662132846657537">#REF!</definedName>
    <definedName name="_vena_MYPS1_MYPB2_R_5_431662132850851841">#REF!</definedName>
    <definedName name="_vena_MYPS1_MYPB2_R_5_431662132855046145">#REF!</definedName>
    <definedName name="_vena_MYPS1_MYPB2_R_5_431662132859240449">#REF!</definedName>
    <definedName name="_vena_MYPS1_MYPB2_R_5_431662132863434753">#REF!</definedName>
    <definedName name="_vena_MYPS1_MYPB2_R_5_431662132871823361">#REF!</definedName>
    <definedName name="_vena_MYPS1_MYPB2_R_5_431662132876017665">#REF!</definedName>
    <definedName name="_vena_MYPS1_MYPB2_R_5_431662132880211969">#REF!</definedName>
    <definedName name="_vena_MYPS1_MYPB2_R_5_431662132884406273">#REF!</definedName>
    <definedName name="_vena_MYPS1_MYPB2_R_5_431662132888600577">#REF!</definedName>
    <definedName name="_vena_MYPS1_MYPB2_R_5_431662132892794881">#REF!</definedName>
    <definedName name="_vena_MYPS1_MYPB2_R_5_431662132901183489">#REF!</definedName>
    <definedName name="_vena_MYPS1_MYPB2_R_5_431662132905377793">#REF!</definedName>
    <definedName name="_vena_MYPS1_MYPB2_R_5_431662132909572097">#REF!</definedName>
    <definedName name="_vena_MYPS1_MYPB2_R_5_431662132913766401">#REF!</definedName>
    <definedName name="_vena_MYPS1_MYPB2_R_5_431662132922155008">#REF!</definedName>
    <definedName name="_vena_MYPS1_MYPB2_R_5_431662132926349313">#REF!</definedName>
    <definedName name="_vena_MYPS1_MYPB2_R_5_431662132930543617">#REF!</definedName>
    <definedName name="_vena_MYPS1_MYPB2_R_5_431662132934737921">#REF!</definedName>
    <definedName name="_vena_MYPS1_MYPB2_R_5_431662132938932225">#REF!</definedName>
    <definedName name="_vena_MYPS1_MYPB2_R_5_431662132947320833">#REF!</definedName>
    <definedName name="_vena_MYPS1_MYPB2_R_5_431662132951515137">#REF!</definedName>
    <definedName name="_vena_MYPS1_MYPB2_R_5_431662132955709441">#REF!</definedName>
    <definedName name="_vena_MYPS1_MYPB2_R_5_431662132959903745">#REF!</definedName>
    <definedName name="_vena_MYPS1_MYPB2_R_5_431662132968292353">#REF!</definedName>
    <definedName name="_vena_MYPS1_MYPB2_R_5_431662132976680961">#REF!</definedName>
    <definedName name="_vena_MYPS1_MYPB2_R_5_431662132985069569">#REF!</definedName>
    <definedName name="_vena_MYPS1_MYPB2_R_5_431662133001846784">#REF!</definedName>
    <definedName name="_vena_MYPS1_MYPB2_R_5_431662133006041089">#REF!</definedName>
    <definedName name="_vena_MYPS1_MYPB2_R_5_431662133014429697">#REF!</definedName>
    <definedName name="_vena_MYPS1_MYPB2_R_5_431662133018624001">#REF!</definedName>
    <definedName name="_vena_MYPS1_MYPB2_R_5_431662133022818305">#REF!</definedName>
    <definedName name="_vena_MYPS1_MYPB2_R_5_431662133031206913">#REF!</definedName>
    <definedName name="_vena_MYPS1_MYPB2_R_5_431662133035401217">#REF!</definedName>
    <definedName name="_vena_MYPS1_MYPB2_R_5_431662133039595521">#REF!</definedName>
    <definedName name="_vena_MYPS1_MYPB2_R_5_431662133043789825">#REF!</definedName>
    <definedName name="_vena_MYPS1_MYPB2_R_5_431662133047984129">#REF!</definedName>
    <definedName name="_vena_MYPS1_MYPB2_R_5_431662133052178433">#REF!</definedName>
    <definedName name="_vena_MYPS1_MYPB2_R_5_431662133056372737">#REF!</definedName>
    <definedName name="_vena_MYPS1_MYPB2_R_5_431662133064761344">#REF!</definedName>
    <definedName name="_vena_MYPS1_MYPB2_R_5_431662133068955649">#REF!</definedName>
    <definedName name="_vena_MYPS1_MYPB2_R_5_431662133073149953">#REF!</definedName>
    <definedName name="_vena_MYPS1_MYPB2_R_5_431662133077344257">#REF!</definedName>
    <definedName name="_vena_MYPS1_MYPB2_R_5_431662133081538561">#REF!</definedName>
    <definedName name="_vena_MYPS1_MYPB2_R_5_431662133085732865">#REF!</definedName>
    <definedName name="_vena_MYPS1_MYPB2_R_5_431662133089927169">#REF!</definedName>
    <definedName name="_vena_MYPS1_MYPB2_R_5_431662133098315777">#REF!</definedName>
    <definedName name="_vena_MYPS1_MYPB2_R_5_431662133102510081">#REF!</definedName>
    <definedName name="_vena_MYPS1_MYPB2_R_5_431662133106704385">#REF!</definedName>
    <definedName name="_vena_MYPS1_MYPB2_R_5_431662133110898689">#REF!</definedName>
    <definedName name="_vena_MYPS1_MYPB2_R_5_431662133115092993">#REF!</definedName>
    <definedName name="_vena_MYPS1_MYPB2_R_5_431662133119287297">#REF!</definedName>
    <definedName name="_vena_MYPS1_MYPB2_R_5_431662133123481601">#REF!</definedName>
    <definedName name="_vena_MYPS1_MYPB2_R_5_431662133131870208">#REF!</definedName>
    <definedName name="_vena_MYPS1_MYPB2_R_5_431662133136064513">#REF!</definedName>
    <definedName name="_vena_MYPS1_MYPB2_R_5_431662133140258817">#REF!</definedName>
    <definedName name="_vena_MYPS1_MYPB2_R_5_431662133144453121">#REF!</definedName>
    <definedName name="_vena_MYPS1_MYPB2_R_5_431662133148647425">#REF!</definedName>
    <definedName name="_vena_MYPS1_MYPB2_R_5_431662133152841729">#REF!</definedName>
    <definedName name="_vena_MYPS1_MYPB2_R_5_431662133157036033">#REF!</definedName>
    <definedName name="_vena_MYPS1_MYPB2_R_5_431662133165424641">#REF!</definedName>
    <definedName name="_vena_MYPS1_MYPB2_R_5_431662133169618945">#REF!</definedName>
    <definedName name="_vena_MYPS1_MYPB2_R_5_431662133173813249">#REF!</definedName>
    <definedName name="_vena_MYPS1_MYPB2_R_5_431662133178007553">#REF!</definedName>
    <definedName name="_vena_MYPS1_MYPB2_R_5_431662133182201857">#REF!</definedName>
    <definedName name="_vena_MYPS1_MYPB2_R_5_431662133186396161">#REF!</definedName>
    <definedName name="_vena_MYPS1_MYPB2_R_5_431662133194784769">#REF!</definedName>
    <definedName name="_vena_MYPS1_MYPB2_R_5_431662133198979073">#REF!</definedName>
    <definedName name="_vena_MYPS1_MYPB2_R_5_431662133203173377">#REF!</definedName>
    <definedName name="_vena_MYPS1_MYPB2_R_5_431662133207367681">#REF!</definedName>
    <definedName name="_vena_MYPS1_MYPB2_R_5_431662133211561985">#REF!</definedName>
    <definedName name="_vena_MYPS1_MYPB2_R_5_431662133219950592">#REF!</definedName>
    <definedName name="_vena_MYPS1_MYPB2_R_5_431662133224144897">#REF!</definedName>
    <definedName name="_vena_MYPS1_MYPB2_R_5_431662133228339201">#REF!</definedName>
    <definedName name="_vena_MYPS1_MYPB2_R_5_431662133232533505">#REF!</definedName>
    <definedName name="_vena_MYPS1_MYPB2_R_5_431662133236727809">#REF!</definedName>
    <definedName name="_vena_MYPS1_MYPB2_R_5_431662133240922113">#REF!</definedName>
    <definedName name="_vena_MYPS1_MYPB2_R_5_431662133245116417">#REF!</definedName>
    <definedName name="_vena_MYPS1_MYPB2_R_5_431662133249310721">#REF!</definedName>
    <definedName name="_vena_MYPS1_MYPB2_R_5_431662133257699328">#REF!</definedName>
    <definedName name="_vena_MYPS1_MYPB2_R_5_431662133261893633">#REF!</definedName>
    <definedName name="_vena_MYPS1_MYPB2_R_5_431662133266087937">#REF!</definedName>
    <definedName name="_vena_MYPS1_MYPB2_R_5_431662133270282241">#REF!</definedName>
    <definedName name="_vena_MYPS1_MYPB2_R_5_431662133274476545">#REF!</definedName>
    <definedName name="_vena_MYPS1_MYPB2_R_5_431662133282865153">#REF!</definedName>
    <definedName name="_vena_MYPS1_MYPB2_R_5_431662133291253761">#REF!</definedName>
    <definedName name="_vena_MYPS1_MYPB2_R_5_431662133299642369">#REF!</definedName>
    <definedName name="_vena_MYPS1_MYPB2_R_5_431662133308030977">#REF!</definedName>
    <definedName name="_vena_MYPS1_MYPB2_R_5_431662133312225281">#REF!</definedName>
    <definedName name="_vena_MYPS1_MYPB2_R_5_431662133316419585">#REF!</definedName>
    <definedName name="_vena_MYPS1_MYPB2_R_5_431662133320613889">#REF!</definedName>
    <definedName name="_vena_MYPS1_MYPB2_R_5_431662133329002497">#REF!</definedName>
    <definedName name="_vena_MYPS1_MYPB2_R_5_431662133333196801">#REF!</definedName>
    <definedName name="_vena_MYPS1_MYPB2_R_5_431662133337391105">#REF!</definedName>
    <definedName name="_vena_MYPS1_MYPB2_R_5_431662133341585409">#REF!</definedName>
    <definedName name="_vena_MYPS1_MYPB2_R_5_431662133345779713">#REF!</definedName>
    <definedName name="_vena_MYPS1_MYPB2_R_5_431662133349974017">#REF!</definedName>
    <definedName name="_vena_MYPS1_MYPB2_R_5_431662133358362624">#REF!</definedName>
    <definedName name="_vena_MYPS1_MYPB2_R_5_431662133362556929">#REF!</definedName>
    <definedName name="_vena_MYPS1_MYPB2_R_5_431662133366751233">#REF!</definedName>
    <definedName name="_vena_MYPS1_MYPB2_R_5_431662133370945537">#REF!</definedName>
    <definedName name="_vena_MYPS1_MYPB2_R_5_431662133375139841">#REF!</definedName>
    <definedName name="_vena_MYPS1_MYPB2_R_5_431662133383528449">#REF!</definedName>
    <definedName name="_vena_MYPS1_MYPB2_R_5_431662133387722753">#REF!</definedName>
    <definedName name="_vena_MYPS1_MYPB2_R_5_431662133391917057">#REF!</definedName>
    <definedName name="_vena_MYPS1_MYPB2_R_5_431662133396111361">#REF!</definedName>
    <definedName name="_vena_MYPS1_MYPB2_R_5_431662133400305665">#REF!</definedName>
    <definedName name="_vena_MYPS1_MYPB2_R_5_431662133404499969">#REF!</definedName>
    <definedName name="_vena_MYPS1_MYPB2_R_5_431662133408694273">#REF!</definedName>
    <definedName name="_vena_MYPS1_MYPB2_R_5_431662133417082881">#REF!</definedName>
    <definedName name="_vena_MYPS1_MYPB2_R_5_431662133421277185">#REF!</definedName>
    <definedName name="_vena_MYPS1_MYPB2_R_5_431662133425471489">#REF!</definedName>
    <definedName name="_vena_MYPS1_MYPB2_R_5_431662133429665793">#REF!</definedName>
    <definedName name="_vena_MYPS1_MYPB2_R_5_431662133433860097">#REF!</definedName>
    <definedName name="_vena_MYPS1_MYPB2_R_5_431662133438054401">#REF!</definedName>
    <definedName name="_vena_MYPS1_MYPB2_R_5_431662133442248705">#REF!</definedName>
    <definedName name="_vena_MYPS1_MYPB2_R_5_431662133450637313">#REF!</definedName>
    <definedName name="_vena_MYPS1_MYPB2_R_5_431662133454831617">#REF!</definedName>
    <definedName name="_vena_MYPS1_MYPB2_R_5_431662133459025921">#REF!</definedName>
    <definedName name="_vena_MYPS1_MYPB2_R_5_431662133463220225">#REF!</definedName>
    <definedName name="_vena_MYPS1_MYPB2_R_5_431662133467414529">#REF!</definedName>
    <definedName name="_vena_MYPS1_MYPB2_R_5_431662133479997441">#REF!</definedName>
    <definedName name="_vena_MYPS1_MYPB2_R_5_431662133484191745">#REF!</definedName>
    <definedName name="_vena_MYPS1_MYPB2_R_5_431662133488386049">#REF!</definedName>
    <definedName name="_vena_MYPS1_MYPB2_R_5_431662133492580353">#REF!</definedName>
    <definedName name="_vena_MYPS1_MYPB2_R_5_431662133500968961">#REF!</definedName>
    <definedName name="_vena_MYPS1_MYPB2_R_5_431662133505163265">#REF!</definedName>
    <definedName name="_vena_MYPS1_MYPB2_R_5_431662133509357569">#REF!</definedName>
    <definedName name="_vena_MYPS1_MYPB2_R_5_431662133513551873">#REF!</definedName>
    <definedName name="_vena_MYPS1_MYPB2_R_5_431662133517746177">#REF!</definedName>
    <definedName name="_vena_MYPS1_MYPB2_R_5_431662133521940481">#REF!</definedName>
    <definedName name="_vena_MYPS1_MYPB2_R_5_431662133530329089">#REF!</definedName>
    <definedName name="_vena_MYPS1_MYPB2_R_5_431662133534523393">#REF!</definedName>
    <definedName name="_vena_MYPS1_MYPB2_R_5_431662133538717697">#REF!</definedName>
    <definedName name="_vena_MYPS1_MYPB2_R_5_431662133547106305">#REF!</definedName>
    <definedName name="_vena_MYPS1_MYPB2_R_5_431662133551300609">#REF!</definedName>
    <definedName name="_vena_MYPS1_MYPB2_R_5_431662133555494913">#REF!</definedName>
    <definedName name="_vena_MYPS1_MYPB2_R_5_431662133559689217">#REF!</definedName>
    <definedName name="_vena_MYPS1_MYPB2_R_5_431662133568077825">#REF!</definedName>
    <definedName name="_vena_MYPS1_MYPB2_R_5_431662133572272129">#REF!</definedName>
    <definedName name="_vena_MYPS1_MYPB2_R_5_431662133580660736">#REF!</definedName>
    <definedName name="_vena_MYPS1_MYPB2_R_5_431662133584855041">#REF!</definedName>
    <definedName name="_vena_MYPS1_MYPB2_R_5_431662133589049345">#REF!</definedName>
    <definedName name="_vena_MYPS1_MYPB2_R_5_431662133593243649">#REF!</definedName>
    <definedName name="_vena_MYPS1_MYPB2_R_5_431662133605826561">#REF!</definedName>
    <definedName name="_vena_MYPS1_MYPB2_R_5_431662133622603776">#REF!</definedName>
    <definedName name="_vena_MYPS1_MYPB2_R_5_431662133626798081">#REF!</definedName>
    <definedName name="_vena_MYPS1_MYPB2_R_5_431662133635186689">#REF!</definedName>
    <definedName name="_vena_MYPS1_MYPB2_R_5_431662133643575297">#REF!</definedName>
    <definedName name="_vena_MYPS1_MYPB2_R_5_431662133647769601">#REF!</definedName>
    <definedName name="_vena_MYPS1_MYPB2_R_5_431662133651963905">#REF!</definedName>
    <definedName name="_vena_MYPS1_MYPB2_R_5_431662133656158209">#REF!</definedName>
    <definedName name="_vena_MYPS1_MYPB2_R_5_431662133660352513">#REF!</definedName>
    <definedName name="_vena_MYPS1_MYPB2_R_5_431662133664546817">#REF!</definedName>
    <definedName name="_vena_MYPS1_MYPB2_R_5_431662133677129729">#REF!</definedName>
    <definedName name="_vena_MYPS1_MYPB2_R_5_431662133693906944">#REF!</definedName>
    <definedName name="_vena_MYPS1_MYPB2_R_5_431662133698101249">#REF!</definedName>
    <definedName name="_vena_MYPS1_MYPB2_R_5_431662133706489857">#REF!</definedName>
    <definedName name="_vena_MYPS1_MYPB2_R_5_431662133710684161">#REF!</definedName>
    <definedName name="_vena_MYPS1_MYPB2_R_5_431662133714878465">#REF!</definedName>
    <definedName name="_vena_MYPS1_MYPB2_R_5_431662133723267073">#REF!</definedName>
    <definedName name="_vena_MYPS1_MYPB2_R_5_431662133727461377">#REF!</definedName>
    <definedName name="_vena_MYPS1_MYPB2_R_5_431662133731655681">#REF!</definedName>
    <definedName name="_vena_MYPS1_MYPB2_R_5_431662133735849985">#REF!</definedName>
    <definedName name="_vena_MYPS1_MYPB2_R_5_431662133740044289">#REF!</definedName>
    <definedName name="_vena_MYPS1_MYPB2_R_5_484175100812591104">#REF!</definedName>
    <definedName name="_vena_MYPS1_MYPB2_R_5_484175225560367104">#REF!</definedName>
    <definedName name="_vena_MYPS1_MYPB2_R_5_484537393690181632">#REF!</definedName>
    <definedName name="_vena_MYPS1_MYPB2_R_5_495736496901324800">#REF!</definedName>
    <definedName name="_vena_MYPS1_MYPB2_R_5_495736637918674944">#REF!</definedName>
    <definedName name="_vena_MYPS1_MYPB2_R_5_495736795930689536">#REF!</definedName>
    <definedName name="_vena_MYPS1_MYPB2_R_5_495736973987151921">#REF!</definedName>
    <definedName name="_vena_MYPS1_MYPB2_R_5_495737043323191296">#REF!</definedName>
    <definedName name="_vena_MYPS1_MYPB2_R_5_495737181823827968">#REF!</definedName>
    <definedName name="_vena_MYPS1_MYPB2_R_5_495812598937157632">#REF!</definedName>
    <definedName name="_vena_MYPS1_MYPB2_R_5_552736486879264769">#REF!</definedName>
    <definedName name="_vena_MYPS1_MYPB2_R_5_552736486887653377">#REF!</definedName>
    <definedName name="_vena_MYPS1_MYPB2_R_5_552736486896041985">#REF!</definedName>
    <definedName name="_vena_MYPS1_MYPB2_R_5_552736486904430593">#REF!</definedName>
    <definedName name="_vena_MYPS1_MYPB2_R_5_552736486912819201">#REF!</definedName>
    <definedName name="_vena_MYPS1_MYPB2_R_5_552736486925402113">#REF!</definedName>
    <definedName name="_vena_MYPS1_MYPB2_R_5_552736486933790721">#REF!</definedName>
    <definedName name="_vena_MYPS1_MYPB2_R_5_552736486942179329">#REF!</definedName>
    <definedName name="_vena_MYPS1_MYPB2_R_5_552736486950567937">#REF!</definedName>
    <definedName name="_vena_MYPS1_MYPB2_R_5_552736486954762241">#REF!</definedName>
    <definedName name="_vena_MYPS1_MYPB2_R_5_552736486963150849">#REF!</definedName>
    <definedName name="_vena_MYPS1_MYPB2_R_5_552736486979928065">#REF!</definedName>
    <definedName name="_vena_MYPS1_MYPB2_R_5_552736486992510976">#REF!</definedName>
    <definedName name="_vena_MYPS1_MYPB2_R_5_552736487000899585">#REF!</definedName>
    <definedName name="_vena_MYPS1_MYPB2_R_5_552736487009288193">#REF!</definedName>
    <definedName name="_vena_MYPS1_MYPB2_R_5_552736487013482497">#REF!</definedName>
    <definedName name="_vena_MYPS1_MYPB2_R_5_552736487021871105">#REF!</definedName>
    <definedName name="_vena_MYPS1_MYPB2_R_5_552736487030259713">#REF!</definedName>
    <definedName name="_vena_MYPS1_MYPB2_R_5_552736487034454017">#REF!</definedName>
    <definedName name="_vena_MYPS1_MYPB2_R_5_552736487042842625">#REF!</definedName>
    <definedName name="_vena_MYPS1_MYPB2_R_5_552736487051231233">#REF!</definedName>
    <definedName name="_vena_MYPS1_MYPB2_R_5_552736487055425537">#REF!</definedName>
    <definedName name="_vena_MYPS1_MYPB2_R_5_552736487063814145">#REF!</definedName>
    <definedName name="_vena_MYPS1_MYPB2_R_5_552736487072202753">#REF!</definedName>
    <definedName name="_vena_MYPS1_MYPB2_R_5_552736487080591360">#REF!</definedName>
    <definedName name="_vena_MYPS1_MYPB2_R_5_552736487084785665">#REF!</definedName>
    <definedName name="_vena_MYPS1_MYPB2_R_5_552736487101562881">#REF!</definedName>
    <definedName name="_vena_MYPS1_MYPB2_R_5_552736487114145792">#REF!</definedName>
    <definedName name="_vena_MYPS1_MYPB2_R_5_552736487122534401">#REF!</definedName>
    <definedName name="_vena_MYPS1_MYPB2_R_5_552736487130923009">#REF!</definedName>
    <definedName name="_vena_MYPS1_MYPB2_R_5_552736487135117313">#REF!</definedName>
    <definedName name="_vena_MYPS1_MYPB2_R_5_552736487143505921">#REF!</definedName>
    <definedName name="_vena_MYPS1_MYPB2_R_5_552736487151894529">#REF!</definedName>
    <definedName name="_vena_MYPS1_MYPB2_R_5_552736487156088833">#REF!</definedName>
    <definedName name="_vena_MYPS1_MYPB2_R_5_552736487164477441">#REF!</definedName>
    <definedName name="_vena_MYPS1_MYPB2_R_5_552736487172866049">#REF!</definedName>
    <definedName name="_vena_MYPS1_MYPB2_R_5_552736487181254657">#REF!</definedName>
    <definedName name="_vena_MYPS1_MYPB2_R_5_552736487189643264">#REF!</definedName>
    <definedName name="_vena_MYPS1_MYPB2_R_5_552736487193837569">#REF!</definedName>
    <definedName name="_vena_MYPS1_MYPB2_R_5_552736487210614785">#REF!</definedName>
    <definedName name="_vena_MYPS1_MYPB2_R_5_552736487235780608">#REF!</definedName>
    <definedName name="_vena_MYPS1_MYPB2_R_5_552736487248363520">#REF!</definedName>
    <definedName name="_vena_MYPS1_MYPB2_R_5_552736487256752129">#REF!</definedName>
    <definedName name="_vena_MYPS1_MYPB2_R_5_552736487265140737">#REF!</definedName>
    <definedName name="_vena_MYPS1_MYPB2_R_5_552736487269335041">#REF!</definedName>
    <definedName name="_vena_MYPS1_MYPB2_R_5_552736487277723649">#REF!</definedName>
    <definedName name="_vena_MYPS1_MYPB2_R_5_552736487286112257">#REF!</definedName>
    <definedName name="_vena_MYPS1_MYPB2_R_5_552736487294500865">#REF!</definedName>
    <definedName name="_vena_MYPS1_MYPB2_R_5_552736487302889473">#REF!</definedName>
    <definedName name="_vena_MYPS1_MYPB2_R_5_552736487311278081">#REF!</definedName>
    <definedName name="_vena_MYPS1_MYPB2_R_5_552736487315472385">#REF!</definedName>
    <definedName name="_vena_MYPS1_MYPB2_R_5_552736487323860993">#REF!</definedName>
    <definedName name="_vena_MYPS1_MYPB2_R_5_552736487332249601">#REF!</definedName>
    <definedName name="_vena_MYPS1_MYPB2_R_5_552736487340638209">#REF!</definedName>
    <definedName name="_vena_MYPS1_MYPB2_R_5_552736487344832513">#REF!</definedName>
    <definedName name="_vena_MYPS1_MYPB2_R_5_552736487353221121">#REF!</definedName>
    <definedName name="_vena_MYPS1_MYPB2_R_5_552736487361609729">#REF!</definedName>
    <definedName name="_vena_MYPS1_MYPB2_R_5_552736487369998337">#REF!</definedName>
    <definedName name="_vena_MYPS1_MYPB2_R_5_552736487382581249">#REF!</definedName>
    <definedName name="_vena_MYPS1_MYPB2_R_5_552736487399358464">#REF!</definedName>
    <definedName name="_vena_MYPS1_MYPB2_R_5_552736487403552769">#REF!</definedName>
    <definedName name="_vena_MYPS1_MYPB2_R_5_552736487411941377">#REF!</definedName>
    <definedName name="_vena_MYPS1_MYPB2_R_5_552736487420329985">#REF!</definedName>
    <definedName name="_vena_MYPS1_MYPB2_R_5_552736487428718593">#REF!</definedName>
    <definedName name="_vena_MYPS1_MYPB2_R_5_552736487437107201">#REF!</definedName>
    <definedName name="_vena_MYPS1_MYPB2_R_5_552736487445495808">#REF!</definedName>
    <definedName name="_vena_MYPS1_MYPB2_R_5_552736487449690113">#REF!</definedName>
    <definedName name="_vena_MYPS1_MYPB2_R_5_552736487458078721">#REF!</definedName>
    <definedName name="_vena_MYPS1_MYPB2_R_5_552736487466467329">#REF!</definedName>
    <definedName name="_vena_MYPS1_MYPB2_R_5_552736487495827457">#REF!</definedName>
    <definedName name="_vena_MYPS1_MYPB2_R_5_552736487512604672">#REF!</definedName>
    <definedName name="_vena_MYPS1_MYPB2_R_5_552736487516798977">#REF!</definedName>
    <definedName name="_vena_MYPS1_MYPB2_R_5_552736487525187585">#REF!</definedName>
    <definedName name="_vena_MYPS1_MYPB2_R_5_552736487533576193">#REF!</definedName>
    <definedName name="_vena_MYPS1_MYPB2_R_5_552736487541964801">#REF!</definedName>
    <definedName name="_vena_MYPS1_MYPB2_R_5_552736487550353408">#REF!</definedName>
    <definedName name="_vena_MYPS1_MYPB2_R_5_552736487554547713">#REF!</definedName>
    <definedName name="_vena_MYPS1_MYPB2_R_5_552736487562936321">#REF!</definedName>
    <definedName name="_vena_MYPS1_MYPB2_R_5_552736487571324929">#REF!</definedName>
    <definedName name="_vena_MYPS1_MYPB2_R_5_552736487575519233">#REF!</definedName>
    <definedName name="_vena_MYPS1_MYPB2_R_5_552736487592296449">#REF!</definedName>
    <definedName name="_vena_MYPS1_MYPB2_R_5_552736487609073664">#REF!</definedName>
    <definedName name="_vena_MYPS1_MYPB2_R_5_552736487613267969">#REF!</definedName>
    <definedName name="_vena_MYPS1_MYPB2_R_5_552736487621656577">#REF!</definedName>
    <definedName name="_vena_MYPS1_MYPB2_R_5_552736487630045185">#REF!</definedName>
    <definedName name="_vena_MYPS1_MYPB2_R_5_552736487638433793">#REF!</definedName>
    <definedName name="_vena_MYPS1_MYPB2_R_5_552736487646822401">#REF!</definedName>
    <definedName name="_vena_MYPS1_MYPB2_R_5_552736487655211009">#REF!</definedName>
    <definedName name="_vena_MYPS1_MYPB2_R_5_552736487667793921">#REF!</definedName>
    <definedName name="_vena_MYPS1_MYPB2_R_5_552736487684571136">#REF!</definedName>
    <definedName name="_vena_MYPS1_MYPB2_R_5_552736487692959744">#REF!</definedName>
    <definedName name="_vena_MYPS1_MYPB2_R_5_552736487697154049">#REF!</definedName>
    <definedName name="_vena_MYPS1_MYPB2_R_5_552736487705542657">#REF!</definedName>
    <definedName name="_vena_MYPS1_MYPB2_R_5_552736487713931265">#REF!</definedName>
    <definedName name="_vena_MYPS1_MYPB2_R_5_552736487722319872">#REF!</definedName>
    <definedName name="_vena_MYPS1_MYPB2_R_5_552736487726514177">#REF!</definedName>
    <definedName name="_vena_MYPS1_MYPB2_R_5_552736487739097089">#REF!</definedName>
    <definedName name="_vena_MYPS1_MYPB2_R_5_552736487743291393">#REF!</definedName>
    <definedName name="_vena_MYPS1_MYPB2_R_5_552736487818788865">#REF!</definedName>
    <definedName name="_vena_MYPS1_MYPB2_R_5_552736487835566080">#REF!</definedName>
    <definedName name="_vena_MYPS1_MYPB2_R_5_552736487843954688">#REF!</definedName>
    <definedName name="_vena_MYPS1_MYPB2_R_5_552736487848148993">#REF!</definedName>
    <definedName name="_vena_MYPS1_MYPB2_R_5_552736487856537601">#REF!</definedName>
    <definedName name="_vena_MYPS1_MYPB2_R_5_552736487864926209">#REF!</definedName>
    <definedName name="_vena_MYPS1_MYPB2_R_5_552736487873314817">#REF!</definedName>
    <definedName name="_vena_MYPS1_MYPB2_R_5_552736487881703424">#REF!</definedName>
    <definedName name="_vena_MYPS1_MYPB2_R_5_552736487885897729">#REF!</definedName>
    <definedName name="_vena_MYPS1_MYPB2_R_5_552736487894286337">#REF!</definedName>
    <definedName name="_vena_MYPS1_MYPB2_R_5_552736487902674945">#REF!</definedName>
    <definedName name="_vena_MYPS1_MYPB2_R_5_552736487919452161">#REF!</definedName>
    <definedName name="_vena_MYPS1_MYPB2_R_5_552736487936229376">#REF!</definedName>
    <definedName name="_vena_MYPS1_MYPB2_R_5_552736487940423681">#REF!</definedName>
    <definedName name="_vena_MYPS1_MYPB2_R_5_552736487948812289">#REF!</definedName>
    <definedName name="_vena_MYPS1_MYPB2_R_5_552736487957200897">#REF!</definedName>
    <definedName name="_vena_MYPS1_MYPB2_R_5_552736487965589505">#REF!</definedName>
    <definedName name="_vena_MYPS1_MYPB2_R_5_552736487973978113">#REF!</definedName>
    <definedName name="_vena_MYPS1_MYPB2_R_5_552736487982366721">#REF!</definedName>
    <definedName name="_vena_MYPS1_MYPB2_R_5_552736487990755329">#REF!</definedName>
    <definedName name="_vena_MYPS1_MYPB2_R_5_552736487999143937">#REF!</definedName>
    <definedName name="_vena_MYPS1_MYPB2_R_5_552736488007532545">#REF!</definedName>
    <definedName name="_vena_MYPS1_MYPB2_R_5_552736488015921153">#REF!</definedName>
    <definedName name="_vena_MYPS1_MYPB2_R_5_552736488024309760">#REF!</definedName>
    <definedName name="_vena_MYPS1_MYPB2_R_5_552736488028504065">#REF!</definedName>
    <definedName name="_vena_MYPS1_MYPB2_R_5_552736488049475585">#REF!</definedName>
    <definedName name="_vena_MYPS1_MYPB2_R_5_552736488066252800">#REF!</definedName>
    <definedName name="_vena_MYPS1_MYPB2_R_5_552736488074641409">#REF!</definedName>
    <definedName name="_vena_MYPS1_MYPB2_R_5_552736488078835713">#REF!</definedName>
    <definedName name="_vena_MYPS1_MYPB2_R_5_552736488087224321">#REF!</definedName>
    <definedName name="_vena_MYPS1_MYPB2_R_5_552736488095612929">#REF!</definedName>
    <definedName name="_vena_MYPS1_MYPB2_R_5_552736488124973057">#REF!</definedName>
    <definedName name="_vena_MYPS1_MYPB2_R_5_552736488154333185">#REF!</definedName>
    <definedName name="_vena_MYPS1_MYPB2_R_5_552736488162721793">#REF!</definedName>
    <definedName name="_vena_MYPS1_MYPB2_R_5_552736488175304704">#REF!</definedName>
    <definedName name="_vena_MYPS1_MYPB2_R_5_552736488183693313">#REF!</definedName>
    <definedName name="_vena_MYPS1_MYPB2_R_5_552736488200470528">#REF!</definedName>
    <definedName name="_vena_MYPS1_MYPB2_R_5_552736488208859137">#REF!</definedName>
    <definedName name="_vena_MYPS1_MYPB2_R_5_552736488217247745">#REF!</definedName>
    <definedName name="_vena_MYPS1_MYPB2_R_5_552736488225636353">#REF!</definedName>
    <definedName name="_vena_MYPS1_MYPB2_R_5_552736488234024961">#REF!</definedName>
    <definedName name="_vena_MYPS1_MYPB2_R_5_552736488242413569">#REF!</definedName>
    <definedName name="_vena_MYPS1_MYPB2_R_5_552736488259190784">#REF!</definedName>
    <definedName name="_vena_MYPS1_MYPB2_R_5_552736488263385089">#REF!</definedName>
    <definedName name="_vena_MYPS1_MYPB2_R_5_552736488280162304">#REF!</definedName>
    <definedName name="_vena_MYPS1_MYPB2_R_5_552736488292745216">#REF!</definedName>
    <definedName name="_vena_MYPS1_MYPB2_R_5_552736488305328128">#REF!</definedName>
    <definedName name="_vena_MYPS1_MYPB2_R_5_552736488313716737">#REF!</definedName>
    <definedName name="_vena_MYPS1_MYPB2_R_5_552736488322105345">#REF!</definedName>
    <definedName name="_vena_MYPS1_MYPB2_R_5_552736488334688256">#REF!</definedName>
    <definedName name="_vena_MYPS1_MYPB2_R_5_552736488355659776">#REF!</definedName>
    <definedName name="_vena_MYPS1_MYPB2_R_5_552736488364048385">#REF!</definedName>
    <definedName name="_vena_MYPS1_MYPB2_R_5_552736488380825600">#REF!</definedName>
    <definedName name="_vena_MYPS1_MYPB2_R_5_552736488389214209">#REF!</definedName>
    <definedName name="_vena_MYPS1_MYPB2_R_5_552736488397602817">#REF!</definedName>
    <definedName name="_vena_MYPS1_MYPB2_R_5_552736488414380032">#REF!</definedName>
    <definedName name="_vena_MYPS1_MYPB2_R_5_552736488418574337">#REF!</definedName>
    <definedName name="_vena_MYPS1_MYPB2_R_5_552736488426962945">#REF!</definedName>
    <definedName name="_vena_MYPS1_MYPB2_R_5_552736488456323072">#REF!</definedName>
    <definedName name="_vena_MYPS1_MYPB2_R_5_552736488464711681">#REF!</definedName>
    <definedName name="_vena_MYPS1_MYPB2_R_5_552736488485683200">#REF!</definedName>
    <definedName name="_vena_MYPS1_MYPB2_R_5_552736488489877505">#REF!</definedName>
    <definedName name="_vena_MYPS1_MYPB2_R_5_552736488502460416">#REF!</definedName>
    <definedName name="_vena_MYPS1_MYPB2_R_5_552736488519237632">#REF!</definedName>
    <definedName name="_vena_MYPS1_MYPB2_R_5_552736488531820545">#REF!</definedName>
    <definedName name="_vena_MYPS1_MYPB2_R_5_552736488544403457">#REF!</definedName>
    <definedName name="_vena_MYPS1_MYPB2_R_5_552736488556986369">#REF!</definedName>
    <definedName name="_vena_MYPS1_MYPB2_R_5_552736488565374977">#REF!</definedName>
    <definedName name="_vena_MYPS1_MYPB2_R_5_552736488569569281">#REF!</definedName>
    <definedName name="_vena_MYPS1_MYPB2_R_5_552736488586346496">#REF!</definedName>
    <definedName name="_vena_MYPS1_MYPB2_R_5_552736488594735105">#REF!</definedName>
    <definedName name="_vena_MYPS1_MYPB2_R_5_552736488603123713">#REF!</definedName>
    <definedName name="_vena_MYPS1_MYPB2_R_5_552736488615706624">#REF!</definedName>
    <definedName name="_vena_MYPS1_MYPB2_R_5_552736488624095233">#REF!</definedName>
    <definedName name="_vena_MYPS1_MYPB2_R_5_552736488636678144">#REF!</definedName>
    <definedName name="_vena_MYPS1_MYPB2_R_5_552736488645066753">#REF!</definedName>
    <definedName name="_vena_MYPS1_MYPB2_R_5_552736488653455361">#REF!</definedName>
    <definedName name="_vena_MYPS1_MYPB2_R_5_552736488661843969">#REF!</definedName>
    <definedName name="_vena_MYPS1_MYPB2_R_5_552736488674426881">#REF!</definedName>
    <definedName name="_vena_MYPS1_MYPB2_R_5_552736488691204096">#REF!</definedName>
    <definedName name="_vena_MYPS1_MYPB2_R_5_552736488699592705">#REF!</definedName>
    <definedName name="_vena_MYPS1_MYPB2_R_5_552736488716369920">#REF!</definedName>
    <definedName name="_vena_MYPS1_MYPB2_R_5_552736488720564225">#REF!</definedName>
    <definedName name="_vena_MYPS1_MYPB2_R_5_552736488733147137">#REF!</definedName>
    <definedName name="_vena_MYPS1_MYPB2_R_5_552736488749924352">#REF!</definedName>
    <definedName name="_vena_MYPS1_MYPB2_R_5_552736488766701569">#REF!</definedName>
    <definedName name="_vena_MYPS1_MYPB2_R_5_552736488800256000">#REF!</definedName>
    <definedName name="_vena_MYPS1_MYPB2_R_5_552736488808644609">#REF!</definedName>
    <definedName name="_vena_MYPS1_MYPB2_R_5_552736488817033217">#REF!</definedName>
    <definedName name="_vena_MYPS1_MYPB2_R_5_552736488825421825">#REF!</definedName>
    <definedName name="_vena_MYPS1_MYPB2_R_5_552736488829616129">#REF!</definedName>
    <definedName name="_vena_MYPS1_MYPB2_R_5_552736488838004737">#REF!</definedName>
    <definedName name="_vena_MYPS1_MYPB2_R_5_552736488846393345">#REF!</definedName>
    <definedName name="_vena_MYPS1_MYPB2_R_5_552736488863170560">#REF!</definedName>
    <definedName name="_vena_MYPS1_MYPB2_R_5_552736488879947776">#REF!</definedName>
    <definedName name="_vena_MYPS1_MYPB2_R_5_552736488888336384">#REF!</definedName>
    <definedName name="_vena_MYPS1_MYPB2_R_5_552736488892530689">#REF!</definedName>
    <definedName name="_vena_MYPS1_MYPB2_R_5_552736488900919297">#REF!</definedName>
    <definedName name="_vena_MYPS1_MYPB2_R_5_552736488913502209">#REF!</definedName>
    <definedName name="_vena_MYPS1_MYPB2_R_5_552736488921890817">#REF!</definedName>
    <definedName name="_vena_MYPS1_MYPB2_R_5_552736488930279425">#REF!</definedName>
    <definedName name="_vena_MYPS1_MYPB2_R_5_552736488934473729">#REF!</definedName>
    <definedName name="_vena_MYPS1_MYPB2_R_5_552736488942862337">#REF!</definedName>
    <definedName name="_vena_MYPS1_MYPB2_R_5_552736488951250945">#REF!</definedName>
    <definedName name="_vena_MYPS1_MYPB2_R_5_552736488959639553">#REF!</definedName>
    <definedName name="_vena_MYPS1_MYPB2_R_5_552736488976416768">#REF!</definedName>
    <definedName name="_vena_MYPS1_MYPB2_R_5_552736488984805377">#REF!</definedName>
    <definedName name="_vena_MYPS1_MYPB2_R_5_552736489001582592">#REF!</definedName>
    <definedName name="_vena_MYPS1_MYPB2_R_5_552736489014165504">#REF!</definedName>
    <definedName name="_vena_MYPS1_MYPB2_R_5_552736489026748416">#REF!</definedName>
    <definedName name="_vena_MYPS1_MYPB2_R_5_552736489035137025">#REF!</definedName>
    <definedName name="_vena_MYPS1_MYPB2_R_5_552736489047719936">#REF!</definedName>
    <definedName name="_vena_MYPS1_MYPB2_R_5_552736489056108545">#REF!</definedName>
    <definedName name="_vena_MYPS1_MYPB2_R_5_552736489064497153">#REF!</definedName>
    <definedName name="_vena_MYPS1_MYPB2_R_5_552736489085468672">#REF!</definedName>
    <definedName name="_vena_MYPS1_MYPB2_R_5_552736489089662977">#REF!</definedName>
    <definedName name="_vena_MYPS1_MYPB2_R_5_552736489110634496">#REF!</definedName>
    <definedName name="_vena_MYPS1_MYPB2_R_5_552736489119023104">#REF!</definedName>
    <definedName name="_vena_MYPS1_MYPB2_R_5_552736489127411713">#REF!</definedName>
    <definedName name="_vena_MYPS1_MYPB2_R_5_553004603877228544">#REF!</definedName>
    <definedName name="_vena_MYPS1_MYPB2_R_5_553004856093966336">#REF!</definedName>
    <definedName name="_vena_MYPS1_MYPB2_R_5_553005432164974592">#REF!</definedName>
    <definedName name="_vena_MYPS1_MYPB2_R_5_553020693446131712">#REF!</definedName>
    <definedName name="_vena_MYPS1_MYPB2_R_5_553020693450326017">#REF!</definedName>
    <definedName name="_vena_MYPS1_MYPB2_R_5_553020693454520321">#REF!</definedName>
    <definedName name="_vena_MYPS1_MYPB2_R_5_553020693454520323">#REF!</definedName>
    <definedName name="_vena_MYPS1_MYPB2_R_5_553020693458714625">#REF!</definedName>
    <definedName name="_vena_MYPS1_MYPB2_R_5_553020693462908929">#REF!</definedName>
    <definedName name="_vena_MYPS1_MYPB2_R_5_553020693462908931">#REF!</definedName>
    <definedName name="_vena_MYPS1_MYPB2_R_5_553020693467103233">#REF!</definedName>
    <definedName name="_vena_MYPS1_MYPB2_R_5_553020693471297537">#REF!</definedName>
    <definedName name="_vena_MYPS1_MYPB2_R_5_553020693471297539">#REF!</definedName>
    <definedName name="_vena_MYPS1_MYPB2_R_5_553020693475491841">#REF!</definedName>
    <definedName name="_vena_MYPS1_MYPB2_R_5_553020693479686147">#REF!</definedName>
    <definedName name="_vena_MYPS1_MYPB2_R_5_553020693483880449">#REF!</definedName>
    <definedName name="_vena_MYPS1_MYPB2_R_5_553020693488074753">#REF!</definedName>
    <definedName name="_vena_MYPS1_MYPB2_R_5_553020693488074755">#REF!</definedName>
    <definedName name="_vena_MYPS1_MYPB2_R_5_553020693492269057">#REF!</definedName>
    <definedName name="_vena_MYPS1_MYPB2_R_5_553020693496463361">#REF!</definedName>
    <definedName name="_vena_MYPS1_MYPB2_R_5_553020693496463363">#REF!</definedName>
    <definedName name="_vena_MYPS1_MYPB2_R_5_553020693500657665">#REF!</definedName>
    <definedName name="_vena_MYPS1_MYPB2_R_5_553020693504851969">#REF!</definedName>
    <definedName name="_vena_MYPS1_MYPB2_R_5_553020693521629184">#REF!</definedName>
    <definedName name="_vena_MYPS1_MYPB2_R_5_553020693525823489">#REF!</definedName>
    <definedName name="_vena_MYPS1_MYPB2_R_5_553020693530017793">#REF!</definedName>
    <definedName name="_vena_MYPS1_MYPB2_R_5_555286447117959168">#REF!</definedName>
    <definedName name="_vena_MYPS1_MYPB2_R_5_555594863500853248">#REF!</definedName>
    <definedName name="_vena_MYPS1_MYPB2_R_5_555595689988980736">#REF!</definedName>
    <definedName name="_vena_MYPS1_MYPB2_R_5_555600502600237056">#REF!</definedName>
    <definedName name="_vena_MYPS1_MYPB2_R_5_567892648623472640">#REF!</definedName>
    <definedName name="_vena_MYPS1_MYPB2_R_5_567893146436894720">#REF!</definedName>
    <definedName name="_vena_MYPS1_MYPB2_R_5_567893413639356416">#REF!</definedName>
    <definedName name="_vena_MYPS1_MYPB2_R_5_567893530102464512">#REF!</definedName>
    <definedName name="_vena_MYPS1_MYPB2_R_5_567893685237710848">#REF!</definedName>
    <definedName name="_vena_MYPS1_MYPB2_R_5_567893851260583936">#REF!</definedName>
    <definedName name="_vena_MYPS1_MYPB2_R_5_567894059482349568">#REF!</definedName>
    <definedName name="_vena_MYPS1_MYPB2_R_5_567894184993226752">#REF!</definedName>
    <definedName name="_vena_MYPS1_MYPB2_R_5_567894306095104000">#REF!</definedName>
    <definedName name="_vena_MYPS1_MYPB2_R_5_567894417365925888">#REF!</definedName>
    <definedName name="_vena_MYPS1_MYPB2_R_5_567895058167758848">#REF!</definedName>
    <definedName name="_vena_MYPS1_MYPB2_R_5_567895151054422016">#REF!</definedName>
    <definedName name="_vena_MYPS1_MYPB2_R_5_567895227948990464">#REF!</definedName>
    <definedName name="_vena_MYPS1_MYPB2_R_5_567895334349701120">#REF!</definedName>
    <definedName name="_vena_MYPS1_MYPB2_R_5_588955414247505920">#REF!</definedName>
    <definedName name="_vena_MYPS1_MYPB2_R_5_588955952527835136">#REF!</definedName>
    <definedName name="_vena_MYPS1_MYPB2_R_5_607045133481148416">#REF!</definedName>
    <definedName name="_vena_MYPS1_MYPB2_R_5_632005310831919105">#REF!</definedName>
    <definedName name="_vena_MYPS1_MYPB2_R_5_632005310831919111">#REF!</definedName>
    <definedName name="_vena_MYPS1_MYPB2_R_5_632005310831919113">#REF!</definedName>
    <definedName name="_vena_MYPS1_MYPB2_R_5_632005310836113408">#REF!</definedName>
    <definedName name="_vena_MYPS1_MYPB2_R_5_632005310836113410">#REF!</definedName>
    <definedName name="_vena_MYPS1_MYPB2_R_5_632005310840307712">#REF!</definedName>
    <definedName name="_vena_MYPS1_MYPB2_R_5_632005310852890628">#REF!</definedName>
    <definedName name="_vena_MYPS1_MYPB2_R_5_632005310857084934">#REF!</definedName>
    <definedName name="_vena_MYPS1_MYPB2_R_5_632005310857084936">#REF!</definedName>
    <definedName name="_vena_MYPS1_MYPB2_R_5_632005310861279232">#REF!</definedName>
    <definedName name="_vena_MYPS1_MYPB2_R_5_632005310861279234">#REF!</definedName>
    <definedName name="_vena_MYPS1_MYPB2_R_5_632005310861279238">#REF!</definedName>
    <definedName name="_vena_MYPS1_MYPB2_R_5_632005310882250754">#REF!</definedName>
    <definedName name="_vena_MYPS1_MYPB2_R_5_632005310882250756">#REF!</definedName>
    <definedName name="_vena_MYPS1_MYPB2_R_5_632005310890639362">#REF!</definedName>
    <definedName name="_vena_MYPS1_MYPB2_R_5_632005310890639364">#REF!</definedName>
    <definedName name="_vena_MYPS1_MYPB2_R_5_632005310890639366">#REF!</definedName>
    <definedName name="_vena_MYPS1_MYPB2_R_5_632005310894833664">#REF!</definedName>
    <definedName name="_vena_MYPS1_MYPB2_R_5_632005310894833672">#REF!</definedName>
    <definedName name="_vena_MYPS1_MYPB2_R_5_632005310915805190">#REF!</definedName>
    <definedName name="_vena_MYPS1_MYPB2_R_5_632005310919999492">#REF!</definedName>
    <definedName name="_vena_MYPS1_MYPB2_R_5_632005310919999494">#REF!</definedName>
    <definedName name="_vena_MYPS1_MYPB2_R_5_632005310919999496">#REF!</definedName>
    <definedName name="_vena_MYPS1_MYPB2_R_5_632005310924193792">#REF!</definedName>
    <definedName name="_vena_MYPS1_MYPB2_R_5_632005310924193798">#REF!</definedName>
    <definedName name="_vena_MYPS1_MYPB2_R_5_632005310940971013">#REF!</definedName>
    <definedName name="_vena_MYPS1_MYPB2_R_5_632005310945165316">#REF!</definedName>
    <definedName name="_vena_MYPS1_MYPB2_R_5_632005310949359624">#REF!</definedName>
    <definedName name="_vena_MYPS1_MYPB2_R_5_632005310953553920">#REF!</definedName>
    <definedName name="_vena_MYPS1_MYPB2_R_5_632005310953553922">#REF!</definedName>
    <definedName name="_vena_MYPS1_MYPB2_R_5_632005310953553924">#REF!</definedName>
    <definedName name="_vena_MYPS1_MYPB2_R_5_632005310957748224">#REF!</definedName>
    <definedName name="_vena_MYPS1_MYPB2_R_5_632005310957748226">#REF!</definedName>
    <definedName name="_vena_MYPS1_MYPB2_R_5_632005310974525442">#REF!</definedName>
    <definedName name="_vena_MYPS1_MYPB2_R_5_632005310974525444">#REF!</definedName>
    <definedName name="_vena_MYPS1_MYPB2_R_5_632005310978719744">#REF!</definedName>
    <definedName name="_vena_MYPS1_MYPB2_R_5_632005310982914050">#REF!</definedName>
    <definedName name="_vena_MYPS1_MYPB2_R_5_632005310982914052">#REF!</definedName>
    <definedName name="_vena_MYPS1_MYPB2_R_5_632005310982914054">#REF!</definedName>
    <definedName name="_vena_MYPS1_MYPB2_R_5_632005310982914056">#REF!</definedName>
    <definedName name="_vena_MYPS1_MYPB2_R_5_632005310987108357">#REF!</definedName>
    <definedName name="_vena_MYPS1_MYPB2_R_5_632005310995496960">#REF!</definedName>
    <definedName name="_vena_MYPS1_MYPB2_R_5_632005310995496962">#REF!</definedName>
    <definedName name="_vena_MYPS1_MYPB2_R_5_632005310995496966">#REF!</definedName>
    <definedName name="_vena_MYPS1_MYPB2_R_5_632005311008079873">#REF!</definedName>
    <definedName name="_vena_MYPS1_MYPB2_R_5_632005311012274180">#REF!</definedName>
    <definedName name="_vena_MYPS1_MYPB2_R_5_632005311012274184">#REF!</definedName>
    <definedName name="_vena_MYPS1_MYPB2_R_5_632005311016468480">#REF!</definedName>
    <definedName name="_vena_MYPS1_MYPB2_R_5_632005311016468486">#REF!</definedName>
    <definedName name="_vena_MYPS1_MYPB2_R_5_632005311033245699">#REF!</definedName>
    <definedName name="_vena_MYPS1_MYPB2_R_5_632005311033245703">#REF!</definedName>
    <definedName name="_vena_MYPS1_MYPB2_R_5_632005311037440008">#REF!</definedName>
    <definedName name="_vena_MYPS1_MYPB2_R_5_632005311041634304">#REF!</definedName>
    <definedName name="_vena_MYPS1_MYPB2_R_5_632005311041634306">#REF!</definedName>
    <definedName name="_vena_MYPS1_MYPB2_R_5_632005311041634308">#REF!</definedName>
    <definedName name="_vena_MYPS1_MYPB2_R_5_632005311062605830">#REF!</definedName>
    <definedName name="_vena_MYPS1_MYPB2_R_5_632005311070994432">#REF!</definedName>
    <definedName name="_vena_MYPS1_MYPB2_R_5_632005311070994434">#REF!</definedName>
    <definedName name="_vena_MYPS1_MYPB2_R_5_632005311070994436">#REF!</definedName>
    <definedName name="_vena_MYPS1_MYPB2_R_5_632005311070994438">#REF!</definedName>
    <definedName name="_vena_MYPS1_MYPB2_R_5_632005311083577348">#REF!</definedName>
    <definedName name="_vena_MYPS1_MYPB2_R_5_632005311096160258">#REF!</definedName>
    <definedName name="_vena_MYPS1_MYPB2_R_5_632005311096160260">#REF!</definedName>
    <definedName name="_vena_MYPS1_MYPB2_R_5_632005311096160262">#REF!</definedName>
    <definedName name="_vena_MYPS1_MYPB2_R_5_632005311096160264">#REF!</definedName>
    <definedName name="_vena_MYPS1_MYPB2_R_5_632005311100354567">#REF!</definedName>
    <definedName name="_vena_MYPS1_MYPB2_R_5_632005311121326082">#REF!</definedName>
    <definedName name="_vena_MYPS1_MYPB2_R_5_632005311121326086">#REF!</definedName>
    <definedName name="_vena_MYPS1_MYPB2_R_5_632005311125520384">#REF!</definedName>
    <definedName name="_vena_MYPS1_MYPB2_R_5_632005311125520386">#REF!</definedName>
    <definedName name="_vena_MYPS1_MYPB2_R_5_632005311125520392">#REF!</definedName>
    <definedName name="_vena_MYPS1_MYPB2_R_5_632005311146491912">#REF!</definedName>
    <definedName name="_vena_MYPS1_MYPB2_R_5_632005311150686208">#REF!</definedName>
    <definedName name="_vena_MYPS1_MYPB2_R_5_632005311154880512">#REF!</definedName>
    <definedName name="_vena_MYPS1_MYPB2_R_5_632005311154880514">#REF!</definedName>
    <definedName name="_vena_MYPS1_MYPB2_R_5_632005311154880516">#REF!</definedName>
    <definedName name="_vena_MYPS1_MYPB2_R_5_632005311159074816">#REF!</definedName>
    <definedName name="_vena_MYPS1_MYPB2_R_5_632005311175852035">#REF!</definedName>
    <definedName name="_vena_MYPS1_MYPB2_R_5_632005311175852039">#REF!</definedName>
    <definedName name="_vena_MYPS1_MYPB2_R_5_632005311184240640">#REF!</definedName>
    <definedName name="_vena_MYPS1_MYPB2_R_5_632005311184240642">#REF!</definedName>
    <definedName name="_vena_MYPS1_MYPB2_R_5_632005311184240644">#REF!</definedName>
    <definedName name="_vena_MYPS1_MYPB2_R_5_632005311188434945">#REF!</definedName>
    <definedName name="_vena_MYPS1_MYPB2_R_5_632005311209406470">#REF!</definedName>
    <definedName name="_vena_MYPS1_MYPB2_R_5_632005311209406472">#REF!</definedName>
    <definedName name="_vena_MYPS1_MYPB2_R_5_632005311213600768">#REF!</definedName>
    <definedName name="_vena_MYPS1_MYPB2_R_5_632005311213600770">#REF!</definedName>
    <definedName name="_vena_MYPS1_MYPB2_R_5_632005311230377986">#REF!</definedName>
    <definedName name="_vena_MYPS1_MYPB2_R_5_632005311234572292">#REF!</definedName>
    <definedName name="_vena_MYPS1_MYPB2_R_5_632005311234572294">#REF!</definedName>
    <definedName name="_vena_MYPS1_MYPB2_R_5_632005311238766592">#REF!</definedName>
    <definedName name="_vena_MYPS1_MYPB2_R_5_632005311238766596">#REF!</definedName>
    <definedName name="_vena_MYPS1_MYPB2_R_5_632005311238766600">#REF!</definedName>
    <definedName name="_vena_MYPS1_MYPB2_R_5_632005311255543815">#REF!</definedName>
    <definedName name="_vena_MYPS1_MYPB2_R_5_632005311259738112">#REF!</definedName>
    <definedName name="_vena_MYPS1_MYPB2_R_5_632005311259738114">#REF!</definedName>
    <definedName name="_vena_MYPS1_MYPB2_R_5_632005311263932420">#REF!</definedName>
    <definedName name="_vena_MYPS1_MYPB2_R_5_632005311263932422">#REF!</definedName>
    <definedName name="_vena_MYPS1_MYPB2_R_5_632005311268126720">#REF!</definedName>
    <definedName name="_vena_MYPS1_MYPB2_R_5_632005311268126726">#REF!</definedName>
    <definedName name="_vena_MYPS1_MYPB2_R_5_632005311268126728">#REF!</definedName>
    <definedName name="_vena_MYPS1_MYPB2_R_5_632005311284903938">#REF!</definedName>
    <definedName name="_vena_MYPS1_MYPB2_R_5_632005311284903942">#REF!</definedName>
    <definedName name="_vena_MYPS1_MYPB2_R_5_632005311289098249">#REF!</definedName>
    <definedName name="_vena_MYPS1_MYPB2_R_5_632005311293292544">#REF!</definedName>
    <definedName name="_vena_MYPS1_MYPB2_R_5_632005311293292546">#REF!</definedName>
    <definedName name="_vena_MYPS1_MYPB2_R_5_632005311293292548">#REF!</definedName>
    <definedName name="_vena_MYPS1_MYPB2_R_5_632005311297486850">#REF!</definedName>
    <definedName name="_vena_MYPS1_MYPB2_R_5_632005311297486852">#REF!</definedName>
    <definedName name="_vena_MYPS1_MYPB2_R_5_632005311318458370">#REF!</definedName>
    <definedName name="_vena_MYPS1_MYPB2_R_5_632005311318458372">#REF!</definedName>
    <definedName name="_vena_MYPS1_MYPB2_R_5_632005311318458374">#REF!</definedName>
    <definedName name="_vena_MYPS1_MYPB2_R_5_632005311318458376">#REF!</definedName>
    <definedName name="_vena_MYPS1_MYPB2_R_5_632005311322652677">#REF!</definedName>
    <definedName name="_vena_MYPS1_MYPB2_R_5_632005311322652679">#REF!</definedName>
    <definedName name="_vena_MYPS1_MYPB2_R_5_632005311335235592">#REF!</definedName>
    <definedName name="_vena_MYPS1_MYPB2_R_5_632005311339429888">#REF!</definedName>
    <definedName name="_vena_MYPS1_MYPB2_R_5_632005311339429890">#REF!</definedName>
    <definedName name="_vena_MYPS1_MYPB2_R_5_632005311339429892">#REF!</definedName>
    <definedName name="_vena_MYPS1_MYPB2_R_5_632005311339429894">#REF!</definedName>
    <definedName name="_vena_MYPS1_MYPB2_R_5_632005311343624200">#REF!</definedName>
    <definedName name="_vena_MYPS1_MYPB2_R_5_632005311347818496">#REF!</definedName>
    <definedName name="_vena_MYPS1_MYPB2_R_5_632005311347818498">#REF!</definedName>
    <definedName name="_vena_MYPS1_MYPB2_R_5_632005311347818500">#REF!</definedName>
    <definedName name="_vena_MYPS1_MYPB2_R_5_632005311352012802">#REF!</definedName>
    <definedName name="_vena_MYPS1_MYPB2_R_5_632005311352012804">#REF!</definedName>
    <definedName name="_vena_MYPS1_MYPB2_R_5_632005311377178626">#REF!</definedName>
    <definedName name="_vena_MYPS1_MYPB2_R_5_632005311377178628">#REF!</definedName>
    <definedName name="_vena_MYPS1_MYPB2_R_5_632005311377178630">#REF!</definedName>
    <definedName name="_vena_MYPS1_MYPB2_R_5_632005311377178632">#REF!</definedName>
    <definedName name="_vena_MYPS1_MYPB2_R_5_632005311381372931">#REF!</definedName>
    <definedName name="_vena_MYPS1_MYPB2_R_5_632005311381372933">#REF!</definedName>
    <definedName name="_vena_MYPS1_MYPB2_R_5_632005311398150152">#REF!</definedName>
    <definedName name="_vena_MYPS1_MYPB2_R_5_632005311402344448">#REF!</definedName>
    <definedName name="_vena_MYPS1_MYPB2_R_5_632005311402344450">#REF!</definedName>
    <definedName name="_vena_MYPS1_MYPB2_R_5_632005311402344452">#REF!</definedName>
    <definedName name="_vena_MYPS1_MYPB2_R_5_632005311406538754">#REF!</definedName>
    <definedName name="_vena_MYPS1_MYPB2_R_5_632005311406538756">#REF!</definedName>
    <definedName name="_vena_MYPS1_MYPB2_R_5_632005311406538758">#REF!</definedName>
    <definedName name="_vena_MYPS1_MYPB2_R_5_632005311423315976">#REF!</definedName>
    <definedName name="_vena_MYPS1_MYPB2_R_5_632005311427510272">#REF!</definedName>
    <definedName name="_vena_MYPS1_MYPB2_R_5_632005311427510274">#REF!</definedName>
    <definedName name="_vena_MYPS1_MYPB2_R_5_632005311431704581">#REF!</definedName>
    <definedName name="_vena_MYPS1_MYPB2_R_5_632005311431704583">#REF!</definedName>
    <definedName name="_vena_MYPS1_MYPB2_R_5_632005311435898880">#REF!</definedName>
    <definedName name="_vena_MYPS1_MYPB2_R_5_632005311435898882">#REF!</definedName>
    <definedName name="_vena_MYPS1_MYPB2_R_5_632005311440093184">#REF!</definedName>
    <definedName name="_vena_MYPS1_MYPB2_R_5_632005311452676096">#REF!</definedName>
    <definedName name="_vena_MYPS1_MYPB2_R_5_632005311452676098">#REF!</definedName>
    <definedName name="_vena_MYPS1_MYPB2_R_5_632005311452676100">#REF!</definedName>
    <definedName name="_vena_MYPS1_MYPB2_R_5_632005311452676102">#REF!</definedName>
    <definedName name="_vena_MYPS1_MYPB2_R_5_632005311456870402">#REF!</definedName>
    <definedName name="_vena_MYPS1_MYPB2_R_5_632005311473647616">#REF!</definedName>
    <definedName name="_vena_MYPS1_MYPB2_R_5_632005311477841923">#REF!</definedName>
    <definedName name="_vena_MYPS1_MYPB2_R_5_632005311477841925">#REF!</definedName>
    <definedName name="_vena_MYPS1_MYPB2_R_5_632005311477841927">#REF!</definedName>
    <definedName name="_vena_MYPS1_MYPB2_R_5_632005311482036224">#REF!</definedName>
    <definedName name="_vena_MYPS1_MYPB2_R_5_632005311482036226">#REF!</definedName>
    <definedName name="_vena_MYPS1_MYPB2_R_5_632005311486230528">#REF!</definedName>
    <definedName name="_vena_MYPS1_MYPB2_R_5_632005311486230530">#REF!</definedName>
    <definedName name="_vena_MYPS1_MYPB2_R_5_632005311503007752">#REF!</definedName>
    <definedName name="_vena_MYPS1_MYPB2_R_5_632005311507202050">#REF!</definedName>
    <definedName name="_vena_MYPS1_MYPB2_R_5_632005311507202054">#REF!</definedName>
    <definedName name="_vena_MYPS1_MYPB2_R_5_632005311507202056">#REF!</definedName>
    <definedName name="_vena_MYPS1_MYPB2_R_5_632005311511396352">#REF!</definedName>
    <definedName name="_vena_MYPS1_MYPB2_R_5_632005311511396358">#REF!</definedName>
    <definedName name="_vena_MYPS1_MYPB2_R_5_632005311515590656">#REF!</definedName>
    <definedName name="_vena_MYPS1_MYPB2_R_5_632005311515590658">#REF!</definedName>
    <definedName name="_vena_MYPS1_MYPB2_R_5_632005311523979268">#REF!</definedName>
    <definedName name="_vena_MYPS1_MYPB2_R_5_632005311532367880">#REF!</definedName>
    <definedName name="_vena_MYPS1_MYPB2_R_5_632005311536562178">#REF!</definedName>
    <definedName name="_vena_MYPS1_MYPB2_R_5_632005311536562180">#REF!</definedName>
    <definedName name="_vena_MYPS1_MYPB2_R_5_632005311540756486">#REF!</definedName>
    <definedName name="_vena_MYPS1_MYPB2_R_5_632005311540756488">#REF!</definedName>
    <definedName name="_vena_MYPS1_MYPB2_R_5_632005311544950784">#REF!</definedName>
    <definedName name="_vena_MYPS1_MYPB2_R_5_632005311549145088">#REF!</definedName>
    <definedName name="_vena_MYPS1_MYPB2_R_5_632005311549145090">#REF!</definedName>
    <definedName name="_vena_MYPS1_MYPB2_R_5_632005311549145096">#REF!</definedName>
    <definedName name="_vena_MYPS1_MYPB2_R_5_632005311565922304">#REF!</definedName>
    <definedName name="_vena_MYPS1_MYPB2_R_5_632005311570116610">#REF!</definedName>
    <definedName name="_vena_MYPS1_MYPB2_R_5_632005311570116612">#REF!</definedName>
    <definedName name="_vena_MYPS1_MYPB2_R_5_632005311570116614">#REF!</definedName>
    <definedName name="_vena_MYPS1_MYPB2_R_5_632005311574310912">#REF!</definedName>
    <definedName name="_vena_MYPS1_MYPB2_R_5_632005311574310916">#REF!</definedName>
    <definedName name="_vena_MYPS1_MYPB2_R_5_632005311574310918">#REF!</definedName>
    <definedName name="_vena_MYPS1_MYPB2_R_5_632005311599476737">#REF!</definedName>
    <definedName name="_vena_MYPS1_MYPB2_R_5_632005311603671046">#REF!</definedName>
    <definedName name="_vena_MYPS1_MYPB2_R_5_632005311603671049">#REF!</definedName>
    <definedName name="_vena_MYPS1_MYPB2_R_5_632005311607865344">#REF!</definedName>
    <definedName name="_vena_MYPS1_MYPB2_R_5_632005311607865346">#REF!</definedName>
    <definedName name="_vena_MYPS1_MYPB2_R_5_632005311612059648">#REF!</definedName>
    <definedName name="_vena_MYPS1_MYPB2_R_5_632005311612059650">#REF!</definedName>
    <definedName name="_vena_MYPS1_MYPB2_R_5_632005311628836870">#REF!</definedName>
    <definedName name="_vena_MYPS1_MYPB2_R_5_632005311641419782">#REF!</definedName>
    <definedName name="_vena_MYPS1_MYPB2_R_5_632005311645614080">#REF!</definedName>
    <definedName name="_vena_MYPS1_MYPB2_R_5_632005311645614082">#REF!</definedName>
    <definedName name="_vena_MYPS1_MYPB2_R_5_632005311649808390">#REF!</definedName>
    <definedName name="_vena_MYPS1_MYPB2_R_5_632005311649808392">#REF!</definedName>
    <definedName name="_vena_MYPS1_MYPB2_R_5_632005311654002688">#REF!</definedName>
    <definedName name="_vena_MYPS1_MYPB2_R_5_632005311654002690">#REF!</definedName>
    <definedName name="_vena_MYPS1_MYPB2_R_5_632005311654002694">#REF!</definedName>
    <definedName name="_vena_MYPS1_MYPB2_R_5_632005311654002696">#REF!</definedName>
    <definedName name="_vena_MYPS1_MYPB2_R_5_632005311674974208">#REF!</definedName>
    <definedName name="_vena_MYPS1_MYPB2_R_5_632005311674974217">#REF!</definedName>
    <definedName name="_vena_MYPS1_MYPB2_R_5_632005311679168512">#REF!</definedName>
    <definedName name="_vena_MYPS1_MYPB2_R_5_632005311679168514">#REF!</definedName>
    <definedName name="_vena_MYPS1_MYPB2_R_5_632005311679168516">#REF!</definedName>
    <definedName name="_vena_MYPS1_MYPB2_R_5_632005311683362816">#REF!</definedName>
    <definedName name="_vena_MYPS1_MYPB2_R_5_632005311683362818">#REF!</definedName>
    <definedName name="_vena_MYPS1_MYPB2_R_5_632005311691751424">#REF!</definedName>
    <definedName name="_vena_MYPS1_MYPB2_R_5_632005311700140038">#REF!</definedName>
    <definedName name="_vena_MYPS1_MYPB2_R_5_632005311704334340">#REF!</definedName>
    <definedName name="_vena_MYPS1_MYPB2_R_5_632005311704334342">#REF!</definedName>
    <definedName name="_vena_MYPS1_MYPB2_R_5_632005311704334344">#REF!</definedName>
    <definedName name="_vena_MYPS1_MYPB2_R_5_632005311704334346">#REF!</definedName>
    <definedName name="_vena_MYPS1_MYPB2_R_5_632005311708528643">#REF!</definedName>
    <definedName name="_vena_MYPS1_MYPB2_R_5_632005311725305856">#REF!</definedName>
    <definedName name="_vena_MYPS1_MYPB2_R_5_632005311729500162">#REF!</definedName>
    <definedName name="_vena_MYPS1_MYPB2_R_5_632005311729500164">#REF!</definedName>
    <definedName name="_vena_MYPS1_MYPB2_R_5_632005311729500168">#REF!</definedName>
    <definedName name="_vena_MYPS1_MYPB2_R_5_632005311733694472">#REF!</definedName>
    <definedName name="_vena_MYPS1_MYPB2_R_5_632005311737888768">#REF!</definedName>
    <definedName name="_vena_MYPS1_MYPB2_R_5_632005311737888770">#REF!</definedName>
    <definedName name="_vena_MYPS1_MYPB2_R_5_632005311737888772">#REF!</definedName>
    <definedName name="_vena_MYPS1_MYPB2_R_5_632005311758860291">#REF!</definedName>
    <definedName name="_vena_MYPS1_MYPB2_R_5_632005311758860295">#REF!</definedName>
    <definedName name="_vena_MYPS1_MYPB2_R_5_632005311758860297">#REF!</definedName>
    <definedName name="_vena_MYPS1_MYPB2_R_5_632005311763054592">#REF!</definedName>
    <definedName name="_vena_MYPS1_MYPB2_R_5_632005311763054594">#REF!</definedName>
    <definedName name="_vena_MYPS1_MYPB2_R_5_632005311763054596">#REF!</definedName>
    <definedName name="_vena_MYPS1_MYPB2_R_5_632005311763054598">#REF!</definedName>
    <definedName name="_vena_MYPS1_MYPB2_R_5_632005311771443204">#REF!</definedName>
    <definedName name="_vena_MYPS1_MYPB2_R_5_632005311784026112">#REF!</definedName>
    <definedName name="_vena_MYPS1_MYPB2_R_5_632005311784026114">#REF!</definedName>
    <definedName name="_vena_MYPS1_MYPB2_R_5_632005311784026116">#REF!</definedName>
    <definedName name="_vena_MYPS1_MYPB2_R_5_632005311788220419">#REF!</definedName>
    <definedName name="_vena_MYPS1_MYPB2_R_5_632005311788220421">#REF!</definedName>
    <definedName name="_vena_MYPS1_MYPB2_R_5_632005311788220425">#REF!</definedName>
    <definedName name="_vena_MYPS1_MYPB2_R_5_632005311792414722">#REF!</definedName>
    <definedName name="_vena_MYPS1_MYPB2_R_5_632005311792414724">#REF!</definedName>
    <definedName name="_vena_MYPS1_MYPB2_R_5_632005311792414726">#REF!</definedName>
    <definedName name="_vena_MYPS1_MYPB2_R_5_632005311809191946">#REF!</definedName>
    <definedName name="_vena_MYPS1_MYPB2_R_5_632005311817580544">#REF!</definedName>
    <definedName name="_vena_MYPS1_MYPB2_R_5_632005311817580546">#REF!</definedName>
    <definedName name="_vena_MYPS1_MYPB2_R_5_632005311817580548">#REF!</definedName>
    <definedName name="_vena_MYPS1_MYPB2_R_5_632005311817580550">#REF!</definedName>
    <definedName name="_vena_MYPS1_MYPB2_R_5_632005311817580552">#REF!</definedName>
    <definedName name="_vena_MYPS1_MYPB2_R_5_632005311821774848">#REF!</definedName>
    <definedName name="_vena_MYPS1_MYPB2_R_5_632005311838552072">#REF!</definedName>
    <definedName name="_vena_MYPS1_MYPB2_R_5_632005311842746368">#REF!</definedName>
    <definedName name="_vena_MYPS1_MYPB2_R_5_632005311842746370">#REF!</definedName>
    <definedName name="_vena_MYPS1_MYPB2_R_5_632005311842746372">#REF!</definedName>
    <definedName name="_vena_MYPS1_MYPB2_R_5_632005311846940672">#REF!</definedName>
    <definedName name="_vena_MYPS1_MYPB2_R_5_632005311846940674">#REF!</definedName>
    <definedName name="_vena_MYPS1_MYPB2_R_5_632005311859523594">#REF!</definedName>
    <definedName name="_vena_MYPS1_MYPB2_R_5_632005311863717888">#REF!</definedName>
    <definedName name="_vena_MYPS1_MYPB2_R_5_632005311867912192">#REF!</definedName>
    <definedName name="_vena_MYPS1_MYPB2_R_5_632005311867912194">#REF!</definedName>
    <definedName name="_vena_MYPS1_MYPB2_R_5_632005311867912196">#REF!</definedName>
    <definedName name="_vena_MYPS1_MYPB2_R_5_632005311867912198">#REF!</definedName>
    <definedName name="_vena_MYPS1_MYPB2_R_5_632005311872106499">#REF!</definedName>
    <definedName name="_vena_MYPS1_MYPB2_R_5_632005311888883714">#REF!</definedName>
    <definedName name="_vena_MYPS1_MYPB2_R_5_632005311888883718">#REF!</definedName>
    <definedName name="_vena_MYPS1_MYPB2_R_5_632005311893078018">#REF!</definedName>
    <definedName name="_vena_MYPS1_MYPB2_R_5_632005311893078020">#REF!</definedName>
    <definedName name="_vena_MYPS1_MYPB2_R_5_632005311893078022">#REF!</definedName>
    <definedName name="_vena_MYPS1_MYPB2_R_5_632005311897272322">#REF!</definedName>
    <definedName name="_vena_MYPS1_MYPB2_R_5_632005311897272324">#REF!</definedName>
    <definedName name="_vena_MYPS1_MYPB2_R_5_632005311914049538">#REF!</definedName>
    <definedName name="_vena_MYPS1_MYPB2_R_5_632005311918243845">#REF!</definedName>
    <definedName name="_vena_MYPS1_MYPB2_R_5_632005311918243847">#REF!</definedName>
    <definedName name="_vena_MYPS1_MYPB2_R_5_632005311918243849">#REF!</definedName>
    <definedName name="_vena_MYPS1_MYPB2_R_5_632005311922438144">#REF!</definedName>
    <definedName name="_vena_MYPS1_MYPB2_R_5_632005311922438150">#REF!</definedName>
    <definedName name="_vena_MYPS1_MYPB2_R_5_632005311939215368">#REF!</definedName>
    <definedName name="_vena_MYPS1_MYPB2_R_5_632005311943409668">#REF!</definedName>
    <definedName name="_vena_MYPS1_MYPB2_R_5_632005311943409670">#REF!</definedName>
    <definedName name="_vena_MYPS1_MYPB2_R_5_632005311943409672">#REF!</definedName>
    <definedName name="_vena_MYPS1_MYPB2_R_5_632005311943409674">#REF!</definedName>
    <definedName name="_vena_MYPS1_MYPB2_R_5_632005311947603973">#REF!</definedName>
    <definedName name="_vena_MYPS1_MYPB2_R_5_632005311947603975">#REF!</definedName>
    <definedName name="_vena_MYPS1_MYPB2_R_5_632005311960186888">#REF!</definedName>
    <definedName name="_vena_MYPS1_MYPB2_R_5_632005311964381184">#REF!</definedName>
    <definedName name="_vena_MYPS1_MYPB2_R_5_632005311964381192">#REF!</definedName>
    <definedName name="_vena_MYPS1_MYPB2_R_5_632005311968575488">#REF!</definedName>
    <definedName name="_vena_MYPS1_MYPB2_R_5_632005311972769793">#REF!</definedName>
    <definedName name="_vena_MYPS1_MYPB2_R_5_632005311972769795">#REF!</definedName>
    <definedName name="_vena_MYPS1_MYPB2_R_5_632005311972769797">#REF!</definedName>
    <definedName name="_vena_MYPS1_MYPB2_R_5_632005311972769805">#REF!</definedName>
    <definedName name="_vena_MYPS1_MYPB2_R_5_632005311976964096">#REF!</definedName>
    <definedName name="_vena_MYPS1_MYPB2_R_5_632005311976964121">#REF!</definedName>
    <definedName name="_vena_MYPS1_MYPB2_R_5_632005311997935642">#REF!</definedName>
    <definedName name="_vena_MYPS1_MYPB2_R_5_632005312002129944">#REF!</definedName>
    <definedName name="_vena_MYPS1_MYPB2_R_5_632005312002129952">#REF!</definedName>
    <definedName name="_vena_MYPS1_MYPB2_R_5_632005312002129961">#REF!</definedName>
    <definedName name="_vena_MYPS1_MYPB2_R_5_632005312006324232">#REF!</definedName>
    <definedName name="_vena_MYPS1_MYPB2_R_5_632005312006324257">#REF!</definedName>
    <definedName name="_vena_MYPS1_MYPB2_R_5_632005312027295755">#REF!</definedName>
    <definedName name="_vena_MYPS1_MYPB2_R_5_632005312031490051">#REF!</definedName>
    <definedName name="_vena_MYPS1_MYPB2_R_5_632005312031490058">#REF!</definedName>
    <definedName name="_vena_MYPS1_MYPB2_R_5_632005312031490068">#REF!</definedName>
    <definedName name="_vena_MYPS1_MYPB2_R_5_632005312031490077">#REF!</definedName>
    <definedName name="_vena_MYPS1_MYPB2_R_5_632005312035684364">#REF!</definedName>
    <definedName name="_vena_MYPS1_MYPB2_R_5_632005312048267270">#REF!</definedName>
    <definedName name="_vena_MYPS1_MYPB2_R_5_632005312048267272">#REF!</definedName>
    <definedName name="_vena_MYPS1_MYPB2_R_5_632005312048267274">#REF!</definedName>
    <definedName name="_vena_MYPS1_MYPB2_R_5_632005312052461569">#REF!</definedName>
    <definedName name="_vena_MYPS1_MYPB2_R_5_632005312052461577">#REF!</definedName>
    <definedName name="_vena_MYPS1_MYPB2_R_5_632005312056655872">#REF!</definedName>
    <definedName name="_vena_MYPS1_MYPB2_R_5_632005312056655874">#REF!</definedName>
    <definedName name="_vena_MYPS1_MYPB2_R_5_632005312056655876">#REF!</definedName>
    <definedName name="_vena_MYPS1_MYPB2_R_5_632005312060850179">#REF!</definedName>
    <definedName name="_vena_MYPS1_MYPB2_R_5_632005312077627400">#REF!</definedName>
    <definedName name="_vena_MYPS1_MYPB2_R_5_632005312077627402">#REF!</definedName>
    <definedName name="_vena_MYPS1_MYPB2_R_5_632005312081821697">#REF!</definedName>
    <definedName name="_vena_MYPS1_MYPB2_R_5_632005312081821699">#REF!</definedName>
    <definedName name="_vena_MYPS1_MYPB2_R_5_632005312086016000">#REF!</definedName>
    <definedName name="_vena_MYPS1_MYPB2_R_5_632005312086016002">#REF!</definedName>
    <definedName name="_vena_MYPS1_MYPB2_R_5_632005312098598914">#REF!</definedName>
    <definedName name="_vena_MYPS1_MYPB2_R_5_632005312098598918">#REF!</definedName>
    <definedName name="_vena_MYPS1_MYPB2_R_5_632005312102793222">#REF!</definedName>
    <definedName name="_vena_MYPS1_MYPB2_R_5_632005312102793224">#REF!</definedName>
    <definedName name="_vena_MYPS1_MYPB2_R_5_632005312106987520">#REF!</definedName>
    <definedName name="_vena_MYPS1_MYPB2_R_5_632005312106987522">#REF!</definedName>
    <definedName name="_vena_MYPS1_MYPB2_R_5_632005312111181824">#REF!</definedName>
    <definedName name="_vena_MYPS1_MYPB2_R_5_632005312111181826">#REF!</definedName>
    <definedName name="_vena_MYPS1_MYPB2_R_5_632005312111181828">#REF!</definedName>
    <definedName name="_vena_MYPS1_MYPB2_R_5_632005312127959044">#REF!</definedName>
    <definedName name="_vena_MYPS1_MYPB2_R_5_632005312127959056">#REF!</definedName>
    <definedName name="_vena_MYPS1_MYPB2_R_5_632005312127959058">#REF!</definedName>
    <definedName name="_vena_MYPS1_MYPB2_R_5_632005312132153347">#REF!</definedName>
    <definedName name="_vena_MYPS1_MYPB2_R_5_632005312132153349">#REF!</definedName>
    <definedName name="_vena_MYPS1_MYPB2_R_5_632005312148930564">#REF!</definedName>
    <definedName name="_vena_MYPS1_MYPB2_R_5_632005312148930568">#REF!</definedName>
    <definedName name="_vena_MYPS1_MYPB2_R_5_632005312153124870">#REF!</definedName>
    <definedName name="_vena_MYPS1_MYPB2_R_5_632005312153124872">#REF!</definedName>
    <definedName name="_vena_MYPS1_MYPB2_R_5_632005312157319168">#REF!</definedName>
    <definedName name="_vena_MYPS1_MYPB2_R_5_632005312157319170">#REF!</definedName>
    <definedName name="_vena_MYPS1_MYPB2_R_5_632005312157319176">#REF!</definedName>
    <definedName name="_vena_MYPS1_MYPB2_R_5_632005312161513472">#REF!</definedName>
    <definedName name="_vena_MYPS1_MYPB2_R_5_632005312161513474">#REF!</definedName>
    <definedName name="_vena_MYPS1_MYPB2_R_5_632005312161513476">#REF!</definedName>
    <definedName name="_vena_MYPS1_MYPB2_R_5_632005312178290696">#REF!</definedName>
    <definedName name="_vena_MYPS1_MYPB2_R_5_632005312182484998">#REF!</definedName>
    <definedName name="_vena_MYPS1_MYPB2_R_5_632005312182485000">#REF!</definedName>
    <definedName name="_vena_MYPS1_MYPB2_R_5_632005312186679296">#REF!</definedName>
    <definedName name="_vena_MYPS1_MYPB2_R_5_632005312186679302">#REF!</definedName>
    <definedName name="_vena_MYPS1_MYPB2_R_5_632005312186679304">#REF!</definedName>
    <definedName name="_vena_MYPS1_MYPB2_R_5_632005312199262218">#REF!</definedName>
    <definedName name="_vena_MYPS1_MYPB2_R_5_632005312211845122">#REF!</definedName>
    <definedName name="_vena_MYPS1_MYPB2_R_5_632005312211845124">#REF!</definedName>
    <definedName name="_vena_MYPS1_MYPB2_R_5_632005312211845127">#REF!</definedName>
    <definedName name="_vena_MYPS1_MYPB2_R_5_632005312216039426">#REF!</definedName>
    <definedName name="_vena_MYPS1_MYPB2_R_5_632005312216039428">#REF!</definedName>
    <definedName name="_vena_MYPS1_MYPB2_R_5_632005312228622346">#REF!</definedName>
    <definedName name="_vena_MYPS1_MYPB2_R_5_632005312232816640">#REF!</definedName>
    <definedName name="_vena_MYPS1_MYPB2_R_5_632005312232816642">#REF!</definedName>
    <definedName name="_vena_MYPS1_MYPB2_R_5_632005312237010952">#REF!</definedName>
    <definedName name="_vena_MYPS1_MYPB2_R_5_632005312241205248">#REF!</definedName>
    <definedName name="_vena_MYPS1_MYPB2_R_5_632005312241205254">#REF!</definedName>
    <definedName name="_vena_MYPS1_MYPB2_R_5_632005312262176775">#REF!</definedName>
    <definedName name="_vena_MYPS1_MYPB2_R_5_632005312266371080">#REF!</definedName>
    <definedName name="_vena_MYPS1_MYPB2_R_5_632005312270565376">#REF!</definedName>
    <definedName name="_vena_MYPS1_MYPB2_R_5_632005312270565382">#REF!</definedName>
    <definedName name="_vena_MYPS1_MYPB2_R_5_632005312270565384">#REF!</definedName>
    <definedName name="_vena_MYPS1_MYPB2_R_5_632005312291536902">#REF!</definedName>
    <definedName name="_vena_MYPS1_MYPB2_R_5_632005312295731208">#REF!</definedName>
    <definedName name="_vena_MYPS1_MYPB2_R_5_632005312295731210">#REF!</definedName>
    <definedName name="_vena_MYPS1_MYPB2_R_5_632005312299925505">#REF!</definedName>
    <definedName name="_vena_MYPS1_MYPB2_R_5_632005312299925511">#REF!</definedName>
    <definedName name="_vena_MYPS1_MYPB2_R_5_632005312304119808">#REF!</definedName>
    <definedName name="_vena_MYPS1_MYPB2_R_5_632005312304119810">#REF!</definedName>
    <definedName name="_vena_MYPS1_MYPB2_R_5_632005312304119814">#REF!</definedName>
    <definedName name="_vena_MYPS1_MYPB2_R_5_632005312308314114">#REF!</definedName>
    <definedName name="_vena_MYPS1_MYPB2_R_5_632005312325091332">#REF!</definedName>
    <definedName name="_vena_MYPS1_MYPB2_R_5_632005312325091334">#REF!</definedName>
    <definedName name="_vena_MYPS1_MYPB2_R_5_632005312325091336">#REF!</definedName>
    <definedName name="_vena_MYPS1_MYPB2_R_5_632005312329285634">#REF!</definedName>
    <definedName name="_vena_MYPS1_MYPB2_R_5_632005312329285636">#REF!</definedName>
    <definedName name="_vena_MYPS1_MYPB2_R_5_632005312350257152">#REF!</definedName>
    <definedName name="_vena_MYPS1_MYPB2_R_5_632005312350257154">#REF!</definedName>
    <definedName name="_vena_MYPS1_MYPB2_R_5_632005312354451456">#REF!</definedName>
    <definedName name="_vena_MYPS1_MYPB2_R_5_632005312358645762">#REF!</definedName>
    <definedName name="_vena_MYPS1_MYPB2_R_5_632005312358645764">#REF!</definedName>
    <definedName name="_vena_MYPS1_MYPB2_R_5_632005312358645768">#REF!</definedName>
    <definedName name="_vena_MYPS1_MYPB2_R_5_632005312362840065">#REF!</definedName>
    <definedName name="_vena_MYPS1_MYPB2_R_5_632005312362840067">#REF!</definedName>
    <definedName name="_vena_MYPS1_MYPB2_R_5_632005312379617286">#REF!</definedName>
    <definedName name="_vena_MYPS1_MYPB2_R_5_632005312388005890">#REF!</definedName>
    <definedName name="_vena_MYPS1_MYPB2_R_5_632005312388005892">#REF!</definedName>
    <definedName name="_vena_MYPS1_MYPB2_R_5_632005312388005894">#REF!</definedName>
    <definedName name="_vena_MYPS1_MYPB2_R_5_632005312392200194">#REF!</definedName>
    <definedName name="_vena_MYPS1_MYPB2_R_5_632005312392200196">#REF!</definedName>
    <definedName name="_vena_MYPS1_MYPB2_R_5_632005312417366022">#REF!</definedName>
    <definedName name="_vena_MYPS1_MYPB2_R_5_632005312417366024">#REF!</definedName>
    <definedName name="_vena_MYPS1_MYPB2_R_5_632005312417366026">#REF!</definedName>
    <definedName name="_vena_MYPS1_MYPB2_R_5_632005312421560325">#REF!</definedName>
    <definedName name="_vena_MYPS1_MYPB2_R_5_632005312421560327">#REF!</definedName>
    <definedName name="_vena_MYPS1_MYPB2_R_5_632005312429948928">#REF!</definedName>
    <definedName name="_vena_MYPS1_MYPB2_R_5_632005312438337544">#REF!</definedName>
    <definedName name="_vena_MYPS1_MYPB2_R_5_632005312442531848">#REF!</definedName>
    <definedName name="_vena_MYPS1_MYPB2_R_5_632005312446726145">#REF!</definedName>
    <definedName name="_vena_MYPS1_MYPB2_R_5_632005312450920456">#REF!</definedName>
    <definedName name="_vena_MYPS1_MYPB2_R_5_632005312455114752">#REF!</definedName>
    <definedName name="_vena_MYPS1_MYPB2_R_5_632005312455114754">#REF!</definedName>
    <definedName name="_vena_MYPS1_MYPB2_R_5_632005312455114760">#REF!</definedName>
    <definedName name="_vena_MYPS1_MYPB2_R_5_632005312459309056">#REF!</definedName>
    <definedName name="_vena_MYPS1_MYPB2_R_5_632005312471891978">#REF!</definedName>
    <definedName name="_vena_MYPS1_MYPB2_R_5_632005312476086273">#REF!</definedName>
    <definedName name="_vena_MYPS1_MYPB2_R_5_632005312476086275">#REF!</definedName>
    <definedName name="_vena_MYPS1_MYPB2_R_5_632005312480280576">#REF!</definedName>
    <definedName name="_vena_MYPS1_MYPB2_R_5_632005312480280578">#REF!</definedName>
    <definedName name="_vena_MYPS1_MYPB2_R_5_632005312484474880">#REF!</definedName>
    <definedName name="_vena_MYPS1_MYPB2_R_5_632005312492863495">#REF!</definedName>
    <definedName name="_vena_MYPS1_MYPB2_R_5_632005312497057796">#REF!</definedName>
    <definedName name="_vena_MYPS1_MYPB2_R_5_632005312497057798">#REF!</definedName>
    <definedName name="_vena_MYPS1_MYPB2_R_5_632005312497057800">#REF!</definedName>
    <definedName name="_vena_MYPS1_MYPB2_R_5_632005312501252100">#REF!</definedName>
    <definedName name="_vena_MYPS1_MYPB2_R_5_632005312501252102">#REF!</definedName>
    <definedName name="_vena_MYPS1_MYPB2_R_5_632005312501252104">#REF!</definedName>
    <definedName name="_vena_MYPS1_MYPB2_R_5_632005312522223616">#REF!</definedName>
    <definedName name="_vena_MYPS1_MYPB2_R_5_632005312522223618">#REF!</definedName>
    <definedName name="_vena_MYPS1_MYPB2_R_5_632005312526417958">#REF!</definedName>
    <definedName name="_vena_MYPS1_MYPB2_R_5_632005312530612224">#REF!</definedName>
    <definedName name="_vena_MYPS1_MYPB2_R_5_632005312530612226">#REF!</definedName>
    <definedName name="_vena_MYPS1_MYPB2_R_5_632005312530612232">#REF!</definedName>
    <definedName name="_vena_MYPS1_MYPB2_R_5_632005312534806528">#REF!</definedName>
    <definedName name="_vena_MYPS1_MYPB2_R_5_632005312547389446">#REF!</definedName>
    <definedName name="_vena_MYPS1_MYPB2_R_5_632005312547389448">#REF!</definedName>
    <definedName name="_vena_MYPS1_MYPB2_R_5_632005312551583744">#REF!</definedName>
    <definedName name="_vena_MYPS1_MYPB2_R_5_632005312551583750">#REF!</definedName>
    <definedName name="_vena_MYPS1_MYPB2_R_5_632005312555778048">#REF!</definedName>
    <definedName name="_vena_MYPS1_MYPB2_R_5_632005312564166664">#REF!</definedName>
    <definedName name="_vena_MYPS1_MYPB2_R_5_632005312568360964">#REF!</definedName>
    <definedName name="_vena_MYPS1_MYPB2_R_5_632005312568360968">#REF!</definedName>
    <definedName name="_vena_MYPS1_MYPB2_R_5_632005312572555270">#REF!</definedName>
    <definedName name="_vena_MYPS1_MYPB2_R_5_632005312572555272">#REF!</definedName>
    <definedName name="_vena_MYPS1_MYPB2_R_5_632005312576749568">#REF!</definedName>
    <definedName name="_vena_MYPS1_MYPB2_R_5_632005312576749570">#REF!</definedName>
    <definedName name="_vena_MYPS1_MYPB2_R_5_632005312576749576">#REF!</definedName>
    <definedName name="_vena_MYPS1_MYPB2_R_5_632005312580943872">#REF!</definedName>
    <definedName name="_vena_MYPS1_MYPB2_R_5_632005312585138180">#REF!</definedName>
    <definedName name="_vena_MYPS1_MYPB2_R_5_632005312597721093">#REF!</definedName>
    <definedName name="_vena_MYPS1_MYPB2_R_5_632005312597721095">#REF!</definedName>
    <definedName name="_vena_MYPS1_MYPB2_R_5_632005312597721097">#REF!</definedName>
    <definedName name="_vena_MYPS1_MYPB2_R_5_632005312601915392">#REF!</definedName>
    <definedName name="_vena_MYPS1_MYPB2_R_5_632005312601915396">#REF!</definedName>
    <definedName name="_vena_MYPS1_MYPB2_R_5_632005312601915398">#REF!</definedName>
    <definedName name="_vena_MYPS1_MYPB2_R_5_632802684999303168">#REF!</definedName>
    <definedName name="_vena_MYPS1_MYPB2_R_5_632802806714466304">#REF!</definedName>
    <definedName name="_vena_MYPS1_MYPB2_R_5_640425049593872384">#REF!</definedName>
    <definedName name="_vena_MYPS1_MYPB2_R_5_640425049946193920">#REF!</definedName>
    <definedName name="_vena_MYPS1_MYPB2_R_5_640425050315292672">#REF!</definedName>
    <definedName name="_vena_MYPS1_MYPB2_R_5_672280564707885073">#REF!</definedName>
    <definedName name="_vena_MYPS1_MYPB2_R_5_781732079313747968">#REF!</definedName>
    <definedName name="_vena_MYPS1_MYPB2_R_5_781747737229918208">#REF!</definedName>
    <definedName name="_vena_MYPS1_MYPB2_R_5_781747762450399232">#REF!</definedName>
    <definedName name="_vena_MYPS1_MYPB2_R_5_781747791617327104">#REF!</definedName>
    <definedName name="_vena_MYPS1_MYPB2_R_5_781747818582507520">#REF!</definedName>
    <definedName name="_vena_MYPS1_MYPB2_R_5_781748213857910784">#REF!</definedName>
    <definedName name="_vena_MYPS1_MYPB2_R_5_781748321865433090">#REF!</definedName>
    <definedName name="_vena_MYPS1_MYPB2_R_5_781748379378253826">#REF!</definedName>
    <definedName name="_vena_MYPS1_MYPB2_R_5_781748554007838720">#REF!</definedName>
    <definedName name="_vena_MYPS1_MYPB2_R_5_781753509934530560">#REF!</definedName>
    <definedName name="_vena_MYPS1_MYPB2_R_5_781753609746644992">#REF!</definedName>
    <definedName name="_vena_MYPS1_MYPB2_R_5_781753643997069312">#REF!</definedName>
    <definedName name="_vena_MYPS1_MYPB2_R_5_820620957949886465">#REF!</definedName>
    <definedName name="_vena_MYPS1_MYPB2_R_5_969124762453147649">#REF!</definedName>
    <definedName name="_vena_MYPS1_MYPB2_R_5_969124837275336705">#REF!</definedName>
    <definedName name="_vena_MYPS1_MYPB2_R_5_969124902391644161">#REF!</definedName>
    <definedName name="_vena_MYPS1_MYPB2_R_5_969124968162525249">#REF!</definedName>
    <definedName name="_vena_MYPS1_MYPB2_R_5_980297783344758784">#REF!</definedName>
    <definedName name="_vena_MYPS1_MYPB2_R_5_980297783562862592">#REF!</definedName>
    <definedName name="_vena_MYPS1_MYPB2_R_5_980297783579639808">#REF!</definedName>
    <definedName name="_vena_MYPS1_MYPB2_R_5_980297783588028417">#REF!</definedName>
    <definedName name="_vena_MYPS1_MYPB2_R_5_980297783600611329">#REF!</definedName>
    <definedName name="_vena_MYPS1_MYPB2_R_5_980297783613194240">#REF!</definedName>
    <definedName name="_vena_MYPS1_MYPB2_R_5_980297783621582849">#REF!</definedName>
    <definedName name="_vena_MYPS1_MYPB2_R_5_980297783638360065">#REF!</definedName>
    <definedName name="_vena_MYPS1_MYPB2_R_5_980297783650942977">#REF!</definedName>
    <definedName name="_vena_MYPS1_MYPB2_R_5_980297783663525889">#REF!</definedName>
    <definedName name="_vena_MYPS1_MYPB2_R_5_980297783676108800">#REF!</definedName>
    <definedName name="_vena_MYPS1_MYPB2_R_5_980297783684497409">#REF!</definedName>
    <definedName name="_vena_MYPS1_MYPB2_R_5_980297783697080321">#REF!</definedName>
    <definedName name="_vena_MYPS1_MYPB2_R_5_980297783705468929">#REF!</definedName>
    <definedName name="_vena_MYPS1_MYPB2_R_5_980297783726440449">#REF!</definedName>
    <definedName name="_vena_MYPS1_MYPB2_R_5_980297783734829057">#REF!</definedName>
    <definedName name="_vena_MYPS1_MYPB2_R_5_980297783747411969">#REF!</definedName>
    <definedName name="_vena_MYPS1_MYPB2_R_5_980297783759994881">#REF!</definedName>
    <definedName name="_vena_MYPS1_MYPB2_R_5_980297783772577793">#REF!</definedName>
    <definedName name="_vena_MYPS1_MYPB2_R_5_980297783785160705">#REF!</definedName>
    <definedName name="_vena_MYPS1_MYPB2_R_FV_42f34b52efc14701904e2bd69b949ebb">#REF!</definedName>
    <definedName name="_vena_MYPS1_MYPB2_R_FV_42f34b52efc14701904e2bd69b949ebb_1">#REF!</definedName>
    <definedName name="_vena_MYPS1_MYPB2_R_FV_42f34b52efc14701904e2bd69b949ebb_10">#REF!</definedName>
    <definedName name="_vena_MYPS1_MYPB2_R_FV_42f34b52efc14701904e2bd69b949ebb_100">#REF!</definedName>
    <definedName name="_vena_MYPS1_MYPB2_R_FV_42f34b52efc14701904e2bd69b949ebb_101">#REF!</definedName>
    <definedName name="_vena_MYPS1_MYPB2_R_FV_42f34b52efc14701904e2bd69b949ebb_102">#REF!</definedName>
    <definedName name="_vena_MYPS1_MYPB2_R_FV_42f34b52efc14701904e2bd69b949ebb_103">#REF!</definedName>
    <definedName name="_vena_MYPS1_MYPB2_R_FV_42f34b52efc14701904e2bd69b949ebb_104">#REF!</definedName>
    <definedName name="_vena_MYPS1_MYPB2_R_FV_42f34b52efc14701904e2bd69b949ebb_105">#REF!</definedName>
    <definedName name="_vena_MYPS1_MYPB2_R_FV_42f34b52efc14701904e2bd69b949ebb_106">#REF!</definedName>
    <definedName name="_vena_MYPS1_MYPB2_R_FV_42f34b52efc14701904e2bd69b949ebb_107">#REF!</definedName>
    <definedName name="_vena_MYPS1_MYPB2_R_FV_42f34b52efc14701904e2bd69b949ebb_108">#REF!</definedName>
    <definedName name="_vena_MYPS1_MYPB2_R_FV_42f34b52efc14701904e2bd69b949ebb_109">#REF!</definedName>
    <definedName name="_vena_MYPS1_MYPB2_R_FV_42f34b52efc14701904e2bd69b949ebb_11">#REF!</definedName>
    <definedName name="_vena_MYPS1_MYPB2_R_FV_42f34b52efc14701904e2bd69b949ebb_110">#REF!</definedName>
    <definedName name="_vena_MYPS1_MYPB2_R_FV_42f34b52efc14701904e2bd69b949ebb_111">#REF!</definedName>
    <definedName name="_vena_MYPS1_MYPB2_R_FV_42f34b52efc14701904e2bd69b949ebb_112">#REF!</definedName>
    <definedName name="_vena_MYPS1_MYPB2_R_FV_42f34b52efc14701904e2bd69b949ebb_113">#REF!</definedName>
    <definedName name="_vena_MYPS1_MYPB2_R_FV_42f34b52efc14701904e2bd69b949ebb_114">#REF!</definedName>
    <definedName name="_vena_MYPS1_MYPB2_R_FV_42f34b52efc14701904e2bd69b949ebb_115">#REF!</definedName>
    <definedName name="_vena_MYPS1_MYPB2_R_FV_42f34b52efc14701904e2bd69b949ebb_116">#REF!</definedName>
    <definedName name="_vena_MYPS1_MYPB2_R_FV_42f34b52efc14701904e2bd69b949ebb_117">#REF!</definedName>
    <definedName name="_vena_MYPS1_MYPB2_R_FV_42f34b52efc14701904e2bd69b949ebb_118">#REF!</definedName>
    <definedName name="_vena_MYPS1_MYPB2_R_FV_42f34b52efc14701904e2bd69b949ebb_119">#REF!</definedName>
    <definedName name="_vena_MYPS1_MYPB2_R_FV_42f34b52efc14701904e2bd69b949ebb_12">#REF!</definedName>
    <definedName name="_vena_MYPS1_MYPB2_R_FV_42f34b52efc14701904e2bd69b949ebb_120">#REF!</definedName>
    <definedName name="_vena_MYPS1_MYPB2_R_FV_42f34b52efc14701904e2bd69b949ebb_121">#REF!</definedName>
    <definedName name="_vena_MYPS1_MYPB2_R_FV_42f34b52efc14701904e2bd69b949ebb_122">#REF!</definedName>
    <definedName name="_vena_MYPS1_MYPB2_R_FV_42f34b52efc14701904e2bd69b949ebb_123">#REF!</definedName>
    <definedName name="_vena_MYPS1_MYPB2_R_FV_42f34b52efc14701904e2bd69b949ebb_124">#REF!</definedName>
    <definedName name="_vena_MYPS1_MYPB2_R_FV_42f34b52efc14701904e2bd69b949ebb_125">#REF!</definedName>
    <definedName name="_vena_MYPS1_MYPB2_R_FV_42f34b52efc14701904e2bd69b949ebb_126">#REF!</definedName>
    <definedName name="_vena_MYPS1_MYPB2_R_FV_42f34b52efc14701904e2bd69b949ebb_127">#REF!</definedName>
    <definedName name="_vena_MYPS1_MYPB2_R_FV_42f34b52efc14701904e2bd69b949ebb_128">#REF!</definedName>
    <definedName name="_vena_MYPS1_MYPB2_R_FV_42f34b52efc14701904e2bd69b949ebb_129">#REF!</definedName>
    <definedName name="_vena_MYPS1_MYPB2_R_FV_42f34b52efc14701904e2bd69b949ebb_13">#REF!</definedName>
    <definedName name="_vena_MYPS1_MYPB2_R_FV_42f34b52efc14701904e2bd69b949ebb_130">#REF!</definedName>
    <definedName name="_vena_MYPS1_MYPB2_R_FV_42f34b52efc14701904e2bd69b949ebb_131">#REF!</definedName>
    <definedName name="_vena_MYPS1_MYPB2_R_FV_42f34b52efc14701904e2bd69b949ebb_132">#REF!</definedName>
    <definedName name="_vena_MYPS1_MYPB2_R_FV_42f34b52efc14701904e2bd69b949ebb_133">#REF!</definedName>
    <definedName name="_vena_MYPS1_MYPB2_R_FV_42f34b52efc14701904e2bd69b949ebb_134">#REF!</definedName>
    <definedName name="_vena_MYPS1_MYPB2_R_FV_42f34b52efc14701904e2bd69b949ebb_135">#REF!</definedName>
    <definedName name="_vena_MYPS1_MYPB2_R_FV_42f34b52efc14701904e2bd69b949ebb_136">#REF!</definedName>
    <definedName name="_vena_MYPS1_MYPB2_R_FV_42f34b52efc14701904e2bd69b949ebb_137">#REF!</definedName>
    <definedName name="_vena_MYPS1_MYPB2_R_FV_42f34b52efc14701904e2bd69b949ebb_138">#REF!</definedName>
    <definedName name="_vena_MYPS1_MYPB2_R_FV_42f34b52efc14701904e2bd69b949ebb_139">#REF!</definedName>
    <definedName name="_vena_MYPS1_MYPB2_R_FV_42f34b52efc14701904e2bd69b949ebb_14">#REF!</definedName>
    <definedName name="_vena_MYPS1_MYPB2_R_FV_42f34b52efc14701904e2bd69b949ebb_140">#REF!</definedName>
    <definedName name="_vena_MYPS1_MYPB2_R_FV_42f34b52efc14701904e2bd69b949ebb_141">#REF!</definedName>
    <definedName name="_vena_MYPS1_MYPB2_R_FV_42f34b52efc14701904e2bd69b949ebb_142">#REF!</definedName>
    <definedName name="_vena_MYPS1_MYPB2_R_FV_42f34b52efc14701904e2bd69b949ebb_143">#REF!</definedName>
    <definedName name="_vena_MYPS1_MYPB2_R_FV_42f34b52efc14701904e2bd69b949ebb_144">#REF!</definedName>
    <definedName name="_vena_MYPS1_MYPB2_R_FV_42f34b52efc14701904e2bd69b949ebb_145">#REF!</definedName>
    <definedName name="_vena_MYPS1_MYPB2_R_FV_42f34b52efc14701904e2bd69b949ebb_146">#REF!</definedName>
    <definedName name="_vena_MYPS1_MYPB2_R_FV_42f34b52efc14701904e2bd69b949ebb_147">#REF!</definedName>
    <definedName name="_vena_MYPS1_MYPB2_R_FV_42f34b52efc14701904e2bd69b949ebb_148">#REF!</definedName>
    <definedName name="_vena_MYPS1_MYPB2_R_FV_42f34b52efc14701904e2bd69b949ebb_149">#REF!</definedName>
    <definedName name="_vena_MYPS1_MYPB2_R_FV_42f34b52efc14701904e2bd69b949ebb_15">#REF!</definedName>
    <definedName name="_vena_MYPS1_MYPB2_R_FV_42f34b52efc14701904e2bd69b949ebb_150">#REF!</definedName>
    <definedName name="_vena_MYPS1_MYPB2_R_FV_42f34b52efc14701904e2bd69b949ebb_151">#REF!</definedName>
    <definedName name="_vena_MYPS1_MYPB2_R_FV_42f34b52efc14701904e2bd69b949ebb_152">#REF!</definedName>
    <definedName name="_vena_MYPS1_MYPB2_R_FV_42f34b52efc14701904e2bd69b949ebb_153">#REF!</definedName>
    <definedName name="_vena_MYPS1_MYPB2_R_FV_42f34b52efc14701904e2bd69b949ebb_154">#REF!</definedName>
    <definedName name="_vena_MYPS1_MYPB2_R_FV_42f34b52efc14701904e2bd69b949ebb_155">#REF!</definedName>
    <definedName name="_vena_MYPS1_MYPB2_R_FV_42f34b52efc14701904e2bd69b949ebb_156">#REF!</definedName>
    <definedName name="_vena_MYPS1_MYPB2_R_FV_42f34b52efc14701904e2bd69b949ebb_157">#REF!</definedName>
    <definedName name="_vena_MYPS1_MYPB2_R_FV_42f34b52efc14701904e2bd69b949ebb_158">#REF!</definedName>
    <definedName name="_vena_MYPS1_MYPB2_R_FV_42f34b52efc14701904e2bd69b949ebb_159">#REF!</definedName>
    <definedName name="_vena_MYPS1_MYPB2_R_FV_42f34b52efc14701904e2bd69b949ebb_16">#REF!</definedName>
    <definedName name="_vena_MYPS1_MYPB2_R_FV_42f34b52efc14701904e2bd69b949ebb_160">#REF!</definedName>
    <definedName name="_vena_MYPS1_MYPB2_R_FV_42f34b52efc14701904e2bd69b949ebb_161">#REF!</definedName>
    <definedName name="_vena_MYPS1_MYPB2_R_FV_42f34b52efc14701904e2bd69b949ebb_162">#REF!</definedName>
    <definedName name="_vena_MYPS1_MYPB2_R_FV_42f34b52efc14701904e2bd69b949ebb_163">#REF!</definedName>
    <definedName name="_vena_MYPS1_MYPB2_R_FV_42f34b52efc14701904e2bd69b949ebb_164">#REF!</definedName>
    <definedName name="_vena_MYPS1_MYPB2_R_FV_42f34b52efc14701904e2bd69b949ebb_165">#REF!</definedName>
    <definedName name="_vena_MYPS1_MYPB2_R_FV_42f34b52efc14701904e2bd69b949ebb_166">#REF!</definedName>
    <definedName name="_vena_MYPS1_MYPB2_R_FV_42f34b52efc14701904e2bd69b949ebb_167">#REF!</definedName>
    <definedName name="_vena_MYPS1_MYPB2_R_FV_42f34b52efc14701904e2bd69b949ebb_168">#REF!</definedName>
    <definedName name="_vena_MYPS1_MYPB2_R_FV_42f34b52efc14701904e2bd69b949ebb_169">#REF!</definedName>
    <definedName name="_vena_MYPS1_MYPB2_R_FV_42f34b52efc14701904e2bd69b949ebb_17">#REF!</definedName>
    <definedName name="_vena_MYPS1_MYPB2_R_FV_42f34b52efc14701904e2bd69b949ebb_170">#REF!</definedName>
    <definedName name="_vena_MYPS1_MYPB2_R_FV_42f34b52efc14701904e2bd69b949ebb_171">#REF!</definedName>
    <definedName name="_vena_MYPS1_MYPB2_R_FV_42f34b52efc14701904e2bd69b949ebb_172">#REF!</definedName>
    <definedName name="_vena_MYPS1_MYPB2_R_FV_42f34b52efc14701904e2bd69b949ebb_173">#REF!</definedName>
    <definedName name="_vena_MYPS1_MYPB2_R_FV_42f34b52efc14701904e2bd69b949ebb_174">#REF!</definedName>
    <definedName name="_vena_MYPS1_MYPB2_R_FV_42f34b52efc14701904e2bd69b949ebb_175">#REF!</definedName>
    <definedName name="_vena_MYPS1_MYPB2_R_FV_42f34b52efc14701904e2bd69b949ebb_176">#REF!</definedName>
    <definedName name="_vena_MYPS1_MYPB2_R_FV_42f34b52efc14701904e2bd69b949ebb_177">#REF!</definedName>
    <definedName name="_vena_MYPS1_MYPB2_R_FV_42f34b52efc14701904e2bd69b949ebb_178">#REF!</definedName>
    <definedName name="_vena_MYPS1_MYPB2_R_FV_42f34b52efc14701904e2bd69b949ebb_179">#REF!</definedName>
    <definedName name="_vena_MYPS1_MYPB2_R_FV_42f34b52efc14701904e2bd69b949ebb_18">#REF!</definedName>
    <definedName name="_vena_MYPS1_MYPB2_R_FV_42f34b52efc14701904e2bd69b949ebb_180">#REF!</definedName>
    <definedName name="_vena_MYPS1_MYPB2_R_FV_42f34b52efc14701904e2bd69b949ebb_181">#REF!</definedName>
    <definedName name="_vena_MYPS1_MYPB2_R_FV_42f34b52efc14701904e2bd69b949ebb_182">#REF!</definedName>
    <definedName name="_vena_MYPS1_MYPB2_R_FV_42f34b52efc14701904e2bd69b949ebb_183">#REF!</definedName>
    <definedName name="_vena_MYPS1_MYPB2_R_FV_42f34b52efc14701904e2bd69b949ebb_184">#REF!</definedName>
    <definedName name="_vena_MYPS1_MYPB2_R_FV_42f34b52efc14701904e2bd69b949ebb_185">#REF!</definedName>
    <definedName name="_vena_MYPS1_MYPB2_R_FV_42f34b52efc14701904e2bd69b949ebb_186">#REF!</definedName>
    <definedName name="_vena_MYPS1_MYPB2_R_FV_42f34b52efc14701904e2bd69b949ebb_187">#REF!</definedName>
    <definedName name="_vena_MYPS1_MYPB2_R_FV_42f34b52efc14701904e2bd69b949ebb_188">#REF!</definedName>
    <definedName name="_vena_MYPS1_MYPB2_R_FV_42f34b52efc14701904e2bd69b949ebb_189">#REF!</definedName>
    <definedName name="_vena_MYPS1_MYPB2_R_FV_42f34b52efc14701904e2bd69b949ebb_19">#REF!</definedName>
    <definedName name="_vena_MYPS1_MYPB2_R_FV_42f34b52efc14701904e2bd69b949ebb_190">#REF!</definedName>
    <definedName name="_vena_MYPS1_MYPB2_R_FV_42f34b52efc14701904e2bd69b949ebb_191">#REF!</definedName>
    <definedName name="_vena_MYPS1_MYPB2_R_FV_42f34b52efc14701904e2bd69b949ebb_192">#REF!</definedName>
    <definedName name="_vena_MYPS1_MYPB2_R_FV_42f34b52efc14701904e2bd69b949ebb_193">#REF!</definedName>
    <definedName name="_vena_MYPS1_MYPB2_R_FV_42f34b52efc14701904e2bd69b949ebb_194">#REF!</definedName>
    <definedName name="_vena_MYPS1_MYPB2_R_FV_42f34b52efc14701904e2bd69b949ebb_195">#REF!</definedName>
    <definedName name="_vena_MYPS1_MYPB2_R_FV_42f34b52efc14701904e2bd69b949ebb_196">#REF!</definedName>
    <definedName name="_vena_MYPS1_MYPB2_R_FV_42f34b52efc14701904e2bd69b949ebb_197">#REF!</definedName>
    <definedName name="_vena_MYPS1_MYPB2_R_FV_42f34b52efc14701904e2bd69b949ebb_198">#REF!</definedName>
    <definedName name="_vena_MYPS1_MYPB2_R_FV_42f34b52efc14701904e2bd69b949ebb_199">#REF!</definedName>
    <definedName name="_vena_MYPS1_MYPB2_R_FV_42f34b52efc14701904e2bd69b949ebb_2">#REF!</definedName>
    <definedName name="_vena_MYPS1_MYPB2_R_FV_42f34b52efc14701904e2bd69b949ebb_20">#REF!</definedName>
    <definedName name="_vena_MYPS1_MYPB2_R_FV_42f34b52efc14701904e2bd69b949ebb_200">#REF!</definedName>
    <definedName name="_vena_MYPS1_MYPB2_R_FV_42f34b52efc14701904e2bd69b949ebb_201">#REF!</definedName>
    <definedName name="_vena_MYPS1_MYPB2_R_FV_42f34b52efc14701904e2bd69b949ebb_202">#REF!</definedName>
    <definedName name="_vena_MYPS1_MYPB2_R_FV_42f34b52efc14701904e2bd69b949ebb_203">#REF!</definedName>
    <definedName name="_vena_MYPS1_MYPB2_R_FV_42f34b52efc14701904e2bd69b949ebb_204">#REF!</definedName>
    <definedName name="_vena_MYPS1_MYPB2_R_FV_42f34b52efc14701904e2bd69b949ebb_205">#REF!</definedName>
    <definedName name="_vena_MYPS1_MYPB2_R_FV_42f34b52efc14701904e2bd69b949ebb_206">#REF!</definedName>
    <definedName name="_vena_MYPS1_MYPB2_R_FV_42f34b52efc14701904e2bd69b949ebb_207">#REF!</definedName>
    <definedName name="_vena_MYPS1_MYPB2_R_FV_42f34b52efc14701904e2bd69b949ebb_208">#REF!</definedName>
    <definedName name="_vena_MYPS1_MYPB2_R_FV_42f34b52efc14701904e2bd69b949ebb_209">#REF!</definedName>
    <definedName name="_vena_MYPS1_MYPB2_R_FV_42f34b52efc14701904e2bd69b949ebb_21">#REF!</definedName>
    <definedName name="_vena_MYPS1_MYPB2_R_FV_42f34b52efc14701904e2bd69b949ebb_210">#REF!</definedName>
    <definedName name="_vena_MYPS1_MYPB2_R_FV_42f34b52efc14701904e2bd69b949ebb_211">#REF!</definedName>
    <definedName name="_vena_MYPS1_MYPB2_R_FV_42f34b52efc14701904e2bd69b949ebb_212">#REF!</definedName>
    <definedName name="_vena_MYPS1_MYPB2_R_FV_42f34b52efc14701904e2bd69b949ebb_213">#REF!</definedName>
    <definedName name="_vena_MYPS1_MYPB2_R_FV_42f34b52efc14701904e2bd69b949ebb_214">#REF!</definedName>
    <definedName name="_vena_MYPS1_MYPB2_R_FV_42f34b52efc14701904e2bd69b949ebb_215">#REF!</definedName>
    <definedName name="_vena_MYPS1_MYPB2_R_FV_42f34b52efc14701904e2bd69b949ebb_216">#REF!</definedName>
    <definedName name="_vena_MYPS1_MYPB2_R_FV_42f34b52efc14701904e2bd69b949ebb_217">#REF!</definedName>
    <definedName name="_vena_MYPS1_MYPB2_R_FV_42f34b52efc14701904e2bd69b949ebb_218">#REF!</definedName>
    <definedName name="_vena_MYPS1_MYPB2_R_FV_42f34b52efc14701904e2bd69b949ebb_219">#REF!</definedName>
    <definedName name="_vena_MYPS1_MYPB2_R_FV_42f34b52efc14701904e2bd69b949ebb_22">#REF!</definedName>
    <definedName name="_vena_MYPS1_MYPB2_R_FV_42f34b52efc14701904e2bd69b949ebb_220">#REF!</definedName>
    <definedName name="_vena_MYPS1_MYPB2_R_FV_42f34b52efc14701904e2bd69b949ebb_221">#REF!</definedName>
    <definedName name="_vena_MYPS1_MYPB2_R_FV_42f34b52efc14701904e2bd69b949ebb_222">#REF!</definedName>
    <definedName name="_vena_MYPS1_MYPB2_R_FV_42f34b52efc14701904e2bd69b949ebb_223">#REF!</definedName>
    <definedName name="_vena_MYPS1_MYPB2_R_FV_42f34b52efc14701904e2bd69b949ebb_224">#REF!</definedName>
    <definedName name="_vena_MYPS1_MYPB2_R_FV_42f34b52efc14701904e2bd69b949ebb_225">#REF!</definedName>
    <definedName name="_vena_MYPS1_MYPB2_R_FV_42f34b52efc14701904e2bd69b949ebb_226">#REF!</definedName>
    <definedName name="_vena_MYPS1_MYPB2_R_FV_42f34b52efc14701904e2bd69b949ebb_227">#REF!</definedName>
    <definedName name="_vena_MYPS1_MYPB2_R_FV_42f34b52efc14701904e2bd69b949ebb_228">#REF!</definedName>
    <definedName name="_vena_MYPS1_MYPB2_R_FV_42f34b52efc14701904e2bd69b949ebb_229">#REF!</definedName>
    <definedName name="_vena_MYPS1_MYPB2_R_FV_42f34b52efc14701904e2bd69b949ebb_23">#REF!</definedName>
    <definedName name="_vena_MYPS1_MYPB2_R_FV_42f34b52efc14701904e2bd69b949ebb_230">#REF!</definedName>
    <definedName name="_vena_MYPS1_MYPB2_R_FV_42f34b52efc14701904e2bd69b949ebb_231">#REF!</definedName>
    <definedName name="_vena_MYPS1_MYPB2_R_FV_42f34b52efc14701904e2bd69b949ebb_232">#REF!</definedName>
    <definedName name="_vena_MYPS1_MYPB2_R_FV_42f34b52efc14701904e2bd69b949ebb_233">#REF!</definedName>
    <definedName name="_vena_MYPS1_MYPB2_R_FV_42f34b52efc14701904e2bd69b949ebb_234">#REF!</definedName>
    <definedName name="_vena_MYPS1_MYPB2_R_FV_42f34b52efc14701904e2bd69b949ebb_235">#REF!</definedName>
    <definedName name="_vena_MYPS1_MYPB2_R_FV_42f34b52efc14701904e2bd69b949ebb_236">#REF!</definedName>
    <definedName name="_vena_MYPS1_MYPB2_R_FV_42f34b52efc14701904e2bd69b949ebb_237">#REF!</definedName>
    <definedName name="_vena_MYPS1_MYPB2_R_FV_42f34b52efc14701904e2bd69b949ebb_238">#REF!</definedName>
    <definedName name="_vena_MYPS1_MYPB2_R_FV_42f34b52efc14701904e2bd69b949ebb_239">#REF!</definedName>
    <definedName name="_vena_MYPS1_MYPB2_R_FV_42f34b52efc14701904e2bd69b949ebb_24">#REF!</definedName>
    <definedName name="_vena_MYPS1_MYPB2_R_FV_42f34b52efc14701904e2bd69b949ebb_240">#REF!</definedName>
    <definedName name="_vena_MYPS1_MYPB2_R_FV_42f34b52efc14701904e2bd69b949ebb_241">#REF!</definedName>
    <definedName name="_vena_MYPS1_MYPB2_R_FV_42f34b52efc14701904e2bd69b949ebb_242">#REF!</definedName>
    <definedName name="_vena_MYPS1_MYPB2_R_FV_42f34b52efc14701904e2bd69b949ebb_243">#REF!</definedName>
    <definedName name="_vena_MYPS1_MYPB2_R_FV_42f34b52efc14701904e2bd69b949ebb_244">#REF!</definedName>
    <definedName name="_vena_MYPS1_MYPB2_R_FV_42f34b52efc14701904e2bd69b949ebb_245">#REF!</definedName>
    <definedName name="_vena_MYPS1_MYPB2_R_FV_42f34b52efc14701904e2bd69b949ebb_246">#REF!</definedName>
    <definedName name="_vena_MYPS1_MYPB2_R_FV_42f34b52efc14701904e2bd69b949ebb_247">#REF!</definedName>
    <definedName name="_vena_MYPS1_MYPB2_R_FV_42f34b52efc14701904e2bd69b949ebb_248">#REF!</definedName>
    <definedName name="_vena_MYPS1_MYPB2_R_FV_42f34b52efc14701904e2bd69b949ebb_249">#REF!</definedName>
    <definedName name="_vena_MYPS1_MYPB2_R_FV_42f34b52efc14701904e2bd69b949ebb_25">#REF!</definedName>
    <definedName name="_vena_MYPS1_MYPB2_R_FV_42f34b52efc14701904e2bd69b949ebb_250">#REF!</definedName>
    <definedName name="_vena_MYPS1_MYPB2_R_FV_42f34b52efc14701904e2bd69b949ebb_251">#REF!</definedName>
    <definedName name="_vena_MYPS1_MYPB2_R_FV_42f34b52efc14701904e2bd69b949ebb_252">#REF!</definedName>
    <definedName name="_vena_MYPS1_MYPB2_R_FV_42f34b52efc14701904e2bd69b949ebb_253">#REF!</definedName>
    <definedName name="_vena_MYPS1_MYPB2_R_FV_42f34b52efc14701904e2bd69b949ebb_254">#REF!</definedName>
    <definedName name="_vena_MYPS1_MYPB2_R_FV_42f34b52efc14701904e2bd69b949ebb_255">#REF!</definedName>
    <definedName name="_vena_MYPS1_MYPB2_R_FV_42f34b52efc14701904e2bd69b949ebb_256">#REF!</definedName>
    <definedName name="_vena_MYPS1_MYPB2_R_FV_42f34b52efc14701904e2bd69b949ebb_257">#REF!</definedName>
    <definedName name="_vena_MYPS1_MYPB2_R_FV_42f34b52efc14701904e2bd69b949ebb_258">#REF!</definedName>
    <definedName name="_vena_MYPS1_MYPB2_R_FV_42f34b52efc14701904e2bd69b949ebb_259">#REF!</definedName>
    <definedName name="_vena_MYPS1_MYPB2_R_FV_42f34b52efc14701904e2bd69b949ebb_26">#REF!</definedName>
    <definedName name="_vena_MYPS1_MYPB2_R_FV_42f34b52efc14701904e2bd69b949ebb_260">#REF!</definedName>
    <definedName name="_vena_MYPS1_MYPB2_R_FV_42f34b52efc14701904e2bd69b949ebb_261">#REF!</definedName>
    <definedName name="_vena_MYPS1_MYPB2_R_FV_42f34b52efc14701904e2bd69b949ebb_262">#REF!</definedName>
    <definedName name="_vena_MYPS1_MYPB2_R_FV_42f34b52efc14701904e2bd69b949ebb_263">#REF!</definedName>
    <definedName name="_vena_MYPS1_MYPB2_R_FV_42f34b52efc14701904e2bd69b949ebb_264">#REF!</definedName>
    <definedName name="_vena_MYPS1_MYPB2_R_FV_42f34b52efc14701904e2bd69b949ebb_265">#REF!</definedName>
    <definedName name="_vena_MYPS1_MYPB2_R_FV_42f34b52efc14701904e2bd69b949ebb_266">#REF!</definedName>
    <definedName name="_vena_MYPS1_MYPB2_R_FV_42f34b52efc14701904e2bd69b949ebb_267">#REF!</definedName>
    <definedName name="_vena_MYPS1_MYPB2_R_FV_42f34b52efc14701904e2bd69b949ebb_268">#REF!</definedName>
    <definedName name="_vena_MYPS1_MYPB2_R_FV_42f34b52efc14701904e2bd69b949ebb_269">#REF!</definedName>
    <definedName name="_vena_MYPS1_MYPB2_R_FV_42f34b52efc14701904e2bd69b949ebb_27">#REF!</definedName>
    <definedName name="_vena_MYPS1_MYPB2_R_FV_42f34b52efc14701904e2bd69b949ebb_270">#REF!</definedName>
    <definedName name="_vena_MYPS1_MYPB2_R_FV_42f34b52efc14701904e2bd69b949ebb_271">#REF!</definedName>
    <definedName name="_vena_MYPS1_MYPB2_R_FV_42f34b52efc14701904e2bd69b949ebb_272">#REF!</definedName>
    <definedName name="_vena_MYPS1_MYPB2_R_FV_42f34b52efc14701904e2bd69b949ebb_273">#REF!</definedName>
    <definedName name="_vena_MYPS1_MYPB2_R_FV_42f34b52efc14701904e2bd69b949ebb_274">#REF!</definedName>
    <definedName name="_vena_MYPS1_MYPB2_R_FV_42f34b52efc14701904e2bd69b949ebb_275">#REF!</definedName>
    <definedName name="_vena_MYPS1_MYPB2_R_FV_42f34b52efc14701904e2bd69b949ebb_276">#REF!</definedName>
    <definedName name="_vena_MYPS1_MYPB2_R_FV_42f34b52efc14701904e2bd69b949ebb_277">#REF!</definedName>
    <definedName name="_vena_MYPS1_MYPB2_R_FV_42f34b52efc14701904e2bd69b949ebb_278">#REF!</definedName>
    <definedName name="_vena_MYPS1_MYPB2_R_FV_42f34b52efc14701904e2bd69b949ebb_279">#REF!</definedName>
    <definedName name="_vena_MYPS1_MYPB2_R_FV_42f34b52efc14701904e2bd69b949ebb_28">#REF!</definedName>
    <definedName name="_vena_MYPS1_MYPB2_R_FV_42f34b52efc14701904e2bd69b949ebb_280">#REF!</definedName>
    <definedName name="_vena_MYPS1_MYPB2_R_FV_42f34b52efc14701904e2bd69b949ebb_281">#REF!</definedName>
    <definedName name="_vena_MYPS1_MYPB2_R_FV_42f34b52efc14701904e2bd69b949ebb_282">#REF!</definedName>
    <definedName name="_vena_MYPS1_MYPB2_R_FV_42f34b52efc14701904e2bd69b949ebb_283">#REF!</definedName>
    <definedName name="_vena_MYPS1_MYPB2_R_FV_42f34b52efc14701904e2bd69b949ebb_284">#REF!</definedName>
    <definedName name="_vena_MYPS1_MYPB2_R_FV_42f34b52efc14701904e2bd69b949ebb_285">#REF!</definedName>
    <definedName name="_vena_MYPS1_MYPB2_R_FV_42f34b52efc14701904e2bd69b949ebb_286">#REF!</definedName>
    <definedName name="_vena_MYPS1_MYPB2_R_FV_42f34b52efc14701904e2bd69b949ebb_287">#REF!</definedName>
    <definedName name="_vena_MYPS1_MYPB2_R_FV_42f34b52efc14701904e2bd69b949ebb_288">#REF!</definedName>
    <definedName name="_vena_MYPS1_MYPB2_R_FV_42f34b52efc14701904e2bd69b949ebb_289">#REF!</definedName>
    <definedName name="_vena_MYPS1_MYPB2_R_FV_42f34b52efc14701904e2bd69b949ebb_29">#REF!</definedName>
    <definedName name="_vena_MYPS1_MYPB2_R_FV_42f34b52efc14701904e2bd69b949ebb_290">#REF!</definedName>
    <definedName name="_vena_MYPS1_MYPB2_R_FV_42f34b52efc14701904e2bd69b949ebb_291">#REF!</definedName>
    <definedName name="_vena_MYPS1_MYPB2_R_FV_42f34b52efc14701904e2bd69b949ebb_292">#REF!</definedName>
    <definedName name="_vena_MYPS1_MYPB2_R_FV_42f34b52efc14701904e2bd69b949ebb_293">#REF!</definedName>
    <definedName name="_vena_MYPS1_MYPB2_R_FV_42f34b52efc14701904e2bd69b949ebb_294">#REF!</definedName>
    <definedName name="_vena_MYPS1_MYPB2_R_FV_42f34b52efc14701904e2bd69b949ebb_295">#REF!</definedName>
    <definedName name="_vena_MYPS1_MYPB2_R_FV_42f34b52efc14701904e2bd69b949ebb_296">#REF!</definedName>
    <definedName name="_vena_MYPS1_MYPB2_R_FV_42f34b52efc14701904e2bd69b949ebb_297">#REF!</definedName>
    <definedName name="_vena_MYPS1_MYPB2_R_FV_42f34b52efc14701904e2bd69b949ebb_298">#REF!</definedName>
    <definedName name="_vena_MYPS1_MYPB2_R_FV_42f34b52efc14701904e2bd69b949ebb_299">#REF!</definedName>
    <definedName name="_vena_MYPS1_MYPB2_R_FV_42f34b52efc14701904e2bd69b949ebb_3">#REF!</definedName>
    <definedName name="_vena_MYPS1_MYPB2_R_FV_42f34b52efc14701904e2bd69b949ebb_30">#REF!</definedName>
    <definedName name="_vena_MYPS1_MYPB2_R_FV_42f34b52efc14701904e2bd69b949ebb_300">#REF!</definedName>
    <definedName name="_vena_MYPS1_MYPB2_R_FV_42f34b52efc14701904e2bd69b949ebb_301">#REF!</definedName>
    <definedName name="_vena_MYPS1_MYPB2_R_FV_42f34b52efc14701904e2bd69b949ebb_302">#REF!</definedName>
    <definedName name="_vena_MYPS1_MYPB2_R_FV_42f34b52efc14701904e2bd69b949ebb_303">#REF!</definedName>
    <definedName name="_vena_MYPS1_MYPB2_R_FV_42f34b52efc14701904e2bd69b949ebb_304">#REF!</definedName>
    <definedName name="_vena_MYPS1_MYPB2_R_FV_42f34b52efc14701904e2bd69b949ebb_305">#REF!</definedName>
    <definedName name="_vena_MYPS1_MYPB2_R_FV_42f34b52efc14701904e2bd69b949ebb_306">#REF!</definedName>
    <definedName name="_vena_MYPS1_MYPB2_R_FV_42f34b52efc14701904e2bd69b949ebb_307">#REF!</definedName>
    <definedName name="_vena_MYPS1_MYPB2_R_FV_42f34b52efc14701904e2bd69b949ebb_308">#REF!</definedName>
    <definedName name="_vena_MYPS1_MYPB2_R_FV_42f34b52efc14701904e2bd69b949ebb_309">#REF!</definedName>
    <definedName name="_vena_MYPS1_MYPB2_R_FV_42f34b52efc14701904e2bd69b949ebb_31">#REF!</definedName>
    <definedName name="_vena_MYPS1_MYPB2_R_FV_42f34b52efc14701904e2bd69b949ebb_310">#REF!</definedName>
    <definedName name="_vena_MYPS1_MYPB2_R_FV_42f34b52efc14701904e2bd69b949ebb_311">#REF!</definedName>
    <definedName name="_vena_MYPS1_MYPB2_R_FV_42f34b52efc14701904e2bd69b949ebb_312">#REF!</definedName>
    <definedName name="_vena_MYPS1_MYPB2_R_FV_42f34b52efc14701904e2bd69b949ebb_313">#REF!</definedName>
    <definedName name="_vena_MYPS1_MYPB2_R_FV_42f34b52efc14701904e2bd69b949ebb_314">#REF!</definedName>
    <definedName name="_vena_MYPS1_MYPB2_R_FV_42f34b52efc14701904e2bd69b949ebb_315">#REF!</definedName>
    <definedName name="_vena_MYPS1_MYPB2_R_FV_42f34b52efc14701904e2bd69b949ebb_316">#REF!</definedName>
    <definedName name="_vena_MYPS1_MYPB2_R_FV_42f34b52efc14701904e2bd69b949ebb_317">#REF!</definedName>
    <definedName name="_vena_MYPS1_MYPB2_R_FV_42f34b52efc14701904e2bd69b949ebb_318">#REF!</definedName>
    <definedName name="_vena_MYPS1_MYPB2_R_FV_42f34b52efc14701904e2bd69b949ebb_319">#REF!</definedName>
    <definedName name="_vena_MYPS1_MYPB2_R_FV_42f34b52efc14701904e2bd69b949ebb_32">#REF!</definedName>
    <definedName name="_vena_MYPS1_MYPB2_R_FV_42f34b52efc14701904e2bd69b949ebb_320">#REF!</definedName>
    <definedName name="_vena_MYPS1_MYPB2_R_FV_42f34b52efc14701904e2bd69b949ebb_321">#REF!</definedName>
    <definedName name="_vena_MYPS1_MYPB2_R_FV_42f34b52efc14701904e2bd69b949ebb_322">#REF!</definedName>
    <definedName name="_vena_MYPS1_MYPB2_R_FV_42f34b52efc14701904e2bd69b949ebb_323">#REF!</definedName>
    <definedName name="_vena_MYPS1_MYPB2_R_FV_42f34b52efc14701904e2bd69b949ebb_324">#REF!</definedName>
    <definedName name="_vena_MYPS1_MYPB2_R_FV_42f34b52efc14701904e2bd69b949ebb_325">#REF!</definedName>
    <definedName name="_vena_MYPS1_MYPB2_R_FV_42f34b52efc14701904e2bd69b949ebb_326">#REF!</definedName>
    <definedName name="_vena_MYPS1_MYPB2_R_FV_42f34b52efc14701904e2bd69b949ebb_327">#REF!</definedName>
    <definedName name="_vena_MYPS1_MYPB2_R_FV_42f34b52efc14701904e2bd69b949ebb_328">#REF!</definedName>
    <definedName name="_vena_MYPS1_MYPB2_R_FV_42f34b52efc14701904e2bd69b949ebb_329">#REF!</definedName>
    <definedName name="_vena_MYPS1_MYPB2_R_FV_42f34b52efc14701904e2bd69b949ebb_33">#REF!</definedName>
    <definedName name="_vena_MYPS1_MYPB2_R_FV_42f34b52efc14701904e2bd69b949ebb_330">#REF!</definedName>
    <definedName name="_vena_MYPS1_MYPB2_R_FV_42f34b52efc14701904e2bd69b949ebb_331">#REF!</definedName>
    <definedName name="_vena_MYPS1_MYPB2_R_FV_42f34b52efc14701904e2bd69b949ebb_332">#REF!</definedName>
    <definedName name="_vena_MYPS1_MYPB2_R_FV_42f34b52efc14701904e2bd69b949ebb_333">#REF!</definedName>
    <definedName name="_vena_MYPS1_MYPB2_R_FV_42f34b52efc14701904e2bd69b949ebb_334">#REF!</definedName>
    <definedName name="_vena_MYPS1_MYPB2_R_FV_42f34b52efc14701904e2bd69b949ebb_335">#REF!</definedName>
    <definedName name="_vena_MYPS1_MYPB2_R_FV_42f34b52efc14701904e2bd69b949ebb_336">#REF!</definedName>
    <definedName name="_vena_MYPS1_MYPB2_R_FV_42f34b52efc14701904e2bd69b949ebb_337">#REF!</definedName>
    <definedName name="_vena_MYPS1_MYPB2_R_FV_42f34b52efc14701904e2bd69b949ebb_338">#REF!</definedName>
    <definedName name="_vena_MYPS1_MYPB2_R_FV_42f34b52efc14701904e2bd69b949ebb_339">#REF!</definedName>
    <definedName name="_vena_MYPS1_MYPB2_R_FV_42f34b52efc14701904e2bd69b949ebb_34">#REF!</definedName>
    <definedName name="_vena_MYPS1_MYPB2_R_FV_42f34b52efc14701904e2bd69b949ebb_340">#REF!</definedName>
    <definedName name="_vena_MYPS1_MYPB2_R_FV_42f34b52efc14701904e2bd69b949ebb_341">#REF!</definedName>
    <definedName name="_vena_MYPS1_MYPB2_R_FV_42f34b52efc14701904e2bd69b949ebb_342">#REF!</definedName>
    <definedName name="_vena_MYPS1_MYPB2_R_FV_42f34b52efc14701904e2bd69b949ebb_343">#REF!</definedName>
    <definedName name="_vena_MYPS1_MYPB2_R_FV_42f34b52efc14701904e2bd69b949ebb_344">#REF!</definedName>
    <definedName name="_vena_MYPS1_MYPB2_R_FV_42f34b52efc14701904e2bd69b949ebb_345">#REF!</definedName>
    <definedName name="_vena_MYPS1_MYPB2_R_FV_42f34b52efc14701904e2bd69b949ebb_346">#REF!</definedName>
    <definedName name="_vena_MYPS1_MYPB2_R_FV_42f34b52efc14701904e2bd69b949ebb_347">#REF!</definedName>
    <definedName name="_vena_MYPS1_MYPB2_R_FV_42f34b52efc14701904e2bd69b949ebb_348">#REF!</definedName>
    <definedName name="_vena_MYPS1_MYPB2_R_FV_42f34b52efc14701904e2bd69b949ebb_349">#REF!</definedName>
    <definedName name="_vena_MYPS1_MYPB2_R_FV_42f34b52efc14701904e2bd69b949ebb_35">#REF!</definedName>
    <definedName name="_vena_MYPS1_MYPB2_R_FV_42f34b52efc14701904e2bd69b949ebb_350">#REF!</definedName>
    <definedName name="_vena_MYPS1_MYPB2_R_FV_42f34b52efc14701904e2bd69b949ebb_351">#REF!</definedName>
    <definedName name="_vena_MYPS1_MYPB2_R_FV_42f34b52efc14701904e2bd69b949ebb_352">#REF!</definedName>
    <definedName name="_vena_MYPS1_MYPB2_R_FV_42f34b52efc14701904e2bd69b949ebb_353">#REF!</definedName>
    <definedName name="_vena_MYPS1_MYPB2_R_FV_42f34b52efc14701904e2bd69b949ebb_354">#REF!</definedName>
    <definedName name="_vena_MYPS1_MYPB2_R_FV_42f34b52efc14701904e2bd69b949ebb_355">#REF!</definedName>
    <definedName name="_vena_MYPS1_MYPB2_R_FV_42f34b52efc14701904e2bd69b949ebb_356">#REF!</definedName>
    <definedName name="_vena_MYPS1_MYPB2_R_FV_42f34b52efc14701904e2bd69b949ebb_357">#REF!</definedName>
    <definedName name="_vena_MYPS1_MYPB2_R_FV_42f34b52efc14701904e2bd69b949ebb_358">#REF!</definedName>
    <definedName name="_vena_MYPS1_MYPB2_R_FV_42f34b52efc14701904e2bd69b949ebb_359">#REF!</definedName>
    <definedName name="_vena_MYPS1_MYPB2_R_FV_42f34b52efc14701904e2bd69b949ebb_36">#REF!</definedName>
    <definedName name="_vena_MYPS1_MYPB2_R_FV_42f34b52efc14701904e2bd69b949ebb_360">#REF!</definedName>
    <definedName name="_vena_MYPS1_MYPB2_R_FV_42f34b52efc14701904e2bd69b949ebb_361">#REF!</definedName>
    <definedName name="_vena_MYPS1_MYPB2_R_FV_42f34b52efc14701904e2bd69b949ebb_362">#REF!</definedName>
    <definedName name="_vena_MYPS1_MYPB2_R_FV_42f34b52efc14701904e2bd69b949ebb_363">#REF!</definedName>
    <definedName name="_vena_MYPS1_MYPB2_R_FV_42f34b52efc14701904e2bd69b949ebb_364">#REF!</definedName>
    <definedName name="_vena_MYPS1_MYPB2_R_FV_42f34b52efc14701904e2bd69b949ebb_365">#REF!</definedName>
    <definedName name="_vena_MYPS1_MYPB2_R_FV_42f34b52efc14701904e2bd69b949ebb_366">#REF!</definedName>
    <definedName name="_vena_MYPS1_MYPB2_R_FV_42f34b52efc14701904e2bd69b949ebb_367">#REF!</definedName>
    <definedName name="_vena_MYPS1_MYPB2_R_FV_42f34b52efc14701904e2bd69b949ebb_368">#REF!</definedName>
    <definedName name="_vena_MYPS1_MYPB2_R_FV_42f34b52efc14701904e2bd69b949ebb_369">#REF!</definedName>
    <definedName name="_vena_MYPS1_MYPB2_R_FV_42f34b52efc14701904e2bd69b949ebb_37">#REF!</definedName>
    <definedName name="_vena_MYPS1_MYPB2_R_FV_42f34b52efc14701904e2bd69b949ebb_370">#REF!</definedName>
    <definedName name="_vena_MYPS1_MYPB2_R_FV_42f34b52efc14701904e2bd69b949ebb_371">#REF!</definedName>
    <definedName name="_vena_MYPS1_MYPB2_R_FV_42f34b52efc14701904e2bd69b949ebb_372">#REF!</definedName>
    <definedName name="_vena_MYPS1_MYPB2_R_FV_42f34b52efc14701904e2bd69b949ebb_373">#REF!</definedName>
    <definedName name="_vena_MYPS1_MYPB2_R_FV_42f34b52efc14701904e2bd69b949ebb_374">#REF!</definedName>
    <definedName name="_vena_MYPS1_MYPB2_R_FV_42f34b52efc14701904e2bd69b949ebb_375">#REF!</definedName>
    <definedName name="_vena_MYPS1_MYPB2_R_FV_42f34b52efc14701904e2bd69b949ebb_376">#REF!</definedName>
    <definedName name="_vena_MYPS1_MYPB2_R_FV_42f34b52efc14701904e2bd69b949ebb_377">#REF!</definedName>
    <definedName name="_vena_MYPS1_MYPB2_R_FV_42f34b52efc14701904e2bd69b949ebb_378">#REF!</definedName>
    <definedName name="_vena_MYPS1_MYPB2_R_FV_42f34b52efc14701904e2bd69b949ebb_379">#REF!</definedName>
    <definedName name="_vena_MYPS1_MYPB2_R_FV_42f34b52efc14701904e2bd69b949ebb_38">#REF!</definedName>
    <definedName name="_vena_MYPS1_MYPB2_R_FV_42f34b52efc14701904e2bd69b949ebb_380">#REF!</definedName>
    <definedName name="_vena_MYPS1_MYPB2_R_FV_42f34b52efc14701904e2bd69b949ebb_381">#REF!</definedName>
    <definedName name="_vena_MYPS1_MYPB2_R_FV_42f34b52efc14701904e2bd69b949ebb_382">#REF!</definedName>
    <definedName name="_vena_MYPS1_MYPB2_R_FV_42f34b52efc14701904e2bd69b949ebb_383">#REF!</definedName>
    <definedName name="_vena_MYPS1_MYPB2_R_FV_42f34b52efc14701904e2bd69b949ebb_384">#REF!</definedName>
    <definedName name="_vena_MYPS1_MYPB2_R_FV_42f34b52efc14701904e2bd69b949ebb_385">#REF!</definedName>
    <definedName name="_vena_MYPS1_MYPB2_R_FV_42f34b52efc14701904e2bd69b949ebb_386">#REF!</definedName>
    <definedName name="_vena_MYPS1_MYPB2_R_FV_42f34b52efc14701904e2bd69b949ebb_387">#REF!</definedName>
    <definedName name="_vena_MYPS1_MYPB2_R_FV_42f34b52efc14701904e2bd69b949ebb_388">#REF!</definedName>
    <definedName name="_vena_MYPS1_MYPB2_R_FV_42f34b52efc14701904e2bd69b949ebb_389">#REF!</definedName>
    <definedName name="_vena_MYPS1_MYPB2_R_FV_42f34b52efc14701904e2bd69b949ebb_39">#REF!</definedName>
    <definedName name="_vena_MYPS1_MYPB2_R_FV_42f34b52efc14701904e2bd69b949ebb_390">#REF!</definedName>
    <definedName name="_vena_MYPS1_MYPB2_R_FV_42f34b52efc14701904e2bd69b949ebb_391">#REF!</definedName>
    <definedName name="_vena_MYPS1_MYPB2_R_FV_42f34b52efc14701904e2bd69b949ebb_392">#REF!</definedName>
    <definedName name="_vena_MYPS1_MYPB2_R_FV_42f34b52efc14701904e2bd69b949ebb_393">#REF!</definedName>
    <definedName name="_vena_MYPS1_MYPB2_R_FV_42f34b52efc14701904e2bd69b949ebb_394">#REF!</definedName>
    <definedName name="_vena_MYPS1_MYPB2_R_FV_42f34b52efc14701904e2bd69b949ebb_395">#REF!</definedName>
    <definedName name="_vena_MYPS1_MYPB2_R_FV_42f34b52efc14701904e2bd69b949ebb_396">#REF!</definedName>
    <definedName name="_vena_MYPS1_MYPB2_R_FV_42f34b52efc14701904e2bd69b949ebb_397">#REF!</definedName>
    <definedName name="_vena_MYPS1_MYPB2_R_FV_42f34b52efc14701904e2bd69b949ebb_398">#REF!</definedName>
    <definedName name="_vena_MYPS1_MYPB2_R_FV_42f34b52efc14701904e2bd69b949ebb_399">#REF!</definedName>
    <definedName name="_vena_MYPS1_MYPB2_R_FV_42f34b52efc14701904e2bd69b949ebb_4">#REF!</definedName>
    <definedName name="_vena_MYPS1_MYPB2_R_FV_42f34b52efc14701904e2bd69b949ebb_40">#REF!</definedName>
    <definedName name="_vena_MYPS1_MYPB2_R_FV_42f34b52efc14701904e2bd69b949ebb_400">#REF!</definedName>
    <definedName name="_vena_MYPS1_MYPB2_R_FV_42f34b52efc14701904e2bd69b949ebb_401">#REF!</definedName>
    <definedName name="_vena_MYPS1_MYPB2_R_FV_42f34b52efc14701904e2bd69b949ebb_402">#REF!</definedName>
    <definedName name="_vena_MYPS1_MYPB2_R_FV_42f34b52efc14701904e2bd69b949ebb_403">#REF!</definedName>
    <definedName name="_vena_MYPS1_MYPB2_R_FV_42f34b52efc14701904e2bd69b949ebb_404">#REF!</definedName>
    <definedName name="_vena_MYPS1_MYPB2_R_FV_42f34b52efc14701904e2bd69b949ebb_405">#REF!</definedName>
    <definedName name="_vena_MYPS1_MYPB2_R_FV_42f34b52efc14701904e2bd69b949ebb_406">#REF!</definedName>
    <definedName name="_vena_MYPS1_MYPB2_R_FV_42f34b52efc14701904e2bd69b949ebb_407">#REF!</definedName>
    <definedName name="_vena_MYPS1_MYPB2_R_FV_42f34b52efc14701904e2bd69b949ebb_408">#REF!</definedName>
    <definedName name="_vena_MYPS1_MYPB2_R_FV_42f34b52efc14701904e2bd69b949ebb_409">#REF!</definedName>
    <definedName name="_vena_MYPS1_MYPB2_R_FV_42f34b52efc14701904e2bd69b949ebb_41">#REF!</definedName>
    <definedName name="_vena_MYPS1_MYPB2_R_FV_42f34b52efc14701904e2bd69b949ebb_410">#REF!</definedName>
    <definedName name="_vena_MYPS1_MYPB2_R_FV_42f34b52efc14701904e2bd69b949ebb_411">#REF!</definedName>
    <definedName name="_vena_MYPS1_MYPB2_R_FV_42f34b52efc14701904e2bd69b949ebb_412">#REF!</definedName>
    <definedName name="_vena_MYPS1_MYPB2_R_FV_42f34b52efc14701904e2bd69b949ebb_413">#REF!</definedName>
    <definedName name="_vena_MYPS1_MYPB2_R_FV_42f34b52efc14701904e2bd69b949ebb_414">#REF!</definedName>
    <definedName name="_vena_MYPS1_MYPB2_R_FV_42f34b52efc14701904e2bd69b949ebb_415">#REF!</definedName>
    <definedName name="_vena_MYPS1_MYPB2_R_FV_42f34b52efc14701904e2bd69b949ebb_416">#REF!</definedName>
    <definedName name="_vena_MYPS1_MYPB2_R_FV_42f34b52efc14701904e2bd69b949ebb_417">#REF!</definedName>
    <definedName name="_vena_MYPS1_MYPB2_R_FV_42f34b52efc14701904e2bd69b949ebb_418">#REF!</definedName>
    <definedName name="_vena_MYPS1_MYPB2_R_FV_42f34b52efc14701904e2bd69b949ebb_419">#REF!</definedName>
    <definedName name="_vena_MYPS1_MYPB2_R_FV_42f34b52efc14701904e2bd69b949ebb_42">#REF!</definedName>
    <definedName name="_vena_MYPS1_MYPB2_R_FV_42f34b52efc14701904e2bd69b949ebb_420">#REF!</definedName>
    <definedName name="_vena_MYPS1_MYPB2_R_FV_42f34b52efc14701904e2bd69b949ebb_421">#REF!</definedName>
    <definedName name="_vena_MYPS1_MYPB2_R_FV_42f34b52efc14701904e2bd69b949ebb_422">#REF!</definedName>
    <definedName name="_vena_MYPS1_MYPB2_R_FV_42f34b52efc14701904e2bd69b949ebb_423">#REF!</definedName>
    <definedName name="_vena_MYPS1_MYPB2_R_FV_42f34b52efc14701904e2bd69b949ebb_424">#REF!</definedName>
    <definedName name="_vena_MYPS1_MYPB2_R_FV_42f34b52efc14701904e2bd69b949ebb_425">#REF!</definedName>
    <definedName name="_vena_MYPS1_MYPB2_R_FV_42f34b52efc14701904e2bd69b949ebb_426">#REF!</definedName>
    <definedName name="_vena_MYPS1_MYPB2_R_FV_42f34b52efc14701904e2bd69b949ebb_427">#REF!</definedName>
    <definedName name="_vena_MYPS1_MYPB2_R_FV_42f34b52efc14701904e2bd69b949ebb_428">#REF!</definedName>
    <definedName name="_vena_MYPS1_MYPB2_R_FV_42f34b52efc14701904e2bd69b949ebb_429">#REF!</definedName>
    <definedName name="_vena_MYPS1_MYPB2_R_FV_42f34b52efc14701904e2bd69b949ebb_43">#REF!</definedName>
    <definedName name="_vena_MYPS1_MYPB2_R_FV_42f34b52efc14701904e2bd69b949ebb_430">#REF!</definedName>
    <definedName name="_vena_MYPS1_MYPB2_R_FV_42f34b52efc14701904e2bd69b949ebb_431">#REF!</definedName>
    <definedName name="_vena_MYPS1_MYPB2_R_FV_42f34b52efc14701904e2bd69b949ebb_432">#REF!</definedName>
    <definedName name="_vena_MYPS1_MYPB2_R_FV_42f34b52efc14701904e2bd69b949ebb_433">#REF!</definedName>
    <definedName name="_vena_MYPS1_MYPB2_R_FV_42f34b52efc14701904e2bd69b949ebb_434">#REF!</definedName>
    <definedName name="_vena_MYPS1_MYPB2_R_FV_42f34b52efc14701904e2bd69b949ebb_435">#REF!</definedName>
    <definedName name="_vena_MYPS1_MYPB2_R_FV_42f34b52efc14701904e2bd69b949ebb_436">#REF!</definedName>
    <definedName name="_vena_MYPS1_MYPB2_R_FV_42f34b52efc14701904e2bd69b949ebb_437">#REF!</definedName>
    <definedName name="_vena_MYPS1_MYPB2_R_FV_42f34b52efc14701904e2bd69b949ebb_438">#REF!</definedName>
    <definedName name="_vena_MYPS1_MYPB2_R_FV_42f34b52efc14701904e2bd69b949ebb_439">#REF!</definedName>
    <definedName name="_vena_MYPS1_MYPB2_R_FV_42f34b52efc14701904e2bd69b949ebb_44">#REF!</definedName>
    <definedName name="_vena_MYPS1_MYPB2_R_FV_42f34b52efc14701904e2bd69b949ebb_440">#REF!</definedName>
    <definedName name="_vena_MYPS1_MYPB2_R_FV_42f34b52efc14701904e2bd69b949ebb_441">#REF!</definedName>
    <definedName name="_vena_MYPS1_MYPB2_R_FV_42f34b52efc14701904e2bd69b949ebb_442">#REF!</definedName>
    <definedName name="_vena_MYPS1_MYPB2_R_FV_42f34b52efc14701904e2bd69b949ebb_443">#REF!</definedName>
    <definedName name="_vena_MYPS1_MYPB2_R_FV_42f34b52efc14701904e2bd69b949ebb_444">#REF!</definedName>
    <definedName name="_vena_MYPS1_MYPB2_R_FV_42f34b52efc14701904e2bd69b949ebb_445">#REF!</definedName>
    <definedName name="_vena_MYPS1_MYPB2_R_FV_42f34b52efc14701904e2bd69b949ebb_446">#REF!</definedName>
    <definedName name="_vena_MYPS1_MYPB2_R_FV_42f34b52efc14701904e2bd69b949ebb_447">#REF!</definedName>
    <definedName name="_vena_MYPS1_MYPB2_R_FV_42f34b52efc14701904e2bd69b949ebb_448">#REF!</definedName>
    <definedName name="_vena_MYPS1_MYPB2_R_FV_42f34b52efc14701904e2bd69b949ebb_449">#REF!</definedName>
    <definedName name="_vena_MYPS1_MYPB2_R_FV_42f34b52efc14701904e2bd69b949ebb_45">#REF!</definedName>
    <definedName name="_vena_MYPS1_MYPB2_R_FV_42f34b52efc14701904e2bd69b949ebb_450">#REF!</definedName>
    <definedName name="_vena_MYPS1_MYPB2_R_FV_42f34b52efc14701904e2bd69b949ebb_451">#REF!</definedName>
    <definedName name="_vena_MYPS1_MYPB2_R_FV_42f34b52efc14701904e2bd69b949ebb_452">#REF!</definedName>
    <definedName name="_vena_MYPS1_MYPB2_R_FV_42f34b52efc14701904e2bd69b949ebb_453">#REF!</definedName>
    <definedName name="_vena_MYPS1_MYPB2_R_FV_42f34b52efc14701904e2bd69b949ebb_454">#REF!</definedName>
    <definedName name="_vena_MYPS1_MYPB2_R_FV_42f34b52efc14701904e2bd69b949ebb_455">#REF!</definedName>
    <definedName name="_vena_MYPS1_MYPB2_R_FV_42f34b52efc14701904e2bd69b949ebb_456">#REF!</definedName>
    <definedName name="_vena_MYPS1_MYPB2_R_FV_42f34b52efc14701904e2bd69b949ebb_457">#REF!</definedName>
    <definedName name="_vena_MYPS1_MYPB2_R_FV_42f34b52efc14701904e2bd69b949ebb_458">#REF!</definedName>
    <definedName name="_vena_MYPS1_MYPB2_R_FV_42f34b52efc14701904e2bd69b949ebb_459">#REF!</definedName>
    <definedName name="_vena_MYPS1_MYPB2_R_FV_42f34b52efc14701904e2bd69b949ebb_46">#REF!</definedName>
    <definedName name="_vena_MYPS1_MYPB2_R_FV_42f34b52efc14701904e2bd69b949ebb_460">#REF!</definedName>
    <definedName name="_vena_MYPS1_MYPB2_R_FV_42f34b52efc14701904e2bd69b949ebb_461">#REF!</definedName>
    <definedName name="_vena_MYPS1_MYPB2_R_FV_42f34b52efc14701904e2bd69b949ebb_462">#REF!</definedName>
    <definedName name="_vena_MYPS1_MYPB2_R_FV_42f34b52efc14701904e2bd69b949ebb_463">#REF!</definedName>
    <definedName name="_vena_MYPS1_MYPB2_R_FV_42f34b52efc14701904e2bd69b949ebb_464">#REF!</definedName>
    <definedName name="_vena_MYPS1_MYPB2_R_FV_42f34b52efc14701904e2bd69b949ebb_465">#REF!</definedName>
    <definedName name="_vena_MYPS1_MYPB2_R_FV_42f34b52efc14701904e2bd69b949ebb_466">#REF!</definedName>
    <definedName name="_vena_MYPS1_MYPB2_R_FV_42f34b52efc14701904e2bd69b949ebb_467">#REF!</definedName>
    <definedName name="_vena_MYPS1_MYPB2_R_FV_42f34b52efc14701904e2bd69b949ebb_468">#REF!</definedName>
    <definedName name="_vena_MYPS1_MYPB2_R_FV_42f34b52efc14701904e2bd69b949ebb_469">#REF!</definedName>
    <definedName name="_vena_MYPS1_MYPB2_R_FV_42f34b52efc14701904e2bd69b949ebb_47">#REF!</definedName>
    <definedName name="_vena_MYPS1_MYPB2_R_FV_42f34b52efc14701904e2bd69b949ebb_470">#REF!</definedName>
    <definedName name="_vena_MYPS1_MYPB2_R_FV_42f34b52efc14701904e2bd69b949ebb_471">#REF!</definedName>
    <definedName name="_vena_MYPS1_MYPB2_R_FV_42f34b52efc14701904e2bd69b949ebb_472">#REF!</definedName>
    <definedName name="_vena_MYPS1_MYPB2_R_FV_42f34b52efc14701904e2bd69b949ebb_473">#REF!</definedName>
    <definedName name="_vena_MYPS1_MYPB2_R_FV_42f34b52efc14701904e2bd69b949ebb_474">#REF!</definedName>
    <definedName name="_vena_MYPS1_MYPB2_R_FV_42f34b52efc14701904e2bd69b949ebb_475">#REF!</definedName>
    <definedName name="_vena_MYPS1_MYPB2_R_FV_42f34b52efc14701904e2bd69b949ebb_476">#REF!</definedName>
    <definedName name="_vena_MYPS1_MYPB2_R_FV_42f34b52efc14701904e2bd69b949ebb_477">#REF!</definedName>
    <definedName name="_vena_MYPS1_MYPB2_R_FV_42f34b52efc14701904e2bd69b949ebb_478">#REF!</definedName>
    <definedName name="_vena_MYPS1_MYPB2_R_FV_42f34b52efc14701904e2bd69b949ebb_479">#REF!</definedName>
    <definedName name="_vena_MYPS1_MYPB2_R_FV_42f34b52efc14701904e2bd69b949ebb_48">#REF!</definedName>
    <definedName name="_vena_MYPS1_MYPB2_R_FV_42f34b52efc14701904e2bd69b949ebb_480">#REF!</definedName>
    <definedName name="_vena_MYPS1_MYPB2_R_FV_42f34b52efc14701904e2bd69b949ebb_481">#REF!</definedName>
    <definedName name="_vena_MYPS1_MYPB2_R_FV_42f34b52efc14701904e2bd69b949ebb_49">#REF!</definedName>
    <definedName name="_vena_MYPS1_MYPB2_R_FV_42f34b52efc14701904e2bd69b949ebb_5">#REF!</definedName>
    <definedName name="_vena_MYPS1_MYPB2_R_FV_42f34b52efc14701904e2bd69b949ebb_50">#REF!</definedName>
    <definedName name="_vena_MYPS1_MYPB2_R_FV_42f34b52efc14701904e2bd69b949ebb_51">#REF!</definedName>
    <definedName name="_vena_MYPS1_MYPB2_R_FV_42f34b52efc14701904e2bd69b949ebb_52">#REF!</definedName>
    <definedName name="_vena_MYPS1_MYPB2_R_FV_42f34b52efc14701904e2bd69b949ebb_53">#REF!</definedName>
    <definedName name="_vena_MYPS1_MYPB2_R_FV_42f34b52efc14701904e2bd69b949ebb_54">#REF!</definedName>
    <definedName name="_vena_MYPS1_MYPB2_R_FV_42f34b52efc14701904e2bd69b949ebb_55">#REF!</definedName>
    <definedName name="_vena_MYPS1_MYPB2_R_FV_42f34b52efc14701904e2bd69b949ebb_56">#REF!</definedName>
    <definedName name="_vena_MYPS1_MYPB2_R_FV_42f34b52efc14701904e2bd69b949ebb_57">#REF!</definedName>
    <definedName name="_vena_MYPS1_MYPB2_R_FV_42f34b52efc14701904e2bd69b949ebb_58">#REF!</definedName>
    <definedName name="_vena_MYPS1_MYPB2_R_FV_42f34b52efc14701904e2bd69b949ebb_59">#REF!</definedName>
    <definedName name="_vena_MYPS1_MYPB2_R_FV_42f34b52efc14701904e2bd69b949ebb_6">#REF!</definedName>
    <definedName name="_vena_MYPS1_MYPB2_R_FV_42f34b52efc14701904e2bd69b949ebb_60">#REF!</definedName>
    <definedName name="_vena_MYPS1_MYPB2_R_FV_42f34b52efc14701904e2bd69b949ebb_61">#REF!</definedName>
    <definedName name="_vena_MYPS1_MYPB2_R_FV_42f34b52efc14701904e2bd69b949ebb_62">#REF!</definedName>
    <definedName name="_vena_MYPS1_MYPB2_R_FV_42f34b52efc14701904e2bd69b949ebb_63">#REF!</definedName>
    <definedName name="_vena_MYPS1_MYPB2_R_FV_42f34b52efc14701904e2bd69b949ebb_64">#REF!</definedName>
    <definedName name="_vena_MYPS1_MYPB2_R_FV_42f34b52efc14701904e2bd69b949ebb_65">#REF!</definedName>
    <definedName name="_vena_MYPS1_MYPB2_R_FV_42f34b52efc14701904e2bd69b949ebb_66">#REF!</definedName>
    <definedName name="_vena_MYPS1_MYPB2_R_FV_42f34b52efc14701904e2bd69b949ebb_67">#REF!</definedName>
    <definedName name="_vena_MYPS1_MYPB2_R_FV_42f34b52efc14701904e2bd69b949ebb_68">#REF!</definedName>
    <definedName name="_vena_MYPS1_MYPB2_R_FV_42f34b52efc14701904e2bd69b949ebb_69">#REF!</definedName>
    <definedName name="_vena_MYPS1_MYPB2_R_FV_42f34b52efc14701904e2bd69b949ebb_7">#REF!</definedName>
    <definedName name="_vena_MYPS1_MYPB2_R_FV_42f34b52efc14701904e2bd69b949ebb_70">#REF!</definedName>
    <definedName name="_vena_MYPS1_MYPB2_R_FV_42f34b52efc14701904e2bd69b949ebb_71">#REF!</definedName>
    <definedName name="_vena_MYPS1_MYPB2_R_FV_42f34b52efc14701904e2bd69b949ebb_72">#REF!</definedName>
    <definedName name="_vena_MYPS1_MYPB2_R_FV_42f34b52efc14701904e2bd69b949ebb_73">#REF!</definedName>
    <definedName name="_vena_MYPS1_MYPB2_R_FV_42f34b52efc14701904e2bd69b949ebb_74">#REF!</definedName>
    <definedName name="_vena_MYPS1_MYPB2_R_FV_42f34b52efc14701904e2bd69b949ebb_75">#REF!</definedName>
    <definedName name="_vena_MYPS1_MYPB2_R_FV_42f34b52efc14701904e2bd69b949ebb_76">#REF!</definedName>
    <definedName name="_vena_MYPS1_MYPB2_R_FV_42f34b52efc14701904e2bd69b949ebb_77">#REF!</definedName>
    <definedName name="_vena_MYPS1_MYPB2_R_FV_42f34b52efc14701904e2bd69b949ebb_78">#REF!</definedName>
    <definedName name="_vena_MYPS1_MYPB2_R_FV_42f34b52efc14701904e2bd69b949ebb_79">#REF!</definedName>
    <definedName name="_vena_MYPS1_MYPB2_R_FV_42f34b52efc14701904e2bd69b949ebb_8">#REF!</definedName>
    <definedName name="_vena_MYPS1_MYPB2_R_FV_42f34b52efc14701904e2bd69b949ebb_80">#REF!</definedName>
    <definedName name="_vena_MYPS1_MYPB2_R_FV_42f34b52efc14701904e2bd69b949ebb_81">#REF!</definedName>
    <definedName name="_vena_MYPS1_MYPB2_R_FV_42f34b52efc14701904e2bd69b949ebb_82">#REF!</definedName>
    <definedName name="_vena_MYPS1_MYPB2_R_FV_42f34b52efc14701904e2bd69b949ebb_83">#REF!</definedName>
    <definedName name="_vena_MYPS1_MYPB2_R_FV_42f34b52efc14701904e2bd69b949ebb_84">#REF!</definedName>
    <definedName name="_vena_MYPS1_MYPB2_R_FV_42f34b52efc14701904e2bd69b949ebb_85">#REF!</definedName>
    <definedName name="_vena_MYPS1_MYPB2_R_FV_42f34b52efc14701904e2bd69b949ebb_86">#REF!</definedName>
    <definedName name="_vena_MYPS1_MYPB2_R_FV_42f34b52efc14701904e2bd69b949ebb_87">#REF!</definedName>
    <definedName name="_vena_MYPS1_MYPB2_R_FV_42f34b52efc14701904e2bd69b949ebb_88">#REF!</definedName>
    <definedName name="_vena_MYPS1_MYPB2_R_FV_42f34b52efc14701904e2bd69b949ebb_89">#REF!</definedName>
    <definedName name="_vena_MYPS1_MYPB2_R_FV_42f34b52efc14701904e2bd69b949ebb_9">#REF!</definedName>
    <definedName name="_vena_MYPS1_MYPB2_R_FV_42f34b52efc14701904e2bd69b949ebb_90">#REF!</definedName>
    <definedName name="_vena_MYPS1_MYPB2_R_FV_42f34b52efc14701904e2bd69b949ebb_91">#REF!</definedName>
    <definedName name="_vena_MYPS1_MYPB2_R_FV_42f34b52efc14701904e2bd69b949ebb_92">#REF!</definedName>
    <definedName name="_vena_MYPS1_MYPB2_R_FV_42f34b52efc14701904e2bd69b949ebb_93">#REF!</definedName>
    <definedName name="_vena_MYPS1_MYPB2_R_FV_42f34b52efc14701904e2bd69b949ebb_94">#REF!</definedName>
    <definedName name="_vena_MYPS1_MYPB2_R_FV_42f34b52efc14701904e2bd69b949ebb_95">#REF!</definedName>
    <definedName name="_vena_MYPS1_MYPB2_R_FV_42f34b52efc14701904e2bd69b949ebb_96">#REF!</definedName>
    <definedName name="_vena_MYPS1_MYPB2_R_FV_42f34b52efc14701904e2bd69b949ebb_97">#REF!</definedName>
    <definedName name="_vena_MYPS1_MYPB2_R_FV_42f34b52efc14701904e2bd69b949ebb_98">#REF!</definedName>
    <definedName name="_vena_MYPS1_MYPB2_R_FV_42f34b52efc14701904e2bd69b949ebb_99">#REF!</definedName>
    <definedName name="_vena_MYPS1_MYPB3_C_8_431662182280724481">#REF!</definedName>
    <definedName name="_vena_MYPS1_MYPB3_C_8_551651297725251586">#REF!</definedName>
    <definedName name="_vena_MYPS1_MYPB3_C_8_632005313629519872">#REF!</definedName>
    <definedName name="_vena_MYPS1_MYPB3_C_FV_56493ffece784c5db4cd0fd3b40a250d">#REF!</definedName>
    <definedName name="_vena_MYPS1_MYPB3_C_FV_e1c3a244dc3d4f149ecdf7d748811086">#REF!</definedName>
    <definedName name="_vena_MYPS1_MYPB3_C_FV_e3545e3dcc52420a84dcdae3a23a4597">#REF!</definedName>
    <definedName name="_vena_MYPS1_MYPB3_R_5_487048143000043520">#REF!</definedName>
    <definedName name="_vena_MYPS1_MYPB3_R_5_487048162646294528">#REF!</definedName>
    <definedName name="_vena_MYPS1_MYPB3_R_5_551651279656189954">#REF!</definedName>
    <definedName name="_vena_MYPS1_MYPB3_R_5_551651279983345666">#REF!</definedName>
    <definedName name="_vena_MYPS1_MYPB3_R_5_632005311788220416">#REF!</definedName>
    <definedName name="_vena_MYPS1_MYPB3_R_5_632005312266371076">#REF!</definedName>
    <definedName name="_vena_MYPS1_MYPB4_C_8_551651297771388928">#REF!</definedName>
    <definedName name="_vena_MYPS1_MYPB4_C_8_551651297771388928_1">#REF!</definedName>
    <definedName name="_vena_MYPS1_MYPB4_C_8_551651297771388928_2">#REF!</definedName>
    <definedName name="_vena_MYPS1_MYPB4_C_8_551651297771388928_3">#REF!</definedName>
    <definedName name="_vena_MYPS1_MYPB4_C_8_551651297771388928_4">#REF!</definedName>
    <definedName name="_vena_MYPS1_MYPB4_C_8_632005313608548353">#REF!</definedName>
    <definedName name="_vena_MYPS1_MYPB4_C_8_632005313608548353_1">#REF!</definedName>
    <definedName name="_vena_MYPS1_MYPB4_C_8_632005313608548353_2">#REF!</definedName>
    <definedName name="_vena_MYPS1_MYPB4_C_8_632005313608548353_3">#REF!</definedName>
    <definedName name="_vena_MYPS1_MYPB4_C_8_632005313608548353_4">#REF!</definedName>
    <definedName name="_vena_MYPS1_MYPB4_C_FV_56493ffece784c5db4cd0fd3b40a250d_1">#REF!</definedName>
    <definedName name="_vena_MYPS1_MYPB4_C_FV_56493ffece784c5db4cd0fd3b40a250d_2">#REF!</definedName>
    <definedName name="_vena_MYPS1_MYPB4_C_FV_56493ffece784c5db4cd0fd3b40a250d_3">#REF!</definedName>
    <definedName name="_vena_MYPS1_MYPB4_C_FV_56493ffece784c5db4cd0fd3b40a250d_4">#REF!</definedName>
    <definedName name="_vena_MYPS1_MYPB4_C_FV_56493ffece784c5db4cd0fd3b40a250d_5">#REF!</definedName>
    <definedName name="_vena_MYPS1_MYPB4_C_FV_e1c3a244dc3d4f149ecdf7d748811086">#REF!</definedName>
    <definedName name="_vena_MYPS1_MYPB4_C_FV_e1c3a244dc3d4f149ecdf7d748811086_1">#REF!</definedName>
    <definedName name="_vena_MYPS1_MYPB4_C_FV_e1c3a244dc3d4f149ecdf7d748811086_2">#REF!</definedName>
    <definedName name="_vena_MYPS1_MYPB4_C_FV_e1c3a244dc3d4f149ecdf7d748811086_3">#REF!</definedName>
    <definedName name="_vena_MYPS1_MYPB4_C_FV_e1c3a244dc3d4f149ecdf7d748811086_4">#REF!</definedName>
    <definedName name="_vena_MYPS1_MYPB4_C_FV_e3545e3dcc52420a84dcdae3a23a4597">#REF!</definedName>
    <definedName name="_vena_MYPS1_MYPB4_C_FV_e3545e3dcc52420a84dcdae3a23a4597_1">#REF!</definedName>
    <definedName name="_vena_MYPS1_MYPB4_C_FV_e3545e3dcc52420a84dcdae3a23a4597_2">#REF!</definedName>
    <definedName name="_vena_MYPS1_MYPB4_C_FV_e3545e3dcc52420a84dcdae3a23a4597_3">#REF!</definedName>
    <definedName name="_vena_MYPS1_MYPB4_C_FV_e3545e3dcc52420a84dcdae3a23a4597_4">#REF!</definedName>
    <definedName name="_vena_MYPS1_MYPB4_R_5_551651283946962944">#REF!</definedName>
    <definedName name="_vena_MYPS1_MYPB4_R_5_632005311750471682">#REF!</definedName>
    <definedName name="_vena_MYPS1_P_3_431662182406553601" comment="*">#REF!</definedName>
    <definedName name="_vena_MYPS1_P_3_551651274421698560" comment="*">#REF!</definedName>
    <definedName name="_vena_MYPS1_P_3_632005310022418436" comment="*">#REF!</definedName>
    <definedName name="_vena_MYPS1_P_6_431662182054232065" comment="*">#REF!</definedName>
    <definedName name="_vena_MYPS1_P_6_551651287818305538" comment="*">#REF!</definedName>
    <definedName name="_vena_MYPS1_P_6_632005313063288832" comment="*">#REF!</definedName>
    <definedName name="_vena_MYPS1_P_7_431662179290185729" comment="*">#REF!</definedName>
    <definedName name="_vena_MYPS1_P_7_551651294977982466" comment="*">#REF!</definedName>
    <definedName name="_vena_MYPS1_P_7_632005313256226820" comment="*">#REF!</definedName>
    <definedName name="_vena_MYPS1_P_FV_56493ffece784c5db4cd0fd3b40a250d" comment="*">#REF!</definedName>
    <definedName name="_vena_MYPS2_MYPB3_C_8_632005313629519872">#REF!</definedName>
    <definedName name="_vena_MYPS2_MYPB3_C_8_632005313629519872_1">#REF!</definedName>
    <definedName name="_vena_MYPS2_MYPB3_C_8_632005313629519872_2">#REF!</definedName>
    <definedName name="_vena_MYPS2_MYPB3_C_8_632005313629519872_3">#REF!</definedName>
    <definedName name="_vena_MYPS2_MYPB3_C_8_632005313629519872_4">#REF!</definedName>
    <definedName name="_vena_MYPS2_MYPB3_C_8_632005313629519872_5">#REF!</definedName>
    <definedName name="_vena_MYPS2_MYPB3_C_8_632005313629519872_6">#REF!</definedName>
    <definedName name="_vena_MYPS2_MYPB3_C_8_632005313629519872_7">#REF!</definedName>
    <definedName name="_vena_MYPS2_MYPB3_C_FV_e1c3a244dc3d4f149ecdf7d748811086">#REF!</definedName>
    <definedName name="_vena_MYPS2_MYPB3_C_FV_e1c3a244dc3d4f149ecdf7d748811086_1">#REF!</definedName>
    <definedName name="_vena_MYPS2_MYPB3_C_FV_e1c3a244dc3d4f149ecdf7d748811086_2">#REF!</definedName>
    <definedName name="_vena_MYPS2_MYPB3_C_FV_e1c3a244dc3d4f149ecdf7d748811086_3">#REF!</definedName>
    <definedName name="_vena_MYPS2_MYPB3_C_FV_e1c3a244dc3d4f149ecdf7d748811086_4">#REF!</definedName>
    <definedName name="_vena_MYPS2_MYPB3_C_FV_e1c3a244dc3d4f149ecdf7d748811086_5">#REF!</definedName>
    <definedName name="_vena_MYPS2_MYPB3_C_FV_e1c3a244dc3d4f149ecdf7d748811086_6">#REF!</definedName>
    <definedName name="_vena_MYPS2_MYPB3_C_FV_e1c3a244dc3d4f149ecdf7d748811086_7">#REF!</definedName>
    <definedName name="_vena_MYPS2_MYPB3_R_5_632005310852890630">#REF!</definedName>
    <definedName name="_vena_MYPS2_MYPB3_R_5_632005310886445064">#REF!</definedName>
    <definedName name="_vena_MYPS2_MYPB3_R_5_632005310945165312">#REF!</definedName>
    <definedName name="_vena_MYPS2_MYPB3_R_5_632005310945165314">#REF!</definedName>
    <definedName name="_vena_MYPS2_MYPB3_R_5_632005311058411522">#REF!</definedName>
    <definedName name="_vena_MYPS2_MYPB3_R_5_632005311196823560">#REF!</definedName>
    <definedName name="_vena_MYPS2_MYPB3_R_5_632005311372984320">#REF!</definedName>
    <definedName name="_vena_MYPS2_MYPB3_R_5_632005311372984322">#REF!</definedName>
    <definedName name="_vena_MYPS2_MYPB3_R_5_632005311444287488">#REF!</definedName>
    <definedName name="_vena_MYPS2_MYPB3_R_5_632005311528173572">#REF!</definedName>
    <definedName name="_vena_MYPS2_MYPB3_R_5_632005311540756484">#REF!</definedName>
    <definedName name="_vena_MYPS2_MYPB3_R_5_632005311565922306">#REF!</definedName>
    <definedName name="_vena_MYPS2_MYPB3_R_5_632005311909855232">#REF!</definedName>
    <definedName name="_vena_MYPS2_MYPB3_R_5_632005311943409666">#REF!</definedName>
    <definedName name="_vena_MYPS2_MYPB3_R_5_632005312094404608">#REF!</definedName>
    <definedName name="_vena_MYPS2_MYPB3_R_5_632005312153124864">#REF!</definedName>
    <definedName name="_vena_MYPS2_MYPB3_R_5_632005312295731204">#REF!</definedName>
    <definedName name="_vena_MYPS2_MYPB3_R_5_632005312337674244">#REF!</definedName>
    <definedName name="_vena_MYPS2_MYPB3_R_5_632005312371228680">#REF!</definedName>
    <definedName name="_vena_MYPS2_MYPB3_R_5_632005312526417920">#REF!</definedName>
    <definedName name="_vena_MYPS2_MYPB3_R_5_632005312539000840">#REF!</definedName>
    <definedName name="_vena_MYPS2_MYPB3_R_5_632005312547389442">#REF!</definedName>
    <definedName name="_vena_MYPS2_MYPB3_R_5_697602918727680000">#REF!</definedName>
    <definedName name="_vena_MYPS2_MYPB4_C_8_632005313629519872">#REF!</definedName>
    <definedName name="_vena_MYPS2_MYPB4_C_FV_e1c3a244dc3d4f149ecdf7d748811086">#REF!</definedName>
    <definedName name="_vena_MYPS2_MYPB4_R_5_632005311788220416">#REF!</definedName>
    <definedName name="_vena_MYPS2_MYPB4_R_5_632005312266371076">#REF!</definedName>
    <definedName name="_vena_MYPS2_MYPB5_C_8_632005313608548353">#REF!</definedName>
    <definedName name="_vena_MYPS2_MYPB5_C_8_632005313608548353_1">#REF!</definedName>
    <definedName name="_vena_MYPS2_MYPB5_C_8_632005313608548353_2">#REF!</definedName>
    <definedName name="_vena_MYPS2_MYPB5_C_8_632005313608548353_3">#REF!</definedName>
    <definedName name="_vena_MYPS2_MYPB5_C_8_632005313608548353_4">#REF!</definedName>
    <definedName name="_vena_MYPS2_MYPB5_C_FV_e1c3a244dc3d4f149ecdf7d748811086">#REF!</definedName>
    <definedName name="_vena_MYPS2_MYPB5_C_FV_e1c3a244dc3d4f149ecdf7d748811086_1">#REF!</definedName>
    <definedName name="_vena_MYPS2_MYPB5_C_FV_e1c3a244dc3d4f149ecdf7d748811086_2">#REF!</definedName>
    <definedName name="_vena_MYPS2_MYPB5_C_FV_e1c3a244dc3d4f149ecdf7d748811086_3">#REF!</definedName>
    <definedName name="_vena_MYPS2_MYPB5_C_FV_e1c3a244dc3d4f149ecdf7d748811086_4">#REF!</definedName>
    <definedName name="_vena_MYPS2_MYPB5_R_5_632005311750471682">#REF!</definedName>
    <definedName name="_vena_MYPS2_P_3_632005310022418436" comment="*">#REF!</definedName>
    <definedName name="_vena_MYPS2_P_6_632005313063288832" comment="*">#REF!</definedName>
    <definedName name="_vena_MYPS2_P_7_632005313256226820" comment="*">#REF!</definedName>
    <definedName name="_vena_MYPS2_P_FV_56493ffece784c5db4cd0fd3b40a250d" comment="*">#REF!</definedName>
    <definedName name="_vena_MYPS2_P_FV_e3545e3dcc52420a84dcdae3a23a4597" comment="*">#REF!</definedName>
    <definedName name="_vena_PayrollS1_P_3_431662182406553601" comment="*">#REF!</definedName>
    <definedName name="_vena_PayrollS1_P_3_632005310022418436" comment="*">#REF!</definedName>
    <definedName name="_vena_PayrollS1_P_6_431662182054232065" comment="*">#REF!</definedName>
    <definedName name="_vena_PayrollS1_P_6_632005313063288832" comment="*">#REF!</definedName>
    <definedName name="_vena_PayrollS1_P_7_431662179290185729" comment="*">#REF!</definedName>
    <definedName name="_vena_PayrollS1_P_7_632005313256226820" comment="*">#REF!</definedName>
    <definedName name="_vena_PayrollS1_P_FV_e3545e3dcc52420a84dcdae3a23a4597" comment="*">#REF!</definedName>
    <definedName name="_vena_PayrollS1_PayrollB1_C_1_1007779170073837569">#REF!</definedName>
    <definedName name="_vena_PayrollS1_PayrollB1_C_1_1007779170073837569_1">#REF!</definedName>
    <definedName name="_vena_PayrollS1_PayrollB1_C_1_1007779170073837569_10">#REF!</definedName>
    <definedName name="_vena_PayrollS1_PayrollB1_C_1_1007779170073837569_11">#REF!</definedName>
    <definedName name="_vena_PayrollS1_PayrollB1_C_1_1007779170073837569_2">#REF!</definedName>
    <definedName name="_vena_PayrollS1_PayrollB1_C_1_1007779170073837569_3">#REF!</definedName>
    <definedName name="_vena_PayrollS1_PayrollB1_C_1_1007779170073837569_4">#REF!</definedName>
    <definedName name="_vena_PayrollS1_PayrollB1_C_1_1007779170073837569_5">#REF!</definedName>
    <definedName name="_vena_PayrollS1_PayrollB1_C_1_1007779170073837569_6">#REF!</definedName>
    <definedName name="_vena_PayrollS1_PayrollB1_C_1_1007779170073837569_7">#REF!</definedName>
    <definedName name="_vena_PayrollS1_PayrollB1_C_1_1007779170073837569_8">#REF!</definedName>
    <definedName name="_vena_PayrollS1_PayrollB1_C_1_1007779170073837569_9">#REF!</definedName>
    <definedName name="_vena_PayrollS1_PayrollB1_C_1_662882583268425730">#REF!</definedName>
    <definedName name="_vena_PayrollS1_PayrollB1_C_1_662882583268425730_1">#REF!</definedName>
    <definedName name="_vena_PayrollS1_PayrollB1_C_1_662882583268425730_10">#REF!</definedName>
    <definedName name="_vena_PayrollS1_PayrollB1_C_1_662882583268425730_11">#REF!</definedName>
    <definedName name="_vena_PayrollS1_PayrollB1_C_1_662882583268425730_2">#REF!</definedName>
    <definedName name="_vena_PayrollS1_PayrollB1_C_1_662882583268425730_3">#REF!</definedName>
    <definedName name="_vena_PayrollS1_PayrollB1_C_1_662882583268425730_4">#REF!</definedName>
    <definedName name="_vena_PayrollS1_PayrollB1_C_1_662882583268425730_5">#REF!</definedName>
    <definedName name="_vena_PayrollS1_PayrollB1_C_1_662882583268425730_6">#REF!</definedName>
    <definedName name="_vena_PayrollS1_PayrollB1_C_1_662882583268425730_7">#REF!</definedName>
    <definedName name="_vena_PayrollS1_PayrollB1_C_1_662882583268425730_8">#REF!</definedName>
    <definedName name="_vena_PayrollS1_PayrollB1_C_1_662882583268425730_9">#REF!</definedName>
    <definedName name="_vena_PayrollS1_PayrollB1_C_1_990031557271224322">#REF!</definedName>
    <definedName name="_vena_PayrollS1_PayrollB1_C_1_990031557271224322_1">#REF!</definedName>
    <definedName name="_vena_PayrollS1_PayrollB1_C_1_990031557271224322_10">#REF!</definedName>
    <definedName name="_vena_PayrollS1_PayrollB1_C_1_990031557271224322_11">#REF!</definedName>
    <definedName name="_vena_PayrollS1_PayrollB1_C_1_990031557271224322_2">#REF!</definedName>
    <definedName name="_vena_PayrollS1_PayrollB1_C_1_990031557271224322_3">#REF!</definedName>
    <definedName name="_vena_PayrollS1_PayrollB1_C_1_990031557271224322_4">#REF!</definedName>
    <definedName name="_vena_PayrollS1_PayrollB1_C_1_990031557271224322_5">#REF!</definedName>
    <definedName name="_vena_PayrollS1_PayrollB1_C_1_990031557271224322_6">#REF!</definedName>
    <definedName name="_vena_PayrollS1_PayrollB1_C_1_990031557271224322_7">#REF!</definedName>
    <definedName name="_vena_PayrollS1_PayrollB1_C_1_990031557271224322_8">#REF!</definedName>
    <definedName name="_vena_PayrollS1_PayrollB1_C_1_990031557271224322_9">#REF!</definedName>
    <definedName name="_vena_PayrollS1_PayrollB1_C_1_990031606353100801">#REF!</definedName>
    <definedName name="_vena_PayrollS1_PayrollB1_C_1_990031606353100801_1">#REF!</definedName>
    <definedName name="_vena_PayrollS1_PayrollB1_C_1_990031606353100801_10">#REF!</definedName>
    <definedName name="_vena_PayrollS1_PayrollB1_C_1_990031606353100801_11">#REF!</definedName>
    <definedName name="_vena_PayrollS1_PayrollB1_C_1_990031606353100801_2">#REF!</definedName>
    <definedName name="_vena_PayrollS1_PayrollB1_C_1_990031606353100801_3">#REF!</definedName>
    <definedName name="_vena_PayrollS1_PayrollB1_C_1_990031606353100801_4">#REF!</definedName>
    <definedName name="_vena_PayrollS1_PayrollB1_C_1_990031606353100801_5">#REF!</definedName>
    <definedName name="_vena_PayrollS1_PayrollB1_C_1_990031606353100801_6">#REF!</definedName>
    <definedName name="_vena_PayrollS1_PayrollB1_C_1_990031606353100801_7">#REF!</definedName>
    <definedName name="_vena_PayrollS1_PayrollB1_C_1_990031606353100801_8">#REF!</definedName>
    <definedName name="_vena_PayrollS1_PayrollB1_C_1_990031606353100801_9">#REF!</definedName>
    <definedName name="_vena_PayrollS1_PayrollB1_C_1_990031655673528321">#REF!</definedName>
    <definedName name="_vena_PayrollS1_PayrollB1_C_1_990031655673528321_1">#REF!</definedName>
    <definedName name="_vena_PayrollS1_PayrollB1_C_1_990031655673528321_10">#REF!</definedName>
    <definedName name="_vena_PayrollS1_PayrollB1_C_1_990031655673528321_11">#REF!</definedName>
    <definedName name="_vena_PayrollS1_PayrollB1_C_1_990031655673528321_2">#REF!</definedName>
    <definedName name="_vena_PayrollS1_PayrollB1_C_1_990031655673528321_3">#REF!</definedName>
    <definedName name="_vena_PayrollS1_PayrollB1_C_1_990031655673528321_4">#REF!</definedName>
    <definedName name="_vena_PayrollS1_PayrollB1_C_1_990031655673528321_5">#REF!</definedName>
    <definedName name="_vena_PayrollS1_PayrollB1_C_1_990031655673528321_6">#REF!</definedName>
    <definedName name="_vena_PayrollS1_PayrollB1_C_1_990031655673528321_7">#REF!</definedName>
    <definedName name="_vena_PayrollS1_PayrollB1_C_1_990031655673528321_8">#REF!</definedName>
    <definedName name="_vena_PayrollS1_PayrollB1_C_1_990031655673528321_9">#REF!</definedName>
    <definedName name="_vena_PayrollS1_PayrollB1_C_1_990031703077945345">#REF!</definedName>
    <definedName name="_vena_PayrollS1_PayrollB1_C_1_990031703077945345_1">#REF!</definedName>
    <definedName name="_vena_PayrollS1_PayrollB1_C_1_990031703077945345_10">#REF!</definedName>
    <definedName name="_vena_PayrollS1_PayrollB1_C_1_990031703077945345_11">#REF!</definedName>
    <definedName name="_vena_PayrollS1_PayrollB1_C_1_990031703077945345_2">#REF!</definedName>
    <definedName name="_vena_PayrollS1_PayrollB1_C_1_990031703077945345_3">#REF!</definedName>
    <definedName name="_vena_PayrollS1_PayrollB1_C_1_990031703077945345_4">#REF!</definedName>
    <definedName name="_vena_PayrollS1_PayrollB1_C_1_990031703077945345_5">#REF!</definedName>
    <definedName name="_vena_PayrollS1_PayrollB1_C_1_990031703077945345_6">#REF!</definedName>
    <definedName name="_vena_PayrollS1_PayrollB1_C_1_990031703077945345_7">#REF!</definedName>
    <definedName name="_vena_PayrollS1_PayrollB1_C_1_990031703077945345_8">#REF!</definedName>
    <definedName name="_vena_PayrollS1_PayrollB1_C_1_990031703077945345_9">#REF!</definedName>
    <definedName name="_vena_PayrollS1_PayrollB1_C_1_990031739471659008">#REF!</definedName>
    <definedName name="_vena_PayrollS1_PayrollB1_C_1_990031739471659008_1">#REF!</definedName>
    <definedName name="_vena_PayrollS1_PayrollB1_C_1_990031739471659008_10">#REF!</definedName>
    <definedName name="_vena_PayrollS1_PayrollB1_C_1_990031739471659008_11">#REF!</definedName>
    <definedName name="_vena_PayrollS1_PayrollB1_C_1_990031739471659008_2">#REF!</definedName>
    <definedName name="_vena_PayrollS1_PayrollB1_C_1_990031739471659008_3">#REF!</definedName>
    <definedName name="_vena_PayrollS1_PayrollB1_C_1_990031739471659008_4">#REF!</definedName>
    <definedName name="_vena_PayrollS1_PayrollB1_C_1_990031739471659008_5">#REF!</definedName>
    <definedName name="_vena_PayrollS1_PayrollB1_C_1_990031739471659008_6">#REF!</definedName>
    <definedName name="_vena_PayrollS1_PayrollB1_C_1_990031739471659008_7">#REF!</definedName>
    <definedName name="_vena_PayrollS1_PayrollB1_C_1_990031739471659008_8">#REF!</definedName>
    <definedName name="_vena_PayrollS1_PayrollB1_C_1_990031739471659008_9">#REF!</definedName>
    <definedName name="_vena_PayrollS1_PayrollB1_C_1_997291193972555776">#REF!</definedName>
    <definedName name="_vena_PayrollS1_PayrollB1_C_1_997291193972555776_1">#REF!</definedName>
    <definedName name="_vena_PayrollS1_PayrollB1_C_1_997291193972555776_10">#REF!</definedName>
    <definedName name="_vena_PayrollS1_PayrollB1_C_1_997291193972555776_11">#REF!</definedName>
    <definedName name="_vena_PayrollS1_PayrollB1_C_1_997291193972555776_2">#REF!</definedName>
    <definedName name="_vena_PayrollS1_PayrollB1_C_1_997291193972555776_3">#REF!</definedName>
    <definedName name="_vena_PayrollS1_PayrollB1_C_1_997291193972555776_4">#REF!</definedName>
    <definedName name="_vena_PayrollS1_PayrollB1_C_1_997291193972555776_5">#REF!</definedName>
    <definedName name="_vena_PayrollS1_PayrollB1_C_1_997291193972555776_6">#REF!</definedName>
    <definedName name="_vena_PayrollS1_PayrollB1_C_1_997291193972555776_7">#REF!</definedName>
    <definedName name="_vena_PayrollS1_PayrollB1_C_1_997291193972555776_8">#REF!</definedName>
    <definedName name="_vena_PayrollS1_PayrollB1_C_1_997291193972555776_9">#REF!</definedName>
    <definedName name="_vena_PayrollS1_PayrollB1_C_4_451234991058452480">#REF!</definedName>
    <definedName name="_vena_PayrollS1_PayrollB1_C_4_451234991058452480_1">#REF!</definedName>
    <definedName name="_vena_PayrollS1_PayrollB1_C_4_451234991058452480_2">#REF!</definedName>
    <definedName name="_vena_PayrollS1_PayrollB1_C_4_451234991058452480_3">#REF!</definedName>
    <definedName name="_vena_PayrollS1_PayrollB1_C_4_451234991058452480_4">#REF!</definedName>
    <definedName name="_vena_PayrollS1_PayrollB1_C_4_632005309959503878">#REF!</definedName>
    <definedName name="_vena_PayrollS1_PayrollB1_C_4_632005309959503878_1">#REF!</definedName>
    <definedName name="_vena_PayrollS1_PayrollB1_C_4_632005309959503878_10">#REF!</definedName>
    <definedName name="_vena_PayrollS1_PayrollB1_C_4_632005309959503878_11">#REF!</definedName>
    <definedName name="_vena_PayrollS1_PayrollB1_C_4_632005309959503878_2">#REF!</definedName>
    <definedName name="_vena_PayrollS1_PayrollB1_C_4_632005309959503878_3">#REF!</definedName>
    <definedName name="_vena_PayrollS1_PayrollB1_C_4_632005309959503878_4">#REF!</definedName>
    <definedName name="_vena_PayrollS1_PayrollB1_C_4_632005309959503878_5">#REF!</definedName>
    <definedName name="_vena_PayrollS1_PayrollB1_C_4_632005309959503878_6">#REF!</definedName>
    <definedName name="_vena_PayrollS1_PayrollB1_C_4_632005309959503878_7">#REF!</definedName>
    <definedName name="_vena_PayrollS1_PayrollB1_C_4_632005309959503878_8">#REF!</definedName>
    <definedName name="_vena_PayrollS1_PayrollB1_C_4_632005309959503878_9">#REF!</definedName>
    <definedName name="_vena_PayrollS1_PayrollB1_C_8_1016962571893473283">#REF!</definedName>
    <definedName name="_vena_PayrollS1_PayrollB1_C_8_1016962571893473283_1">#REF!</definedName>
    <definedName name="_vena_PayrollS1_PayrollB1_C_8_1016962571893473283_2">#REF!</definedName>
    <definedName name="_vena_PayrollS1_PayrollB1_C_8_1016962571893473283_3">#REF!</definedName>
    <definedName name="_vena_PayrollS1_PayrollB1_C_8_1016962571893473283_4">#REF!</definedName>
    <definedName name="_vena_PayrollS1_PayrollB1_C_8_1016962571893473283_5">#REF!</definedName>
    <definedName name="_vena_PayrollS1_PayrollB1_C_8_472311968385073153">#REF!</definedName>
    <definedName name="_vena_PayrollS1_PayrollB1_C_8_472311968406044673">#REF!</definedName>
    <definedName name="_vena_PayrollS1_PayrollB1_C_8_472311968410238977">#REF!</definedName>
    <definedName name="_vena_PayrollS1_PayrollB1_C_8_472311968414433281">#REF!</definedName>
    <definedName name="_vena_PayrollS1_PayrollB1_C_8_472311968418627585">#REF!</definedName>
    <definedName name="_vena_PayrollS1_PayrollB1_C_8_479426184913354752">#REF!</definedName>
    <definedName name="_vena_PayrollS1_PayrollB1_C_8_479426184913354752_1">#REF!</definedName>
    <definedName name="_vena_PayrollS1_PayrollB1_C_8_479426184913354752_10">#REF!</definedName>
    <definedName name="_vena_PayrollS1_PayrollB1_C_8_479426184913354752_11">#REF!</definedName>
    <definedName name="_vena_PayrollS1_PayrollB1_C_8_479426184913354752_12">#REF!</definedName>
    <definedName name="_vena_PayrollS1_PayrollB1_C_8_479426184913354752_13">#REF!</definedName>
    <definedName name="_vena_PayrollS1_PayrollB1_C_8_479426184913354752_14">#REF!</definedName>
    <definedName name="_vena_PayrollS1_PayrollB1_C_8_479426184913354752_15">#REF!</definedName>
    <definedName name="_vena_PayrollS1_PayrollB1_C_8_479426184913354752_16">#REF!</definedName>
    <definedName name="_vena_PayrollS1_PayrollB1_C_8_479426184913354752_17">#REF!</definedName>
    <definedName name="_vena_PayrollS1_PayrollB1_C_8_479426184913354752_18">#REF!</definedName>
    <definedName name="_vena_PayrollS1_PayrollB1_C_8_479426184913354752_19">#REF!</definedName>
    <definedName name="_vena_PayrollS1_PayrollB1_C_8_479426184913354752_2">#REF!</definedName>
    <definedName name="_vena_PayrollS1_PayrollB1_C_8_479426184913354752_20">#REF!</definedName>
    <definedName name="_vena_PayrollS1_PayrollB1_C_8_479426184913354752_21">#REF!</definedName>
    <definedName name="_vena_PayrollS1_PayrollB1_C_8_479426184913354752_22">#REF!</definedName>
    <definedName name="_vena_PayrollS1_PayrollB1_C_8_479426184913354752_23">#REF!</definedName>
    <definedName name="_vena_PayrollS1_PayrollB1_C_8_479426184913354752_24">#REF!</definedName>
    <definedName name="_vena_PayrollS1_PayrollB1_C_8_479426184913354752_25">#REF!</definedName>
    <definedName name="_vena_PayrollS1_PayrollB1_C_8_479426184913354752_26">#REF!</definedName>
    <definedName name="_vena_PayrollS1_PayrollB1_C_8_479426184913354752_27">#REF!</definedName>
    <definedName name="_vena_PayrollS1_PayrollB1_C_8_479426184913354752_28">#REF!</definedName>
    <definedName name="_vena_PayrollS1_PayrollB1_C_8_479426184913354752_29">#REF!</definedName>
    <definedName name="_vena_PayrollS1_PayrollB1_C_8_479426184913354752_3">#REF!</definedName>
    <definedName name="_vena_PayrollS1_PayrollB1_C_8_479426184913354752_30">#REF!</definedName>
    <definedName name="_vena_PayrollS1_PayrollB1_C_8_479426184913354752_31">#REF!</definedName>
    <definedName name="_vena_PayrollS1_PayrollB1_C_8_479426184913354752_32">#REF!</definedName>
    <definedName name="_vena_PayrollS1_PayrollB1_C_8_479426184913354752_33">#REF!</definedName>
    <definedName name="_vena_PayrollS1_PayrollB1_C_8_479426184913354752_34">#REF!</definedName>
    <definedName name="_vena_PayrollS1_PayrollB1_C_8_479426184913354752_35">#REF!</definedName>
    <definedName name="_vena_PayrollS1_PayrollB1_C_8_479426184913354752_36">#REF!</definedName>
    <definedName name="_vena_PayrollS1_PayrollB1_C_8_479426184913354752_37">#REF!</definedName>
    <definedName name="_vena_PayrollS1_PayrollB1_C_8_479426184913354752_38">#REF!</definedName>
    <definedName name="_vena_PayrollS1_PayrollB1_C_8_479426184913354752_39">#REF!</definedName>
    <definedName name="_vena_PayrollS1_PayrollB1_C_8_479426184913354752_4">#REF!</definedName>
    <definedName name="_vena_PayrollS1_PayrollB1_C_8_479426184913354752_40">#REF!</definedName>
    <definedName name="_vena_PayrollS1_PayrollB1_C_8_479426184913354752_41">#REF!</definedName>
    <definedName name="_vena_PayrollS1_PayrollB1_C_8_479426184913354752_42">#REF!</definedName>
    <definedName name="_vena_PayrollS1_PayrollB1_C_8_479426184913354752_43">#REF!</definedName>
    <definedName name="_vena_PayrollS1_PayrollB1_C_8_479426184913354752_44">#REF!</definedName>
    <definedName name="_vena_PayrollS1_PayrollB1_C_8_479426184913354752_45">#REF!</definedName>
    <definedName name="_vena_PayrollS1_PayrollB1_C_8_479426184913354752_46">#REF!</definedName>
    <definedName name="_vena_PayrollS1_PayrollB1_C_8_479426184913354752_47">#REF!</definedName>
    <definedName name="_vena_PayrollS1_PayrollB1_C_8_479426184913354752_5">#REF!</definedName>
    <definedName name="_vena_PayrollS1_PayrollB1_C_8_479426184913354752_6">#REF!</definedName>
    <definedName name="_vena_PayrollS1_PayrollB1_C_8_479426184913354752_7">#REF!</definedName>
    <definedName name="_vena_PayrollS1_PayrollB1_C_8_479426184913354752_8">#REF!</definedName>
    <definedName name="_vena_PayrollS1_PayrollB1_C_8_479426184913354752_9">#REF!</definedName>
    <definedName name="_vena_PayrollS1_PayrollB1_C_8_488223769606488064">#REF!</definedName>
    <definedName name="_vena_PayrollS1_PayrollB1_C_8_488223769606488064_1">#REF!</definedName>
    <definedName name="_vena_PayrollS1_PayrollB1_C_8_488223769606488064_10">#REF!</definedName>
    <definedName name="_vena_PayrollS1_PayrollB1_C_8_488223769606488064_11">#REF!</definedName>
    <definedName name="_vena_PayrollS1_PayrollB1_C_8_488223769606488064_12">#REF!</definedName>
    <definedName name="_vena_PayrollS1_PayrollB1_C_8_488223769606488064_13">#REF!</definedName>
    <definedName name="_vena_PayrollS1_PayrollB1_C_8_488223769606488064_14">#REF!</definedName>
    <definedName name="_vena_PayrollS1_PayrollB1_C_8_488223769606488064_15">#REF!</definedName>
    <definedName name="_vena_PayrollS1_PayrollB1_C_8_488223769606488064_16">#REF!</definedName>
    <definedName name="_vena_PayrollS1_PayrollB1_C_8_488223769606488064_17">#REF!</definedName>
    <definedName name="_vena_PayrollS1_PayrollB1_C_8_488223769606488064_18">#REF!</definedName>
    <definedName name="_vena_PayrollS1_PayrollB1_C_8_488223769606488064_19">#REF!</definedName>
    <definedName name="_vena_PayrollS1_PayrollB1_C_8_488223769606488064_2">#REF!</definedName>
    <definedName name="_vena_PayrollS1_PayrollB1_C_8_488223769606488064_20">#REF!</definedName>
    <definedName name="_vena_PayrollS1_PayrollB1_C_8_488223769606488064_21">#REF!</definedName>
    <definedName name="_vena_PayrollS1_PayrollB1_C_8_488223769606488064_22">#REF!</definedName>
    <definedName name="_vena_PayrollS1_PayrollB1_C_8_488223769606488064_23">#REF!</definedName>
    <definedName name="_vena_PayrollS1_PayrollB1_C_8_488223769606488064_24">#REF!</definedName>
    <definedName name="_vena_PayrollS1_PayrollB1_C_8_488223769606488064_25">#REF!</definedName>
    <definedName name="_vena_PayrollS1_PayrollB1_C_8_488223769606488064_26">#REF!</definedName>
    <definedName name="_vena_PayrollS1_PayrollB1_C_8_488223769606488064_27">#REF!</definedName>
    <definedName name="_vena_PayrollS1_PayrollB1_C_8_488223769606488064_28">#REF!</definedName>
    <definedName name="_vena_PayrollS1_PayrollB1_C_8_488223769606488064_29">#REF!</definedName>
    <definedName name="_vena_PayrollS1_PayrollB1_C_8_488223769606488064_3">#REF!</definedName>
    <definedName name="_vena_PayrollS1_PayrollB1_C_8_488223769606488064_30">#REF!</definedName>
    <definedName name="_vena_PayrollS1_PayrollB1_C_8_488223769606488064_31">#REF!</definedName>
    <definedName name="_vena_PayrollS1_PayrollB1_C_8_488223769606488064_32">#REF!</definedName>
    <definedName name="_vena_PayrollS1_PayrollB1_C_8_488223769606488064_33">#REF!</definedName>
    <definedName name="_vena_PayrollS1_PayrollB1_C_8_488223769606488064_34">#REF!</definedName>
    <definedName name="_vena_PayrollS1_PayrollB1_C_8_488223769606488064_35">#REF!</definedName>
    <definedName name="_vena_PayrollS1_PayrollB1_C_8_488223769606488064_36">#REF!</definedName>
    <definedName name="_vena_PayrollS1_PayrollB1_C_8_488223769606488064_37">#REF!</definedName>
    <definedName name="_vena_PayrollS1_PayrollB1_C_8_488223769606488064_38">#REF!</definedName>
    <definedName name="_vena_PayrollS1_PayrollB1_C_8_488223769606488064_39">#REF!</definedName>
    <definedName name="_vena_PayrollS1_PayrollB1_C_8_488223769606488064_4">#REF!</definedName>
    <definedName name="_vena_PayrollS1_PayrollB1_C_8_488223769606488064_40">#REF!</definedName>
    <definedName name="_vena_PayrollS1_PayrollB1_C_8_488223769606488064_41">#REF!</definedName>
    <definedName name="_vena_PayrollS1_PayrollB1_C_8_488223769606488064_42">#REF!</definedName>
    <definedName name="_vena_PayrollS1_PayrollB1_C_8_488223769606488064_43">#REF!</definedName>
    <definedName name="_vena_PayrollS1_PayrollB1_C_8_488223769606488064_44">#REF!</definedName>
    <definedName name="_vena_PayrollS1_PayrollB1_C_8_488223769606488064_45">#REF!</definedName>
    <definedName name="_vena_PayrollS1_PayrollB1_C_8_488223769606488064_46">#REF!</definedName>
    <definedName name="_vena_PayrollS1_PayrollB1_C_8_488223769606488064_47">#REF!</definedName>
    <definedName name="_vena_PayrollS1_PayrollB1_C_8_488223769606488064_5">#REF!</definedName>
    <definedName name="_vena_PayrollS1_PayrollB1_C_8_488223769606488064_6">#REF!</definedName>
    <definedName name="_vena_PayrollS1_PayrollB1_C_8_488223769606488064_7">#REF!</definedName>
    <definedName name="_vena_PayrollS1_PayrollB1_C_8_488223769606488064_8">#REF!</definedName>
    <definedName name="_vena_PayrollS1_PayrollB1_C_8_488223769606488064_9">#REF!</definedName>
    <definedName name="_vena_PayrollS1_PayrollB1_C_8_632005313600159746">#REF!</definedName>
    <definedName name="_vena_PayrollS1_PayrollB1_C_8_632005313600159752">#REF!</definedName>
    <definedName name="_vena_PayrollS1_PayrollB1_C_8_632005313600159752_1">#REF!</definedName>
    <definedName name="_vena_PayrollS1_PayrollB1_C_8_632005313600159752_2">#REF!</definedName>
    <definedName name="_vena_PayrollS1_PayrollB1_C_8_632005313600159752_3">#REF!</definedName>
    <definedName name="_vena_PayrollS1_PayrollB1_C_8_632005313600159752_4">#REF!</definedName>
    <definedName name="_vena_PayrollS1_PayrollB1_C_8_632005313600159752_5">#REF!</definedName>
    <definedName name="_vena_PayrollS1_PayrollB1_C_8_632005313608548355">#REF!</definedName>
    <definedName name="_vena_PayrollS1_PayrollB1_C_8_632005313608548355_1">#REF!</definedName>
    <definedName name="_vena_PayrollS1_PayrollB1_C_8_632005313621131264">#REF!</definedName>
    <definedName name="_vena_PayrollS1_PayrollB1_C_8_632005313625325574">#REF!</definedName>
    <definedName name="_vena_PayrollS1_PayrollB1_C_8_632005313625325576">#REF!</definedName>
    <definedName name="_vena_PayrollS1_PayrollB1_C_8_632005313625325576_1">#REF!</definedName>
    <definedName name="_vena_PayrollS1_PayrollB1_C_8_632005313625325576_10">#REF!</definedName>
    <definedName name="_vena_PayrollS1_PayrollB1_C_8_632005313625325576_11">#REF!</definedName>
    <definedName name="_vena_PayrollS1_PayrollB1_C_8_632005313625325576_2">#REF!</definedName>
    <definedName name="_vena_PayrollS1_PayrollB1_C_8_632005313625325576_3">#REF!</definedName>
    <definedName name="_vena_PayrollS1_PayrollB1_C_8_632005313625325576_4">#REF!</definedName>
    <definedName name="_vena_PayrollS1_PayrollB1_C_8_632005313625325576_5">#REF!</definedName>
    <definedName name="_vena_PayrollS1_PayrollB1_C_8_632005313625325576_6">#REF!</definedName>
    <definedName name="_vena_PayrollS1_PayrollB1_C_8_632005313625325576_7">#REF!</definedName>
    <definedName name="_vena_PayrollS1_PayrollB1_C_8_632005313625325576_8">#REF!</definedName>
    <definedName name="_vena_PayrollS1_PayrollB1_C_8_632005313625325576_9">#REF!</definedName>
    <definedName name="_vena_PayrollS1_PayrollB1_C_8_632005313637908485">#REF!</definedName>
    <definedName name="_vena_PayrollS1_PayrollB1_C_8_632005313637908487">#REF!</definedName>
    <definedName name="_vena_PayrollS1_PayrollB1_C_8_632005313637908487_1">#REF!</definedName>
    <definedName name="_vena_PayrollS1_PayrollB1_C_8_632005313637908487_2">#REF!</definedName>
    <definedName name="_vena_PayrollS1_PayrollB1_C_8_632005313637908487_3">#REF!</definedName>
    <definedName name="_vena_PayrollS1_PayrollB1_C_8_632005313637908487_4">#REF!</definedName>
    <definedName name="_vena_PayrollS1_PayrollB1_C_8_632005313637908487_5">#REF!</definedName>
    <definedName name="_vena_PayrollS1_PayrollB1_C_8_632005313642102786">#REF!</definedName>
    <definedName name="_vena_PayrollS1_PayrollB1_C_8_632005313646297088">#REF!</definedName>
    <definedName name="_vena_PayrollS1_PayrollB1_C_8_632005313646297090">#REF!</definedName>
    <definedName name="_vena_PayrollS1_PayrollB1_C_8_632005313658880007">#REF!</definedName>
    <definedName name="_vena_PayrollS1_PayrollB1_C_8_632005313663074304">#REF!</definedName>
    <definedName name="_vena_PayrollS1_PayrollB1_C_8_632005313667268608">#REF!</definedName>
    <definedName name="_vena_PayrollS1_PayrollB1_C_8_632005313667268608_1">#REF!</definedName>
    <definedName name="_vena_PayrollS1_PayrollB1_C_8_632005313667268608_2">#REF!</definedName>
    <definedName name="_vena_PayrollS1_PayrollB1_C_8_632005313667268608_3">#REF!</definedName>
    <definedName name="_vena_PayrollS1_PayrollB1_C_8_632005313667268608_4">#REF!</definedName>
    <definedName name="_vena_PayrollS1_PayrollB1_C_8_632005313667268608_5">#REF!</definedName>
    <definedName name="_vena_PayrollS1_PayrollB1_C_8_632005313675657223">#REF!</definedName>
    <definedName name="_vena_PayrollS1_PayrollB1_C_8_632005313688240135">#REF!</definedName>
    <definedName name="_vena_PayrollS1_PayrollB1_C_8_632005313688240135_1">#REF!</definedName>
    <definedName name="_vena_PayrollS1_PayrollB1_C_8_632005313688240135_10">#REF!</definedName>
    <definedName name="_vena_PayrollS1_PayrollB1_C_8_632005313688240135_11">#REF!</definedName>
    <definedName name="_vena_PayrollS1_PayrollB1_C_8_632005313688240135_2">#REF!</definedName>
    <definedName name="_vena_PayrollS1_PayrollB1_C_8_632005313688240135_3">#REF!</definedName>
    <definedName name="_vena_PayrollS1_PayrollB1_C_8_632005313688240135_4">#REF!</definedName>
    <definedName name="_vena_PayrollS1_PayrollB1_C_8_632005313688240135_5">#REF!</definedName>
    <definedName name="_vena_PayrollS1_PayrollB1_C_8_632005313688240135_6">#REF!</definedName>
    <definedName name="_vena_PayrollS1_PayrollB1_C_8_632005313688240135_7">#REF!</definedName>
    <definedName name="_vena_PayrollS1_PayrollB1_C_8_632005313688240135_8">#REF!</definedName>
    <definedName name="_vena_PayrollS1_PayrollB1_C_8_632005313688240135_9">#REF!</definedName>
    <definedName name="_vena_PayrollS1_PayrollB1_C_FV_56493ffece784c5db4cd0fd3b40a250d">#REF!</definedName>
    <definedName name="_vena_PayrollS1_PayrollB1_C_FV_56493ffece784c5db4cd0fd3b40a250d_1">#REF!</definedName>
    <definedName name="_vena_PayrollS1_PayrollB1_C_FV_56493ffece784c5db4cd0fd3b40a250d_19">#REF!</definedName>
    <definedName name="_vena_PayrollS1_PayrollB1_C_FV_56493ffece784c5db4cd0fd3b40a250d_2">#REF!</definedName>
    <definedName name="_vena_PayrollS1_PayrollB1_C_FV_56493ffece784c5db4cd0fd3b40a250d_20">#REF!</definedName>
    <definedName name="_vena_PayrollS1_PayrollB1_C_FV_56493ffece784c5db4cd0fd3b40a250d_21">#REF!</definedName>
    <definedName name="_vena_PayrollS1_PayrollB1_C_FV_56493ffece784c5db4cd0fd3b40a250d_22">#REF!</definedName>
    <definedName name="_vena_PayrollS1_PayrollB1_C_FV_56493ffece784c5db4cd0fd3b40a250d_23">#REF!</definedName>
    <definedName name="_vena_PayrollS1_PayrollB1_C_FV_56493ffece784c5db4cd0fd3b40a250d_24">#REF!</definedName>
    <definedName name="_vena_PayrollS1_PayrollB1_C_FV_56493ffece784c5db4cd0fd3b40a250d_25">#REF!</definedName>
    <definedName name="_vena_PayrollS1_PayrollB1_C_FV_56493ffece784c5db4cd0fd3b40a250d_26">#REF!</definedName>
    <definedName name="_vena_PayrollS1_PayrollB1_C_FV_56493ffece784c5db4cd0fd3b40a250d_3">#REF!</definedName>
    <definedName name="_vena_PayrollS1_PayrollB1_C_FV_56493ffece784c5db4cd0fd3b40a250d_31">#REF!</definedName>
    <definedName name="_vena_PayrollS1_PayrollB1_C_FV_56493ffece784c5db4cd0fd3b40a250d_32">#REF!</definedName>
    <definedName name="_vena_PayrollS1_PayrollB1_C_FV_56493ffece784c5db4cd0fd3b40a250d_33">#REF!</definedName>
    <definedName name="_vena_PayrollS1_PayrollB1_C_FV_56493ffece784c5db4cd0fd3b40a250d_34">#REF!</definedName>
    <definedName name="_vena_PayrollS1_PayrollB1_C_FV_56493ffece784c5db4cd0fd3b40a250d_35">#REF!</definedName>
    <definedName name="_vena_PayrollS1_PayrollB1_C_FV_56493ffece784c5db4cd0fd3b40a250d_36">#REF!</definedName>
    <definedName name="_vena_PayrollS1_PayrollB1_C_FV_56493ffece784c5db4cd0fd3b40a250d_37">#REF!</definedName>
    <definedName name="_vena_PayrollS1_PayrollB1_C_FV_56493ffece784c5db4cd0fd3b40a250d_38">#REF!</definedName>
    <definedName name="_vena_PayrollS1_PayrollB1_C_FV_56493ffece784c5db4cd0fd3b40a250d_39">#REF!</definedName>
    <definedName name="_vena_PayrollS1_PayrollB1_C_FV_56493ffece784c5db4cd0fd3b40a250d_4">#REF!</definedName>
    <definedName name="_vena_PayrollS1_PayrollB1_C_FV_56493ffece784c5db4cd0fd3b40a250d_40">#REF!</definedName>
    <definedName name="_vena_PayrollS1_PayrollB1_C_FV_56493ffece784c5db4cd0fd3b40a250d_41">#REF!</definedName>
    <definedName name="_vena_PayrollS1_PayrollB1_C_FV_56493ffece784c5db4cd0fd3b40a250d_42">#REF!</definedName>
    <definedName name="_vena_PayrollS1_PayrollB1_C_FV_56493ffece784c5db4cd0fd3b40a250d_43">#REF!</definedName>
    <definedName name="_vena_PayrollS1_PayrollB1_C_FV_56493ffece784c5db4cd0fd3b40a250d_44">#REF!</definedName>
    <definedName name="_vena_PayrollS1_PayrollB1_C_FV_56493ffece784c5db4cd0fd3b40a250d_45">#REF!</definedName>
    <definedName name="_vena_PayrollS1_PayrollB1_C_FV_56493ffece784c5db4cd0fd3b40a250d_46">#REF!</definedName>
    <definedName name="_vena_PayrollS1_PayrollB1_C_FV_56493ffece784c5db4cd0fd3b40a250d_47">#REF!</definedName>
    <definedName name="_vena_PayrollS1_PayrollB1_C_FV_56493ffece784c5db4cd0fd3b40a250d_48">#REF!</definedName>
    <definedName name="_vena_PayrollS1_PayrollB1_C_FV_56493ffece784c5db4cd0fd3b40a250d_49">#REF!</definedName>
    <definedName name="_vena_PayrollS1_PayrollB1_C_FV_56493ffece784c5db4cd0fd3b40a250d_5">#REF!</definedName>
    <definedName name="_vena_PayrollS1_PayrollB1_C_FV_56493ffece784c5db4cd0fd3b40a250d_50">#REF!</definedName>
    <definedName name="_vena_PayrollS1_PayrollB1_C_FV_56493ffece784c5db4cd0fd3b40a250d_51">#REF!</definedName>
    <definedName name="_vena_PayrollS1_PayrollB1_C_FV_56493ffece784c5db4cd0fd3b40a250d_52">#REF!</definedName>
    <definedName name="_vena_PayrollS1_PayrollB1_C_FV_56493ffece784c5db4cd0fd3b40a250d_53">#REF!</definedName>
    <definedName name="_vena_PayrollS1_PayrollB1_C_FV_56493ffece784c5db4cd0fd3b40a250d_54">#REF!</definedName>
    <definedName name="_vena_PayrollS1_PayrollB1_C_FV_56493ffece784c5db4cd0fd3b40a250d_55">#REF!</definedName>
    <definedName name="_vena_PayrollS1_PayrollB1_C_FV_56493ffece784c5db4cd0fd3b40a250d_56">#REF!</definedName>
    <definedName name="_vena_PayrollS1_PayrollB1_C_FV_56493ffece784c5db4cd0fd3b40a250d_57">#REF!</definedName>
    <definedName name="_vena_PayrollS1_PayrollB1_C_FV_56493ffece784c5db4cd0fd3b40a250d_58">#REF!</definedName>
    <definedName name="_vena_PayrollS1_PayrollB1_C_FV_56493ffece784c5db4cd0fd3b40a250d_59">#REF!</definedName>
    <definedName name="_vena_PayrollS1_PayrollB1_C_FV_56493ffece784c5db4cd0fd3b40a250d_6">#REF!</definedName>
    <definedName name="_vena_PayrollS1_PayrollB1_C_FV_56493ffece784c5db4cd0fd3b40a250d_60">#REF!</definedName>
    <definedName name="_vena_PayrollS1_PayrollB1_C_FV_56493ffece784c5db4cd0fd3b40a250d_61">#REF!</definedName>
    <definedName name="_vena_PayrollS1_PayrollB1_C_FV_56493ffece784c5db4cd0fd3b40a250d_62">#REF!</definedName>
    <definedName name="_vena_PayrollS1_PayrollB1_C_FV_56493ffece784c5db4cd0fd3b40a250d_63">#REF!</definedName>
    <definedName name="_vena_PayrollS1_PayrollB1_C_FV_56493ffece784c5db4cd0fd3b40a250d_64">#REF!</definedName>
    <definedName name="_vena_PayrollS1_PayrollB1_C_FV_56493ffece784c5db4cd0fd3b40a250d_7">#REF!</definedName>
    <definedName name="_vena_PayrollS1_PayrollB1_C_FV_56493ffece784c5db4cd0fd3b40a250d_8">#REF!</definedName>
    <definedName name="_vena_PayrollS1_PayrollB1_C_FV_e1c3a244dc3d4f149ecdf7d748811086">#REF!</definedName>
    <definedName name="_vena_PayrollS1_PayrollB1_C_FV_e1c3a244dc3d4f149ecdf7d748811086_1">#REF!</definedName>
    <definedName name="_vena_PayrollS1_PayrollB1_C_FV_e1c3a244dc3d4f149ecdf7d748811086_10">#REF!</definedName>
    <definedName name="_vena_PayrollS1_PayrollB1_C_FV_e1c3a244dc3d4f149ecdf7d748811086_11">#REF!</definedName>
    <definedName name="_vena_PayrollS1_PayrollB1_C_FV_e1c3a244dc3d4f149ecdf7d748811086_12">#REF!</definedName>
    <definedName name="_vena_PayrollS1_PayrollB1_C_FV_e1c3a244dc3d4f149ecdf7d748811086_13">#REF!</definedName>
    <definedName name="_vena_PayrollS1_PayrollB1_C_FV_e1c3a244dc3d4f149ecdf7d748811086_14">#REF!</definedName>
    <definedName name="_vena_PayrollS1_PayrollB1_C_FV_e1c3a244dc3d4f149ecdf7d748811086_15">#REF!</definedName>
    <definedName name="_vena_PayrollS1_PayrollB1_C_FV_e1c3a244dc3d4f149ecdf7d748811086_16">#REF!</definedName>
    <definedName name="_vena_PayrollS1_PayrollB1_C_FV_e1c3a244dc3d4f149ecdf7d748811086_17">#REF!</definedName>
    <definedName name="_vena_PayrollS1_PayrollB1_C_FV_e1c3a244dc3d4f149ecdf7d748811086_18">#REF!</definedName>
    <definedName name="_vena_PayrollS1_PayrollB1_C_FV_e1c3a244dc3d4f149ecdf7d748811086_19">#REF!</definedName>
    <definedName name="_vena_PayrollS1_PayrollB1_C_FV_e1c3a244dc3d4f149ecdf7d748811086_2">#REF!</definedName>
    <definedName name="_vena_PayrollS1_PayrollB1_C_FV_e1c3a244dc3d4f149ecdf7d748811086_20">#REF!</definedName>
    <definedName name="_vena_PayrollS1_PayrollB1_C_FV_e1c3a244dc3d4f149ecdf7d748811086_21">#REF!</definedName>
    <definedName name="_vena_PayrollS1_PayrollB1_C_FV_e1c3a244dc3d4f149ecdf7d748811086_22">#REF!</definedName>
    <definedName name="_vena_PayrollS1_PayrollB1_C_FV_e1c3a244dc3d4f149ecdf7d748811086_23">#REF!</definedName>
    <definedName name="_vena_PayrollS1_PayrollB1_C_FV_e1c3a244dc3d4f149ecdf7d748811086_24">#REF!</definedName>
    <definedName name="_vena_PayrollS1_PayrollB1_C_FV_e1c3a244dc3d4f149ecdf7d748811086_25">#REF!</definedName>
    <definedName name="_vena_PayrollS1_PayrollB1_C_FV_e1c3a244dc3d4f149ecdf7d748811086_26">#REF!</definedName>
    <definedName name="_vena_PayrollS1_PayrollB1_C_FV_e1c3a244dc3d4f149ecdf7d748811086_27">#REF!</definedName>
    <definedName name="_vena_PayrollS1_PayrollB1_C_FV_e1c3a244dc3d4f149ecdf7d748811086_28">#REF!</definedName>
    <definedName name="_vena_PayrollS1_PayrollB1_C_FV_e1c3a244dc3d4f149ecdf7d748811086_29">#REF!</definedName>
    <definedName name="_vena_PayrollS1_PayrollB1_C_FV_e1c3a244dc3d4f149ecdf7d748811086_3">#REF!</definedName>
    <definedName name="_vena_PayrollS1_PayrollB1_C_FV_e1c3a244dc3d4f149ecdf7d748811086_30">#REF!</definedName>
    <definedName name="_vena_PayrollS1_PayrollB1_C_FV_e1c3a244dc3d4f149ecdf7d748811086_31">#REF!</definedName>
    <definedName name="_vena_PayrollS1_PayrollB1_C_FV_e1c3a244dc3d4f149ecdf7d748811086_32">#REF!</definedName>
    <definedName name="_vena_PayrollS1_PayrollB1_C_FV_e1c3a244dc3d4f149ecdf7d748811086_33">#REF!</definedName>
    <definedName name="_vena_PayrollS1_PayrollB1_C_FV_e1c3a244dc3d4f149ecdf7d748811086_34">#REF!</definedName>
    <definedName name="_vena_PayrollS1_PayrollB1_C_FV_e1c3a244dc3d4f149ecdf7d748811086_35">#REF!</definedName>
    <definedName name="_vena_PayrollS1_PayrollB1_C_FV_e1c3a244dc3d4f149ecdf7d748811086_36">#REF!</definedName>
    <definedName name="_vena_PayrollS1_PayrollB1_C_FV_e1c3a244dc3d4f149ecdf7d748811086_37">#REF!</definedName>
    <definedName name="_vena_PayrollS1_PayrollB1_C_FV_e1c3a244dc3d4f149ecdf7d748811086_38">#REF!</definedName>
    <definedName name="_vena_PayrollS1_PayrollB1_C_FV_e1c3a244dc3d4f149ecdf7d748811086_39">#REF!</definedName>
    <definedName name="_vena_PayrollS1_PayrollB1_C_FV_e1c3a244dc3d4f149ecdf7d748811086_4">#REF!</definedName>
    <definedName name="_vena_PayrollS1_PayrollB1_C_FV_e1c3a244dc3d4f149ecdf7d748811086_40">#REF!</definedName>
    <definedName name="_vena_PayrollS1_PayrollB1_C_FV_e1c3a244dc3d4f149ecdf7d748811086_41">#REF!</definedName>
    <definedName name="_vena_PayrollS1_PayrollB1_C_FV_e1c3a244dc3d4f149ecdf7d748811086_42">#REF!</definedName>
    <definedName name="_vena_PayrollS1_PayrollB1_C_FV_e1c3a244dc3d4f149ecdf7d748811086_43">#REF!</definedName>
    <definedName name="_vena_PayrollS1_PayrollB1_C_FV_e1c3a244dc3d4f149ecdf7d748811086_44">#REF!</definedName>
    <definedName name="_vena_PayrollS1_PayrollB1_C_FV_e1c3a244dc3d4f149ecdf7d748811086_45">#REF!</definedName>
    <definedName name="_vena_PayrollS1_PayrollB1_C_FV_e1c3a244dc3d4f149ecdf7d748811086_46">#REF!</definedName>
    <definedName name="_vena_PayrollS1_PayrollB1_C_FV_e1c3a244dc3d4f149ecdf7d748811086_47">#REF!</definedName>
    <definedName name="_vena_PayrollS1_PayrollB1_C_FV_e1c3a244dc3d4f149ecdf7d748811086_48">#REF!</definedName>
    <definedName name="_vena_PayrollS1_PayrollB1_C_FV_e1c3a244dc3d4f149ecdf7d748811086_49">#REF!</definedName>
    <definedName name="_vena_PayrollS1_PayrollB1_C_FV_e1c3a244dc3d4f149ecdf7d748811086_5">#REF!</definedName>
    <definedName name="_vena_PayrollS1_PayrollB1_C_FV_e1c3a244dc3d4f149ecdf7d748811086_50">#REF!</definedName>
    <definedName name="_vena_PayrollS1_PayrollB1_C_FV_e1c3a244dc3d4f149ecdf7d748811086_51">#REF!</definedName>
    <definedName name="_vena_PayrollS1_PayrollB1_C_FV_e1c3a244dc3d4f149ecdf7d748811086_52">#REF!</definedName>
    <definedName name="_vena_PayrollS1_PayrollB1_C_FV_e1c3a244dc3d4f149ecdf7d748811086_53">#REF!</definedName>
    <definedName name="_vena_PayrollS1_PayrollB1_C_FV_e1c3a244dc3d4f149ecdf7d748811086_54">#REF!</definedName>
    <definedName name="_vena_PayrollS1_PayrollB1_C_FV_e1c3a244dc3d4f149ecdf7d748811086_55">#REF!</definedName>
    <definedName name="_vena_PayrollS1_PayrollB1_C_FV_e1c3a244dc3d4f149ecdf7d748811086_56">#REF!</definedName>
    <definedName name="_vena_PayrollS1_PayrollB1_C_FV_e1c3a244dc3d4f149ecdf7d748811086_57">#REF!</definedName>
    <definedName name="_vena_PayrollS1_PayrollB1_C_FV_e1c3a244dc3d4f149ecdf7d748811086_58">#REF!</definedName>
    <definedName name="_vena_PayrollS1_PayrollB1_C_FV_e1c3a244dc3d4f149ecdf7d748811086_59">#REF!</definedName>
    <definedName name="_vena_PayrollS1_PayrollB1_C_FV_e1c3a244dc3d4f149ecdf7d748811086_6">#REF!</definedName>
    <definedName name="_vena_PayrollS1_PayrollB1_C_FV_e1c3a244dc3d4f149ecdf7d748811086_60">#REF!</definedName>
    <definedName name="_vena_PayrollS1_PayrollB1_C_FV_e1c3a244dc3d4f149ecdf7d748811086_61">#REF!</definedName>
    <definedName name="_vena_PayrollS1_PayrollB1_C_FV_e1c3a244dc3d4f149ecdf7d748811086_62">#REF!</definedName>
    <definedName name="_vena_PayrollS1_PayrollB1_C_FV_e1c3a244dc3d4f149ecdf7d748811086_63">#REF!</definedName>
    <definedName name="_vena_PayrollS1_PayrollB1_C_FV_e1c3a244dc3d4f149ecdf7d748811086_64">#REF!</definedName>
    <definedName name="_vena_PayrollS1_PayrollB1_C_FV_e1c3a244dc3d4f149ecdf7d748811086_65">#REF!</definedName>
    <definedName name="_vena_PayrollS1_PayrollB1_C_FV_e1c3a244dc3d4f149ecdf7d748811086_66">#REF!</definedName>
    <definedName name="_vena_PayrollS1_PayrollB1_C_FV_e1c3a244dc3d4f149ecdf7d748811086_67">#REF!</definedName>
    <definedName name="_vena_PayrollS1_PayrollB1_C_FV_e1c3a244dc3d4f149ecdf7d748811086_68">#REF!</definedName>
    <definedName name="_vena_PayrollS1_PayrollB1_C_FV_e1c3a244dc3d4f149ecdf7d748811086_69">#REF!</definedName>
    <definedName name="_vena_PayrollS1_PayrollB1_C_FV_e1c3a244dc3d4f149ecdf7d748811086_7">#REF!</definedName>
    <definedName name="_vena_PayrollS1_PayrollB1_C_FV_e1c3a244dc3d4f149ecdf7d748811086_70">#REF!</definedName>
    <definedName name="_vena_PayrollS1_PayrollB1_C_FV_e1c3a244dc3d4f149ecdf7d748811086_71">#REF!</definedName>
    <definedName name="_vena_PayrollS1_PayrollB1_C_FV_e1c3a244dc3d4f149ecdf7d748811086_72">#REF!</definedName>
    <definedName name="_vena_PayrollS1_PayrollB1_C_FV_e1c3a244dc3d4f149ecdf7d748811086_73">#REF!</definedName>
    <definedName name="_vena_PayrollS1_PayrollB1_C_FV_e1c3a244dc3d4f149ecdf7d748811086_74">#REF!</definedName>
    <definedName name="_vena_PayrollS1_PayrollB1_C_FV_e1c3a244dc3d4f149ecdf7d748811086_75">#REF!</definedName>
    <definedName name="_vena_PayrollS1_PayrollB1_C_FV_e1c3a244dc3d4f149ecdf7d748811086_76">#REF!</definedName>
    <definedName name="_vena_PayrollS1_PayrollB1_C_FV_e1c3a244dc3d4f149ecdf7d748811086_77">#REF!</definedName>
    <definedName name="_vena_PayrollS1_PayrollB1_C_FV_e1c3a244dc3d4f149ecdf7d748811086_78">#REF!</definedName>
    <definedName name="_vena_PayrollS1_PayrollB1_C_FV_e1c3a244dc3d4f149ecdf7d748811086_79">#REF!</definedName>
    <definedName name="_vena_PayrollS1_PayrollB1_C_FV_e1c3a244dc3d4f149ecdf7d748811086_8">#REF!</definedName>
    <definedName name="_vena_PayrollS1_PayrollB1_C_FV_e1c3a244dc3d4f149ecdf7d748811086_80">#REF!</definedName>
    <definedName name="_vena_PayrollS1_PayrollB1_C_FV_e1c3a244dc3d4f149ecdf7d748811086_81">#REF!</definedName>
    <definedName name="_vena_PayrollS1_PayrollB1_C_FV_e1c3a244dc3d4f149ecdf7d748811086_82">#REF!</definedName>
    <definedName name="_vena_PayrollS1_PayrollB1_C_FV_e1c3a244dc3d4f149ecdf7d748811086_83">#REF!</definedName>
    <definedName name="_vena_PayrollS1_PayrollB1_C_FV_e1c3a244dc3d4f149ecdf7d748811086_84">#REF!</definedName>
    <definedName name="_vena_PayrollS1_PayrollB1_C_FV_e1c3a244dc3d4f149ecdf7d748811086_85">#REF!</definedName>
    <definedName name="_vena_PayrollS1_PayrollB1_C_FV_e1c3a244dc3d4f149ecdf7d748811086_86">#REF!</definedName>
    <definedName name="_vena_PayrollS1_PayrollB1_C_FV_e1c3a244dc3d4f149ecdf7d748811086_87">#REF!</definedName>
    <definedName name="_vena_PayrollS1_PayrollB1_C_FV_e1c3a244dc3d4f149ecdf7d748811086_88">#REF!</definedName>
    <definedName name="_vena_PayrollS1_PayrollB1_C_FV_e1c3a244dc3d4f149ecdf7d748811086_89">#REF!</definedName>
    <definedName name="_vena_PayrollS1_PayrollB1_C_FV_e1c3a244dc3d4f149ecdf7d748811086_9">#REF!</definedName>
    <definedName name="_vena_PayrollS1_PayrollB1_C_FV_e1c3a244dc3d4f149ecdf7d748811086_90">#REF!</definedName>
    <definedName name="_vena_PayrollS1_PayrollB1_C_FV_e1c3a244dc3d4f149ecdf7d748811086_91">#REF!</definedName>
    <definedName name="_vena_PayrollS1_PayrollB1_C_FV_e1c3a244dc3d4f149ecdf7d748811086_92">#REF!</definedName>
    <definedName name="_vena_PayrollS1_PayrollB1_C_FV_e1c3a244dc3d4f149ecdf7d748811086_93">#REF!</definedName>
    <definedName name="_vena_PayrollS1_PayrollB1_C_FV_e1c3a244dc3d4f149ecdf7d748811086_94">#REF!</definedName>
    <definedName name="_vena_PayrollS1_PayrollB1_C_FV_e1c3a244dc3d4f149ecdf7d748811086_95">#REF!</definedName>
    <definedName name="_vena_PayrollS1_PayrollB1_R_5_497186976463454208" comment="*">#REF!</definedName>
    <definedName name="_vena_PayrollS1_PayrollB1_R_5_632005311834357762" comment="*">#REF!</definedName>
    <definedName name="_vena_PayrollS1_PayrollB2_C_4_451234991058452480">#REF!</definedName>
    <definedName name="_vena_PayrollS1_PayrollB2_C_4_451234991058452480_1">#REF!</definedName>
    <definedName name="_vena_PayrollS1_PayrollB2_C_4_632005309959503878">#REF!</definedName>
    <definedName name="_vena_PayrollS1_PayrollB2_C_4_632005309959503878_1">#REF!</definedName>
    <definedName name="_vena_PayrollS1_PayrollB2_C_4_632005309959503878_2">#REF!</definedName>
    <definedName name="_vena_PayrollS1_PayrollB2_C_8_1016962571893473283">#REF!</definedName>
    <definedName name="_vena_PayrollS1_PayrollB2_C_8_1016962571893473283_1">#REF!</definedName>
    <definedName name="_vena_PayrollS1_PayrollB2_C_8_1016962571893473283_2">#REF!</definedName>
    <definedName name="_vena_PayrollS1_PayrollB2_C_8_1016962571893473283_3">#REF!</definedName>
    <definedName name="_vena_PayrollS1_PayrollB2_C_8_1016962571893473283_4">#REF!</definedName>
    <definedName name="_vena_PayrollS1_PayrollB2_C_8_1016962571893473283_5">#REF!</definedName>
    <definedName name="_vena_PayrollS1_PayrollB2_C_8_451236242274516992">#REF!</definedName>
    <definedName name="_vena_PayrollS1_PayrollB2_C_8_472311968418627585">#REF!</definedName>
    <definedName name="_vena_PayrollS1_PayrollB2_C_8_479426184913354752">#REF!</definedName>
    <definedName name="_vena_PayrollS1_PayrollB2_C_8_479426184913354752_1">#REF!</definedName>
    <definedName name="_vena_PayrollS1_PayrollB2_C_8_479426184913354752_10">#REF!</definedName>
    <definedName name="_vena_PayrollS1_PayrollB2_C_8_479426184913354752_11">#REF!</definedName>
    <definedName name="_vena_PayrollS1_PayrollB2_C_8_479426184913354752_12">#REF!</definedName>
    <definedName name="_vena_PayrollS1_PayrollB2_C_8_479426184913354752_13">#REF!</definedName>
    <definedName name="_vena_PayrollS1_PayrollB2_C_8_479426184913354752_14">#REF!</definedName>
    <definedName name="_vena_PayrollS1_PayrollB2_C_8_479426184913354752_15">#REF!</definedName>
    <definedName name="_vena_PayrollS1_PayrollB2_C_8_479426184913354752_16">#REF!</definedName>
    <definedName name="_vena_PayrollS1_PayrollB2_C_8_479426184913354752_17">#REF!</definedName>
    <definedName name="_vena_PayrollS1_PayrollB2_C_8_479426184913354752_18">#REF!</definedName>
    <definedName name="_vena_PayrollS1_PayrollB2_C_8_479426184913354752_19">#REF!</definedName>
    <definedName name="_vena_PayrollS1_PayrollB2_C_8_479426184913354752_2">#REF!</definedName>
    <definedName name="_vena_PayrollS1_PayrollB2_C_8_479426184913354752_20">#REF!</definedName>
    <definedName name="_vena_PayrollS1_PayrollB2_C_8_479426184913354752_21">#REF!</definedName>
    <definedName name="_vena_PayrollS1_PayrollB2_C_8_479426184913354752_22">#REF!</definedName>
    <definedName name="_vena_PayrollS1_PayrollB2_C_8_479426184913354752_23">#REF!</definedName>
    <definedName name="_vena_PayrollS1_PayrollB2_C_8_479426184913354752_24">#REF!</definedName>
    <definedName name="_vena_PayrollS1_PayrollB2_C_8_479426184913354752_25">#REF!</definedName>
    <definedName name="_vena_PayrollS1_PayrollB2_C_8_479426184913354752_26">#REF!</definedName>
    <definedName name="_vena_PayrollS1_PayrollB2_C_8_479426184913354752_27">#REF!</definedName>
    <definedName name="_vena_PayrollS1_PayrollB2_C_8_479426184913354752_28">#REF!</definedName>
    <definedName name="_vena_PayrollS1_PayrollB2_C_8_479426184913354752_29">#REF!</definedName>
    <definedName name="_vena_PayrollS1_PayrollB2_C_8_479426184913354752_3">#REF!</definedName>
    <definedName name="_vena_PayrollS1_PayrollB2_C_8_479426184913354752_30">#REF!</definedName>
    <definedName name="_vena_PayrollS1_PayrollB2_C_8_479426184913354752_31">#REF!</definedName>
    <definedName name="_vena_PayrollS1_PayrollB2_C_8_479426184913354752_32">#REF!</definedName>
    <definedName name="_vena_PayrollS1_PayrollB2_C_8_479426184913354752_33">#REF!</definedName>
    <definedName name="_vena_PayrollS1_PayrollB2_C_8_479426184913354752_34">#REF!</definedName>
    <definedName name="_vena_PayrollS1_PayrollB2_C_8_479426184913354752_35">#REF!</definedName>
    <definedName name="_vena_PayrollS1_PayrollB2_C_8_479426184913354752_36">#REF!</definedName>
    <definedName name="_vena_PayrollS1_PayrollB2_C_8_479426184913354752_37">#REF!</definedName>
    <definedName name="_vena_PayrollS1_PayrollB2_C_8_479426184913354752_38">#REF!</definedName>
    <definedName name="_vena_PayrollS1_PayrollB2_C_8_479426184913354752_39">#REF!</definedName>
    <definedName name="_vena_PayrollS1_PayrollB2_C_8_479426184913354752_4">#REF!</definedName>
    <definedName name="_vena_PayrollS1_PayrollB2_C_8_479426184913354752_40">#REF!</definedName>
    <definedName name="_vena_PayrollS1_PayrollB2_C_8_479426184913354752_41">#REF!</definedName>
    <definedName name="_vena_PayrollS1_PayrollB2_C_8_479426184913354752_42">#REF!</definedName>
    <definedName name="_vena_PayrollS1_PayrollB2_C_8_479426184913354752_43">#REF!</definedName>
    <definedName name="_vena_PayrollS1_PayrollB2_C_8_479426184913354752_44">#REF!</definedName>
    <definedName name="_vena_PayrollS1_PayrollB2_C_8_479426184913354752_45">#REF!</definedName>
    <definedName name="_vena_PayrollS1_PayrollB2_C_8_479426184913354752_46">#REF!</definedName>
    <definedName name="_vena_PayrollS1_PayrollB2_C_8_479426184913354752_47">#REF!</definedName>
    <definedName name="_vena_PayrollS1_PayrollB2_C_8_479426184913354752_5">#REF!</definedName>
    <definedName name="_vena_PayrollS1_PayrollB2_C_8_479426184913354752_6">#REF!</definedName>
    <definedName name="_vena_PayrollS1_PayrollB2_C_8_479426184913354752_7">#REF!</definedName>
    <definedName name="_vena_PayrollS1_PayrollB2_C_8_479426184913354752_8">#REF!</definedName>
    <definedName name="_vena_PayrollS1_PayrollB2_C_8_479426184913354752_9">#REF!</definedName>
    <definedName name="_vena_PayrollS1_PayrollB2_C_8_632005313625325576">#REF!</definedName>
    <definedName name="_vena_PayrollS1_PayrollB2_C_8_632005313625325576_1">#REF!</definedName>
    <definedName name="_vena_PayrollS1_PayrollB2_C_8_632005313625325576_10">#REF!</definedName>
    <definedName name="_vena_PayrollS1_PayrollB2_C_8_632005313625325576_11">#REF!</definedName>
    <definedName name="_vena_PayrollS1_PayrollB2_C_8_632005313625325576_2">#REF!</definedName>
    <definedName name="_vena_PayrollS1_PayrollB2_C_8_632005313625325576_3">#REF!</definedName>
    <definedName name="_vena_PayrollS1_PayrollB2_C_8_632005313625325576_4">#REF!</definedName>
    <definedName name="_vena_PayrollS1_PayrollB2_C_8_632005313625325576_5">#REF!</definedName>
    <definedName name="_vena_PayrollS1_PayrollB2_C_8_632005313625325576_6">#REF!</definedName>
    <definedName name="_vena_PayrollS1_PayrollB2_C_8_632005313625325576_7">#REF!</definedName>
    <definedName name="_vena_PayrollS1_PayrollB2_C_8_632005313625325576_8">#REF!</definedName>
    <definedName name="_vena_PayrollS1_PayrollB2_C_8_632005313625325576_9">#REF!</definedName>
    <definedName name="_vena_PayrollS1_PayrollB2_C_8_632005313646297090">#REF!</definedName>
    <definedName name="_vena_PayrollS1_PayrollB2_C_8_632005313650491400">#REF!</definedName>
    <definedName name="_vena_PayrollS1_PayrollB2_C_8_632005313675657223">#REF!</definedName>
    <definedName name="_vena_PayrollS1_PayrollB2_C_8_632005313688240135">#REF!</definedName>
    <definedName name="_vena_PayrollS1_PayrollB2_C_8_632005313688240135_1">#REF!</definedName>
    <definedName name="_vena_PayrollS1_PayrollB2_C_8_632005313688240135_10">#REF!</definedName>
    <definedName name="_vena_PayrollS1_PayrollB2_C_8_632005313688240135_11">#REF!</definedName>
    <definedName name="_vena_PayrollS1_PayrollB2_C_8_632005313688240135_2">#REF!</definedName>
    <definedName name="_vena_PayrollS1_PayrollB2_C_8_632005313688240135_3">#REF!</definedName>
    <definedName name="_vena_PayrollS1_PayrollB2_C_8_632005313688240135_4">#REF!</definedName>
    <definedName name="_vena_PayrollS1_PayrollB2_C_8_632005313688240135_5">#REF!</definedName>
    <definedName name="_vena_PayrollS1_PayrollB2_C_8_632005313688240135_6">#REF!</definedName>
    <definedName name="_vena_PayrollS1_PayrollB2_C_8_632005313688240135_7">#REF!</definedName>
    <definedName name="_vena_PayrollS1_PayrollB2_C_8_632005313688240135_8">#REF!</definedName>
    <definedName name="_vena_PayrollS1_PayrollB2_C_8_632005313688240135_9">#REF!</definedName>
    <definedName name="_vena_PayrollS1_PayrollB2_C_FV_56493ffece784c5db4cd0fd3b40a250d">#REF!</definedName>
    <definedName name="_vena_PayrollS1_PayrollB2_C_FV_56493ffece784c5db4cd0fd3b40a250d_1">#REF!</definedName>
    <definedName name="_vena_PayrollS1_PayrollB2_C_FV_56493ffece784c5db4cd0fd3b40a250d_10">#REF!</definedName>
    <definedName name="_vena_PayrollS1_PayrollB2_C_FV_56493ffece784c5db4cd0fd3b40a250d_11">#REF!</definedName>
    <definedName name="_vena_PayrollS1_PayrollB2_C_FV_56493ffece784c5db4cd0fd3b40a250d_12">#REF!</definedName>
    <definedName name="_vena_PayrollS1_PayrollB2_C_FV_56493ffece784c5db4cd0fd3b40a250d_13">#REF!</definedName>
    <definedName name="_vena_PayrollS1_PayrollB2_C_FV_56493ffece784c5db4cd0fd3b40a250d_14">#REF!</definedName>
    <definedName name="_vena_PayrollS1_PayrollB2_C_FV_56493ffece784c5db4cd0fd3b40a250d_15">#REF!</definedName>
    <definedName name="_vena_PayrollS1_PayrollB2_C_FV_56493ffece784c5db4cd0fd3b40a250d_16">#REF!</definedName>
    <definedName name="_vena_PayrollS1_PayrollB2_C_FV_56493ffece784c5db4cd0fd3b40a250d_17">#REF!</definedName>
    <definedName name="_vena_PayrollS1_PayrollB2_C_FV_56493ffece784c5db4cd0fd3b40a250d_18">#REF!</definedName>
    <definedName name="_vena_PayrollS1_PayrollB2_C_FV_56493ffece784c5db4cd0fd3b40a250d_19">#REF!</definedName>
    <definedName name="_vena_PayrollS1_PayrollB2_C_FV_56493ffece784c5db4cd0fd3b40a250d_2">#REF!</definedName>
    <definedName name="_vena_PayrollS1_PayrollB2_C_FV_56493ffece784c5db4cd0fd3b40a250d_20">#REF!</definedName>
    <definedName name="_vena_PayrollS1_PayrollB2_C_FV_56493ffece784c5db4cd0fd3b40a250d_21">#REF!</definedName>
    <definedName name="_vena_PayrollS1_PayrollB2_C_FV_56493ffece784c5db4cd0fd3b40a250d_22">#REF!</definedName>
    <definedName name="_vena_PayrollS1_PayrollB2_C_FV_56493ffece784c5db4cd0fd3b40a250d_23">#REF!</definedName>
    <definedName name="_vena_PayrollS1_PayrollB2_C_FV_56493ffece784c5db4cd0fd3b40a250d_24">#REF!</definedName>
    <definedName name="_vena_PayrollS1_PayrollB2_C_FV_56493ffece784c5db4cd0fd3b40a250d_25">#REF!</definedName>
    <definedName name="_vena_PayrollS1_PayrollB2_C_FV_56493ffece784c5db4cd0fd3b40a250d_26">#REF!</definedName>
    <definedName name="_vena_PayrollS1_PayrollB2_C_FV_56493ffece784c5db4cd0fd3b40a250d_27">#REF!</definedName>
    <definedName name="_vena_PayrollS1_PayrollB2_C_FV_56493ffece784c5db4cd0fd3b40a250d_28">#REF!</definedName>
    <definedName name="_vena_PayrollS1_PayrollB2_C_FV_56493ffece784c5db4cd0fd3b40a250d_29">#REF!</definedName>
    <definedName name="_vena_PayrollS1_PayrollB2_C_FV_56493ffece784c5db4cd0fd3b40a250d_3">#REF!</definedName>
    <definedName name="_vena_PayrollS1_PayrollB2_C_FV_56493ffece784c5db4cd0fd3b40a250d_30">#REF!</definedName>
    <definedName name="_vena_PayrollS1_PayrollB2_C_FV_56493ffece784c5db4cd0fd3b40a250d_31">#REF!</definedName>
    <definedName name="_vena_PayrollS1_PayrollB2_C_FV_56493ffece784c5db4cd0fd3b40a250d_32">#REF!</definedName>
    <definedName name="_vena_PayrollS1_PayrollB2_C_FV_56493ffece784c5db4cd0fd3b40a250d_33">#REF!</definedName>
    <definedName name="_vena_PayrollS1_PayrollB2_C_FV_56493ffece784c5db4cd0fd3b40a250d_34">#REF!</definedName>
    <definedName name="_vena_PayrollS1_PayrollB2_C_FV_56493ffece784c5db4cd0fd3b40a250d_35">#REF!</definedName>
    <definedName name="_vena_PayrollS1_PayrollB2_C_FV_56493ffece784c5db4cd0fd3b40a250d_36">#REF!</definedName>
    <definedName name="_vena_PayrollS1_PayrollB2_C_FV_56493ffece784c5db4cd0fd3b40a250d_37">#REF!</definedName>
    <definedName name="_vena_PayrollS1_PayrollB2_C_FV_56493ffece784c5db4cd0fd3b40a250d_38">#REF!</definedName>
    <definedName name="_vena_PayrollS1_PayrollB2_C_FV_56493ffece784c5db4cd0fd3b40a250d_39">#REF!</definedName>
    <definedName name="_vena_PayrollS1_PayrollB2_C_FV_56493ffece784c5db4cd0fd3b40a250d_4">#REF!</definedName>
    <definedName name="_vena_PayrollS1_PayrollB2_C_FV_56493ffece784c5db4cd0fd3b40a250d_40">#REF!</definedName>
    <definedName name="_vena_PayrollS1_PayrollB2_C_FV_56493ffece784c5db4cd0fd3b40a250d_41">#REF!</definedName>
    <definedName name="_vena_PayrollS1_PayrollB2_C_FV_56493ffece784c5db4cd0fd3b40a250d_42">#REF!</definedName>
    <definedName name="_vena_PayrollS1_PayrollB2_C_FV_56493ffece784c5db4cd0fd3b40a250d_43">#REF!</definedName>
    <definedName name="_vena_PayrollS1_PayrollB2_C_FV_56493ffece784c5db4cd0fd3b40a250d_44">#REF!</definedName>
    <definedName name="_vena_PayrollS1_PayrollB2_C_FV_56493ffece784c5db4cd0fd3b40a250d_45">#REF!</definedName>
    <definedName name="_vena_PayrollS1_PayrollB2_C_FV_56493ffece784c5db4cd0fd3b40a250d_46">#REF!</definedName>
    <definedName name="_vena_PayrollS1_PayrollB2_C_FV_56493ffece784c5db4cd0fd3b40a250d_47">#REF!</definedName>
    <definedName name="_vena_PayrollS1_PayrollB2_C_FV_56493ffece784c5db4cd0fd3b40a250d_48">#REF!</definedName>
    <definedName name="_vena_PayrollS1_PayrollB2_C_FV_56493ffece784c5db4cd0fd3b40a250d_49">#REF!</definedName>
    <definedName name="_vena_PayrollS1_PayrollB2_C_FV_56493ffece784c5db4cd0fd3b40a250d_5">#REF!</definedName>
    <definedName name="_vena_PayrollS1_PayrollB2_C_FV_56493ffece784c5db4cd0fd3b40a250d_50">#REF!</definedName>
    <definedName name="_vena_PayrollS1_PayrollB2_C_FV_56493ffece784c5db4cd0fd3b40a250d_51">#REF!</definedName>
    <definedName name="_vena_PayrollS1_PayrollB2_C_FV_56493ffece784c5db4cd0fd3b40a250d_52">#REF!</definedName>
    <definedName name="_vena_PayrollS1_PayrollB2_C_FV_56493ffece784c5db4cd0fd3b40a250d_53">#REF!</definedName>
    <definedName name="_vena_PayrollS1_PayrollB2_C_FV_56493ffece784c5db4cd0fd3b40a250d_54">#REF!</definedName>
    <definedName name="_vena_PayrollS1_PayrollB2_C_FV_56493ffece784c5db4cd0fd3b40a250d_6">#REF!</definedName>
    <definedName name="_vena_PayrollS1_PayrollB2_C_FV_56493ffece784c5db4cd0fd3b40a250d_7">#REF!</definedName>
    <definedName name="_vena_PayrollS1_PayrollB2_C_FV_56493ffece784c5db4cd0fd3b40a250d_8">#REF!</definedName>
    <definedName name="_vena_PayrollS1_PayrollB2_C_FV_56493ffece784c5db4cd0fd3b40a250d_9">#REF!</definedName>
    <definedName name="_vena_PayrollS1_PayrollB2_C_FV_e1c3a244dc3d4f149ecdf7d748811086">#REF!</definedName>
    <definedName name="_vena_PayrollS1_PayrollB2_C_FV_e1c3a244dc3d4f149ecdf7d748811086_1">#REF!</definedName>
    <definedName name="_vena_PayrollS1_PayrollB2_C_FV_e1c3a244dc3d4f149ecdf7d748811086_10">#REF!</definedName>
    <definedName name="_vena_PayrollS1_PayrollB2_C_FV_e1c3a244dc3d4f149ecdf7d748811086_11">#REF!</definedName>
    <definedName name="_vena_PayrollS1_PayrollB2_C_FV_e1c3a244dc3d4f149ecdf7d748811086_12">#REF!</definedName>
    <definedName name="_vena_PayrollS1_PayrollB2_C_FV_e1c3a244dc3d4f149ecdf7d748811086_13">#REF!</definedName>
    <definedName name="_vena_PayrollS1_PayrollB2_C_FV_e1c3a244dc3d4f149ecdf7d748811086_14">#REF!</definedName>
    <definedName name="_vena_PayrollS1_PayrollB2_C_FV_e1c3a244dc3d4f149ecdf7d748811086_15">#REF!</definedName>
    <definedName name="_vena_PayrollS1_PayrollB2_C_FV_e1c3a244dc3d4f149ecdf7d748811086_16">#REF!</definedName>
    <definedName name="_vena_PayrollS1_PayrollB2_C_FV_e1c3a244dc3d4f149ecdf7d748811086_17">#REF!</definedName>
    <definedName name="_vena_PayrollS1_PayrollB2_C_FV_e1c3a244dc3d4f149ecdf7d748811086_18">#REF!</definedName>
    <definedName name="_vena_PayrollS1_PayrollB2_C_FV_e1c3a244dc3d4f149ecdf7d748811086_19">#REF!</definedName>
    <definedName name="_vena_PayrollS1_PayrollB2_C_FV_e1c3a244dc3d4f149ecdf7d748811086_2">#REF!</definedName>
    <definedName name="_vena_PayrollS1_PayrollB2_C_FV_e1c3a244dc3d4f149ecdf7d748811086_20">#REF!</definedName>
    <definedName name="_vena_PayrollS1_PayrollB2_C_FV_e1c3a244dc3d4f149ecdf7d748811086_21">#REF!</definedName>
    <definedName name="_vena_PayrollS1_PayrollB2_C_FV_e1c3a244dc3d4f149ecdf7d748811086_22">#REF!</definedName>
    <definedName name="_vena_PayrollS1_PayrollB2_C_FV_e1c3a244dc3d4f149ecdf7d748811086_23">#REF!</definedName>
    <definedName name="_vena_PayrollS1_PayrollB2_C_FV_e1c3a244dc3d4f149ecdf7d748811086_24">#REF!</definedName>
    <definedName name="_vena_PayrollS1_PayrollB2_C_FV_e1c3a244dc3d4f149ecdf7d748811086_25">#REF!</definedName>
    <definedName name="_vena_PayrollS1_PayrollB2_C_FV_e1c3a244dc3d4f149ecdf7d748811086_26">#REF!</definedName>
    <definedName name="_vena_PayrollS1_PayrollB2_C_FV_e1c3a244dc3d4f149ecdf7d748811086_27">#REF!</definedName>
    <definedName name="_vena_PayrollS1_PayrollB2_C_FV_e1c3a244dc3d4f149ecdf7d748811086_28">#REF!</definedName>
    <definedName name="_vena_PayrollS1_PayrollB2_C_FV_e1c3a244dc3d4f149ecdf7d748811086_29">#REF!</definedName>
    <definedName name="_vena_PayrollS1_PayrollB2_C_FV_e1c3a244dc3d4f149ecdf7d748811086_3">#REF!</definedName>
    <definedName name="_vena_PayrollS1_PayrollB2_C_FV_e1c3a244dc3d4f149ecdf7d748811086_30">#REF!</definedName>
    <definedName name="_vena_PayrollS1_PayrollB2_C_FV_e1c3a244dc3d4f149ecdf7d748811086_31">#REF!</definedName>
    <definedName name="_vena_PayrollS1_PayrollB2_C_FV_e1c3a244dc3d4f149ecdf7d748811086_32">#REF!</definedName>
    <definedName name="_vena_PayrollS1_PayrollB2_C_FV_e1c3a244dc3d4f149ecdf7d748811086_33">#REF!</definedName>
    <definedName name="_vena_PayrollS1_PayrollB2_C_FV_e1c3a244dc3d4f149ecdf7d748811086_34">#REF!</definedName>
    <definedName name="_vena_PayrollS1_PayrollB2_C_FV_e1c3a244dc3d4f149ecdf7d748811086_35">#REF!</definedName>
    <definedName name="_vena_PayrollS1_PayrollB2_C_FV_e1c3a244dc3d4f149ecdf7d748811086_36">#REF!</definedName>
    <definedName name="_vena_PayrollS1_PayrollB2_C_FV_e1c3a244dc3d4f149ecdf7d748811086_37">#REF!</definedName>
    <definedName name="_vena_PayrollS1_PayrollB2_C_FV_e1c3a244dc3d4f149ecdf7d748811086_38">#REF!</definedName>
    <definedName name="_vena_PayrollS1_PayrollB2_C_FV_e1c3a244dc3d4f149ecdf7d748811086_39">#REF!</definedName>
    <definedName name="_vena_PayrollS1_PayrollB2_C_FV_e1c3a244dc3d4f149ecdf7d748811086_4">#REF!</definedName>
    <definedName name="_vena_PayrollS1_PayrollB2_C_FV_e1c3a244dc3d4f149ecdf7d748811086_40">#REF!</definedName>
    <definedName name="_vena_PayrollS1_PayrollB2_C_FV_e1c3a244dc3d4f149ecdf7d748811086_41">#REF!</definedName>
    <definedName name="_vena_PayrollS1_PayrollB2_C_FV_e1c3a244dc3d4f149ecdf7d748811086_42">#REF!</definedName>
    <definedName name="_vena_PayrollS1_PayrollB2_C_FV_e1c3a244dc3d4f149ecdf7d748811086_43">#REF!</definedName>
    <definedName name="_vena_PayrollS1_PayrollB2_C_FV_e1c3a244dc3d4f149ecdf7d748811086_44">#REF!</definedName>
    <definedName name="_vena_PayrollS1_PayrollB2_C_FV_e1c3a244dc3d4f149ecdf7d748811086_45">#REF!</definedName>
    <definedName name="_vena_PayrollS1_PayrollB2_C_FV_e1c3a244dc3d4f149ecdf7d748811086_46">#REF!</definedName>
    <definedName name="_vena_PayrollS1_PayrollB2_C_FV_e1c3a244dc3d4f149ecdf7d748811086_47">#REF!</definedName>
    <definedName name="_vena_PayrollS1_PayrollB2_C_FV_e1c3a244dc3d4f149ecdf7d748811086_48">#REF!</definedName>
    <definedName name="_vena_PayrollS1_PayrollB2_C_FV_e1c3a244dc3d4f149ecdf7d748811086_49">#REF!</definedName>
    <definedName name="_vena_PayrollS1_PayrollB2_C_FV_e1c3a244dc3d4f149ecdf7d748811086_5">#REF!</definedName>
    <definedName name="_vena_PayrollS1_PayrollB2_C_FV_e1c3a244dc3d4f149ecdf7d748811086_50">#REF!</definedName>
    <definedName name="_vena_PayrollS1_PayrollB2_C_FV_e1c3a244dc3d4f149ecdf7d748811086_51">#REF!</definedName>
    <definedName name="_vena_PayrollS1_PayrollB2_C_FV_e1c3a244dc3d4f149ecdf7d748811086_52">#REF!</definedName>
    <definedName name="_vena_PayrollS1_PayrollB2_C_FV_e1c3a244dc3d4f149ecdf7d748811086_6">#REF!</definedName>
    <definedName name="_vena_PayrollS1_PayrollB2_C_FV_e1c3a244dc3d4f149ecdf7d748811086_7">#REF!</definedName>
    <definedName name="_vena_PayrollS1_PayrollB2_C_FV_e1c3a244dc3d4f149ecdf7d748811086_8">#REF!</definedName>
    <definedName name="_vena_PayrollS1_PayrollB2_C_FV_e1c3a244dc3d4f149ecdf7d748811086_9">#REF!</definedName>
    <definedName name="_vena_PayrollS1_PayrollB2_R_5_472632423897890816" comment="*">#REF!</definedName>
    <definedName name="_vena_PayrollS1_PayrollB2_R_5_632005310886445062" comment="*">#REF!</definedName>
    <definedName name="_vena_PayrollS1_PayrollB3_C_4_451234991058452480">#REF!</definedName>
    <definedName name="_vena_PayrollS1_PayrollB3_C_4_632005309959503878">#REF!</definedName>
    <definedName name="_vena_PayrollS1_PayrollB3_C_8_431662182280724481">#REF!</definedName>
    <definedName name="_vena_PayrollS1_PayrollB3_C_8_431662182280724481_1">#REF!</definedName>
    <definedName name="_vena_PayrollS1_PayrollB3_C_8_431662182280724481_10">#REF!</definedName>
    <definedName name="_vena_PayrollS1_PayrollB3_C_8_431662182280724481_11">#REF!</definedName>
    <definedName name="_vena_PayrollS1_PayrollB3_C_8_431662182280724481_12">#REF!</definedName>
    <definedName name="_vena_PayrollS1_PayrollB3_C_8_431662182280724481_13">#REF!</definedName>
    <definedName name="_vena_PayrollS1_PayrollB3_C_8_431662182280724481_14">#REF!</definedName>
    <definedName name="_vena_PayrollS1_PayrollB3_C_8_431662182280724481_15">#REF!</definedName>
    <definedName name="_vena_PayrollS1_PayrollB3_C_8_431662182280724481_16">#REF!</definedName>
    <definedName name="_vena_PayrollS1_PayrollB3_C_8_431662182280724481_17">#REF!</definedName>
    <definedName name="_vena_PayrollS1_PayrollB3_C_8_431662182280724481_18">#REF!</definedName>
    <definedName name="_vena_PayrollS1_PayrollB3_C_8_431662182280724481_19">#REF!</definedName>
    <definedName name="_vena_PayrollS1_PayrollB3_C_8_431662182280724481_2">#REF!</definedName>
    <definedName name="_vena_PayrollS1_PayrollB3_C_8_431662182280724481_20">#REF!</definedName>
    <definedName name="_vena_PayrollS1_PayrollB3_C_8_431662182280724481_21">#REF!</definedName>
    <definedName name="_vena_PayrollS1_PayrollB3_C_8_431662182280724481_22">#REF!</definedName>
    <definedName name="_vena_PayrollS1_PayrollB3_C_8_431662182280724481_23">#REF!</definedName>
    <definedName name="_vena_PayrollS1_PayrollB3_C_8_431662182280724481_24">#REF!</definedName>
    <definedName name="_vena_PayrollS1_PayrollB3_C_8_431662182280724481_25">#REF!</definedName>
    <definedName name="_vena_PayrollS1_PayrollB3_C_8_431662182280724481_26">#REF!</definedName>
    <definedName name="_vena_PayrollS1_PayrollB3_C_8_431662182280724481_27">#REF!</definedName>
    <definedName name="_vena_PayrollS1_PayrollB3_C_8_431662182280724481_28">#REF!</definedName>
    <definedName name="_vena_PayrollS1_PayrollB3_C_8_431662182280724481_29">#REF!</definedName>
    <definedName name="_vena_PayrollS1_PayrollB3_C_8_431662182280724481_3">#REF!</definedName>
    <definedName name="_vena_PayrollS1_PayrollB3_C_8_431662182280724481_30">#REF!</definedName>
    <definedName name="_vena_PayrollS1_PayrollB3_C_8_431662182280724481_31">#REF!</definedName>
    <definedName name="_vena_PayrollS1_PayrollB3_C_8_431662182280724481_32">#REF!</definedName>
    <definedName name="_vena_PayrollS1_PayrollB3_C_8_431662182280724481_33">#REF!</definedName>
    <definedName name="_vena_PayrollS1_PayrollB3_C_8_431662182280724481_34">#REF!</definedName>
    <definedName name="_vena_PayrollS1_PayrollB3_C_8_431662182280724481_35">#REF!</definedName>
    <definedName name="_vena_PayrollS1_PayrollB3_C_8_431662182280724481_36">#REF!</definedName>
    <definedName name="_vena_PayrollS1_PayrollB3_C_8_431662182280724481_37">#REF!</definedName>
    <definedName name="_vena_PayrollS1_PayrollB3_C_8_431662182280724481_38">#REF!</definedName>
    <definedName name="_vena_PayrollS1_PayrollB3_C_8_431662182280724481_39">#REF!</definedName>
    <definedName name="_vena_PayrollS1_PayrollB3_C_8_431662182280724481_4">#REF!</definedName>
    <definedName name="_vena_PayrollS1_PayrollB3_C_8_431662182280724481_40">#REF!</definedName>
    <definedName name="_vena_PayrollS1_PayrollB3_C_8_431662182280724481_41">#REF!</definedName>
    <definedName name="_vena_PayrollS1_PayrollB3_C_8_431662182280724481_42">#REF!</definedName>
    <definedName name="_vena_PayrollS1_PayrollB3_C_8_431662182280724481_43">#REF!</definedName>
    <definedName name="_vena_PayrollS1_PayrollB3_C_8_431662182280724481_44">#REF!</definedName>
    <definedName name="_vena_PayrollS1_PayrollB3_C_8_431662182280724481_45">#REF!</definedName>
    <definedName name="_vena_PayrollS1_PayrollB3_C_8_431662182280724481_46">#REF!</definedName>
    <definedName name="_vena_PayrollS1_PayrollB3_C_8_431662182280724481_47">#REF!</definedName>
    <definedName name="_vena_PayrollS1_PayrollB3_C_8_431662182280724481_5">#REF!</definedName>
    <definedName name="_vena_PayrollS1_PayrollB3_C_8_431662182280724481_6">#REF!</definedName>
    <definedName name="_vena_PayrollS1_PayrollB3_C_8_431662182280724481_7">#REF!</definedName>
    <definedName name="_vena_PayrollS1_PayrollB3_C_8_431662182280724481_8">#REF!</definedName>
    <definedName name="_vena_PayrollS1_PayrollB3_C_8_431662182280724481_9">#REF!</definedName>
    <definedName name="_vena_PayrollS1_PayrollB3_C_8_431662182314278912">#REF!</definedName>
    <definedName name="_vena_PayrollS1_PayrollB3_C_8_488223769606488064">#REF!</definedName>
    <definedName name="_vena_PayrollS1_PayrollB3_C_8_488223769606488064_1">#REF!</definedName>
    <definedName name="_vena_PayrollS1_PayrollB3_C_8_488223769606488064_10">#REF!</definedName>
    <definedName name="_vena_PayrollS1_PayrollB3_C_8_488223769606488064_11">#REF!</definedName>
    <definedName name="_vena_PayrollS1_PayrollB3_C_8_488223769606488064_12">#REF!</definedName>
    <definedName name="_vena_PayrollS1_PayrollB3_C_8_488223769606488064_13">#REF!</definedName>
    <definedName name="_vena_PayrollS1_PayrollB3_C_8_488223769606488064_14">#REF!</definedName>
    <definedName name="_vena_PayrollS1_PayrollB3_C_8_488223769606488064_15">#REF!</definedName>
    <definedName name="_vena_PayrollS1_PayrollB3_C_8_488223769606488064_16">#REF!</definedName>
    <definedName name="_vena_PayrollS1_PayrollB3_C_8_488223769606488064_17">#REF!</definedName>
    <definedName name="_vena_PayrollS1_PayrollB3_C_8_488223769606488064_18">#REF!</definedName>
    <definedName name="_vena_PayrollS1_PayrollB3_C_8_488223769606488064_19">#REF!</definedName>
    <definedName name="_vena_PayrollS1_PayrollB3_C_8_488223769606488064_2">#REF!</definedName>
    <definedName name="_vena_PayrollS1_PayrollB3_C_8_488223769606488064_20">#REF!</definedName>
    <definedName name="_vena_PayrollS1_PayrollB3_C_8_488223769606488064_21">#REF!</definedName>
    <definedName name="_vena_PayrollS1_PayrollB3_C_8_488223769606488064_22">#REF!</definedName>
    <definedName name="_vena_PayrollS1_PayrollB3_C_8_488223769606488064_23">#REF!</definedName>
    <definedName name="_vena_PayrollS1_PayrollB3_C_8_488223769606488064_24">#REF!</definedName>
    <definedName name="_vena_PayrollS1_PayrollB3_C_8_488223769606488064_25">#REF!</definedName>
    <definedName name="_vena_PayrollS1_PayrollB3_C_8_488223769606488064_26">#REF!</definedName>
    <definedName name="_vena_PayrollS1_PayrollB3_C_8_488223769606488064_27">#REF!</definedName>
    <definedName name="_vena_PayrollS1_PayrollB3_C_8_488223769606488064_28">#REF!</definedName>
    <definedName name="_vena_PayrollS1_PayrollB3_C_8_488223769606488064_29">#REF!</definedName>
    <definedName name="_vena_PayrollS1_PayrollB3_C_8_488223769606488064_3">#REF!</definedName>
    <definedName name="_vena_PayrollS1_PayrollB3_C_8_488223769606488064_30">#REF!</definedName>
    <definedName name="_vena_PayrollS1_PayrollB3_C_8_488223769606488064_31">#REF!</definedName>
    <definedName name="_vena_PayrollS1_PayrollB3_C_8_488223769606488064_32">#REF!</definedName>
    <definedName name="_vena_PayrollS1_PayrollB3_C_8_488223769606488064_33">#REF!</definedName>
    <definedName name="_vena_PayrollS1_PayrollB3_C_8_488223769606488064_34">#REF!</definedName>
    <definedName name="_vena_PayrollS1_PayrollB3_C_8_488223769606488064_35">#REF!</definedName>
    <definedName name="_vena_PayrollS1_PayrollB3_C_8_488223769606488064_36">#REF!</definedName>
    <definedName name="_vena_PayrollS1_PayrollB3_C_8_488223769606488064_37">#REF!</definedName>
    <definedName name="_vena_PayrollS1_PayrollB3_C_8_488223769606488064_38">#REF!</definedName>
    <definedName name="_vena_PayrollS1_PayrollB3_C_8_488223769606488064_39">#REF!</definedName>
    <definedName name="_vena_PayrollS1_PayrollB3_C_8_488223769606488064_4">#REF!</definedName>
    <definedName name="_vena_PayrollS1_PayrollB3_C_8_488223769606488064_40">#REF!</definedName>
    <definedName name="_vena_PayrollS1_PayrollB3_C_8_488223769606488064_41">#REF!</definedName>
    <definedName name="_vena_PayrollS1_PayrollB3_C_8_488223769606488064_42">#REF!</definedName>
    <definedName name="_vena_PayrollS1_PayrollB3_C_8_488223769606488064_43">#REF!</definedName>
    <definedName name="_vena_PayrollS1_PayrollB3_C_8_488223769606488064_44">#REF!</definedName>
    <definedName name="_vena_PayrollS1_PayrollB3_C_8_488223769606488064_45">#REF!</definedName>
    <definedName name="_vena_PayrollS1_PayrollB3_C_8_488223769606488064_46">#REF!</definedName>
    <definedName name="_vena_PayrollS1_PayrollB3_C_8_488223769606488064_47">#REF!</definedName>
    <definedName name="_vena_PayrollS1_PayrollB3_C_8_488223769606488064_5">#REF!</definedName>
    <definedName name="_vena_PayrollS1_PayrollB3_C_8_488223769606488064_6">#REF!</definedName>
    <definedName name="_vena_PayrollS1_PayrollB3_C_8_488223769606488064_7">#REF!</definedName>
    <definedName name="_vena_PayrollS1_PayrollB3_C_8_488223769606488064_8">#REF!</definedName>
    <definedName name="_vena_PayrollS1_PayrollB3_C_8_488223769606488064_9">#REF!</definedName>
    <definedName name="_vena_PayrollS1_PayrollB3_C_8_632005313608548359">#REF!</definedName>
    <definedName name="_vena_PayrollS1_PayrollB3_C_8_632005313625325576">#REF!</definedName>
    <definedName name="_vena_PayrollS1_PayrollB3_C_8_632005313625325576_1">#REF!</definedName>
    <definedName name="_vena_PayrollS1_PayrollB3_C_8_632005313625325576_10">#REF!</definedName>
    <definedName name="_vena_PayrollS1_PayrollB3_C_8_632005313625325576_11">#REF!</definedName>
    <definedName name="_vena_PayrollS1_PayrollB3_C_8_632005313625325576_2">#REF!</definedName>
    <definedName name="_vena_PayrollS1_PayrollB3_C_8_632005313625325576_3">#REF!</definedName>
    <definedName name="_vena_PayrollS1_PayrollB3_C_8_632005313625325576_4">#REF!</definedName>
    <definedName name="_vena_PayrollS1_PayrollB3_C_8_632005313625325576_5">#REF!</definedName>
    <definedName name="_vena_PayrollS1_PayrollB3_C_8_632005313625325576_6">#REF!</definedName>
    <definedName name="_vena_PayrollS1_PayrollB3_C_8_632005313625325576_7">#REF!</definedName>
    <definedName name="_vena_PayrollS1_PayrollB3_C_8_632005313625325576_8">#REF!</definedName>
    <definedName name="_vena_PayrollS1_PayrollB3_C_8_632005313625325576_9">#REF!</definedName>
    <definedName name="_vena_PayrollS1_PayrollB3_C_8_632005313629519872">#REF!</definedName>
    <definedName name="_vena_PayrollS1_PayrollB3_C_8_632005313629519872_1">#REF!</definedName>
    <definedName name="_vena_PayrollS1_PayrollB3_C_8_632005313629519872_10">#REF!</definedName>
    <definedName name="_vena_PayrollS1_PayrollB3_C_8_632005313629519872_11">#REF!</definedName>
    <definedName name="_vena_PayrollS1_PayrollB3_C_8_632005313629519872_2">#REF!</definedName>
    <definedName name="_vena_PayrollS1_PayrollB3_C_8_632005313629519872_3">#REF!</definedName>
    <definedName name="_vena_PayrollS1_PayrollB3_C_8_632005313629519872_4">#REF!</definedName>
    <definedName name="_vena_PayrollS1_PayrollB3_C_8_632005313629519872_5">#REF!</definedName>
    <definedName name="_vena_PayrollS1_PayrollB3_C_8_632005313629519872_6">#REF!</definedName>
    <definedName name="_vena_PayrollS1_PayrollB3_C_8_632005313629519872_7">#REF!</definedName>
    <definedName name="_vena_PayrollS1_PayrollB3_C_8_632005313629519872_8">#REF!</definedName>
    <definedName name="_vena_PayrollS1_PayrollB3_C_8_632005313629519872_9">#REF!</definedName>
    <definedName name="_vena_PayrollS1_PayrollB3_C_FV_56493ffece784c5db4cd0fd3b40a250d">#REF!</definedName>
    <definedName name="_vena_PayrollS1_PayrollB3_C_FV_56493ffece784c5db4cd0fd3b40a250d_1">#REF!</definedName>
    <definedName name="_vena_PayrollS1_PayrollB3_C_FV_56493ffece784c5db4cd0fd3b40a250d_10">#REF!</definedName>
    <definedName name="_vena_PayrollS1_PayrollB3_C_FV_56493ffece784c5db4cd0fd3b40a250d_100">#REF!</definedName>
    <definedName name="_vena_PayrollS1_PayrollB3_C_FV_56493ffece784c5db4cd0fd3b40a250d_101">#REF!</definedName>
    <definedName name="_vena_PayrollS1_PayrollB3_C_FV_56493ffece784c5db4cd0fd3b40a250d_102">#REF!</definedName>
    <definedName name="_vena_PayrollS1_PayrollB3_C_FV_56493ffece784c5db4cd0fd3b40a250d_11">#REF!</definedName>
    <definedName name="_vena_PayrollS1_PayrollB3_C_FV_56493ffece784c5db4cd0fd3b40a250d_12">#REF!</definedName>
    <definedName name="_vena_PayrollS1_PayrollB3_C_FV_56493ffece784c5db4cd0fd3b40a250d_13">#REF!</definedName>
    <definedName name="_vena_PayrollS1_PayrollB3_C_FV_56493ffece784c5db4cd0fd3b40a250d_14">#REF!</definedName>
    <definedName name="_vena_PayrollS1_PayrollB3_C_FV_56493ffece784c5db4cd0fd3b40a250d_15">#REF!</definedName>
    <definedName name="_vena_PayrollS1_PayrollB3_C_FV_56493ffece784c5db4cd0fd3b40a250d_16">#REF!</definedName>
    <definedName name="_vena_PayrollS1_PayrollB3_C_FV_56493ffece784c5db4cd0fd3b40a250d_17">#REF!</definedName>
    <definedName name="_vena_PayrollS1_PayrollB3_C_FV_56493ffece784c5db4cd0fd3b40a250d_18">#REF!</definedName>
    <definedName name="_vena_PayrollS1_PayrollB3_C_FV_56493ffece784c5db4cd0fd3b40a250d_19">#REF!</definedName>
    <definedName name="_vena_PayrollS1_PayrollB3_C_FV_56493ffece784c5db4cd0fd3b40a250d_2">#REF!</definedName>
    <definedName name="_vena_PayrollS1_PayrollB3_C_FV_56493ffece784c5db4cd0fd3b40a250d_20">#REF!</definedName>
    <definedName name="_vena_PayrollS1_PayrollB3_C_FV_56493ffece784c5db4cd0fd3b40a250d_21">#REF!</definedName>
    <definedName name="_vena_PayrollS1_PayrollB3_C_FV_56493ffece784c5db4cd0fd3b40a250d_22">#REF!</definedName>
    <definedName name="_vena_PayrollS1_PayrollB3_C_FV_56493ffece784c5db4cd0fd3b40a250d_23">#REF!</definedName>
    <definedName name="_vena_PayrollS1_PayrollB3_C_FV_56493ffece784c5db4cd0fd3b40a250d_24">#REF!</definedName>
    <definedName name="_vena_PayrollS1_PayrollB3_C_FV_56493ffece784c5db4cd0fd3b40a250d_25">#REF!</definedName>
    <definedName name="_vena_PayrollS1_PayrollB3_C_FV_56493ffece784c5db4cd0fd3b40a250d_26">#REF!</definedName>
    <definedName name="_vena_PayrollS1_PayrollB3_C_FV_56493ffece784c5db4cd0fd3b40a250d_27">#REF!</definedName>
    <definedName name="_vena_PayrollS1_PayrollB3_C_FV_56493ffece784c5db4cd0fd3b40a250d_28">#REF!</definedName>
    <definedName name="_vena_PayrollS1_PayrollB3_C_FV_56493ffece784c5db4cd0fd3b40a250d_29">#REF!</definedName>
    <definedName name="_vena_PayrollS1_PayrollB3_C_FV_56493ffece784c5db4cd0fd3b40a250d_3">#REF!</definedName>
    <definedName name="_vena_PayrollS1_PayrollB3_C_FV_56493ffece784c5db4cd0fd3b40a250d_30">#REF!</definedName>
    <definedName name="_vena_PayrollS1_PayrollB3_C_FV_56493ffece784c5db4cd0fd3b40a250d_31">#REF!</definedName>
    <definedName name="_vena_PayrollS1_PayrollB3_C_FV_56493ffece784c5db4cd0fd3b40a250d_32">#REF!</definedName>
    <definedName name="_vena_PayrollS1_PayrollB3_C_FV_56493ffece784c5db4cd0fd3b40a250d_33">#REF!</definedName>
    <definedName name="_vena_PayrollS1_PayrollB3_C_FV_56493ffece784c5db4cd0fd3b40a250d_34">#REF!</definedName>
    <definedName name="_vena_PayrollS1_PayrollB3_C_FV_56493ffece784c5db4cd0fd3b40a250d_35">#REF!</definedName>
    <definedName name="_vena_PayrollS1_PayrollB3_C_FV_56493ffece784c5db4cd0fd3b40a250d_36">#REF!</definedName>
    <definedName name="_vena_PayrollS1_PayrollB3_C_FV_56493ffece784c5db4cd0fd3b40a250d_37">#REF!</definedName>
    <definedName name="_vena_PayrollS1_PayrollB3_C_FV_56493ffece784c5db4cd0fd3b40a250d_38">#REF!</definedName>
    <definedName name="_vena_PayrollS1_PayrollB3_C_FV_56493ffece784c5db4cd0fd3b40a250d_39">#REF!</definedName>
    <definedName name="_vena_PayrollS1_PayrollB3_C_FV_56493ffece784c5db4cd0fd3b40a250d_4">#REF!</definedName>
    <definedName name="_vena_PayrollS1_PayrollB3_C_FV_56493ffece784c5db4cd0fd3b40a250d_40">#REF!</definedName>
    <definedName name="_vena_PayrollS1_PayrollB3_C_FV_56493ffece784c5db4cd0fd3b40a250d_41">#REF!</definedName>
    <definedName name="_vena_PayrollS1_PayrollB3_C_FV_56493ffece784c5db4cd0fd3b40a250d_42">#REF!</definedName>
    <definedName name="_vena_PayrollS1_PayrollB3_C_FV_56493ffece784c5db4cd0fd3b40a250d_43">#REF!</definedName>
    <definedName name="_vena_PayrollS1_PayrollB3_C_FV_56493ffece784c5db4cd0fd3b40a250d_44">#REF!</definedName>
    <definedName name="_vena_PayrollS1_PayrollB3_C_FV_56493ffece784c5db4cd0fd3b40a250d_45">#REF!</definedName>
    <definedName name="_vena_PayrollS1_PayrollB3_C_FV_56493ffece784c5db4cd0fd3b40a250d_46">#REF!</definedName>
    <definedName name="_vena_PayrollS1_PayrollB3_C_FV_56493ffece784c5db4cd0fd3b40a250d_47">#REF!</definedName>
    <definedName name="_vena_PayrollS1_PayrollB3_C_FV_56493ffece784c5db4cd0fd3b40a250d_48">#REF!</definedName>
    <definedName name="_vena_PayrollS1_PayrollB3_C_FV_56493ffece784c5db4cd0fd3b40a250d_49">#REF!</definedName>
    <definedName name="_vena_PayrollS1_PayrollB3_C_FV_56493ffece784c5db4cd0fd3b40a250d_5">#REF!</definedName>
    <definedName name="_vena_PayrollS1_PayrollB3_C_FV_56493ffece784c5db4cd0fd3b40a250d_50">#REF!</definedName>
    <definedName name="_vena_PayrollS1_PayrollB3_C_FV_56493ffece784c5db4cd0fd3b40a250d_51">#REF!</definedName>
    <definedName name="_vena_PayrollS1_PayrollB3_C_FV_56493ffece784c5db4cd0fd3b40a250d_52">#REF!</definedName>
    <definedName name="_vena_PayrollS1_PayrollB3_C_FV_56493ffece784c5db4cd0fd3b40a250d_53">#REF!</definedName>
    <definedName name="_vena_PayrollS1_PayrollB3_C_FV_56493ffece784c5db4cd0fd3b40a250d_54">#REF!</definedName>
    <definedName name="_vena_PayrollS1_PayrollB3_C_FV_56493ffece784c5db4cd0fd3b40a250d_55">#REF!</definedName>
    <definedName name="_vena_PayrollS1_PayrollB3_C_FV_56493ffece784c5db4cd0fd3b40a250d_56">#REF!</definedName>
    <definedName name="_vena_PayrollS1_PayrollB3_C_FV_56493ffece784c5db4cd0fd3b40a250d_57">#REF!</definedName>
    <definedName name="_vena_PayrollS1_PayrollB3_C_FV_56493ffece784c5db4cd0fd3b40a250d_58">#REF!</definedName>
    <definedName name="_vena_PayrollS1_PayrollB3_C_FV_56493ffece784c5db4cd0fd3b40a250d_59">#REF!</definedName>
    <definedName name="_vena_PayrollS1_PayrollB3_C_FV_56493ffece784c5db4cd0fd3b40a250d_6">#REF!</definedName>
    <definedName name="_vena_PayrollS1_PayrollB3_C_FV_56493ffece784c5db4cd0fd3b40a250d_60">#REF!</definedName>
    <definedName name="_vena_PayrollS1_PayrollB3_C_FV_56493ffece784c5db4cd0fd3b40a250d_61">#REF!</definedName>
    <definedName name="_vena_PayrollS1_PayrollB3_C_FV_56493ffece784c5db4cd0fd3b40a250d_62">#REF!</definedName>
    <definedName name="_vena_PayrollS1_PayrollB3_C_FV_56493ffece784c5db4cd0fd3b40a250d_63">#REF!</definedName>
    <definedName name="_vena_PayrollS1_PayrollB3_C_FV_56493ffece784c5db4cd0fd3b40a250d_64">#REF!</definedName>
    <definedName name="_vena_PayrollS1_PayrollB3_C_FV_56493ffece784c5db4cd0fd3b40a250d_65">#REF!</definedName>
    <definedName name="_vena_PayrollS1_PayrollB3_C_FV_56493ffece784c5db4cd0fd3b40a250d_66">#REF!</definedName>
    <definedName name="_vena_PayrollS1_PayrollB3_C_FV_56493ffece784c5db4cd0fd3b40a250d_67">#REF!</definedName>
    <definedName name="_vena_PayrollS1_PayrollB3_C_FV_56493ffece784c5db4cd0fd3b40a250d_68">#REF!</definedName>
    <definedName name="_vena_PayrollS1_PayrollB3_C_FV_56493ffece784c5db4cd0fd3b40a250d_69">#REF!</definedName>
    <definedName name="_vena_PayrollS1_PayrollB3_C_FV_56493ffece784c5db4cd0fd3b40a250d_7">#REF!</definedName>
    <definedName name="_vena_PayrollS1_PayrollB3_C_FV_56493ffece784c5db4cd0fd3b40a250d_70">#REF!</definedName>
    <definedName name="_vena_PayrollS1_PayrollB3_C_FV_56493ffece784c5db4cd0fd3b40a250d_71">#REF!</definedName>
    <definedName name="_vena_PayrollS1_PayrollB3_C_FV_56493ffece784c5db4cd0fd3b40a250d_72">#REF!</definedName>
    <definedName name="_vena_PayrollS1_PayrollB3_C_FV_56493ffece784c5db4cd0fd3b40a250d_73">#REF!</definedName>
    <definedName name="_vena_PayrollS1_PayrollB3_C_FV_56493ffece784c5db4cd0fd3b40a250d_74">#REF!</definedName>
    <definedName name="_vena_PayrollS1_PayrollB3_C_FV_56493ffece784c5db4cd0fd3b40a250d_75">#REF!</definedName>
    <definedName name="_vena_PayrollS1_PayrollB3_C_FV_56493ffece784c5db4cd0fd3b40a250d_76">#REF!</definedName>
    <definedName name="_vena_PayrollS1_PayrollB3_C_FV_56493ffece784c5db4cd0fd3b40a250d_77">#REF!</definedName>
    <definedName name="_vena_PayrollS1_PayrollB3_C_FV_56493ffece784c5db4cd0fd3b40a250d_78">#REF!</definedName>
    <definedName name="_vena_PayrollS1_PayrollB3_C_FV_56493ffece784c5db4cd0fd3b40a250d_79">#REF!</definedName>
    <definedName name="_vena_PayrollS1_PayrollB3_C_FV_56493ffece784c5db4cd0fd3b40a250d_8">#REF!</definedName>
    <definedName name="_vena_PayrollS1_PayrollB3_C_FV_56493ffece784c5db4cd0fd3b40a250d_80">#REF!</definedName>
    <definedName name="_vena_PayrollS1_PayrollB3_C_FV_56493ffece784c5db4cd0fd3b40a250d_81">#REF!</definedName>
    <definedName name="_vena_PayrollS1_PayrollB3_C_FV_56493ffece784c5db4cd0fd3b40a250d_82">#REF!</definedName>
    <definedName name="_vena_PayrollS1_PayrollB3_C_FV_56493ffece784c5db4cd0fd3b40a250d_83">#REF!</definedName>
    <definedName name="_vena_PayrollS1_PayrollB3_C_FV_56493ffece784c5db4cd0fd3b40a250d_84">#REF!</definedName>
    <definedName name="_vena_PayrollS1_PayrollB3_C_FV_56493ffece784c5db4cd0fd3b40a250d_85">#REF!</definedName>
    <definedName name="_vena_PayrollS1_PayrollB3_C_FV_56493ffece784c5db4cd0fd3b40a250d_86">#REF!</definedName>
    <definedName name="_vena_PayrollS1_PayrollB3_C_FV_56493ffece784c5db4cd0fd3b40a250d_87">#REF!</definedName>
    <definedName name="_vena_PayrollS1_PayrollB3_C_FV_56493ffece784c5db4cd0fd3b40a250d_88">#REF!</definedName>
    <definedName name="_vena_PayrollS1_PayrollB3_C_FV_56493ffece784c5db4cd0fd3b40a250d_89">#REF!</definedName>
    <definedName name="_vena_PayrollS1_PayrollB3_C_FV_56493ffece784c5db4cd0fd3b40a250d_9">#REF!</definedName>
    <definedName name="_vena_PayrollS1_PayrollB3_C_FV_56493ffece784c5db4cd0fd3b40a250d_90">#REF!</definedName>
    <definedName name="_vena_PayrollS1_PayrollB3_C_FV_56493ffece784c5db4cd0fd3b40a250d_91">#REF!</definedName>
    <definedName name="_vena_PayrollS1_PayrollB3_C_FV_56493ffece784c5db4cd0fd3b40a250d_92">#REF!</definedName>
    <definedName name="_vena_PayrollS1_PayrollB3_C_FV_56493ffece784c5db4cd0fd3b40a250d_93">#REF!</definedName>
    <definedName name="_vena_PayrollS1_PayrollB3_C_FV_56493ffece784c5db4cd0fd3b40a250d_94">#REF!</definedName>
    <definedName name="_vena_PayrollS1_PayrollB3_C_FV_56493ffece784c5db4cd0fd3b40a250d_95">#REF!</definedName>
    <definedName name="_vena_PayrollS1_PayrollB3_C_FV_56493ffece784c5db4cd0fd3b40a250d_96">#REF!</definedName>
    <definedName name="_vena_PayrollS1_PayrollB3_C_FV_56493ffece784c5db4cd0fd3b40a250d_97">#REF!</definedName>
    <definedName name="_vena_PayrollS1_PayrollB3_C_FV_56493ffece784c5db4cd0fd3b40a250d_98">#REF!</definedName>
    <definedName name="_vena_PayrollS1_PayrollB3_C_FV_56493ffece784c5db4cd0fd3b40a250d_99">#REF!</definedName>
    <definedName name="_vena_PayrollS1_PayrollB3_C_FV_e1c3a244dc3d4f149ecdf7d748811086">#REF!</definedName>
    <definedName name="_vena_PayrollS1_PayrollB3_C_FV_e1c3a244dc3d4f149ecdf7d748811086_1">#REF!</definedName>
    <definedName name="_vena_PayrollS1_PayrollB3_C_FV_e1c3a244dc3d4f149ecdf7d748811086_10">#REF!</definedName>
    <definedName name="_vena_PayrollS1_PayrollB3_C_FV_e1c3a244dc3d4f149ecdf7d748811086_11">#REF!</definedName>
    <definedName name="_vena_PayrollS1_PayrollB3_C_FV_e1c3a244dc3d4f149ecdf7d748811086_12">#REF!</definedName>
    <definedName name="_vena_PayrollS1_PayrollB3_C_FV_e1c3a244dc3d4f149ecdf7d748811086_13">#REF!</definedName>
    <definedName name="_vena_PayrollS1_PayrollB3_C_FV_e1c3a244dc3d4f149ecdf7d748811086_14">#REF!</definedName>
    <definedName name="_vena_PayrollS1_PayrollB3_C_FV_e1c3a244dc3d4f149ecdf7d748811086_15">#REF!</definedName>
    <definedName name="_vena_PayrollS1_PayrollB3_C_FV_e1c3a244dc3d4f149ecdf7d748811086_16">#REF!</definedName>
    <definedName name="_vena_PayrollS1_PayrollB3_C_FV_e1c3a244dc3d4f149ecdf7d748811086_17">#REF!</definedName>
    <definedName name="_vena_PayrollS1_PayrollB3_C_FV_e1c3a244dc3d4f149ecdf7d748811086_18">#REF!</definedName>
    <definedName name="_vena_PayrollS1_PayrollB3_C_FV_e1c3a244dc3d4f149ecdf7d748811086_19">#REF!</definedName>
    <definedName name="_vena_PayrollS1_PayrollB3_C_FV_e1c3a244dc3d4f149ecdf7d748811086_2">#REF!</definedName>
    <definedName name="_vena_PayrollS1_PayrollB3_C_FV_e1c3a244dc3d4f149ecdf7d748811086_20">#REF!</definedName>
    <definedName name="_vena_PayrollS1_PayrollB3_C_FV_e1c3a244dc3d4f149ecdf7d748811086_21">#REF!</definedName>
    <definedName name="_vena_PayrollS1_PayrollB3_C_FV_e1c3a244dc3d4f149ecdf7d748811086_22">#REF!</definedName>
    <definedName name="_vena_PayrollS1_PayrollB3_C_FV_e1c3a244dc3d4f149ecdf7d748811086_23">#REF!</definedName>
    <definedName name="_vena_PayrollS1_PayrollB3_C_FV_e1c3a244dc3d4f149ecdf7d748811086_24">#REF!</definedName>
    <definedName name="_vena_PayrollS1_PayrollB3_C_FV_e1c3a244dc3d4f149ecdf7d748811086_25">#REF!</definedName>
    <definedName name="_vena_PayrollS1_PayrollB3_C_FV_e1c3a244dc3d4f149ecdf7d748811086_26">#REF!</definedName>
    <definedName name="_vena_PayrollS1_PayrollB3_C_FV_e1c3a244dc3d4f149ecdf7d748811086_27">#REF!</definedName>
    <definedName name="_vena_PayrollS1_PayrollB3_C_FV_e1c3a244dc3d4f149ecdf7d748811086_28">#REF!</definedName>
    <definedName name="_vena_PayrollS1_PayrollB3_C_FV_e1c3a244dc3d4f149ecdf7d748811086_29">#REF!</definedName>
    <definedName name="_vena_PayrollS1_PayrollB3_C_FV_e1c3a244dc3d4f149ecdf7d748811086_3">#REF!</definedName>
    <definedName name="_vena_PayrollS1_PayrollB3_C_FV_e1c3a244dc3d4f149ecdf7d748811086_30">#REF!</definedName>
    <definedName name="_vena_PayrollS1_PayrollB3_C_FV_e1c3a244dc3d4f149ecdf7d748811086_31">#REF!</definedName>
    <definedName name="_vena_PayrollS1_PayrollB3_C_FV_e1c3a244dc3d4f149ecdf7d748811086_32">#REF!</definedName>
    <definedName name="_vena_PayrollS1_PayrollB3_C_FV_e1c3a244dc3d4f149ecdf7d748811086_33">#REF!</definedName>
    <definedName name="_vena_PayrollS1_PayrollB3_C_FV_e1c3a244dc3d4f149ecdf7d748811086_34">#REF!</definedName>
    <definedName name="_vena_PayrollS1_PayrollB3_C_FV_e1c3a244dc3d4f149ecdf7d748811086_35">#REF!</definedName>
    <definedName name="_vena_PayrollS1_PayrollB3_C_FV_e1c3a244dc3d4f149ecdf7d748811086_36">#REF!</definedName>
    <definedName name="_vena_PayrollS1_PayrollB3_C_FV_e1c3a244dc3d4f149ecdf7d748811086_37">#REF!</definedName>
    <definedName name="_vena_PayrollS1_PayrollB3_C_FV_e1c3a244dc3d4f149ecdf7d748811086_38">#REF!</definedName>
    <definedName name="_vena_PayrollS1_PayrollB3_C_FV_e1c3a244dc3d4f149ecdf7d748811086_39">#REF!</definedName>
    <definedName name="_vena_PayrollS1_PayrollB3_C_FV_e1c3a244dc3d4f149ecdf7d748811086_4">#REF!</definedName>
    <definedName name="_vena_PayrollS1_PayrollB3_C_FV_e1c3a244dc3d4f149ecdf7d748811086_40">#REF!</definedName>
    <definedName name="_vena_PayrollS1_PayrollB3_C_FV_e1c3a244dc3d4f149ecdf7d748811086_41">#REF!</definedName>
    <definedName name="_vena_PayrollS1_PayrollB3_C_FV_e1c3a244dc3d4f149ecdf7d748811086_42">#REF!</definedName>
    <definedName name="_vena_PayrollS1_PayrollB3_C_FV_e1c3a244dc3d4f149ecdf7d748811086_43">#REF!</definedName>
    <definedName name="_vena_PayrollS1_PayrollB3_C_FV_e1c3a244dc3d4f149ecdf7d748811086_44">#REF!</definedName>
    <definedName name="_vena_PayrollS1_PayrollB3_C_FV_e1c3a244dc3d4f149ecdf7d748811086_45">#REF!</definedName>
    <definedName name="_vena_PayrollS1_PayrollB3_C_FV_e1c3a244dc3d4f149ecdf7d748811086_46">#REF!</definedName>
    <definedName name="_vena_PayrollS1_PayrollB3_C_FV_e1c3a244dc3d4f149ecdf7d748811086_47">#REF!</definedName>
    <definedName name="_vena_PayrollS1_PayrollB3_C_FV_e1c3a244dc3d4f149ecdf7d748811086_48">#REF!</definedName>
    <definedName name="_vena_PayrollS1_PayrollB3_C_FV_e1c3a244dc3d4f149ecdf7d748811086_49">#REF!</definedName>
    <definedName name="_vena_PayrollS1_PayrollB3_C_FV_e1c3a244dc3d4f149ecdf7d748811086_5">#REF!</definedName>
    <definedName name="_vena_PayrollS1_PayrollB3_C_FV_e1c3a244dc3d4f149ecdf7d748811086_50">#REF!</definedName>
    <definedName name="_vena_PayrollS1_PayrollB3_C_FV_e1c3a244dc3d4f149ecdf7d748811086_51">#REF!</definedName>
    <definedName name="_vena_PayrollS1_PayrollB3_C_FV_e1c3a244dc3d4f149ecdf7d748811086_52">#REF!</definedName>
    <definedName name="_vena_PayrollS1_PayrollB3_C_FV_e1c3a244dc3d4f149ecdf7d748811086_53">#REF!</definedName>
    <definedName name="_vena_PayrollS1_PayrollB3_C_FV_e1c3a244dc3d4f149ecdf7d748811086_54">#REF!</definedName>
    <definedName name="_vena_PayrollS1_PayrollB3_C_FV_e1c3a244dc3d4f149ecdf7d748811086_55">#REF!</definedName>
    <definedName name="_vena_PayrollS1_PayrollB3_C_FV_e1c3a244dc3d4f149ecdf7d748811086_56">#REF!</definedName>
    <definedName name="_vena_PayrollS1_PayrollB3_C_FV_e1c3a244dc3d4f149ecdf7d748811086_57">#REF!</definedName>
    <definedName name="_vena_PayrollS1_PayrollB3_C_FV_e1c3a244dc3d4f149ecdf7d748811086_58">#REF!</definedName>
    <definedName name="_vena_PayrollS1_PayrollB3_C_FV_e1c3a244dc3d4f149ecdf7d748811086_59">#REF!</definedName>
    <definedName name="_vena_PayrollS1_PayrollB3_C_FV_e1c3a244dc3d4f149ecdf7d748811086_6">#REF!</definedName>
    <definedName name="_vena_PayrollS1_PayrollB3_C_FV_e1c3a244dc3d4f149ecdf7d748811086_60">#REF!</definedName>
    <definedName name="_vena_PayrollS1_PayrollB3_C_FV_e1c3a244dc3d4f149ecdf7d748811086_61">#REF!</definedName>
    <definedName name="_vena_PayrollS1_PayrollB3_C_FV_e1c3a244dc3d4f149ecdf7d748811086_62">#REF!</definedName>
    <definedName name="_vena_PayrollS1_PayrollB3_C_FV_e1c3a244dc3d4f149ecdf7d748811086_63">#REF!</definedName>
    <definedName name="_vena_PayrollS1_PayrollB3_C_FV_e1c3a244dc3d4f149ecdf7d748811086_64">#REF!</definedName>
    <definedName name="_vena_PayrollS1_PayrollB3_C_FV_e1c3a244dc3d4f149ecdf7d748811086_65">#REF!</definedName>
    <definedName name="_vena_PayrollS1_PayrollB3_C_FV_e1c3a244dc3d4f149ecdf7d748811086_66">#REF!</definedName>
    <definedName name="_vena_PayrollS1_PayrollB3_C_FV_e1c3a244dc3d4f149ecdf7d748811086_67">#REF!</definedName>
    <definedName name="_vena_PayrollS1_PayrollB3_C_FV_e1c3a244dc3d4f149ecdf7d748811086_68">#REF!</definedName>
    <definedName name="_vena_PayrollS1_PayrollB3_C_FV_e1c3a244dc3d4f149ecdf7d748811086_69">#REF!</definedName>
    <definedName name="_vena_PayrollS1_PayrollB3_C_FV_e1c3a244dc3d4f149ecdf7d748811086_7">#REF!</definedName>
    <definedName name="_vena_PayrollS1_PayrollB3_C_FV_e1c3a244dc3d4f149ecdf7d748811086_70">#REF!</definedName>
    <definedName name="_vena_PayrollS1_PayrollB3_C_FV_e1c3a244dc3d4f149ecdf7d748811086_71">#REF!</definedName>
    <definedName name="_vena_PayrollS1_PayrollB3_C_FV_e1c3a244dc3d4f149ecdf7d748811086_72">#REF!</definedName>
    <definedName name="_vena_PayrollS1_PayrollB3_C_FV_e1c3a244dc3d4f149ecdf7d748811086_73">#REF!</definedName>
    <definedName name="_vena_PayrollS1_PayrollB3_C_FV_e1c3a244dc3d4f149ecdf7d748811086_74">#REF!</definedName>
    <definedName name="_vena_PayrollS1_PayrollB3_C_FV_e1c3a244dc3d4f149ecdf7d748811086_75">#REF!</definedName>
    <definedName name="_vena_PayrollS1_PayrollB3_C_FV_e1c3a244dc3d4f149ecdf7d748811086_76">#REF!</definedName>
    <definedName name="_vena_PayrollS1_PayrollB3_C_FV_e1c3a244dc3d4f149ecdf7d748811086_77">#REF!</definedName>
    <definedName name="_vena_PayrollS1_PayrollB3_C_FV_e1c3a244dc3d4f149ecdf7d748811086_78">#REF!</definedName>
    <definedName name="_vena_PayrollS1_PayrollB3_C_FV_e1c3a244dc3d4f149ecdf7d748811086_79">#REF!</definedName>
    <definedName name="_vena_PayrollS1_PayrollB3_C_FV_e1c3a244dc3d4f149ecdf7d748811086_8">#REF!</definedName>
    <definedName name="_vena_PayrollS1_PayrollB3_C_FV_e1c3a244dc3d4f149ecdf7d748811086_80">#REF!</definedName>
    <definedName name="_vena_PayrollS1_PayrollB3_C_FV_e1c3a244dc3d4f149ecdf7d748811086_81">#REF!</definedName>
    <definedName name="_vena_PayrollS1_PayrollB3_C_FV_e1c3a244dc3d4f149ecdf7d748811086_82">#REF!</definedName>
    <definedName name="_vena_PayrollS1_PayrollB3_C_FV_e1c3a244dc3d4f149ecdf7d748811086_83">#REF!</definedName>
    <definedName name="_vena_PayrollS1_PayrollB3_C_FV_e1c3a244dc3d4f149ecdf7d748811086_84">#REF!</definedName>
    <definedName name="_vena_PayrollS1_PayrollB3_C_FV_e1c3a244dc3d4f149ecdf7d748811086_85">#REF!</definedName>
    <definedName name="_vena_PayrollS1_PayrollB3_C_FV_e1c3a244dc3d4f149ecdf7d748811086_86">#REF!</definedName>
    <definedName name="_vena_PayrollS1_PayrollB3_C_FV_e1c3a244dc3d4f149ecdf7d748811086_87">#REF!</definedName>
    <definedName name="_vena_PayrollS1_PayrollB3_C_FV_e1c3a244dc3d4f149ecdf7d748811086_88">#REF!</definedName>
    <definedName name="_vena_PayrollS1_PayrollB3_C_FV_e1c3a244dc3d4f149ecdf7d748811086_89">#REF!</definedName>
    <definedName name="_vena_PayrollS1_PayrollB3_C_FV_e1c3a244dc3d4f149ecdf7d748811086_9">#REF!</definedName>
    <definedName name="_vena_PayrollS1_PayrollB3_C_FV_e1c3a244dc3d4f149ecdf7d748811086_90">#REF!</definedName>
    <definedName name="_vena_PayrollS1_PayrollB3_C_FV_e1c3a244dc3d4f149ecdf7d748811086_91">#REF!</definedName>
    <definedName name="_vena_PayrollS1_PayrollB3_C_FV_e1c3a244dc3d4f149ecdf7d748811086_92">#REF!</definedName>
    <definedName name="_vena_PayrollS1_PayrollB3_C_FV_e1c3a244dc3d4f149ecdf7d748811086_93">#REF!</definedName>
    <definedName name="_vena_PayrollS1_PayrollB3_C_FV_e1c3a244dc3d4f149ecdf7d748811086_94">#REF!</definedName>
    <definedName name="_vena_PayrollS1_PayrollB3_C_FV_e1c3a244dc3d4f149ecdf7d748811086_95">#REF!</definedName>
    <definedName name="_vena_PayrollS1_PayrollB3_R_5_1186870856006238208">#REF!</definedName>
    <definedName name="_vena_PayrollS1_PayrollB3_R_5_1186870856203370497">#REF!</definedName>
    <definedName name="_vena_PayrollS1_PayrollB3_R_5_1186870856203370499">#REF!</definedName>
    <definedName name="_vena_PayrollS1_PayrollB3_R_5_1372108834994782487">#REF!</definedName>
    <definedName name="_vena_PayrollS1_PayrollB3_R_5_1372108961466417152">#REF!</definedName>
    <definedName name="_vena_PayrollS1_PayrollB3_R_5_431662131978436608">#REF!</definedName>
    <definedName name="_vena_PayrollS1_PayrollB3_R_5_431662131995213824">#REF!</definedName>
    <definedName name="_vena_PayrollS1_PayrollB3_R_5_431662131999408129">#REF!</definedName>
    <definedName name="_vena_PayrollS1_PayrollB3_R_5_431662132007796737">#REF!</definedName>
    <definedName name="_vena_PayrollS1_PayrollB3_R_5_431662132011991041">#REF!</definedName>
    <definedName name="_vena_PayrollS1_PayrollB3_R_5_431662132016185345">#REF!</definedName>
    <definedName name="_vena_PayrollS1_PayrollB3_R_5_431662132020379649">#REF!</definedName>
    <definedName name="_vena_PayrollS1_PayrollB3_R_5_431662132037156865">#REF!</definedName>
    <definedName name="_vena_PayrollS1_PayrollB3_R_5_431662132041351169">#REF!</definedName>
    <definedName name="_vena_PayrollS1_PayrollB3_R_5_431662132049739777">#REF!</definedName>
    <definedName name="_vena_PayrollS1_PayrollB3_R_5_431662132053934081">#REF!</definedName>
    <definedName name="_vena_PayrollS1_PayrollB3_R_5_431662132058128385">#REF!</definedName>
    <definedName name="_vena_PayrollS1_PayrollB3_R_5_431662132066516992">#REF!</definedName>
    <definedName name="_vena_PayrollS1_PayrollB3_R_5_431662132070711297">#REF!</definedName>
    <definedName name="_vena_PayrollS1_PayrollB3_R_5_431662132074905601">#REF!</definedName>
    <definedName name="_vena_PayrollS1_PayrollB3_R_5_431662132079099905">#REF!</definedName>
    <definedName name="_vena_PayrollS1_PayrollB3_R_5_431662132087488513">#REF!</definedName>
    <definedName name="_vena_PayrollS1_PayrollB3_R_5_431662132091682817">#REF!</definedName>
    <definedName name="_vena_PayrollS1_PayrollB3_R_5_431662132095877121">#REF!</definedName>
    <definedName name="_vena_PayrollS1_PayrollB3_R_5_431662132104265728">#REF!</definedName>
    <definedName name="_vena_PayrollS1_PayrollB3_R_5_431662132108460033">#REF!</definedName>
    <definedName name="_vena_PayrollS1_PayrollB3_R_5_431662132112654337">#REF!</definedName>
    <definedName name="_vena_PayrollS1_PayrollB3_R_5_431662132121042945">#REF!</definedName>
    <definedName name="_vena_PayrollS1_PayrollB3_R_5_431662132125237249">#REF!</definedName>
    <definedName name="_vena_PayrollS1_PayrollB3_R_5_431662132133625857">#REF!</definedName>
    <definedName name="_vena_PayrollS1_PayrollB3_R_5_431662132137820161">#REF!</definedName>
    <definedName name="_vena_PayrollS1_PayrollB3_R_5_431662132142014465">#REF!</definedName>
    <definedName name="_vena_PayrollS1_PayrollB3_R_5_431662132150403073">#REF!</definedName>
    <definedName name="_vena_PayrollS1_PayrollB3_R_5_431662132154597377">#REF!</definedName>
    <definedName name="_vena_PayrollS1_PayrollB3_R_5_431662132158791681">#REF!</definedName>
    <definedName name="_vena_PayrollS1_PayrollB3_R_5_431662132175568897">#REF!</definedName>
    <definedName name="_vena_PayrollS1_PayrollB3_R_5_431662132188151809">#REF!</definedName>
    <definedName name="_vena_PayrollS1_PayrollB3_R_5_431662132192346113">#REF!</definedName>
    <definedName name="_vena_PayrollS1_PayrollB3_R_5_431662132200734721">#REF!</definedName>
    <definedName name="_vena_PayrollS1_PayrollB3_R_5_431662132204929025">#REF!</definedName>
    <definedName name="_vena_PayrollS1_PayrollB3_R_5_431662132209123329">#REF!</definedName>
    <definedName name="_vena_PayrollS1_PayrollB3_R_5_431662132217511937">#REF!</definedName>
    <definedName name="_vena_PayrollS1_PayrollB3_R_5_431662132221706241">#REF!</definedName>
    <definedName name="_vena_PayrollS1_PayrollB3_R_5_431662132225900545">#REF!</definedName>
    <definedName name="_vena_PayrollS1_PayrollB3_R_5_431662132234289153">#REF!</definedName>
    <definedName name="_vena_PayrollS1_PayrollB3_R_5_431662132242677761">#REF!</definedName>
    <definedName name="_vena_PayrollS1_PayrollB3_R_5_431662132259454976">#REF!</definedName>
    <definedName name="_vena_PayrollS1_PayrollB3_R_5_431662132267843585">#REF!</definedName>
    <definedName name="_vena_PayrollS1_PayrollB3_R_5_431662132272037889">#REF!</definedName>
    <definedName name="_vena_PayrollS1_PayrollB3_R_5_431662132276232193">#REF!</definedName>
    <definedName name="_vena_PayrollS1_PayrollB3_R_5_431662132284620801">#REF!</definedName>
    <definedName name="_vena_PayrollS1_PayrollB3_R_5_431662132288815105">#REF!</definedName>
    <definedName name="_vena_PayrollS1_PayrollB3_R_5_431662132297203713">#REF!</definedName>
    <definedName name="_vena_PayrollS1_PayrollB3_R_5_431662132301398017">#REF!</definedName>
    <definedName name="_vena_PayrollS1_PayrollB3_R_5_431662132305592321">#REF!</definedName>
    <definedName name="_vena_PayrollS1_PayrollB3_R_5_431662132309786625">#REF!</definedName>
    <definedName name="_vena_PayrollS1_PayrollB3_R_5_431662132318175233">#REF!</definedName>
    <definedName name="_vena_PayrollS1_PayrollB3_R_5_431662132322369537">#REF!</definedName>
    <definedName name="_vena_PayrollS1_PayrollB3_R_5_431662132326563841">#REF!</definedName>
    <definedName name="_vena_PayrollS1_PayrollB3_R_5_431662132334952449">#REF!</definedName>
    <definedName name="_vena_PayrollS1_PayrollB3_R_5_431662132339146753">#REF!</definedName>
    <definedName name="_vena_PayrollS1_PayrollB3_R_5_431662132347535361">#REF!</definedName>
    <definedName name="_vena_PayrollS1_PayrollB3_R_5_431662132351729665">#REF!</definedName>
    <definedName name="_vena_PayrollS1_PayrollB3_R_5_431662132355923969">#REF!</definedName>
    <definedName name="_vena_PayrollS1_PayrollB3_R_5_431662132364312576">#REF!</definedName>
    <definedName name="_vena_PayrollS1_PayrollB3_R_5_431662132368506881">#REF!</definedName>
    <definedName name="_vena_PayrollS1_PayrollB3_R_5_431662132372701185">#REF!</definedName>
    <definedName name="_vena_PayrollS1_PayrollB3_R_5_431662132376895489">#REF!</definedName>
    <definedName name="_vena_PayrollS1_PayrollB3_R_5_431662132385284097">#REF!</definedName>
    <definedName name="_vena_PayrollS1_PayrollB3_R_5_431662132389478401">#REF!</definedName>
    <definedName name="_vena_PayrollS1_PayrollB3_R_5_431662132393672705">#REF!</definedName>
    <definedName name="_vena_PayrollS1_PayrollB3_R_5_431662132397867009">#REF!</definedName>
    <definedName name="_vena_PayrollS1_PayrollB3_R_5_431662132406255617">#REF!</definedName>
    <definedName name="_vena_PayrollS1_PayrollB3_R_5_431662132410449921">#REF!</definedName>
    <definedName name="_vena_PayrollS1_PayrollB3_R_5_431662132414644225">#REF!</definedName>
    <definedName name="_vena_PayrollS1_PayrollB3_R_5_431662132423032833">#REF!</definedName>
    <definedName name="_vena_PayrollS1_PayrollB3_R_5_431662132427227137">#REF!</definedName>
    <definedName name="_vena_PayrollS1_PayrollB3_R_5_431662132431421441">#REF!</definedName>
    <definedName name="_vena_PayrollS1_PayrollB3_R_5_431662132435615745">#REF!</definedName>
    <definedName name="_vena_PayrollS1_PayrollB3_R_5_431662132444004353">#REF!</definedName>
    <definedName name="_vena_PayrollS1_PayrollB3_R_5_431662132448198657">#REF!</definedName>
    <definedName name="_vena_PayrollS1_PayrollB3_R_5_431662132452392961">#REF!</definedName>
    <definedName name="_vena_PayrollS1_PayrollB3_R_5_431662132460781568">#REF!</definedName>
    <definedName name="_vena_PayrollS1_PayrollB3_R_5_431662132464975873">#REF!</definedName>
    <definedName name="_vena_PayrollS1_PayrollB3_R_5_431662132469170177">#REF!</definedName>
    <definedName name="_vena_PayrollS1_PayrollB3_R_5_431662132477558784">#REF!</definedName>
    <definedName name="_vena_PayrollS1_PayrollB3_R_5_431662132481753089">#REF!</definedName>
    <definedName name="_vena_PayrollS1_PayrollB3_R_5_431662132485947393">#REF!</definedName>
    <definedName name="_vena_PayrollS1_PayrollB3_R_5_431662132494336001">#REF!</definedName>
    <definedName name="_vena_PayrollS1_PayrollB3_R_5_431662132498530305">#REF!</definedName>
    <definedName name="_vena_PayrollS1_PayrollB3_R_5_431662132502724609">#REF!</definedName>
    <definedName name="_vena_PayrollS1_PayrollB3_R_5_431662132506918913">#REF!</definedName>
    <definedName name="_vena_PayrollS1_PayrollB3_R_5_431662132511113217">#REF!</definedName>
    <definedName name="_vena_PayrollS1_PayrollB3_R_5_431662132515307521">#REF!</definedName>
    <definedName name="_vena_PayrollS1_PayrollB3_R_5_495736496901324800">#REF!</definedName>
    <definedName name="_vena_PayrollS1_PayrollB3_R_5_495736637918674944">#REF!</definedName>
    <definedName name="_vena_PayrollS1_PayrollB3_R_5_495736795930689536">#REF!</definedName>
    <definedName name="_vena_PayrollS1_PayrollB3_R_5_495736973987151921">#REF!</definedName>
    <definedName name="_vena_PayrollS1_PayrollB3_R_5_495737043323191296">#REF!</definedName>
    <definedName name="_vena_PayrollS1_PayrollB3_R_5_495737181823827968">#REF!</definedName>
    <definedName name="_vena_PayrollS1_PayrollB3_R_5_632005310831919111">#REF!</definedName>
    <definedName name="_vena_PayrollS1_PayrollB3_R_5_632005310857084934">#REF!</definedName>
    <definedName name="_vena_PayrollS1_PayrollB3_R_5_632005310882250754">#REF!</definedName>
    <definedName name="_vena_PayrollS1_PayrollB3_R_5_632005310890639362">#REF!</definedName>
    <definedName name="_vena_PayrollS1_PayrollB3_R_5_632005310919999492">#REF!</definedName>
    <definedName name="_vena_PayrollS1_PayrollB3_R_5_632005310949359624">#REF!</definedName>
    <definedName name="_vena_PayrollS1_PayrollB3_R_5_632005310974525442">#REF!</definedName>
    <definedName name="_vena_PayrollS1_PayrollB3_R_5_632005310982914050">#REF!</definedName>
    <definedName name="_vena_PayrollS1_PayrollB3_R_5_632005311289098249">#REF!</definedName>
    <definedName name="_vena_PayrollS1_PayrollB3_R_5_632005311318458370">#REF!</definedName>
    <definedName name="_vena_PayrollS1_PayrollB3_R_5_632005311335235592">#REF!</definedName>
    <definedName name="_vena_PayrollS1_PayrollB3_R_5_632005311343624200">#REF!</definedName>
    <definedName name="_vena_PayrollS1_PayrollB3_R_5_632005311377178626">#REF!</definedName>
    <definedName name="_vena_PayrollS1_PayrollB3_R_5_632005311402344448">#REF!</definedName>
    <definedName name="_vena_PayrollS1_PayrollB3_R_5_632005311423315976">#REF!</definedName>
    <definedName name="_vena_PayrollS1_PayrollB3_R_5_632005311431704581">#REF!</definedName>
    <definedName name="_vena_PayrollS1_PayrollB3_R_5_632005311452676096">#REF!</definedName>
    <definedName name="_vena_PayrollS1_PayrollB3_R_5_632005311477841925">#REF!</definedName>
    <definedName name="_vena_PayrollS1_PayrollB3_R_5_632005311507202054">#REF!</definedName>
    <definedName name="_vena_PayrollS1_PayrollB3_R_5_632005311532367880">#REF!</definedName>
    <definedName name="_vena_PayrollS1_PayrollB3_R_5_632005311540756486">#REF!</definedName>
    <definedName name="_vena_PayrollS1_PayrollB3_R_5_632005311549145096">#REF!</definedName>
    <definedName name="_vena_PayrollS1_PayrollB3_R_5_632005311570116610">#REF!</definedName>
    <definedName name="_vena_PayrollS1_PayrollB3_R_5_632005311603671046">#REF!</definedName>
    <definedName name="_vena_PayrollS1_PayrollB3_R_5_632005311641419782">#REF!</definedName>
    <definedName name="_vena_PayrollS1_PayrollB3_R_5_632005311649808390">#REF!</definedName>
    <definedName name="_vena_PayrollS1_PayrollB3_R_5_632005311674974217">#REF!</definedName>
    <definedName name="_vena_PayrollS1_PayrollB3_R_5_632005311704334340">#REF!</definedName>
    <definedName name="_vena_PayrollS1_PayrollB3_R_5_632005311729500162">#REF!</definedName>
    <definedName name="_vena_PayrollS1_PayrollB3_R_5_632005311733694472">#REF!</definedName>
    <definedName name="_vena_PayrollS1_PayrollB3_R_5_632005311758860295">#REF!</definedName>
    <definedName name="_vena_PayrollS1_PayrollB3_R_5_632005311788220419">#REF!</definedName>
    <definedName name="_vena_PayrollS1_PayrollB3_R_5_632005311792414726">#REF!</definedName>
    <definedName name="_vena_PayrollS1_PayrollB3_R_5_632005311817580544">#REF!</definedName>
    <definedName name="_vena_PayrollS1_PayrollB3_R_5_632005311838552072">#REF!</definedName>
    <definedName name="_vena_PayrollS1_PayrollB3_R_5_632005311859523594">#REF!</definedName>
    <definedName name="_vena_PayrollS1_PayrollB3_R_5_632005311867912192">#REF!</definedName>
    <definedName name="_vena_PayrollS1_PayrollB3_R_5_632005311893078018">#REF!</definedName>
    <definedName name="_vena_PayrollS1_PayrollB3_R_5_632005311918243845">#REF!</definedName>
    <definedName name="_vena_PayrollS1_PayrollB3_R_5_632005311943409668">#REF!</definedName>
    <definedName name="_vena_PayrollS1_PayrollB3_R_5_632005311964381192">#REF!</definedName>
    <definedName name="_vena_PayrollS1_PayrollB3_R_5_632005311972769795">#REF!</definedName>
    <definedName name="_vena_PayrollS1_PayrollB3_R_5_632005312002129944">#REF!</definedName>
    <definedName name="_vena_PayrollS1_PayrollB3_R_5_632005312031490051">#REF!</definedName>
    <definedName name="_vena_PayrollS1_PayrollB3_R_5_632005312048267270">#REF!</definedName>
    <definedName name="_vena_PayrollS1_PayrollB3_R_5_632005312052461577">#REF!</definedName>
    <definedName name="_vena_PayrollS1_PayrollB3_R_5_632005312077627400">#REF!</definedName>
    <definedName name="_vena_PayrollS1_PayrollB3_R_5_632005312106987520">#REF!</definedName>
    <definedName name="_vena_PayrollS1_PayrollB3_R_5_632005312127959044">#REF!</definedName>
    <definedName name="_vena_PayrollS1_PayrollB3_R_5_632005312153124870">#REF!</definedName>
    <definedName name="_vena_PayrollS1_PayrollB3_R_5_632005312161513474">#REF!</definedName>
    <definedName name="_vena_PayrollS1_PayrollB3_R_5_632005312555778048">#REF!</definedName>
    <definedName name="_vena_PayrollS1_PayrollB3_R_5_632005312572555270">#REF!</definedName>
    <definedName name="_vena_PayrollS1_PayrollB3_R_5_632005312597721093">#REF!</definedName>
    <definedName name="_vena_PayrollS1_PayrollB3_R_5_781747737229918208">#REF!</definedName>
    <definedName name="_vena_PayrollS1_PayrollB3_R_5_781747762450399232">#REF!</definedName>
    <definedName name="_vena_PayrollS1_PayrollB3_R_5_781747791617327104">#REF!</definedName>
    <definedName name="_vena_PayrollS1_PayrollB3_R_5_781747818582507520">#REF!</definedName>
    <definedName name="_vena_PayrollS1_PayrollB3_R_5_781748213857910784">#REF!</definedName>
    <definedName name="_vena_PayrollS1_PayrollB3_R_5_781748321865433090">#REF!</definedName>
    <definedName name="_vena_PayrollS1_PayrollB3_R_5_781748379378253826">#REF!</definedName>
    <definedName name="_vena_PayrollS1_PayrollB3_R_5_781748554007838720">#REF!</definedName>
    <definedName name="_vena_PayrollS1_PayrollB4_C_8_431662182280724481">#REF!</definedName>
    <definedName name="_vena_PayrollS1_PayrollB4_C_8_431662182280724481_1">#REF!</definedName>
    <definedName name="_vena_PayrollS1_PayrollB4_C_8_431662182280724481_10">#REF!</definedName>
    <definedName name="_vena_PayrollS1_PayrollB4_C_8_431662182280724481_11">#REF!</definedName>
    <definedName name="_vena_PayrollS1_PayrollB4_C_8_431662182280724481_12">#REF!</definedName>
    <definedName name="_vena_PayrollS1_PayrollB4_C_8_431662182280724481_13">#REF!</definedName>
    <definedName name="_vena_PayrollS1_PayrollB4_C_8_431662182280724481_14">#REF!</definedName>
    <definedName name="_vena_PayrollS1_PayrollB4_C_8_431662182280724481_15">#REF!</definedName>
    <definedName name="_vena_PayrollS1_PayrollB4_C_8_431662182280724481_16">#REF!</definedName>
    <definedName name="_vena_PayrollS1_PayrollB4_C_8_431662182280724481_17">#REF!</definedName>
    <definedName name="_vena_PayrollS1_PayrollB4_C_8_431662182280724481_18">#REF!</definedName>
    <definedName name="_vena_PayrollS1_PayrollB4_C_8_431662182280724481_19">#REF!</definedName>
    <definedName name="_vena_PayrollS1_PayrollB4_C_8_431662182280724481_2">#REF!</definedName>
    <definedName name="_vena_PayrollS1_PayrollB4_C_8_431662182280724481_20">#REF!</definedName>
    <definedName name="_vena_PayrollS1_PayrollB4_C_8_431662182280724481_21">#REF!</definedName>
    <definedName name="_vena_PayrollS1_PayrollB4_C_8_431662182280724481_22">#REF!</definedName>
    <definedName name="_vena_PayrollS1_PayrollB4_C_8_431662182280724481_23">#REF!</definedName>
    <definedName name="_vena_PayrollS1_PayrollB4_C_8_431662182280724481_24">#REF!</definedName>
    <definedName name="_vena_PayrollS1_PayrollB4_C_8_431662182280724481_25">#REF!</definedName>
    <definedName name="_vena_PayrollS1_PayrollB4_C_8_431662182280724481_26">#REF!</definedName>
    <definedName name="_vena_PayrollS1_PayrollB4_C_8_431662182280724481_27">#REF!</definedName>
    <definedName name="_vena_PayrollS1_PayrollB4_C_8_431662182280724481_28">#REF!</definedName>
    <definedName name="_vena_PayrollS1_PayrollB4_C_8_431662182280724481_29">#REF!</definedName>
    <definedName name="_vena_PayrollS1_PayrollB4_C_8_431662182280724481_3">#REF!</definedName>
    <definedName name="_vena_PayrollS1_PayrollB4_C_8_431662182280724481_30">#REF!</definedName>
    <definedName name="_vena_PayrollS1_PayrollB4_C_8_431662182280724481_31">#REF!</definedName>
    <definedName name="_vena_PayrollS1_PayrollB4_C_8_431662182280724481_32">#REF!</definedName>
    <definedName name="_vena_PayrollS1_PayrollB4_C_8_431662182280724481_33">#REF!</definedName>
    <definedName name="_vena_PayrollS1_PayrollB4_C_8_431662182280724481_34">#REF!</definedName>
    <definedName name="_vena_PayrollS1_PayrollB4_C_8_431662182280724481_35">#REF!</definedName>
    <definedName name="_vena_PayrollS1_PayrollB4_C_8_431662182280724481_36">#REF!</definedName>
    <definedName name="_vena_PayrollS1_PayrollB4_C_8_431662182280724481_37">#REF!</definedName>
    <definedName name="_vena_PayrollS1_PayrollB4_C_8_431662182280724481_38">#REF!</definedName>
    <definedName name="_vena_PayrollS1_PayrollB4_C_8_431662182280724481_39">#REF!</definedName>
    <definedName name="_vena_PayrollS1_PayrollB4_C_8_431662182280724481_4">#REF!</definedName>
    <definedName name="_vena_PayrollS1_PayrollB4_C_8_431662182280724481_40">#REF!</definedName>
    <definedName name="_vena_PayrollS1_PayrollB4_C_8_431662182280724481_41">#REF!</definedName>
    <definedName name="_vena_PayrollS1_PayrollB4_C_8_431662182280724481_42">#REF!</definedName>
    <definedName name="_vena_PayrollS1_PayrollB4_C_8_431662182280724481_43">#REF!</definedName>
    <definedName name="_vena_PayrollS1_PayrollB4_C_8_431662182280724481_44">#REF!</definedName>
    <definedName name="_vena_PayrollS1_PayrollB4_C_8_431662182280724481_45">#REF!</definedName>
    <definedName name="_vena_PayrollS1_PayrollB4_C_8_431662182280724481_46">#REF!</definedName>
    <definedName name="_vena_PayrollS1_PayrollB4_C_8_431662182280724481_47">#REF!</definedName>
    <definedName name="_vena_PayrollS1_PayrollB4_C_8_431662182280724481_5">#REF!</definedName>
    <definedName name="_vena_PayrollS1_PayrollB4_C_8_431662182280724481_6">#REF!</definedName>
    <definedName name="_vena_PayrollS1_PayrollB4_C_8_431662182280724481_7">#REF!</definedName>
    <definedName name="_vena_PayrollS1_PayrollB4_C_8_431662182280724481_8">#REF!</definedName>
    <definedName name="_vena_PayrollS1_PayrollB4_C_8_431662182280724481_9">#REF!</definedName>
    <definedName name="_vena_PayrollS1_PayrollB4_C_8_632005313629519872">#REF!</definedName>
    <definedName name="_vena_PayrollS1_PayrollB4_C_8_632005313629519872_1">#REF!</definedName>
    <definedName name="_vena_PayrollS1_PayrollB4_C_8_632005313629519872_10">#REF!</definedName>
    <definedName name="_vena_PayrollS1_PayrollB4_C_8_632005313629519872_11">#REF!</definedName>
    <definedName name="_vena_PayrollS1_PayrollB4_C_8_632005313629519872_2">#REF!</definedName>
    <definedName name="_vena_PayrollS1_PayrollB4_C_8_632005313629519872_3">#REF!</definedName>
    <definedName name="_vena_PayrollS1_PayrollB4_C_8_632005313629519872_4">#REF!</definedName>
    <definedName name="_vena_PayrollS1_PayrollB4_C_8_632005313629519872_5">#REF!</definedName>
    <definedName name="_vena_PayrollS1_PayrollB4_C_8_632005313629519872_6">#REF!</definedName>
    <definedName name="_vena_PayrollS1_PayrollB4_C_8_632005313629519872_7">#REF!</definedName>
    <definedName name="_vena_PayrollS1_PayrollB4_C_8_632005313629519872_8">#REF!</definedName>
    <definedName name="_vena_PayrollS1_PayrollB4_C_8_632005313629519872_9">#REF!</definedName>
    <definedName name="_vena_PayrollS1_PayrollB4_C_FV_56493ffece784c5db4cd0fd3b40a250d">#REF!</definedName>
    <definedName name="_vena_PayrollS1_PayrollB4_C_FV_56493ffece784c5db4cd0fd3b40a250d_1">#REF!</definedName>
    <definedName name="_vena_PayrollS1_PayrollB4_C_FV_56493ffece784c5db4cd0fd3b40a250d_10">#REF!</definedName>
    <definedName name="_vena_PayrollS1_PayrollB4_C_FV_56493ffece784c5db4cd0fd3b40a250d_11">#REF!</definedName>
    <definedName name="_vena_PayrollS1_PayrollB4_C_FV_56493ffece784c5db4cd0fd3b40a250d_12">#REF!</definedName>
    <definedName name="_vena_PayrollS1_PayrollB4_C_FV_56493ffece784c5db4cd0fd3b40a250d_13">#REF!</definedName>
    <definedName name="_vena_PayrollS1_PayrollB4_C_FV_56493ffece784c5db4cd0fd3b40a250d_14">#REF!</definedName>
    <definedName name="_vena_PayrollS1_PayrollB4_C_FV_56493ffece784c5db4cd0fd3b40a250d_15">#REF!</definedName>
    <definedName name="_vena_PayrollS1_PayrollB4_C_FV_56493ffece784c5db4cd0fd3b40a250d_16">#REF!</definedName>
    <definedName name="_vena_PayrollS1_PayrollB4_C_FV_56493ffece784c5db4cd0fd3b40a250d_17">#REF!</definedName>
    <definedName name="_vena_PayrollS1_PayrollB4_C_FV_56493ffece784c5db4cd0fd3b40a250d_18">#REF!</definedName>
    <definedName name="_vena_PayrollS1_PayrollB4_C_FV_56493ffece784c5db4cd0fd3b40a250d_19">#REF!</definedName>
    <definedName name="_vena_PayrollS1_PayrollB4_C_FV_56493ffece784c5db4cd0fd3b40a250d_2">#REF!</definedName>
    <definedName name="_vena_PayrollS1_PayrollB4_C_FV_56493ffece784c5db4cd0fd3b40a250d_20">#REF!</definedName>
    <definedName name="_vena_PayrollS1_PayrollB4_C_FV_56493ffece784c5db4cd0fd3b40a250d_21">#REF!</definedName>
    <definedName name="_vena_PayrollS1_PayrollB4_C_FV_56493ffece784c5db4cd0fd3b40a250d_22">#REF!</definedName>
    <definedName name="_vena_PayrollS1_PayrollB4_C_FV_56493ffece784c5db4cd0fd3b40a250d_23">#REF!</definedName>
    <definedName name="_vena_PayrollS1_PayrollB4_C_FV_56493ffece784c5db4cd0fd3b40a250d_24">#REF!</definedName>
    <definedName name="_vena_PayrollS1_PayrollB4_C_FV_56493ffece784c5db4cd0fd3b40a250d_25">#REF!</definedName>
    <definedName name="_vena_PayrollS1_PayrollB4_C_FV_56493ffece784c5db4cd0fd3b40a250d_26">#REF!</definedName>
    <definedName name="_vena_PayrollS1_PayrollB4_C_FV_56493ffece784c5db4cd0fd3b40a250d_27">#REF!</definedName>
    <definedName name="_vena_PayrollS1_PayrollB4_C_FV_56493ffece784c5db4cd0fd3b40a250d_28">#REF!</definedName>
    <definedName name="_vena_PayrollS1_PayrollB4_C_FV_56493ffece784c5db4cd0fd3b40a250d_29">#REF!</definedName>
    <definedName name="_vena_PayrollS1_PayrollB4_C_FV_56493ffece784c5db4cd0fd3b40a250d_3">#REF!</definedName>
    <definedName name="_vena_PayrollS1_PayrollB4_C_FV_56493ffece784c5db4cd0fd3b40a250d_30">#REF!</definedName>
    <definedName name="_vena_PayrollS1_PayrollB4_C_FV_56493ffece784c5db4cd0fd3b40a250d_31">#REF!</definedName>
    <definedName name="_vena_PayrollS1_PayrollB4_C_FV_56493ffece784c5db4cd0fd3b40a250d_32">#REF!</definedName>
    <definedName name="_vena_PayrollS1_PayrollB4_C_FV_56493ffece784c5db4cd0fd3b40a250d_33">#REF!</definedName>
    <definedName name="_vena_PayrollS1_PayrollB4_C_FV_56493ffece784c5db4cd0fd3b40a250d_34">#REF!</definedName>
    <definedName name="_vena_PayrollS1_PayrollB4_C_FV_56493ffece784c5db4cd0fd3b40a250d_35">#REF!</definedName>
    <definedName name="_vena_PayrollS1_PayrollB4_C_FV_56493ffece784c5db4cd0fd3b40a250d_36">#REF!</definedName>
    <definedName name="_vena_PayrollS1_PayrollB4_C_FV_56493ffece784c5db4cd0fd3b40a250d_37">#REF!</definedName>
    <definedName name="_vena_PayrollS1_PayrollB4_C_FV_56493ffece784c5db4cd0fd3b40a250d_38">#REF!</definedName>
    <definedName name="_vena_PayrollS1_PayrollB4_C_FV_56493ffece784c5db4cd0fd3b40a250d_39">#REF!</definedName>
    <definedName name="_vena_PayrollS1_PayrollB4_C_FV_56493ffece784c5db4cd0fd3b40a250d_4">#REF!</definedName>
    <definedName name="_vena_PayrollS1_PayrollB4_C_FV_56493ffece784c5db4cd0fd3b40a250d_40">#REF!</definedName>
    <definedName name="_vena_PayrollS1_PayrollB4_C_FV_56493ffece784c5db4cd0fd3b40a250d_41">#REF!</definedName>
    <definedName name="_vena_PayrollS1_PayrollB4_C_FV_56493ffece784c5db4cd0fd3b40a250d_42">#REF!</definedName>
    <definedName name="_vena_PayrollS1_PayrollB4_C_FV_56493ffece784c5db4cd0fd3b40a250d_43">#REF!</definedName>
    <definedName name="_vena_PayrollS1_PayrollB4_C_FV_56493ffece784c5db4cd0fd3b40a250d_44">#REF!</definedName>
    <definedName name="_vena_PayrollS1_PayrollB4_C_FV_56493ffece784c5db4cd0fd3b40a250d_45">#REF!</definedName>
    <definedName name="_vena_PayrollS1_PayrollB4_C_FV_56493ffece784c5db4cd0fd3b40a250d_46">#REF!</definedName>
    <definedName name="_vena_PayrollS1_PayrollB4_C_FV_56493ffece784c5db4cd0fd3b40a250d_47">#REF!</definedName>
    <definedName name="_vena_PayrollS1_PayrollB4_C_FV_56493ffece784c5db4cd0fd3b40a250d_5">#REF!</definedName>
    <definedName name="_vena_PayrollS1_PayrollB4_C_FV_56493ffece784c5db4cd0fd3b40a250d_6">#REF!</definedName>
    <definedName name="_vena_PayrollS1_PayrollB4_C_FV_56493ffece784c5db4cd0fd3b40a250d_7">#REF!</definedName>
    <definedName name="_vena_PayrollS1_PayrollB4_C_FV_56493ffece784c5db4cd0fd3b40a250d_8">#REF!</definedName>
    <definedName name="_vena_PayrollS1_PayrollB4_C_FV_56493ffece784c5db4cd0fd3b40a250d_9">#REF!</definedName>
    <definedName name="_vena_PayrollS1_PayrollB4_C_FV_e1c3a244dc3d4f149ecdf7d748811086">#REF!</definedName>
    <definedName name="_vena_PayrollS1_PayrollB4_C_FV_e1c3a244dc3d4f149ecdf7d748811086_1">#REF!</definedName>
    <definedName name="_vena_PayrollS1_PayrollB4_C_FV_e1c3a244dc3d4f149ecdf7d748811086_10">#REF!</definedName>
    <definedName name="_vena_PayrollS1_PayrollB4_C_FV_e1c3a244dc3d4f149ecdf7d748811086_11">#REF!</definedName>
    <definedName name="_vena_PayrollS1_PayrollB4_C_FV_e1c3a244dc3d4f149ecdf7d748811086_12">#REF!</definedName>
    <definedName name="_vena_PayrollS1_PayrollB4_C_FV_e1c3a244dc3d4f149ecdf7d748811086_13">#REF!</definedName>
    <definedName name="_vena_PayrollS1_PayrollB4_C_FV_e1c3a244dc3d4f149ecdf7d748811086_14">#REF!</definedName>
    <definedName name="_vena_PayrollS1_PayrollB4_C_FV_e1c3a244dc3d4f149ecdf7d748811086_15">#REF!</definedName>
    <definedName name="_vena_PayrollS1_PayrollB4_C_FV_e1c3a244dc3d4f149ecdf7d748811086_16">#REF!</definedName>
    <definedName name="_vena_PayrollS1_PayrollB4_C_FV_e1c3a244dc3d4f149ecdf7d748811086_17">#REF!</definedName>
    <definedName name="_vena_PayrollS1_PayrollB4_C_FV_e1c3a244dc3d4f149ecdf7d748811086_18">#REF!</definedName>
    <definedName name="_vena_PayrollS1_PayrollB4_C_FV_e1c3a244dc3d4f149ecdf7d748811086_19">#REF!</definedName>
    <definedName name="_vena_PayrollS1_PayrollB4_C_FV_e1c3a244dc3d4f149ecdf7d748811086_2">#REF!</definedName>
    <definedName name="_vena_PayrollS1_PayrollB4_C_FV_e1c3a244dc3d4f149ecdf7d748811086_20">#REF!</definedName>
    <definedName name="_vena_PayrollS1_PayrollB4_C_FV_e1c3a244dc3d4f149ecdf7d748811086_21">#REF!</definedName>
    <definedName name="_vena_PayrollS1_PayrollB4_C_FV_e1c3a244dc3d4f149ecdf7d748811086_22">#REF!</definedName>
    <definedName name="_vena_PayrollS1_PayrollB4_C_FV_e1c3a244dc3d4f149ecdf7d748811086_23">#REF!</definedName>
    <definedName name="_vena_PayrollS1_PayrollB4_C_FV_e1c3a244dc3d4f149ecdf7d748811086_24">#REF!</definedName>
    <definedName name="_vena_PayrollS1_PayrollB4_C_FV_e1c3a244dc3d4f149ecdf7d748811086_25">#REF!</definedName>
    <definedName name="_vena_PayrollS1_PayrollB4_C_FV_e1c3a244dc3d4f149ecdf7d748811086_26">#REF!</definedName>
    <definedName name="_vena_PayrollS1_PayrollB4_C_FV_e1c3a244dc3d4f149ecdf7d748811086_27">#REF!</definedName>
    <definedName name="_vena_PayrollS1_PayrollB4_C_FV_e1c3a244dc3d4f149ecdf7d748811086_28">#REF!</definedName>
    <definedName name="_vena_PayrollS1_PayrollB4_C_FV_e1c3a244dc3d4f149ecdf7d748811086_29">#REF!</definedName>
    <definedName name="_vena_PayrollS1_PayrollB4_C_FV_e1c3a244dc3d4f149ecdf7d748811086_3">#REF!</definedName>
    <definedName name="_vena_PayrollS1_PayrollB4_C_FV_e1c3a244dc3d4f149ecdf7d748811086_30">#REF!</definedName>
    <definedName name="_vena_PayrollS1_PayrollB4_C_FV_e1c3a244dc3d4f149ecdf7d748811086_31">#REF!</definedName>
    <definedName name="_vena_PayrollS1_PayrollB4_C_FV_e1c3a244dc3d4f149ecdf7d748811086_32">#REF!</definedName>
    <definedName name="_vena_PayrollS1_PayrollB4_C_FV_e1c3a244dc3d4f149ecdf7d748811086_33">#REF!</definedName>
    <definedName name="_vena_PayrollS1_PayrollB4_C_FV_e1c3a244dc3d4f149ecdf7d748811086_34">#REF!</definedName>
    <definedName name="_vena_PayrollS1_PayrollB4_C_FV_e1c3a244dc3d4f149ecdf7d748811086_35">#REF!</definedName>
    <definedName name="_vena_PayrollS1_PayrollB4_C_FV_e1c3a244dc3d4f149ecdf7d748811086_36">#REF!</definedName>
    <definedName name="_vena_PayrollS1_PayrollB4_C_FV_e1c3a244dc3d4f149ecdf7d748811086_37">#REF!</definedName>
    <definedName name="_vena_PayrollS1_PayrollB4_C_FV_e1c3a244dc3d4f149ecdf7d748811086_38">#REF!</definedName>
    <definedName name="_vena_PayrollS1_PayrollB4_C_FV_e1c3a244dc3d4f149ecdf7d748811086_39">#REF!</definedName>
    <definedName name="_vena_PayrollS1_PayrollB4_C_FV_e1c3a244dc3d4f149ecdf7d748811086_4">#REF!</definedName>
    <definedName name="_vena_PayrollS1_PayrollB4_C_FV_e1c3a244dc3d4f149ecdf7d748811086_40">#REF!</definedName>
    <definedName name="_vena_PayrollS1_PayrollB4_C_FV_e1c3a244dc3d4f149ecdf7d748811086_41">#REF!</definedName>
    <definedName name="_vena_PayrollS1_PayrollB4_C_FV_e1c3a244dc3d4f149ecdf7d748811086_42">#REF!</definedName>
    <definedName name="_vena_PayrollS1_PayrollB4_C_FV_e1c3a244dc3d4f149ecdf7d748811086_43">#REF!</definedName>
    <definedName name="_vena_PayrollS1_PayrollB4_C_FV_e1c3a244dc3d4f149ecdf7d748811086_44">#REF!</definedName>
    <definedName name="_vena_PayrollS1_PayrollB4_C_FV_e1c3a244dc3d4f149ecdf7d748811086_45">#REF!</definedName>
    <definedName name="_vena_PayrollS1_PayrollB4_C_FV_e1c3a244dc3d4f149ecdf7d748811086_46">#REF!</definedName>
    <definedName name="_vena_PayrollS1_PayrollB4_C_FV_e1c3a244dc3d4f149ecdf7d748811086_47">#REF!</definedName>
    <definedName name="_vena_PayrollS1_PayrollB4_C_FV_e1c3a244dc3d4f149ecdf7d748811086_5">#REF!</definedName>
    <definedName name="_vena_PayrollS1_PayrollB4_C_FV_e1c3a244dc3d4f149ecdf7d748811086_6">#REF!</definedName>
    <definedName name="_vena_PayrollS1_PayrollB4_C_FV_e1c3a244dc3d4f149ecdf7d748811086_7">#REF!</definedName>
    <definedName name="_vena_PayrollS1_PayrollB4_C_FV_e1c3a244dc3d4f149ecdf7d748811086_8">#REF!</definedName>
    <definedName name="_vena_PayrollS1_PayrollB4_C_FV_e1c3a244dc3d4f149ecdf7d748811086_9">#REF!</definedName>
    <definedName name="_vena_PayrollS1_PayrollB4_R_5_472311968301187073">#REF!</definedName>
    <definedName name="_vena_PayrollS1_PayrollB4_R_5_472311968305381377">#REF!</definedName>
    <definedName name="_vena_PayrollS1_PayrollB4_R_5_632005310945165312">#REF!</definedName>
    <definedName name="_vena_PayrollS1_PayrollB4_R_5_632005311372984320">#REF!</definedName>
    <definedName name="_vena_PayrollS1_PayrollB4_R_5_635782324189790208">#REF!</definedName>
    <definedName name="_vena_PayrollS1_PayrollB4_R_5_635782377100804096">#REF!</definedName>
    <definedName name="_vena_PayrollS1_PayrollB4_R_5_728765028077535232">#REF!</definedName>
    <definedName name="_vena_PayrollS1_PayrollB4_R_5_728765053378232320">#REF!</definedName>
    <definedName name="_vena_PO_Budget_2_e6e8b38358f7479d8e13d2931211898e">#REF!</definedName>
    <definedName name="_vena_PO_Budget_2_f349c8d54fb3436fb534ca15e4f7b2e4">#REF!</definedName>
    <definedName name="_vena_PO_CharterCashFlow_1_5193c431a8674551aa1ee238232073b6">#REF!</definedName>
    <definedName name="_vena_PO_ComparisonScenario_2_396efb451d9341a6a172e4d3d4a827a9">#REF!</definedName>
    <definedName name="_vena_PO_ComparisonScenario_2_4605131403384e68a035566f2e87c72f">#REF!</definedName>
    <definedName name="_vena_PO_CurrentForecast_1_39acc6243333403faac44e9e63c33d4c">#REF!</definedName>
    <definedName name="_vena_PO_CurrentForecast_1_688a0920c81d4b5bb13ccb3f3df4aaa2">#REF!</definedName>
    <definedName name="_vena_PO_CurrentForecast_1_c6a092bbc9cd44ff81fa2b62450d6a24">#REF!</definedName>
    <definedName name="_vena_PO_CurrentForecast_1_f2be5f2801f74f16bc79ceeae35d2a71">#REF!</definedName>
    <definedName name="_vena_PO_CurrentForecast_2_14670905af3f4e96b144aa850a2b026f">#REF!</definedName>
    <definedName name="_vena_PO_CurrentForecast_2_68cc37ca108641c3ae8207d3ae77e3e4">#REF!</definedName>
    <definedName name="_vena_PO_CurrentForecast_2_78409019afa34122bca8d7abb24dfce8">#REF!</definedName>
    <definedName name="_vena_PO_CurrentForecast_2_bf116116c05249e180af5d74e9a5f523">#REF!</definedName>
    <definedName name="_vena_PO_CurrentForecast_2_ef3fcf8e1ba041fbba58b824980a0e89">#REF!</definedName>
    <definedName name="_vena_PO_CurrentForecast_4_0afa7dc59ac74922be0a4acfeae6ad35">#REF!</definedName>
    <definedName name="_vena_PO_CurrentForecast_4_4e76939a4780436894fc3a9859896f93">#REF!</definedName>
    <definedName name="_vena_PO_CurrentForecast_4_62fb2f46ca374777a50494052905fd7a">#REF!</definedName>
    <definedName name="_vena_PO_CurrentForecast_4_7e71e59d496440ee8cb9782af9bbfed3">#REF!</definedName>
    <definedName name="_vena_PO_CurrentForecast_4_7ec0ec965edc4df08cef95e5dbf251e7">#REF!</definedName>
    <definedName name="_vena_PO_CurrentForecast_4_9f587c44c62147feb9475952508e6431">#REF!</definedName>
    <definedName name="_vena_PO_CurrentForecast_4_e04706fd7dca4004ace3c0a6fdc50951">#REF!</definedName>
    <definedName name="_vena_PO_CurrentForecast_4_fc1d81db6e37422591e2d241e5f7442c">#REF!</definedName>
    <definedName name="_vena_PO_CurrentForecast_6_33289fdec7f347d98ca9d252eff6f47e">#REF!</definedName>
    <definedName name="_vena_PO_CurrentForecast_6_721a6b86a708434a9f277c7729b162cc">#REF!</definedName>
    <definedName name="_vena_PO_MultiSiteMYP_1_51cdc1bcb0114f02bc8bc91af3479194">#REF!</definedName>
    <definedName name="_vena_PO_PreviousForecast_2_e210229d72bf4cda9f29dc164f2e22c1">#REF!</definedName>
    <definedName name="_vena_PreviousForecast_P_2_1133913492308492306">#REF!</definedName>
    <definedName name="_vena_PreviousForecast_P_2_1273064267402313742">#REF!</definedName>
    <definedName name="_vena_PreviousForecast_P_2_1273064267402313744">#REF!</definedName>
    <definedName name="_vena_PreviousForecast_P_2_1273064267402313746">#REF!</definedName>
    <definedName name="_vena_PreviousForecast_P_2_1273064267402313748" comment="*">#REF!</definedName>
    <definedName name="_vena_PreviousForecast_P_2_1400381491887865856">#REF!</definedName>
    <definedName name="_vena_PreviousForecast_P_2_1400381491887865858" comment="*">#REF!</definedName>
    <definedName name="_vena_PreviousForecast_P_2_632005310785781764">#REF!</definedName>
    <definedName name="_vena_PreviousForecast_P_2_632005310802558978">#REF!</definedName>
    <definedName name="_vena_RatesS1_P_1_443986824651603968" comment="*">#REF!</definedName>
    <definedName name="_vena_RatesS1_P_3_431662182406553601" comment="*">#REF!</definedName>
    <definedName name="_vena_RatesS1_P_3_632005310022418436" comment="*">#REF!</definedName>
    <definedName name="_vena_RatesS1_P_6_431662182054232065" comment="*">#REF!</definedName>
    <definedName name="_vena_RatesS1_P_6_632005313063288832" comment="*">#REF!</definedName>
    <definedName name="_vena_RatesS1_P_7_431662179290185729" comment="*">#REF!</definedName>
    <definedName name="_vena_RatesS1_P_7_632005313256226820" comment="*">#REF!</definedName>
    <definedName name="_vena_RatesS1_P_8_431662182280724481" comment="*">#REF!</definedName>
    <definedName name="_vena_RatesS1_P_FV_e3545e3dcc52420a84dcdae3a23a4597" comment="*">#REF!</definedName>
    <definedName name="_vena_RatesS1_RatesB1_C_8_632005313629519872">#REF!</definedName>
    <definedName name="_vena_RatesS1_RatesB1_C_8_632005313629519872_1">#REF!</definedName>
    <definedName name="_vena_RatesS1_RatesB1_C_8_632005313629519872_2">#REF!</definedName>
    <definedName name="_vena_RatesS1_RatesB1_C_8_632005313629519872_3">#REF!</definedName>
    <definedName name="_vena_RatesS1_RatesB1_C_8_632005313629519872_4">#REF!</definedName>
    <definedName name="_vena_RatesS1_RatesB1_C_8_632005313629519872_5">#REF!</definedName>
    <definedName name="_vena_RatesS1_RatesB1_C_FV_e1c3a244dc3d4f149ecdf7d748811086">#REF!</definedName>
    <definedName name="_vena_RatesS1_RatesB1_C_FV_e1c3a244dc3d4f149ecdf7d748811086_1">#REF!</definedName>
    <definedName name="_vena_RatesS1_RatesB1_C_FV_e1c3a244dc3d4f149ecdf7d748811086_2">#REF!</definedName>
    <definedName name="_vena_RatesS1_RatesB1_C_FV_e1c3a244dc3d4f149ecdf7d748811086_3">#REF!</definedName>
    <definedName name="_vena_RatesS1_RatesB1_C_FV_e1c3a244dc3d4f149ecdf7d748811086_4">#REF!</definedName>
    <definedName name="_vena_RatesS1_RatesB1_C_FV_e1c3a244dc3d4f149ecdf7d748811086_5">#REF!</definedName>
    <definedName name="_vena_RatesS1_RatesB1_R_1_632005310588649479_1">#REF!</definedName>
    <definedName name="_vena_RatesS1_RatesB1_R_1_632005310588649479_10">#REF!</definedName>
    <definedName name="_vena_RatesS1_RatesB1_R_1_632005310588649479_11">#REF!</definedName>
    <definedName name="_vena_RatesS1_RatesB1_R_1_632005310588649479_12">#REF!</definedName>
    <definedName name="_vena_RatesS1_RatesB1_R_1_632005310588649479_13">#REF!</definedName>
    <definedName name="_vena_RatesS1_RatesB1_R_1_632005310588649479_14">#REF!</definedName>
    <definedName name="_vena_RatesS1_RatesB1_R_1_632005310588649479_2">#REF!</definedName>
    <definedName name="_vena_RatesS1_RatesB1_R_1_632005310588649479_3">#REF!</definedName>
    <definedName name="_vena_RatesS1_RatesB1_R_1_632005310588649479_4">#REF!</definedName>
    <definedName name="_vena_RatesS1_RatesB1_R_1_632005310588649479_5">#REF!</definedName>
    <definedName name="_vena_RatesS1_RatesB1_R_1_632005310588649479_6">#REF!</definedName>
    <definedName name="_vena_RatesS1_RatesB1_R_1_632005310588649479_7">#REF!</definedName>
    <definedName name="_vena_RatesS1_RatesB1_R_1_632005310588649479_8">#REF!</definedName>
    <definedName name="_vena_RatesS1_RatesB1_R_1_632005310588649479_9">#REF!</definedName>
    <definedName name="_vena_RatesS1_RatesB1_R_5_1325274729153822720">#REF!</definedName>
    <definedName name="_vena_RatesS1_RatesB1_R_5_1325274761815130112">#REF!</definedName>
    <definedName name="_vena_RatesS1_RatesB1_R_5_1360129685317222400">#REF!</definedName>
    <definedName name="_vena_RatesS1_RatesB1_R_5_1360129713259937792">#REF!</definedName>
    <definedName name="_vena_RatesS1_RatesB1_R_5_1395212132528160794">#REF!</definedName>
    <definedName name="_vena_RatesS1_RatesB1_R_5_444308604158345217">#REF!</definedName>
    <definedName name="_vena_RatesS1_RatesB1_R_5_444308604170928128">#REF!</definedName>
    <definedName name="_vena_RatesS1_RatesB1_R_5_444308604175122433">#REF!</definedName>
    <definedName name="_vena_RatesS1_RatesB1_R_5_444308604175122435">#REF!</definedName>
    <definedName name="_vena_RatesS1_RatesB1_R_5_444308604179316738">#REF!</definedName>
    <definedName name="_vena_RatesS1_RatesB1_R_5_444308604183511041">#REF!</definedName>
    <definedName name="_vena_RatesS1_RatesB1_R_5_444308604246425600">#REF!</definedName>
    <definedName name="_vena_RatesS1_RatesB1_R_5_444308604250619905">#REF!</definedName>
    <definedName name="_vena_RatesS1_RatesB1_R_5_444308604254814209">#REF!</definedName>
    <definedName name="_vena_RatesS1_RatesB1_R_5_444308604254814212">#REF!</definedName>
    <definedName name="_vena_RatesS1_RatesB1_R_5_470174022446350336">#REF!</definedName>
    <definedName name="_vena_RatesS1_RatesB1_R_5_470174064380870656">#REF!</definedName>
    <definedName name="_vena_RatesS1_RatesB1_R_5_470174096026894336">#REF!</definedName>
    <definedName name="_vena_RatesS1_RatesB1_R_5_470174215291928576">#REF!</definedName>
    <definedName name="_vena_RatesS1_RatesB1_R_5_470174268802465792">#REF!</definedName>
    <definedName name="_vena_RatesS1_RatesB1_R_5_470174304412106752">#REF!</definedName>
    <definedName name="_vena_RatesS1_RatesB1_R_5_470174354492227584">#REF!</definedName>
    <definedName name="_vena_RatesS1_RatesB1_R_5_470174392538759168">#REF!</definedName>
    <definedName name="_vena_RatesS1_RatesB1_R_5_470174427234172928">#REF!</definedName>
    <definedName name="_vena_RatesS1_RatesB1_R_5_470174494993154048">#REF!</definedName>
    <definedName name="_vena_RatesS1_RatesB1_R_5_632005310932582409">#REF!</definedName>
    <definedName name="_vena_RatesS1_RatesB1_R_5_632005311138103302">#REF!</definedName>
    <definedName name="_vena_RatesS1_RatesB1_R_5_632005311196823552">#REF!</definedName>
    <definedName name="_vena_RatesS1_RatesB1_R_5_632005311221989380">#REF!</definedName>
    <definedName name="_vena_RatesS1_RatesB1_R_5_632005311226183680">#REF!</definedName>
    <definedName name="_vena_RatesS1_RatesB1_R_5_632005311645614088">#REF!</definedName>
    <definedName name="_vena_RatesS1_RatesB1_R_5_632005312291536900">#REF!</definedName>
    <definedName name="_vena_RatesS1_RatesB1_R_5_632005312337674244">#REF!</definedName>
    <definedName name="_vena_RatesS1_RatesB1_R_5_632005312593526784">#REF!</definedName>
    <definedName name="_vena_RatesS1_RatesB1_R_5_632057211095089152">#REF!</definedName>
    <definedName name="_vena_RatesS1_RatesB1_R_5_632057253281660928">#REF!</definedName>
    <definedName name="_vena_RatesS1_RatesB1_R_5_632057326107099136">#REF!</definedName>
    <definedName name="_vena_RatesS1_RatesB1_R_5_632057377617608704">#REF!</definedName>
    <definedName name="_vena_RatesS1_RatesB1_R_5_632385284184866816">#REF!</definedName>
    <definedName name="_vena_RatesS1_RatesB1_R_5_632385637403721728">#REF!</definedName>
    <definedName name="_vena_RatesS1_RatesB1_R_5_632385685298741248">#REF!</definedName>
    <definedName name="_vena_RatesS1_RatesB1_R_5_632386003436306432">#REF!</definedName>
    <definedName name="_vena_RatesS1_RatesB1_R_5_632387172862918656">#REF!</definedName>
    <definedName name="_vena_RatesS1_RatesB1_R_5_632387267884875776">#REF!</definedName>
    <definedName name="_vena_RatesS1_RatesB1_R_5_845102614969581568">#REF!</definedName>
    <definedName name="_vena_RatesS1_RatesB1_R_5_845969730850127872">#REF!</definedName>
    <definedName name="_vena_RatesS1_RatesB1_R_5_863259982995521536">#REF!</definedName>
    <definedName name="_vena_RatesS1_RatesB1_R_FV_56493ffece784c5db4cd0fd3b40a250d">#REF!</definedName>
    <definedName name="_vena_RatesS1_RatesB1_R_FV_56493ffece784c5db4cd0fd3b40a250d_1">#REF!</definedName>
    <definedName name="_vena_RatesS1_RatesB1_R_FV_56493ffece784c5db4cd0fd3b40a250d_2">#REF!</definedName>
    <definedName name="_vena_RatesS1_RatesB1_R_FV_56493ffece784c5db4cd0fd3b40a250d_4">#REF!</definedName>
    <definedName name="_vena_RatesS1_RatesB1_R_FV_56493ffece784c5db4cd0fd3b40a250d_5">#REF!</definedName>
    <definedName name="_vena_RatesS1_RatesB2_C_4_632005309959503878">#REF!</definedName>
    <definedName name="_vena_RatesS1_RatesB2_C_8_632005313608548359">#REF!</definedName>
    <definedName name="_vena_RatesS1_RatesB2_C_8_632005313629519872">#REF!</definedName>
    <definedName name="_vena_RatesS1_RatesB2_C_8_632005313629519872_1">#REF!</definedName>
    <definedName name="_vena_RatesS1_RatesB2_C_8_632005313629519872_2">#REF!</definedName>
    <definedName name="_vena_RatesS1_RatesB2_C_8_632005313629519872_3">#REF!</definedName>
    <definedName name="_vena_RatesS1_RatesB2_C_8_632005313629519872_4">#REF!</definedName>
    <definedName name="_vena_RatesS1_RatesB2_C_8_632005313629519872_5">#REF!</definedName>
    <definedName name="_vena_RatesS1_RatesB2_C_FV_e1c3a244dc3d4f149ecdf7d748811086_2">#REF!</definedName>
    <definedName name="_vena_RatesS1_RatesB2_C_FV_e1c3a244dc3d4f149ecdf7d748811086_3">#REF!</definedName>
    <definedName name="_vena_RatesS1_RatesB2_C_FV_e1c3a244dc3d4f149ecdf7d748811086_4">#REF!</definedName>
    <definedName name="_vena_RatesS1_RatesB2_C_FV_e1c3a244dc3d4f149ecdf7d748811086_5">#REF!</definedName>
    <definedName name="_vena_RatesS1_RatesB2_C_FV_e1c3a244dc3d4f149ecdf7d748811086_6">#REF!</definedName>
    <definedName name="_vena_RatesS1_RatesB2_C_FV_e1c3a244dc3d4f149ecdf7d748811086_7">#REF!</definedName>
    <definedName name="_vena_RatesS1_RatesB2_R_5_632005311414927360" comment="*">#REF!</definedName>
    <definedName name="_vena_RatesS1_RatesB2_R_FV_56493ffece784c5db4cd0fd3b40a250d">#REF!</definedName>
    <definedName name="_vena_RatesS1_RatesB3_C_8_632005313616936967">#REF!</definedName>
    <definedName name="_vena_RatesS1_RatesB3_C_8_632005313616936967_1">#REF!</definedName>
    <definedName name="_vena_RatesS1_RatesB3_C_8_632005313616936967_2">#REF!</definedName>
    <definedName name="_vena_RatesS1_RatesB3_C_8_632005313616936967_3">#REF!</definedName>
    <definedName name="_vena_RatesS1_RatesB3_C_8_632005313616936967_4">#REF!</definedName>
    <definedName name="_vena_RatesS1_RatesB3_C_8_632005313616936967_5">#REF!</definedName>
    <definedName name="_vena_RatesS1_RatesB3_C_8_632005313671462916">#REF!</definedName>
    <definedName name="_vena_RatesS1_RatesB3_C_FV_e1c3a244dc3d4f149ecdf7d748811086">#REF!</definedName>
    <definedName name="_vena_RatesS1_RatesB3_C_FV_e1c3a244dc3d4f149ecdf7d748811086_1">#REF!</definedName>
    <definedName name="_vena_RatesS1_RatesB3_C_FV_e1c3a244dc3d4f149ecdf7d748811086_2">#REF!</definedName>
    <definedName name="_vena_RatesS1_RatesB3_C_FV_e1c3a244dc3d4f149ecdf7d748811086_3">#REF!</definedName>
    <definedName name="_vena_RatesS1_RatesB3_C_FV_e1c3a244dc3d4f149ecdf7d748811086_4">#REF!</definedName>
    <definedName name="_vena_RatesS1_RatesB3_C_FV_e1c3a244dc3d4f149ecdf7d748811086_5">#REF!</definedName>
    <definedName name="_vena_RatesS1_RatesB3_C_FV_e1c3a244dc3d4f149ecdf7d748811086_6">#REF!</definedName>
    <definedName name="_vena_RatesS1_RatesB3_R_5_639752676917116928">#REF!</definedName>
    <definedName name="_vena_RatesS1_RatesB3_R_5_639752706780823599">#REF!</definedName>
    <definedName name="_vena_RatesS1_RatesB3_R_5_639782990406483969">#REF!</definedName>
    <definedName name="_vena_RatesS1_RatesB3_R_FV_56493ffece784c5db4cd0fd3b40a250d_1">#REF!</definedName>
    <definedName name="_vena_RatesS1_RatesB3_R_FV_56493ffece784c5db4cd0fd3b40a250d_2">#REF!</definedName>
    <definedName name="_vena_RatesS1_RatesB3_R_FV_56493ffece784c5db4cd0fd3b40a250d_3">#REF!</definedName>
    <definedName name="_vena_RatesS2_P_3_431662182406553601" comment="*">#REF!</definedName>
    <definedName name="_vena_RatesS2_P_6_431662182054232065" comment="*">#REF!</definedName>
    <definedName name="_vena_RatesS2_P_7_431662179290185729" comment="*">#REF!</definedName>
    <definedName name="_vena_RatesS2_P_FV_56493ffece784c5db4cd0fd3b40a250d" comment="*">#REF!</definedName>
    <definedName name="_vena_RatesS2_P_FV_e3545e3dcc52420a84dcdae3a23a4597" comment="*">#REF!</definedName>
    <definedName name="_vena_RatesS2_RatesB2_C_8_431662182280724481">#REF!</definedName>
    <definedName name="_vena_RatesS2_RatesB2_C_8_431662182280724481_1">#REF!</definedName>
    <definedName name="_vena_RatesS2_RatesB2_C_8_431662182280724481_2">#REF!</definedName>
    <definedName name="_vena_RatesS2_RatesB2_C_8_431662182280724481_3">#REF!</definedName>
    <definedName name="_vena_RatesS2_RatesB2_C_8_431662182280724481_4">#REF!</definedName>
    <definedName name="_vena_RatesS2_RatesB2_C_8_431662182280724481_5">#REF!</definedName>
    <definedName name="_vena_RatesS2_RatesB2_C_FV_e1c3a244dc3d4f149ecdf7d748811086">#REF!</definedName>
    <definedName name="_vena_RatesS2_RatesB2_C_FV_e1c3a244dc3d4f149ecdf7d748811086_1">#REF!</definedName>
    <definedName name="_vena_RatesS2_RatesB2_C_FV_e1c3a244dc3d4f149ecdf7d748811086_2">#REF!</definedName>
    <definedName name="_vena_RatesS2_RatesB2_C_FV_e1c3a244dc3d4f149ecdf7d748811086_3">#REF!</definedName>
    <definedName name="_vena_RatesS2_RatesB2_C_FV_e1c3a244dc3d4f149ecdf7d748811086_4">#REF!</definedName>
    <definedName name="_vena_RatesS2_RatesB2_C_FV_e1c3a244dc3d4f149ecdf7d748811086_5">#REF!</definedName>
    <definedName name="_vena_RatesS2_RatesB2_R_5_1390947502044348416">#REF!</definedName>
    <definedName name="_vena_RatesS2_RatesB2_R_5_443975998133370880">#REF!</definedName>
    <definedName name="_vena_RatesS2_RatesB2_R_5_443976042924474368">#REF!</definedName>
    <definedName name="_vena_RatesS2_RatesB2_R_5_443976132129193984">#REF!</definedName>
    <definedName name="_vena_RatesS2_RatesB2_R_5_443976163662102528">#REF!</definedName>
    <definedName name="_vena_RatesS2_RatesB2_R_5_443976244615839744">#REF!</definedName>
    <definedName name="_vena_RatesS2_RatesB2_R_5_443976291340517376">#REF!</definedName>
    <definedName name="_vena_RatesS2_RatesB2_R_5_444647373528891392">#REF!</definedName>
    <definedName name="_vena_RatesS2_RatesB2_R_5_472311968309575681">#REF!</definedName>
    <definedName name="_vena_RatesS2_RatesB2_R_5_472311968326352896">#REF!</definedName>
    <definedName name="_vena_RatesS2_RatesB2_R_5_472311968343130113">#REF!</definedName>
    <definedName name="_vena_RatesS2_RatesB2_R_5_472311968347324417">#REF!</definedName>
    <definedName name="_vena_RatesS2_RatesB2_R_5_472311968351518721">#REF!</definedName>
    <definedName name="_vena_RatesS2_RatesB2_R_5_472311968376684545">#REF!</definedName>
    <definedName name="_vena_RatesS2_RatesB2_R_5_472311968380878849">#REF!</definedName>
    <definedName name="_vena_RatesS2_RatesB2_R_5_472586263266852864">#REF!</definedName>
    <definedName name="_vena_RatesS2_RatesB2_R_5_488159931305558016">#REF!</definedName>
    <definedName name="_vena_RatesS2_RatesB3_C_4_451234991058452480">#REF!</definedName>
    <definedName name="_vena_RatesS2_RatesB3_C_8_431662182280724481">#REF!</definedName>
    <definedName name="_vena_RatesS2_RatesB3_R_5_472311968330547201">#REF!</definedName>
    <definedName name="_vena_RatesS2_RatesB3_R_5_472311968334741505">#REF!</definedName>
    <definedName name="_vena_RatesS2_RatesB4_C_4_451234991058452480">#REF!</definedName>
    <definedName name="_vena_RatesS2_RatesB4_C_8_431662182280724481">#REF!</definedName>
    <definedName name="_vena_RatesS2_RatesB4_C_8_431662182280724481_1">#REF!</definedName>
    <definedName name="_vena_RatesS2_RatesB4_C_8_431662182280724481_2">#REF!</definedName>
    <definedName name="_vena_RatesS2_RatesB4_C_8_431662182280724481_3">#REF!</definedName>
    <definedName name="_vena_RatesS2_RatesB4_C_8_431662182280724481_4">#REF!</definedName>
    <definedName name="_vena_RatesS2_RatesB4_C_8_431662182280724481_5">#REF!</definedName>
    <definedName name="_vena_RatesS2_RatesB4_C_8_431662182314278912">#REF!</definedName>
    <definedName name="_vena_RatesS2_RatesB4_C_FV_e1c3a244dc3d4f149ecdf7d748811086_1">#REF!</definedName>
    <definedName name="_vena_RatesS2_RatesB4_C_FV_e1c3a244dc3d4f149ecdf7d748811086_2">#REF!</definedName>
    <definedName name="_vena_RatesS2_RatesB4_C_FV_e1c3a244dc3d4f149ecdf7d748811086_3">#REF!</definedName>
    <definedName name="_vena_RatesS2_RatesB4_C_FV_e1c3a244dc3d4f149ecdf7d748811086_4">#REF!</definedName>
    <definedName name="_vena_RatesS2_RatesB4_C_FV_e1c3a244dc3d4f149ecdf7d748811086_5">#REF!</definedName>
    <definedName name="_vena_RatesS2_RatesB4_C_FV_e1c3a244dc3d4f149ecdf7d748811086_6">#REF!</definedName>
    <definedName name="_vena_RatesS2_RatesB4_R_5_502663251671384064">#REF!</definedName>
    <definedName name="_vena_RatesS3_P_3_431662182406553601" comment="*">#REF!</definedName>
    <definedName name="_vena_RatesS3_P_6_431662182054232065" comment="*">#REF!</definedName>
    <definedName name="_vena_RatesS3_P_7_431662179290185729" comment="*">#REF!</definedName>
    <definedName name="_vena_RatesS3_P_FV_56493ffece784c5db4cd0fd3b40a250d" comment="*">#REF!</definedName>
    <definedName name="_vena_RatesS3_P_FV_e3545e3dcc52420a84dcdae3a23a4597" comment="*">#REF!</definedName>
    <definedName name="_vena_RatesS3_RatesB5_C_8_444654810521403392">#REF!</definedName>
    <definedName name="_vena_RatesS3_RatesB5_C_8_444654866566086656">#REF!</definedName>
    <definedName name="_vena_RatesS3_RatesB5_C_8_444654866566086656_1">#REF!</definedName>
    <definedName name="_vena_RatesS3_RatesB5_C_8_444654866566086656_2">#REF!</definedName>
    <definedName name="_vena_RatesS3_RatesB5_C_8_444654866566086656_3">#REF!</definedName>
    <definedName name="_vena_RatesS3_RatesB5_C_8_444654866566086656_4">#REF!</definedName>
    <definedName name="_vena_RatesS3_RatesB5_C_8_444654866566086656_5">#REF!</definedName>
    <definedName name="_vena_RatesS3_RatesB5_C_FV_e1c3a244dc3d4f149ecdf7d748811086">#REF!</definedName>
    <definedName name="_vena_RatesS3_RatesB5_C_FV_e1c3a244dc3d4f149ecdf7d748811086_1">#REF!</definedName>
    <definedName name="_vena_RatesS3_RatesB5_C_FV_e1c3a244dc3d4f149ecdf7d748811086_2">#REF!</definedName>
    <definedName name="_vena_RatesS3_RatesB5_C_FV_e1c3a244dc3d4f149ecdf7d748811086_3">#REF!</definedName>
    <definedName name="_vena_RatesS3_RatesB5_C_FV_e1c3a244dc3d4f149ecdf7d748811086_4">#REF!</definedName>
    <definedName name="_vena_RatesS3_RatesB5_C_FV_e1c3a244dc3d4f149ecdf7d748811086_5">#REF!</definedName>
    <definedName name="_vena_RatesS3_RatesB5_C_FV_e1c3a244dc3d4f149ecdf7d748811086_6">#REF!</definedName>
    <definedName name="_vena_RatesS3_RatesB5_R_5_431662131399622657">#REF!</definedName>
    <definedName name="_vena_RatesS3_RatesB5_R_5_431662133333196801">#REF!</definedName>
    <definedName name="_vena_RatesS3_RatesB5_R_5_431662133484191745">#REF!</definedName>
    <definedName name="_vena_RatesS3_RatesB5_R_5_444308604233842689">#REF!</definedName>
    <definedName name="_vena_RatesS3_RatesB5_R_5_444394882975662080">#REF!</definedName>
    <definedName name="_vena_RatesS3_RatesB5_R_5_444395690212065280">#REF!</definedName>
    <definedName name="_vena_RatesS3_RatesB6_C_8_431662182280724481">#REF!</definedName>
    <definedName name="_vena_RatesS3_RatesB6_C_8_431662182280724481_1">#REF!</definedName>
    <definedName name="_vena_RatesS3_RatesB6_C_8_431662182280724481_2">#REF!</definedName>
    <definedName name="_vena_RatesS3_RatesB6_C_8_431662182280724481_3">#REF!</definedName>
    <definedName name="_vena_RatesS3_RatesB6_C_8_431662182280724481_4">#REF!</definedName>
    <definedName name="_vena_RatesS3_RatesB6_C_8_431662182280724481_5">#REF!</definedName>
    <definedName name="_vena_RatesS3_RatesB6_C_FV_e1c3a244dc3d4f149ecdf7d748811086">#REF!</definedName>
    <definedName name="_vena_RatesS3_RatesB6_C_FV_e1c3a244dc3d4f149ecdf7d748811086_1">#REF!</definedName>
    <definedName name="_vena_RatesS3_RatesB6_C_FV_e1c3a244dc3d4f149ecdf7d748811086_2">#REF!</definedName>
    <definedName name="_vena_RatesS3_RatesB6_C_FV_e1c3a244dc3d4f149ecdf7d748811086_3">#REF!</definedName>
    <definedName name="_vena_RatesS3_RatesB6_C_FV_e1c3a244dc3d4f149ecdf7d748811086_4">#REF!</definedName>
    <definedName name="_vena_RatesS3_RatesB6_C_FV_e1c3a244dc3d4f149ecdf7d748811086_5">#REF!</definedName>
    <definedName name="_vena_RatesS3_RatesB6_R_5_706361209348030464">#REF!</definedName>
    <definedName name="_vena_RatesS3_RatesB6_R_5_971207418862501889">#REF!</definedName>
    <definedName name="_vena_RatesS3_RatesB7_C_8_431662182280724481">#REF!</definedName>
    <definedName name="_vena_RatesS3_RatesB7_C_FV_e1c3a244dc3d4f149ecdf7d748811086">#REF!</definedName>
    <definedName name="_vena_RatesS3_RatesB7_R_5_444308604145762306">#REF!</definedName>
    <definedName name="_vena_RatesS3_RatesB8_C_8_431662182280724481">#REF!</definedName>
    <definedName name="_vena_RatesS3_RatesB8_C_FV_e1c3a244dc3d4f149ecdf7d748811086">#REF!</definedName>
    <definedName name="_vena_RatesS3_RatesB8_R_5_583541130476257280">#REF!</definedName>
    <definedName name="_vena_ReportSettingsS1_P_2_632005310785781764" comment="*">#REF!</definedName>
    <definedName name="_vena_ReportSettingsS1_P_3_632005310022418436" comment="*">#REF!</definedName>
    <definedName name="_vena_ReportSettingsS1_P_6_632005313063288832" comment="*">#REF!</definedName>
    <definedName name="_vena_ReportSettingsS1_P_7_632005313256226820" comment="*">#REF!</definedName>
    <definedName name="_vena_ReportSettingsS1_P_FV_9b0abd7578fb42018b1ba18b8b26d3ae" comment="*">#REF!</definedName>
    <definedName name="_vena_ReportSettingsS1_P_FV_e1c3a244dc3d4f149ecdf7d748811086" comment="*">#REF!</definedName>
    <definedName name="_vena_ReportSettingsS1_ReportSettingsB1_C_8_632005313629519872">#REF!</definedName>
    <definedName name="_vena_ReportSettingsS1_ReportSettingsB1_R_5_632005310907416584">#REF!</definedName>
    <definedName name="_vena_ReportSettingsS1_ReportSettingsB1_R_5_632005310949359616">#REF!</definedName>
    <definedName name="_vena_ReportSettingsS1_ReportSettingsB1_R_5_632005311062605824">#REF!</definedName>
    <definedName name="_vena_ReportSettingsS1_ReportSettingsB1_R_5_632005311121326084">#REF!</definedName>
    <definedName name="_vena_ReportSettingsS1_ReportSettingsB1_R_5_632005311142297606">#REF!</definedName>
    <definedName name="_vena_ReportSettingsS1_ReportSettingsB1_R_5_632005311171657733">#REF!</definedName>
    <definedName name="_vena_ReportSettingsS1_ReportSettingsB1_R_5_632005311205212168">#REF!</definedName>
    <definedName name="_vena_ReportSettingsS1_ReportSettingsB1_R_5_632005311221989376">#REF!</definedName>
    <definedName name="_vena_ReportSettingsS1_ReportSettingsB1_R_5_632005311230377988">#REF!</definedName>
    <definedName name="_vena_ReportSettingsS1_ReportSettingsB1_R_5_632005311389761540">#REF!</definedName>
    <definedName name="_vena_ReportSettingsS1_ReportSettingsB1_R_5_632005311393955842">#REF!</definedName>
    <definedName name="_vena_ReportSettingsS1_ReportSettingsB1_R_5_632005311603671042">#REF!</definedName>
    <definedName name="_vena_ReportSettingsS1_ReportSettingsB1_R_5_632005311641419780">#REF!</definedName>
    <definedName name="_vena_ReportSettingsS1_ReportSettingsB1_R_5_632005311700140036">#REF!</definedName>
    <definedName name="_vena_ReportSettingsS1_ReportSettingsB1_R_5_632005311830163458">#REF!</definedName>
    <definedName name="_vena_ReportSettingsS1_ReportSettingsB1_R_5_632005311851134983">#REF!</definedName>
    <definedName name="_vena_ReportSettingsS1_ReportSettingsB1_R_5_632005311905660933">#REF!</definedName>
    <definedName name="_vena_ReportSettingsS1_ReportSettingsB1_R_5_632005311914049543">#REF!</definedName>
    <definedName name="_vena_ReportSettingsS1_ReportSettingsB1_R_5_632005311955992578">#REF!</definedName>
    <definedName name="_vena_ReportSettingsS1_ReportSettingsB1_R_5_632005311960186880">#REF!</definedName>
    <definedName name="_vena_ReportSettingsS1_ReportSettingsB1_R_5_632005311997935624">#REF!</definedName>
    <definedName name="_vena_ReportSettingsS1_ReportSettingsB1_R_5_632005312027295747">#REF!</definedName>
    <definedName name="_vena_ReportSettingsS1_ReportSettingsB1_R_5_632005312069238792">#REF!</definedName>
    <definedName name="_vena_ReportSettingsS1_ReportSettingsB1_R_5_632005312115376136">#REF!</definedName>
    <definedName name="_vena_ReportSettingsS1_ReportSettingsB1_R_5_632005312174096388">#REF!</definedName>
    <definedName name="_vena_ReportSettingsS1_ReportSettingsB1_R_5_632005312278953984">#REF!</definedName>
    <definedName name="_vena_ReportSettingsS1_ReportSettingsB1_R_5_632005312287342597">#REF!</definedName>
    <definedName name="_vena_ReportSettingsS1_ReportSettingsB1_R_5_632005312354451460">#REF!</definedName>
    <definedName name="_vena_ReportSettingsS1_ReportSettingsB1_R_5_632005312404783108">#REF!</definedName>
    <definedName name="_vena_ReportSettingsS1_ReportSettingsB1_R_5_632005312450920452">#REF!</definedName>
    <definedName name="_vena_ReportSettingsS1_ReportSettingsB1_R_5_632005312559972360">#REF!</definedName>
    <definedName name="_vena_ReportSettingsS1_ReportSettingsB1_R_5_632005312564166660">#REF!</definedName>
    <definedName name="_vena_ReportSettingsS1_ReportSettingsB1_R_5_632005312589332486">#REF!</definedName>
    <definedName name="_vena_ReportSettingsS1_ReportSettingsB1_R_5_644292453063065600">#REF!</definedName>
    <definedName name="_vena_ReportSettingsS1_ReportSettingsB1_R_5_652681990960971776">#REF!</definedName>
    <definedName name="_vena_ReportSettingsS1_ReportSettingsB1_R_5_652682011747680256">#REF!</definedName>
    <definedName name="_vena_ReportSettingsS1_ReportSettingsB1_R_5_794396852681310208">#REF!</definedName>
    <definedName name="_vena_YTDS1_P_7_632005313260421126" comment="*">#REF!</definedName>
    <definedName name="_vena_YTDS1_YTDB1_C_3_632005310022418436">#REF!</definedName>
    <definedName name="_vena_YTDS1_YTDB1_C_3_632005310022418436_1">#REF!</definedName>
    <definedName name="_vena_YTDS1_YTDB1_C_8_632005313629519872">#REF!</definedName>
    <definedName name="_vena_YTDS1_YTDB1_C_8_632005313629519872_1">#REF!</definedName>
    <definedName name="_vena_YTDS1_YTDB1_C_8_632005313629519872_10">#REF!</definedName>
    <definedName name="_vena_YTDS1_YTDB1_C_8_632005313629519872_11">#REF!</definedName>
    <definedName name="_vena_YTDS1_YTDB1_C_8_632005313629519872_12">#REF!</definedName>
    <definedName name="_vena_YTDS1_YTDB1_C_8_632005313629519872_2">#REF!</definedName>
    <definedName name="_vena_YTDS1_YTDB1_C_8_632005313629519872_3">#REF!</definedName>
    <definedName name="_vena_YTDS1_YTDB1_C_8_632005313629519872_4">#REF!</definedName>
    <definedName name="_vena_YTDS1_YTDB1_C_8_632005313629519872_5">#REF!</definedName>
    <definedName name="_vena_YTDS1_YTDB1_C_8_632005313629519872_6">#REF!</definedName>
    <definedName name="_vena_YTDS1_YTDB1_C_8_632005313629519872_7">#REF!</definedName>
    <definedName name="_vena_YTDS1_YTDB1_C_8_632005313629519872_8">#REF!</definedName>
    <definedName name="_vena_YTDS1_YTDB1_C_8_632005313629519872_9">#REF!</definedName>
    <definedName name="_vena_YTDS1_YTDB1_C_8_632005313667268610">#REF!</definedName>
    <definedName name="_vena_YTDS1_YTDB1_C_FV_9b0abd7578fb42018b1ba18b8b26d3ae">#REF!</definedName>
    <definedName name="_vena_YTDS1_YTDB1_C_FV_9b0abd7578fb42018b1ba18b8b26d3ae_1">#REF!</definedName>
    <definedName name="_vena_YTDS1_YTDB1_C_FV_9b0abd7578fb42018b1ba18b8b26d3ae_10">#REF!</definedName>
    <definedName name="_vena_YTDS1_YTDB1_C_FV_9b0abd7578fb42018b1ba18b8b26d3ae_11">#REF!</definedName>
    <definedName name="_vena_YTDS1_YTDB1_C_FV_9b0abd7578fb42018b1ba18b8b26d3ae_12">#REF!</definedName>
    <definedName name="_vena_YTDS1_YTDB1_C_FV_9b0abd7578fb42018b1ba18b8b26d3ae_13">#REF!</definedName>
    <definedName name="_vena_YTDS1_YTDB1_C_FV_9b0abd7578fb42018b1ba18b8b26d3ae_14">#REF!</definedName>
    <definedName name="_vena_YTDS1_YTDB1_C_FV_9b0abd7578fb42018b1ba18b8b26d3ae_15">#REF!</definedName>
    <definedName name="_vena_YTDS1_YTDB1_C_FV_9b0abd7578fb42018b1ba18b8b26d3ae_16">#REF!</definedName>
    <definedName name="_vena_YTDS1_YTDB1_C_FV_9b0abd7578fb42018b1ba18b8b26d3ae_2">#REF!</definedName>
    <definedName name="_vena_YTDS1_YTDB1_C_FV_9b0abd7578fb42018b1ba18b8b26d3ae_3">#REF!</definedName>
    <definedName name="_vena_YTDS1_YTDB1_C_FV_9b0abd7578fb42018b1ba18b8b26d3ae_4">#REF!</definedName>
    <definedName name="_vena_YTDS1_YTDB1_C_FV_9b0abd7578fb42018b1ba18b8b26d3ae_5">#REF!</definedName>
    <definedName name="_vena_YTDS1_YTDB1_C_FV_9b0abd7578fb42018b1ba18b8b26d3ae_6">#REF!</definedName>
    <definedName name="_vena_YTDS1_YTDB1_C_FV_9b0abd7578fb42018b1ba18b8b26d3ae_7">#REF!</definedName>
    <definedName name="_vena_YTDS1_YTDB1_C_FV_9b0abd7578fb42018b1ba18b8b26d3ae_8">#REF!</definedName>
    <definedName name="_vena_YTDS1_YTDB1_C_FV_9b0abd7578fb42018b1ba18b8b26d3ae_9">#REF!</definedName>
    <definedName name="_vena_YTDS1_YTDB1_C_FV_a398e917565c475b8f0c5e9ebb5e002d">#REF!</definedName>
    <definedName name="_vena_YTDS1_YTDB1_C_FV_a398e917565c475b8f0c5e9ebb5e002d_1">#REF!</definedName>
    <definedName name="_vena_YTDS1_YTDB1_C_FV_a398e917565c475b8f0c5e9ebb5e002d_10">#REF!</definedName>
    <definedName name="_vena_YTDS1_YTDB1_C_FV_a398e917565c475b8f0c5e9ebb5e002d_11">#REF!</definedName>
    <definedName name="_vena_YTDS1_YTDB1_C_FV_a398e917565c475b8f0c5e9ebb5e002d_12">#REF!</definedName>
    <definedName name="_vena_YTDS1_YTDB1_C_FV_a398e917565c475b8f0c5e9ebb5e002d_13">#REF!</definedName>
    <definedName name="_vena_YTDS1_YTDB1_C_FV_a398e917565c475b8f0c5e9ebb5e002d_14">#REF!</definedName>
    <definedName name="_vena_YTDS1_YTDB1_C_FV_a398e917565c475b8f0c5e9ebb5e002d_2">#REF!</definedName>
    <definedName name="_vena_YTDS1_YTDB1_C_FV_a398e917565c475b8f0c5e9ebb5e002d_3">#REF!</definedName>
    <definedName name="_vena_YTDS1_YTDB1_C_FV_a398e917565c475b8f0c5e9ebb5e002d_4">#REF!</definedName>
    <definedName name="_vena_YTDS1_YTDB1_C_FV_a398e917565c475b8f0c5e9ebb5e002d_5">#REF!</definedName>
    <definedName name="_vena_YTDS1_YTDB1_C_FV_a398e917565c475b8f0c5e9ebb5e002d_6">#REF!</definedName>
    <definedName name="_vena_YTDS1_YTDB1_C_FV_a398e917565c475b8f0c5e9ebb5e002d_7">#REF!</definedName>
    <definedName name="_vena_YTDS1_YTDB1_C_FV_a398e917565c475b8f0c5e9ebb5e002d_8">#REF!</definedName>
    <definedName name="_vena_YTDS1_YTDB1_C_FV_a398e917565c475b8f0c5e9ebb5e002d_9">#REF!</definedName>
    <definedName name="_vena_YTDS1_YTDB1_C_FV_a7015286194d4cc6a0af6b4fcbd8ce6b">#REF!</definedName>
    <definedName name="_vena_YTDS1_YTDB1_C_FV_a7015286194d4cc6a0af6b4fcbd8ce6b_1">#REF!</definedName>
    <definedName name="_vena_YTDS1_YTDB1_C_FV_a7015286194d4cc6a0af6b4fcbd8ce6b_2">#REF!</definedName>
    <definedName name="_vena_YTDS1_YTDB1_C_FV_e1c3a244dc3d4f149ecdf7d748811086">#REF!</definedName>
    <definedName name="_vena_YTDS1_YTDB1_C_FV_e1c3a244dc3d4f149ecdf7d748811086_1">#REF!</definedName>
    <definedName name="_vena_YTDS1_YTDB1_C_FV_e1c3a244dc3d4f149ecdf7d748811086_10">#REF!</definedName>
    <definedName name="_vena_YTDS1_YTDB1_C_FV_e1c3a244dc3d4f149ecdf7d748811086_11">#REF!</definedName>
    <definedName name="_vena_YTDS1_YTDB1_C_FV_e1c3a244dc3d4f149ecdf7d748811086_12">#REF!</definedName>
    <definedName name="_vena_YTDS1_YTDB1_C_FV_e1c3a244dc3d4f149ecdf7d748811086_13">#REF!</definedName>
    <definedName name="_vena_YTDS1_YTDB1_C_FV_e1c3a244dc3d4f149ecdf7d748811086_14">#REF!</definedName>
    <definedName name="_vena_YTDS1_YTDB1_C_FV_e1c3a244dc3d4f149ecdf7d748811086_15">#REF!</definedName>
    <definedName name="_vena_YTDS1_YTDB1_C_FV_e1c3a244dc3d4f149ecdf7d748811086_16">#REF!</definedName>
    <definedName name="_vena_YTDS1_YTDB1_C_FV_e1c3a244dc3d4f149ecdf7d748811086_2">#REF!</definedName>
    <definedName name="_vena_YTDS1_YTDB1_C_FV_e1c3a244dc3d4f149ecdf7d748811086_3">#REF!</definedName>
    <definedName name="_vena_YTDS1_YTDB1_C_FV_e1c3a244dc3d4f149ecdf7d748811086_4">#REF!</definedName>
    <definedName name="_vena_YTDS1_YTDB1_C_FV_e1c3a244dc3d4f149ecdf7d748811086_5">#REF!</definedName>
    <definedName name="_vena_YTDS1_YTDB1_C_FV_e1c3a244dc3d4f149ecdf7d748811086_6">#REF!</definedName>
    <definedName name="_vena_YTDS1_YTDB1_C_FV_e1c3a244dc3d4f149ecdf7d748811086_7">#REF!</definedName>
    <definedName name="_vena_YTDS1_YTDB1_C_FV_e1c3a244dc3d4f149ecdf7d748811086_8">#REF!</definedName>
    <definedName name="_vena_YTDS1_YTDB1_C_FV_e1c3a244dc3d4f149ecdf7d748811086_9">#REF!</definedName>
    <definedName name="_vena_YTDS1_YTDB1_C_FV_e3545e3dcc52420a84dcdae3a23a4597">#REF!</definedName>
    <definedName name="_vena_YTDS1_YTDB1_C_FV_e3545e3dcc52420a84dcdae3a23a4597_1">#REF!</definedName>
    <definedName name="_vena_YTDS1_YTDB1_C_FV_e3545e3dcc52420a84dcdae3a23a4597_10">#REF!</definedName>
    <definedName name="_vena_YTDS1_YTDB1_C_FV_e3545e3dcc52420a84dcdae3a23a4597_11">#REF!</definedName>
    <definedName name="_vena_YTDS1_YTDB1_C_FV_e3545e3dcc52420a84dcdae3a23a4597_12">#REF!</definedName>
    <definedName name="_vena_YTDS1_YTDB1_C_FV_e3545e3dcc52420a84dcdae3a23a4597_13">#REF!</definedName>
    <definedName name="_vena_YTDS1_YTDB1_C_FV_e3545e3dcc52420a84dcdae3a23a4597_14">#REF!</definedName>
    <definedName name="_vena_YTDS1_YTDB1_C_FV_e3545e3dcc52420a84dcdae3a23a4597_15">#REF!</definedName>
    <definedName name="_vena_YTDS1_YTDB1_C_FV_e3545e3dcc52420a84dcdae3a23a4597_16">#REF!</definedName>
    <definedName name="_vena_YTDS1_YTDB1_C_FV_e3545e3dcc52420a84dcdae3a23a4597_2">#REF!</definedName>
    <definedName name="_vena_YTDS1_YTDB1_C_FV_e3545e3dcc52420a84dcdae3a23a4597_3">#REF!</definedName>
    <definedName name="_vena_YTDS1_YTDB1_C_FV_e3545e3dcc52420a84dcdae3a23a4597_4">#REF!</definedName>
    <definedName name="_vena_YTDS1_YTDB1_C_FV_e3545e3dcc52420a84dcdae3a23a4597_5">#REF!</definedName>
    <definedName name="_vena_YTDS1_YTDB1_C_FV_e3545e3dcc52420a84dcdae3a23a4597_6">#REF!</definedName>
    <definedName name="_vena_YTDS1_YTDB1_C_FV_e3545e3dcc52420a84dcdae3a23a4597_7">#REF!</definedName>
    <definedName name="_vena_YTDS1_YTDB1_C_FV_e3545e3dcc52420a84dcdae3a23a4597_8">#REF!</definedName>
    <definedName name="_vena_YTDS1_YTDB1_C_FV_e3545e3dcc52420a84dcdae3a23a4597_9">#REF!</definedName>
    <definedName name="_vena_YTDS1_YTDB1_C_FV_ef23d2b39fcb45a79097ef2da4b3400e">#REF!</definedName>
    <definedName name="_vena_YTDS1_YTDB1_C_FV_ef23d2b39fcb45a79097ef2da4b3400e_1">#REF!</definedName>
    <definedName name="_vena_YTDS1_YTDB1_C_FV_ef23d2b39fcb45a79097ef2da4b3400e_10">#REF!</definedName>
    <definedName name="_vena_YTDS1_YTDB1_C_FV_ef23d2b39fcb45a79097ef2da4b3400e_11">#REF!</definedName>
    <definedName name="_vena_YTDS1_YTDB1_C_FV_ef23d2b39fcb45a79097ef2da4b3400e_12">#REF!</definedName>
    <definedName name="_vena_YTDS1_YTDB1_C_FV_ef23d2b39fcb45a79097ef2da4b3400e_13">#REF!</definedName>
    <definedName name="_vena_YTDS1_YTDB1_C_FV_ef23d2b39fcb45a79097ef2da4b3400e_14">#REF!</definedName>
    <definedName name="_vena_YTDS1_YTDB1_C_FV_ef23d2b39fcb45a79097ef2da4b3400e_15">#REF!</definedName>
    <definedName name="_vena_YTDS1_YTDB1_C_FV_ef23d2b39fcb45a79097ef2da4b3400e_16">#REF!</definedName>
    <definedName name="_vena_YTDS1_YTDB1_C_FV_ef23d2b39fcb45a79097ef2da4b3400e_2">#REF!</definedName>
    <definedName name="_vena_YTDS1_YTDB1_C_FV_ef23d2b39fcb45a79097ef2da4b3400e_3">#REF!</definedName>
    <definedName name="_vena_YTDS1_YTDB1_C_FV_ef23d2b39fcb45a79097ef2da4b3400e_4">#REF!</definedName>
    <definedName name="_vena_YTDS1_YTDB1_C_FV_ef23d2b39fcb45a79097ef2da4b3400e_5">#REF!</definedName>
    <definedName name="_vena_YTDS1_YTDB1_C_FV_ef23d2b39fcb45a79097ef2da4b3400e_6">#REF!</definedName>
    <definedName name="_vena_YTDS1_YTDB1_C_FV_ef23d2b39fcb45a79097ef2da4b3400e_7">#REF!</definedName>
    <definedName name="_vena_YTDS1_YTDB1_C_FV_ef23d2b39fcb45a79097ef2da4b3400e_8">#REF!</definedName>
    <definedName name="_vena_YTDS1_YTDB1_C_FV_ef23d2b39fcb45a79097ef2da4b3400e_9">#REF!</definedName>
    <definedName name="_vena_YTDS1_YTDB1_R_5_1111159204226662400">#REF!</definedName>
    <definedName name="_vena_YTDS1_YTDB1_R_5_1167674209943552000">#REF!</definedName>
    <definedName name="_vena_YTDS1_YTDB1_R_5_1170595977436463104">#REF!</definedName>
    <definedName name="_vena_YTDS1_YTDB1_R_5_1170596113696817152">#REF!</definedName>
    <definedName name="_vena_YTDS1_YTDB1_R_5_1185377430419013632">#REF!</definedName>
    <definedName name="_vena_YTDS1_YTDB1_R_5_1185377508101718016">#REF!</definedName>
    <definedName name="_vena_YTDS1_YTDB1_R_5_1202087927775100928">#REF!</definedName>
    <definedName name="_vena_YTDS1_YTDB1_R_5_1235034379672354816">#REF!</definedName>
    <definedName name="_vena_YTDS1_YTDB1_R_5_1251394851461267456">#REF!</definedName>
    <definedName name="_vena_YTDS1_YTDB1_R_5_1280678120106754048">#REF!</definedName>
    <definedName name="_vena_YTDS1_YTDB1_R_5_1314840998504824832">#REF!</definedName>
    <definedName name="_vena_YTDS1_YTDB1_R_5_1443625441048920064">#REF!</definedName>
    <definedName name="_vena_YTDS1_YTDB1_R_5_632005310831919105">#REF!</definedName>
    <definedName name="_vena_YTDS1_YTDB1_R_5_632005310831919111">#REF!</definedName>
    <definedName name="_vena_YTDS1_YTDB1_R_5_632005310831919113">#REF!</definedName>
    <definedName name="_vena_YTDS1_YTDB1_R_5_632005310836113408">#REF!</definedName>
    <definedName name="_vena_YTDS1_YTDB1_R_5_632005310836113410">#REF!</definedName>
    <definedName name="_vena_YTDS1_YTDB1_R_5_632005310840307712">#REF!</definedName>
    <definedName name="_vena_YTDS1_YTDB1_R_5_632005310852890628">#REF!</definedName>
    <definedName name="_vena_YTDS1_YTDB1_R_5_632005310857084934">#REF!</definedName>
    <definedName name="_vena_YTDS1_YTDB1_R_5_632005310857084936">#REF!</definedName>
    <definedName name="_vena_YTDS1_YTDB1_R_5_632005310861279232">#REF!</definedName>
    <definedName name="_vena_YTDS1_YTDB1_R_5_632005310861279234">#REF!</definedName>
    <definedName name="_vena_YTDS1_YTDB1_R_5_632005310861279238">#REF!</definedName>
    <definedName name="_vena_YTDS1_YTDB1_R_5_632005310882250754">#REF!</definedName>
    <definedName name="_vena_YTDS1_YTDB1_R_5_632005310882250756">#REF!</definedName>
    <definedName name="_vena_YTDS1_YTDB1_R_5_632005310890639362">#REF!</definedName>
    <definedName name="_vena_YTDS1_YTDB1_R_5_632005310890639364">#REF!</definedName>
    <definedName name="_vena_YTDS1_YTDB1_R_5_632005310890639366">#REF!</definedName>
    <definedName name="_vena_YTDS1_YTDB1_R_5_632005310894833664">#REF!</definedName>
    <definedName name="_vena_YTDS1_YTDB1_R_5_632005310894833672">#REF!</definedName>
    <definedName name="_vena_YTDS1_YTDB1_R_5_632005310915805190">#REF!</definedName>
    <definedName name="_vena_YTDS1_YTDB1_R_5_632005310919999492">#REF!</definedName>
    <definedName name="_vena_YTDS1_YTDB1_R_5_632005310919999494">#REF!</definedName>
    <definedName name="_vena_YTDS1_YTDB1_R_5_632005310919999496">#REF!</definedName>
    <definedName name="_vena_YTDS1_YTDB1_R_5_632005310924193792">#REF!</definedName>
    <definedName name="_vena_YTDS1_YTDB1_R_5_632005310924193798">#REF!</definedName>
    <definedName name="_vena_YTDS1_YTDB1_R_5_632005310940971013">#REF!</definedName>
    <definedName name="_vena_YTDS1_YTDB1_R_5_632005310945165316">#REF!</definedName>
    <definedName name="_vena_YTDS1_YTDB1_R_5_632005310949359624">#REF!</definedName>
    <definedName name="_vena_YTDS1_YTDB1_R_5_632005310953553920">#REF!</definedName>
    <definedName name="_vena_YTDS1_YTDB1_R_5_632005310953553922">#REF!</definedName>
    <definedName name="_vena_YTDS1_YTDB1_R_5_632005310953553924">#REF!</definedName>
    <definedName name="_vena_YTDS1_YTDB1_R_5_632005310957748224">#REF!</definedName>
    <definedName name="_vena_YTDS1_YTDB1_R_5_632005310957748226">#REF!</definedName>
    <definedName name="_vena_YTDS1_YTDB1_R_5_632005310974525442">#REF!</definedName>
    <definedName name="_vena_YTDS1_YTDB1_R_5_632005310974525444">#REF!</definedName>
    <definedName name="_vena_YTDS1_YTDB1_R_5_632005310978719744">#REF!</definedName>
    <definedName name="_vena_YTDS1_YTDB1_R_5_632005310982914050">#REF!</definedName>
    <definedName name="_vena_YTDS1_YTDB1_R_5_632005310982914052">#REF!</definedName>
    <definedName name="_vena_YTDS1_YTDB1_R_5_632005310982914054">#REF!</definedName>
    <definedName name="_vena_YTDS1_YTDB1_R_5_632005310982914056">#REF!</definedName>
    <definedName name="_vena_YTDS1_YTDB1_R_5_632005310987108357">#REF!</definedName>
    <definedName name="_vena_YTDS1_YTDB1_R_5_632005310995496960">#REF!</definedName>
    <definedName name="_vena_YTDS1_YTDB1_R_5_632005310995496962">#REF!</definedName>
    <definedName name="_vena_YTDS1_YTDB1_R_5_632005310995496966">#REF!</definedName>
    <definedName name="_vena_YTDS1_YTDB1_R_5_632005311008079873">#REF!</definedName>
    <definedName name="_vena_YTDS1_YTDB1_R_5_632005311012274180">#REF!</definedName>
    <definedName name="_vena_YTDS1_YTDB1_R_5_632005311012274184">#REF!</definedName>
    <definedName name="_vena_YTDS1_YTDB1_R_5_632005311016468480">#REF!</definedName>
    <definedName name="_vena_YTDS1_YTDB1_R_5_632005311016468486">#REF!</definedName>
    <definedName name="_vena_YTDS1_YTDB1_R_5_632005311033245699">#REF!</definedName>
    <definedName name="_vena_YTDS1_YTDB1_R_5_632005311033245703">#REF!</definedName>
    <definedName name="_vena_YTDS1_YTDB1_R_5_632005311037440008">#REF!</definedName>
    <definedName name="_vena_YTDS1_YTDB1_R_5_632005311041634304">#REF!</definedName>
    <definedName name="_vena_YTDS1_YTDB1_R_5_632005311041634306">#REF!</definedName>
    <definedName name="_vena_YTDS1_YTDB1_R_5_632005311041634308">#REF!</definedName>
    <definedName name="_vena_YTDS1_YTDB1_R_5_632005311062605830">#REF!</definedName>
    <definedName name="_vena_YTDS1_YTDB1_R_5_632005311070994432">#REF!</definedName>
    <definedName name="_vena_YTDS1_YTDB1_R_5_632005311070994434">#REF!</definedName>
    <definedName name="_vena_YTDS1_YTDB1_R_5_632005311070994436">#REF!</definedName>
    <definedName name="_vena_YTDS1_YTDB1_R_5_632005311070994438">#REF!</definedName>
    <definedName name="_vena_YTDS1_YTDB1_R_5_632005311083577348">#REF!</definedName>
    <definedName name="_vena_YTDS1_YTDB1_R_5_632005311096160258">#REF!</definedName>
    <definedName name="_vena_YTDS1_YTDB1_R_5_632005311096160260">#REF!</definedName>
    <definedName name="_vena_YTDS1_YTDB1_R_5_632005311096160262">#REF!</definedName>
    <definedName name="_vena_YTDS1_YTDB1_R_5_632005311096160264">#REF!</definedName>
    <definedName name="_vena_YTDS1_YTDB1_R_5_632005311100354567">#REF!</definedName>
    <definedName name="_vena_YTDS1_YTDB1_R_5_632005311121326082">#REF!</definedName>
    <definedName name="_vena_YTDS1_YTDB1_R_5_632005311121326086">#REF!</definedName>
    <definedName name="_vena_YTDS1_YTDB1_R_5_632005311125520384">#REF!</definedName>
    <definedName name="_vena_YTDS1_YTDB1_R_5_632005311125520386">#REF!</definedName>
    <definedName name="_vena_YTDS1_YTDB1_R_5_632005311125520392">#REF!</definedName>
    <definedName name="_vena_YTDS1_YTDB1_R_5_632005311146491912">#REF!</definedName>
    <definedName name="_vena_YTDS1_YTDB1_R_5_632005311150686208">#REF!</definedName>
    <definedName name="_vena_YTDS1_YTDB1_R_5_632005311154880512">#REF!</definedName>
    <definedName name="_vena_YTDS1_YTDB1_R_5_632005311154880514">#REF!</definedName>
    <definedName name="_vena_YTDS1_YTDB1_R_5_632005311154880516">#REF!</definedName>
    <definedName name="_vena_YTDS1_YTDB1_R_5_632005311159074816">#REF!</definedName>
    <definedName name="_vena_YTDS1_YTDB1_R_5_632005311175852035">#REF!</definedName>
    <definedName name="_vena_YTDS1_YTDB1_R_5_632005311175852039">#REF!</definedName>
    <definedName name="_vena_YTDS1_YTDB1_R_5_632005311184240640">#REF!</definedName>
    <definedName name="_vena_YTDS1_YTDB1_R_5_632005311184240642">#REF!</definedName>
    <definedName name="_vena_YTDS1_YTDB1_R_5_632005311184240644">#REF!</definedName>
    <definedName name="_vena_YTDS1_YTDB1_R_5_632005311188434945">#REF!</definedName>
    <definedName name="_vena_YTDS1_YTDB1_R_5_632005311209406470">#REF!</definedName>
    <definedName name="_vena_YTDS1_YTDB1_R_5_632005311209406472">#REF!</definedName>
    <definedName name="_vena_YTDS1_YTDB1_R_5_632005311213600768">#REF!</definedName>
    <definedName name="_vena_YTDS1_YTDB1_R_5_632005311213600770">#REF!</definedName>
    <definedName name="_vena_YTDS1_YTDB1_R_5_632005311230377986">#REF!</definedName>
    <definedName name="_vena_YTDS1_YTDB1_R_5_632005311234572292">#REF!</definedName>
    <definedName name="_vena_YTDS1_YTDB1_R_5_632005311234572294">#REF!</definedName>
    <definedName name="_vena_YTDS1_YTDB1_R_5_632005311238766592">#REF!</definedName>
    <definedName name="_vena_YTDS1_YTDB1_R_5_632005311238766596">#REF!</definedName>
    <definedName name="_vena_YTDS1_YTDB1_R_5_632005311238766600">#REF!</definedName>
    <definedName name="_vena_YTDS1_YTDB1_R_5_632005311255543815">#REF!</definedName>
    <definedName name="_vena_YTDS1_YTDB1_R_5_632005311259738112">#REF!</definedName>
    <definedName name="_vena_YTDS1_YTDB1_R_5_632005311259738114">#REF!</definedName>
    <definedName name="_vena_YTDS1_YTDB1_R_5_632005311263932420">#REF!</definedName>
    <definedName name="_vena_YTDS1_YTDB1_R_5_632005311263932422">#REF!</definedName>
    <definedName name="_vena_YTDS1_YTDB1_R_5_632005311268126720">#REF!</definedName>
    <definedName name="_vena_YTDS1_YTDB1_R_5_632005311268126726">#REF!</definedName>
    <definedName name="_vena_YTDS1_YTDB1_R_5_632005311268126728">#REF!</definedName>
    <definedName name="_vena_YTDS1_YTDB1_R_5_632005311284903938">#REF!</definedName>
    <definedName name="_vena_YTDS1_YTDB1_R_5_632005311284903942">#REF!</definedName>
    <definedName name="_vena_YTDS1_YTDB1_R_5_632005311289098249">#REF!</definedName>
    <definedName name="_vena_YTDS1_YTDB1_R_5_632005311293292544">#REF!</definedName>
    <definedName name="_vena_YTDS1_YTDB1_R_5_632005311293292546">#REF!</definedName>
    <definedName name="_vena_YTDS1_YTDB1_R_5_632005311293292548">#REF!</definedName>
    <definedName name="_vena_YTDS1_YTDB1_R_5_632005311297486850">#REF!</definedName>
    <definedName name="_vena_YTDS1_YTDB1_R_5_632005311297486852">#REF!</definedName>
    <definedName name="_vena_YTDS1_YTDB1_R_5_632005311318458370">#REF!</definedName>
    <definedName name="_vena_YTDS1_YTDB1_R_5_632005311318458372">#REF!</definedName>
    <definedName name="_vena_YTDS1_YTDB1_R_5_632005311318458374">#REF!</definedName>
    <definedName name="_vena_YTDS1_YTDB1_R_5_632005311318458376">#REF!</definedName>
    <definedName name="_vena_YTDS1_YTDB1_R_5_632005311322652677">#REF!</definedName>
    <definedName name="_vena_YTDS1_YTDB1_R_5_632005311322652679">#REF!</definedName>
    <definedName name="_vena_YTDS1_YTDB1_R_5_632005311335235592">#REF!</definedName>
    <definedName name="_vena_YTDS1_YTDB1_R_5_632005311339429888">#REF!</definedName>
    <definedName name="_vena_YTDS1_YTDB1_R_5_632005311339429890">#REF!</definedName>
    <definedName name="_vena_YTDS1_YTDB1_R_5_632005311339429892">#REF!</definedName>
    <definedName name="_vena_YTDS1_YTDB1_R_5_632005311339429894">#REF!</definedName>
    <definedName name="_vena_YTDS1_YTDB1_R_5_632005311343624200">#REF!</definedName>
    <definedName name="_vena_YTDS1_YTDB1_R_5_632005311347818496">#REF!</definedName>
    <definedName name="_vena_YTDS1_YTDB1_R_5_632005311347818498">#REF!</definedName>
    <definedName name="_vena_YTDS1_YTDB1_R_5_632005311347818500">#REF!</definedName>
    <definedName name="_vena_YTDS1_YTDB1_R_5_632005311352012802">#REF!</definedName>
    <definedName name="_vena_YTDS1_YTDB1_R_5_632005311352012804">#REF!</definedName>
    <definedName name="_vena_YTDS1_YTDB1_R_5_632005311377178626">#REF!</definedName>
    <definedName name="_vena_YTDS1_YTDB1_R_5_632005311377178628">#REF!</definedName>
    <definedName name="_vena_YTDS1_YTDB1_R_5_632005311377178630">#REF!</definedName>
    <definedName name="_vena_YTDS1_YTDB1_R_5_632005311377178632">#REF!</definedName>
    <definedName name="_vena_YTDS1_YTDB1_R_5_632005311381372931">#REF!</definedName>
    <definedName name="_vena_YTDS1_YTDB1_R_5_632005311381372933">#REF!</definedName>
    <definedName name="_vena_YTDS1_YTDB1_R_5_632005311398150152">#REF!</definedName>
    <definedName name="_vena_YTDS1_YTDB1_R_5_632005311402344448">#REF!</definedName>
    <definedName name="_vena_YTDS1_YTDB1_R_5_632005311402344450">#REF!</definedName>
    <definedName name="_vena_YTDS1_YTDB1_R_5_632005311402344452">#REF!</definedName>
    <definedName name="_vena_YTDS1_YTDB1_R_5_632005311406538754">#REF!</definedName>
    <definedName name="_vena_YTDS1_YTDB1_R_5_632005311406538756">#REF!</definedName>
    <definedName name="_vena_YTDS1_YTDB1_R_5_632005311406538758">#REF!</definedName>
    <definedName name="_vena_YTDS1_YTDB1_R_5_632005311423315976">#REF!</definedName>
    <definedName name="_vena_YTDS1_YTDB1_R_5_632005311427510272">#REF!</definedName>
    <definedName name="_vena_YTDS1_YTDB1_R_5_632005311427510274">#REF!</definedName>
    <definedName name="_vena_YTDS1_YTDB1_R_5_632005311431704581">#REF!</definedName>
    <definedName name="_vena_YTDS1_YTDB1_R_5_632005311431704583">#REF!</definedName>
    <definedName name="_vena_YTDS1_YTDB1_R_5_632005311435898880">#REF!</definedName>
    <definedName name="_vena_YTDS1_YTDB1_R_5_632005311435898882">#REF!</definedName>
    <definedName name="_vena_YTDS1_YTDB1_R_5_632005311440093184">#REF!</definedName>
    <definedName name="_vena_YTDS1_YTDB1_R_5_632005311452676096">#REF!</definedName>
    <definedName name="_vena_YTDS1_YTDB1_R_5_632005311452676098">#REF!</definedName>
    <definedName name="_vena_YTDS1_YTDB1_R_5_632005311452676100">#REF!</definedName>
    <definedName name="_vena_YTDS1_YTDB1_R_5_632005311452676102">#REF!</definedName>
    <definedName name="_vena_YTDS1_YTDB1_R_5_632005311456870402">#REF!</definedName>
    <definedName name="_vena_YTDS1_YTDB1_R_5_632005311473647616">#REF!</definedName>
    <definedName name="_vena_YTDS1_YTDB1_R_5_632005311477841923">#REF!</definedName>
    <definedName name="_vena_YTDS1_YTDB1_R_5_632005311477841925">#REF!</definedName>
    <definedName name="_vena_YTDS1_YTDB1_R_5_632005311477841927">#REF!</definedName>
    <definedName name="_vena_YTDS1_YTDB1_R_5_632005311482036224">#REF!</definedName>
    <definedName name="_vena_YTDS1_YTDB1_R_5_632005311482036226">#REF!</definedName>
    <definedName name="_vena_YTDS1_YTDB1_R_5_632005311486230528">#REF!</definedName>
    <definedName name="_vena_YTDS1_YTDB1_R_5_632005311486230530">#REF!</definedName>
    <definedName name="_vena_YTDS1_YTDB1_R_5_632005311503007752">#REF!</definedName>
    <definedName name="_vena_YTDS1_YTDB1_R_5_632005311507202050">#REF!</definedName>
    <definedName name="_vena_YTDS1_YTDB1_R_5_632005311507202054">#REF!</definedName>
    <definedName name="_vena_YTDS1_YTDB1_R_5_632005311507202056">#REF!</definedName>
    <definedName name="_vena_YTDS1_YTDB1_R_5_632005311511396352">#REF!</definedName>
    <definedName name="_vena_YTDS1_YTDB1_R_5_632005311511396358">#REF!</definedName>
    <definedName name="_vena_YTDS1_YTDB1_R_5_632005311515590656">#REF!</definedName>
    <definedName name="_vena_YTDS1_YTDB1_R_5_632005311515590658">#REF!</definedName>
    <definedName name="_vena_YTDS1_YTDB1_R_5_632005311523979268">#REF!</definedName>
    <definedName name="_vena_YTDS1_YTDB1_R_5_632005311532367880">#REF!</definedName>
    <definedName name="_vena_YTDS1_YTDB1_R_5_632005311536562178">#REF!</definedName>
    <definedName name="_vena_YTDS1_YTDB1_R_5_632005311536562180">#REF!</definedName>
    <definedName name="_vena_YTDS1_YTDB1_R_5_632005311540756486">#REF!</definedName>
    <definedName name="_vena_YTDS1_YTDB1_R_5_632005311540756488">#REF!</definedName>
    <definedName name="_vena_YTDS1_YTDB1_R_5_632005311544950784">#REF!</definedName>
    <definedName name="_vena_YTDS1_YTDB1_R_5_632005311549145088">#REF!</definedName>
    <definedName name="_vena_YTDS1_YTDB1_R_5_632005311549145090">#REF!</definedName>
    <definedName name="_vena_YTDS1_YTDB1_R_5_632005311549145096">#REF!</definedName>
    <definedName name="_vena_YTDS1_YTDB1_R_5_632005311565922304">#REF!</definedName>
    <definedName name="_vena_YTDS1_YTDB1_R_5_632005311570116610">#REF!</definedName>
    <definedName name="_vena_YTDS1_YTDB1_R_5_632005311570116612">#REF!</definedName>
    <definedName name="_vena_YTDS1_YTDB1_R_5_632005311570116614">#REF!</definedName>
    <definedName name="_vena_YTDS1_YTDB1_R_5_632005311574310912">#REF!</definedName>
    <definedName name="_vena_YTDS1_YTDB1_R_5_632005311574310916">#REF!</definedName>
    <definedName name="_vena_YTDS1_YTDB1_R_5_632005311574310918">#REF!</definedName>
    <definedName name="_vena_YTDS1_YTDB1_R_5_632005311599476737">#REF!</definedName>
    <definedName name="_vena_YTDS1_YTDB1_R_5_632005311603671046">#REF!</definedName>
    <definedName name="_vena_YTDS1_YTDB1_R_5_632005311603671049">#REF!</definedName>
    <definedName name="_vena_YTDS1_YTDB1_R_5_632005311607865344">#REF!</definedName>
    <definedName name="_vena_YTDS1_YTDB1_R_5_632005311607865346">#REF!</definedName>
    <definedName name="_vena_YTDS1_YTDB1_R_5_632005311612059648">#REF!</definedName>
    <definedName name="_vena_YTDS1_YTDB1_R_5_632005311612059650">#REF!</definedName>
    <definedName name="_vena_YTDS1_YTDB1_R_5_632005311628836870">#REF!</definedName>
    <definedName name="_vena_YTDS1_YTDB1_R_5_632005311641419782">#REF!</definedName>
    <definedName name="_vena_YTDS1_YTDB1_R_5_632005311645614080">#REF!</definedName>
    <definedName name="_vena_YTDS1_YTDB1_R_5_632005311645614082">#REF!</definedName>
    <definedName name="_vena_YTDS1_YTDB1_R_5_632005311649808390">#REF!</definedName>
    <definedName name="_vena_YTDS1_YTDB1_R_5_632005311649808392">#REF!</definedName>
    <definedName name="_vena_YTDS1_YTDB1_R_5_632005311654002688">#REF!</definedName>
    <definedName name="_vena_YTDS1_YTDB1_R_5_632005311654002690">#REF!</definedName>
    <definedName name="_vena_YTDS1_YTDB1_R_5_632005311654002694">#REF!</definedName>
    <definedName name="_vena_YTDS1_YTDB1_R_5_632005311654002696">#REF!</definedName>
    <definedName name="_vena_YTDS1_YTDB1_R_5_632005311674974208">#REF!</definedName>
    <definedName name="_vena_YTDS1_YTDB1_R_5_632005311674974217">#REF!</definedName>
    <definedName name="_vena_YTDS1_YTDB1_R_5_632005311679168512">#REF!</definedName>
    <definedName name="_vena_YTDS1_YTDB1_R_5_632005311679168514">#REF!</definedName>
    <definedName name="_vena_YTDS1_YTDB1_R_5_632005311679168516">#REF!</definedName>
    <definedName name="_vena_YTDS1_YTDB1_R_5_632005311683362816">#REF!</definedName>
    <definedName name="_vena_YTDS1_YTDB1_R_5_632005311683362818">#REF!</definedName>
    <definedName name="_vena_YTDS1_YTDB1_R_5_632005311691751424">#REF!</definedName>
    <definedName name="_vena_YTDS1_YTDB1_R_5_632005311700140038">#REF!</definedName>
    <definedName name="_vena_YTDS1_YTDB1_R_5_632005311704334340">#REF!</definedName>
    <definedName name="_vena_YTDS1_YTDB1_R_5_632005311704334342">#REF!</definedName>
    <definedName name="_vena_YTDS1_YTDB1_R_5_632005311704334344">#REF!</definedName>
    <definedName name="_vena_YTDS1_YTDB1_R_5_632005311704334346">#REF!</definedName>
    <definedName name="_vena_YTDS1_YTDB1_R_5_632005311708528643">#REF!</definedName>
    <definedName name="_vena_YTDS1_YTDB1_R_5_632005311725305856">#REF!</definedName>
    <definedName name="_vena_YTDS1_YTDB1_R_5_632005311729500162">#REF!</definedName>
    <definedName name="_vena_YTDS1_YTDB1_R_5_632005311729500164">#REF!</definedName>
    <definedName name="_vena_YTDS1_YTDB1_R_5_632005311729500168">#REF!</definedName>
    <definedName name="_vena_YTDS1_YTDB1_R_5_632005311733694472">#REF!</definedName>
    <definedName name="_vena_YTDS1_YTDB1_R_5_632005311737888768">#REF!</definedName>
    <definedName name="_vena_YTDS1_YTDB1_R_5_632005311737888770">#REF!</definedName>
    <definedName name="_vena_YTDS1_YTDB1_R_5_632005311737888772">#REF!</definedName>
    <definedName name="_vena_YTDS1_YTDB1_R_5_632005311758860291">#REF!</definedName>
    <definedName name="_vena_YTDS1_YTDB1_R_5_632005311758860295">#REF!</definedName>
    <definedName name="_vena_YTDS1_YTDB1_R_5_632005311758860297">#REF!</definedName>
    <definedName name="_vena_YTDS1_YTDB1_R_5_632005311763054592">#REF!</definedName>
    <definedName name="_vena_YTDS1_YTDB1_R_5_632005311763054594">#REF!</definedName>
    <definedName name="_vena_YTDS1_YTDB1_R_5_632005311763054596">#REF!</definedName>
    <definedName name="_vena_YTDS1_YTDB1_R_5_632005311763054598">#REF!</definedName>
    <definedName name="_vena_YTDS1_YTDB1_R_5_632005311771443204">#REF!</definedName>
    <definedName name="_vena_YTDS1_YTDB1_R_5_632005311784026112">#REF!</definedName>
    <definedName name="_vena_YTDS1_YTDB1_R_5_632005311784026114">#REF!</definedName>
    <definedName name="_vena_YTDS1_YTDB1_R_5_632005311784026116">#REF!</definedName>
    <definedName name="_vena_YTDS1_YTDB1_R_5_632005311788220419">#REF!</definedName>
    <definedName name="_vena_YTDS1_YTDB1_R_5_632005311788220421">#REF!</definedName>
    <definedName name="_vena_YTDS1_YTDB1_R_5_632005311788220425">#REF!</definedName>
    <definedName name="_vena_YTDS1_YTDB1_R_5_632005311792414722">#REF!</definedName>
    <definedName name="_vena_YTDS1_YTDB1_R_5_632005311792414724">#REF!</definedName>
    <definedName name="_vena_YTDS1_YTDB1_R_5_632005311792414726">#REF!</definedName>
    <definedName name="_vena_YTDS1_YTDB1_R_5_632005311809191946">#REF!</definedName>
    <definedName name="_vena_YTDS1_YTDB1_R_5_632005311817580544">#REF!</definedName>
    <definedName name="_vena_YTDS1_YTDB1_R_5_632005311817580546">#REF!</definedName>
    <definedName name="_vena_YTDS1_YTDB1_R_5_632005311817580548">#REF!</definedName>
    <definedName name="_vena_YTDS1_YTDB1_R_5_632005311817580550">#REF!</definedName>
    <definedName name="_vena_YTDS1_YTDB1_R_5_632005311817580552">#REF!</definedName>
    <definedName name="_vena_YTDS1_YTDB1_R_5_632005311821774848">#REF!</definedName>
    <definedName name="_vena_YTDS1_YTDB1_R_5_632005311838552072">#REF!</definedName>
    <definedName name="_vena_YTDS1_YTDB1_R_5_632005311842746368">#REF!</definedName>
    <definedName name="_vena_YTDS1_YTDB1_R_5_632005311842746370">#REF!</definedName>
    <definedName name="_vena_YTDS1_YTDB1_R_5_632005311842746372">#REF!</definedName>
    <definedName name="_vena_YTDS1_YTDB1_R_5_632005311846940672">#REF!</definedName>
    <definedName name="_vena_YTDS1_YTDB1_R_5_632005311846940674">#REF!</definedName>
    <definedName name="_vena_YTDS1_YTDB1_R_5_632005311859523594">#REF!</definedName>
    <definedName name="_vena_YTDS1_YTDB1_R_5_632005311863717888">#REF!</definedName>
    <definedName name="_vena_YTDS1_YTDB1_R_5_632005311867912192">#REF!</definedName>
    <definedName name="_vena_YTDS1_YTDB1_R_5_632005311867912194">#REF!</definedName>
    <definedName name="_vena_YTDS1_YTDB1_R_5_632005311867912196">#REF!</definedName>
    <definedName name="_vena_YTDS1_YTDB1_R_5_632005311867912198">#REF!</definedName>
    <definedName name="_vena_YTDS1_YTDB1_R_5_632005311872106499">#REF!</definedName>
    <definedName name="_vena_YTDS1_YTDB1_R_5_632005311888883714">#REF!</definedName>
    <definedName name="_vena_YTDS1_YTDB1_R_5_632005311888883718">#REF!</definedName>
    <definedName name="_vena_YTDS1_YTDB1_R_5_632005311893078018">#REF!</definedName>
    <definedName name="_vena_YTDS1_YTDB1_R_5_632005311893078020">#REF!</definedName>
    <definedName name="_vena_YTDS1_YTDB1_R_5_632005311893078022">#REF!</definedName>
    <definedName name="_vena_YTDS1_YTDB1_R_5_632005311897272322">#REF!</definedName>
    <definedName name="_vena_YTDS1_YTDB1_R_5_632005311897272324">#REF!</definedName>
    <definedName name="_vena_YTDS1_YTDB1_R_5_632005311914049538">#REF!</definedName>
    <definedName name="_vena_YTDS1_YTDB1_R_5_632005311918243845">#REF!</definedName>
    <definedName name="_vena_YTDS1_YTDB1_R_5_632005311918243847">#REF!</definedName>
    <definedName name="_vena_YTDS1_YTDB1_R_5_632005311918243849">#REF!</definedName>
    <definedName name="_vena_YTDS1_YTDB1_R_5_632005311922438144">#REF!</definedName>
    <definedName name="_vena_YTDS1_YTDB1_R_5_632005311922438150">#REF!</definedName>
    <definedName name="_vena_YTDS1_YTDB1_R_5_632005311939215368">#REF!</definedName>
    <definedName name="_vena_YTDS1_YTDB1_R_5_632005311943409668">#REF!</definedName>
    <definedName name="_vena_YTDS1_YTDB1_R_5_632005311943409670">#REF!</definedName>
    <definedName name="_vena_YTDS1_YTDB1_R_5_632005311943409672">#REF!</definedName>
    <definedName name="_vena_YTDS1_YTDB1_R_5_632005311943409674">#REF!</definedName>
    <definedName name="_vena_YTDS1_YTDB1_R_5_632005311947603973">#REF!</definedName>
    <definedName name="_vena_YTDS1_YTDB1_R_5_632005311947603975">#REF!</definedName>
    <definedName name="_vena_YTDS1_YTDB1_R_5_632005311960186888">#REF!</definedName>
    <definedName name="_vena_YTDS1_YTDB1_R_5_632005311964381184">#REF!</definedName>
    <definedName name="_vena_YTDS1_YTDB1_R_5_632005311964381192">#REF!</definedName>
    <definedName name="_vena_YTDS1_YTDB1_R_5_632005311968575488">#REF!</definedName>
    <definedName name="_vena_YTDS1_YTDB1_R_5_632005311972769793">#REF!</definedName>
    <definedName name="_vena_YTDS1_YTDB1_R_5_632005311972769795">#REF!</definedName>
    <definedName name="_vena_YTDS1_YTDB1_R_5_632005311972769797">#REF!</definedName>
    <definedName name="_vena_YTDS1_YTDB1_R_5_632005311972769805">#REF!</definedName>
    <definedName name="_vena_YTDS1_YTDB1_R_5_632005311976964096">#REF!</definedName>
    <definedName name="_vena_YTDS1_YTDB1_R_5_632005311976964121">#REF!</definedName>
    <definedName name="_vena_YTDS1_YTDB1_R_5_632005311997935642">#REF!</definedName>
    <definedName name="_vena_YTDS1_YTDB1_R_5_632005312002129944">#REF!</definedName>
    <definedName name="_vena_YTDS1_YTDB1_R_5_632005312002129952">#REF!</definedName>
    <definedName name="_vena_YTDS1_YTDB1_R_5_632005312002129961">#REF!</definedName>
    <definedName name="_vena_YTDS1_YTDB1_R_5_632005312006324232">#REF!</definedName>
    <definedName name="_vena_YTDS1_YTDB1_R_5_632005312006324257">#REF!</definedName>
    <definedName name="_vena_YTDS1_YTDB1_R_5_632005312027295755">#REF!</definedName>
    <definedName name="_vena_YTDS1_YTDB1_R_5_632005312031490051">#REF!</definedName>
    <definedName name="_vena_YTDS1_YTDB1_R_5_632005312031490058">#REF!</definedName>
    <definedName name="_vena_YTDS1_YTDB1_R_5_632005312031490068">#REF!</definedName>
    <definedName name="_vena_YTDS1_YTDB1_R_5_632005312031490077">#REF!</definedName>
    <definedName name="_vena_YTDS1_YTDB1_R_5_632005312035684364">#REF!</definedName>
    <definedName name="_vena_YTDS1_YTDB1_R_5_632005312048267270">#REF!</definedName>
    <definedName name="_vena_YTDS1_YTDB1_R_5_632005312048267272">#REF!</definedName>
    <definedName name="_vena_YTDS1_YTDB1_R_5_632005312048267274">#REF!</definedName>
    <definedName name="_vena_YTDS1_YTDB1_R_5_632005312052461569">#REF!</definedName>
    <definedName name="_vena_YTDS1_YTDB1_R_5_632005312052461577">#REF!</definedName>
    <definedName name="_vena_YTDS1_YTDB1_R_5_632005312056655872">#REF!</definedName>
    <definedName name="_vena_YTDS1_YTDB1_R_5_632005312056655874">#REF!</definedName>
    <definedName name="_vena_YTDS1_YTDB1_R_5_632005312056655876">#REF!</definedName>
    <definedName name="_vena_YTDS1_YTDB1_R_5_632005312060850179">#REF!</definedName>
    <definedName name="_vena_YTDS1_YTDB1_R_5_632005312077627400">#REF!</definedName>
    <definedName name="_vena_YTDS1_YTDB1_R_5_632005312077627402">#REF!</definedName>
    <definedName name="_vena_YTDS1_YTDB1_R_5_632005312081821697">#REF!</definedName>
    <definedName name="_vena_YTDS1_YTDB1_R_5_632005312081821699">#REF!</definedName>
    <definedName name="_vena_YTDS1_YTDB1_R_5_632005312086016000">#REF!</definedName>
    <definedName name="_vena_YTDS1_YTDB1_R_5_632005312086016002">#REF!</definedName>
    <definedName name="_vena_YTDS1_YTDB1_R_5_632005312098598914">#REF!</definedName>
    <definedName name="_vena_YTDS1_YTDB1_R_5_632005312098598918">#REF!</definedName>
    <definedName name="_vena_YTDS1_YTDB1_R_5_632005312102793222">#REF!</definedName>
    <definedName name="_vena_YTDS1_YTDB1_R_5_632005312102793224">#REF!</definedName>
    <definedName name="_vena_YTDS1_YTDB1_R_5_632005312106987520">#REF!</definedName>
    <definedName name="_vena_YTDS1_YTDB1_R_5_632005312106987522">#REF!</definedName>
    <definedName name="_vena_YTDS1_YTDB1_R_5_632005312111181824">#REF!</definedName>
    <definedName name="_vena_YTDS1_YTDB1_R_5_632005312111181826">#REF!</definedName>
    <definedName name="_vena_YTDS1_YTDB1_R_5_632005312111181828">#REF!</definedName>
    <definedName name="_vena_YTDS1_YTDB1_R_5_632005312127959044">#REF!</definedName>
    <definedName name="_vena_YTDS1_YTDB1_R_5_632005312127959056">#REF!</definedName>
    <definedName name="_vena_YTDS1_YTDB1_R_5_632005312127959058">#REF!</definedName>
    <definedName name="_vena_YTDS1_YTDB1_R_5_632005312132153347">#REF!</definedName>
    <definedName name="_vena_YTDS1_YTDB1_R_5_632005312132153349">#REF!</definedName>
    <definedName name="_vena_YTDS1_YTDB1_R_5_632005312148930564">#REF!</definedName>
    <definedName name="_vena_YTDS1_YTDB1_R_5_632005312148930568">#REF!</definedName>
    <definedName name="_vena_YTDS1_YTDB1_R_5_632005312153124870">#REF!</definedName>
    <definedName name="_vena_YTDS1_YTDB1_R_5_632005312153124872">#REF!</definedName>
    <definedName name="_vena_YTDS1_YTDB1_R_5_632005312157319168">#REF!</definedName>
    <definedName name="_vena_YTDS1_YTDB1_R_5_632005312157319170">#REF!</definedName>
    <definedName name="_vena_YTDS1_YTDB1_R_5_632005312157319176">#REF!</definedName>
    <definedName name="_vena_YTDS1_YTDB1_R_5_632005312161513472">#REF!</definedName>
    <definedName name="_vena_YTDS1_YTDB1_R_5_632005312161513474">#REF!</definedName>
    <definedName name="_vena_YTDS1_YTDB1_R_5_632005312161513476">#REF!</definedName>
    <definedName name="_vena_YTDS1_YTDB1_R_5_632005312178290696">#REF!</definedName>
    <definedName name="_vena_YTDS1_YTDB1_R_5_632005312182484998">#REF!</definedName>
    <definedName name="_vena_YTDS1_YTDB1_R_5_632005312182485000">#REF!</definedName>
    <definedName name="_vena_YTDS1_YTDB1_R_5_632005312186679296">#REF!</definedName>
    <definedName name="_vena_YTDS1_YTDB1_R_5_632005312186679302">#REF!</definedName>
    <definedName name="_vena_YTDS1_YTDB1_R_5_632005312186679304">#REF!</definedName>
    <definedName name="_vena_YTDS1_YTDB1_R_5_632005312199262218">#REF!</definedName>
    <definedName name="_vena_YTDS1_YTDB1_R_5_632005312211845122">#REF!</definedName>
    <definedName name="_vena_YTDS1_YTDB1_R_5_632005312211845124">#REF!</definedName>
    <definedName name="_vena_YTDS1_YTDB1_R_5_632005312211845127">#REF!</definedName>
    <definedName name="_vena_YTDS1_YTDB1_R_5_632005312216039426">#REF!</definedName>
    <definedName name="_vena_YTDS1_YTDB1_R_5_632005312216039428">#REF!</definedName>
    <definedName name="_vena_YTDS1_YTDB1_R_5_632005312228622346">#REF!</definedName>
    <definedName name="_vena_YTDS1_YTDB1_R_5_632005312232816640">#REF!</definedName>
    <definedName name="_vena_YTDS1_YTDB1_R_5_632005312232816642">#REF!</definedName>
    <definedName name="_vena_YTDS1_YTDB1_R_5_632005312237010952">#REF!</definedName>
    <definedName name="_vena_YTDS1_YTDB1_R_5_632005312241205248">#REF!</definedName>
    <definedName name="_vena_YTDS1_YTDB1_R_5_632005312241205254">#REF!</definedName>
    <definedName name="_vena_YTDS1_YTDB1_R_5_632005312262176775">#REF!</definedName>
    <definedName name="_vena_YTDS1_YTDB1_R_5_632005312266371080">#REF!</definedName>
    <definedName name="_vena_YTDS1_YTDB1_R_5_632005312270565376">#REF!</definedName>
    <definedName name="_vena_YTDS1_YTDB1_R_5_632005312270565382">#REF!</definedName>
    <definedName name="_vena_YTDS1_YTDB1_R_5_632005312270565384">#REF!</definedName>
    <definedName name="_vena_YTDS1_YTDB1_R_5_632005312291536902">#REF!</definedName>
    <definedName name="_vena_YTDS1_YTDB1_R_5_632005312295731208">#REF!</definedName>
    <definedName name="_vena_YTDS1_YTDB1_R_5_632005312295731210">#REF!</definedName>
    <definedName name="_vena_YTDS1_YTDB1_R_5_632005312299925505">#REF!</definedName>
    <definedName name="_vena_YTDS1_YTDB1_R_5_632005312299925511">#REF!</definedName>
    <definedName name="_vena_YTDS1_YTDB1_R_5_632005312304119808">#REF!</definedName>
    <definedName name="_vena_YTDS1_YTDB1_R_5_632005312304119810">#REF!</definedName>
    <definedName name="_vena_YTDS1_YTDB1_R_5_632005312304119814">#REF!</definedName>
    <definedName name="_vena_YTDS1_YTDB1_R_5_632005312308314114">#REF!</definedName>
    <definedName name="_vena_YTDS1_YTDB1_R_5_632005312325091332">#REF!</definedName>
    <definedName name="_vena_YTDS1_YTDB1_R_5_632005312325091334">#REF!</definedName>
    <definedName name="_vena_YTDS1_YTDB1_R_5_632005312325091336">#REF!</definedName>
    <definedName name="_vena_YTDS1_YTDB1_R_5_632005312329285634">#REF!</definedName>
    <definedName name="_vena_YTDS1_YTDB1_R_5_632005312329285636">#REF!</definedName>
    <definedName name="_vena_YTDS1_YTDB1_R_5_632005312350257152">#REF!</definedName>
    <definedName name="_vena_YTDS1_YTDB1_R_5_632005312350257154">#REF!</definedName>
    <definedName name="_vena_YTDS1_YTDB1_R_5_632005312354451456">#REF!</definedName>
    <definedName name="_vena_YTDS1_YTDB1_R_5_632005312358645762">#REF!</definedName>
    <definedName name="_vena_YTDS1_YTDB1_R_5_632005312358645764">#REF!</definedName>
    <definedName name="_vena_YTDS1_YTDB1_R_5_632005312358645768">#REF!</definedName>
    <definedName name="_vena_YTDS1_YTDB1_R_5_632005312362840065">#REF!</definedName>
    <definedName name="_vena_YTDS1_YTDB1_R_5_632005312362840067">#REF!</definedName>
    <definedName name="_vena_YTDS1_YTDB1_R_5_632005312379617286">#REF!</definedName>
    <definedName name="_vena_YTDS1_YTDB1_R_5_632005312388005890">#REF!</definedName>
    <definedName name="_vena_YTDS1_YTDB1_R_5_632005312388005892">#REF!</definedName>
    <definedName name="_vena_YTDS1_YTDB1_R_5_632005312388005894">#REF!</definedName>
    <definedName name="_vena_YTDS1_YTDB1_R_5_632005312392200194">#REF!</definedName>
    <definedName name="_vena_YTDS1_YTDB1_R_5_632005312392200196">#REF!</definedName>
    <definedName name="_vena_YTDS1_YTDB1_R_5_632005312417366022">#REF!</definedName>
    <definedName name="_vena_YTDS1_YTDB1_R_5_632005312417366024">#REF!</definedName>
    <definedName name="_vena_YTDS1_YTDB1_R_5_632005312417366026">#REF!</definedName>
    <definedName name="_vena_YTDS1_YTDB1_R_5_632005312421560325">#REF!</definedName>
    <definedName name="_vena_YTDS1_YTDB1_R_5_632005312421560327">#REF!</definedName>
    <definedName name="_vena_YTDS1_YTDB1_R_5_632005312429948928">#REF!</definedName>
    <definedName name="_vena_YTDS1_YTDB1_R_5_632005312438337544">#REF!</definedName>
    <definedName name="_vena_YTDS1_YTDB1_R_5_632005312442531848">#REF!</definedName>
    <definedName name="_vena_YTDS1_YTDB1_R_5_632005312446726145">#REF!</definedName>
    <definedName name="_vena_YTDS1_YTDB1_R_5_632005312450920456">#REF!</definedName>
    <definedName name="_vena_YTDS1_YTDB1_R_5_632005312455114752">#REF!</definedName>
    <definedName name="_vena_YTDS1_YTDB1_R_5_632005312455114754">#REF!</definedName>
    <definedName name="_vena_YTDS1_YTDB1_R_5_632005312455114760">#REF!</definedName>
    <definedName name="_vena_YTDS1_YTDB1_R_5_632005312459309056">#REF!</definedName>
    <definedName name="_vena_YTDS1_YTDB1_R_5_632005312471891978">#REF!</definedName>
    <definedName name="_vena_YTDS1_YTDB1_R_5_632005312476086273">#REF!</definedName>
    <definedName name="_vena_YTDS1_YTDB1_R_5_632005312476086275">#REF!</definedName>
    <definedName name="_vena_YTDS1_YTDB1_R_5_632005312480280576">#REF!</definedName>
    <definedName name="_vena_YTDS1_YTDB1_R_5_632005312480280578">#REF!</definedName>
    <definedName name="_vena_YTDS1_YTDB1_R_5_632005312484474880">#REF!</definedName>
    <definedName name="_vena_YTDS1_YTDB1_R_5_632005312492863495">#REF!</definedName>
    <definedName name="_vena_YTDS1_YTDB1_R_5_632005312497057796">#REF!</definedName>
    <definedName name="_vena_YTDS1_YTDB1_R_5_632005312497057798">#REF!</definedName>
    <definedName name="_vena_YTDS1_YTDB1_R_5_632005312497057800">#REF!</definedName>
    <definedName name="_vena_YTDS1_YTDB1_R_5_632005312501252100">#REF!</definedName>
    <definedName name="_vena_YTDS1_YTDB1_R_5_632005312501252102">#REF!</definedName>
    <definedName name="_vena_YTDS1_YTDB1_R_5_632005312501252104">#REF!</definedName>
    <definedName name="_vena_YTDS1_YTDB1_R_5_632005312522223616">#REF!</definedName>
    <definedName name="_vena_YTDS1_YTDB1_R_5_632005312522223618">#REF!</definedName>
    <definedName name="_vena_YTDS1_YTDB1_R_5_632005312526417958">#REF!</definedName>
    <definedName name="_vena_YTDS1_YTDB1_R_5_632005312530612224">#REF!</definedName>
    <definedName name="_vena_YTDS1_YTDB1_R_5_632005312530612226">#REF!</definedName>
    <definedName name="_vena_YTDS1_YTDB1_R_5_632005312530612232">#REF!</definedName>
    <definedName name="_vena_YTDS1_YTDB1_R_5_632005312534806528">#REF!</definedName>
    <definedName name="_vena_YTDS1_YTDB1_R_5_632005312547389446">#REF!</definedName>
    <definedName name="_vena_YTDS1_YTDB1_R_5_632005312547389448">#REF!</definedName>
    <definedName name="_vena_YTDS1_YTDB1_R_5_632005312551583744">#REF!</definedName>
    <definedName name="_vena_YTDS1_YTDB1_R_5_632005312551583750">#REF!</definedName>
    <definedName name="_vena_YTDS1_YTDB1_R_5_632005312555778048">#REF!</definedName>
    <definedName name="_vena_YTDS1_YTDB1_R_5_632005312564166664">#REF!</definedName>
    <definedName name="_vena_YTDS1_YTDB1_R_5_632005312568360964">#REF!</definedName>
    <definedName name="_vena_YTDS1_YTDB1_R_5_632005312568360968">#REF!</definedName>
    <definedName name="_vena_YTDS1_YTDB1_R_5_632005312572555270">#REF!</definedName>
    <definedName name="_vena_YTDS1_YTDB1_R_5_632005312572555272">#REF!</definedName>
    <definedName name="_vena_YTDS1_YTDB1_R_5_632005312576749568">#REF!</definedName>
    <definedName name="_vena_YTDS1_YTDB1_R_5_632005312576749570">#REF!</definedName>
    <definedName name="_vena_YTDS1_YTDB1_R_5_632005312576749576">#REF!</definedName>
    <definedName name="_vena_YTDS1_YTDB1_R_5_632005312580943872">#REF!</definedName>
    <definedName name="_vena_YTDS1_YTDB1_R_5_632005312585138180">#REF!</definedName>
    <definedName name="_vena_YTDS1_YTDB1_R_5_632005312597721093">#REF!</definedName>
    <definedName name="_vena_YTDS1_YTDB1_R_5_632005312597721095">#REF!</definedName>
    <definedName name="_vena_YTDS1_YTDB1_R_5_632005312597721097">#REF!</definedName>
    <definedName name="_vena_YTDS1_YTDB1_R_5_632005312601915392">#REF!</definedName>
    <definedName name="_vena_YTDS1_YTDB1_R_5_632005312601915396">#REF!</definedName>
    <definedName name="_vena_YTDS1_YTDB1_R_5_632005312601915398">#REF!</definedName>
    <definedName name="_vena_YTDS1_YTDB1_R_5_632802684999303168">#REF!</definedName>
    <definedName name="_vena_YTDS1_YTDB1_R_5_632802806714466304">#REF!</definedName>
    <definedName name="_vena_YTDS1_YTDB1_R_5_640425049593872384">#REF!</definedName>
    <definedName name="_vena_YTDS1_YTDB1_R_5_640425049946193920">#REF!</definedName>
    <definedName name="_vena_YTDS1_YTDB1_R_5_640425050315292672">#REF!</definedName>
    <definedName name="_vena_YTDS1_YTDB1_R_5_672280564707885073">#REF!</definedName>
    <definedName name="_vena_YTDS1_YTDB1_R_5_820620957949886465">#REF!</definedName>
    <definedName name="_vena_YTDS1_YTDB1_R_5_969124762453147649">#REF!</definedName>
    <definedName name="_vena_YTDS1_YTDB1_R_5_969124837275336705">#REF!</definedName>
    <definedName name="_vena_YTDS1_YTDB1_R_5_969124902391644161">#REF!</definedName>
    <definedName name="_vena_YTDS1_YTDB1_R_5_969124968162525249">#REF!</definedName>
    <definedName name="_vena_YTDS1_YTDB2_C_3_632005310022418436_1">#REF!</definedName>
    <definedName name="_vena_YTDS1_YTDB2_C_3_632005310022418436_2">#REF!</definedName>
    <definedName name="_vena_YTDS1_YTDB2_C_3_632005310022418436_3">#REF!</definedName>
    <definedName name="_vena_YTDS1_YTDB2_C_6_632005313059094533">#REF!</definedName>
    <definedName name="_vena_YTDS1_YTDB2_C_6_632005313059094533_1">#REF!</definedName>
    <definedName name="_vena_YTDS1_YTDB2_C_6_632005313059094533_2">#REF!</definedName>
    <definedName name="_vena_YTDS1_YTDB2_C_8_632005313629519872_1">#REF!</definedName>
    <definedName name="_vena_YTDS1_YTDB2_C_8_632005313629519872_2">#REF!</definedName>
    <definedName name="_vena_YTDS1_YTDB2_C_8_632005313629519872_3">#REF!</definedName>
    <definedName name="_vena_YTDS1_YTDB2_C_FV_9b0abd7578fb42018b1ba18b8b26d3ae_1">#REF!</definedName>
    <definedName name="_vena_YTDS1_YTDB2_C_FV_9b0abd7578fb42018b1ba18b8b26d3ae_2">#REF!</definedName>
    <definedName name="_vena_YTDS1_YTDB2_C_FV_9b0abd7578fb42018b1ba18b8b26d3ae_3">#REF!</definedName>
    <definedName name="_vena_YTDS1_YTDB2_C_FV_e1c3a244dc3d4f149ecdf7d748811086_1">#REF!</definedName>
    <definedName name="_vena_YTDS1_YTDB2_C_FV_e1c3a244dc3d4f149ecdf7d748811086_2">#REF!</definedName>
    <definedName name="_vena_YTDS1_YTDB2_C_FV_e1c3a244dc3d4f149ecdf7d748811086_3">#REF!</definedName>
    <definedName name="_vena_YTDS1_YTDB2_C_FV_e3545e3dcc52420a84dcdae3a23a4597_1">#REF!</definedName>
    <definedName name="_vena_YTDS1_YTDB2_C_FV_e3545e3dcc52420a84dcdae3a23a4597_2">#REF!</definedName>
    <definedName name="_vena_YTDS1_YTDB2_C_FV_e3545e3dcc52420a84dcdae3a23a4597_3">#REF!</definedName>
    <definedName name="_vena_YTDS1_YTDB2_R_5_632005310852890630">#REF!</definedName>
    <definedName name="_vena_YTDS1_YTDB2_R_5_632005310945165312">#REF!</definedName>
    <definedName name="_vena_YTDS1_YTDB2_R_5_632005310945165314">#REF!</definedName>
    <definedName name="_vena_YTDS1_YTDB2_R_5_632005311058411522">#REF!</definedName>
    <definedName name="_vena_YTDS1_YTDB2_R_5_632005311196823560">#REF!</definedName>
    <definedName name="_vena_YTDS1_YTDB2_R_5_632005311372984320">#REF!</definedName>
    <definedName name="_vena_YTDS1_YTDB2_R_5_632005311372984322">#REF!</definedName>
    <definedName name="_vena_YTDS1_YTDB2_R_5_632005311444287488">#REF!</definedName>
    <definedName name="_vena_YTDS1_YTDB2_R_5_632005311528173572">#REF!</definedName>
    <definedName name="_vena_YTDS1_YTDB2_R_5_632005311540756484">#REF!</definedName>
    <definedName name="_vena_YTDS1_YTDB2_R_5_632005311565922306">#REF!</definedName>
    <definedName name="_vena_YTDS1_YTDB2_R_5_632005311750471682">#REF!</definedName>
    <definedName name="_vena_YTDS1_YTDB2_R_5_632005311909855232">#REF!</definedName>
    <definedName name="_vena_YTDS1_YTDB2_R_5_632005311943409666">#REF!</definedName>
    <definedName name="_vena_YTDS1_YTDB2_R_5_632005312094404608">#REF!</definedName>
    <definedName name="_vena_YTDS1_YTDB2_R_5_632005312153124864">#REF!</definedName>
    <definedName name="_vena_YTDS1_YTDB2_R_5_632005312295731204">#REF!</definedName>
    <definedName name="_vena_YTDS1_YTDB2_R_5_632005312371228680">#REF!</definedName>
    <definedName name="_vena_YTDS1_YTDB2_R_5_632005312526417920">#REF!</definedName>
    <definedName name="_vena_YTDS1_YTDB2_R_5_632005312539000840">#REF!</definedName>
    <definedName name="_vena_YTDS1_YTDB2_R_5_632005312547389442">#REF!</definedName>
    <definedName name="_vena_YTDS1_YTDB3_C_3_632005310022418436">#REF!</definedName>
    <definedName name="_vena_YTDS1_YTDB3_C_3_632005310022418436_1">#REF!</definedName>
    <definedName name="_vena_YTDS1_YTDB3_C_3_632005310022418436_2">#REF!</definedName>
    <definedName name="_vena_YTDS1_YTDB3_C_FV_9b0abd7578fb42018b1ba18b8b26d3ae">#REF!</definedName>
    <definedName name="_vena_YTDS1_YTDB3_C_FV_9b0abd7578fb42018b1ba18b8b26d3ae_1">#REF!</definedName>
    <definedName name="_vena_YTDS1_YTDB3_C_FV_9b0abd7578fb42018b1ba18b8b26d3ae_2">#REF!</definedName>
    <definedName name="_vena_YTDS1_YTDB3_C_FV_a7015286194d4cc6a0af6b4fcbd8ce6b">#REF!</definedName>
    <definedName name="_vena_YTDS1_YTDB3_C_FV_a7015286194d4cc6a0af6b4fcbd8ce6b_1">#REF!</definedName>
    <definedName name="_vena_YTDS1_YTDB3_C_FV_a7015286194d4cc6a0af6b4fcbd8ce6b_2">#REF!</definedName>
    <definedName name="_vena_YTDS1_YTDB3_C_FV_e1c3a244dc3d4f149ecdf7d748811086">#REF!</definedName>
    <definedName name="_vena_YTDS1_YTDB3_C_FV_e1c3a244dc3d4f149ecdf7d748811086_1">#REF!</definedName>
    <definedName name="_vena_YTDS1_YTDB3_C_FV_e1c3a244dc3d4f149ecdf7d748811086_2">#REF!</definedName>
    <definedName name="_vena_YTDS1_YTDB3_C_FV_e3545e3dcc52420a84dcdae3a23a4597">#REF!</definedName>
    <definedName name="_vena_YTDS1_YTDB3_C_FV_e3545e3dcc52420a84dcdae3a23a4597_1">#REF!</definedName>
    <definedName name="_vena_YTDS1_YTDB3_C_FV_e3545e3dcc52420a84dcdae3a23a4597_2">#REF!</definedName>
    <definedName name="_vena_YTDS1_YTDB3_C_FV_ef23d2b39fcb45a79097ef2da4b3400e">#REF!</definedName>
    <definedName name="_vena_YTDS1_YTDB3_C_FV_ef23d2b39fcb45a79097ef2da4b3400e_1">#REF!</definedName>
    <definedName name="_vena_YTDS1_YTDB3_C_FV_ef23d2b39fcb45a79097ef2da4b3400e_2">#REF!</definedName>
    <definedName name="_vena_YTDS1_YTDB3_R_5_632005311788220416">#REF!</definedName>
    <definedName name="_vena_YTDS1_YTDB3_R_5_632005312266371076">#REF!</definedName>
    <definedName name="_vena_YTDS1_YTDB3_R_5_697602918727680000">#REF!</definedName>
    <definedName name="_vena_YTDS2_P_3_632005310022418436" comment="*">#REF!</definedName>
    <definedName name="_vena_YTDS2_P_4_632005309959503878" comment="*">#REF!</definedName>
    <definedName name="_vena_YTDS2_P_6_632005313063288832" comment="*">#REF!</definedName>
    <definedName name="_vena_YTDS2_P_7_632005313256226820" comment="*">#REF!</definedName>
    <definedName name="_vena_YTDS2_P_FV_e3545e3dcc52420a84dcdae3a23a4597" comment="*">#REF!</definedName>
    <definedName name="_vena_YTDS2_YTDB4_C_8_632005313608548359">#REF!</definedName>
    <definedName name="_vena_YTDS2_YTDB4_C_8_632005313684045826">#REF!</definedName>
    <definedName name="_vena_YTDS2_YTDB4_C_FV_9b0abd7578fb42018b1ba18b8b26d3ae">#REF!</definedName>
    <definedName name="_vena_YTDS2_YTDB4_C_FV_9b0abd7578fb42018b1ba18b8b26d3ae_1">#REF!</definedName>
    <definedName name="_vena_YTDS2_YTDB4_R_FV_42f34b52efc14701904e2bd69b949ebb">#REF!</definedName>
    <definedName name="_vena_YTDS2_YTDB4_R_FV_42f34b52efc14701904e2bd69b949ebb_106">#REF!</definedName>
    <definedName name="_vena_YTDS2_YTDB4_R_FV_42f34b52efc14701904e2bd69b949ebb_139">#REF!</definedName>
    <definedName name="_vena_YTDS2_YTDB4_R_FV_42f34b52efc14701904e2bd69b949ebb_151">#REF!</definedName>
    <definedName name="_vena_YTDS2_YTDB4_R_FV_42f34b52efc14701904e2bd69b949ebb_206">#REF!</definedName>
    <definedName name="_vena_YTDS2_YTDB4_R_FV_42f34b52efc14701904e2bd69b949ebb_221">#REF!</definedName>
    <definedName name="_vena_YTDS2_YTDB4_R_FV_42f34b52efc14701904e2bd69b949ebb_326">#REF!</definedName>
    <definedName name="_vena_YTDS2_YTDB4_R_FV_42f34b52efc14701904e2bd69b949ebb_39">#REF!</definedName>
    <definedName name="_vena_YTDS2_YTDB4_R_FV_42f34b52efc14701904e2bd69b949ebb_399">#REF!</definedName>
    <definedName name="_vena_YTDS2_YTDB4_R_FV_42f34b52efc14701904e2bd69b949ebb_428">#REF!</definedName>
    <definedName name="_vena_YTDS2_YTDB4_R_FV_42f34b52efc14701904e2bd69b949ebb_445">#REF!</definedName>
    <definedName name="_vena_YTDS2_YTDB4_R_FV_42f34b52efc14701904e2bd69b949ebb_446">#REF!</definedName>
    <definedName name="_vena_YTDS2_YTDB4_R_FV_42f34b52efc14701904e2bd69b949ebb_447">#REF!</definedName>
    <definedName name="_vena_YTDS2_YTDB4_R_FV_42f34b52efc14701904e2bd69b949ebb_448">#REF!</definedName>
    <definedName name="_vena_YTDS2_YTDB4_R_FV_42f34b52efc14701904e2bd69b949ebb_449">#REF!</definedName>
    <definedName name="_vena_YTDS2_YTDB4_R_FV_42f34b52efc14701904e2bd69b949ebb_450">#REF!</definedName>
    <definedName name="_vena_YTDS2_YTDB4_R_FV_42f34b52efc14701904e2bd69b949ebb_451">#REF!</definedName>
    <definedName name="_vena_YTDS2_YTDB4_R_FV_42f34b52efc14701904e2bd69b949ebb_452">#REF!</definedName>
    <definedName name="_vena_YTDS2_YTDB4_R_FV_42f34b52efc14701904e2bd69b949ebb_453">#REF!</definedName>
    <definedName name="_vena_YTDS2_YTDB4_R_FV_42f34b52efc14701904e2bd69b949ebb_454">#REF!</definedName>
    <definedName name="_vena_YTDS2_YTDB4_R_FV_42f34b52efc14701904e2bd69b949ebb_455">#REF!</definedName>
    <definedName name="_vena_YTDS2_YTDB4_R_FV_42f34b52efc14701904e2bd69b949ebb_456">#REF!</definedName>
    <definedName name="_vena_YTDS2_YTDB4_R_FV_42f34b52efc14701904e2bd69b949ebb_457">#REF!</definedName>
    <definedName name="_vena_YTDS2_YTDB4_R_FV_42f34b52efc14701904e2bd69b949ebb_458">#REF!</definedName>
    <definedName name="_vena_YTDS2_YTDB4_R_FV_42f34b52efc14701904e2bd69b949ebb_459">#REF!</definedName>
    <definedName name="_vena_YTDS2_YTDB4_R_FV_42f34b52efc14701904e2bd69b949ebb_460">#REF!</definedName>
    <definedName name="_vena_YTDS2_YTDB4_R_FV_42f34b52efc14701904e2bd69b949ebb_461">#REF!</definedName>
    <definedName name="_vena_YTDS2_YTDB4_R_FV_42f34b52efc14701904e2bd69b949ebb_462">#REF!</definedName>
    <definedName name="_vena_YTDS2_YTDB4_R_FV_42f34b52efc14701904e2bd69b949ebb_463">#REF!</definedName>
    <definedName name="_vena_YTDS2_YTDB4_R_FV_42f34b52efc14701904e2bd69b949ebb_464">#REF!</definedName>
    <definedName name="_vena_YTDS2_YTDB4_R_FV_42f34b52efc14701904e2bd69b949ebb_465">#REF!</definedName>
    <definedName name="_vena_YTDS2_YTDB4_R_FV_42f34b52efc14701904e2bd69b949ebb_466">#REF!</definedName>
    <definedName name="_vena_YTDS2_YTDB4_R_FV_42f34b52efc14701904e2bd69b949ebb_467">#REF!</definedName>
    <definedName name="_vena_YTDS2_YTDB4_R_FV_42f34b52efc14701904e2bd69b949ebb_468">#REF!</definedName>
    <definedName name="_vena_YTDS2_YTDB4_R_FV_42f34b52efc14701904e2bd69b949ebb_469">#REF!</definedName>
    <definedName name="_vena_YTDS2_YTDB4_R_FV_42f34b52efc14701904e2bd69b949ebb_470">#REF!</definedName>
    <definedName name="_vena_YTDS2_YTDB4_R_FV_42f34b52efc14701904e2bd69b949ebb_471">#REF!</definedName>
    <definedName name="_vena_YTDS2_YTDB4_R_FV_42f34b52efc14701904e2bd69b949ebb_472">#REF!</definedName>
    <definedName name="_vena_YTDS2_YTDB4_R_FV_42f34b52efc14701904e2bd69b949ebb_473">#REF!</definedName>
    <definedName name="_vena_YTDS2_YTDB4_R_FV_42f34b52efc14701904e2bd69b949ebb_474">#REF!</definedName>
    <definedName name="_vena_YTDS2_YTDB4_R_FV_42f34b52efc14701904e2bd69b949ebb_475">#REF!</definedName>
    <definedName name="_vena_YTDS2_YTDB4_R_FV_42f34b52efc14701904e2bd69b949ebb_476">#REF!</definedName>
    <definedName name="_vena_YTDS2_YTDB4_R_FV_42f34b52efc14701904e2bd69b949ebb_477">#REF!</definedName>
    <definedName name="_vena_YTDS2_YTDB4_R_FV_42f34b52efc14701904e2bd69b949ebb_478">#REF!</definedName>
    <definedName name="_vena_YTDS2_YTDB4_R_FV_42f34b52efc14701904e2bd69b949ebb_479">#REF!</definedName>
    <definedName name="_vena_YTDS2_YTDB4_R_FV_42f34b52efc14701904e2bd69b949ebb_480">#REF!</definedName>
    <definedName name="_vena_YTDS2_YTDB4_R_FV_42f34b52efc14701904e2bd69b949ebb_481">#REF!</definedName>
    <definedName name="_vena_YTDS2_YTDB4_R_FV_42f34b52efc14701904e2bd69b949ebb_482">#REF!</definedName>
    <definedName name="_vena_YTDS2_YTDB4_R_FV_42f34b52efc14701904e2bd69b949ebb_483">#REF!</definedName>
    <definedName name="_vena_YTDS2_YTDB4_R_FV_42f34b52efc14701904e2bd69b949ebb_484">#REF!</definedName>
    <definedName name="_vena_YTDS2_YTDB4_R_FV_42f34b52efc14701904e2bd69b949ebb_485">#REF!</definedName>
    <definedName name="_vena_YTDS2_YTDB4_R_FV_42f34b52efc14701904e2bd69b949ebb_486">#REF!</definedName>
    <definedName name="_vena_YTDS2_YTDB4_R_FV_42f34b52efc14701904e2bd69b949ebb_487">#REF!</definedName>
    <definedName name="_vena_YTDS2_YTDB4_R_FV_42f34b52efc14701904e2bd69b949ebb_488">#REF!</definedName>
    <definedName name="_vena_YTDS2_YTDB4_R_FV_42f34b52efc14701904e2bd69b949ebb_489">#REF!</definedName>
    <definedName name="_vena_YTDS2_YTDB4_R_FV_42f34b52efc14701904e2bd69b949ebb_490">#REF!</definedName>
    <definedName name="_vena_YTDS2_YTDB4_R_FV_42f34b52efc14701904e2bd69b949ebb_491">#REF!</definedName>
    <definedName name="_vena_YTDS2_YTDB4_R_FV_42f34b52efc14701904e2bd69b949ebb_492">#REF!</definedName>
    <definedName name="_vena_YTDS2_YTDB4_R_FV_42f34b52efc14701904e2bd69b949ebb_493">#REF!</definedName>
    <definedName name="_vena_YTDS2_YTDB4_R_FV_42f34b52efc14701904e2bd69b949ebb_494">#REF!</definedName>
    <definedName name="_vena_YTDS2_YTDB4_R_FV_42f34b52efc14701904e2bd69b949ebb_495">#REF!</definedName>
    <definedName name="_vena_YTDS2_YTDB4_R_FV_42f34b52efc14701904e2bd69b949ebb_496">#REF!</definedName>
    <definedName name="_vena_YTDS2_YTDB4_R_FV_42f34b52efc14701904e2bd69b949ebb_497">#REF!</definedName>
    <definedName name="_vena_YTDS2_YTDB4_R_FV_42f34b52efc14701904e2bd69b949ebb_498">#REF!</definedName>
    <definedName name="_vena_YTDS2_YTDB4_R_FV_42f34b52efc14701904e2bd69b949ebb_499">#REF!</definedName>
    <definedName name="_vena_YTDS2_YTDB4_R_FV_42f34b52efc14701904e2bd69b949ebb_500">#REF!</definedName>
    <definedName name="_vena_YTDS2_YTDB4_R_FV_42f34b52efc14701904e2bd69b949ebb_501">#REF!</definedName>
    <definedName name="_vena_YTDS2_YTDB4_R_FV_42f34b52efc14701904e2bd69b949ebb_502">#REF!</definedName>
    <definedName name="_vena_YTDS2_YTDB4_R_FV_42f34b52efc14701904e2bd69b949ebb_503">#REF!</definedName>
    <definedName name="_vena_YTDS2_YTDB4_R_FV_42f34b52efc14701904e2bd69b949ebb_504">#REF!</definedName>
    <definedName name="_vena_YTDS2_YTDB4_R_FV_42f34b52efc14701904e2bd69b949ebb_505">#REF!</definedName>
    <definedName name="_vena_YTDS2_YTDB4_R_FV_42f34b52efc14701904e2bd69b949ebb_506">#REF!</definedName>
    <definedName name="_vena_YTDS2_YTDB4_R_FV_42f34b52efc14701904e2bd69b949ebb_507">#REF!</definedName>
    <definedName name="_vena_YTDS2_YTDB4_R_FV_42f34b52efc14701904e2bd69b949ebb_508">#REF!</definedName>
    <definedName name="_vena_YTDS2_YTDB4_R_FV_42f34b52efc14701904e2bd69b949ebb_509">#REF!</definedName>
    <definedName name="_vena_YTDS2_YTDB4_R_FV_42f34b52efc14701904e2bd69b949ebb_510">#REF!</definedName>
    <definedName name="_vena_YTDS2_YTDB4_R_FV_42f34b52efc14701904e2bd69b949ebb_511">#REF!</definedName>
    <definedName name="_vena_YTDS2_YTDB4_R_FV_42f34b52efc14701904e2bd69b949ebb_512">#REF!</definedName>
    <definedName name="_vena_YTDS2_YTDB4_R_FV_42f34b52efc14701904e2bd69b949ebb_513">#REF!</definedName>
    <definedName name="_vena_YTDS2_YTDB4_R_FV_42f34b52efc14701904e2bd69b949ebb_514">#REF!</definedName>
    <definedName name="_vena_YTDS2_YTDB4_R_FV_42f34b52efc14701904e2bd69b949ebb_515">#REF!</definedName>
    <definedName name="_vena_YTDS2_YTDB4_R_FV_42f34b52efc14701904e2bd69b949ebb_516">#REF!</definedName>
    <definedName name="_vena_YTDS2_YTDB4_R_FV_42f34b52efc14701904e2bd69b949ebb_517">#REF!</definedName>
    <definedName name="_vena_YTDS2_YTDB4_R_FV_42f34b52efc14701904e2bd69b949ebb_518">#REF!</definedName>
    <definedName name="_vena_YTDS2_YTDB4_R_FV_42f34b52efc14701904e2bd69b949ebb_519">#REF!</definedName>
    <definedName name="_vena_YTDS2_YTDB4_R_FV_42f34b52efc14701904e2bd69b949ebb_520">#REF!</definedName>
    <definedName name="_vena_YTDS2_YTDB4_R_FV_42f34b52efc14701904e2bd69b949ebb_521">#REF!</definedName>
    <definedName name="_vena_YTDS2_YTDB4_R_FV_42f34b52efc14701904e2bd69b949ebb_522">#REF!</definedName>
    <definedName name="_vena_YTDS2_YTDB4_R_FV_42f34b52efc14701904e2bd69b949ebb_523">#REF!</definedName>
    <definedName name="_vena_YTDS2_YTDB4_R_FV_42f34b52efc14701904e2bd69b949ebb_524">#REF!</definedName>
    <definedName name="_vena_YTDS2_YTDB4_R_FV_42f34b52efc14701904e2bd69b949ebb_525">#REF!</definedName>
    <definedName name="_vena_YTDS2_YTDB4_R_FV_42f34b52efc14701904e2bd69b949ebb_526">#REF!</definedName>
    <definedName name="_vena_YTDS2_YTDB4_R_FV_42f34b52efc14701904e2bd69b949ebb_527">#REF!</definedName>
    <definedName name="_vena_YTDS2_YTDB4_R_FV_42f34b52efc14701904e2bd69b949ebb_528">#REF!</definedName>
    <definedName name="_vena_YTDS2_YTDB4_R_FV_42f34b52efc14701904e2bd69b949ebb_529">#REF!</definedName>
    <definedName name="_vena_YTDS2_YTDB4_R_FV_42f34b52efc14701904e2bd69b949ebb_530">#REF!</definedName>
    <definedName name="_vena_YTDS2_YTDB4_R_FV_42f34b52efc14701904e2bd69b949ebb_531">#REF!</definedName>
    <definedName name="_vena_YTDS2_YTDB4_R_FV_42f34b52efc14701904e2bd69b949ebb_532">#REF!</definedName>
    <definedName name="_vena_YTDS2_YTDB4_R_FV_42f34b52efc14701904e2bd69b949ebb_533">#REF!</definedName>
    <definedName name="_vena_YTDS2_YTDB4_R_FV_42f34b52efc14701904e2bd69b949ebb_534">#REF!</definedName>
    <definedName name="_vena_YTDS2_YTDB4_R_FV_42f34b52efc14701904e2bd69b949ebb_535">#REF!</definedName>
    <definedName name="_vena_YTDS2_YTDB4_R_FV_42f34b52efc14701904e2bd69b949ebb_536">#REF!</definedName>
    <definedName name="_vena_YTDS2_YTDB4_R_FV_42f34b52efc14701904e2bd69b949ebb_537">#REF!</definedName>
    <definedName name="_vena_YTDS2_YTDB4_R_FV_42f34b52efc14701904e2bd69b949ebb_538">#REF!</definedName>
    <definedName name="_vena_YTDS2_YTDB4_R_FV_42f34b52efc14701904e2bd69b949ebb_539">#REF!</definedName>
    <definedName name="_vena_YTDS2_YTDB4_R_FV_42f34b52efc14701904e2bd69b949ebb_540">#REF!</definedName>
    <definedName name="_vena_YTDS2_YTDB4_R_FV_42f34b52efc14701904e2bd69b949ebb_541">#REF!</definedName>
    <definedName name="_vena_YTDS2_YTDB4_R_FV_42f34b52efc14701904e2bd69b949ebb_542">#REF!</definedName>
    <definedName name="_vena_YTDS2_YTDB4_R_FV_42f34b52efc14701904e2bd69b949ebb_543">#REF!</definedName>
    <definedName name="_vena_YTDS2_YTDB4_R_FV_42f34b52efc14701904e2bd69b949ebb_544">#REF!</definedName>
    <definedName name="_vena_YTDS2_YTDB4_R_FV_42f34b52efc14701904e2bd69b949ebb_545">#REF!</definedName>
    <definedName name="_vena_YTDS2_YTDB4_R_FV_42f34b52efc14701904e2bd69b949ebb_546">#REF!</definedName>
    <definedName name="_vena_YTDS2_YTDB4_R_FV_42f34b52efc14701904e2bd69b949ebb_547">#REF!</definedName>
    <definedName name="_vena_YTDS2_YTDB4_R_FV_42f34b52efc14701904e2bd69b949ebb_548">#REF!</definedName>
    <definedName name="_vena_YTDS2_YTDB4_R_FV_42f34b52efc14701904e2bd69b949ebb_549">#REF!</definedName>
    <definedName name="_vena_YTDS2_YTDB4_R_FV_42f34b52efc14701904e2bd69b949ebb_550">#REF!</definedName>
    <definedName name="_vena_YTDS2_YTDB4_R_FV_42f34b52efc14701904e2bd69b949ebb_551">#REF!</definedName>
    <definedName name="_vena_YTDS2_YTDB4_R_FV_42f34b52efc14701904e2bd69b949ebb_552">#REF!</definedName>
    <definedName name="_vena_YTDS2_YTDB4_R_FV_42f34b52efc14701904e2bd69b949ebb_553">#REF!</definedName>
    <definedName name="_vena_YTDS2_YTDB4_R_FV_42f34b52efc14701904e2bd69b949ebb_554">#REF!</definedName>
    <definedName name="_vena_YTDS2_YTDB4_R_FV_42f34b52efc14701904e2bd69b949ebb_555">#REF!</definedName>
    <definedName name="_vena_YTDS2_YTDB4_R_FV_42f34b52efc14701904e2bd69b949ebb_556">#REF!</definedName>
    <definedName name="_vena_YTDS2_YTDB4_R_FV_42f34b52efc14701904e2bd69b949ebb_557">#REF!</definedName>
    <definedName name="_vena_YTDS2_YTDB4_R_FV_42f34b52efc14701904e2bd69b949ebb_558">#REF!</definedName>
    <definedName name="_vena_YTDS2_YTDB4_R_FV_42f34b52efc14701904e2bd69b949ebb_559">#REF!</definedName>
    <definedName name="_vena_YTDS2_YTDB4_R_FV_42f34b52efc14701904e2bd69b949ebb_560">#REF!</definedName>
    <definedName name="_vena_YTDS2_YTDB4_R_FV_42f34b52efc14701904e2bd69b949ebb_561">#REF!</definedName>
    <definedName name="_vena_YTDS2_YTDB4_R_FV_42f34b52efc14701904e2bd69b949ebb_562">#REF!</definedName>
    <definedName name="_vena_YTDS2_YTDB4_R_FV_42f34b52efc14701904e2bd69b949ebb_563">#REF!</definedName>
    <definedName name="_vena_YTDS2_YTDB4_R_FV_42f34b52efc14701904e2bd69b949ebb_564">#REF!</definedName>
    <definedName name="_vena_YTDS2_YTDB4_R_FV_42f34b52efc14701904e2bd69b949ebb_565">#REF!</definedName>
    <definedName name="_vena_YTDS2_YTDB4_R_FV_42f34b52efc14701904e2bd69b949ebb_566">#REF!</definedName>
    <definedName name="_vena_YTDS2_YTDB4_R_FV_42f34b52efc14701904e2bd69b949ebb_567">#REF!</definedName>
    <definedName name="_vena_YTDS2_YTDB4_R_FV_42f34b52efc14701904e2bd69b949ebb_568">#REF!</definedName>
    <definedName name="_vena_YTDS2_YTDB4_R_FV_42f34b52efc14701904e2bd69b949ebb_569">#REF!</definedName>
    <definedName name="_vena_YTDS2_YTDB4_R_FV_42f34b52efc14701904e2bd69b949ebb_570">#REF!</definedName>
    <definedName name="_vena_YTDS2_YTDB4_R_FV_42f34b52efc14701904e2bd69b949ebb_571">#REF!</definedName>
    <definedName name="_vena_YTDS2_YTDB4_R_FV_42f34b52efc14701904e2bd69b949ebb_572">#REF!</definedName>
    <definedName name="_vena_YTDS2_YTDB4_R_FV_42f34b52efc14701904e2bd69b949ebb_573">#REF!</definedName>
    <definedName name="_vena_YTDS2_YTDB4_R_FV_42f34b52efc14701904e2bd69b949ebb_574">#REF!</definedName>
    <definedName name="_vena_YTDS2_YTDB4_R_FV_42f34b52efc14701904e2bd69b949ebb_575">#REF!</definedName>
    <definedName name="_vena_YTDS2_YTDB4_R_FV_42f34b52efc14701904e2bd69b949ebb_576">#REF!</definedName>
    <definedName name="_vena_YTDS2_YTDB4_R_FV_42f34b52efc14701904e2bd69b949ebb_577">#REF!</definedName>
    <definedName name="_vena_YTDS2_YTDB4_R_FV_42f34b52efc14701904e2bd69b949ebb_578">#REF!</definedName>
    <definedName name="_vena_YTDS2_YTDB4_R_FV_42f34b52efc14701904e2bd69b949ebb_579">#REF!</definedName>
    <definedName name="_vena_YTDS2_YTDB4_R_FV_42f34b52efc14701904e2bd69b949ebb_580">#REF!</definedName>
    <definedName name="_vena_YTDS2_YTDB4_R_FV_42f34b52efc14701904e2bd69b949ebb_581">#REF!</definedName>
    <definedName name="_vena_YTDS2_YTDB4_R_FV_42f34b52efc14701904e2bd69b949ebb_582">#REF!</definedName>
    <definedName name="_vena_YTDS2_YTDB4_R_FV_42f34b52efc14701904e2bd69b949ebb_583">#REF!</definedName>
    <definedName name="_vena_YTDS2_YTDB4_R_FV_42f34b52efc14701904e2bd69b949ebb_584">#REF!</definedName>
    <definedName name="_vena_YTDS2_YTDB4_R_FV_42f34b52efc14701904e2bd69b949ebb_585">#REF!</definedName>
    <definedName name="_vena_YTDS2_YTDB4_R_FV_42f34b52efc14701904e2bd69b949ebb_586">#REF!</definedName>
    <definedName name="_vena_YTDS2_YTDB4_R_FV_42f34b52efc14701904e2bd69b949ebb_587">#REF!</definedName>
    <definedName name="_vena_YTDS2_YTDB4_R_FV_42f34b52efc14701904e2bd69b949ebb_588">#REF!</definedName>
    <definedName name="_vena_YTDS2_YTDB4_R_FV_42f34b52efc14701904e2bd69b949ebb_589">#REF!</definedName>
    <definedName name="_vena_YTDS2_YTDB4_R_FV_42f34b52efc14701904e2bd69b949ebb_590">#REF!</definedName>
    <definedName name="_vena_YTDS2_YTDB4_R_FV_42f34b52efc14701904e2bd69b949ebb_591">#REF!</definedName>
    <definedName name="_vena_YTDS2_YTDB4_R_FV_42f34b52efc14701904e2bd69b949ebb_592">#REF!</definedName>
    <definedName name="_vena_YTDS2_YTDB4_R_FV_42f34b52efc14701904e2bd69b949ebb_593">#REF!</definedName>
    <definedName name="_vena_YTDS2_YTDB4_R_FV_42f34b52efc14701904e2bd69b949ebb_594">#REF!</definedName>
    <definedName name="_vena_YTDS2_YTDB4_R_FV_42f34b52efc14701904e2bd69b949ebb_595">#REF!</definedName>
    <definedName name="_vena_YTDS2_YTDB4_R_FV_42f34b52efc14701904e2bd69b949ebb_596">#REF!</definedName>
    <definedName name="_vena_YTDS2_YTDB4_R_FV_42f34b52efc14701904e2bd69b949ebb_597">#REF!</definedName>
    <definedName name="_vena_YTDS2_YTDB4_R_FV_42f34b52efc14701904e2bd69b949ebb_598">#REF!</definedName>
    <definedName name="_vena_YTDS2_YTDB4_R_FV_42f34b52efc14701904e2bd69b949ebb_599">#REF!</definedName>
    <definedName name="_vena_YTDS2_YTDB4_R_FV_42f34b52efc14701904e2bd69b949ebb_600">#REF!</definedName>
    <definedName name="_vena_YTDS2_YTDB4_R_FV_42f34b52efc14701904e2bd69b949ebb_601">#REF!</definedName>
    <definedName name="_vena_YTDS2_YTDB4_R_FV_42f34b52efc14701904e2bd69b949ebb_602">#REF!</definedName>
    <definedName name="_vena_YTDS2_YTDB4_R_FV_42f34b52efc14701904e2bd69b949ebb_603">#REF!</definedName>
    <definedName name="_vena_YTDS2_YTDB4_R_FV_42f34b52efc14701904e2bd69b949ebb_604">#REF!</definedName>
    <definedName name="_vena_YTDS2_YTDB4_R_FV_42f34b52efc14701904e2bd69b949ebb_605">#REF!</definedName>
    <definedName name="_vena_YTDS2_YTDB4_R_FV_42f34b52efc14701904e2bd69b949ebb_606">#REF!</definedName>
    <definedName name="_vena_YTDS2_YTDB4_R_FV_42f34b52efc14701904e2bd69b949ebb_607">#REF!</definedName>
    <definedName name="_vena_YTDS2_YTDB4_R_FV_42f34b52efc14701904e2bd69b949ebb_608">#REF!</definedName>
    <definedName name="_vena_YTDS2_YTDB4_R_FV_42f34b52efc14701904e2bd69b949ebb_609">#REF!</definedName>
    <definedName name="_vena_YTDS2_YTDB4_R_FV_42f34b52efc14701904e2bd69b949ebb_610">#REF!</definedName>
    <definedName name="_vena_YTDS2_YTDB4_R_FV_42f34b52efc14701904e2bd69b949ebb_611">#REF!</definedName>
    <definedName name="_vena_YTDS2_YTDB4_R_FV_42f34b52efc14701904e2bd69b949ebb_612">#REF!</definedName>
    <definedName name="_vena_YTDS2_YTDB4_R_FV_42f34b52efc14701904e2bd69b949ebb_613">#REF!</definedName>
    <definedName name="_vena_YTDS2_YTDB4_R_FV_42f34b52efc14701904e2bd69b949ebb_614">#REF!</definedName>
    <definedName name="_vena_YTDS2_YTDB4_R_FV_42f34b52efc14701904e2bd69b949ebb_615">#REF!</definedName>
    <definedName name="_vena_YTDS2_YTDB4_R_FV_42f34b52efc14701904e2bd69b949ebb_616">#REF!</definedName>
    <definedName name="_vena_YTDS2_YTDB4_R_FV_42f34b52efc14701904e2bd69b949ebb_617">#REF!</definedName>
    <definedName name="_vena_YTDS2_YTDB4_R_FV_42f34b52efc14701904e2bd69b949ebb_618">#REF!</definedName>
    <definedName name="_vena_YTDS2_YTDB4_R_FV_42f34b52efc14701904e2bd69b949ebb_619">#REF!</definedName>
    <definedName name="_vena_YTDS2_YTDB4_R_FV_42f34b52efc14701904e2bd69b949ebb_620">#REF!</definedName>
    <definedName name="_vena_YTDS2_YTDB4_R_FV_42f34b52efc14701904e2bd69b949ebb_621">#REF!</definedName>
    <definedName name="_vena_YTDS2_YTDB4_R_FV_42f34b52efc14701904e2bd69b949ebb_622">#REF!</definedName>
    <definedName name="_vena_YTDS2_YTDB4_R_FV_42f34b52efc14701904e2bd69b949ebb_623">#REF!</definedName>
    <definedName name="_vena_YTDS2_YTDB4_R_FV_42f34b52efc14701904e2bd69b949ebb_624">#REF!</definedName>
    <definedName name="_vena_YTDS2_YTDB4_R_FV_42f34b52efc14701904e2bd69b949ebb_625">#REF!</definedName>
    <definedName name="_vena_YTDS2_YTDB4_R_FV_42f34b52efc14701904e2bd69b949ebb_626">#REF!</definedName>
    <definedName name="_vena_YTDS2_YTDB4_R_FV_42f34b52efc14701904e2bd69b949ebb_627">#REF!</definedName>
    <definedName name="_vena_YTDS2_YTDB4_R_FV_42f34b52efc14701904e2bd69b949ebb_628">#REF!</definedName>
    <definedName name="_vena_YTDS2_YTDB4_R_FV_42f34b52efc14701904e2bd69b949ebb_629">#REF!</definedName>
    <definedName name="_vena_YTDS2_YTDB4_R_FV_42f34b52efc14701904e2bd69b949ebb_630">#REF!</definedName>
    <definedName name="_vena_YTDS2_YTDB4_R_FV_42f34b52efc14701904e2bd69b949ebb_631">#REF!</definedName>
    <definedName name="_vena_YTDS2_YTDB4_R_FV_42f34b52efc14701904e2bd69b949ebb_632">#REF!</definedName>
    <definedName name="_vena_YTDS2_YTDB4_R_FV_42f34b52efc14701904e2bd69b949ebb_633">#REF!</definedName>
    <definedName name="_vena_YTDS2_YTDB4_R_FV_42f34b52efc14701904e2bd69b949ebb_634">#REF!</definedName>
    <definedName name="_vena_YTDS2_YTDB4_R_FV_42f34b52efc14701904e2bd69b949ebb_635">#REF!</definedName>
    <definedName name="_vena_YTDS2_YTDB4_R_FV_42f34b52efc14701904e2bd69b949ebb_636">#REF!</definedName>
    <definedName name="_vena_YTDS2_YTDB4_R_FV_42f34b52efc14701904e2bd69b949ebb_637">#REF!</definedName>
    <definedName name="_vena_YTDS2_YTDB4_R_FV_42f34b52efc14701904e2bd69b949ebb_638">#REF!</definedName>
    <definedName name="_vena_YTDS2_YTDB4_R_FV_42f34b52efc14701904e2bd69b949ebb_639">#REF!</definedName>
    <definedName name="_vena_YTDS2_YTDB4_R_FV_42f34b52efc14701904e2bd69b949ebb_640">#REF!</definedName>
    <definedName name="_vena_YTDS2_YTDB4_R_FV_42f34b52efc14701904e2bd69b949ebb_641">#REF!</definedName>
    <definedName name="_vena_YTDS2_YTDB4_R_FV_42f34b52efc14701904e2bd69b949ebb_642">#REF!</definedName>
    <definedName name="_vena_YTDS2_YTDB4_R_FV_42f34b52efc14701904e2bd69b949ebb_643">#REF!</definedName>
    <definedName name="_vena_YTDS2_YTDB4_R_FV_42f34b52efc14701904e2bd69b949ebb_644">#REF!</definedName>
    <definedName name="_vena_YTDS2_YTDB4_R_FV_42f34b52efc14701904e2bd69b949ebb_645">#REF!</definedName>
    <definedName name="_vena_YTDS2_YTDB4_R_FV_42f34b52efc14701904e2bd69b949ebb_646">#REF!</definedName>
    <definedName name="_vena_YTDS2_YTDB4_R_FV_42f34b52efc14701904e2bd69b949ebb_647">#REF!</definedName>
    <definedName name="_vena_YTDS2_YTDB4_R_FV_42f34b52efc14701904e2bd69b949ebb_648">#REF!</definedName>
    <definedName name="_vena_YTDS2_YTDB4_R_FV_42f34b52efc14701904e2bd69b949ebb_649">#REF!</definedName>
    <definedName name="_vena_YTDS2_YTDB4_R_FV_42f34b52efc14701904e2bd69b949ebb_650">#REF!</definedName>
    <definedName name="_vena_YTDS2_YTDB4_R_FV_42f34b52efc14701904e2bd69b949ebb_651">#REF!</definedName>
    <definedName name="_vena_YTDS2_YTDB4_R_FV_42f34b52efc14701904e2bd69b949ebb_652">#REF!</definedName>
    <definedName name="_vena_YTDS2_YTDB4_R_FV_42f34b52efc14701904e2bd69b949ebb_653">#REF!</definedName>
    <definedName name="_vena_YTDS2_YTDB4_R_FV_42f34b52efc14701904e2bd69b949ebb_654">#REF!</definedName>
    <definedName name="_vena_YTDS2_YTDB4_R_FV_42f34b52efc14701904e2bd69b949ebb_655">#REF!</definedName>
    <definedName name="_vena_YTDS2_YTDB4_R_FV_42f34b52efc14701904e2bd69b949ebb_656">#REF!</definedName>
    <definedName name="_vena_YTDS2_YTDB4_R_FV_42f34b52efc14701904e2bd69b949ebb_657">#REF!</definedName>
    <definedName name="_vena_YTDS2_YTDB4_R_FV_42f34b52efc14701904e2bd69b949ebb_658">#REF!</definedName>
    <definedName name="_vena_YTDS2_YTDB4_R_FV_42f34b52efc14701904e2bd69b949ebb_659">#REF!</definedName>
    <definedName name="_vena_YTDS2_YTDB4_R_FV_42f34b52efc14701904e2bd69b949ebb_660">#REF!</definedName>
    <definedName name="_vena_YTDS2_YTDB4_R_FV_42f34b52efc14701904e2bd69b949ebb_661">#REF!</definedName>
    <definedName name="_vena_YTDS2_YTDB4_R_FV_42f34b52efc14701904e2bd69b949ebb_662">#REF!</definedName>
    <definedName name="_vena_YTDS2_YTDB4_R_FV_42f34b52efc14701904e2bd69b949ebb_663">#REF!</definedName>
    <definedName name="_vena_YTDS2_YTDB4_R_FV_42f34b52efc14701904e2bd69b949ebb_664">#REF!</definedName>
    <definedName name="_vena_YTDS2_YTDB4_R_FV_42f34b52efc14701904e2bd69b949ebb_665">#REF!</definedName>
    <definedName name="_vena_YTDS2_YTDB4_R_FV_42f34b52efc14701904e2bd69b949ebb_666">#REF!</definedName>
    <definedName name="_vena_YTDS2_YTDB4_R_FV_42f34b52efc14701904e2bd69b949ebb_667">#REF!</definedName>
    <definedName name="_vena_YTDS2_YTDB4_R_FV_42f34b52efc14701904e2bd69b949ebb_668">#REF!</definedName>
    <definedName name="_vena_YTDS2_YTDB4_R_FV_42f34b52efc14701904e2bd69b949ebb_669">#REF!</definedName>
    <definedName name="_vena_YTDS2_YTDB4_R_FV_42f34b52efc14701904e2bd69b949ebb_670">#REF!</definedName>
    <definedName name="_vena_YTDS2_YTDB4_R_FV_42f34b52efc14701904e2bd69b949ebb_671">#REF!</definedName>
    <definedName name="_vena_YTDS2_YTDB4_R_FV_42f34b52efc14701904e2bd69b949ebb_672">#REF!</definedName>
    <definedName name="_vena_YTDS2_YTDB4_R_FV_42f34b52efc14701904e2bd69b949ebb_673">#REF!</definedName>
    <definedName name="_vena_YTDS2_YTDB4_R_FV_42f34b52efc14701904e2bd69b949ebb_674">#REF!</definedName>
    <definedName name="_vena_YTDS2_YTDB4_R_FV_42f34b52efc14701904e2bd69b949ebb_675">#REF!</definedName>
    <definedName name="_vena_YTDS2_YTDB4_R_FV_42f34b52efc14701904e2bd69b949ebb_676">#REF!</definedName>
    <definedName name="_vena_YTDS2_YTDB4_R_FV_42f34b52efc14701904e2bd69b949ebb_677">#REF!</definedName>
    <definedName name="_vena_YTDS2_YTDB4_R_FV_42f34b52efc14701904e2bd69b949ebb_678">#REF!</definedName>
    <definedName name="_vena_YTDS2_YTDB4_R_FV_42f34b52efc14701904e2bd69b949ebb_679">#REF!</definedName>
    <definedName name="_vena_YTDS2_YTDB4_R_FV_42f34b52efc14701904e2bd69b949ebb_680">#REF!</definedName>
    <definedName name="_vena_YTDS2_YTDB4_R_FV_42f34b52efc14701904e2bd69b949ebb_681">#REF!</definedName>
    <definedName name="_vena_YTDS2_YTDB4_R_FV_42f34b52efc14701904e2bd69b949ebb_682">#REF!</definedName>
    <definedName name="_vena_YTDS2_YTDB4_R_FV_42f34b52efc14701904e2bd69b949ebb_683">#REF!</definedName>
    <definedName name="_vena_YTDS2_YTDB4_R_FV_42f34b52efc14701904e2bd69b949ebb_684">#REF!</definedName>
    <definedName name="_vena_YTDS2_YTDB4_R_FV_42f34b52efc14701904e2bd69b949ebb_685">#REF!</definedName>
    <definedName name="_vena_YTDS2_YTDB4_R_FV_42f34b52efc14701904e2bd69b949ebb_686">#REF!</definedName>
    <definedName name="_vena_YTDS2_YTDB4_R_FV_42f34b52efc14701904e2bd69b949ebb_687">#REF!</definedName>
    <definedName name="_vena_YTDS2_YTDB4_R_FV_42f34b52efc14701904e2bd69b949ebb_688">#REF!</definedName>
    <definedName name="_vena_YTDS2_YTDB4_R_FV_42f34b52efc14701904e2bd69b949ebb_689">#REF!</definedName>
    <definedName name="_vena_YTDS2_YTDB4_R_FV_42f34b52efc14701904e2bd69b949ebb_690">#REF!</definedName>
    <definedName name="_vena_YTDS2_YTDB4_R_FV_42f34b52efc14701904e2bd69b949ebb_691">#REF!</definedName>
    <definedName name="_vena_YTDS2_YTDB4_R_FV_42f34b52efc14701904e2bd69b949ebb_692">#REF!</definedName>
    <definedName name="_vena_YTDS2_YTDB4_R_FV_42f34b52efc14701904e2bd69b949ebb_693">#REF!</definedName>
    <definedName name="_vena_YTDS2_YTDB4_R_FV_42f34b52efc14701904e2bd69b949ebb_694">#REF!</definedName>
    <definedName name="_vena_YTDS2_YTDB4_R_FV_42f34b52efc14701904e2bd69b949ebb_695">#REF!</definedName>
    <definedName name="_vena_YTDS2_YTDB4_R_FV_42f34b52efc14701904e2bd69b949ebb_696">#REF!</definedName>
    <definedName name="_vena_YTDS2_YTDB4_R_FV_42f34b52efc14701904e2bd69b949ebb_697">#REF!</definedName>
    <definedName name="_vena_YTDS2_YTDB4_R_FV_42f34b52efc14701904e2bd69b949ebb_698">#REF!</definedName>
    <definedName name="_vena_YTDS2_YTDB4_R_FV_42f34b52efc14701904e2bd69b949ebb_699">#REF!</definedName>
    <definedName name="_vena_YTDS2_YTDB4_R_FV_42f34b52efc14701904e2bd69b949ebb_700">#REF!</definedName>
    <definedName name="_vena_YTDS2_YTDB4_R_FV_42f34b52efc14701904e2bd69b949ebb_701">#REF!</definedName>
    <definedName name="_vena_YTDS2_YTDB4_R_FV_42f34b52efc14701904e2bd69b949ebb_702">#REF!</definedName>
    <definedName name="_vena_YTDS2_YTDB4_R_FV_42f34b52efc14701904e2bd69b949ebb_703">#REF!</definedName>
    <definedName name="_vena_YTDS2_YTDB4_R_FV_42f34b52efc14701904e2bd69b949ebb_704">#REF!</definedName>
    <definedName name="_vena_YTDS2_YTDB4_R_FV_42f34b52efc14701904e2bd69b949ebb_705">#REF!</definedName>
    <definedName name="_vena_YTDS2_YTDB4_R_FV_42f34b52efc14701904e2bd69b949ebb_706">#REF!</definedName>
    <definedName name="_vena_YTDS2_YTDB4_R_FV_42f34b52efc14701904e2bd69b949ebb_707">#REF!</definedName>
    <definedName name="_vena_YTDS2_YTDB4_R_FV_42f34b52efc14701904e2bd69b949ebb_708">#REF!</definedName>
    <definedName name="_vena_YTDS2_YTDB4_R_FV_42f34b52efc14701904e2bd69b949ebb_709">#REF!</definedName>
    <definedName name="_vena_YTDS2_YTDB4_R_FV_42f34b52efc14701904e2bd69b949ebb_71">#REF!</definedName>
    <definedName name="_vena_YTDS2_YTDB4_R_FV_42f34b52efc14701904e2bd69b949ebb_710">#REF!</definedName>
    <definedName name="_vena_YTDS2_YTDB4_R_FV_42f34b52efc14701904e2bd69b949ebb_711">#REF!</definedName>
    <definedName name="_vena_YTDS2_YTDB4_R_FV_42f34b52efc14701904e2bd69b949ebb_712">#REF!</definedName>
    <definedName name="_vena_YTDS2_YTDB4_R_FV_42f34b52efc14701904e2bd69b949ebb_713">#REF!</definedName>
    <definedName name="_vena_YTDS2_YTDB4_R_FV_42f34b52efc14701904e2bd69b949ebb_714">#REF!</definedName>
    <definedName name="_vena_YTDS2_YTDB4_R_FV_42f34b52efc14701904e2bd69b949ebb_715">#REF!</definedName>
    <definedName name="_vena_YTDS2_YTDB4_R_FV_42f34b52efc14701904e2bd69b949ebb_716">#REF!</definedName>
    <definedName name="_vena_YTDS2_YTDB4_R_FV_42f34b52efc14701904e2bd69b949ebb_717">#REF!</definedName>
    <definedName name="_vena_YTDS2_YTDB4_R_FV_42f34b52efc14701904e2bd69b949ebb_718">#REF!</definedName>
    <definedName name="_vena_YTDS2_YTDB4_R_FV_42f34b52efc14701904e2bd69b949ebb_719">#REF!</definedName>
    <definedName name="_vena_YTDS2_YTDB4_R_FV_42f34b52efc14701904e2bd69b949ebb_720">#REF!</definedName>
    <definedName name="_vena_YTDS2_YTDB4_R_FV_42f34b52efc14701904e2bd69b949ebb_721">#REF!</definedName>
    <definedName name="_vena_YTDS2_YTDB4_R_FV_42f34b52efc14701904e2bd69b949ebb_722">#REF!</definedName>
    <definedName name="_vena_YTDS2_YTDB4_R_FV_42f34b52efc14701904e2bd69b949ebb_723">#REF!</definedName>
    <definedName name="_vena_YTDS2_YTDB4_R_FV_42f34b52efc14701904e2bd69b949ebb_724">#REF!</definedName>
    <definedName name="_vena_YTDS2_YTDB4_R_FV_42f34b52efc14701904e2bd69b949ebb_725">#REF!</definedName>
    <definedName name="_vena_YTDS2_YTDB4_R_FV_42f34b52efc14701904e2bd69b949ebb_726">#REF!</definedName>
    <definedName name="_vena_YTDS2_YTDB4_R_FV_42f34b52efc14701904e2bd69b949ebb_727">#REF!</definedName>
    <definedName name="_vena_YTDS2_YTDB4_R_FV_42f34b52efc14701904e2bd69b949ebb_728">#REF!</definedName>
    <definedName name="_vena_YTDS2_YTDB4_R_FV_42f34b52efc14701904e2bd69b949ebb_729">#REF!</definedName>
    <definedName name="_vena_YTDS2_YTDB4_R_FV_42f34b52efc14701904e2bd69b949ebb_730">#REF!</definedName>
    <definedName name="_vena_YTDS2_YTDB4_R_FV_42f34b52efc14701904e2bd69b949ebb_731">#REF!</definedName>
    <definedName name="_vena_YTDS2_YTDB4_R_FV_42f34b52efc14701904e2bd69b949ebb_732">#REF!</definedName>
    <definedName name="_vena_YTDS2_YTDB4_R_FV_42f34b52efc14701904e2bd69b949ebb_733">#REF!</definedName>
    <definedName name="_vena_YTDS2_YTDB4_R_FV_42f34b52efc14701904e2bd69b949ebb_734">#REF!</definedName>
    <definedName name="_vena_YTDS2_YTDB4_R_FV_42f34b52efc14701904e2bd69b949ebb_735">#REF!</definedName>
    <definedName name="_vena_YTDS2_YTDB4_R_FV_42f34b52efc14701904e2bd69b949ebb_736">#REF!</definedName>
    <definedName name="_vena_YTDS2_YTDB4_R_FV_42f34b52efc14701904e2bd69b949ebb_737">#REF!</definedName>
    <definedName name="_vena_YTDS2_YTDB4_R_FV_42f34b52efc14701904e2bd69b949ebb_738">#REF!</definedName>
    <definedName name="_vena_YTDS2_YTDB4_R_FV_42f34b52efc14701904e2bd69b949ebb_739">#REF!</definedName>
    <definedName name="_vena_YTDS2_YTDB4_R_FV_42f34b52efc14701904e2bd69b949ebb_740">#REF!</definedName>
    <definedName name="_vena_YTDS2_YTDB4_R_FV_42f34b52efc14701904e2bd69b949ebb_741">#REF!</definedName>
    <definedName name="_vena_YTDS2_YTDB4_R_FV_42f34b52efc14701904e2bd69b949ebb_742">#REF!</definedName>
    <definedName name="_vena_YTDS2_YTDB4_R_FV_42f34b52efc14701904e2bd69b949ebb_743">#REF!</definedName>
    <definedName name="_vena_YTDS2_YTDB4_R_FV_42f34b52efc14701904e2bd69b949ebb_744">#REF!</definedName>
    <definedName name="_vena_YTDS2_YTDB4_R_FV_42f34b52efc14701904e2bd69b949ebb_745">#REF!</definedName>
    <definedName name="_vena_YTDS2_YTDB4_R_FV_42f34b52efc14701904e2bd69b949ebb_746">#REF!</definedName>
    <definedName name="_vena_YTDS2_YTDB4_R_FV_42f34b52efc14701904e2bd69b949ebb_747">#REF!</definedName>
    <definedName name="_vena_YTDS2_YTDB4_R_FV_42f34b52efc14701904e2bd69b949ebb_748">#REF!</definedName>
    <definedName name="_vena_YTDS2_YTDB4_R_FV_42f34b52efc14701904e2bd69b949ebb_749">#REF!</definedName>
    <definedName name="_vena_YTDS2_YTDB4_R_FV_42f34b52efc14701904e2bd69b949ebb_750">#REF!</definedName>
    <definedName name="_vena_YTDS2_YTDB4_R_FV_42f34b52efc14701904e2bd69b949ebb_751">#REF!</definedName>
    <definedName name="_vena_YTDS2_YTDB4_R_FV_42f34b52efc14701904e2bd69b949ebb_752">#REF!</definedName>
    <definedName name="_vena_YTDS2_YTDB4_R_FV_42f34b52efc14701904e2bd69b949ebb_753">#REF!</definedName>
    <definedName name="_vena_YTDS2_YTDB4_R_FV_42f34b52efc14701904e2bd69b949ebb_754">#REF!</definedName>
    <definedName name="_vena_YTDS2_YTDB4_R_FV_42f34b52efc14701904e2bd69b949ebb_755">#REF!</definedName>
    <definedName name="_vena_YTDS2_YTDB4_R_FV_42f34b52efc14701904e2bd69b949ebb_756">#REF!</definedName>
    <definedName name="_vena_YTDS2_YTDB4_R_FV_42f34b52efc14701904e2bd69b949ebb_757">#REF!</definedName>
    <definedName name="_vena_YTDS2_YTDB4_R_FV_42f34b52efc14701904e2bd69b949ebb_758">#REF!</definedName>
    <definedName name="_vena_YTDS2_YTDB4_R_FV_42f34b52efc14701904e2bd69b949ebb_759">#REF!</definedName>
    <definedName name="_vena_YTDS2_YTDB4_R_FV_42f34b52efc14701904e2bd69b949ebb_760">#REF!</definedName>
    <definedName name="_vena_YTDS2_YTDB4_R_FV_42f34b52efc14701904e2bd69b949ebb_761">#REF!</definedName>
    <definedName name="_vena_YTDS2_YTDB4_R_FV_42f34b52efc14701904e2bd69b949ebb_762">#REF!</definedName>
    <definedName name="_vena_YTDS2_YTDB4_R_FV_42f34b52efc14701904e2bd69b949ebb_763">#REF!</definedName>
    <definedName name="_vena_YTDS2_YTDB4_R_FV_42f34b52efc14701904e2bd69b949ebb_764">#REF!</definedName>
    <definedName name="_vena_YTDS2_YTDB4_R_FV_42f34b52efc14701904e2bd69b949ebb_765">#REF!</definedName>
    <definedName name="_vena_YTDS2_YTDB4_R_FV_42f34b52efc14701904e2bd69b949ebb_766">#REF!</definedName>
    <definedName name="_vena_YTDS2_YTDB4_R_FV_42f34b52efc14701904e2bd69b949ebb_767">#REF!</definedName>
    <definedName name="_vena_YTDS2_YTDB4_R_FV_42f34b52efc14701904e2bd69b949ebb_768">#REF!</definedName>
    <definedName name="_vena_YTDS2_YTDB4_R_FV_42f34b52efc14701904e2bd69b949ebb_769">#REF!</definedName>
    <definedName name="_vena_YTDS2_YTDB4_R_FV_42f34b52efc14701904e2bd69b949ebb_770">#REF!</definedName>
    <definedName name="_vena_YTDS2_YTDB4_R_FV_42f34b52efc14701904e2bd69b949ebb_771">#REF!</definedName>
    <definedName name="_vena_YTDS2_YTDB4_R_FV_42f34b52efc14701904e2bd69b949ebb_772">#REF!</definedName>
    <definedName name="_vena_YTDS2_YTDB4_R_FV_42f34b52efc14701904e2bd69b949ebb_773">#REF!</definedName>
    <definedName name="_vena_YTDS2_YTDB4_R_FV_42f34b52efc14701904e2bd69b949ebb_774">#REF!</definedName>
    <definedName name="_vena_YTDS2_YTDB4_R_FV_42f34b52efc14701904e2bd69b949ebb_775">#REF!</definedName>
    <definedName name="_vena_YTDS2_YTDB4_R_FV_42f34b52efc14701904e2bd69b949ebb_776">#REF!</definedName>
    <definedName name="_vena_YTDS2_YTDB4_R_FV_42f34b52efc14701904e2bd69b949ebb_777">#REF!</definedName>
    <definedName name="_vena_YTDS2_YTDB4_R_FV_42f34b52efc14701904e2bd69b949ebb_778">#REF!</definedName>
    <definedName name="_vena_YTDS2_YTDB4_R_FV_42f34b52efc14701904e2bd69b949ebb_779">#REF!</definedName>
    <definedName name="_vena_YTDS2_YTDB4_R_FV_42f34b52efc14701904e2bd69b949ebb_780">#REF!</definedName>
    <definedName name="_vena_YTDS2_YTDB4_R_FV_42f34b52efc14701904e2bd69b949ebb_781">#REF!</definedName>
    <definedName name="_vena_YTDS2_YTDB4_R_FV_42f34b52efc14701904e2bd69b949ebb_782">#REF!</definedName>
    <definedName name="_vena_YTDS2_YTDB4_R_FV_42f34b52efc14701904e2bd69b949ebb_783">#REF!</definedName>
    <definedName name="_vena_YTDS2_YTDB4_R_FV_42f34b52efc14701904e2bd69b949ebb_784">#REF!</definedName>
    <definedName name="_vena_YTDS2_YTDB4_R_FV_42f34b52efc14701904e2bd69b949ebb_785">#REF!</definedName>
    <definedName name="_vena_YTDS2_YTDB4_R_FV_42f34b52efc14701904e2bd69b949ebb_786">#REF!</definedName>
    <definedName name="_vena_YTDS2_YTDB4_R_FV_42f34b52efc14701904e2bd69b949ebb_787">#REF!</definedName>
    <definedName name="_vena_YTDS2_YTDB4_R_FV_42f34b52efc14701904e2bd69b949ebb_788">#REF!</definedName>
    <definedName name="_vena_YTDS2_YTDB4_R_FV_42f34b52efc14701904e2bd69b949ebb_789">#REF!</definedName>
    <definedName name="_vena_YTDS2_YTDB4_R_FV_42f34b52efc14701904e2bd69b949ebb_790">#REF!</definedName>
    <definedName name="_vena_YTDS2_YTDB4_R_FV_42f34b52efc14701904e2bd69b949ebb_791">#REF!</definedName>
    <definedName name="_vena_YTDS2_YTDB4_R_FV_42f34b52efc14701904e2bd69b949ebb_792">#REF!</definedName>
    <definedName name="_vena_YTDS2_YTDB4_R_FV_42f34b52efc14701904e2bd69b949ebb_793">#REF!</definedName>
    <definedName name="_vena_YTDS2_YTDB4_R_FV_42f34b52efc14701904e2bd69b949ebb_794">#REF!</definedName>
    <definedName name="_vena_YTDS2_YTDB4_R_FV_42f34b52efc14701904e2bd69b949ebb_795">#REF!</definedName>
    <definedName name="_vena_YTDS2_YTDB4_R_FV_42f34b52efc14701904e2bd69b949ebb_796">#REF!</definedName>
    <definedName name="_vena_YTDS2_YTDB4_R_FV_42f34b52efc14701904e2bd69b949ebb_797">#REF!</definedName>
    <definedName name="_vena_YTDS2_YTDB4_R_FV_42f34b52efc14701904e2bd69b949ebb_798">#REF!</definedName>
    <definedName name="_vena_YTDS2_YTDB4_R_FV_42f34b52efc14701904e2bd69b949ebb_799">#REF!</definedName>
    <definedName name="_vena_YTDS2_YTDB4_R_FV_42f34b52efc14701904e2bd69b949ebb_800">#REF!</definedName>
    <definedName name="_vena_YTDS2_YTDB4_R_FV_42f34b52efc14701904e2bd69b949ebb_801">#REF!</definedName>
    <definedName name="_vena_YTDS2_YTDB4_R_FV_42f34b52efc14701904e2bd69b949ebb_802">#REF!</definedName>
    <definedName name="_vena_YTDS2_YTDB4_R_FV_42f34b52efc14701904e2bd69b949ebb_803">#REF!</definedName>
    <definedName name="_vena_YTDS2_YTDB4_R_FV_42f34b52efc14701904e2bd69b949ebb_804">#REF!</definedName>
    <definedName name="_vena_YTDS2_YTDB4_R_FV_42f34b52efc14701904e2bd69b949ebb_805">#REF!</definedName>
    <definedName name="_vena_YTDS2_YTDB4_R_FV_42f34b52efc14701904e2bd69b949ebb_806">#REF!</definedName>
    <definedName name="_vena_YTDS2_YTDB4_R_FV_42f34b52efc14701904e2bd69b949ebb_807">#REF!</definedName>
    <definedName name="_vena_YTDS2_YTDB4_R_FV_42f34b52efc14701904e2bd69b949ebb_808">#REF!</definedName>
    <definedName name="_vena_YTDS2_YTDB4_R_FV_42f34b52efc14701904e2bd69b949ebb_809">#REF!</definedName>
    <definedName name="_vena_YTDS2_YTDB4_R_FV_42f34b52efc14701904e2bd69b949ebb_810">#REF!</definedName>
    <definedName name="_vena_YTDS2_YTDB4_R_FV_42f34b52efc14701904e2bd69b949ebb_811">#REF!</definedName>
    <definedName name="_vena_YTDS2_YTDB4_R_FV_42f34b52efc14701904e2bd69b949ebb_812">#REF!</definedName>
    <definedName name="_vena_YTDS2_YTDB4_R_FV_42f34b52efc14701904e2bd69b949ebb_813">#REF!</definedName>
    <definedName name="_vena_YTDS2_YTDB4_R_FV_42f34b52efc14701904e2bd69b949ebb_814">#REF!</definedName>
    <definedName name="_vena_YTDS2_YTDB4_R_FV_42f34b52efc14701904e2bd69b949ebb_815">#REF!</definedName>
    <definedName name="_vena_YTDS2_YTDB4_R_FV_42f34b52efc14701904e2bd69b949ebb_816">#REF!</definedName>
    <definedName name="_vena_YTDS2_YTDB4_R_FV_42f34b52efc14701904e2bd69b949ebb_817">#REF!</definedName>
    <definedName name="_vena_YTDS2_YTDB4_R_FV_42f34b52efc14701904e2bd69b949ebb_818">#REF!</definedName>
    <definedName name="_vena_YTDS2_YTDB4_R_FV_42f34b52efc14701904e2bd69b949ebb_819">#REF!</definedName>
    <definedName name="_vena_YTDS2_YTDB4_R_FV_42f34b52efc14701904e2bd69b949ebb_820">#REF!</definedName>
    <definedName name="_vena_YTDS2_YTDB4_R_FV_42f34b52efc14701904e2bd69b949ebb_821">#REF!</definedName>
    <definedName name="_vena_YTDS2_YTDB4_R_FV_42f34b52efc14701904e2bd69b949ebb_822">#REF!</definedName>
    <definedName name="_vena_YTDS2_YTDB4_R_FV_42f34b52efc14701904e2bd69b949ebb_823">#REF!</definedName>
    <definedName name="_vena_YTDS2_YTDB4_R_FV_42f34b52efc14701904e2bd69b949ebb_824">#REF!</definedName>
    <definedName name="_vena_YTDS2_YTDB4_R_FV_42f34b52efc14701904e2bd69b949ebb_825">#REF!</definedName>
    <definedName name="_vena_YTDS2_YTDB4_R_FV_42f34b52efc14701904e2bd69b949ebb_826">#REF!</definedName>
    <definedName name="_vena_YTDS2_YTDB4_R_FV_42f34b52efc14701904e2bd69b949ebb_827">#REF!</definedName>
    <definedName name="_vena_YTDS2_YTDB4_R_FV_42f34b52efc14701904e2bd69b949ebb_828">#REF!</definedName>
    <definedName name="_vena_YTDS2_YTDB4_R_FV_42f34b52efc14701904e2bd69b949ebb_829">#REF!</definedName>
    <definedName name="_vena_YTDS2_YTDB4_R_FV_42f34b52efc14701904e2bd69b949ebb_830">#REF!</definedName>
    <definedName name="_vena_YTDS2_YTDB4_R_FV_42f34b52efc14701904e2bd69b949ebb_831">#REF!</definedName>
    <definedName name="_vena_YTDS2_YTDB4_R_FV_42f34b52efc14701904e2bd69b949ebb_832">#REF!</definedName>
    <definedName name="_vena_YTDS2_YTDB4_R_FV_42f34b52efc14701904e2bd69b949ebb_833">#REF!</definedName>
    <definedName name="_vena_YTDS2_YTDB4_R_FV_42f34b52efc14701904e2bd69b949ebb_834">#REF!</definedName>
    <definedName name="_vena_YTDS2_YTDB4_R_FV_42f34b52efc14701904e2bd69b949ebb_835">#REF!</definedName>
    <definedName name="_vena_YTDS2_YTDB4_R_FV_42f34b52efc14701904e2bd69b949ebb_836">#REF!</definedName>
    <definedName name="_vena_YTDS2_YTDB4_R_FV_42f34b52efc14701904e2bd69b949ebb_837">#REF!</definedName>
    <definedName name="_vena_YTDS2_YTDB4_R_FV_42f34b52efc14701904e2bd69b949ebb_838">#REF!</definedName>
    <definedName name="_vena_YTDS2_YTDB4_R_FV_42f34b52efc14701904e2bd69b949ebb_839">#REF!</definedName>
    <definedName name="_vena_YTDS2_YTDB4_R_FV_42f34b52efc14701904e2bd69b949ebb_840">#REF!</definedName>
    <definedName name="_vena_YTDS2_YTDB4_R_FV_42f34b52efc14701904e2bd69b949ebb_841">#REF!</definedName>
    <definedName name="_vena_YTDS2_YTDB4_R_FV_42f34b52efc14701904e2bd69b949ebb_842">#REF!</definedName>
    <definedName name="_vena_YTDS2_YTDB4_R_FV_42f34b52efc14701904e2bd69b949ebb_843">#REF!</definedName>
    <definedName name="_vena_YTDS2_YTDB4_R_FV_42f34b52efc14701904e2bd69b949ebb_844">#REF!</definedName>
    <definedName name="_vena_YTDS2_YTDB4_R_FV_42f34b52efc14701904e2bd69b949ebb_845">#REF!</definedName>
    <definedName name="_vena_YTDS2_YTDB4_R_FV_42f34b52efc14701904e2bd69b949ebb_846">#REF!</definedName>
    <definedName name="_vena_YTDS2_YTDB4_R_FV_42f34b52efc14701904e2bd69b949ebb_847">#REF!</definedName>
    <definedName name="_vena_YTDS2_YTDB4_R_FV_42f34b52efc14701904e2bd69b949ebb_848">#REF!</definedName>
    <definedName name="_vena_YTDS2_YTDB4_R_FV_42f34b52efc14701904e2bd69b949ebb_849">#REF!</definedName>
    <definedName name="_vena_YTDS2_YTDB4_R_FV_42f34b52efc14701904e2bd69b949ebb_850">#REF!</definedName>
    <definedName name="_vena_YTDS2_YTDB4_R_FV_42f34b52efc14701904e2bd69b949ebb_851">#REF!</definedName>
    <definedName name="_vena_YTDS2_YTDB4_R_FV_42f34b52efc14701904e2bd69b949ebb_852">#REF!</definedName>
    <definedName name="_vena_YTDS2_YTDB4_R_FV_42f34b52efc14701904e2bd69b949ebb_853">#REF!</definedName>
    <definedName name="_vena_YTDS2_YTDB4_R_FV_42f34b52efc14701904e2bd69b949ebb_854">#REF!</definedName>
    <definedName name="_vena_YTDS2_YTDB4_R_FV_42f34b52efc14701904e2bd69b949ebb_855">#REF!</definedName>
    <definedName name="_vena_YTDS2_YTDB4_R_FV_42f34b52efc14701904e2bd69b949ebb_856">#REF!</definedName>
    <definedName name="_vena_YTDS2_YTDB4_R_FV_42f34b52efc14701904e2bd69b949ebb_857">#REF!</definedName>
    <definedName name="_vena_YTDS2_YTDB4_R_FV_42f34b52efc14701904e2bd69b949ebb_858">#REF!</definedName>
    <definedName name="_vena_YTDS2_YTDB4_R_FV_42f34b52efc14701904e2bd69b949ebb_859">#REF!</definedName>
    <definedName name="_vena_YTDS2_YTDB4_R_FV_42f34b52efc14701904e2bd69b949ebb_860">#REF!</definedName>
    <definedName name="_vena_YTDS2_YTDB4_R_FV_42f34b52efc14701904e2bd69b949ebb_861">#REF!</definedName>
    <definedName name="_vena_YTDS2_YTDB4_R_FV_42f34b52efc14701904e2bd69b949ebb_862">#REF!</definedName>
    <definedName name="_vena_YTDS2_YTDB4_R_FV_42f34b52efc14701904e2bd69b949ebb_863">#REF!</definedName>
    <definedName name="_vena_YTDS2_YTDB4_R_FV_42f34b52efc14701904e2bd69b949ebb_864">#REF!</definedName>
    <definedName name="_vena_YTDS2_YTDB4_R_FV_42f34b52efc14701904e2bd69b949ebb_865">#REF!</definedName>
    <definedName name="_vena_YTDS2_YTDB4_R_FV_42f34b52efc14701904e2bd69b949ebb_866">#REF!</definedName>
    <definedName name="_vena_YTDS2_YTDB4_R_FV_42f34b52efc14701904e2bd69b949ebb_867">#REF!</definedName>
    <definedName name="_vena_YTDS2_YTDB4_R_FV_42f34b52efc14701904e2bd69b949ebb_868">#REF!</definedName>
    <definedName name="_vena_YTDS2_YTDB4_R_FV_42f34b52efc14701904e2bd69b949ebb_869">#REF!</definedName>
    <definedName name="_vena_YTDS2_YTDB4_R_FV_42f34b52efc14701904e2bd69b949ebb_870">#REF!</definedName>
    <definedName name="_vena_YTDS2_YTDB4_R_FV_42f34b52efc14701904e2bd69b949ebb_871">#REF!</definedName>
    <definedName name="_vena_YTDS2_YTDB4_R_FV_42f34b52efc14701904e2bd69b949ebb_872">#REF!</definedName>
    <definedName name="_vena_YTDS2_YTDB4_R_FV_42f34b52efc14701904e2bd69b949ebb_873">#REF!</definedName>
    <definedName name="_vena_YTDS2_YTDB4_R_FV_42f34b52efc14701904e2bd69b949ebb_874">#REF!</definedName>
    <definedName name="_vena_YTDS2_YTDB4_R_FV_42f34b52efc14701904e2bd69b949ebb_875">#REF!</definedName>
    <definedName name="_vena_YTDS2_YTDB4_R_FV_42f34b52efc14701904e2bd69b949ebb_876">#REF!</definedName>
    <definedName name="_vena_YTDS2_YTDB4_R_FV_42f34b52efc14701904e2bd69b949ebb_877">#REF!</definedName>
    <definedName name="_vena_YTDS2_YTDB4_R_FV_42f34b52efc14701904e2bd69b949ebb_878">#REF!</definedName>
    <definedName name="_vena_YTDS2_YTDB4_R_FV_42f34b52efc14701904e2bd69b949ebb_879">#REF!</definedName>
    <definedName name="_vena_YTDS2_YTDB4_R_FV_42f34b52efc14701904e2bd69b949ebb_880">#REF!</definedName>
    <definedName name="_vena_YTDS2_YTDB4_R_FV_42f34b52efc14701904e2bd69b949ebb_881">#REF!</definedName>
    <definedName name="_vena_YTDS2_YTDB4_R_FV_42f34b52efc14701904e2bd69b949ebb_882">#REF!</definedName>
    <definedName name="_vena_YTDS2_YTDB4_R_FV_42f34b52efc14701904e2bd69b949ebb_883">#REF!</definedName>
    <definedName name="_vena_YTDS2_YTDB4_R_FV_42f34b52efc14701904e2bd69b949ebb_884">#REF!</definedName>
    <definedName name="_vena_YTDS2_YTDB4_R_FV_42f34b52efc14701904e2bd69b949ebb_885">#REF!</definedName>
    <definedName name="_vena_YTDS2_YTDB4_R_FV_42f34b52efc14701904e2bd69b949ebb_886">#REF!</definedName>
    <definedName name="_vena_YTDS2_YTDB4_R_FV_42f34b52efc14701904e2bd69b949ebb_887">#REF!</definedName>
    <definedName name="_vena_YTDS2_YTDB4_R_FV_42f34b52efc14701904e2bd69b949ebb_888">#REF!</definedName>
    <definedName name="_vena_YTDS2_YTDB4_R_FV_42f34b52efc14701904e2bd69b949ebb_889">#REF!</definedName>
    <definedName name="_vena_YTDS2_YTDB4_R_FV_42f34b52efc14701904e2bd69b949ebb_890">#REF!</definedName>
    <definedName name="_vena_YTDS2_YTDB4_R_FV_42f34b52efc14701904e2bd69b949ebb_891">#REF!</definedName>
    <definedName name="_vena_YTDS2_YTDB4_R_FV_42f34b52efc14701904e2bd69b949ebb_892">#REF!</definedName>
    <definedName name="_vena_YTDS2_YTDB4_R_FV_42f34b52efc14701904e2bd69b949ebb_893">#REF!</definedName>
    <definedName name="_vena_YTDS2_YTDB4_R_FV_42f34b52efc14701904e2bd69b949ebb_894">#REF!</definedName>
    <definedName name="_vena_YTDS2_YTDB4_R_FV_42f34b52efc14701904e2bd69b949ebb_895">#REF!</definedName>
    <definedName name="_vena_YTDS2_YTDB4_R_FV_42f34b52efc14701904e2bd69b949ebb_896">#REF!</definedName>
    <definedName name="_vena_YTDS2_YTDB4_R_FV_42f34b52efc14701904e2bd69b949ebb_897">#REF!</definedName>
    <definedName name="_vena_YTDS2_YTDB4_R_FV_42f34b52efc14701904e2bd69b949ebb_898">#REF!</definedName>
    <definedName name="_vena_YTDS2_YTDB4_R_FV_42f34b52efc14701904e2bd69b949ebb_899">#REF!</definedName>
    <definedName name="_vena_YTDS2_YTDB4_R_FV_42f34b52efc14701904e2bd69b949ebb_900">#REF!</definedName>
    <definedName name="_vena_YTDS2_YTDB4_R_FV_42f34b52efc14701904e2bd69b949ebb_901">#REF!</definedName>
    <definedName name="_vena_YTDS2_YTDB4_R_FV_42f34b52efc14701904e2bd69b949ebb_902">#REF!</definedName>
    <definedName name="_vena_YTDS2_YTDB4_R_FV_42f34b52efc14701904e2bd69b949ebb_903">#REF!</definedName>
    <definedName name="_vena_YTDS2_YTDB4_R_FV_42f34b52efc14701904e2bd69b949ebb_904">#REF!</definedName>
    <definedName name="_vena_YTDS2_YTDB4_R_FV_42f34b52efc14701904e2bd69b949ebb_905">#REF!</definedName>
    <definedName name="_vena_YTDS2_YTDB4_R_FV_42f34b52efc14701904e2bd69b949ebb_906">#REF!</definedName>
    <definedName name="_vena_YTDS2_YTDB4_R_FV_42f34b52efc14701904e2bd69b949ebb_907">#REF!</definedName>
    <definedName name="_vena_YTDS2_YTDB4_R_FV_42f34b52efc14701904e2bd69b949ebb_908">#REF!</definedName>
    <definedName name="_vena_YTDS2_YTDB4_R_FV_42f34b52efc14701904e2bd69b949ebb_909">#REF!</definedName>
    <definedName name="_vena_YTDS2_YTDB4_R_FV_42f34b52efc14701904e2bd69b949ebb_910">#REF!</definedName>
    <definedName name="_vena_YTDS2_YTDB4_R_FV_42f34b52efc14701904e2bd69b949ebb_911">#REF!</definedName>
    <definedName name="_vena_YTDS2_YTDB4_R_FV_42f34b52efc14701904e2bd69b949ebb_912">#REF!</definedName>
    <definedName name="_vena_YTDS2_YTDB4_R_FV_42f34b52efc14701904e2bd69b949ebb_913">#REF!</definedName>
    <definedName name="_vena_YTDS2_YTDB4_R_FV_42f34b52efc14701904e2bd69b949ebb_914">#REF!</definedName>
    <definedName name="_vena_YTDS2_YTDB4_R_FV_42f34b52efc14701904e2bd69b949ebb_915">#REF!</definedName>
    <definedName name="_vena_YTDS2_YTDB4_R_FV_42f34b52efc14701904e2bd69b949ebb_916">#REF!</definedName>
    <definedName name="_wr1" hidden="1">{"Output-3Column",#N/A,FALSE,"Output"}</definedName>
    <definedName name="_wrn1" hidden="1">{"schedule1",#N/A,FALSE,"Sheet1";"schedule2",#N/A,FALSE,"Sheet1";"schedule3",#N/A,FALSE,"Sheet1";"schedule4",#N/A,FALSE,"Sheet1";"schedule5",#N/A,FALSE,"Sheet1";"schedule6",#N/A,FALSE,"Sheet1"}</definedName>
    <definedName name="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X">#REF!</definedName>
    <definedName name="_XX1">#REF!</definedName>
    <definedName name="\0">#REF!</definedName>
    <definedName name="\A">#REF!</definedName>
    <definedName name="\a2">#REF!</definedName>
    <definedName name="\b">#REF!</definedName>
    <definedName name="\C">#REF!</definedName>
    <definedName name="\D">#REF!</definedName>
    <definedName name="\E">#REF!</definedName>
    <definedName name="\F">#REF!</definedName>
    <definedName name="\f2">#REF!</definedName>
    <definedName name="\G">#REF!</definedName>
    <definedName name="\i">#N/A</definedName>
    <definedName name="\l">#N/A</definedName>
    <definedName name="\n">#REF!</definedName>
    <definedName name="\o">#REF!</definedName>
    <definedName name="\p">#REF!</definedName>
    <definedName name="\p3">#REF!</definedName>
    <definedName name="\q">#REF!</definedName>
    <definedName name="\s">#REF!</definedName>
    <definedName name="\T">#REF!</definedName>
    <definedName name="\u">#REF!</definedName>
    <definedName name="\V">#REF!</definedName>
    <definedName name="\W">#REF!</definedName>
    <definedName name="\x">#REF!</definedName>
    <definedName name="\Z">#REF!</definedName>
    <definedName name="A">#REF!</definedName>
    <definedName name="A_P_TURN_NUMBER">#REF!</definedName>
    <definedName name="a\">#REF!</definedName>
    <definedName name="AA">#REF!</definedName>
    <definedName name="aa.2" hidden="1">{#N/A,#N/A,FALSE,"Cashflow Analysis";#N/A,#N/A,FALSE,"Sensitivity Analysis";#N/A,#N/A,FALSE,"PV";#N/A,#N/A,FALSE,"Pro Forma"}</definedName>
    <definedName name="aa\">#REF!</definedName>
    <definedName name="aaa">#REF!</definedName>
    <definedName name="AAA_DOCTOPS" hidden="1">"AAA_SET"</definedName>
    <definedName name="AAA_duser" hidden="1">"OFF"</definedName>
    <definedName name="AAAA">#REF!</definedName>
    <definedName name="aaaaaaa" hidden="1">{"Outflow 1",#N/A,FALSE,"Outflows-Inflows";"Outflow 2",#N/A,FALSE,"Outflows-Inflows";"Inflow 1",#N/A,FALSE,"Outflows-Inflows";"Inflow 2",#N/A,FALSE,"Outflows-Inflows"}</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ndI_IIp_fyXVII_CC">#REF!</definedName>
    <definedName name="AArNo">#REF!</definedName>
    <definedName name="aas">#REF!</definedName>
    <definedName name="aasdfa" hidden="1">{"rtn",#N/A,FALSE,"RTN";"tables",#N/A,FALSE,"RTN";"cf",#N/A,FALSE,"CF";"stats",#N/A,FALSE,"Stats";"prop",#N/A,FALSE,"Prop"}</definedName>
    <definedName name="aasfa">#REF!</definedName>
    <definedName name="aav">#REF!</definedName>
    <definedName name="aavabs">#REF!</definedName>
    <definedName name="aavcoi">#REF!</definedName>
    <definedName name="aavres">#REF!</definedName>
    <definedName name="abovefoundationinflationfactor">#REF!</definedName>
    <definedName name="abovefounddiscount">#REF!</definedName>
    <definedName name="abs">#REF!</definedName>
    <definedName name="absdisc">#REF!</definedName>
    <definedName name="absorption">#REF!</definedName>
    <definedName name="absorption2">#REF!</definedName>
    <definedName name="absorption3">#REF!</definedName>
    <definedName name="abstable">#REF!</definedName>
    <definedName name="ac">#REF!</definedName>
    <definedName name="AC_1">#REF!</definedName>
    <definedName name="AC_2">#REF!</definedName>
    <definedName name="AC_3">#REF!</definedName>
    <definedName name="ACA_HS_Allocation">#REF!</definedName>
    <definedName name="ACACIA">#N/A</definedName>
    <definedName name="Academy_Allocation">#REF!</definedName>
    <definedName name="AcadYr1">#REF!</definedName>
    <definedName name="accdepr">#REF!</definedName>
    <definedName name="accdepr1">#REF!</definedName>
    <definedName name="Access_Button" hidden="1">"Loan_Front_End_Input_List"</definedName>
    <definedName name="AccessDatabase" hidden="1">"C:\My Documents\DAVE\MODELS\Cash at Risk\Loan Front End.mdb"</definedName>
    <definedName name="ACCF">#REF!</definedName>
    <definedName name="Account_17593">#REF!</definedName>
    <definedName name="Accounting">#REF!</definedName>
    <definedName name="ACCOUNTNAME_COL2">#REF!</definedName>
    <definedName name="AccrualPercentage">#REF!</definedName>
    <definedName name="AccrualPercentageBenefits">#REF!</definedName>
    <definedName name="AccrualPercentageWages">#REF!</definedName>
    <definedName name="accrued">#REF!</definedName>
    <definedName name="Accrued_Interest_Rate">#REF!</definedName>
    <definedName name="accrued_n">#REF!</definedName>
    <definedName name="accrued_r">#REF!</definedName>
    <definedName name="accrued2">#REF!</definedName>
    <definedName name="accruedc">#REF!</definedName>
    <definedName name="AccruedSalaryCY">#REF!</definedName>
    <definedName name="AccruedSalaryNY">#REF!</definedName>
    <definedName name="accruedtx">#REF!</definedName>
    <definedName name="ACCT">#REF!</definedName>
    <definedName name="acctrec">#REF!</definedName>
    <definedName name="Accum_Computers">#REF!</definedName>
    <definedName name="Accum_Computers_Classroom">#REF!</definedName>
    <definedName name="Accum_depr_computers_Clsrm">#REF!</definedName>
    <definedName name="Accum_FFE">#REF!</definedName>
    <definedName name="Accum_FFE_Classroom">#REF!</definedName>
    <definedName name="Accum_lease_improvements">#REF!</definedName>
    <definedName name="Accum_Other_operating_assets">#REF!</definedName>
    <definedName name="ACINV">#N/A</definedName>
    <definedName name="ACNLDL">#N/A</definedName>
    <definedName name="ACQ_MODEL">#REF!</definedName>
    <definedName name="ACQUISITION">#REF!</definedName>
    <definedName name="acreage">#REF!</definedName>
    <definedName name="acres">#REF!</definedName>
    <definedName name="active">#REF!</definedName>
    <definedName name="ActMap">#REF!</definedName>
    <definedName name="actturns">#REF!</definedName>
    <definedName name="Actual_Additional_.25_Discretionary_Revenue">#REF!</definedName>
    <definedName name="ActualNumberOfPayments" localSheetId="4">IFERROR(IF(LoanIsGood,IF(PaymentsPerYear=1,1,MATCH(0.01,End_Bal,-1)+1)),"")</definedName>
    <definedName name="ActualNumberOfPayments" localSheetId="2">IFERROR(IF(LoanIsGood,IF(PaymentsPerYear=1,1,MATCH(0.01,End_Bal,-1)+1)),"")</definedName>
    <definedName name="ActualNumberOfPayments" localSheetId="1">IFERROR(IF(LoanIsGood,IF(PaymentsPerYear=1,1,MATCH(0.01,End_Bal,-1)+1)),"")</definedName>
    <definedName name="ActualNumberOfPayments" localSheetId="5">IFERROR(IF(LoanIsGood,IF(PaymentsPerYear=1,1,MATCH(0.01,End_Bal,-1)+1)),"")</definedName>
    <definedName name="ActualNumberOfPayments" localSheetId="8">IFERROR(IF(LoanIsGood,IF(PaymentsPerYear=1,1,MATCH(0.01,End_Bal,-1)+1)),"")</definedName>
    <definedName name="ActualNumberOfPayments" localSheetId="3">IFERROR(IF(LoanIsGood,IF(PaymentsPerYear=1,1,MATCH(0.01,End_Bal,-1)+1)),"")</definedName>
    <definedName name="ActualNumberOfPayments">IFERROR(IF(LoanIsGood,IF(PaymentsPerYear=1,1,MATCH(0.01,End_Bal,-1)+1)),"")</definedName>
    <definedName name="ACwvu.allocations.">#REF!</definedName>
    <definedName name="ACwvu.annual._.hotel.">#REF!</definedName>
    <definedName name="ACwvu.bottom._.line.">#REF!</definedName>
    <definedName name="ACwvu.cash._.flow.">#REF!</definedName>
    <definedName name="ACwvu.combo.">#REF!</definedName>
    <definedName name="ACwvu.full.">#REF!</definedName>
    <definedName name="ACwvu.offsite.">#REF!</definedName>
    <definedName name="ACwvu.onsite.">#REF!</definedName>
    <definedName name="AD">#N/A</definedName>
    <definedName name="ADA">#REF!</definedName>
    <definedName name="ADA_1">#REF!</definedName>
    <definedName name="ADA_RSED1">#REF!</definedName>
    <definedName name="ADA_RSED2">#REF!</definedName>
    <definedName name="ADA_Split">#REF!</definedName>
    <definedName name="ADAHistory">#REF!</definedName>
    <definedName name="ADALook2">#REF!</definedName>
    <definedName name="ADAYear1">#REF!</definedName>
    <definedName name="ADAYear2" localSheetId="2">#REF!</definedName>
    <definedName name="ADAYear2" localSheetId="1">#REF!</definedName>
    <definedName name="ADAYear2">#REF!</definedName>
    <definedName name="ADAYear3" localSheetId="2">#REF!</definedName>
    <definedName name="ADAYear3" localSheetId="1">#REF!</definedName>
    <definedName name="ADAYear3">#REF!</definedName>
    <definedName name="ADD">#REF!</definedName>
    <definedName name="Add_On_FTE">#REF!</definedName>
    <definedName name="Add_Ons">#REF!</definedName>
    <definedName name="Add_Ons2">#REF!</definedName>
    <definedName name="Additional_Fundrasing">#REF!</definedName>
    <definedName name="ADDITIONAL_TRADES">#REF!</definedName>
    <definedName name="AddLines">#REF!</definedName>
    <definedName name="ADDPER">#REF!</definedName>
    <definedName name="Address">#REF!</definedName>
    <definedName name="adele">#REF!</definedName>
    <definedName name="adf" localSheetId="4" hidden="1">{#N/A,#N/A,FALSE,"SCHEDULE G"}</definedName>
    <definedName name="adf" localSheetId="2" hidden="1">{#N/A,#N/A,FALSE,"SCHEDULE G"}</definedName>
    <definedName name="adf" localSheetId="1" hidden="1">{#N/A,#N/A,FALSE,"SCHEDULE G"}</definedName>
    <definedName name="adf" localSheetId="5" hidden="1">{#N/A,#N/A,FALSE,"SCHEDULE G"}</definedName>
    <definedName name="adf" localSheetId="8" hidden="1">{#N/A,#N/A,FALSE,"SCHEDULE G"}</definedName>
    <definedName name="adf" localSheetId="3" hidden="1">{#N/A,#N/A,FALSE,"SCHEDULE G"}</definedName>
    <definedName name="adf" hidden="1">{#N/A,#N/A,FALSE,"SCHEDULE G"}</definedName>
    <definedName name="ADJ">#REF!</definedName>
    <definedName name="adjfac">#REF!</definedName>
    <definedName name="ADJUSTMENT">#REF!</definedName>
    <definedName name="Admin">0.1</definedName>
    <definedName name="admin_benefits_percentage">#REF!</definedName>
    <definedName name="admin_payroll_taxes_percentage">#REF!</definedName>
    <definedName name="admin_retirement_percentage">#REF!</definedName>
    <definedName name="Admin1960">#REF!</definedName>
    <definedName name="Admin1991">#REF!</definedName>
    <definedName name="Admin333">#REF!</definedName>
    <definedName name="ADMINISTRATIVE">#REF!</definedName>
    <definedName name="AdminSalaryIncrease">#REF!</definedName>
    <definedName name="AdminSalaryIncreaserev">#REF!</definedName>
    <definedName name="AdminSBX">#REF!</definedName>
    <definedName name="adrienne">#REF!</definedName>
    <definedName name="ADULT">#REF!</definedName>
    <definedName name="ADULT1000">#REF!</definedName>
    <definedName name="ADULT11">#REF!</definedName>
    <definedName name="ADULT12">#REF!</definedName>
    <definedName name="ADULT13">#REF!</definedName>
    <definedName name="ADULT14">#REF!</definedName>
    <definedName name="ADULT15">#REF!</definedName>
    <definedName name="ADULT16">#REF!</definedName>
    <definedName name="ADULT17">#REF!</definedName>
    <definedName name="ADULT18">#REF!</definedName>
    <definedName name="ADULT19">#REF!</definedName>
    <definedName name="ADULT2000">#REF!</definedName>
    <definedName name="ADULT21">#REF!</definedName>
    <definedName name="ADULT22">#REF!</definedName>
    <definedName name="ADULT23">#REF!</definedName>
    <definedName name="ADULT24">#REF!</definedName>
    <definedName name="ADULT25">#REF!</definedName>
    <definedName name="ADULT26">#REF!</definedName>
    <definedName name="ADULT27">#REF!</definedName>
    <definedName name="ADULT3000">#REF!</definedName>
    <definedName name="ADULT31">#REF!</definedName>
    <definedName name="ADULT32">#REF!</definedName>
    <definedName name="ADULT33">#REF!</definedName>
    <definedName name="ADULT34">#REF!</definedName>
    <definedName name="ADULT35">#REF!</definedName>
    <definedName name="ADULT36">#REF!</definedName>
    <definedName name="ADULT37">#REF!</definedName>
    <definedName name="ADULT38">#REF!</definedName>
    <definedName name="ADULT39">#REF!</definedName>
    <definedName name="ADULT4000">#REF!</definedName>
    <definedName name="ADULT41">#REF!</definedName>
    <definedName name="ADULT42">#REF!</definedName>
    <definedName name="ADULT44">#REF!</definedName>
    <definedName name="ADULT45">#REF!</definedName>
    <definedName name="ADULT46">#REF!</definedName>
    <definedName name="ADULT47">#REF!</definedName>
    <definedName name="ADULT5000">#REF!</definedName>
    <definedName name="ADULT51">#REF!</definedName>
    <definedName name="ADULT52">#REF!</definedName>
    <definedName name="ADULT53">#REF!</definedName>
    <definedName name="ADULT54">#REF!</definedName>
    <definedName name="ADULT55">#REF!</definedName>
    <definedName name="ADULT56">#REF!</definedName>
    <definedName name="ADULT57">#REF!</definedName>
    <definedName name="ADULT58">#REF!</definedName>
    <definedName name="ADULT59">#REF!</definedName>
    <definedName name="ADULT6000">#REF!</definedName>
    <definedName name="ADULT61">#REF!</definedName>
    <definedName name="ADULT62">#REF!</definedName>
    <definedName name="ADULT63">#REF!</definedName>
    <definedName name="ADULT64">#REF!</definedName>
    <definedName name="ADULT65">#REF!</definedName>
    <definedName name="ADULT7000">#REF!</definedName>
    <definedName name="ADULT71">#REF!</definedName>
    <definedName name="ADULT72">#REF!</definedName>
    <definedName name="ADULT73">#REF!</definedName>
    <definedName name="ADULT76">#REF!</definedName>
    <definedName name="ADULT77">#REF!</definedName>
    <definedName name="ADULT79">#REF!</definedName>
    <definedName name="ADULTDESBAL">#REF!</definedName>
    <definedName name="ADULTECONUNCERT">#REF!</definedName>
    <definedName name="ADULTPREPEXP">#REF!</definedName>
    <definedName name="ADULTRESANTENDBAL">#REF!</definedName>
    <definedName name="ADULTRSV4PTNEQ">#REF!</definedName>
    <definedName name="ADULTRVLVNGFD">#REF!</definedName>
    <definedName name="ADULTTOTAL">#REF!</definedName>
    <definedName name="ADULTUNDESBAL">#REF!</definedName>
    <definedName name="Adv">#REF!</definedName>
    <definedName name="Advance">#REF!</definedName>
    <definedName name="ADVERT">#N/A</definedName>
    <definedName name="Advisory">#REF!</definedName>
    <definedName name="ae" localSheetId="4" hidden="1">{"CF",#N/A,FALSE,"Cash Flow";"RET",#N/A,FALSE,"Returns";"NPV",#N/A,FALSE,"Values";"ASMPT",#N/A,FALSE,"Assumptions"}</definedName>
    <definedName name="ae" localSheetId="2" hidden="1">{"CF",#N/A,FALSE,"Cash Flow";"RET",#N/A,FALSE,"Returns";"NPV",#N/A,FALSE,"Values";"ASMPT",#N/A,FALSE,"Assumptions"}</definedName>
    <definedName name="ae" localSheetId="1" hidden="1">{"CF",#N/A,FALSE,"Cash Flow";"RET",#N/A,FALSE,"Returns";"NPV",#N/A,FALSE,"Values";"ASMPT",#N/A,FALSE,"Assumptions"}</definedName>
    <definedName name="ae" localSheetId="5" hidden="1">{"CF",#N/A,FALSE,"Cash Flow";"RET",#N/A,FALSE,"Returns";"NPV",#N/A,FALSE,"Values";"ASMPT",#N/A,FALSE,"Assumptions"}</definedName>
    <definedName name="ae" localSheetId="8" hidden="1">{"CF",#N/A,FALSE,"Cash Flow";"RET",#N/A,FALSE,"Returns";"NPV",#N/A,FALSE,"Values";"ASMPT",#N/A,FALSE,"Assumptions"}</definedName>
    <definedName name="ae" localSheetId="3" hidden="1">{"CF",#N/A,FALSE,"Cash Flow";"RET",#N/A,FALSE,"Returns";"NPV",#N/A,FALSE,"Values";"ASMPT",#N/A,FALSE,"Assumptions"}</definedName>
    <definedName name="ae" hidden="1">{"CF",#N/A,FALSE,"Cash Flow";"RET",#N/A,FALSE,"Returns";"NPV",#N/A,FALSE,"Values";"ASMPT",#N/A,FALSE,"Assumptions"}</definedName>
    <definedName name="AEFEES">#REF!</definedName>
    <definedName name="aergafg">#REF!</definedName>
    <definedName name="af" localSheetId="4">{#N/A,#N/A,FALSE,"Summation";#N/A,#N/A,FALSE,"BSA";#N/A,#N/A,FALSE,"Detail1";#N/A,#N/A,FALSE,"Detail2";#N/A,#N/A,FALSE,"Detail3";#N/A,#N/A,FALSE,"WFTE_Summary";#N/A,#N/A,FALSE,"Funded_WFTE";#N/A,#N/A,FALSE,"PYADJ96"}</definedName>
    <definedName name="af" localSheetId="2">{#N/A,#N/A,FALSE,"Summation";#N/A,#N/A,FALSE,"BSA";#N/A,#N/A,FALSE,"Detail1";#N/A,#N/A,FALSE,"Detail2";#N/A,#N/A,FALSE,"Detail3";#N/A,#N/A,FALSE,"WFTE_Summary";#N/A,#N/A,FALSE,"Funded_WFTE";#N/A,#N/A,FALSE,"PYADJ96"}</definedName>
    <definedName name="af" localSheetId="1" hidden="1">{#N/A,#N/A,FALSE,"Summation";#N/A,#N/A,FALSE,"BSA";#N/A,#N/A,FALSE,"Detail1";#N/A,#N/A,FALSE,"Detail2";#N/A,#N/A,FALSE,"Detail3";#N/A,#N/A,FALSE,"WFTE_Summary";#N/A,#N/A,FALSE,"Funded_WFTE";#N/A,#N/A,FALSE,"PYADJ96"}</definedName>
    <definedName name="af" localSheetId="5">{#N/A,#N/A,FALSE,"Summation";#N/A,#N/A,FALSE,"BSA";#N/A,#N/A,FALSE,"Detail1";#N/A,#N/A,FALSE,"Detail2";#N/A,#N/A,FALSE,"Detail3";#N/A,#N/A,FALSE,"WFTE_Summary";#N/A,#N/A,FALSE,"Funded_WFTE";#N/A,#N/A,FALSE,"PYADJ96"}</definedName>
    <definedName name="af" localSheetId="8">{#N/A,#N/A,FALSE,"Summation";#N/A,#N/A,FALSE,"BSA";#N/A,#N/A,FALSE,"Detail1";#N/A,#N/A,FALSE,"Detail2";#N/A,#N/A,FALSE,"Detail3";#N/A,#N/A,FALSE,"WFTE_Summary";#N/A,#N/A,FALSE,"Funded_WFTE";#N/A,#N/A,FALSE,"PYADJ96"}</definedName>
    <definedName name="af" localSheetId="3" hidden="1">{#N/A,#N/A,FALSE,"Summation";#N/A,#N/A,FALSE,"BSA";#N/A,#N/A,FALSE,"Detail1";#N/A,#N/A,FALSE,"Detail2";#N/A,#N/A,FALSE,"Detail3";#N/A,#N/A,FALSE,"WFTE_Summary";#N/A,#N/A,FALSE,"Funded_WFTE";#N/A,#N/A,FALSE,"PYADJ96"}</definedName>
    <definedName name="af">{#N/A,#N/A,FALSE,"Summation";#N/A,#N/A,FALSE,"BSA";#N/A,#N/A,FALSE,"Detail1";#N/A,#N/A,FALSE,"Detail2";#N/A,#N/A,FALSE,"Detail3";#N/A,#N/A,FALSE,"WFTE_Summary";#N/A,#N/A,FALSE,"Funded_WFTE";#N/A,#N/A,FALSE,"PYADJ96"}</definedName>
    <definedName name="AffordPercAMI">#REF!</definedName>
    <definedName name="AffordPercHousing">#REF!</definedName>
    <definedName name="AffordPercUnits">#REF!</definedName>
    <definedName name="afsdfasd">#REF!</definedName>
    <definedName name="aftercare">#REF!</definedName>
    <definedName name="aftercare2">#REF!</definedName>
    <definedName name="aftercare3">#REF!</definedName>
    <definedName name="AfterSchoolStudents">#REF!</definedName>
    <definedName name="agf" localSheetId="4" hidden="1">{#N/A,#N/A,FALSE,"ExecSum";#N/A,#N/A,FALSE,"total summary";#N/A,#N/A,FALSE,"Budget";#N/A,#N/A,FALSE,"CashFlow"}</definedName>
    <definedName name="agf" localSheetId="2" hidden="1">{#N/A,#N/A,FALSE,"ExecSum";#N/A,#N/A,FALSE,"total summary";#N/A,#N/A,FALSE,"Budget";#N/A,#N/A,FALSE,"CashFlow"}</definedName>
    <definedName name="agf" localSheetId="1" hidden="1">{#N/A,#N/A,FALSE,"ExecSum";#N/A,#N/A,FALSE,"total summary";#N/A,#N/A,FALSE,"Budget";#N/A,#N/A,FALSE,"CashFlow"}</definedName>
    <definedName name="agf" localSheetId="5" hidden="1">{#N/A,#N/A,FALSE,"ExecSum";#N/A,#N/A,FALSE,"total summary";#N/A,#N/A,FALSE,"Budget";#N/A,#N/A,FALSE,"CashFlow"}</definedName>
    <definedName name="agf" localSheetId="8" hidden="1">{#N/A,#N/A,FALSE,"ExecSum";#N/A,#N/A,FALSE,"total summary";#N/A,#N/A,FALSE,"Budget";#N/A,#N/A,FALSE,"CashFlow"}</definedName>
    <definedName name="agf" localSheetId="3" hidden="1">{#N/A,#N/A,FALSE,"ExecSum";#N/A,#N/A,FALSE,"total summary";#N/A,#N/A,FALSE,"Budget";#N/A,#N/A,FALSE,"CashFlow"}</definedName>
    <definedName name="agf" hidden="1">{#N/A,#N/A,FALSE,"ExecSum";#N/A,#N/A,FALSE,"total summary";#N/A,#N/A,FALSE,"Budget";#N/A,#N/A,FALSE,"CashFlow"}</definedName>
    <definedName name="agg_to_district_level_110118">#REF!</definedName>
    <definedName name="aglfprem">#REF!</definedName>
    <definedName name="ags">#REF!</definedName>
    <definedName name="aic">#REF!</definedName>
    <definedName name="aic_n">#REF!</definedName>
    <definedName name="aic_r">#REF!</definedName>
    <definedName name="aicc">#REF!</definedName>
    <definedName name="aictx">#REF!</definedName>
    <definedName name="Alabama">#REF!</definedName>
    <definedName name="Alachua">#REF!</definedName>
    <definedName name="Alaska">#REF!</definedName>
    <definedName name="aldkjf">#REF!</definedName>
    <definedName name="alkdsdkdsfsldkf">#REF!</definedName>
    <definedName name="ALL">#REF!</definedName>
    <definedName name="all_in">#REF!</definedName>
    <definedName name="ALL_OTHER_REVENUE_BASE_YR">#REF!</definedName>
    <definedName name="ALL_OTHER_REVENUE_PERCENT_YR_1">#REF!</definedName>
    <definedName name="ALL_OTHER_REVENUE_PERCENT_YR_2">#REF!</definedName>
    <definedName name="ALL_OTHER_REVENUE_PERCENT_YR_3">#REF!</definedName>
    <definedName name="ALL_OTHER_REVENUE_PERCENT_YR_4">#REF!</definedName>
    <definedName name="Allocate_ADASplit">#REF!</definedName>
    <definedName name="Allocate_EnrollmentSplit">#REF!</definedName>
    <definedName name="Allocate_LCFFSplit">#REF!</definedName>
    <definedName name="Allocate_manualpercent">#REF!</definedName>
    <definedName name="Allocate_StateFedRevSplit">#REF!</definedName>
    <definedName name="Allocate_TotRevSplit">#REF!</definedName>
    <definedName name="AllowFundHlook">#REF!</definedName>
    <definedName name="AllowProg">#REF!</definedName>
    <definedName name="ALTHeading">#REF!,#REF!,#REF!,#REF!</definedName>
    <definedName name="AMENITIES">#REF!</definedName>
    <definedName name="American_Samoa">#REF!</definedName>
    <definedName name="AMILevel">#REF!</definedName>
    <definedName name="amo">#REF!</definedName>
    <definedName name="Amo_Print">#REF!</definedName>
    <definedName name="amort1">#REF!</definedName>
    <definedName name="Amortization">#REF!</definedName>
    <definedName name="AmortTable">#REF!</definedName>
    <definedName name="AmortYears">#REF!</definedName>
    <definedName name="Amount">#REF!</definedName>
    <definedName name="AmountChange">#REF!</definedName>
    <definedName name="AMP_Allocation">#REF!</definedName>
    <definedName name="AMP_HS_Allocation">#REF!</definedName>
    <definedName name="amr">#REF!</definedName>
    <definedName name="Amusement">#REF!</definedName>
    <definedName name="An" hidden="1">{"eca",#N/A,TRUE,"E-C1 (R)";"ecb",#N/A,TRUE,"E-C1 (R)"}</definedName>
    <definedName name="An_2" hidden="1">{"eca",#N/A,TRUE,"E-C1 (R)";"ecb",#N/A,TRUE,"E-C1 (R)"}</definedName>
    <definedName name="ANAdj">#REF!</definedName>
    <definedName name="ANAdjustment">#REF!</definedName>
    <definedName name="ANALYSIS">#REF!</definedName>
    <definedName name="AnalysisStartDate">#REF!</definedName>
    <definedName name="anarely">#REF!</definedName>
    <definedName name="Anchors">#REF!</definedName>
    <definedName name="andrew" hidden="1">{"eca",#N/A,TRUE,"E-C1 (R)";"ecb",#N/A,TRUE,"E-C1 (R)"}</definedName>
    <definedName name="andrew2" hidden="1">{"eca",#N/A,TRUE,"E-C1 (R)";"ecb",#N/A,TRUE,"E-C1 (R)"}</definedName>
    <definedName name="Ann_TILC_Anchor">#REF!</definedName>
    <definedName name="AnnaulPartnerCFStatementRows">#REF!</definedName>
    <definedName name="annloc">#REF!</definedName>
    <definedName name="Annual_interest_rate">#REF!</definedName>
    <definedName name="Annual_Pay_Total_Yr1">#REF!</definedName>
    <definedName name="Annual_Pay_Total_yr2">#REF!</definedName>
    <definedName name="Annual_Pay_Total_Yr3">#REF!</definedName>
    <definedName name="Annual_Pay_Total_Yr4">#REF!</definedName>
    <definedName name="Annual_Pay_Total_Yr5">#REF!</definedName>
    <definedName name="Annual_Pay_Total_Yr6">#REF!</definedName>
    <definedName name="AnnualBreakfasts">#REF!</definedName>
    <definedName name="AnnualCFSaveValues">#REF!</definedName>
    <definedName name="AnnualLunches">#REF!</definedName>
    <definedName name="AnnualPartnerCFHideRowEnd">#REF!</definedName>
    <definedName name="AnnualPartnerCFHideRowStart">#REF!</definedName>
    <definedName name="AnnualPartnerCFRowCount">#REF!</definedName>
    <definedName name="AnnualRentIncr1">#REF!</definedName>
    <definedName name="AnnualRentIncr2">#REF!</definedName>
    <definedName name="AnnualStatementRowHideCount">#REF!</definedName>
    <definedName name="AnnualStatementRowHideEnd">#REF!</definedName>
    <definedName name="AnnualStatementRowHideStart">#REF!</definedName>
    <definedName name="annumbersexcept2004">#REF!</definedName>
    <definedName name="ANO">#REF!</definedName>
    <definedName name="anscount" hidden="1">1</definedName>
    <definedName name="API_2009">#REF!</definedName>
    <definedName name="API_2010">#REF!</definedName>
    <definedName name="API_2011">#REF!</definedName>
    <definedName name="API_2011A">#REF!</definedName>
    <definedName name="APIA_2009">#REF!</definedName>
    <definedName name="apj">#REF!</definedName>
    <definedName name="APM">#REF!</definedName>
    <definedName name="APN">#REF!</definedName>
    <definedName name="Approached">#REF!</definedName>
    <definedName name="ApprovingEntity">#REF!,#REF!,#REF!,#REF!</definedName>
    <definedName name="april">#REF!</definedName>
    <definedName name="AptaFIBExpense">#REF!</definedName>
    <definedName name="AptaFIBRevenue">#REF!</definedName>
    <definedName name="AptaPYExpenditure">#REF!</definedName>
    <definedName name="AptaPYRevenue">#REF!</definedName>
    <definedName name="ARA_Threshold">#REF!</definedName>
    <definedName name="arb">#REF!</definedName>
    <definedName name="arb_n">#REF!</definedName>
    <definedName name="arb_r">#REF!</definedName>
    <definedName name="arbc">#REF!</definedName>
    <definedName name="arbtax">#REF!</definedName>
    <definedName name="ARCH">#REF!</definedName>
    <definedName name="Area">#REF!</definedName>
    <definedName name="AREA.A1">#REF!</definedName>
    <definedName name="AREA.A2">#REF!</definedName>
    <definedName name="AREA.A3">#REF!</definedName>
    <definedName name="AREA.A4">#REF!</definedName>
    <definedName name="AREA.A5">#REF!</definedName>
    <definedName name="AREA.A6">#REF!</definedName>
    <definedName name="AREA.A7">#REF!</definedName>
    <definedName name="AREA.A8">#REF!</definedName>
    <definedName name="AREA.A9">#REF!</definedName>
    <definedName name="AREA.B1">#REF!</definedName>
    <definedName name="AREA.B2">#REF!</definedName>
    <definedName name="AREA.B3">#REF!</definedName>
    <definedName name="AREA.B4">#REF!</definedName>
    <definedName name="AREA.B5">#REF!</definedName>
    <definedName name="AREA.B6">#REF!</definedName>
    <definedName name="AREA.B7">#REF!</definedName>
    <definedName name="AREA.B8">#REF!</definedName>
    <definedName name="AREA.C1">#REF!</definedName>
    <definedName name="AREA.C2">#REF!</definedName>
    <definedName name="AREA.C3">#REF!</definedName>
    <definedName name="AREA.C4">#REF!</definedName>
    <definedName name="AREA10">#REF!</definedName>
    <definedName name="AREA11">#REF!</definedName>
    <definedName name="AREA12">#REF!</definedName>
    <definedName name="AREA13">#REF!</definedName>
    <definedName name="AREA14">#REF!</definedName>
    <definedName name="AREA15">#REF!</definedName>
    <definedName name="AREA16">#REF!</definedName>
    <definedName name="AREA17">#REF!</definedName>
    <definedName name="AREA7">#REF!</definedName>
    <definedName name="AREA8">#REF!</definedName>
    <definedName name="AREA9">#REF!</definedName>
    <definedName name="ARGUS1">#REF!</definedName>
    <definedName name="ARGUS2">#REF!</definedName>
    <definedName name="Arizona">#REF!</definedName>
    <definedName name="Arkansas">#REF!</definedName>
    <definedName name="AROWS">#REF!</definedName>
    <definedName name="ARP_Threshold">#REF!</definedName>
    <definedName name="ARRA_BASE_YR">#REF!</definedName>
    <definedName name="ARRA_PRIOR_YR">#REF!</definedName>
    <definedName name="ARRA_State_Fiscal_Stabilization">#REF!</definedName>
    <definedName name="ARRA_YR_1">#REF!</definedName>
    <definedName name="as">#REF!</definedName>
    <definedName name="As_of_Date">#REF!</definedName>
    <definedName name="AS2DocOpenMode">"AS2DocumentEdit"</definedName>
    <definedName name="asd" hidden="1">{"t1",#N/A,FALSE,"Sheet1";"t2",#N/A,FALSE,"Sheet1";"t3",#N/A,FALSE,"Sheet1";"t4",#N/A,FALSE,"Sheet1"}</definedName>
    <definedName name="asdasd">#N/A</definedName>
    <definedName name="asdf">#REF!</definedName>
    <definedName name="asdf2" hidden="1">{#N/A,#N/A,FALSE,"OperatingAssumptions"}</definedName>
    <definedName name="asdf22" hidden="1">{#N/A,#N/A,FALSE,"OperatingAssumptions"}</definedName>
    <definedName name="asdf3" hidden="1">{#N/A,#N/A,FALSE,"LoanAssumptions"}</definedName>
    <definedName name="asdf33" hidden="1">{#N/A,#N/A,FALSE,"LoanAssumptions"}</definedName>
    <definedName name="asdf5" hidden="1">{"MonthlyRentRoll",#N/A,FALSE,"RentRoll"}</definedName>
    <definedName name="asdf55" hidden="1">{"MonthlyRentRoll",#N/A,FALSE,"RentRoll"}</definedName>
    <definedName name="asdf7" hidden="1">{#N/A,#N/A,TRUE,"Summary";"AnnualRentRoll",#N/A,TRUE,"RentRoll";#N/A,#N/A,TRUE,"ExitStratigy";#N/A,#N/A,TRUE,"OperatingAssumptions"}</definedName>
    <definedName name="asdf77" hidden="1">{#N/A,#N/A,TRUE,"Summary";"AnnualRentRoll",#N/A,TRUE,"RentRoll";#N/A,#N/A,TRUE,"ExitStratigy";#N/A,#N/A,TRUE,"OperatingAssumptions"}</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hidden="1">{"rtn",#N/A,FALSE,"RTN";"tables",#N/A,FALSE,"RTN";"cf",#N/A,FALSE,"CF";"stats",#N/A,FALSE,"Stats";"prop",#N/A,FALSE,"Prop"}</definedName>
    <definedName name="asdfasdfa">#REF!</definedName>
    <definedName name="asdfsdf">#REF!</definedName>
    <definedName name="asdfsdfsdf" localSheetId="4" hidden="1">{#N/A,#N/A,FALSE,"Expense Comparison"}</definedName>
    <definedName name="asdfsdfsdf" localSheetId="2" hidden="1">{#N/A,#N/A,FALSE,"Expense Comparison"}</definedName>
    <definedName name="asdfsdfsdf" localSheetId="1" hidden="1">{#N/A,#N/A,FALSE,"Expense Comparison"}</definedName>
    <definedName name="asdfsdfsdf" localSheetId="5" hidden="1">{#N/A,#N/A,FALSE,"Expense Comparison"}</definedName>
    <definedName name="asdfsdfsdf" localSheetId="8" hidden="1">{#N/A,#N/A,FALSE,"Expense Comparison"}</definedName>
    <definedName name="asdfsdfsdf" localSheetId="3" hidden="1">{#N/A,#N/A,FALSE,"Expense Comparison"}</definedName>
    <definedName name="asdfsdfsdf" hidden="1">{#N/A,#N/A,FALSE,"Expense Comparison"}</definedName>
    <definedName name="asdfsf"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asfdasdf">#REF!</definedName>
    <definedName name="asfdf" hidden="1">{#N/A,#N/A,FALSE,"Cover Page";#N/A,#N/A,FALSE,"Sources";#N/A,#N/A,FALSE,"Summary";#N/A,#N/A,FALSE,"Cash Flow";#N/A,#N/A,FALSE,"INVESTOR IRR";#N/A,#N/A,FALSE,"Settle - VA"}</definedName>
    <definedName name="asfget" localSheetId="4" hidden="1">{"Page1",#N/A,FALSE,"7979";"Page2",#N/A,FALSE,"7979";"Page3",#N/A,FALSE,"7979"}</definedName>
    <definedName name="asfget" localSheetId="2" hidden="1">{"Page1",#N/A,FALSE,"7979";"Page2",#N/A,FALSE,"7979";"Page3",#N/A,FALSE,"7979"}</definedName>
    <definedName name="asfget" localSheetId="1" hidden="1">{"Page1",#N/A,FALSE,"7979";"Page2",#N/A,FALSE,"7979";"Page3",#N/A,FALSE,"7979"}</definedName>
    <definedName name="asfget" localSheetId="5" hidden="1">{"Page1",#N/A,FALSE,"7979";"Page2",#N/A,FALSE,"7979";"Page3",#N/A,FALSE,"7979"}</definedName>
    <definedName name="asfget" localSheetId="8" hidden="1">{"Page1",#N/A,FALSE,"7979";"Page2",#N/A,FALSE,"7979";"Page3",#N/A,FALSE,"7979"}</definedName>
    <definedName name="asfget" localSheetId="3" hidden="1">{"Page1",#N/A,FALSE,"7979";"Page2",#N/A,FALSE,"7979";"Page3",#N/A,FALSE,"7979"}</definedName>
    <definedName name="asfget" hidden="1">{"Page1",#N/A,FALSE,"7979";"Page2",#N/A,FALSE,"7979";"Page3",#N/A,FALSE,"7979"}</definedName>
    <definedName name="asfsadf">#REF!</definedName>
    <definedName name="ASIS">#REF!</definedName>
    <definedName name="ASS" hidden="1">#REF!</definedName>
    <definedName name="ASSETSDB">#REF!</definedName>
    <definedName name="ASSISTED_LIVING">#REF!</definedName>
    <definedName name="associate_Teachers_benefits_percentage">#REF!</definedName>
    <definedName name="associate_Teachers_payroll_taxes_percentage">#REF!</definedName>
    <definedName name="associate_Teachers_retirement_percentage">#REF!</definedName>
    <definedName name="asss" hidden="1">{"rtn",#N/A,FALSE,"RTN";"tables",#N/A,FALSE,"RTN";"cf",#N/A,FALSE,"CF";"stats",#N/A,FALSE,"Stats";"prop",#N/A,FALSE,"Prop"}</definedName>
    <definedName name="assumptions">#REF!</definedName>
    <definedName name="Assumptions2">#REF!</definedName>
    <definedName name="Assumptions3">#REF!</definedName>
    <definedName name="Assumptions4">#REF!</definedName>
    <definedName name="Ateam1960">#REF!</definedName>
    <definedName name="Ateam1991">#REF!</definedName>
    <definedName name="Ateam333">#REF!</definedName>
    <definedName name="AteamDREAM">#REF!</definedName>
    <definedName name="AteamSBX">#REF!</definedName>
    <definedName name="Att_COE">#REF!</definedName>
    <definedName name="Att_COE2">#REF!</definedName>
    <definedName name="Att_CS">#REF!</definedName>
    <definedName name="Audit_Fees">#REF!</definedName>
    <definedName name="Auditor">#REF!</definedName>
    <definedName name="AuditPeriod">#REF!</definedName>
    <definedName name="AuditYr">#REF!</definedName>
    <definedName name="Aug">#REF!</definedName>
    <definedName name="august">#REF!</definedName>
    <definedName name="AverageTeacherSalary">#REF!</definedName>
    <definedName name="AverageTenureCell">#REF!</definedName>
    <definedName name="AVG_LEASE_TERM">#REF!</definedName>
    <definedName name="Avg_SF">#REF!</definedName>
    <definedName name="avgabs">#REF!</definedName>
    <definedName name="AvgADAPercent_Yr1">#REF!</definedName>
    <definedName name="AvgADAPercent_Yr2">#REF!</definedName>
    <definedName name="AvgADAPercent_Yr3">#REF!</definedName>
    <definedName name="AvgADAPercent_Yr4">#REF!</definedName>
    <definedName name="AvgADAPercent_Yr5">#REF!</definedName>
    <definedName name="AvgADAPercent_Yr6">#REF!</definedName>
    <definedName name="AvgEECont_403B_Schools">#REF!</definedName>
    <definedName name="AvgTeacherSalary">#REF!</definedName>
    <definedName name="ayp">#REF!</definedName>
    <definedName name="b" localSheetId="4">{"One",#N/A,FALSE,"CClub";"Two",#N/A,FALSE,"CClub";"Three",#N/A,FALSE,"CClub";"Four",#N/A,FALSE,"CClub";"Five",#N/A,FALSE,"CClub"}</definedName>
    <definedName name="b" localSheetId="2">{"One",#N/A,FALSE,"CClub";"Two",#N/A,FALSE,"CClub";"Three",#N/A,FALSE,"CClub";"Four",#N/A,FALSE,"CClub";"Five",#N/A,FALSE,"CClub"}</definedName>
    <definedName name="b" localSheetId="1" hidden="1">{"One",#N/A,FALSE,"CClub";"Two",#N/A,FALSE,"CClub";"Three",#N/A,FALSE,"CClub";"Four",#N/A,FALSE,"CClub";"Five",#N/A,FALSE,"CClub"}</definedName>
    <definedName name="b" localSheetId="5">{"One",#N/A,FALSE,"CClub";"Two",#N/A,FALSE,"CClub";"Three",#N/A,FALSE,"CClub";"Four",#N/A,FALSE,"CClub";"Five",#N/A,FALSE,"CClub"}</definedName>
    <definedName name="b" localSheetId="8">{"One",#N/A,FALSE,"CClub";"Two",#N/A,FALSE,"CClub";"Three",#N/A,FALSE,"CClub";"Four",#N/A,FALSE,"CClub";"Five",#N/A,FALSE,"CClub"}</definedName>
    <definedName name="b" localSheetId="3" hidden="1">{"One",#N/A,FALSE,"CClub";"Two",#N/A,FALSE,"CClub";"Three",#N/A,FALSE,"CClub";"Four",#N/A,FALSE,"CClub";"Five",#N/A,FALSE,"CClub"}</definedName>
    <definedName name="b">{"One",#N/A,FALSE,"CClub";"Two",#N/A,FALSE,"CClub";"Three",#N/A,FALSE,"CClub";"Four",#N/A,FALSE,"CClub";"Five",#N/A,FALSE,"CClub"}</definedName>
    <definedName name="b\">#REF!</definedName>
    <definedName name="BA">#REF!</definedName>
    <definedName name="babe">#REF!</definedName>
    <definedName name="back10">#REF!</definedName>
    <definedName name="back6">#REF!</definedName>
    <definedName name="back7">#REF!</definedName>
    <definedName name="BackEndInvestorShare">#REF!</definedName>
    <definedName name="Background">#REF!</definedName>
    <definedName name="BACKUPA">#REF!</definedName>
    <definedName name="BackupBusDriverPerSchool">#REF!</definedName>
    <definedName name="BACKUPF">#REF!</definedName>
    <definedName name="BACKUPS">#REF!</definedName>
    <definedName name="BadDebts">#REF!</definedName>
    <definedName name="BadLink" hidden="1">#REF!</definedName>
    <definedName name="Baker">#REF!</definedName>
    <definedName name="baladj">#REF!</definedName>
    <definedName name="balassum">#REF!</definedName>
    <definedName name="BalloonAmt">#REF!</definedName>
    <definedName name="BALSHEET">#REF!</definedName>
    <definedName name="banklevbreakeven">#REF!</definedName>
    <definedName name="BANs_COI">#REF!</definedName>
    <definedName name="BANs_Rate">#REF!</definedName>
    <definedName name="BARGAINING_UNIT">#REF!</definedName>
    <definedName name="base">#REF!</definedName>
    <definedName name="base_i">#REF!</definedName>
    <definedName name="BASE_YEAR">#REF!</definedName>
    <definedName name="BASE_YR__1">#REF!</definedName>
    <definedName name="BASE_YR__2">#REF!</definedName>
    <definedName name="BASE_YR__3">#REF!</definedName>
    <definedName name="BASE_YR__4">#REF!</definedName>
    <definedName name="BaseA">#REF!</definedName>
    <definedName name="BaseA2">#REF!</definedName>
    <definedName name="BaseC">#REF!</definedName>
    <definedName name="BaseC2">#REF!</definedName>
    <definedName name="baseclasses">#REF!</definedName>
    <definedName name="baseclasses2">#REF!</definedName>
    <definedName name="baseclasses3">#REF!</definedName>
    <definedName name="baseclasses4">#REF!</definedName>
    <definedName name="BaseKG">#REF!</definedName>
    <definedName name="BaseKG2">#REF!</definedName>
    <definedName name="baseKGI">#REF!</definedName>
    <definedName name="baseKGI2">#REF!</definedName>
    <definedName name="Baseline">#REF!</definedName>
    <definedName name="Baseline2">#REF!</definedName>
    <definedName name="Baseline3">#REF!</definedName>
    <definedName name="BaseM">#REF!</definedName>
    <definedName name="BasePerPupil">#REF!</definedName>
    <definedName name="BaseStudents">#REF!</definedName>
    <definedName name="basestudents2">#REF!</definedName>
    <definedName name="basestudents3">#REF!</definedName>
    <definedName name="basestudents4">#REF!</definedName>
    <definedName name="baseT">#REF!</definedName>
    <definedName name="baseT2">#REF!</definedName>
    <definedName name="BaseYear">#REF!</definedName>
    <definedName name="baseyearHB">#REF!</definedName>
    <definedName name="BASIC_AREAS">#REF!</definedName>
    <definedName name="Bay">#REF!</definedName>
    <definedName name="BB">#REF!</definedName>
    <definedName name="bb\">#REF!</definedName>
    <definedName name="bbb">#REF!</definedName>
    <definedName name="bbbb">#REF!</definedName>
    <definedName name="BBBONDS">#REF!</definedName>
    <definedName name="BBBONDS1000">#REF!</definedName>
    <definedName name="BBBONDS2000">#REF!</definedName>
    <definedName name="BBBONDS3000">#REF!</definedName>
    <definedName name="BBBONDS4000">#REF!</definedName>
    <definedName name="BBBONDS5000">#REF!</definedName>
    <definedName name="BBBONDS6000">#REF!</definedName>
    <definedName name="BBBONDS7000">#REF!</definedName>
    <definedName name="BBBONDSDESBAL">#REF!</definedName>
    <definedName name="BBBONDSECONUNCERT">#REF!</definedName>
    <definedName name="BBBONDSPREPEXP">#REF!</definedName>
    <definedName name="BBBONDSRSV4ANTENDBAL">#REF!</definedName>
    <definedName name="BBBONDSRSV4PTNEQ">#REF!</definedName>
    <definedName name="BBBONDSRVLVNGFD">#REF!</definedName>
    <definedName name="BBBONDSUNDESBAL">#REF!</definedName>
    <definedName name="bbk">#REF!</definedName>
    <definedName name="bbs">#REF!</definedName>
    <definedName name="BC">#REF!</definedName>
    <definedName name="BCNew">#REF!</definedName>
    <definedName name="bdr">#REF!</definedName>
    <definedName name="beattle" localSheetId="4" hidden="1">{"Full Sheet",#N/A,FALSE,"Expense Comparison"}</definedName>
    <definedName name="beattle" localSheetId="2" hidden="1">{"Full Sheet",#N/A,FALSE,"Expense Comparison"}</definedName>
    <definedName name="beattle" localSheetId="1" hidden="1">{"Full Sheet",#N/A,FALSE,"Expense Comparison"}</definedName>
    <definedName name="beattle" localSheetId="5" hidden="1">{"Full Sheet",#N/A,FALSE,"Expense Comparison"}</definedName>
    <definedName name="beattle" localSheetId="8" hidden="1">{"Full Sheet",#N/A,FALSE,"Expense Comparison"}</definedName>
    <definedName name="beattle" localSheetId="3" hidden="1">{"Full Sheet",#N/A,FALSE,"Expense Comparison"}</definedName>
    <definedName name="beattle" hidden="1">{"Full Sheet",#N/A,FALSE,"Expense Comparison"}</definedName>
    <definedName name="Beds">#REF!</definedName>
    <definedName name="Beg_Bal">#REF!</definedName>
    <definedName name="begbal">#REF!</definedName>
    <definedName name="BEGCON">#REF!</definedName>
    <definedName name="BegDate">#REF!</definedName>
    <definedName name="Beginning__Bal">#N/A</definedName>
    <definedName name="Beginning_Balance">#N/A</definedName>
    <definedName name="BeginningBalanceY1">#REF!</definedName>
    <definedName name="BeginningBalanceY2">#REF!</definedName>
    <definedName name="belotprice">#REF!</definedName>
    <definedName name="Ben">0.33</definedName>
    <definedName name="ben_adj_1q">#REF!</definedName>
    <definedName name="Benefit_Schedule">#REF!</definedName>
    <definedName name="BenefitRates">#REF!</definedName>
    <definedName name="Benefits">#REF!</definedName>
    <definedName name="Benefits_admin">#REF!</definedName>
    <definedName name="benefits_discount">#REF!</definedName>
    <definedName name="BENEFITS_PER_STUDENT">#REF!</definedName>
    <definedName name="benefits_percentage">#REF!</definedName>
    <definedName name="benefits1">#REF!</definedName>
    <definedName name="benefits2">#REF!</definedName>
    <definedName name="benefits3">#REF!</definedName>
    <definedName name="benefits4">#REF!</definedName>
    <definedName name="BenefitsCheckFIB">#REF!</definedName>
    <definedName name="BenefitsCheckJuly">#REF!</definedName>
    <definedName name="BenefitsTest">#REF!</definedName>
    <definedName name="BenefitType">#REF!</definedName>
    <definedName name="BENNY">#REF!</definedName>
    <definedName name="Benny_2P">#REF!</definedName>
    <definedName name="BENNY_COMPARE">#REF!</definedName>
    <definedName name="BENNY_P">#REF!</definedName>
    <definedName name="Beverage">#REF!</definedName>
    <definedName name="BGA">#REF!</definedName>
    <definedName name="BGSF">#REF!</definedName>
    <definedName name="bid">#REF!</definedName>
    <definedName name="bir">#REF!</definedName>
    <definedName name="blah">#REF!</definedName>
    <definedName name="blah1">#REF!</definedName>
    <definedName name="blah3">#REF!</definedName>
    <definedName name="blah4">#REF!</definedName>
    <definedName name="blah5">#REF!</definedName>
    <definedName name="blah6">#REF!</definedName>
    <definedName name="blah7">#REF!</definedName>
    <definedName name="blah8">#REF!</definedName>
    <definedName name="blah9">#REF!</definedName>
    <definedName name="Bldg_Gen1">#REF!</definedName>
    <definedName name="Bldg_SFP2">#REF!</definedName>
    <definedName name="Bldg2RSF">#REF!</definedName>
    <definedName name="BLDGA">#REF!</definedName>
    <definedName name="BLDGB">#REF!</definedName>
    <definedName name="BLDGC">#REF!</definedName>
    <definedName name="BLDGD">#REF!</definedName>
    <definedName name="BLDGE">#REF!</definedName>
    <definedName name="BLDGF">#REF!</definedName>
    <definedName name="BLDGFD1000">#REF!</definedName>
    <definedName name="BLDGFD2000">#REF!</definedName>
    <definedName name="BLDGFD3000">#REF!</definedName>
    <definedName name="BLDGFD4000">#REF!</definedName>
    <definedName name="BLDGFD5000">#REF!</definedName>
    <definedName name="BLDGFD6000">#REF!</definedName>
    <definedName name="BLDGFD7000">#REF!</definedName>
    <definedName name="BLDGFDDESBAL">#REF!</definedName>
    <definedName name="BLDGFDECONUNCERT">#REF!</definedName>
    <definedName name="BLDGFDPREPEXP">#REF!</definedName>
    <definedName name="BLDGFDRSV4ANTENDBAL">#REF!</definedName>
    <definedName name="BLDGFDRSV4PTNEQ">#REF!</definedName>
    <definedName name="BLDGFDRVLVNGFD">#REF!</definedName>
    <definedName name="BLDGFDUNDESBAL">#REF!</definedName>
    <definedName name="BLDGG">#REF!</definedName>
    <definedName name="BLDGH">#REF!</definedName>
    <definedName name="BldgRSF">#REF!</definedName>
    <definedName name="BldgRSF2">#REF!</definedName>
    <definedName name="BldgRSFa">#REF!</definedName>
    <definedName name="BLENDED_COUNT_BASE_YR">#REF!</definedName>
    <definedName name="BLENDED_COUNT_PRIOR_YR">#REF!</definedName>
    <definedName name="BLENDED_COUNT_YR_1">#REF!</definedName>
    <definedName name="BLENDED_COUNT_YR_2">#REF!</definedName>
    <definedName name="BLENDED_COUNT_YR_3">#REF!</definedName>
    <definedName name="BLENDED_COUNT_YR_4">#REF!</definedName>
    <definedName name="BLENDED_FEB_PERCENT">#REF!</definedName>
    <definedName name="BLENDED_SEPT_PERCENT">#REF!</definedName>
    <definedName name="BLENDED_SEPT_YR_1">#REF!</definedName>
    <definedName name="BLENDED_SEPT_YR_2">#REF!</definedName>
    <definedName name="BLENDED_SEPT_YR_3">#REF!</definedName>
    <definedName name="BLENDED_SEPT_YR_4">#REF!</definedName>
    <definedName name="BLENDED_TABLE_YR_1">#REF!</definedName>
    <definedName name="BLENDED_TABLE_YR_2">#REF!</definedName>
    <definedName name="BLENDED_TABLE_YR_3">#REF!</definedName>
    <definedName name="BLENDED_TABLE_YR_4">#REF!</definedName>
    <definedName name="block2601">#REF!</definedName>
    <definedName name="block6410">#REF!</definedName>
    <definedName name="block7713">#REF!</definedName>
    <definedName name="bmr">#REF!</definedName>
    <definedName name="BNE_MESSAGES_HIDDEN">#REF!</definedName>
    <definedName name="BNO">#REF!</definedName>
    <definedName name="bnynety">#REF!</definedName>
    <definedName name="board_giving_percent">#REF!</definedName>
    <definedName name="board_giving_total">#REF!</definedName>
    <definedName name="board_total">#REF!</definedName>
    <definedName name="BOARDER">#REF!</definedName>
    <definedName name="Bob">#REF!</definedName>
    <definedName name="bobjones">#REF!</definedName>
    <definedName name="Body">#REF!</definedName>
    <definedName name="bog" hidden="1">{"CF",#N/A,FALSE,"Cash Flow";"RET",#N/A,FALSE,"Returns";"NPV",#N/A,FALSE,"Values";"ASMPT",#N/A,FALSE,"Assumptions"}</definedName>
    <definedName name="bog_2" hidden="1">{"CF",#N/A,FALSE,"Cash Flow";"RET",#N/A,FALSE,"Returns";"NPV",#N/A,FALSE,"Values";"ASMPT",#N/A,FALSE,"Assumptions"}</definedName>
    <definedName name="bogu" hidden="1">{"CF",#N/A,FALSE,"Cash Flow";"RET",#N/A,FALSE,"Returns";"NPV",#N/A,FALSE,"Values";"ASMPT",#N/A,FALSE,"Assumptions"}</definedName>
    <definedName name="bogu_2" hidden="1">{"CF",#N/A,FALSE,"Cash Flow";"RET",#N/A,FALSE,"Returns";"NPV",#N/A,FALSE,"Values";"ASMPT",#N/A,FALSE,"Assumptions"}</definedName>
    <definedName name="bogus" hidden="1">{"CF",#N/A,FALSE,"Cash Flow";"RET",#N/A,FALSE,"Returns";"NPV",#N/A,FALSE,"Values";"ASMPT",#N/A,FALSE,"Assumptions"}</definedName>
    <definedName name="bogus_2" hidden="1">{"CF",#N/A,FALSE,"Cash Flow";"RET",#N/A,FALSE,"Returns";"NPV",#N/A,FALSE,"Values";"ASMPT",#N/A,FALSE,"Assumptions"}</definedName>
    <definedName name="bogus2" hidden="1">{"CF",#N/A,FALSE,"Cash Flow";"RET",#N/A,FALSE,"Returns";"NPV",#N/A,FALSE,"Values";"ASMPT",#N/A,FALSE,"Assumptions"}</definedName>
    <definedName name="bogus2_2" hidden="1">{"CF",#N/A,FALSE,"Cash Flow";"RET",#N/A,FALSE,"Returns";"NPV",#N/A,FALSE,"Values";"ASMPT",#N/A,FALSE,"Assumptions"}</definedName>
    <definedName name="BOND">#REF!</definedName>
    <definedName name="BONDBASIS">#REF!</definedName>
    <definedName name="bondpro">#REF!</definedName>
    <definedName name="BONDYEARS">#REF!</definedName>
    <definedName name="bondyld1">#REF!</definedName>
    <definedName name="Bonus">#REF!</definedName>
    <definedName name="BORDER">#REF!</definedName>
    <definedName name="bos">#REF!</definedName>
    <definedName name="BostonAboveFoundation">#REF!</definedName>
    <definedName name="BostonPercentage">#REF!</definedName>
    <definedName name="Bottom">#REF!</definedName>
    <definedName name="BOZO">#REF!</definedName>
    <definedName name="Bradford">#REF!</definedName>
    <definedName name="breakeven">#REF!</definedName>
    <definedName name="breakeven2">#REF!</definedName>
    <definedName name="breakevenlevered">#REF!</definedName>
    <definedName name="Brevard">#REF!</definedName>
    <definedName name="Bridge">#REF!</definedName>
    <definedName name="BROCKMONT">#REF!</definedName>
    <definedName name="Broward">#REF!</definedName>
    <definedName name="bs">#REF!</definedName>
    <definedName name="BS_AP">#REF!</definedName>
    <definedName name="BS_AR">#REF!</definedName>
    <definedName name="BS_Cash">#REF!</definedName>
    <definedName name="BS_CL">#REF!</definedName>
    <definedName name="BS_Convertible_Debt">#REF!</definedName>
    <definedName name="BS_Convertible_Preferred">#REF!</definedName>
    <definedName name="BS_Deferred_Taxes">#REF!</definedName>
    <definedName name="BS_Equity">#REF!</definedName>
    <definedName name="BS_Intangibles">#REF!</definedName>
    <definedName name="BS_Inventory">#REF!</definedName>
    <definedName name="BS_Minority">#REF!</definedName>
    <definedName name="BS_Other_CA">#REF!</definedName>
    <definedName name="BS_Other_LTAssets">#REF!</definedName>
    <definedName name="BS_Other_LTLiabilities">#REF!</definedName>
    <definedName name="BS_PPE">#REF!</definedName>
    <definedName name="BS_Revolver">#REF!</definedName>
    <definedName name="BS_Straight_Debt">#REF!</definedName>
    <definedName name="BS_Straight_Preferred">#REF!</definedName>
    <definedName name="BSDate" localSheetId="4">#REF!</definedName>
    <definedName name="BSDate" localSheetId="5">#REF!</definedName>
    <definedName name="BSDate" localSheetId="8">[2]Setup!$X$9</definedName>
    <definedName name="BSDate" localSheetId="3">#REF!</definedName>
    <definedName name="BSDate">#REF!</definedName>
    <definedName name="BSNote">#REF!</definedName>
    <definedName name="BSNote1">#REF!</definedName>
    <definedName name="BSNoteCode">#REF!</definedName>
    <definedName name="BUCH1">#REF!</definedName>
    <definedName name="BUCH2">#REF!</definedName>
    <definedName name="BUD_ADJ_FICA_YR_1">#REF!</definedName>
    <definedName name="BUD_ADJ_FICA_YR_2">#REF!</definedName>
    <definedName name="BUD_ADJ_FICA_YR_3">#REF!</definedName>
    <definedName name="BUD_ADJ_FICA_YR_4">#REF!</definedName>
    <definedName name="BUD_ADJ_HEALTH_YR_1">#REF!</definedName>
    <definedName name="BUD_ADJ_HEALTH_YR_2">#REF!</definedName>
    <definedName name="BUD_ADJ_HEALTH_YR_3">#REF!</definedName>
    <definedName name="BUD_ADJ_HEALTH_YR_4">#REF!</definedName>
    <definedName name="BUD_ADJ_OTHER_EXP_YR_1">#REF!</definedName>
    <definedName name="BUD_ADJ_OTHER_EXP_YR_2">#REF!</definedName>
    <definedName name="BUD_ADJ_OTHER_EXP_YR_3">#REF!</definedName>
    <definedName name="BUD_ADJ_OTHER_EXP_YR_4">#REF!</definedName>
    <definedName name="BUD_ADJ_RETIRE_YR_1">#REF!</definedName>
    <definedName name="BUD_ADJ_RETIRE_YR_2">#REF!</definedName>
    <definedName name="BUD_ADJ_RETIRE_YR_3">#REF!</definedName>
    <definedName name="BUD_ADJ_RETIRE_YR_4">#REF!</definedName>
    <definedName name="BUD_ADJ_SAL_YR_1">#REF!</definedName>
    <definedName name="BUD_ADJ_SAL_YR_2">#REF!</definedName>
    <definedName name="BUD_ADJ_SAL_YR_3">#REF!</definedName>
    <definedName name="BUD_ADJ_SAL_YR_4">#REF!</definedName>
    <definedName name="BUD_ADJ_STEP_YR_1">#REF!</definedName>
    <definedName name="BUD_ADJ_STEP_YR_2">#REF!</definedName>
    <definedName name="BUD_ADJ_STEP_YR_3">#REF!</definedName>
    <definedName name="BUD_ADJ_STEP_YR_4">#REF!</definedName>
    <definedName name="bud_detail">#REF!</definedName>
    <definedName name="BudC">#REF!</definedName>
    <definedName name="BudC2">#REF!</definedName>
    <definedName name="budcoinin">#REF!</definedName>
    <definedName name="budcoininY">#REF!</definedName>
    <definedName name="buddrop">#REF!</definedName>
    <definedName name="buddropY">#REF!</definedName>
    <definedName name="Budg">#REF!</definedName>
    <definedName name="BUDG_GEN">#REF!</definedName>
    <definedName name="BUDG_GEN1">#REF!</definedName>
    <definedName name="BUDG_SFP">#REF!</definedName>
    <definedName name="Budget">#REF!</definedName>
    <definedName name="Budget_assumpt">#REF!</definedName>
    <definedName name="Budget_Categories">#REF!</definedName>
    <definedName name="Budget_Categories3">#REF!</definedName>
    <definedName name="Budget_Code">#REF!</definedName>
    <definedName name="BUDGET_DETAIL_SALARY">#REF!</definedName>
    <definedName name="Budget_E">#REF!</definedName>
    <definedName name="Budget_G">#REF!</definedName>
    <definedName name="Budget_Resource_Codes">#REF!</definedName>
    <definedName name="Budget_Resource_Codes3">#REF!</definedName>
    <definedName name="Budget_years">#REF!</definedName>
    <definedName name="Budget_years3">#REF!</definedName>
    <definedName name="BudgetCategoryList">#REF!</definedName>
    <definedName name="BudgetData">#REF!</definedName>
    <definedName name="BudgetSumm" hidden="1">{#N/A,#N/A,FALSE,"Cashflow Analysis";#N/A,#N/A,FALSE,"Sensitivity Analysis";#N/A,#N/A,FALSE,"PV";#N/A,#N/A,FALSE,"Pro Forma"}</definedName>
    <definedName name="BudgetSumm.2" hidden="1">{#N/A,#N/A,FALSE,"Cashflow Analysis";#N/A,#N/A,FALSE,"Sensitivity Analysis";#N/A,#N/A,FALSE,"PV";#N/A,#N/A,FALSE,"Pro Forma"}</definedName>
    <definedName name="BudgetVersion">#REF!</definedName>
    <definedName name="budgetversions">#REF!</definedName>
    <definedName name="BudgetYear">#REF!</definedName>
    <definedName name="BudgetYearFedNSLP">#REF!</definedName>
    <definedName name="BudgetYearIDEA">#REF!</definedName>
    <definedName name="BudgetYearPCSGP">#REF!</definedName>
    <definedName name="BudgetYears">#REF!</definedName>
    <definedName name="budgetyears3">#REF!</definedName>
    <definedName name="budnumslot">#REF!</definedName>
    <definedName name="budnumslotY">#REF!</definedName>
    <definedName name="budnumtab">#REF!</definedName>
    <definedName name="budnumtabY">#REF!</definedName>
    <definedName name="budpitwin">#REF!</definedName>
    <definedName name="budpitwinY">#REF!</definedName>
    <definedName name="budslotwin">#REF!</definedName>
    <definedName name="budslotwinY">#REF!</definedName>
    <definedName name="BUDYEARTXT">#REF!</definedName>
    <definedName name="building">#REF!</definedName>
    <definedName name="building_construction_lead_time">#REF!</definedName>
    <definedName name="building_depreciation_period">#REF!</definedName>
    <definedName name="Building_Permits">#REF!</definedName>
    <definedName name="Building_Square_Footage">#REF!</definedName>
    <definedName name="BuildingFive">#REF!</definedName>
    <definedName name="BuildingFour">#REF!</definedName>
    <definedName name="BuildingInformation">#REF!</definedName>
    <definedName name="BuildingOne">#REF!</definedName>
    <definedName name="Buildings.f.">#REF!</definedName>
    <definedName name="BuildingThree">#REF!</definedName>
    <definedName name="BuildingTotal">#REF!</definedName>
    <definedName name="BuildingTwo">#REF!</definedName>
    <definedName name="BuiltByAllTenantsHideCount">#REF!</definedName>
    <definedName name="BuiltByAllTenantsHideStart">#REF!</definedName>
    <definedName name="BuiltByAllTenantsRows">#REF!</definedName>
    <definedName name="BuiltByMajorsHideCount">#REF!</definedName>
    <definedName name="BuiltByMajorsHideStart">#REF!</definedName>
    <definedName name="BuiltByMajorsRows">#REF!</definedName>
    <definedName name="BuiltByPadsHideCount">#REF!</definedName>
    <definedName name="BuiltByPadsHideStart">#REF!</definedName>
    <definedName name="BuiltByPadsRows">#REF!</definedName>
    <definedName name="BuiltByShopsHideCount">#REF!</definedName>
    <definedName name="BuiltByShopsHideStart">#REF!</definedName>
    <definedName name="BuiltByShopsRows">#REF!</definedName>
    <definedName name="BULD._DEPR">#REF!</definedName>
    <definedName name="bulkdevq1">#REF!</definedName>
    <definedName name="bulkdevq2">#REF!</definedName>
    <definedName name="bulkdevq3">#REF!</definedName>
    <definedName name="bulkdevq4">#REF!</definedName>
    <definedName name="BUN">#REF!</definedName>
    <definedName name="Burn_Off_Test">#REF!</definedName>
    <definedName name="burnoff_yrs">#REF!</definedName>
    <definedName name="bus_drivers_benefits_percentage">#REF!</definedName>
    <definedName name="bus_drivers_payroll_taxes_percentage">#REF!</definedName>
    <definedName name="bus_drivers_retirement_percentage">#REF!</definedName>
    <definedName name="buses_depreciation_period">#REF!</definedName>
    <definedName name="BusinessSummaryMajorsRows">#REF!</definedName>
    <definedName name="BusinessSummaryPadsRows">#REF!</definedName>
    <definedName name="BusinessSummaryRows">#REF!</definedName>
    <definedName name="BusinessSummaryShopsRows">#REF!</definedName>
    <definedName name="BusinessTypeSummaryHideCount">#REF!</definedName>
    <definedName name="BusinessTypeSummaryHideStart">#REF!</definedName>
    <definedName name="BusinessTypeSummaryMajorsHideCount">#REF!</definedName>
    <definedName name="BusinessTypeSummaryMajorsHideStart">#REF!</definedName>
    <definedName name="BusinessTypeSummaryPadsHideCount">#REF!</definedName>
    <definedName name="BusinessTypeSummaryPadsHideStart">#REF!</definedName>
    <definedName name="BusinessTypeSummaryShopsHideCount">#REF!</definedName>
    <definedName name="BusinessTypeSummaryShopsHideStart">#REF!</definedName>
    <definedName name="BX_BBSB">#REF!</definedName>
    <definedName name="BX_Scenario1">#REF!</definedName>
    <definedName name="BX_TB">#REF!</definedName>
    <definedName name="by_major_ci_detailed">#REF!</definedName>
    <definedName name="C_1A">#REF!</definedName>
    <definedName name="C_1B">#REF!</definedName>
    <definedName name="C_2">#REF!</definedName>
    <definedName name="C_3">#REF!</definedName>
    <definedName name="C_4">#REF!</definedName>
    <definedName name="C_5">#REF!</definedName>
    <definedName name="C_ALL" localSheetId="4">[0]!C_p1,[0]!C_p2,[0]!C_p3,[0]!C_p4,[0]!C_p5,[0]!C_p6,[0]!C_p7,[0]!C_p8,[0]!C_p9</definedName>
    <definedName name="C_ALL" localSheetId="2">[0]!C_p1,[0]!C_p2,[0]!C_p3,[0]!C_p4,[0]!C_p5,[0]!C_p6,[0]!C_p7,[0]!C_p8,[0]!C_p9</definedName>
    <definedName name="C_ALL" localSheetId="1">[0]!C_p1,[0]!C_p2,[0]!C_p3,[0]!C_p4,[0]!C_p5,[0]!C_p6,[0]!C_p7,[0]!C_p8,[0]!C_p9</definedName>
    <definedName name="C_ALL" localSheetId="5">[0]!C_p1,[0]!C_p2,[0]!C_p3,[0]!C_p4,[0]!C_p5,[0]!C_p6,[0]!C_p7,[0]!C_p8,[0]!C_p9</definedName>
    <definedName name="C_ALL" localSheetId="8">[0]!C_p1,[0]!C_p2,[0]!C_p3,[0]!C_p4,[0]!C_p5,[0]!C_p6,[0]!C_p7,[0]!C_p8,[0]!C_p9</definedName>
    <definedName name="C_ALL" localSheetId="3">[0]!C_p1,[0]!C_p2,[0]!C_p3,[0]!C_p4,[0]!C_p5,[0]!C_p6,[0]!C_p7,[0]!C_p8,[0]!C_p9</definedName>
    <definedName name="C_ALL">[0]!C_p1,[0]!C_p2,[0]!C_p3,[0]!C_p4,[0]!C_p5,[0]!C_p6,[0]!C_p7,[0]!C_p8,[0]!C_p9</definedName>
    <definedName name="C_CostRiseCalc">#REF!</definedName>
    <definedName name="C_Costs_Cap">#REF!</definedName>
    <definedName name="C_Costs_NonCap">#REF!</definedName>
    <definedName name="c_date">#REF!</definedName>
    <definedName name="c_dateswitch">#REF!</definedName>
    <definedName name="C_p1">#REF!</definedName>
    <definedName name="C_p2">#REF!</definedName>
    <definedName name="C_p3">#REF!</definedName>
    <definedName name="C_p4">#REF!</definedName>
    <definedName name="C_p5">#REF!</definedName>
    <definedName name="C_p6">#REF!</definedName>
    <definedName name="C_p7">#REF!</definedName>
    <definedName name="C_p8">#REF!</definedName>
    <definedName name="C_p9">#REF!</definedName>
    <definedName name="c_pageswitch">#REF!</definedName>
    <definedName name="c_pathswitch">#REF!</definedName>
    <definedName name="c_proj_switch">#REF!</definedName>
    <definedName name="C_SchedSum">#REF!</definedName>
    <definedName name="C_SiteWorkCheck">#REF!</definedName>
    <definedName name="C_SpecNEquip">#REF!</definedName>
    <definedName name="C_SpecNEquipCheck">#REF!</definedName>
    <definedName name="c_SSBswitch">#REF!</definedName>
    <definedName name="C_Summary">#REF!</definedName>
    <definedName name="C_UplReference">#REF!</definedName>
    <definedName name="C_UplReferenceA">#REF!</definedName>
    <definedName name="C_UplReferenceB">#REF!</definedName>
    <definedName name="C_UplReferenceB.1.0.4">#REF!</definedName>
    <definedName name="C_UplReferenceB.1.0.6">#REF!</definedName>
    <definedName name="C_UplReferenceB.1.1a4p">#REF!</definedName>
    <definedName name="C_UplReferenceB.4.1a13.2">#REF!</definedName>
    <definedName name="C_UplReferenceB.4.1a14.2">#REF!</definedName>
    <definedName name="C?_1_5">#REF!</definedName>
    <definedName name="C?_6_9">#REF!</definedName>
    <definedName name="c.ReportDate">#REF!</definedName>
    <definedName name="c.Title1">#REF!</definedName>
    <definedName name="c.Title2">#REF!</definedName>
    <definedName name="c.Title3">#REF!</definedName>
    <definedName name="c\">#REF!</definedName>
    <definedName name="CA_FEE_codes">#REF!</definedName>
    <definedName name="CA_Lottery">#REF!</definedName>
    <definedName name="CABPER">#REF!</definedName>
    <definedName name="CAFFD">#REF!</definedName>
    <definedName name="CAFFD1000">#REF!</definedName>
    <definedName name="CAFFD11">#REF!</definedName>
    <definedName name="CAFFD12">#REF!</definedName>
    <definedName name="CAFFD2000">#REF!</definedName>
    <definedName name="CAFFD3000">#REF!</definedName>
    <definedName name="CAFFD4000">#REF!</definedName>
    <definedName name="CAFFD5000">#REF!</definedName>
    <definedName name="CAFFD6000">#REF!</definedName>
    <definedName name="CAFFD7000">#REF!</definedName>
    <definedName name="CAFFDDESBAL">#REF!</definedName>
    <definedName name="CAFFDECONUNCERT">#REF!</definedName>
    <definedName name="CAFFDPREPEXP">#REF!</definedName>
    <definedName name="CAFFDRSV4ANTENDBAL">#REF!</definedName>
    <definedName name="CAFFDRSV4PTNEQ">#REF!</definedName>
    <definedName name="CAFFDRVLVNGFD">#REF!</definedName>
    <definedName name="CAFFDUNDESBAL">#REF!</definedName>
    <definedName name="CalcSnapshot">#REF!</definedName>
    <definedName name="Calendar">#REF!</definedName>
    <definedName name="CalendarYearEnd">#REF!</definedName>
    <definedName name="Calhoun">#REF!</definedName>
    <definedName name="California">#REF!</definedName>
    <definedName name="calsafeIIpfyXVII">#REF!</definedName>
    <definedName name="CALSTARS_to_FI_Cal_Crosswalk">#REF!</definedName>
    <definedName name="CAM">#REF!</definedName>
    <definedName name="CampusAbbrev">#REF!</definedName>
    <definedName name="CampusList">#REF!</definedName>
    <definedName name="CAP" localSheetId="6" hidden="1">{#N/A,#N/A,FALSE,"Summation";#N/A,#N/A,FALSE,"BSA";#N/A,#N/A,FALSE,"Detail1";#N/A,#N/A,FALSE,"Detail2";#N/A,#N/A,FALSE,"Detail3";#N/A,#N/A,FALSE,"WFTE_Summary";#N/A,#N/A,FALSE,"Funded_WFTE";#N/A,#N/A,FALSE,"PYADJ96"}</definedName>
    <definedName name="CAP" localSheetId="4" hidden="1">{#N/A,#N/A,FALSE,"Summation";#N/A,#N/A,FALSE,"BSA";#N/A,#N/A,FALSE,"Detail1";#N/A,#N/A,FALSE,"Detail2";#N/A,#N/A,FALSE,"Detail3";#N/A,#N/A,FALSE,"WFTE_Summary";#N/A,#N/A,FALSE,"Funded_WFTE";#N/A,#N/A,FALSE,"PYADJ96"}</definedName>
    <definedName name="CAP" localSheetId="2" hidden="1">{#N/A,#N/A,FALSE,"Summation";#N/A,#N/A,FALSE,"BSA";#N/A,#N/A,FALSE,"Detail1";#N/A,#N/A,FALSE,"Detail2";#N/A,#N/A,FALSE,"Detail3";#N/A,#N/A,FALSE,"WFTE_Summary";#N/A,#N/A,FALSE,"Funded_WFTE";#N/A,#N/A,FALSE,"PYADJ96"}</definedName>
    <definedName name="CAP" localSheetId="1" hidden="1">{#N/A,#N/A,FALSE,"Summation";#N/A,#N/A,FALSE,"BSA";#N/A,#N/A,FALSE,"Detail1";#N/A,#N/A,FALSE,"Detail2";#N/A,#N/A,FALSE,"Detail3";#N/A,#N/A,FALSE,"WFTE_Summary";#N/A,#N/A,FALSE,"Funded_WFTE";#N/A,#N/A,FALSE,"PYADJ96"}</definedName>
    <definedName name="CAP" localSheetId="5" hidden="1">{#N/A,#N/A,FALSE,"Summation";#N/A,#N/A,FALSE,"BSA";#N/A,#N/A,FALSE,"Detail1";#N/A,#N/A,FALSE,"Detail2";#N/A,#N/A,FALSE,"Detail3";#N/A,#N/A,FALSE,"WFTE_Summary";#N/A,#N/A,FALSE,"Funded_WFTE";#N/A,#N/A,FALSE,"PYADJ96"}</definedName>
    <definedName name="CAP" localSheetId="8" hidden="1">{#N/A,#N/A,FALSE,"Summation";#N/A,#N/A,FALSE,"BSA";#N/A,#N/A,FALSE,"Detail1";#N/A,#N/A,FALSE,"Detail2";#N/A,#N/A,FALSE,"Detail3";#N/A,#N/A,FALSE,"WFTE_Summary";#N/A,#N/A,FALSE,"Funded_WFTE";#N/A,#N/A,FALSE,"PYADJ96"}</definedName>
    <definedName name="CAP" localSheetId="3" hidden="1">{#N/A,#N/A,FALSE,"Summation";#N/A,#N/A,FALSE,"BSA";#N/A,#N/A,FALSE,"Detail1";#N/A,#N/A,FALSE,"Detail2";#N/A,#N/A,FALSE,"Detail3";#N/A,#N/A,FALSE,"WFTE_Summary";#N/A,#N/A,FALSE,"Funded_WFTE";#N/A,#N/A,FALSE,"PYADJ96"}</definedName>
    <definedName name="CAP" hidden="1">{#N/A,#N/A,FALSE,"Summation";#N/A,#N/A,FALSE,"BSA";#N/A,#N/A,FALSE,"Detail1";#N/A,#N/A,FALSE,"Detail2";#N/A,#N/A,FALSE,"Detail3";#N/A,#N/A,FALSE,"WFTE_Summary";#N/A,#N/A,FALSE,"Funded_WFTE";#N/A,#N/A,FALSE,"PYADJ96"}</definedName>
    <definedName name="Cap_Case">#REF!</definedName>
    <definedName name="cap_inflation">#REF!</definedName>
    <definedName name="capbox">#REF!</definedName>
    <definedName name="CAPCAM">#REF!</definedName>
    <definedName name="CapCampScenarios">#REF!</definedName>
    <definedName name="capcurr">#REF!</definedName>
    <definedName name="CAPEAR">#REF!</definedName>
    <definedName name="CAPEARN">#REF!</definedName>
    <definedName name="capex_inflation">#REF!</definedName>
    <definedName name="CAPFACFD">#REF!</definedName>
    <definedName name="CAPFACFD1000">#REF!</definedName>
    <definedName name="CAPFACFD2000">#REF!</definedName>
    <definedName name="CAPFACFD3000">#REF!</definedName>
    <definedName name="CAPFACFD4000">#REF!</definedName>
    <definedName name="CAPFACFD5000">#REF!</definedName>
    <definedName name="CAPFACFD6000">#REF!</definedName>
    <definedName name="CAPFACFD7000">#REF!</definedName>
    <definedName name="capfacfddesbal">#REF!</definedName>
    <definedName name="capfacfdeconuncert">#REF!</definedName>
    <definedName name="capfacfdprepexp">#REF!</definedName>
    <definedName name="capfacfdrsv4antendbal">#REF!</definedName>
    <definedName name="capfacfdrsv4ptneq">#REF!</definedName>
    <definedName name="capfacfdrvlvngfd">#REF!</definedName>
    <definedName name="capfacfdundesbal">#REF!</definedName>
    <definedName name="CAPFACFUND">#REF!</definedName>
    <definedName name="CAPFD">#REF!</definedName>
    <definedName name="CAPGRO">#REF!</definedName>
    <definedName name="CapI">#REF!</definedName>
    <definedName name="CAPITAL_IMP_CODE">#REF!</definedName>
    <definedName name="Capital_Leases">#REF!</definedName>
    <definedName name="Capital_Outlay_Objects">#REF!</definedName>
    <definedName name="CapitalStructure" hidden="1">#REF!</definedName>
    <definedName name="CapitalTest">#REF!</definedName>
    <definedName name="CAPNET">#REF!</definedName>
    <definedName name="capplnt">#REF!</definedName>
    <definedName name="CAPPROJBEN">#REF!</definedName>
    <definedName name="CAPPROJBEN1">#REF!</definedName>
    <definedName name="CAPPROJBEN2">#REF!</definedName>
    <definedName name="CAPPROJBEN3">#REF!</definedName>
    <definedName name="CAPPROJBEN4">#REF!</definedName>
    <definedName name="CAPPROJBEN5">#REF!</definedName>
    <definedName name="CAPPROJBEN6">#REF!</definedName>
    <definedName name="CAPPROJBEN7">#REF!</definedName>
    <definedName name="CAPPROJBEN8">#REF!</definedName>
    <definedName name="CAPPROJBEN9">#REF!</definedName>
    <definedName name="CAPPROJBKSNSUPP">#REF!</definedName>
    <definedName name="CAPPROJBKSNSUPP1">#REF!</definedName>
    <definedName name="CAPPROJBKSNSUPP2">#REF!</definedName>
    <definedName name="CAPPROJBKSNSUPP3">#REF!</definedName>
    <definedName name="CAPPROJBKSNSUPP4">#REF!</definedName>
    <definedName name="CAPPROJBKSNSUPP5">#REF!</definedName>
    <definedName name="CAPPROJBKSNSUPP6">#REF!</definedName>
    <definedName name="CAPPROJBKSNSUPP7">#REF!</definedName>
    <definedName name="CAPPROJCAPOUTLAY">#REF!</definedName>
    <definedName name="CAPPROJCAPOUTLAY1">#REF!</definedName>
    <definedName name="CAPPROJCAPOUTLAY2">#REF!</definedName>
    <definedName name="CAPPROJCAPOUTLAY3">#REF!</definedName>
    <definedName name="CAPPROJCAPOUTLAY4">#REF!</definedName>
    <definedName name="CAPPROJCAPOUTLAY5">#REF!</definedName>
    <definedName name="CAPPROJCERT">#REF!</definedName>
    <definedName name="CAPPROJCERT1">#REF!</definedName>
    <definedName name="CAPPROJCERT2">#REF!</definedName>
    <definedName name="CAPPROJCERT3">#REF!</definedName>
    <definedName name="CAPPROJCERT4">#REF!</definedName>
    <definedName name="CAPPROJCERT5">#REF!</definedName>
    <definedName name="CAPPROJCERT6">#REF!</definedName>
    <definedName name="CAPPROJCERT7">#REF!</definedName>
    <definedName name="CAPPROJCERT8">#REF!</definedName>
    <definedName name="CAPPROJCERT9">#REF!</definedName>
    <definedName name="CAPPROJCLASS">#REF!</definedName>
    <definedName name="CAPPROJCLASS1">#REF!</definedName>
    <definedName name="CAPPROJCLASS2">#REF!</definedName>
    <definedName name="CAPPROJCLASS3">#REF!</definedName>
    <definedName name="CAPPROJCLASS4">#REF!</definedName>
    <definedName name="CAPPROJCLASS5">#REF!</definedName>
    <definedName name="CAPPROJCLASS6">#REF!</definedName>
    <definedName name="CAPPROJCLASS9">#REF!</definedName>
    <definedName name="CAPPROJDESBAL">#REF!</definedName>
    <definedName name="CAPPROJECONUNCERT">#REF!</definedName>
    <definedName name="CAPPROJOTHOUTGO">#REF!</definedName>
    <definedName name="CAPPROJOTHOUTGO1">#REF!</definedName>
    <definedName name="CAPPROJOTHOUTGO2">#REF!</definedName>
    <definedName name="CAPPROJOTHOUTGO3">#REF!</definedName>
    <definedName name="CAPPROJOTHOUTGO6">#REF!</definedName>
    <definedName name="CAPPROJOTHOUTGO7">#REF!</definedName>
    <definedName name="CAPPROJOTHOUTGO9">#REF!</definedName>
    <definedName name="CAPPROJPREPEXP">#REF!</definedName>
    <definedName name="CAPPROJRSV4ANTENDBAL">#REF!</definedName>
    <definedName name="CAPPROJRSV4PTNEQ">#REF!</definedName>
    <definedName name="CAPPROJRVLVNGFD">#REF!</definedName>
    <definedName name="CAPPROJSVCNOTH">#REF!</definedName>
    <definedName name="CAPPROJSVCNOTH1">#REF!</definedName>
    <definedName name="CAPPROJSVCNOTH2">#REF!</definedName>
    <definedName name="CAPPROJSVCNOTH3">#REF!</definedName>
    <definedName name="CAPPROJSVCNOTH4">#REF!</definedName>
    <definedName name="CAPPROJSVCNOTH5">#REF!</definedName>
    <definedName name="CAPPROJSVCNOTH6">#REF!</definedName>
    <definedName name="CAPPROJSVCNOTH8">#REF!</definedName>
    <definedName name="CAPPROJSVCNOTH9">#REF!</definedName>
    <definedName name="CAPPROJUNDESBAL">#REF!</definedName>
    <definedName name="CAPRANGE">#REF!</definedName>
    <definedName name="caprange2">#REF!</definedName>
    <definedName name="caprate">#REF!</definedName>
    <definedName name="CapRate1">#REF!</definedName>
    <definedName name="CapRate2">#REF!</definedName>
    <definedName name="CapRate3">#REF!</definedName>
    <definedName name="CapRecoupRelease">#REF!</definedName>
    <definedName name="CAPRFEARN">#REF!</definedName>
    <definedName name="CaptFees">#REF!</definedName>
    <definedName name="Career">#REF!</definedName>
    <definedName name="carina">#REF!</definedName>
    <definedName name="CART_INCOME">#REF!</definedName>
    <definedName name="Case">#REF!</definedName>
    <definedName name="Case_2">#REF!</definedName>
    <definedName name="Case_SLA">#REF!</definedName>
    <definedName name="caseII">#REF!</definedName>
    <definedName name="casemis1">#REF!</definedName>
    <definedName name="casemis2">#REF!</definedName>
    <definedName name="Cases">#REF!</definedName>
    <definedName name="cash">#REF!</definedName>
    <definedName name="CASH_FLOW">#REF!</definedName>
    <definedName name="Cash_Rate">#REF!</definedName>
    <definedName name="CashBalanceCheck">#REF!</definedName>
    <definedName name="CashBalanceError">#REF!</definedName>
    <definedName name="CashDistributionYear10">#REF!</definedName>
    <definedName name="Cashflow">#REF!</definedName>
    <definedName name="cashflow1">#REF!</definedName>
    <definedName name="CashFlow1996">#REF!</definedName>
    <definedName name="CashFlow1997">#REF!</definedName>
    <definedName name="CashFlow1998">#REF!</definedName>
    <definedName name="cashflow2">#REF!</definedName>
    <definedName name="cashflow3">#REF!</definedName>
    <definedName name="cashflow4">#REF!</definedName>
    <definedName name="cashflowlookup">#REF!</definedName>
    <definedName name="cashflowmonth">#REF!</definedName>
    <definedName name="CashFlowRows">#REF!</definedName>
    <definedName name="cashflowsplit">#REF!</definedName>
    <definedName name="CASHPORT">#REF!</definedName>
    <definedName name="CASHPORT1">#REF!</definedName>
    <definedName name="CASHPORT2">#REF!</definedName>
    <definedName name="CASHPORT3">#REF!</definedName>
    <definedName name="CAT">#REF!</definedName>
    <definedName name="Categories">#REF!</definedName>
    <definedName name="Category">#REF!</definedName>
    <definedName name="Category_Codes">#REF!</definedName>
    <definedName name="CatLookup">#REF!</definedName>
    <definedName name="CBG">#REF!</definedName>
    <definedName name="CBG_Supplement">#REF!</definedName>
    <definedName name="CBWorkbookPriority" hidden="1">-1134968150</definedName>
    <definedName name="cc_2" hidden="1">{"CD1",#N/A,TRUE,"C-D (R)";"CD2",#N/A,TRUE,"C-D (R)"}</definedName>
    <definedName name="cc_aandI_IIp_fyXVII">#REF!</definedName>
    <definedName name="cc." hidden="1">{"CD1",#N/A,TRUE,"C-D (R)";"CD2",#N/A,TRUE,"C-D (R)"}</definedName>
    <definedName name="cc\">#REF!</definedName>
    <definedName name="CCAP18">#REF!</definedName>
    <definedName name="CCCCCCCCC" hidden="1">{FALSE,FALSE,1.75,1,600,351,FALSE,FALSE,TRUE,TRUE,0,30,#N/A,41,#N/A,9.57777777777778,18.9166666666667,1,FALSE,FALSE,1,TRUE,1,FALSE,100,"Swvu.As._.Is._.Value.","ACwvu.As._.Is._.Value.",1,FALSE,FALSE,1,1,1,1,1,"","",FALSE,FALSE,FALSE,FALSE,1,#N/A,1,1,FALSE,FALSE,FALSE,FALSE,FALSE,FALSE}</definedName>
    <definedName name="CCCCCCCCC_2" hidden="1">{FALSE,FALSE,1.75,1,600,351,FALSE,FALSE,TRUE,TRUE,0,30,#N/A,41,#N/A,9.57777777777778,18.9166666666667,1,FALSE,FALSE,1,TRUE,1,FALSE,100,"Swvu.As._.Is._.Value.","ACwvu.As._.Is._.Value.",1,FALSE,FALSE,1,1,1,1,1,"","",FALSE,FALSE,FALSE,FALSE,1,#N/A,1,1,FALSE,FALSE,FALSE,FALSE,FALSE,FALSE}</definedName>
    <definedName name="cd" localSheetId="4">{"annual",#N/A,FALSE,"Pro Forma";#N/A,#N/A,FALSE,"Golf Operations"}</definedName>
    <definedName name="cd" localSheetId="2">{"annual",#N/A,FALSE,"Pro Forma";#N/A,#N/A,FALSE,"Golf Operations"}</definedName>
    <definedName name="cd" localSheetId="1" hidden="1">{"annual",#N/A,FALSE,"Pro Forma";#N/A,#N/A,FALSE,"Golf Operations"}</definedName>
    <definedName name="cd" localSheetId="5">{"annual",#N/A,FALSE,"Pro Forma";#N/A,#N/A,FALSE,"Golf Operations"}</definedName>
    <definedName name="cd" localSheetId="8">{"annual",#N/A,FALSE,"Pro Forma";#N/A,#N/A,FALSE,"Golf Operations"}</definedName>
    <definedName name="cd" localSheetId="3" hidden="1">{"annual",#N/A,FALSE,"Pro Forma";#N/A,#N/A,FALSE,"Golf Operations"}</definedName>
    <definedName name="cd">{"annual",#N/A,FALSE,"Pro Forma";#N/A,#N/A,FALSE,"Golf Operations"}</definedName>
    <definedName name="cd_2" hidden="1">{"annual",#N/A,FALSE,"Pro Forma";#N/A,#N/A,FALSE,"Golf Operations"}</definedName>
    <definedName name="CDB">#REF!</definedName>
    <definedName name="CDDBrEven">#REF!</definedName>
    <definedName name="CDE">30.04</definedName>
    <definedName name="CDELoanTiming">#REF!</definedName>
    <definedName name="CDEP18">#REF!</definedName>
    <definedName name="CDEP19">#REF!</definedName>
    <definedName name="CDEP20">#REF!</definedName>
    <definedName name="CDEP21">#REF!</definedName>
    <definedName name="CDS">#REF!</definedName>
    <definedName name="CELLTEST">#REF!</definedName>
    <definedName name="CELLTEST1">#REF!</definedName>
    <definedName name="CELLTEST2">#REF!</definedName>
    <definedName name="cen">#REF!</definedName>
    <definedName name="Cent_Per_Site">#REF!</definedName>
    <definedName name="Central_Services_Charge">#REF!</definedName>
    <definedName name="Cert">0.1292</definedName>
    <definedName name="Certainty">#REF!</definedName>
    <definedName name="certbase">#REF!</definedName>
    <definedName name="CertBen">#REF!</definedName>
    <definedName name="CertCheckFIB">#REF!</definedName>
    <definedName name="CertCheckJuly">#REF!</definedName>
    <definedName name="CERTCLASS_COL3">#REF!</definedName>
    <definedName name="CertFund">#REF!</definedName>
    <definedName name="CertGrant">#REF!</definedName>
    <definedName name="Certificated">#REF!</definedName>
    <definedName name="CertificatedTest">#REF!</definedName>
    <definedName name="certlong">#REF!</definedName>
    <definedName name="certlongamount">#REF!</definedName>
    <definedName name="CertObj">#REF!</definedName>
    <definedName name="CertProg">#REF!</definedName>
    <definedName name="CertSalary">#REF!</definedName>
    <definedName name="certstep">#REF!</definedName>
    <definedName name="CF">#REF!</definedName>
    <definedName name="CF_Amortization">#REF!</definedName>
    <definedName name="CF_AP">#REF!</definedName>
    <definedName name="CF_AR">#REF!</definedName>
    <definedName name="CF_Beg_Cash">#REF!</definedName>
    <definedName name="CF_Capex">#REF!</definedName>
    <definedName name="CF_Convertible_Debt">#REF!</definedName>
    <definedName name="CF_Convertible_Preferred">#REF!</definedName>
    <definedName name="CF_Deferred_Taxes">#REF!</definedName>
    <definedName name="CF_Depreciation">#REF!</definedName>
    <definedName name="CF_Dividends">#REF!</definedName>
    <definedName name="CF_Dividends_Subsidiary">#REF!</definedName>
    <definedName name="CF_Equity">#REF!</definedName>
    <definedName name="CF_Inventory">#REF!</definedName>
    <definedName name="CF_Investments">#REF!</definedName>
    <definedName name="CF_Minority_NI">#REF!</definedName>
    <definedName name="CF_NI">#REF!</definedName>
    <definedName name="CF_Non_Cash_Charges">#REF!</definedName>
    <definedName name="CF_Non_Cash_Interest">#REF!</definedName>
    <definedName name="CF_Non_Cash_Straight_PDividend">#REF!</definedName>
    <definedName name="CF_Other">#REF!</definedName>
    <definedName name="CF_Other_CA">#REF!</definedName>
    <definedName name="CF_Other_CL">#REF!</definedName>
    <definedName name="CF_Straight_Debt">#REF!</definedName>
    <definedName name="CF_Straight_Preferred">#REF!</definedName>
    <definedName name="cfeeover">#REF!</definedName>
    <definedName name="cflow" hidden="1">{"CF",#N/A,FALSE,"Cash Flow";"RET",#N/A,FALSE,"Returns";"NPV",#N/A,FALSE,"Values";"ASMPT",#N/A,FALSE,"Assumptions"}</definedName>
    <definedName name="CFLYR">#N/A</definedName>
    <definedName name="CFT">#REF!</definedName>
    <definedName name="CGA">#REF!</definedName>
    <definedName name="ch">#REF!</definedName>
    <definedName name="chalocsend">#REF!</definedName>
    <definedName name="Chammarra">#REF!</definedName>
    <definedName name="Charlotte">#REF!</definedName>
    <definedName name="Chart_of_Accounts">#REF!</definedName>
    <definedName name="Charter_Enrollment">#REF!</definedName>
    <definedName name="Charter_Mo6">#REF!</definedName>
    <definedName name="Charter_Number">#REF!</definedName>
    <definedName name="Charter_Petition___Budget">#REF!</definedName>
    <definedName name="CHARTER1">#REF!</definedName>
    <definedName name="CHARTER2">#REF!</definedName>
    <definedName name="CharterInfoReport">#REF!</definedName>
    <definedName name="CharterNames">#REF!</definedName>
    <definedName name="CharterPeriod">#REF!</definedName>
    <definedName name="CharterRepDiscRt">#REF!</definedName>
    <definedName name="CharterRepGrants">#REF!</definedName>
    <definedName name="CharterSchool">#REF!,#REF!,#REF!,#REF!</definedName>
    <definedName name="CharterStatus">#REF!</definedName>
    <definedName name="check">#REF!</definedName>
    <definedName name="CHECK_BAR">#REF!</definedName>
    <definedName name="check2" hidden="1">{#N/A,#N/A,FALSE,"Cashflow Analysis";#N/A,#N/A,FALSE,"Sensitivity Analysis";#N/A,#N/A,FALSE,"PV";#N/A,#N/A,FALSE,"Pro Forma"}</definedName>
    <definedName name="ChelseaAboveFoundation">#REF!</definedName>
    <definedName name="cherise">#REF!</definedName>
    <definedName name="CHILDDEV1000">#REF!</definedName>
    <definedName name="CHILDDEV2000">#REF!</definedName>
    <definedName name="CHILDDEV3000">#REF!</definedName>
    <definedName name="CHILDDEV4000">#REF!</definedName>
    <definedName name="CHILDDEV5000">#REF!</definedName>
    <definedName name="CHILDDEV6000">#REF!</definedName>
    <definedName name="CHILDDEV7000">#REF!</definedName>
    <definedName name="CHILDDEVDESBAL">#REF!</definedName>
    <definedName name="CHILDDEVECONUNCERT">#REF!</definedName>
    <definedName name="CHILDDEVPREPEXP">#REF!</definedName>
    <definedName name="CHILDDEVRSV4ANTENDBAL">#REF!</definedName>
    <definedName name="CHILDDEVRSV4PTNEQ">#REF!</definedName>
    <definedName name="CHILDDEVRVLVNGFD">#REF!</definedName>
    <definedName name="CHILDDEVUNDESBAL">#REF!</definedName>
    <definedName name="ChooseCFScenario">#REF!</definedName>
    <definedName name="ChooseCS1Scenario">#REF!</definedName>
    <definedName name="ChooseCS2Scenario">#REF!</definedName>
    <definedName name="ChooseResource">#REF!</definedName>
    <definedName name="ChooseSubLoc">#REF!</definedName>
    <definedName name="ChooseYear">#REF!</definedName>
    <definedName name="CHP">#REF!</definedName>
    <definedName name="Cindy">#REF!</definedName>
    <definedName name="CIPAccountNumber">#REF!</definedName>
    <definedName name="CIQWBGuid">"790423dc-b6fd-47cb-88b3-18a31f70d4bb"</definedName>
    <definedName name="Circ">#REF!</definedName>
    <definedName name="circstand">#REF!</definedName>
    <definedName name="Citrus">#REF!</definedName>
    <definedName name="CL">#N/A</definedName>
    <definedName name="class">#REF!</definedName>
    <definedName name="ClassCheckFIB">#REF!</definedName>
    <definedName name="ClassCheckJuly">#REF!</definedName>
    <definedName name="Classes">#REF!</definedName>
    <definedName name="Classes2">#REF!</definedName>
    <definedName name="Classes3">#REF!</definedName>
    <definedName name="Classification">#REF!</definedName>
    <definedName name="Classified">#REF!</definedName>
    <definedName name="ClassifiedTest">#REF!</definedName>
    <definedName name="ClassMap">#REF!</definedName>
    <definedName name="Classrooms">#REF!</definedName>
    <definedName name="Clay">#REF!</definedName>
    <definedName name="CLO">#N/A</definedName>
    <definedName name="CLOSE">#N/A</definedName>
    <definedName name="closed">#REF!</definedName>
    <definedName name="closed_cs">#REF!</definedName>
    <definedName name="CloseDate">#REF!</definedName>
    <definedName name="ClosedMonth">#REF!</definedName>
    <definedName name="closequarter">#REF!</definedName>
    <definedName name="closeyear">#REF!</definedName>
    <definedName name="closing_duration">#REF!</definedName>
    <definedName name="closing_finish">#REF!</definedName>
    <definedName name="closing_start">#REF!</definedName>
    <definedName name="closingq">#REF!</definedName>
    <definedName name="closingyr">#REF!</definedName>
    <definedName name="ClsA_Percentage">#REF!</definedName>
    <definedName name="ClsB_Percentage">#REF!</definedName>
    <definedName name="cm0IIpfyXVII">#REF!</definedName>
    <definedName name="cmh" hidden="1">{#N/A,#N/A,FALSE,"Summary";#N/A,#N/A,FALSE,"Assumptions";#N/A,#N/A,FALSE,"Lease-up";#N/A,#N/A,FALSE,"DrawSchedule"}</definedName>
    <definedName name="CMO_Fee">#REF!</definedName>
    <definedName name="CMO_Name">#REF!</definedName>
    <definedName name="CMO_Names">#REF!</definedName>
    <definedName name="CMO_Resources_Anticipated">#REF!</definedName>
    <definedName name="CNEEDSFC">#N/A</definedName>
    <definedName name="CNIPS">#REF!</definedName>
    <definedName name="CNO">#REF!</definedName>
    <definedName name="CNVAP">#REF!</definedName>
    <definedName name="co35_print_area">#REF!</definedName>
    <definedName name="COA">#REF!</definedName>
    <definedName name="COA_List">#REF!</definedName>
    <definedName name="coach">#REF!</definedName>
    <definedName name="CODE_NAME">#REF!</definedName>
    <definedName name="code437">#REF!</definedName>
    <definedName name="codeCHA">#REF!</definedName>
    <definedName name="Codes">#REF!</definedName>
    <definedName name="COE">#REF!</definedName>
    <definedName name="COF">#REF!</definedName>
    <definedName name="COFE_Job_Title">#REF!</definedName>
    <definedName name="CofO">#REF!</definedName>
    <definedName name="coi">#REF!</definedName>
    <definedName name="coiacres">#REF!</definedName>
    <definedName name="COLA">#REF!</definedName>
    <definedName name="cola_fed">#REF!</definedName>
    <definedName name="Collier">#REF!</definedName>
    <definedName name="color">#REF!</definedName>
    <definedName name="Colorado">#REF!</definedName>
    <definedName name="Columbia">#REF!</definedName>
    <definedName name="ColumnTitle1">#REF!</definedName>
    <definedName name="COMB">#REF!</definedName>
    <definedName name="COMBHOLD">#REF!</definedName>
    <definedName name="CombinedName">#REF!</definedName>
    <definedName name="combo_mtb">#REF!</definedName>
    <definedName name="combo_second_interim">#REF!</definedName>
    <definedName name="Comission">#REF!</definedName>
    <definedName name="COMM_PP_PERCENT_YR_1">#REF!</definedName>
    <definedName name="COMM_PP_PERCENT_YR_2">#REF!</definedName>
    <definedName name="COMM_PP_PERCENT_YR_3">#REF!</definedName>
    <definedName name="COMM_PP_PERCENT_YR_4">#REF!</definedName>
    <definedName name="COMM_PP_TAX_RATE_BASE_YR">#REF!</definedName>
    <definedName name="COMM_PP_TAX_RATE_YR_1">#REF!</definedName>
    <definedName name="COMM_PP_TAX_RATE_YR_2">#REF!</definedName>
    <definedName name="COMM_PP_TAX_RATE_YR_3">#REF!</definedName>
    <definedName name="COMM_PP_TAX_RATE_YR_4">#REF!</definedName>
    <definedName name="CommencementDate">#REF!</definedName>
    <definedName name="COMMENT">#REF!</definedName>
    <definedName name="comment_head">#REF!</definedName>
    <definedName name="comment_home">#REF!</definedName>
    <definedName name="CommentThreshhold">#REF!</definedName>
    <definedName name="CommentWarningAbsolute">#REF!</definedName>
    <definedName name="CommentWarningFloor">#REF!</definedName>
    <definedName name="CommentWarningPercent">#REF!</definedName>
    <definedName name="CommNoRenew">#REF!</definedName>
    <definedName name="COMMON_STMT.">#REF!</definedName>
    <definedName name="CommonSubLoc">#REF!</definedName>
    <definedName name="CommPsf">#REF!</definedName>
    <definedName name="COMMRATE">#REF!</definedName>
    <definedName name="CommRatePerc">#REF!</definedName>
    <definedName name="CommRenew">#REF!</definedName>
    <definedName name="CommService">#REF!</definedName>
    <definedName name="comp2">#REF!</definedName>
    <definedName name="CompAccount">#REF!</definedName>
    <definedName name="CompAccounts">#REF!</definedName>
    <definedName name="CompAmountDynamic">#REF!</definedName>
    <definedName name="Company_List">#REF!</definedName>
    <definedName name="CompanyList">OFFSET(#REF!,0,0,COUNTA(#REF!),1)</definedName>
    <definedName name="ComparableAnalysis">#REF!</definedName>
    <definedName name="COMPARE">#N/A</definedName>
    <definedName name="ComparisonTest" localSheetId="4">{"Budget1",#N/A,TRUE,"Budget";"Income",#N/A,TRUE,"Income";"Comp",#N/A,TRUE,"Comparison"}</definedName>
    <definedName name="ComparisonTest" localSheetId="2">{"Budget1",#N/A,TRUE,"Budget";"Income",#N/A,TRUE,"Income";"Comp",#N/A,TRUE,"Comparison"}</definedName>
    <definedName name="ComparisonTest" localSheetId="1">{"Budget1",#N/A,TRUE,"Budget";"Income",#N/A,TRUE,"Income";"Comp",#N/A,TRUE,"Comparison"}</definedName>
    <definedName name="ComparisonTest" localSheetId="5">{"Budget1",#N/A,TRUE,"Budget";"Income",#N/A,TRUE,"Income";"Comp",#N/A,TRUE,"Comparison"}</definedName>
    <definedName name="ComparisonTest" localSheetId="8">{"Budget1",#N/A,TRUE,"Budget";"Income",#N/A,TRUE,"Income";"Comp",#N/A,TRUE,"Comparison"}</definedName>
    <definedName name="ComparisonTest" localSheetId="3">{"Budget1",#N/A,TRUE,"Budget";"Income",#N/A,TRUE,"Income";"Comp",#N/A,TRUE,"Comparison"}</definedName>
    <definedName name="ComparisonTest">{"Budget1",#N/A,TRUE,"Budget";"Income",#N/A,TRUE,"Income";"Comp",#N/A,TRUE,"Comparison"}</definedName>
    <definedName name="ComparisonTest_1" localSheetId="4">{"Budget1",#N/A,TRUE,"Budget";"Income",#N/A,TRUE,"Income";"Comp",#N/A,TRUE,"Comparison"}</definedName>
    <definedName name="ComparisonTest_1" localSheetId="2">{"Budget1",#N/A,TRUE,"Budget";"Income",#N/A,TRUE,"Income";"Comp",#N/A,TRUE,"Comparison"}</definedName>
    <definedName name="ComparisonTest_1" localSheetId="1">{"Budget1",#N/A,TRUE,"Budget";"Income",#N/A,TRUE,"Income";"Comp",#N/A,TRUE,"Comparison"}</definedName>
    <definedName name="ComparisonTest_1" localSheetId="5">{"Budget1",#N/A,TRUE,"Budget";"Income",#N/A,TRUE,"Income";"Comp",#N/A,TRUE,"Comparison"}</definedName>
    <definedName name="ComparisonTest_1" localSheetId="8">{"Budget1",#N/A,TRUE,"Budget";"Income",#N/A,TRUE,"Income";"Comp",#N/A,TRUE,"Comparison"}</definedName>
    <definedName name="ComparisonTest_1" localSheetId="3">{"Budget1",#N/A,TRUE,"Budget";"Income",#N/A,TRUE,"Income";"Comp",#N/A,TRUE,"Comparison"}</definedName>
    <definedName name="ComparisonTest_1">{"Budget1",#N/A,TRUE,"Budget";"Income",#N/A,TRUE,"Income";"Comp",#N/A,TRUE,"Comparison"}</definedName>
    <definedName name="ComparisonTest_2" localSheetId="4">{"Budget1",#N/A,TRUE,"Budget";"Income",#N/A,TRUE,"Income";"Comp",#N/A,TRUE,"Comparison"}</definedName>
    <definedName name="ComparisonTest_2" localSheetId="2">{"Budget1",#N/A,TRUE,"Budget";"Income",#N/A,TRUE,"Income";"Comp",#N/A,TRUE,"Comparison"}</definedName>
    <definedName name="ComparisonTest_2" localSheetId="1">{"Budget1",#N/A,TRUE,"Budget";"Income",#N/A,TRUE,"Income";"Comp",#N/A,TRUE,"Comparison"}</definedName>
    <definedName name="ComparisonTest_2" localSheetId="5">{"Budget1",#N/A,TRUE,"Budget";"Income",#N/A,TRUE,"Income";"Comp",#N/A,TRUE,"Comparison"}</definedName>
    <definedName name="ComparisonTest_2" localSheetId="8">{"Budget1",#N/A,TRUE,"Budget";"Income",#N/A,TRUE,"Income";"Comp",#N/A,TRUE,"Comparison"}</definedName>
    <definedName name="ComparisonTest_2" localSheetId="3">{"Budget1",#N/A,TRUE,"Budget";"Income",#N/A,TRUE,"Income";"Comp",#N/A,TRUE,"Comparison"}</definedName>
    <definedName name="ComparisonTest_2">{"Budget1",#N/A,TRUE,"Budget";"Income",#N/A,TRUE,"Income";"Comp",#N/A,TRUE,"Comparison"}</definedName>
    <definedName name="ComparisonTest_3" localSheetId="4">{"Budget1",#N/A,TRUE,"Budget";"Income",#N/A,TRUE,"Income";"Comp",#N/A,TRUE,"Comparison"}</definedName>
    <definedName name="ComparisonTest_3" localSheetId="2">{"Budget1",#N/A,TRUE,"Budget";"Income",#N/A,TRUE,"Income";"Comp",#N/A,TRUE,"Comparison"}</definedName>
    <definedName name="ComparisonTest_3" localSheetId="1">{"Budget1",#N/A,TRUE,"Budget";"Income",#N/A,TRUE,"Income";"Comp",#N/A,TRUE,"Comparison"}</definedName>
    <definedName name="ComparisonTest_3" localSheetId="5">{"Budget1",#N/A,TRUE,"Budget";"Income",#N/A,TRUE,"Income";"Comp",#N/A,TRUE,"Comparison"}</definedName>
    <definedName name="ComparisonTest_3" localSheetId="8">{"Budget1",#N/A,TRUE,"Budget";"Income",#N/A,TRUE,"Income";"Comp",#N/A,TRUE,"Comparison"}</definedName>
    <definedName name="ComparisonTest_3" localSheetId="3">{"Budget1",#N/A,TRUE,"Budget";"Income",#N/A,TRUE,"Income";"Comp",#N/A,TRUE,"Comparison"}</definedName>
    <definedName name="ComparisonTest_3">{"Budget1",#N/A,TRUE,"Budget";"Income",#N/A,TRUE,"Income";"Comp",#N/A,TRUE,"Comparison"}</definedName>
    <definedName name="Compensation">#REF!</definedName>
    <definedName name="Complete_Company_List">#REF!</definedName>
    <definedName name="COMPOUND">#REF!</definedName>
    <definedName name="COMPOUND2">#REF!</definedName>
    <definedName name="compound3">#REF!</definedName>
    <definedName name="compound4">#REF!</definedName>
    <definedName name="CompQuartileExp">#REF!</definedName>
    <definedName name="CompQuartileRev">#REF!</definedName>
    <definedName name="COMPS">#REF!</definedName>
    <definedName name="CompsCategories">#REF!</definedName>
    <definedName name="CompTbl5">#REF!</definedName>
    <definedName name="Computers_Administration">#REF!</definedName>
    <definedName name="Computers_Classroom">#REF!</definedName>
    <definedName name="CompValues">#REF!</definedName>
    <definedName name="concapearn">#REF!</definedName>
    <definedName name="CondoTable">#REF!</definedName>
    <definedName name="CONDRAW">#REF!</definedName>
    <definedName name="CONDRAWS">#REF!</definedName>
    <definedName name="conearn">#REF!</definedName>
    <definedName name="conenddays">#REF!</definedName>
    <definedName name="CONFLOW">#REF!</definedName>
    <definedName name="CONFLOWSET">#REF!</definedName>
    <definedName name="conhead">#REF!</definedName>
    <definedName name="conmos">#REF!</definedName>
    <definedName name="Connecticut">#REF!</definedName>
    <definedName name="connet">#REF!</definedName>
    <definedName name="CONPJB">#REF!</definedName>
    <definedName name="CONPJB3">#REF!</definedName>
    <definedName name="conrange">#REF!</definedName>
    <definedName name="conrange2">#REF!</definedName>
    <definedName name="conrfearn">#REF!</definedName>
    <definedName name="Cons">#REF!</definedName>
    <definedName name="cons_list">#REF!</definedName>
    <definedName name="cons_list_for_SFSD">#REF!</definedName>
    <definedName name="CONSOL_BE">#REF!</definedName>
    <definedName name="_xlnm.Consolidate_Area">#REF!</definedName>
    <definedName name="constr.pv">#REF!</definedName>
    <definedName name="Construction">#REF!</definedName>
    <definedName name="CONSTRUCTION_COST">#REF!</definedName>
    <definedName name="constructioncosts">#REF!</definedName>
    <definedName name="ConstStart">#REF!</definedName>
    <definedName name="cont_strs">#REF!</definedName>
    <definedName name="CONTOT">#REF!</definedName>
    <definedName name="ContractDays">#REF!</definedName>
    <definedName name="ContractDays1">#REF!</definedName>
    <definedName name="contracted">#REF!</definedName>
    <definedName name="Contribution_LLC_403B">#REF!</definedName>
    <definedName name="Contribution_Schools_403B">#REF!</definedName>
    <definedName name="conversion">#REF!</definedName>
    <definedName name="converter">#REF!</definedName>
    <definedName name="converter1">#REF!</definedName>
    <definedName name="Convertible_Debt_Converted">#REF!</definedName>
    <definedName name="Convertible_Preferred_Converted">#REF!</definedName>
    <definedName name="copy_to_spot">#REF!</definedName>
    <definedName name="copyrange">#REF!</definedName>
    <definedName name="core_SST_benefits_percentage">#REF!</definedName>
    <definedName name="core_SST_payroll_taxes_percentage">#REF!</definedName>
    <definedName name="core_SST_retirement_percentage">#REF!</definedName>
    <definedName name="coreteacherreplacement">#REF!</definedName>
    <definedName name="Corporate_Giving">#REF!</definedName>
    <definedName name="COS">#REF!</definedName>
    <definedName name="cost">#REF!</definedName>
    <definedName name="Cost_Code">#REF!</definedName>
    <definedName name="Cost_Code_Desc">#REF!</definedName>
    <definedName name="CostDetail" hidden="1">{"CF",#N/A,FALSE,"Cash Flow";"RET",#N/A,FALSE,"Returns";"NPV",#N/A,FALSE,"Values";"ASMPT",#N/A,FALSE,"Assumptions"}</definedName>
    <definedName name="CostDetail_2" hidden="1">{"CF",#N/A,FALSE,"Cash Flow";"RET",#N/A,FALSE,"Returns";"NPV",#N/A,FALSE,"Values";"ASMPT",#N/A,FALSE,"Assumptions"}</definedName>
    <definedName name="Costgrowth">#REF!</definedName>
    <definedName name="CostOfWork">#REF!</definedName>
    <definedName name="costprof">#REF!</definedName>
    <definedName name="costprof1">#REF!</definedName>
    <definedName name="COSTREPT">#REF!</definedName>
    <definedName name="CostsDetail" hidden="1">{"CF",#N/A,FALSE,"Cash Flow";"RET",#N/A,FALSE,"Returns";"NPV",#N/A,FALSE,"Values";"ASMPT",#N/A,FALSE,"Assumptions"}</definedName>
    <definedName name="CostsDetail_2" hidden="1">{"CF",#N/A,FALSE,"Cash Flow";"RET",#N/A,FALSE,"Returns";"NPV",#N/A,FALSE,"Values";"ASMPT",#N/A,FALSE,"Assumptions"}</definedName>
    <definedName name="COSTVAR">#N/A</definedName>
    <definedName name="count">#REF!</definedName>
    <definedName name="count2">#REF!</definedName>
    <definedName name="COUNTER">#REF!</definedName>
    <definedName name="countS">#REF!</definedName>
    <definedName name="County_UPP">#REF!</definedName>
    <definedName name="COUPERYEAR">#REF!</definedName>
    <definedName name="COURSE1">#REF!</definedName>
    <definedName name="cov">#REF!</definedName>
    <definedName name="CoverageRatio">#REF!</definedName>
    <definedName name="CP">#REF!</definedName>
    <definedName name="CPIIND">#REF!</definedName>
    <definedName name="CPISET">#REF!</definedName>
    <definedName name="CPOTHOUTGO">#REF!</definedName>
    <definedName name="CPSPECRES">#REF!</definedName>
    <definedName name="CPV">#REF!</definedName>
    <definedName name="crap" hidden="1">{"CF",#N/A,FALSE,"Cash Flow";"RET",#N/A,FALSE,"Returns";"NPV",#N/A,FALSE,"Values";"ASMPT",#N/A,FALSE,"Assumptions"}</definedName>
    <definedName name="crap_2" hidden="1">{"CF",#N/A,FALSE,"Cash Flow";"RET",#N/A,FALSE,"Returns";"NPV",#N/A,FALSE,"Values";"ASMPT",#N/A,FALSE,"Assumptions"}</definedName>
    <definedName name="crby">#REF!</definedName>
    <definedName name="credit">#REF!</definedName>
    <definedName name="Credit_Enhancement">#REF!</definedName>
    <definedName name="_xlnm.Criteria">#REF!</definedName>
    <definedName name="Criteriacopy">#REF!</definedName>
    <definedName name="Criterialine">#REF!</definedName>
    <definedName name="Crosswalk">#REF!</definedName>
    <definedName name="CS">#REF!</definedName>
    <definedName name="CS_FICA_ADJ_YR_1">#REF!</definedName>
    <definedName name="CS_FICA_ADJ_YR_2">#REF!</definedName>
    <definedName name="CS_FICA_ADJ_YR_3">#REF!</definedName>
    <definedName name="CS_FICA_ADJ_YR_4">#REF!</definedName>
    <definedName name="CS_RETIRE_ADJ_YR_1">#REF!</definedName>
    <definedName name="CS_RETIRE_ADJ_YR_2">#REF!</definedName>
    <definedName name="CS_RETIRE_ADJ_YR_3">#REF!</definedName>
    <definedName name="CS_RETIRE_ADJ_YR_4">#REF!</definedName>
    <definedName name="CSFF">#REF!</definedName>
    <definedName name="CSFF1000">#REF!</definedName>
    <definedName name="CSFF2000">#REF!</definedName>
    <definedName name="CSFF3000">#REF!</definedName>
    <definedName name="CSFF4000">#REF!</definedName>
    <definedName name="CSFF5000">#REF!</definedName>
    <definedName name="CSFF6000">#REF!</definedName>
    <definedName name="CSFF7000">#REF!</definedName>
    <definedName name="csppIIpfyXVII">#REF!</definedName>
    <definedName name="CSR">#REF!</definedName>
    <definedName name="CSR_K3">#REF!</definedName>
    <definedName name="CTC">#REF!</definedName>
    <definedName name="Cum_Int">#REF!</definedName>
    <definedName name="CumRollover1">#REF!</definedName>
    <definedName name="CumRollover2">#REF!</definedName>
    <definedName name="CumRollover3">#REF!</definedName>
    <definedName name="CumRollover4">#REF!</definedName>
    <definedName name="CurrCell">#REF!</definedName>
    <definedName name="Current_Period">#REF!</definedName>
    <definedName name="CURRENT_YR_BASIC_FA">#REF!</definedName>
    <definedName name="CURRENT_YR_BASIC_FA_BASE_YR">#REF!</definedName>
    <definedName name="CURRENT_YR_BASIC_FA_YR_1">#REF!</definedName>
    <definedName name="CURRENT_YR_BASIC_FA_YR_2">#REF!</definedName>
    <definedName name="CURRENT_YR_BASIC_FA_YR_3">#REF!</definedName>
    <definedName name="CURRENT_YR_BASIC_FA_YR_4">#REF!</definedName>
    <definedName name="CurrentSO">#REF!</definedName>
    <definedName name="CurrVac">#REF!</definedName>
    <definedName name="CustomLCFFCOLA">#REF!</definedName>
    <definedName name="cut">#REF!</definedName>
    <definedName name="Cwvu.annual.">#REF!,#REF!,#REF!,#REF!,#REF!,#REF!,#REF!,#REF!,#REF!,#REF!,#REF!,#REF!,#REF!,#REF!,#REF!,#REF!,#REF!,#REF!,#REF!,#REF!,#REF!,#REF!,#REF!,#REF!</definedName>
    <definedName name="Cwvu.annual._.hotel.">#REF!,#REF!,#REF!,#REF!,#REF!,#REF!,#REF!,#REF!,#REF!,#REF!,#REF!,#REF!,#REF!,#REF!,#REF!,#REF!,#REF!,#REF!,#REF!</definedName>
    <definedName name="Cwvu.bottom._.line.">#REF!,#REF!,#REF!,#REF!,#REF!,#REF!,#REF!,#REF!,#REF!,#REF!,#REF!,#REF!,#REF!,#REF!,#REF!,#REF!,#REF!,#REF!,#REF!,#REF!,#REF!,#REF!</definedName>
    <definedName name="Cwvu.cash._.flow.">#REF!,#REF!,#REF!,#REF!,#REF!,#REF!,#REF!,#REF!,#REF!,#REF!,#REF!,#REF!,#REF!,#REF!,#REF!,#REF!,#REF!,#REF!,#REF!,#REF!,#REF!,#REF!,#REF!,#REF!,#REF!,#REF!,#REF!,#REF!,#REF!,#REF!,#REF!,#REF!,#REF!,#REF!,#REF!,#REF!,#REF!,#REF!,#REF!,#REF!,#REF!</definedName>
    <definedName name="Cwvu.combo.">#REF!,#REF!,#REF!,#REF!,#REF!,#REF!,#REF!,#REF!,#REF!,#REF!,#REF!,#REF!,#REF!,#REF!,#REF!,#REF!,#REF!,#REF!,#REF!,#REF!,#REF!,#REF!</definedName>
    <definedName name="cxgxgfgfs" hidden="1">{#N/A,#N/A,FALSE,"Cashflow Analysis";#N/A,#N/A,FALSE,"Sensitivity Analysis";#N/A,#N/A,FALSE,"PV";#N/A,#N/A,FALSE,"Pro Forma"}</definedName>
    <definedName name="cxgxgfgfs.2" hidden="1">{#N/A,#N/A,FALSE,"Cashflow Analysis";#N/A,#N/A,FALSE,"Sensitivity Analysis";#N/A,#N/A,FALSE,"PV";#N/A,#N/A,FALSE,"Pro Forma"}</definedName>
    <definedName name="CY_ADA">#REF!</definedName>
    <definedName name="CY_Common_Equity">#REF!</definedName>
    <definedName name="CY_Depreciation">#REF!</definedName>
    <definedName name="CY_ELL">#REF!</definedName>
    <definedName name="CY_Enrollment">#REF!</definedName>
    <definedName name="CY_Enrollment_4_6">#REF!</definedName>
    <definedName name="CY_Enrollment_7_8">#REF!</definedName>
    <definedName name="CY_Enrollment_9_12">#REF!</definedName>
    <definedName name="CY_Enrollment_K_3">#REF!</definedName>
    <definedName name="CY_FRL">#REF!</definedName>
    <definedName name="CY_Intangible_Assets">#REF!</definedName>
    <definedName name="CY_Interest_Expense">#REF!</definedName>
    <definedName name="CY_LT_Debt">#REF!</definedName>
    <definedName name="CY_Market_Value_of_Equity">#REF!</definedName>
    <definedName name="CY_Marketable_Sec">#REF!</definedName>
    <definedName name="CY_Other">#REF!</definedName>
    <definedName name="CY_P2">#REF!</definedName>
    <definedName name="CY_Selling">#REF!</definedName>
    <definedName name="CY_SPED">#REF!</definedName>
    <definedName name="CY_Tangible_Net_Worth">#REF!</definedName>
    <definedName name="CYAccountBalance">#REF!</definedName>
    <definedName name="CYAccountBalance2">#REF!</definedName>
    <definedName name="CYAccountBalance3">#REF!</definedName>
    <definedName name="CYAddtoJuly">#REF!</definedName>
    <definedName name="d">#REF!</definedName>
    <definedName name="d_2" hidden="1">{"eca",#N/A,TRUE,"E-C1 (R)";"ecb",#N/A,TRUE,"E-C1 (R)"}</definedName>
    <definedName name="d_grp1">#REF!</definedName>
    <definedName name="d\">#REF!</definedName>
    <definedName name="D3Total">#REF!</definedName>
    <definedName name="da">#REF!</definedName>
    <definedName name="DACF" hidden="1">{"mgmt forecast",#N/A,FALSE,"Mgmt Forecast";"dcf table",#N/A,FALSE,"Mgmt Forecast";"sensitivity",#N/A,FALSE,"Mgmt Forecast";"table inputs",#N/A,FALSE,"Mgmt Forecast";"calculations",#N/A,FALSE,"Mgmt Forecast"}</definedName>
    <definedName name="DACF_2" hidden="1">{"mgmt forecast",#N/A,FALSE,"Mgmt Forecast";"dcf table",#N/A,FALSE,"Mgmt Forecast";"sensitivity",#N/A,FALSE,"Mgmt Forecast";"table inputs",#N/A,FALSE,"Mgmt Forecast";"calculations",#N/A,FALSE,"Mgmt Forecast"}</definedName>
    <definedName name="daf" localSheetId="4" hidden="1">{"Base Year Demand",#N/A,FALSE,"Demand-Base Year"}</definedName>
    <definedName name="daf" localSheetId="2" hidden="1">{"Base Year Demand",#N/A,FALSE,"Demand-Base Year"}</definedName>
    <definedName name="daf" localSheetId="1" hidden="1">{"Base Year Demand",#N/A,FALSE,"Demand-Base Year"}</definedName>
    <definedName name="daf" localSheetId="5" hidden="1">{"Base Year Demand",#N/A,FALSE,"Demand-Base Year"}</definedName>
    <definedName name="daf" localSheetId="8" hidden="1">{"Base Year Demand",#N/A,FALSE,"Demand-Base Year"}</definedName>
    <definedName name="daf" localSheetId="3" hidden="1">{"Base Year Demand",#N/A,FALSE,"Demand-Base Year"}</definedName>
    <definedName name="daf" hidden="1">{"Base Year Demand",#N/A,FALSE,"Demand-Base Year"}</definedName>
    <definedName name="daily_code">#REF!</definedName>
    <definedName name="daily_rev">#REF!</definedName>
    <definedName name="DashboardFigureGapContig">#REF!</definedName>
    <definedName name="dat" localSheetId="4">{"data",#N/A,FALSE,"INPUT"}</definedName>
    <definedName name="dat" localSheetId="2">{"data",#N/A,FALSE,"INPUT"}</definedName>
    <definedName name="dat" localSheetId="1" hidden="1">{"data",#N/A,FALSE,"INPUT"}</definedName>
    <definedName name="dat" localSheetId="5">{"data",#N/A,FALSE,"INPUT"}</definedName>
    <definedName name="dat" localSheetId="8">{"data",#N/A,FALSE,"INPUT"}</definedName>
    <definedName name="dat" localSheetId="3" hidden="1">{"data",#N/A,FALSE,"INPUT"}</definedName>
    <definedName name="dat">{"data",#N/A,FALSE,"INPUT"}</definedName>
    <definedName name="data" hidden="1">#REF!</definedName>
    <definedName name="DATA_01" localSheetId="2" hidden="1">#REF!</definedName>
    <definedName name="DATA_01" localSheetId="1" hidden="1">#REF!</definedName>
    <definedName name="DATA_01" hidden="1">#REF!</definedName>
    <definedName name="DATA_02">#REF!</definedName>
    <definedName name="DATA_03">#REF!</definedName>
    <definedName name="DATA_04">#REF!</definedName>
    <definedName name="DATA_05">#REF!</definedName>
    <definedName name="DATA_08" localSheetId="2" hidden="1">#REF!</definedName>
    <definedName name="DATA_08" localSheetId="1" hidden="1">#REF!</definedName>
    <definedName name="DATA_08" hidden="1">#REF!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8a">#REF!</definedName>
    <definedName name="DATA59">#REF!</definedName>
    <definedName name="data59_">#REF!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8a">#REF!</definedName>
    <definedName name="data68b">#REF!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9">#REF!</definedName>
    <definedName name="_xlnm.Database">#REF!</definedName>
    <definedName name="dataerror" localSheetId="4">{"data",#N/A,FALSE,"INPUT"}</definedName>
    <definedName name="dataerror" localSheetId="2">{"data",#N/A,FALSE,"INPUT"}</definedName>
    <definedName name="dataerror" localSheetId="1" hidden="1">{"data",#N/A,FALSE,"INPUT"}</definedName>
    <definedName name="dataerror" localSheetId="5">{"data",#N/A,FALSE,"INPUT"}</definedName>
    <definedName name="dataerror" localSheetId="8">{"data",#N/A,FALSE,"INPUT"}</definedName>
    <definedName name="dataerror" localSheetId="3" hidden="1">{"data",#N/A,FALSE,"INPUT"}</definedName>
    <definedName name="dataerror">{"data",#N/A,FALSE,"INPUT"}</definedName>
    <definedName name="DataIn">#REF!</definedName>
    <definedName name="dataline">#REF!</definedName>
    <definedName name="dataline2">#REF!</definedName>
    <definedName name="DataOutcomes">#REF!</definedName>
    <definedName name="date">#REF!</definedName>
    <definedName name="Date_Limit">#REF!</definedName>
    <definedName name="DATE_OF_REPORT">#REF!</definedName>
    <definedName name="dated">#REF!</definedName>
    <definedName name="dated2">#REF!</definedName>
    <definedName name="datedtax">#REF!</definedName>
    <definedName name="DateHeader">#REF!</definedName>
    <definedName name="datel">#REF!</definedName>
    <definedName name="DATENOW">#REF!</definedName>
    <definedName name="daterange">#REF!</definedName>
    <definedName name="daterange2">#REF!</definedName>
    <definedName name="Dates">#REF!</definedName>
    <definedName name="DAVIS_CofO">#REF!</definedName>
    <definedName name="DAVIS_COMMENTS">#REF!</definedName>
    <definedName name="DAVIS_COMMENTS_2">#REF!</definedName>
    <definedName name="DAVIS_CONST_FEE">#REF!</definedName>
    <definedName name="DAVIS_CONST_START">#REF!</definedName>
    <definedName name="DAVIS_DB_FEE">#REF!</definedName>
    <definedName name="DAVIS_DDCD">#REF!</definedName>
    <definedName name="DAVIS_DES_FEE">#REF!</definedName>
    <definedName name="DAVIS_DES_START">#REF!</definedName>
    <definedName name="DAVIS_DETAILS_CONST_FEE">#REF!</definedName>
    <definedName name="DAVIS_FINISH">#REF!</definedName>
    <definedName name="DAVIS_PREC_FEE">#REF!</definedName>
    <definedName name="DAVISDB_CONST_FEE">#REF!</definedName>
    <definedName name="DAVISDB_DB_FEE">#REF!</definedName>
    <definedName name="DAVISDB_DES_FEE">#REF!</definedName>
    <definedName name="DAVISDB_PREC_FEE">#REF!</definedName>
    <definedName name="Daycount">#REF!</definedName>
    <definedName name="Daycounttax">#REF!</definedName>
    <definedName name="dayred">#REF!</definedName>
    <definedName name="days">#REF!</definedName>
    <definedName name="days_cash_on_hand_requirement">#REF!</definedName>
    <definedName name="Days_RSED1">#REF!</definedName>
    <definedName name="Days_RSED2">#REF!</definedName>
    <definedName name="daysinfp">#REF!</definedName>
    <definedName name="daysinLY">#REF!</definedName>
    <definedName name="daysinyr">#REF!</definedName>
    <definedName name="daysinyrLY">#REF!</definedName>
    <definedName name="DBL">#REF!</definedName>
    <definedName name="DBTLU">#REF!</definedName>
    <definedName name="DC">#REF!</definedName>
    <definedName name="DCR">#REF!</definedName>
    <definedName name="dd">#REF!</definedName>
    <definedName name="dd\">#REF!</definedName>
    <definedName name="ddd">#REF!</definedName>
    <definedName name="dddd">#REF!</definedName>
    <definedName name="dddddd" hidden="1">{#N/A,#N/A,FALSE,"CAPREIT"}</definedName>
    <definedName name="ddddddd" hidden="1">{#N/A,#N/A,FALSE,"CAPREIT"}</definedName>
    <definedName name="deanreplacement">#REF!</definedName>
    <definedName name="Debbie">#REF!</definedName>
    <definedName name="DEBT">#REF!</definedName>
    <definedName name="Debt_Constant">#REF!</definedName>
    <definedName name="Debt_Show1_Amort" hidden="1">#REF!</definedName>
    <definedName name="debt1">#REF!</definedName>
    <definedName name="debt2">#REF!</definedName>
    <definedName name="DEBTB">#REF!</definedName>
    <definedName name="DEBTC">#REF!</definedName>
    <definedName name="debtret">#REF!</definedName>
    <definedName name="dec">#REF!</definedName>
    <definedName name="Dec2011_Enroll">#REF!</definedName>
    <definedName name="december">#REF!</definedName>
    <definedName name="December_31__1997">#REF!</definedName>
    <definedName name="Declining_Enrollment_Supplement">#REF!</definedName>
    <definedName name="Deferred_Cash">#REF!</definedName>
    <definedName name="DEFINE">#REF!</definedName>
    <definedName name="DEFM1000">#REF!</definedName>
    <definedName name="DEFM2000">#REF!</definedName>
    <definedName name="DEFM3000">#REF!</definedName>
    <definedName name="DEFM4000">#REF!</definedName>
    <definedName name="DEFM5000">#REF!</definedName>
    <definedName name="DEFM6000">#REF!</definedName>
    <definedName name="DEFM7000">#REF!</definedName>
    <definedName name="DEFMDESBAL">#REF!</definedName>
    <definedName name="DEFMECONUNCERT">#REF!</definedName>
    <definedName name="DEFMPREPEXP">#REF!</definedName>
    <definedName name="DEFMRSV4ANTENDBAL">#REF!</definedName>
    <definedName name="DEFMRSV4PTNEQ">#REF!</definedName>
    <definedName name="DEFMRVLVNGFD">#REF!</definedName>
    <definedName name="DEFMUNDESBAL">#REF!</definedName>
    <definedName name="DefY1CF">#REF!</definedName>
    <definedName name="DefY2CF">#REF!</definedName>
    <definedName name="del" localSheetId="4" hidden="1">{"Page1",#N/A,FALSE,"7979";"Page2",#N/A,FALSE,"7979";"Page3",#N/A,FALSE,"7979"}</definedName>
    <definedName name="del" localSheetId="2" hidden="1">{"Page1",#N/A,FALSE,"7979";"Page2",#N/A,FALSE,"7979";"Page3",#N/A,FALSE,"7979"}</definedName>
    <definedName name="del" localSheetId="1" hidden="1">{"Page1",#N/A,FALSE,"7979";"Page2",#N/A,FALSE,"7979";"Page3",#N/A,FALSE,"7979"}</definedName>
    <definedName name="del" localSheetId="5" hidden="1">{"Page1",#N/A,FALSE,"7979";"Page2",#N/A,FALSE,"7979";"Page3",#N/A,FALSE,"7979"}</definedName>
    <definedName name="del" localSheetId="8" hidden="1">{"Page1",#N/A,FALSE,"7979";"Page2",#N/A,FALSE,"7979";"Page3",#N/A,FALSE,"7979"}</definedName>
    <definedName name="del" localSheetId="3" hidden="1">{"Page1",#N/A,FALSE,"7979";"Page2",#N/A,FALSE,"7979";"Page3",#N/A,FALSE,"7979"}</definedName>
    <definedName name="del" hidden="1">{"Page1",#N/A,FALSE,"7979";"Page2",#N/A,FALSE,"7979";"Page3",#N/A,FALSE,"7979"}</definedName>
    <definedName name="Delaware">#REF!</definedName>
    <definedName name="delayinq">#REF!</definedName>
    <definedName name="delaytable">#REF!</definedName>
    <definedName name="DELDAYS">#REF!</definedName>
    <definedName name="delivery">#REF!</definedName>
    <definedName name="deltax">#REF!</definedName>
    <definedName name="demo">#REF!</definedName>
    <definedName name="DENOM">#REF!</definedName>
    <definedName name="DenomRes">#REF!</definedName>
    <definedName name="densitytable">#REF!</definedName>
    <definedName name="dent_prm">#REF!</definedName>
    <definedName name="Dental_DHMO_Full">#REF!</definedName>
    <definedName name="Dental_DHMO_Shared">#REF!</definedName>
    <definedName name="dental_fy15">#REF!</definedName>
    <definedName name="Dental_Plans">#REF!</definedName>
    <definedName name="Dental_PPO_Full">#REF!</definedName>
    <definedName name="Dental_PPO_Shared">#REF!</definedName>
    <definedName name="Dental_Rates">#REF!</definedName>
    <definedName name="DentalDHMO_FULL">#REF!</definedName>
    <definedName name="DentalDHMO_SHARED">#REF!</definedName>
    <definedName name="DentalIncrease">#REF!</definedName>
    <definedName name="DentalIncreaseRev">#REF!</definedName>
    <definedName name="DentalPPO_FULL">#REF!</definedName>
    <definedName name="DentalPPO_SHARED">#REF!</definedName>
    <definedName name="DentalRatesrev">#REF!</definedName>
    <definedName name="Department">#REF!</definedName>
    <definedName name="Departments">#REF!</definedName>
    <definedName name="DepartmentsList">#REF!</definedName>
    <definedName name="deprecexp">#REF!</definedName>
    <definedName name="Depreciation">#REF!</definedName>
    <definedName name="Depreciation_Actuals_or_Budget">#REF!</definedName>
    <definedName name="DESIGNATION">#REF!</definedName>
    <definedName name="DeSoto">#REF!</definedName>
    <definedName name="detail">#REF!</definedName>
    <definedName name="DETAIL_1">#REF!</definedName>
    <definedName name="DETAIL_2">#REF!</definedName>
    <definedName name="DETAIL_3">#REF!</definedName>
    <definedName name="DETAIL_4">#REF!</definedName>
    <definedName name="DETAIL_5">#REF!</definedName>
    <definedName name="DETAIL_6">#REF!</definedName>
    <definedName name="DETAIL_7">#REF!</definedName>
    <definedName name="DETAIL_8">#REF!</definedName>
    <definedName name="DETAIL_HEAD">#REF!</definedName>
    <definedName name="detail01">#REF!</definedName>
    <definedName name="detail02">#REF!</definedName>
    <definedName name="detail03">#REF!</definedName>
    <definedName name="detail04">#REF!</definedName>
    <definedName name="detailall">#REF!</definedName>
    <definedName name="DetailedCosts" hidden="1">{"CF",#N/A,FALSE,"Cash Flow";"RET",#N/A,FALSE,"Returns";"NPV",#N/A,FALSE,"Values";"ASMPT",#N/A,FALSE,"Assumptions"}</definedName>
    <definedName name="DetailedCosts_2" hidden="1">{"CF",#N/A,FALSE,"Cash Flow";"RET",#N/A,FALSE,"Returns";"NPV",#N/A,FALSE,"Values";"ASMPT",#N/A,FALSE,"Assumptions"}</definedName>
    <definedName name="DeveloperAmount">#REF!</definedName>
    <definedName name="DeveloperCash02Level">#REF!</definedName>
    <definedName name="DeveloperCash03Level">#REF!</definedName>
    <definedName name="DeveloperEquityContribution">#REF!</definedName>
    <definedName name="DeveloperExcessCashPiece">#REF!</definedName>
    <definedName name="DeveloperExcessCashPiece02">#REF!</definedName>
    <definedName name="DeveloperIRRTarget">#REF!</definedName>
    <definedName name="DeveloperLevel">#REF!</definedName>
    <definedName name="DeveloperName">#REF!</definedName>
    <definedName name="DeveloperPercentOfCashFlow">#REF!</definedName>
    <definedName name="DeveloperPrefPaymentNoOne">#REF!</definedName>
    <definedName name="DeveloperRate">#REF!</definedName>
    <definedName name="DeveloperResidualCashSplit01">#REF!</definedName>
    <definedName name="DeveloperResidualCashSplit02">#REF!</definedName>
    <definedName name="DeveloperResidualIRRTarget">#REF!</definedName>
    <definedName name="DeveloperReturnInvestmentLevel">#REF!</definedName>
    <definedName name="DeveloperTypeOfReturn">#REF!</definedName>
    <definedName name="DevelperPercentOfCashFlow">#REF!</definedName>
    <definedName name="DEVFEE">#REF!</definedName>
    <definedName name="devfee2">#REF!</definedName>
    <definedName name="DevOff">#REF!</definedName>
    <definedName name="DevRow">#REF!</definedName>
    <definedName name="DevRowRes">#REF!</definedName>
    <definedName name="DEVTAXREPT">#REF!</definedName>
    <definedName name="DFCS">#REF!</definedName>
    <definedName name="DFCS_Extract_from_ConApp___EDs_version_with_Scode_Without_Matchi">#REF!</definedName>
    <definedName name="DFCS2">#REF!</definedName>
    <definedName name="dfgd" hidden="1">{#N/A,#N/A,FALSE,"Cashflow Analysis";#N/A,#N/A,FALSE,"Sensitivity Analysis";#N/A,#N/A,FALSE,"PV";#N/A,#N/A,FALSE,"Pro Forma"}</definedName>
    <definedName name="dfgsfd">#REF!</definedName>
    <definedName name="dflt1">#REF!</definedName>
    <definedName name="dfs">#REF!</definedName>
    <definedName name="dhours">#REF!</definedName>
    <definedName name="DIETARY">#REF!</definedName>
    <definedName name="DilutedShares">#REF!</definedName>
    <definedName name="DimNo1">#REF!</definedName>
    <definedName name="DimNo2">#REF!</definedName>
    <definedName name="DimNo3">#REF!</definedName>
    <definedName name="dineconcourse">#REF!</definedName>
    <definedName name="DINK">#REF!</definedName>
    <definedName name="direct">#REF!</definedName>
    <definedName name="direct2">#REF!</definedName>
    <definedName name="DIRECTORY">#REF!</definedName>
    <definedName name="dis" hidden="1">{#N/A,#N/A,FALSE,"Cashflow Analysis";#N/A,#N/A,FALSE,"Sensitivity Analysis";#N/A,#N/A,FALSE,"PV";#N/A,#N/A,FALSE,"Pro Forma"}</definedName>
    <definedName name="dis.2" hidden="1">{#N/A,#N/A,FALSE,"Cashflow Analysis";#N/A,#N/A,FALSE,"Sensitivity Analysis";#N/A,#N/A,FALSE,"PV";#N/A,#N/A,FALSE,"Pro Forma"}</definedName>
    <definedName name="DISCOUNTS">#REF!</definedName>
    <definedName name="DiscountYears">#REF!</definedName>
    <definedName name="discrate">#REF!</definedName>
    <definedName name="Discretionary__Lottery__District_Discretionary_Funds">#REF!</definedName>
    <definedName name="Discretionary_Tax_Compression_0.25_mills">#REF!</definedName>
    <definedName name="DisFeeFor">#REF!</definedName>
    <definedName name="DisFeeForFree">#REF!</definedName>
    <definedName name="DisFeeForHV">#REF!</definedName>
    <definedName name="DisFeeForPay">#REF!</definedName>
    <definedName name="DisFeeForTh">#REF!</definedName>
    <definedName name="DisFeeUSHV">#REF!</definedName>
    <definedName name="DisFeeUSHV2">#REF!</definedName>
    <definedName name="DisFin">#REF!</definedName>
    <definedName name="disp_mo">#REF!</definedName>
    <definedName name="display_area_2">#REF!</definedName>
    <definedName name="display_area_3">#REF!</definedName>
    <definedName name="display_area_4">#REF!</definedName>
    <definedName name="DistFee">#REF!</definedName>
    <definedName name="DistFeeCS">#REF!</definedName>
    <definedName name="DistFeePart">#REF!</definedName>
    <definedName name="distfoundenro">#REF!</definedName>
    <definedName name="distinfo">#REF!</definedName>
    <definedName name="DISTRICT">"ROCKFORD"</definedName>
    <definedName name="DISTRICT_CODE">#REF!</definedName>
    <definedName name="District_Count">#REF!</definedName>
    <definedName name="District_Mo6">#REF!</definedName>
    <definedName name="DISTRICT_NAME">#REF!</definedName>
    <definedName name="District_of_Columbia">#REF!</definedName>
    <definedName name="District_SAI_Allocation">#REF!</definedName>
    <definedName name="District_SPED">#REF!</definedName>
    <definedName name="DistrictDetailExpanded">#REF!</definedName>
    <definedName name="DistrictList">#REF!</definedName>
    <definedName name="DistrictNewChTgtCalc">#REF!</definedName>
    <definedName name="districts">#REF!</definedName>
    <definedName name="DistrictSDLR1718">#REF!</definedName>
    <definedName name="DistrictSDTransP2_1718">#REF!</definedName>
    <definedName name="DistrictSDUPP1718">#REF!</definedName>
    <definedName name="DIV">#REF!</definedName>
    <definedName name="DivBudgetCuts">#REF!</definedName>
    <definedName name="divest">#REF!</definedName>
    <definedName name="divided_by_district_FTE">#REF!</definedName>
    <definedName name="division01">#REF!</definedName>
    <definedName name="division02">#REF!</definedName>
    <definedName name="division03">#REF!</definedName>
    <definedName name="division04">#REF!</definedName>
    <definedName name="divisionall">#REF!</definedName>
    <definedName name="Dixie">#REF!</definedName>
    <definedName name="DMJM_CofO">#REF!</definedName>
    <definedName name="DMJM_COMMENTS">#REF!</definedName>
    <definedName name="DMJM_COMMENTS_2">#REF!</definedName>
    <definedName name="DMJM_CONST_FEE">#REF!</definedName>
    <definedName name="DMJM_CONST_START">#REF!</definedName>
    <definedName name="DMJM_DB_FEE">#REF!</definedName>
    <definedName name="DMJM_DDCD">#REF!</definedName>
    <definedName name="DMJM_DES_FEE">#REF!</definedName>
    <definedName name="DMJM_DES_START">#REF!</definedName>
    <definedName name="DMJM_DETAILS_DES_FEE">#REF!</definedName>
    <definedName name="DMJM_FINISH">#REF!</definedName>
    <definedName name="DMJM_PREC_FEE">#REF!</definedName>
    <definedName name="DNO">#REF!</definedName>
    <definedName name="DOG">#REF!</definedName>
    <definedName name="dog_2" hidden="1">{FALSE,FALSE,1.75,1,600,351,FALSE,FALSE,TRUE,TRUE,0,30,#N/A,41,#N/A,9.57777777777778,18.9166666666667,1,FALSE,FALSE,1,TRUE,1,FALSE,100,"Swvu.As._.Is._.Value.","ACwvu.As._.Is._.Value.",1,FALSE,FALSE,1,1,1,1,1,"","",FALSE,FALSE,FALSE,FALSE,1,#N/A,1,1,FALSE,FALSE,FALSE,FALSE,FALSE,FALSE}</definedName>
    <definedName name="DOLLARAMOUNT">#REF!</definedName>
    <definedName name="DollarAmountOrPriorBalloon_1">#REF!</definedName>
    <definedName name="DollarAmountOrPriorBalloon_2">#REF!</definedName>
    <definedName name="DollarHeader">#REF!</definedName>
    <definedName name="DollarVarianceThreshold">#REF!</definedName>
    <definedName name="DomesticFreeTV">#REF!</definedName>
    <definedName name="DomesticLibraryValue">#REF!</definedName>
    <definedName name="DomesticOther">#REF!</definedName>
    <definedName name="DomesticPA">#REF!</definedName>
    <definedName name="DomesticPayTV">#REF!</definedName>
    <definedName name="DomesticPR">#REF!</definedName>
    <definedName name="DomesticProduction">#REF!</definedName>
    <definedName name="DomesticTheatrical">#REF!</definedName>
    <definedName name="DomesticVideo">#REF!</definedName>
    <definedName name="DomesticVideoCost">#REF!</definedName>
    <definedName name="donationIIpfyXVII">#REF!</definedName>
    <definedName name="donor_reports">#REF!</definedName>
    <definedName name="donor_reports_summary">#REF!</definedName>
    <definedName name="donor_reports_total">#REF!</definedName>
    <definedName name="dorado1">#REF!</definedName>
    <definedName name="DOUBLE_CHECK">#REF!</definedName>
    <definedName name="DOUBLECHECK">#REF!</definedName>
    <definedName name="DP_CountyLCFF">#REF!</definedName>
    <definedName name="DPEPACompare">#REF!</definedName>
    <definedName name="dpf">#REF!</definedName>
    <definedName name="DPLCFFEnt">#REF!</definedName>
    <definedName name="DPS">#REF!</definedName>
    <definedName name="DRA1.5">#REF!</definedName>
    <definedName name="DRAW">#REF!</definedName>
    <definedName name="draw1">#REF!</definedName>
    <definedName name="DRAW2">#REF!</definedName>
    <definedName name="DRAW3">#REF!</definedName>
    <definedName name="drawdown_schedule">#REF!</definedName>
    <definedName name="DRAWS">#REF!</definedName>
    <definedName name="DREAM_FY15">#REF!</definedName>
    <definedName name="DREAM_OTPS">#REF!</definedName>
    <definedName name="drimax">#REF!</definedName>
    <definedName name="driver">#REF!</definedName>
    <definedName name="ds">#REF!</definedName>
    <definedName name="DS1_">#REF!</definedName>
    <definedName name="dsaf" localSheetId="4" hidden="1">{#N/A,#N/A,FALSE,"ExecSum";#N/A,#N/A,FALSE,"total summary";#N/A,#N/A,FALSE,"Budget";#N/A,#N/A,FALSE,"CashFlow"}</definedName>
    <definedName name="dsaf" localSheetId="2" hidden="1">{#N/A,#N/A,FALSE,"ExecSum";#N/A,#N/A,FALSE,"total summary";#N/A,#N/A,FALSE,"Budget";#N/A,#N/A,FALSE,"CashFlow"}</definedName>
    <definedName name="dsaf" localSheetId="1" hidden="1">{#N/A,#N/A,FALSE,"ExecSum";#N/A,#N/A,FALSE,"total summary";#N/A,#N/A,FALSE,"Budget";#N/A,#N/A,FALSE,"CashFlow"}</definedName>
    <definedName name="dsaf" localSheetId="5" hidden="1">{#N/A,#N/A,FALSE,"ExecSum";#N/A,#N/A,FALSE,"total summary";#N/A,#N/A,FALSE,"Budget";#N/A,#N/A,FALSE,"CashFlow"}</definedName>
    <definedName name="dsaf" localSheetId="8" hidden="1">{#N/A,#N/A,FALSE,"ExecSum";#N/A,#N/A,FALSE,"total summary";#N/A,#N/A,FALSE,"Budget";#N/A,#N/A,FALSE,"CashFlow"}</definedName>
    <definedName name="dsaf" localSheetId="3" hidden="1">{#N/A,#N/A,FALSE,"ExecSum";#N/A,#N/A,FALSE,"total summary";#N/A,#N/A,FALSE,"Budget";#N/A,#N/A,FALSE,"CashFlow"}</definedName>
    <definedName name="dsaf" hidden="1">{#N/A,#N/A,FALSE,"ExecSum";#N/A,#N/A,FALSE,"total summary";#N/A,#N/A,FALSE,"Budget";#N/A,#N/A,FALSE,"CashFlow"}</definedName>
    <definedName name="dsafs">#REF!</definedName>
    <definedName name="dscr_requirement">#REF!</definedName>
    <definedName name="dsfasdfsf">#REF!</definedName>
    <definedName name="DSP">#REF!</definedName>
    <definedName name="DSPIMO">#REF!</definedName>
    <definedName name="DSPMO">#REF!</definedName>
    <definedName name="DSPTLMO">#REF!</definedName>
    <definedName name="DSPY">#REF!</definedName>
    <definedName name="DSR">#REF!</definedName>
    <definedName name="dta.">#REF!</definedName>
    <definedName name="DTBL">#REF!</definedName>
    <definedName name="Dtd">#REF!</definedName>
    <definedName name="DTS">#REF!</definedName>
    <definedName name="dtt">#REF!</definedName>
    <definedName name="Dual_Enrollment_Allocation">#REF!</definedName>
    <definedName name="dump1">#REF!</definedName>
    <definedName name="dump2">#REF!</definedName>
    <definedName name="dump3">#REF!</definedName>
    <definedName name="Duplicate">#REF!</definedName>
    <definedName name="Duration">#REF!</definedName>
    <definedName name="Durham_Middle">#REF!</definedName>
    <definedName name="Duval">#REF!</definedName>
    <definedName name="DV_Analysis">#REF!</definedName>
    <definedName name="DV_CIPAccounts">#REF!</definedName>
    <definedName name="DV_CMOFeeExpenseAlloc">#REF!</definedName>
    <definedName name="DV_CMOFeeRevenueType">#REF!</definedName>
    <definedName name="DV_DistrictFee">#REF!</definedName>
    <definedName name="DV_EdTec_Fee_Type">#REF!</definedName>
    <definedName name="DV_EdTecFee_Allocation">#REF!</definedName>
    <definedName name="DV_FixedAssetAccounts">#REF!</definedName>
    <definedName name="DV_Gen_Exp">#REF!</definedName>
    <definedName name="DV_Gen_Rev">#REF!</definedName>
    <definedName name="DV_HW">#REF!</definedName>
    <definedName name="DV_LCFFCOLA">#REF!</definedName>
    <definedName name="DV_Lease_Other">#REF!</definedName>
    <definedName name="DV_Leases">#REF!</definedName>
    <definedName name="DV_MYPAnalysis">#REF!</definedName>
    <definedName name="DV_Nutrition_Exp">#REF!</definedName>
    <definedName name="DV_Nutrition_Rev">#REF!</definedName>
    <definedName name="DV_Other_SELPA_Rev">#REF!</definedName>
    <definedName name="DV_SB740">#REF!</definedName>
    <definedName name="DV_Sped_FedSELPA">#REF!</definedName>
    <definedName name="DV_Sped_StateSELPA">#REF!</definedName>
    <definedName name="DV_SpedEncroachment">#REF!</definedName>
    <definedName name="DV_Title_OutYr">#REF!</definedName>
    <definedName name="DV_Title1">#REF!</definedName>
    <definedName name="DV_Title1_Yr2">#REF!</definedName>
    <definedName name="DV_Title2">#REF!</definedName>
    <definedName name="DV_Title2_Yr2">#REF!</definedName>
    <definedName name="DV_Title3Imm">#REF!</definedName>
    <definedName name="DV_Title3IMM_Yr_2">#REF!</definedName>
    <definedName name="DV_Title3LEP">#REF!</definedName>
    <definedName name="DV_Title3LEP_Yr_2">#REF!</definedName>
    <definedName name="DV_Title4">#REF!</definedName>
    <definedName name="DV_Title4_Yr2">#REF!</definedName>
    <definedName name="DV_Title5">#REF!</definedName>
    <definedName name="DVList_AcadYr">#REF!</definedName>
    <definedName name="DVLPBDG">#REF!</definedName>
    <definedName name="dvversionpt">#REF!</definedName>
    <definedName name="e" hidden="1">{"ODB",#N/A,FALSE,"Hold Scenario"}</definedName>
    <definedName name="E_2" hidden="1">{"mgmt forecast",#N/A,FALSE,"Mgmt Forecast";"dcf table",#N/A,FALSE,"Mgmt Forecast";"sensitivity",#N/A,FALSE,"Mgmt Forecast";"table inputs",#N/A,FALSE,"Mgmt Forecast";"calculations",#N/A,FALSE,"Mgmt Forecast"}</definedName>
    <definedName name="e\">#REF!</definedName>
    <definedName name="EBCAP18">#REF!</definedName>
    <definedName name="EBCAP19">#REF!</definedName>
    <definedName name="EBCAP20">#REF!</definedName>
    <definedName name="EBCAP21">#REF!</definedName>
    <definedName name="EBDep18">#REF!</definedName>
    <definedName name="EBDEP19">#REF!</definedName>
    <definedName name="EBDEP20">#REF!</definedName>
    <definedName name="EBDEP21">#REF!</definedName>
    <definedName name="EBDEP22">#REF!</definedName>
    <definedName name="EBITA">#REF!</definedName>
    <definedName name="eby">#REF!</definedName>
    <definedName name="ECED">#REF!</definedName>
    <definedName name="ECEKEY">#REF!</definedName>
    <definedName name="ecodis17">#REF!</definedName>
    <definedName name="ecodis18">#REF!</definedName>
    <definedName name="ecodis19">#REF!</definedName>
    <definedName name="ecodis20">#REF!</definedName>
    <definedName name="ecodis21">#REF!</definedName>
    <definedName name="ecodis22">#REF!</definedName>
    <definedName name="EcoDisGrowth">#REF!</definedName>
    <definedName name="EcoDisNGrowth">#REF!</definedName>
    <definedName name="EcoDisRateGrowth">#REF!</definedName>
    <definedName name="ED">#REF!</definedName>
    <definedName name="EDCOE_Fed__PY_CBEDS_Enrollment">#REF!</definedName>
    <definedName name="EDCOE_Fed_Yr1">#REF!</definedName>
    <definedName name="EDCOE_Fed_Yr2">#REF!</definedName>
    <definedName name="EDCOE_Fed_Yr3">#REF!</definedName>
    <definedName name="EDCOE_Fed_Yr4">#REF!</definedName>
    <definedName name="EDCOE_Fed_Yr5">#REF!</definedName>
    <definedName name="EDCOE_Fed_Yr6">#REF!</definedName>
    <definedName name="EDCOE_State__CY_ADA">#REF!</definedName>
    <definedName name="EDCOE_State_Yr1">#REF!</definedName>
    <definedName name="EDCOE_State_Yr2">#REF!</definedName>
    <definedName name="EDCOE_State_Yr3">#REF!</definedName>
    <definedName name="EDCOE_State_Yr4">#REF!</definedName>
    <definedName name="EDCOE_State_Yr5">#REF!</definedName>
    <definedName name="EDCOE_State_Yr6">#REF!</definedName>
    <definedName name="EDCOEState_3YrAvgADA">#REF!</definedName>
    <definedName name="EdOpsClients">#REF!</definedName>
    <definedName name="EdOpsProduct">#REF!</definedName>
    <definedName name="Education_Conversion">#REF!</definedName>
    <definedName name="Education_Level">#REF!</definedName>
    <definedName name="ee\">#REF!</definedName>
    <definedName name="EEC_Phase2">#REF!</definedName>
    <definedName name="eee" localSheetId="4">{"data",#N/A,FALSE,"INPUT"}</definedName>
    <definedName name="eee" localSheetId="2">{"data",#N/A,FALSE,"INPUT"}</definedName>
    <definedName name="eee" localSheetId="1" hidden="1">{"data",#N/A,FALSE,"INPUT"}</definedName>
    <definedName name="eee" localSheetId="5">{"data",#N/A,FALSE,"INPUT"}</definedName>
    <definedName name="eee" localSheetId="8">{"data",#N/A,FALSE,"INPUT"}</definedName>
    <definedName name="eee" localSheetId="3" hidden="1">{"data",#N/A,FALSE,"INPUT"}</definedName>
    <definedName name="eee">{"data",#N/A,FALSE,"INPUT"}</definedName>
    <definedName name="eeee" hidden="1">{"Data Input",#N/A,TRUE,"Data Input";"10-Yr Cash Flow",#N/A,TRUE,"Cash Flow";"10-Yr Value",#N/A,TRUE,"Value "}</definedName>
    <definedName name="eeeee">#REF!</definedName>
    <definedName name="EEK_CofO">#REF!</definedName>
    <definedName name="EEK_COMMENTS">#REF!</definedName>
    <definedName name="EEK_COMMENTS_2">#REF!</definedName>
    <definedName name="EEK_CONST_FEE">#REF!</definedName>
    <definedName name="EEK_CONST_START">#REF!</definedName>
    <definedName name="EEK_DB_FEE">#REF!</definedName>
    <definedName name="EEK_DDCD">#REF!</definedName>
    <definedName name="EEK_DES_FEE">#REF!</definedName>
    <definedName name="EEK_DES_START">#REF!</definedName>
    <definedName name="EEK_DETAILS_DES_FEE">#REF!</definedName>
    <definedName name="EEK_FINISH">#REF!</definedName>
    <definedName name="EEK_PREC_FEE">#REF!</definedName>
    <definedName name="EGF">#N/A</definedName>
    <definedName name="EH_Legends">#REF!</definedName>
    <definedName name="ehyh">#REF!</definedName>
    <definedName name="EIA">#REF!</definedName>
    <definedName name="EL_Count_and_Criteria">#REF!</definedName>
    <definedName name="ELATeacherList">#REF!</definedName>
    <definedName name="eleccomm">#REF!</definedName>
    <definedName name="electiveteacherreplacement">#REF!</definedName>
    <definedName name="ELECTRICAL">#REF!</definedName>
    <definedName name="Elem">#REF!</definedName>
    <definedName name="Elem_Phase2">#REF!</definedName>
    <definedName name="elf" hidden="1">{FALSE,FALSE,1.75,1,600,351,FALSE,FALSE,TRUE,TRUE,0,30,#N/A,41,#N/A,9.57777777777778,18.9166666666667,1,FALSE,FALSE,1,TRUE,1,FALSE,100,"Swvu.As._.Is._.Value.","ACwvu.As._.Is._.Value.",1,FALSE,FALSE,1,1,1,1,1,"","",FALSE,FALSE,FALSE,FALSE,1,#N/A,1,1,FALSE,FALSE,FALSE,FALSE,FALSE,FALSE}</definedName>
    <definedName name="elf_2" hidden="1">{FALSE,FALSE,1.75,1,600,351,FALSE,FALSE,TRUE,TRUE,0,30,#N/A,41,#N/A,9.57777777777778,18.9166666666667,1,FALSE,FALSE,1,TRUE,1,FALSE,100,"Swvu.As._.Is._.Value.","ACwvu.As._.Is._.Value.",1,FALSE,FALSE,1,1,1,1,1,"","",FALSE,FALSE,FALSE,FALSE,1,#N/A,1,1,FALSE,FALSE,FALSE,FALSE,FALSE,FALSE}</definedName>
    <definedName name="ELNorm0506">#REF!</definedName>
    <definedName name="ELNorm0607">#REF!</definedName>
    <definedName name="Elpsd_Tm">#REF!</definedName>
    <definedName name="EMP">#REF!</definedName>
    <definedName name="Empire_EPO_Full">#REF!</definedName>
    <definedName name="Empire_EPO_Shared">#REF!</definedName>
    <definedName name="Empire_PPO_Full">#REF!</definedName>
    <definedName name="Empire_PPO_Shared">#REF!</definedName>
    <definedName name="EmpireEPO_FULL">#REF!</definedName>
    <definedName name="EmpireEPO_SHARED">#REF!</definedName>
    <definedName name="EmpirePPO_FULL">#REF!</definedName>
    <definedName name="EmpirePPO_SHARED">#REF!</definedName>
    <definedName name="EMPLOYEE">#REF!</definedName>
    <definedName name="Employee_Summary">#REF!</definedName>
    <definedName name="EmployeeType">#REF!</definedName>
    <definedName name="EmploymentCostGrowth">#REF!</definedName>
    <definedName name="ENC">#REF!</definedName>
    <definedName name="Encore">#REF!</definedName>
    <definedName name="EncoreAmort">#REF!</definedName>
    <definedName name="encroachment1">#REF!</definedName>
    <definedName name="ENCUM">#REF!</definedName>
    <definedName name="End_Bal">#REF!</definedName>
    <definedName name="End_Bal_9">#REF!</definedName>
    <definedName name="End_Date">#REF!</definedName>
    <definedName name="End_of_first_qtr2">#REF!</definedName>
    <definedName name="End_of_first_quarter">#REF!</definedName>
    <definedName name="End_of_projection">#REF!</definedName>
    <definedName name="End_of_projection2">#REF!</definedName>
    <definedName name="endcap">#REF!</definedName>
    <definedName name="endcon">#REF!</definedName>
    <definedName name="ENDDATE">#REF!</definedName>
    <definedName name="EndDate_Yr1">#REF!</definedName>
    <definedName name="EndDate_Yr2">#REF!</definedName>
    <definedName name="EndDate_Yr3">#REF!</definedName>
    <definedName name="EndDate_Yr4">#REF!</definedName>
    <definedName name="EndDate_Yr5">#REF!</definedName>
    <definedName name="EndDate_Yr6">#REF!</definedName>
    <definedName name="ENDFREE">#REF!</definedName>
    <definedName name="Ending_Balance">#N/A</definedName>
    <definedName name="Ending_Cash_Percent_for_Green.School_Info_Sheet">#REF!</definedName>
    <definedName name="endloan">#REF!</definedName>
    <definedName name="EndOfCurrentMonth" localSheetId="4">#REF!</definedName>
    <definedName name="EndOfCurrentMonth" localSheetId="5">#REF!</definedName>
    <definedName name="EndOfCurrentMonth" localSheetId="8">[2]Setup!$X$12</definedName>
    <definedName name="EndOfCurrentMonth" localSheetId="3">#REF!</definedName>
    <definedName name="EndOfCurrentMonth">#REF!</definedName>
    <definedName name="ENO">#REF!</definedName>
    <definedName name="enro">#REF!</definedName>
    <definedName name="enrol">#REF!</definedName>
    <definedName name="ENROLL_1">#REF!</definedName>
    <definedName name="ENROLL_2">#REF!</definedName>
    <definedName name="ENROLL_3">#REF!</definedName>
    <definedName name="ENROLL_4">#REF!</definedName>
    <definedName name="ENROLL_FEB_PERCENT_YR_1">#REF!</definedName>
    <definedName name="ENROLL_FEB_PERCENT_YR_2">#REF!</definedName>
    <definedName name="ENROLL_FEB_PERCENT_YR_3">#REF!</definedName>
    <definedName name="ENROLL_FEB_PERCENT_YR_4">#REF!</definedName>
    <definedName name="ENROLL_FEB_PRIOR">#REF!</definedName>
    <definedName name="ENROLL_FEB_PRIOR_GEN_ED">#REF!</definedName>
    <definedName name="ENROLL_FEB_PRIOR_SPEC_ED">#REF!</definedName>
    <definedName name="Enroll_Rt_TRS">#REF!</definedName>
    <definedName name="ENROLL_SEPT_BASE_YR">#REF!</definedName>
    <definedName name="ENROLL_SEPT_BASE_YR_GEN_ED">#REF!</definedName>
    <definedName name="ENROLL_SEPT_BASE_YR_SPEC_ED">#REF!</definedName>
    <definedName name="ENROLL_YR_1">#REF!</definedName>
    <definedName name="ENROLL_YR_2">#REF!</definedName>
    <definedName name="ENROLL_YR_3">#REF!</definedName>
    <definedName name="ENROLL_YR_4">#REF!</definedName>
    <definedName name="Enrolled">#REF!</definedName>
    <definedName name="Enrollment_LLC_403B">#REF!</definedName>
    <definedName name="Enrollment_Schools_403B">#REF!</definedName>
    <definedName name="ENROLLMENT_YR_1">#REF!</definedName>
    <definedName name="ENROLLMENT_YR_2">#REF!</definedName>
    <definedName name="ENROLLMENT_YR_3">#REF!</definedName>
    <definedName name="ENROLLMENT_YR_4">#REF!</definedName>
    <definedName name="EnrollmentGrowth">#REF!</definedName>
    <definedName name="EnrollmentNYActualMinusBudget">#REF!</definedName>
    <definedName name="EnrollmentNYBudget">#REF!</definedName>
    <definedName name="EnrollRt_403B_Schools">#REF!</definedName>
    <definedName name="ENRSF">#REF!</definedName>
    <definedName name="ent_name">#REF!</definedName>
    <definedName name="Entered_Pmt">#REF!</definedName>
    <definedName name="entitlementgrowth">#REF!</definedName>
    <definedName name="entitlementgrowthrev">#REF!</definedName>
    <definedName name="EntitlementReductions">#REF!</definedName>
    <definedName name="Entity">#REF!</definedName>
    <definedName name="ENVIRONMENTAL">#REF!</definedName>
    <definedName name="EO_BASE_YR">#REF!</definedName>
    <definedName name="EofFQ">#REF!</definedName>
    <definedName name="epa">#REF!</definedName>
    <definedName name="EPARate_Yr1">#REF!</definedName>
    <definedName name="EPARate_Yr2">#REF!</definedName>
    <definedName name="EPARate_Yr3">#REF!</definedName>
    <definedName name="EPARate_Yr4">#REF!</definedName>
    <definedName name="EPARate_Yr5">#REF!</definedName>
    <definedName name="EPARate_Yr6">#REF!</definedName>
    <definedName name="EPATotal_Yr1">#REF!</definedName>
    <definedName name="EPATotal_Yr2">#REF!</definedName>
    <definedName name="EPATotal_Yr3">#REF!</definedName>
    <definedName name="EPATotal_Yr4">#REF!</definedName>
    <definedName name="EPATotal_Yr5">#REF!</definedName>
    <definedName name="EPATotal_Yr6">#REF!</definedName>
    <definedName name="EPSILON">#REF!</definedName>
    <definedName name="EQ">#REF!</definedName>
    <definedName name="EQ1_Teacher">#REF!</definedName>
    <definedName name="EQ2_Teacher">#REF!</definedName>
    <definedName name="EQ3_Teacher">#REF!</definedName>
    <definedName name="EQ4_Teacher">#REF!</definedName>
    <definedName name="EQ5_Teacher">#REF!</definedName>
    <definedName name="EQ6_Teacher">#REF!</definedName>
    <definedName name="EQ7_Teacher">#REF!</definedName>
    <definedName name="EQ8_Teacher">#REF!</definedName>
    <definedName name="Equal_Percent_Adjustment">#REF!</definedName>
    <definedName name="Equity">#REF!</definedName>
    <definedName name="Equity_close1">#REF!</definedName>
    <definedName name="Equity_close2">#REF!</definedName>
    <definedName name="Equity_common">#REF!</definedName>
    <definedName name="EQUITY_ELIGIBLE">#REF!</definedName>
    <definedName name="Equity_Fundraising">#REF!</definedName>
    <definedName name="Equity_GS">#REF!</definedName>
    <definedName name="EQUITY_INCREASE_MAX">#REF!</definedName>
    <definedName name="EQUITY_PAYMENT_BASE_YR">#REF!</definedName>
    <definedName name="EQUITY_PAYMENT_YR_1">#REF!</definedName>
    <definedName name="EQUITY_PAYMENT_YR_2">#REF!</definedName>
    <definedName name="EQUITY_PAYMENT_YR_3">#REF!</definedName>
    <definedName name="EQUITY_PAYMENT_YR_4">#REF!</definedName>
    <definedName name="Equity_Woodglen">#REF!</definedName>
    <definedName name="equity2">#REF!</definedName>
    <definedName name="ER_60_MSA_Reit">#REF!</definedName>
    <definedName name="ER_Match_403B">#REF!</definedName>
    <definedName name="erate">#REF!</definedName>
    <definedName name="eRateDiscount">#REF!</definedName>
    <definedName name="ERateDiscountTable">#REF!</definedName>
    <definedName name="erategrowth">#REF!</definedName>
    <definedName name="erb">#REF!</definedName>
    <definedName name="ERLRDDR">#REF!</definedName>
    <definedName name="ERROR">#REF!</definedName>
    <definedName name="ERRORLIMIT">#REF!</definedName>
    <definedName name="ERRORRPT">#REF!</definedName>
    <definedName name="ers">#REF!</definedName>
    <definedName name="ES_Enrollment">#REF!</definedName>
    <definedName name="ES_SPED_LVL1">#REF!</definedName>
    <definedName name="ES_SPED_LVL2">#REF!</definedName>
    <definedName name="ES_SPED_LVL3">#REF!</definedName>
    <definedName name="ES2_BASE10">#REF!</definedName>
    <definedName name="ES2_BASE6">#REF!</definedName>
    <definedName name="ES2_BASE7">#REF!</definedName>
    <definedName name="ES2_BASE8">#REF!</definedName>
    <definedName name="ES2_BASE9">#REF!</definedName>
    <definedName name="ES2_BONUS10">#REF!</definedName>
    <definedName name="ES2_BONUS6">#REF!</definedName>
    <definedName name="ES2_BONUS7">#REF!</definedName>
    <definedName name="ES2_BONUS8">#REF!</definedName>
    <definedName name="ES2_BONUS9">#REF!</definedName>
    <definedName name="ES2_CODE1">#REF!</definedName>
    <definedName name="ES2_CODE2">#REF!</definedName>
    <definedName name="ES2_CODE3">#REF!</definedName>
    <definedName name="ES2_OpenDate">#REF!</definedName>
    <definedName name="ES2_Operating">#REF!</definedName>
    <definedName name="ES2_PandL_QBS">#REF!</definedName>
    <definedName name="ES2_rent_exp">#REF!</definedName>
    <definedName name="ES2_Revenue">#REF!</definedName>
    <definedName name="ES2_scenario">#REF!</definedName>
    <definedName name="ES2_STIPEND6">#REF!</definedName>
    <definedName name="ES2_STIPEND7">#REF!</definedName>
    <definedName name="ES2_STIPEND8">#REF!</definedName>
    <definedName name="ES2_STIPEND9">#REF!</definedName>
    <definedName name="ES2_TOTAL10">#REF!</definedName>
    <definedName name="ES2_TOTAL11">#REF!</definedName>
    <definedName name="ES2_TOTAL12">#REF!</definedName>
    <definedName name="ES2_TOTAL6">#REF!</definedName>
    <definedName name="ES2_TOTAL7">#REF!</definedName>
    <definedName name="ES2_TOTAL8">#REF!</definedName>
    <definedName name="ES2_TOTAL9">#REF!</definedName>
    <definedName name="ES3_BASE10">#REF!</definedName>
    <definedName name="ES3_BASE11">#REF!</definedName>
    <definedName name="ES3_BASE12">#REF!</definedName>
    <definedName name="ES3_BASE6">#REF!</definedName>
    <definedName name="ES3_BASE7">#REF!</definedName>
    <definedName name="ES3_BASE8">#REF!</definedName>
    <definedName name="ES3_BASE9">#REF!</definedName>
    <definedName name="ES3_BONUS10">#REF!</definedName>
    <definedName name="ES3_BONUS6">#REF!</definedName>
    <definedName name="ES3_BONUS7">#REF!</definedName>
    <definedName name="ES3_BONUS8">#REF!</definedName>
    <definedName name="ES3_BONUS9">#REF!</definedName>
    <definedName name="ES3_CODE1">#REF!</definedName>
    <definedName name="ES3_CODE2">#REF!</definedName>
    <definedName name="ES3_CODE3">#REF!</definedName>
    <definedName name="ES3_Operating">#REF!</definedName>
    <definedName name="ES3_Revenue">#REF!</definedName>
    <definedName name="ES3_STIPEND10">#REF!</definedName>
    <definedName name="ES3_STIPEND6">#REF!</definedName>
    <definedName name="ES3_STIPEND7">#REF!</definedName>
    <definedName name="ES3_STIPEND8">#REF!</definedName>
    <definedName name="ES3_STIPEND9">#REF!</definedName>
    <definedName name="ES3_TOTAL10">#REF!</definedName>
    <definedName name="ES3_TOTAL11">#REF!</definedName>
    <definedName name="ES3_TOTAL12">#REF!</definedName>
    <definedName name="ES3_TOTAL6">#REF!</definedName>
    <definedName name="ES3_TOTAL7">#REF!</definedName>
    <definedName name="ES3_TOTAL8">#REF!</definedName>
    <definedName name="ES3_TOTAL9">#REF!</definedName>
    <definedName name="ES4_BASE10">#REF!</definedName>
    <definedName name="ES4_BASE11">#REF!</definedName>
    <definedName name="ES4_BASE12">#REF!</definedName>
    <definedName name="ES4_BASE6">#REF!</definedName>
    <definedName name="ES4_BASE7">#REF!</definedName>
    <definedName name="ES4_BASE8">#REF!</definedName>
    <definedName name="ES4_BASE9">#REF!</definedName>
    <definedName name="ES4_CODE1">#REF!</definedName>
    <definedName name="ES4_Operating">#REF!</definedName>
    <definedName name="ES4_Revenue">#REF!</definedName>
    <definedName name="ES4_TOTAL10">#REF!</definedName>
    <definedName name="ES4_TOTAL11">#REF!</definedName>
    <definedName name="ES4_TOTAL12">#REF!</definedName>
    <definedName name="ES4_TOTAL6">#REF!</definedName>
    <definedName name="ES4_TOTAL7">#REF!</definedName>
    <definedName name="ES4_TOTAL8">#REF!</definedName>
    <definedName name="ES4_TOTAL9">#REF!</definedName>
    <definedName name="ES5_BASE10">#REF!</definedName>
    <definedName name="ES5_BASE11">#REF!</definedName>
    <definedName name="ES5_BASE12">#REF!</definedName>
    <definedName name="ES5_BASE6">#REF!</definedName>
    <definedName name="ES5_BASE7">#REF!</definedName>
    <definedName name="ES5_BASE8">#REF!</definedName>
    <definedName name="ES5_BASE9">#REF!</definedName>
    <definedName name="ES5_CODE1">#REF!</definedName>
    <definedName name="ES5_Operating">#REF!</definedName>
    <definedName name="ES5_Revenue">#REF!</definedName>
    <definedName name="ES5_TOTAL10">#REF!</definedName>
    <definedName name="ES5_TOTAL11">#REF!</definedName>
    <definedName name="ES5_TOTAL12">#REF!</definedName>
    <definedName name="ES5_TOTAL6">#REF!</definedName>
    <definedName name="ES5_TOTAL7">#REF!</definedName>
    <definedName name="ES5_TOTAL8">#REF!</definedName>
    <definedName name="ES5_TOTAL9">#REF!</definedName>
    <definedName name="Escambia">#REF!</definedName>
    <definedName name="EscRate1">#REF!</definedName>
    <definedName name="ESE_Guaranteed_Allocation_Dollars">#REF!</definedName>
    <definedName name="ESE_Guaranteed_Factor_Minimum_of__1_951.26">#REF!</definedName>
    <definedName name="ESE_LEVEL_1">#REF!</definedName>
    <definedName name="ESE_LEVEL_1_Program_111__Grades_K_3">#REF!</definedName>
    <definedName name="ESE_LEVEL_1_Program_112__Grades_4_8">#REF!</definedName>
    <definedName name="ESE_LEVEL_1_Program_113__Grades_9_12">#REF!</definedName>
    <definedName name="ESE_LEVEL_2_Program_111__Grades_K_3">#REF!</definedName>
    <definedName name="ESE_LEVEL_2_Program_112__Grades_4_8">#REF!</definedName>
    <definedName name="ESE_LEVEL_2_Program_113__Grades_9_12">#REF!</definedName>
    <definedName name="ESE_LEVEL_3_Program_111__Grades_K_3">#REF!</definedName>
    <definedName name="ESE_LEVEL_3_Program_112__Grades_4_8">#REF!</definedName>
    <definedName name="ESE_LEVEL_3_Program_113__Grades_9_12">#REF!</definedName>
    <definedName name="ESE_Program_111__Grades_K_3">#REF!</definedName>
    <definedName name="ESEA">#REF!</definedName>
    <definedName name="ESP_Function_Goal">#REF!</definedName>
    <definedName name="EST.TTL1">#REF!</definedName>
    <definedName name="EST.TTL2">#REF!</definedName>
    <definedName name="EST.TTL3">#REF!</definedName>
    <definedName name="EST.TTL4">#REF!</definedName>
    <definedName name="EST.TTL5">#REF!</definedName>
    <definedName name="EST.TTL6">#REF!</definedName>
    <definedName name="EST.TTL7">#REF!</definedName>
    <definedName name="EST.TTL8">#REF!</definedName>
    <definedName name="ESTIMATE">#REF!</definedName>
    <definedName name="Estimate_Report_Title">#REF!</definedName>
    <definedName name="estimates">#REF!</definedName>
    <definedName name="ESTIMATR">#REF!</definedName>
    <definedName name="EstSal">#REF!</definedName>
    <definedName name="ESTTYPE">#REF!</definedName>
    <definedName name="ESTYIELD">#REF!</definedName>
    <definedName name="ETTMax">#REF!</definedName>
    <definedName name="Euro_loan">#REF!</definedName>
    <definedName name="ev.Calculation" hidden="1">-4135</definedName>
    <definedName name="ev.Initialized" hidden="1">FALSE</definedName>
    <definedName name="EVS">#REF!</definedName>
    <definedName name="ex">OFFSET(#REF!,0,0,COUNTA(#REF!),COUNTA(#REF!))</definedName>
    <definedName name="Excel_BuiltIn__FilterDatabase_13">#REF!</definedName>
    <definedName name="Excel_BuiltIn__FilterDatabase_14">#REF!</definedName>
    <definedName name="Excel_BuiltIn__FilterDatabase_2">#REF!</definedName>
    <definedName name="Excel_BuiltIn__FilterDatabase_3">#REF!</definedName>
    <definedName name="Excel_BuiltIn__FilterDatabase_4">#REF!</definedName>
    <definedName name="Excel_BuiltIn__FilterDatabase_5">#REF!</definedName>
    <definedName name="Excel_BuiltIn_FilterDatabase_5">#REF!</definedName>
    <definedName name="Excel_BuiltIn_Print_Area_13">#REF!</definedName>
    <definedName name="Excel_BuiltIn_Print_Area_14">#REF!</definedName>
    <definedName name="Excel_BuiltIn_Print_Titles_13">#REF!</definedName>
    <definedName name="Excel_BuiltIn_Print_Titles_14">#REF!</definedName>
    <definedName name="exchange">900</definedName>
    <definedName name="Exec_benefit">#REF!</definedName>
    <definedName name="exec_sum">#REF!</definedName>
    <definedName name="Execbenefit">#REF!</definedName>
    <definedName name="execsum">#REF!</definedName>
    <definedName name="Exemption_Status">#REF!</definedName>
    <definedName name="EXHIBIT">#REF!</definedName>
    <definedName name="Exhibit_A">#REF!</definedName>
    <definedName name="Exhibit_B">#REF!</definedName>
    <definedName name="Exhibit_C">#REF!</definedName>
    <definedName name="Exhibit_D">#REF!</definedName>
    <definedName name="Exhibit_E">#REF!</definedName>
    <definedName name="EXIST">#REF!</definedName>
    <definedName name="existing_ind_total">#REF!</definedName>
    <definedName name="existingnrsf">#REF!</definedName>
    <definedName name="EXIT">#REF!</definedName>
    <definedName name="ExitDate">#REF!</definedName>
    <definedName name="ExitYear">#REF!</definedName>
    <definedName name="EXP">#REF!</definedName>
    <definedName name="EXP_ADV">#REF!</definedName>
    <definedName name="EXP_CAM">#REF!</definedName>
    <definedName name="exp_g">#REF!</definedName>
    <definedName name="exp_i">#REF!</definedName>
    <definedName name="EXP_INS">#REF!</definedName>
    <definedName name="EXP_MGMT">#REF!</definedName>
    <definedName name="exp_range">OFFSET(#REF!,0,0,COUNTA(#REF!),COUNTA(#REF!))</definedName>
    <definedName name="EXP_RETAX">#REF!</definedName>
    <definedName name="ExpCOLAYear2">#REF!</definedName>
    <definedName name="ExpCOLAYear3">#REF!</definedName>
    <definedName name="ExpCOLAYear4">#REF!</definedName>
    <definedName name="ExpCOLAYear5">#REF!</definedName>
    <definedName name="expdatatable1">#REF!</definedName>
    <definedName name="expdatatable2">#REF!</definedName>
    <definedName name="ExpDate">#REF!</definedName>
    <definedName name="expdebt">#REF!</definedName>
    <definedName name="ExpectedFinal">#REF!</definedName>
    <definedName name="Expense_Category">#REF!</definedName>
    <definedName name="Expense_Drivers">#REF!</definedName>
    <definedName name="EXPENSE_GRAND_TOTAL_BASE_YR">#REF!</definedName>
    <definedName name="Expenses">#REF!</definedName>
    <definedName name="Expenses_1">#REF!</definedName>
    <definedName name="Expenses_2">#REF!</definedName>
    <definedName name="Expenses_3">#REF!</definedName>
    <definedName name="Expenses_4">#REF!</definedName>
    <definedName name="Expenses_5">#REF!</definedName>
    <definedName name="Expenses_6">#REF!</definedName>
    <definedName name="Expenses_B">#REF!</definedName>
    <definedName name="EXPENSES_BASE_YR">#REF!</definedName>
    <definedName name="EXPENSES_CODING">#REF!</definedName>
    <definedName name="EXPENSES_INCREASE_YR_1">#REF!</definedName>
    <definedName name="EXPENSES_INCREASE_YR_2">#REF!</definedName>
    <definedName name="EXPENSES_INCREASE_YR_3">#REF!</definedName>
    <definedName name="EXPENSES_INCREASE_YR_4">#REF!</definedName>
    <definedName name="EXPENSES_YR_1">#REF!</definedName>
    <definedName name="EXPENSES_YR_2">#REF!</definedName>
    <definedName name="EXPENSES_YR_3">#REF!</definedName>
    <definedName name="EXPENSES_YR_4">#REF!</definedName>
    <definedName name="ExpGrowth">#REF!</definedName>
    <definedName name="expinf">#REF!</definedName>
    <definedName name="expint">#REF!</definedName>
    <definedName name="expplnt">#REF!</definedName>
    <definedName name="exprange">OFFSET(#REF!,0,0,COUNTA(#REF!),COUNTA(#REF!))</definedName>
    <definedName name="ExpTrigger_AMPE">#REF!</definedName>
    <definedName name="ExpTrigger_ES5">#REF!</definedName>
    <definedName name="ExpTrigger_ES6">#REF!</definedName>
    <definedName name="ExpTrigger_MS5">#REF!</definedName>
    <definedName name="ExpTrigger_MS6">#REF!</definedName>
    <definedName name="ExpTrigger_STAE">#REF!</definedName>
    <definedName name="EXTERIORCLOSURE">#REF!</definedName>
    <definedName name="Extra_Pay">#REF!</definedName>
    <definedName name="ExtraPayments">#REF!</definedName>
    <definedName name="f">#REF!</definedName>
    <definedName name="f\">#REF!</definedName>
    <definedName name="F2A1Restricted">#REF!</definedName>
    <definedName name="F2A1Unrestricted">#REF!</definedName>
    <definedName name="F2A2Restricted">#REF!</definedName>
    <definedName name="F2A2Unrestricted">#REF!</definedName>
    <definedName name="F2A3Restricted">#REF!</definedName>
    <definedName name="F2A3Unrestricted">#REF!</definedName>
    <definedName name="F2A4Enable">#REF!</definedName>
    <definedName name="F2A4Restricted">#REF!</definedName>
    <definedName name="F2A4Unrestricted">#REF!</definedName>
    <definedName name="F2ARestricted">#REF!</definedName>
    <definedName name="F2AUnrestricted">#REF!</definedName>
    <definedName name="F2BRestrictedSum">#REF!</definedName>
    <definedName name="F2CDEModifiedBasis">#REF!</definedName>
    <definedName name="F2CUnrestricted">#REF!</definedName>
    <definedName name="F2DUnrestricted">#REF!</definedName>
    <definedName name="F2E2RestrictedSum">#REF!</definedName>
    <definedName name="F2E2UnrestrictedSum">#REF!</definedName>
    <definedName name="F2EBlank">#REF!</definedName>
    <definedName name="F2EUnrestricted">#REF!</definedName>
    <definedName name="F2F1Restricted">#REF!</definedName>
    <definedName name="F2F1Unrestricted">#REF!</definedName>
    <definedName name="F2F2Restricted">#REF!</definedName>
    <definedName name="F2F3RestrictedSum">#REF!</definedName>
    <definedName name="F2F3UnrestrictedSum">#REF!</definedName>
    <definedName name="F2FAccrualEnable">#REF!</definedName>
    <definedName name="F2FEnable">#REF!</definedName>
    <definedName name="F2FRestricted">#REF!</definedName>
    <definedName name="F2Restricted">#REF!</definedName>
    <definedName name="F2Total">#REF!</definedName>
    <definedName name="F2Unrestricted">#REF!</definedName>
    <definedName name="F9HorizontalAxis">#REF!</definedName>
    <definedName name="F9ModelCompany">#REF!</definedName>
    <definedName name="F9OtherAxes">#REF!</definedName>
    <definedName name="F9ReportArea">#REF!</definedName>
    <definedName name="F9ReportBody">#REF!</definedName>
    <definedName name="F9ReportTitle">#REF!</definedName>
    <definedName name="F9VerticalAxis">#REF!</definedName>
    <definedName name="FA_1994_95">#REF!</definedName>
    <definedName name="FA_1998_99">#REF!</definedName>
    <definedName name="FA_2007_08">#REF!</definedName>
    <definedName name="FA_2008_09">#REF!</definedName>
    <definedName name="FA_BASE_INCREASE_BASE_YR">#REF!</definedName>
    <definedName name="FA_BASE_INCREASE_YR_1">#REF!</definedName>
    <definedName name="FA_BASE_INCREASE_YR_2">#REF!</definedName>
    <definedName name="FA_BASE_INCREASE_YR_3">#REF!</definedName>
    <definedName name="FA_BASE_INCREASE_YR_4">#REF!</definedName>
    <definedName name="FA_BASE_YR">#REF!</definedName>
    <definedName name="FA_PRIOR_MIN_BASE_YR">#REF!</definedName>
    <definedName name="FA_PRIOR_MIN_YR_1">#REF!</definedName>
    <definedName name="FA_PRIOR_MIN_YR_2">#REF!</definedName>
    <definedName name="FA_PRIOR_MIN_YR_3">#REF!</definedName>
    <definedName name="FA_PRIOR_MIN_YR_4">#REF!</definedName>
    <definedName name="FA_REPORT">#REF!</definedName>
    <definedName name="FA_YR_1">#REF!</definedName>
    <definedName name="FA_YR_2">#REF!</definedName>
    <definedName name="FA_YR_3">#REF!</definedName>
    <definedName name="FA_YR_4">#REF!</definedName>
    <definedName name="FAC">#REF!</definedName>
    <definedName name="Facilities">#REF!</definedName>
    <definedName name="facilities_lookup">#REF!</definedName>
    <definedName name="FacilitiesAllotment">#REF!</definedName>
    <definedName name="facility_rev_method">#REF!</definedName>
    <definedName name="FACRENT">#REF!</definedName>
    <definedName name="FactorLook">#REF!</definedName>
    <definedName name="facts">#REF!</definedName>
    <definedName name="Fairfield_Inn_Project_Cost">#REF!</definedName>
    <definedName name="FAMU_Lab_School">#REF!</definedName>
    <definedName name="FAU_Lab_School">#REF!</definedName>
    <definedName name="FAU_St._Lucie">#REF!</definedName>
    <definedName name="FB_JULY_1_PR_YR">#REF!</definedName>
    <definedName name="FB_JUNE_30_BASE_YR">#REF!</definedName>
    <definedName name="FB_JUNE_30_PR_YR">#REF!</definedName>
    <definedName name="FB_JUNE_30_YR_1">#REF!</definedName>
    <definedName name="FB_JUNE_30_YR_2">#REF!</definedName>
    <definedName name="FB_JUNE_30_YR_3">#REF!</definedName>
    <definedName name="FB_JUNE_30_YR_4">#REF!</definedName>
    <definedName name="FC">#REF!</definedName>
    <definedName name="FCEanalysis">#REF!</definedName>
    <definedName name="FCEAnalysis2">#REF!</definedName>
    <definedName name="fchoices">#REF!</definedName>
    <definedName name="FCMATCalc">#REF!</definedName>
    <definedName name="FCMATCalcFIB">#REF!</definedName>
    <definedName name="FCMATCalcJuly">#REF!</definedName>
    <definedName name="FCostHV">#REF!</definedName>
    <definedName name="FCostTheat">#REF!</definedName>
    <definedName name="fd">#REF!</definedName>
    <definedName name="fde">#REF!</definedName>
    <definedName name="fdf" localSheetId="4" hidden="1">{"Full Sheet",#N/A,FALSE,"Expense Comparison"}</definedName>
    <definedName name="fdf" localSheetId="2" hidden="1">{"Full Sheet",#N/A,FALSE,"Expense Comparison"}</definedName>
    <definedName name="fdf" localSheetId="1" hidden="1">{"Full Sheet",#N/A,FALSE,"Expense Comparison"}</definedName>
    <definedName name="fdf" localSheetId="5" hidden="1">{"Full Sheet",#N/A,FALSE,"Expense Comparison"}</definedName>
    <definedName name="fdf" localSheetId="8" hidden="1">{"Full Sheet",#N/A,FALSE,"Expense Comparison"}</definedName>
    <definedName name="fdf" localSheetId="3" hidden="1">{"Full Sheet",#N/A,FALSE,"Expense Comparison"}</definedName>
    <definedName name="fdf" hidden="1">{"Full Sheet",#N/A,FALSE,"Expense Comparison"}</definedName>
    <definedName name="fdfdfd" hidden="1">{#N/A,#N/A,FALSE,"CAPREIT"}</definedName>
    <definedName name="fdfdfdf" hidden="1">{#N/A,#N/A,FALSE,"CAPREIT"}</definedName>
    <definedName name="fdgdfgdfg">#REF!</definedName>
    <definedName name="fdgfdgdf">#REF!</definedName>
    <definedName name="fe_depreciation_period">#REF!</definedName>
    <definedName name="february">#REF!</definedName>
    <definedName name="FED_TIIa">#REF!</definedName>
    <definedName name="FED_TIId">#REF!</definedName>
    <definedName name="FED_TIII">#REF!</definedName>
    <definedName name="FEDERAL_BASE_YR">#REF!</definedName>
    <definedName name="FEDERAL_PERCENT_YR_1">#REF!</definedName>
    <definedName name="FEDERAL_PERCENT_YR_2">#REF!</definedName>
    <definedName name="FEDERAL_PERCENT_YR_3">#REF!</definedName>
    <definedName name="FEDERAL_PERCENT_YR_4">#REF!</definedName>
    <definedName name="FederalRevenue">#REF!</definedName>
    <definedName name="FederalRevenueCalc">#REF!</definedName>
    <definedName name="FederalRevenueCalcFIB">#REF!</definedName>
    <definedName name="FederalRevenueCalcJuly">#REF!</definedName>
    <definedName name="fee_calculation">#REF!</definedName>
    <definedName name="FEE_CODES___DEFINITIONS___GL">#REF!</definedName>
    <definedName name="FEE_PCT">#REF!</definedName>
    <definedName name="Fee_Per">#REF!</definedName>
    <definedName name="feeamort">#REF!</definedName>
    <definedName name="FESTINV">#REF!</definedName>
    <definedName name="FESTMGMT">#REF!</definedName>
    <definedName name="ff">#REF!</definedName>
    <definedName name="ff\">#REF!</definedName>
    <definedName name="FFE_Administration">#REF!</definedName>
    <definedName name="FFE_Classroom">#REF!</definedName>
    <definedName name="FFE_DEPR.">#REF!</definedName>
    <definedName name="ffff" hidden="1">{"Data Input",#N/A,TRUE,"Data Input";"15-Yr Cash Flow",#N/A,TRUE,"Cash Flow";"15-Yr Value",#N/A,TRUE,"Value "}</definedName>
    <definedName name="ffffff" hidden="1">{#N/A,#N/A,FALSE,"Cashflow Analysis";#N/A,#N/A,FALSE,"Sensitivity Analysis";#N/A,#N/A,FALSE,"PV";#N/A,#N/A,FALSE,"Pro Forma"}</definedName>
    <definedName name="ffffff.2" hidden="1">{#N/A,#N/A,FALSE,"Cashflow Analysis";#N/A,#N/A,FALSE,"Sensitivity Analysis";#N/A,#N/A,FALSE,"PV";#N/A,#N/A,FALSE,"Pro Forma"}</definedName>
    <definedName name="ffgfdg">#REF!</definedName>
    <definedName name="fgfgdfsgfsd">#REF!</definedName>
    <definedName name="fgfgf">#REF!</definedName>
    <definedName name="fgh">#REF!</definedName>
    <definedName name="fghghr">#REF!</definedName>
    <definedName name="fghsgh" hidden="1">{"CF",#N/A,FALSE,"Cash Flow";"RET",#N/A,FALSE,"Returns";"NPV",#N/A,FALSE,"Values";"ASMPT",#N/A,FALSE,"Assumptions"}</definedName>
    <definedName name="fghsgh_2" hidden="1">{"CF",#N/A,FALSE,"Cash Flow";"RET",#N/A,FALSE,"Returns";"NPV",#N/A,FALSE,"Values";"ASMPT",#N/A,FALSE,"Assumptions"}</definedName>
    <definedName name="fgs">#REF!</definedName>
    <definedName name="fgv1abs">#REF!</definedName>
    <definedName name="fgv1coi">#REF!</definedName>
    <definedName name="fgv1res">#REF!</definedName>
    <definedName name="fgv2abs">#REF!</definedName>
    <definedName name="fgv2coi">#REF!</definedName>
    <definedName name="FGV2res">#REF!</definedName>
    <definedName name="FHorizontalAxis">#REF!</definedName>
    <definedName name="fhs">#REF!</definedName>
    <definedName name="fhv">#REF!</definedName>
    <definedName name="FHVabs">#REF!</definedName>
    <definedName name="fhvcoi">#REF!</definedName>
    <definedName name="fhvres">#REF!</definedName>
    <definedName name="FIBExpense">#REF!</definedName>
    <definedName name="FIBRevenue">#REF!</definedName>
    <definedName name="FICA">#REF!</definedName>
    <definedName name="FICA_BASE_YR">#REF!</definedName>
    <definedName name="FICA_FY16">#REF!</definedName>
    <definedName name="FICA_Medicare">#REF!</definedName>
    <definedName name="FICA_RATE_BASE_YR">#REF!</definedName>
    <definedName name="FICA_RATE_YR_1">#REF!</definedName>
    <definedName name="FICA_RATE_YR_2">#REF!</definedName>
    <definedName name="FICA_RATE_YR_3">#REF!</definedName>
    <definedName name="FICA_RATE_YR_4">#REF!</definedName>
    <definedName name="FICA_SS_Above">#REF!</definedName>
    <definedName name="FICA_SS_Below">#REF!</definedName>
    <definedName name="FICA_SS_Cap">#REF!</definedName>
    <definedName name="FICA2_FY16">#REF!</definedName>
    <definedName name="fid">#REF!</definedName>
    <definedName name="fidtax">#REF!</definedName>
    <definedName name="FifthYear">#REF!</definedName>
    <definedName name="FILE">#N/A</definedName>
    <definedName name="FileName">#REF!</definedName>
    <definedName name="films">#REF!</definedName>
    <definedName name="FilmsProduced">#REF!</definedName>
    <definedName name="Filter">#REF!</definedName>
    <definedName name="Filter2">#REF!</definedName>
    <definedName name="Filter3">#REF!</definedName>
    <definedName name="Filter31">#REF!</definedName>
    <definedName name="Filter4">#REF!</definedName>
    <definedName name="Filter5">#REF!</definedName>
    <definedName name="fin">#REF!</definedName>
    <definedName name="Final_List_w_o_EJE">#REF!</definedName>
    <definedName name="Final_Reports">#REF!</definedName>
    <definedName name="Final_Reports_Submitted">#REF!</definedName>
    <definedName name="FINANCE">#REF!</definedName>
    <definedName name="FINANCIALS">#REF!</definedName>
    <definedName name="financing_choice">#REF!</definedName>
    <definedName name="finm">#REF!</definedName>
    <definedName name="FinOutcomes">#REF!</definedName>
    <definedName name="FinProjScenarios">#REF!</definedName>
    <definedName name="FIREPROTECTION">#REF!</definedName>
    <definedName name="firintper">#REF!</definedName>
    <definedName name="FIRMAT">#REF!</definedName>
    <definedName name="FIRMON">#REF!</definedName>
    <definedName name="FIRST_1P">#REF!</definedName>
    <definedName name="First_Accrete">#REF!</definedName>
    <definedName name="FIRST_TRADE">#REF!</definedName>
    <definedName name="firstcash">#REF!</definedName>
    <definedName name="FIRSTPERIOD">#REF!</definedName>
    <definedName name="FirstPmt">#REF!</definedName>
    <definedName name="FirstYear">#REF!</definedName>
    <definedName name="FISCAL">#REF!</definedName>
    <definedName name="Fiscal_Year">#REF!</definedName>
    <definedName name="Fiscal_Year1">#REF!</definedName>
    <definedName name="FiscalMonth">#REF!</definedName>
    <definedName name="fiscalp">#REF!</definedName>
    <definedName name="fiscalspex">#REF!</definedName>
    <definedName name="FiscalYear">#REF!</definedName>
    <definedName name="fixasset">#REF!</definedName>
    <definedName name="Fixed_Fee">#REF!</definedName>
    <definedName name="Fixed_Percent">#REF!</definedName>
    <definedName name="FixedAssetAccountNumber">#REF!</definedName>
    <definedName name="fksajf" localSheetId="4" hidden="1">{#N/A,#N/A,FALSE,"SCHEDULE A";"MINIMUM RENT",#N/A,FALSE,"SCHEDULES B &amp; C";"PERCENTAGE RENT",#N/A,FALSE,"SCHEDULES B &amp; C"}</definedName>
    <definedName name="fksajf" localSheetId="2" hidden="1">{#N/A,#N/A,FALSE,"SCHEDULE A";"MINIMUM RENT",#N/A,FALSE,"SCHEDULES B &amp; C";"PERCENTAGE RENT",#N/A,FALSE,"SCHEDULES B &amp; C"}</definedName>
    <definedName name="fksajf" localSheetId="1" hidden="1">{#N/A,#N/A,FALSE,"SCHEDULE A";"MINIMUM RENT",#N/A,FALSE,"SCHEDULES B &amp; C";"PERCENTAGE RENT",#N/A,FALSE,"SCHEDULES B &amp; C"}</definedName>
    <definedName name="fksajf" localSheetId="5" hidden="1">{#N/A,#N/A,FALSE,"SCHEDULE A";"MINIMUM RENT",#N/A,FALSE,"SCHEDULES B &amp; C";"PERCENTAGE RENT",#N/A,FALSE,"SCHEDULES B &amp; C"}</definedName>
    <definedName name="fksajf" localSheetId="8" hidden="1">{#N/A,#N/A,FALSE,"SCHEDULE A";"MINIMUM RENT",#N/A,FALSE,"SCHEDULES B &amp; C";"PERCENTAGE RENT",#N/A,FALSE,"SCHEDULES B &amp; C"}</definedName>
    <definedName name="fksajf" localSheetId="3" hidden="1">{#N/A,#N/A,FALSE,"SCHEDULE A";"MINIMUM RENT",#N/A,FALSE,"SCHEDULES B &amp; C";"PERCENTAGE RENT",#N/A,FALSE,"SCHEDULES B &amp; C"}</definedName>
    <definedName name="fksajf" hidden="1">{#N/A,#N/A,FALSE,"SCHEDULE A";"MINIMUM RENT",#N/A,FALSE,"SCHEDULES B &amp; C";"PERCENTAGE RENT",#N/A,FALSE,"SCHEDULES B &amp; C"}</definedName>
    <definedName name="Fl_Virtual_School">#REF!</definedName>
    <definedName name="Flagler">#REF!</definedName>
    <definedName name="Flat_Rate_Non_Recurring">#REF!</definedName>
    <definedName name="Flat_Rate_Recurring">#REF!</definedName>
    <definedName name="Floor_Construction">#REF!</definedName>
    <definedName name="Florida">#REF!</definedName>
    <definedName name="FLOWRANGE">#REF!</definedName>
    <definedName name="FlrConst">#REF!</definedName>
    <definedName name="fm">#REF!</definedName>
    <definedName name="FM010_04112016">#REF!</definedName>
    <definedName name="fmd">#REF!</definedName>
    <definedName name="fmdtax">#REF!</definedName>
    <definedName name="fmdtx">#REF!</definedName>
    <definedName name="FModelCompany">#REF!</definedName>
    <definedName name="FNO">#REF!</definedName>
    <definedName name="FootnoteAnchor">#REF!</definedName>
    <definedName name="FootnoteRange">#REF!</definedName>
    <definedName name="FOOTPRINT">#REF!</definedName>
    <definedName name="ForecastEligible">#REF!</definedName>
    <definedName name="ForecastNetIncome" localSheetId="4">#REF!</definedName>
    <definedName name="ForecastNetIncome" localSheetId="5">#REF!</definedName>
    <definedName name="ForecastNetIncome" localSheetId="8">[2]Dashboard!$G$67</definedName>
    <definedName name="ForecastNetIncome" localSheetId="3">#REF!</definedName>
    <definedName name="ForecastNetIncome">#REF!</definedName>
    <definedName name="ForecastWarningAbsolute">#REF!</definedName>
    <definedName name="Foreign">#REF!</definedName>
    <definedName name="ForeignFreeTV">#REF!</definedName>
    <definedName name="ForeignLibraryValue">#REF!</definedName>
    <definedName name="ForeignOther">#REF!</definedName>
    <definedName name="ForeignPA">#REF!</definedName>
    <definedName name="ForeignPayTV">#REF!</definedName>
    <definedName name="ForeignPR">#REF!</definedName>
    <definedName name="ForeignProduction">#REF!</definedName>
    <definedName name="ForeignRev">#REF!</definedName>
    <definedName name="ForeignTheatrical">#REF!</definedName>
    <definedName name="ForeignVideo">#REF!</definedName>
    <definedName name="ForeignVideoCost">#REF!</definedName>
    <definedName name="Forgiveness">#REF!</definedName>
    <definedName name="FORM">#REF!</definedName>
    <definedName name="FormualCheck3">#REF!</definedName>
    <definedName name="Formula">#REF!</definedName>
    <definedName name="FormulaCheck1">#REF!</definedName>
    <definedName name="FormulaCheck2">#REF!</definedName>
    <definedName name="FormulaCheck4">#REF!</definedName>
    <definedName name="FormulaCheck5">#REF!</definedName>
    <definedName name="FormulaCheck6">#REF!</definedName>
    <definedName name="fos">#REF!</definedName>
    <definedName name="Foster_Youth_Floor">#REF!</definedName>
    <definedName name="Foster_Youth_Target">#REF!</definedName>
    <definedName name="FOtherAxes">#REF!</definedName>
    <definedName name="FOUNDATION_AMOUNT_1994_95">#REF!</definedName>
    <definedName name="FOUNDATION_FACTOR_TABLE">#REF!</definedName>
    <definedName name="Foundation_Giving">#REF!</definedName>
    <definedName name="FOUNDATION_HISTORY">#REF!</definedName>
    <definedName name="FOUNDATION_TABLE">#REF!</definedName>
    <definedName name="FOUNDATION_THRESHOLD_1995">#REF!</definedName>
    <definedName name="FoundationAllotment">#REF!</definedName>
    <definedName name="FoundationGrowth">#REF!</definedName>
    <definedName name="foundationinflationfactor">#REF!</definedName>
    <definedName name="foundationtuitiongrowth">#REF!</definedName>
    <definedName name="foundrate">#REF!</definedName>
    <definedName name="FourOhOnek">#REF!</definedName>
    <definedName name="FourthYear">#REF!</definedName>
    <definedName name="FOVabs">#REF!</definedName>
    <definedName name="fovcoi">#REF!</definedName>
    <definedName name="fovres">#REF!</definedName>
    <definedName name="FR">#REF!</definedName>
    <definedName name="Franklin">#REF!</definedName>
    <definedName name="FRDB_CentralCost">#REF!</definedName>
    <definedName name="Freely_Associated_States">#REF!</definedName>
    <definedName name="FreeRed">#REF!</definedName>
    <definedName name="FReportArea">#REF!</definedName>
    <definedName name="FReportBody">#REF!</definedName>
    <definedName name="FReportTitle">#REF!</definedName>
    <definedName name="frequency" localSheetId="4">{"Annually";"Semi-Annually";"Quarterly";"Bi-Monthly";"Monthly"}</definedName>
    <definedName name="frequency" localSheetId="2">{"Annually";"Semi-Annually";"Quarterly";"Bi-Monthly";"Monthly"}</definedName>
    <definedName name="frequency" localSheetId="1">{"Annually";"Semi-Annually";"Quarterly";"Bi-Monthly";"Monthly"}</definedName>
    <definedName name="frequency" localSheetId="5">{"Annually";"Semi-Annually";"Quarterly";"Bi-Monthly";"Monthly"}</definedName>
    <definedName name="frequency" localSheetId="8">{"Annually";"Semi-Annually";"Quarterly";"Bi-Monthly";"Monthly"}</definedName>
    <definedName name="frequency" localSheetId="3">{"Annually";"Semi-Annually";"Quarterly";"Bi-Monthly";"Monthly"}</definedName>
    <definedName name="frequency">{"Annually";"Semi-Annually";"Quarterly";"Bi-Monthly";"Monthly"}</definedName>
    <definedName name="fringe">#REF!</definedName>
    <definedName name="FrontOffice">#REF!</definedName>
    <definedName name="FrontServices">#REF!</definedName>
    <definedName name="fsdfsd">#REF!</definedName>
    <definedName name="fshDevBudget">#REF!</definedName>
    <definedName name="FSU_Lab_Broward">#REF!</definedName>
    <definedName name="FSU_Lab_Leon">#REF!</definedName>
    <definedName name="fte">#REF!</definedName>
    <definedName name="FTE_Count">#REF!</definedName>
    <definedName name="FTE_Count_Yr1">#REF!</definedName>
    <definedName name="FTE_Count_Yr2">#REF!</definedName>
    <definedName name="FTE_Count_Yr3">#REF!</definedName>
    <definedName name="FTE_Count_Yr4">#REF!</definedName>
    <definedName name="FTE_Count_Yr5">#REF!</definedName>
    <definedName name="FTE_Count_Yr6">#REF!</definedName>
    <definedName name="FTE_YesNo">#REF!</definedName>
    <definedName name="fteGeneralAdmin">#REF!</definedName>
    <definedName name="fteNew">#REF!</definedName>
    <definedName name="fteOtherCurricular">#REF!</definedName>
    <definedName name="FTES">#REF!</definedName>
    <definedName name="fteTeachersAll">#REF!</definedName>
    <definedName name="Full_400_MS">#REF!</definedName>
    <definedName name="Full_450_ES">#REF!</definedName>
    <definedName name="Full_Print">#REF!</definedName>
    <definedName name="Fully_Diluted">#REF!</definedName>
    <definedName name="Functional_Area">#REF!</definedName>
    <definedName name="FUNCTIONAL_AREA_PLUS_PA_COL4">#REF!</definedName>
    <definedName name="FunctionLook">#REF!</definedName>
    <definedName name="Fund">#REF!</definedName>
    <definedName name="FUND_BAL_PERCENT_YR_1">#REF!</definedName>
    <definedName name="FUND_BAL_PERCENT_YR_2">#REF!</definedName>
    <definedName name="FUND_BAL_PERCENT_YR_3">#REF!</definedName>
    <definedName name="FUND_BAL_PERCENT_YR_4">#REF!</definedName>
    <definedName name="FundBalanceHistory">#REF!</definedName>
    <definedName name="FundDate">#REF!</definedName>
    <definedName name="funded_els">#REF!</definedName>
    <definedName name="Funding_Uses">#REF!</definedName>
    <definedName name="FundingPeriod">#REF!</definedName>
    <definedName name="Funds_Center">#REF!</definedName>
    <definedName name="furneqpt">#REF!</definedName>
    <definedName name="FUTA">#REF!</definedName>
    <definedName name="FV">#REF!</definedName>
    <definedName name="FVerticalAxis">#REF!</definedName>
    <definedName name="FY_Begin">#REF!</definedName>
    <definedName name="FY12_HS_ACA">#REF!</definedName>
    <definedName name="FY12_HS_AMP">#REF!</definedName>
    <definedName name="FY12_HS_INF">#REF!</definedName>
    <definedName name="FY12_HS_STA">#REF!</definedName>
    <definedName name="FY13_Allocation">#REF!</definedName>
    <definedName name="FY13_Allocation_Table">#REF!</definedName>
    <definedName name="fy13_base">#REF!</definedName>
    <definedName name="fy13_goal">#REF!</definedName>
    <definedName name="FY13_Status">#REF!</definedName>
    <definedName name="FY14_Allocation">#REF!</definedName>
    <definedName name="FY14_Allocation_Table">#REF!</definedName>
    <definedName name="fy14_base">#REF!</definedName>
    <definedName name="FY14_Disability">#REF!</definedName>
    <definedName name="fy14_goal">#REF!</definedName>
    <definedName name="FY14_Instructional_Personnel">#REF!</definedName>
    <definedName name="FY14_NYMCTMTTD">#REF!</definedName>
    <definedName name="FY14_Prof_Baseball">#REF!</definedName>
    <definedName name="FY14_Prof_BX_RKA">#REF!</definedName>
    <definedName name="FY14_Prof_BX_RKS">#REF!</definedName>
    <definedName name="FY14_Prof_CC">#REF!</definedName>
    <definedName name="FY14_Prof_CR">#REF!</definedName>
    <definedName name="FY14_Prof_DREAMDev">#REF!</definedName>
    <definedName name="FY14_Prof_DREAMMgmt">#REF!</definedName>
    <definedName name="FY14_Prof_DREAMPgm">#REF!</definedName>
    <definedName name="FY14_Prof_FR">#REF!</definedName>
    <definedName name="FY14_Prof_Legends">#REF!</definedName>
    <definedName name="FY14_Prof_MgmtG">#REF!</definedName>
    <definedName name="FY14_Prof_RKS">#REF!</definedName>
    <definedName name="FY14_Prof_SW">#REF!</definedName>
    <definedName name="FY14_Prof_TA">#REF!</definedName>
    <definedName name="FY14_Prof_TB">#REF!</definedName>
    <definedName name="FY14_Prof_TS">#REF!</definedName>
    <definedName name="FY14_Prof_TW">#REF!</definedName>
    <definedName name="FY14_Professional">#REF!</definedName>
    <definedName name="FY14_Professional_Personnel">#REF!</definedName>
    <definedName name="FY14_SSTax_abovebelowcap">#REF!</definedName>
    <definedName name="FY14_SSTaxbelowcap">#REF!</definedName>
    <definedName name="FY14_Workerscomp">#REF!</definedName>
    <definedName name="FY1415_FM1_9_EXPENDITURES_COL2">#REF!</definedName>
    <definedName name="FY14Prof_Rookies">#REF!</definedName>
    <definedName name="FY15_Disability">#REF!</definedName>
    <definedName name="FY15_FICAbelowcap">#REF!</definedName>
    <definedName name="FY15_FICApluscap">#REF!</definedName>
    <definedName name="FY15_NYMCT">#REF!</definedName>
    <definedName name="FY1516_2P_COL21">#REF!</definedName>
    <definedName name="FY15Allocations">#REF!</definedName>
    <definedName name="FY15WorkersComp">#REF!</definedName>
    <definedName name="FY16_Admin">#REF!</definedName>
    <definedName name="FY16_FR_Comm">#REF!</definedName>
    <definedName name="FY16_Pgm_Scenario">#REF!</definedName>
    <definedName name="FY17FoundationGrowth">#REF!</definedName>
    <definedName name="FY24YE_table">#REF!</definedName>
    <definedName name="g">#REF!</definedName>
    <definedName name="g_2" hidden="1">{"mgmt forecast",#N/A,FALSE,"Mgmt Forecast";"dcf table",#N/A,FALSE,"Mgmt Forecast";"sensitivity",#N/A,FALSE,"Mgmt Forecast";"table inputs",#N/A,FALSE,"Mgmt Forecast";"calculations",#N/A,FALSE,"Mgmt Forecast"}</definedName>
    <definedName name="G_A">#N/A</definedName>
    <definedName name="g\">#REF!</definedName>
    <definedName name="G9130Restricted">#REF!</definedName>
    <definedName name="G9130Unrestricted">#REF!</definedName>
    <definedName name="G9320Restricted">#REF!</definedName>
    <definedName name="G9320Unrestricted">#REF!</definedName>
    <definedName name="G9330Restricted">#REF!</definedName>
    <definedName name="G9330Unrestricted">#REF!</definedName>
    <definedName name="GA">#N/A</definedName>
    <definedName name="Gadsden">#REF!</definedName>
    <definedName name="GandT">#REF!</definedName>
    <definedName name="GAPselection">#REF!</definedName>
    <definedName name="Gaston_High">#REF!</definedName>
    <definedName name="Gaston_Middle">#REF!</definedName>
    <definedName name="Gaston_Primary">#REF!</definedName>
    <definedName name="GB">#N/A</definedName>
    <definedName name="GCOA">#REF!</definedName>
    <definedName name="gct">#REF!</definedName>
    <definedName name="gdfgs">#REF!</definedName>
    <definedName name="gegeg" hidden="1">{#N/A,#N/A,FALSE,"Cashflow Analysis";#N/A,#N/A,FALSE,"Sensitivity Analysis";#N/A,#N/A,FALSE,"PV";#N/A,#N/A,FALSE,"Pro Forma"}</definedName>
    <definedName name="gegeg.2" hidden="1">{#N/A,#N/A,FALSE,"Cashflow Analysis";#N/A,#N/A,FALSE,"Sensitivity Analysis";#N/A,#N/A,FALSE,"PV";#N/A,#N/A,FALSE,"Pro Forma"}</definedName>
    <definedName name="GenDescr">"Text 4"</definedName>
    <definedName name="GeneralCategories">#REF!</definedName>
    <definedName name="GenericCostGrowth">#REF!</definedName>
    <definedName name="genesis">#REF!</definedName>
    <definedName name="GENFD">#REF!</definedName>
    <definedName name="Georgia">#REF!</definedName>
    <definedName name="gergerg">#REF!</definedName>
    <definedName name="GF">#REF!</definedName>
    <definedName name="GF_CofO">#REF!</definedName>
    <definedName name="GF_COMMENTS">#REF!</definedName>
    <definedName name="GF_COMMENTS_2">#REF!</definedName>
    <definedName name="GF_CONST_FEE">#REF!</definedName>
    <definedName name="GF_CONST_START">#REF!</definedName>
    <definedName name="GF_DB_FEE">#REF!</definedName>
    <definedName name="GF_DDCD">#REF!</definedName>
    <definedName name="GF_DES_FEE">#REF!</definedName>
    <definedName name="GF_DES_START">#REF!</definedName>
    <definedName name="GF_DETAILS_CONST_FEE">#REF!</definedName>
    <definedName name="GF_DETAILS_DES_FEE">#REF!</definedName>
    <definedName name="GF_FINISH">#REF!</definedName>
    <definedName name="GF_PREC_FEE">#REF!</definedName>
    <definedName name="gfa">#REF!</definedName>
    <definedName name="GFAFTSCH">#REF!</definedName>
    <definedName name="GFAFTSCH1">#REF!</definedName>
    <definedName name="GFAFTSCH1000">#REF!</definedName>
    <definedName name="GFAFTSCH2">#REF!</definedName>
    <definedName name="GFAFTSCH3">#REF!</definedName>
    <definedName name="GFAFTSCH4">#REF!</definedName>
    <definedName name="GFAFTSCH5">#REF!</definedName>
    <definedName name="GFAFTSCH6">#REF!</definedName>
    <definedName name="GFAFTSCH7">#REF!</definedName>
    <definedName name="GFAFTSCHDESBAL">#REF!</definedName>
    <definedName name="GFAFTSCHECONUNCERT">#REF!</definedName>
    <definedName name="GFAFTSCHPREPEXP">#REF!</definedName>
    <definedName name="GFAFTSCHRSV4ANTENDBAL">#REF!</definedName>
    <definedName name="GFAFTSCHRSV4PTNEQ">#REF!</definedName>
    <definedName name="GFAFTSCHRVLVNGFD">#REF!</definedName>
    <definedName name="GFAFTSCHUNDESBAL">#REF!</definedName>
    <definedName name="GFBEN">#REF!</definedName>
    <definedName name="GFBEN1">#REF!</definedName>
    <definedName name="GFBEN2">#REF!</definedName>
    <definedName name="GFBEN3">#REF!</definedName>
    <definedName name="GFBEN4">#REF!</definedName>
    <definedName name="GFBEN5">#REF!</definedName>
    <definedName name="GFBEN6">#REF!</definedName>
    <definedName name="GFBEN7">#REF!</definedName>
    <definedName name="GFBEN8">#REF!</definedName>
    <definedName name="GFBEN9">#REF!</definedName>
    <definedName name="GFBKSNSUPP">#REF!</definedName>
    <definedName name="GFBKSNSUPP1">#REF!</definedName>
    <definedName name="GFBKSNSUPP2">#REF!</definedName>
    <definedName name="GFBKSNSUPP3">#REF!</definedName>
    <definedName name="GFBKSNSUPP4">#REF!</definedName>
    <definedName name="GFBKSNSUPP5">#REF!</definedName>
    <definedName name="GFBKSNSUPP6">#REF!</definedName>
    <definedName name="GFBKSNSUPP7">#REF!</definedName>
    <definedName name="GFCAPOUTLAY">#REF!</definedName>
    <definedName name="GFCAPOUTLAY1">#REF!</definedName>
    <definedName name="GFCAPOUTLAY2">#REF!</definedName>
    <definedName name="GFCAPOUTLAY3">#REF!</definedName>
    <definedName name="GFCAPOUTLAY4">#REF!</definedName>
    <definedName name="GFCAPOUTLAY5">#REF!</definedName>
    <definedName name="GFCERT">#REF!</definedName>
    <definedName name="GFCERT1">#REF!</definedName>
    <definedName name="GFCERT2">#REF!</definedName>
    <definedName name="GFCERT3">#REF!</definedName>
    <definedName name="GFCERT4">#REF!</definedName>
    <definedName name="GFCERT5">#REF!</definedName>
    <definedName name="GFCERT6">#REF!</definedName>
    <definedName name="GFCERT7">#REF!</definedName>
    <definedName name="GFCERT8">#REF!</definedName>
    <definedName name="GFCERT9">#REF!</definedName>
    <definedName name="GFCLASS">#REF!</definedName>
    <definedName name="GFCLASS1">#REF!</definedName>
    <definedName name="GFCLASS2">#REF!</definedName>
    <definedName name="GFCLASS3">#REF!</definedName>
    <definedName name="GFCLASS4">#REF!</definedName>
    <definedName name="GFCLASS5">#REF!</definedName>
    <definedName name="GFCLASS6">#REF!</definedName>
    <definedName name="GFCLASS9">#REF!</definedName>
    <definedName name="GFDB_CONST_FEE">#REF!</definedName>
    <definedName name="GFDB_DB_FEE">#REF!</definedName>
    <definedName name="GFDB_DES_FEE">#REF!</definedName>
    <definedName name="GFDB_PREC_FEE">#REF!</definedName>
    <definedName name="GFDESBAL">#REF!</definedName>
    <definedName name="GFECONUNCERT">#REF!</definedName>
    <definedName name="GFHRLY">#REF!</definedName>
    <definedName name="GFHRLY1">#REF!</definedName>
    <definedName name="GFHRLY1000">#REF!</definedName>
    <definedName name="GFHRLY2">#REF!</definedName>
    <definedName name="GFHRLY3">#REF!</definedName>
    <definedName name="GFHRLY4">#REF!</definedName>
    <definedName name="GFHRLY5">#REF!</definedName>
    <definedName name="GFHRLY6">#REF!</definedName>
    <definedName name="GFHRLY7">#REF!</definedName>
    <definedName name="GFHRLYDESBAL">#REF!</definedName>
    <definedName name="GFHRLYECONUNCERT">#REF!</definedName>
    <definedName name="GFHRLYPREPEXP">#REF!</definedName>
    <definedName name="GFHRLYRSV4ANTENDBAL">#REF!</definedName>
    <definedName name="GFHRLYRSV4PTNEQ">#REF!</definedName>
    <definedName name="GFHRLYRVLVNGFD">#REF!</definedName>
    <definedName name="GFHRLYUNDESBAL">#REF!</definedName>
    <definedName name="GFIMA">#REF!</definedName>
    <definedName name="GFINTFD">#REF!</definedName>
    <definedName name="GFINTFD1">#REF!</definedName>
    <definedName name="GFINTFD1000">#REF!</definedName>
    <definedName name="GFINTFD2">#REF!</definedName>
    <definedName name="GFINTFD3">#REF!</definedName>
    <definedName name="GFINTFD4">#REF!</definedName>
    <definedName name="GFINTFD5">#REF!</definedName>
    <definedName name="GFINTFD6">#REF!</definedName>
    <definedName name="GFINTFD7">#REF!</definedName>
    <definedName name="GFINTFDDESBAL">#REF!</definedName>
    <definedName name="GFINTFDECONUNCERT">#REF!</definedName>
    <definedName name="GFINTFDPREPEXP">#REF!</definedName>
    <definedName name="GFINTFDRSV4ANTENDBAL">#REF!</definedName>
    <definedName name="GFINTFDRSV4PTNEQ">#REF!</definedName>
    <definedName name="GFINTFDRVLVNGFD">#REF!</definedName>
    <definedName name="GFINTFDUNDESBAL">#REF!</definedName>
    <definedName name="GFOPT">#REF!</definedName>
    <definedName name="GFOPT1">#REF!</definedName>
    <definedName name="GFOPT2">#REF!</definedName>
    <definedName name="GFOPT3">#REF!</definedName>
    <definedName name="GFOPT3000">#REF!</definedName>
    <definedName name="GFOPT4">#REF!</definedName>
    <definedName name="GFOPT5">#REF!</definedName>
    <definedName name="GFOPT6">#REF!</definedName>
    <definedName name="GFOPT7">#REF!</definedName>
    <definedName name="GFOPTDESBAL">#REF!</definedName>
    <definedName name="GFOPTECONUNCERT">#REF!</definedName>
    <definedName name="GFOPTPREPEXP">#REF!</definedName>
    <definedName name="GFOPTRSV4ANTENDBAL">#REF!</definedName>
    <definedName name="GFOPTRSV4PTNEQ">#REF!</definedName>
    <definedName name="GFOPTRVLVNGFD">#REF!</definedName>
    <definedName name="GFOPTUNDESBAL">#REF!</definedName>
    <definedName name="GFOTHOUTGO">#REF!</definedName>
    <definedName name="GFOTHOUTGO1">#REF!</definedName>
    <definedName name="GFOTHOUTGO2">#REF!</definedName>
    <definedName name="GFOTHOUTGO3">#REF!</definedName>
    <definedName name="GFOTHOUTGO6">#REF!</definedName>
    <definedName name="GFOTHOUTGO7">#REF!</definedName>
    <definedName name="GFOTHOUTGO9">#REF!</definedName>
    <definedName name="GFPREPEXP">#REF!</definedName>
    <definedName name="GFRESALLOC">#REF!</definedName>
    <definedName name="GFRESALLOC1">#REF!</definedName>
    <definedName name="GFRESALLOC1000">#REF!</definedName>
    <definedName name="GFRESALLOC2">#REF!</definedName>
    <definedName name="GFRESALLOC3">#REF!</definedName>
    <definedName name="GFRESALLOC4">#REF!</definedName>
    <definedName name="GFRESALLOC5">#REF!</definedName>
    <definedName name="GFRESALLOC6">#REF!</definedName>
    <definedName name="GFRESALLOC7">#REF!</definedName>
    <definedName name="GFRESALLOCANTENDBAL">#REF!</definedName>
    <definedName name="GFRESALLOCDESBAL">#REF!</definedName>
    <definedName name="GFRESALLOCECONUNCERT">#REF!</definedName>
    <definedName name="GFRESALLOCPREPEXP">#REF!</definedName>
    <definedName name="GFRESALLOCRSV4ANTENDBAL">#REF!</definedName>
    <definedName name="GFRESALLOCRSV4PTNEQ">#REF!</definedName>
    <definedName name="GFRESALLOCRVLVNGFD">#REF!</definedName>
    <definedName name="GFRESALLOCUNDESBAL">#REF!</definedName>
    <definedName name="GFREST">#REF!</definedName>
    <definedName name="GFREST1">#REF!</definedName>
    <definedName name="GFREST1000">#REF!</definedName>
    <definedName name="GFREST2">#REF!</definedName>
    <definedName name="GFREST3">#REF!</definedName>
    <definedName name="GFREST4">#REF!</definedName>
    <definedName name="GFREST5">#REF!</definedName>
    <definedName name="GFREST6">#REF!</definedName>
    <definedName name="GFREST7">#REF!</definedName>
    <definedName name="GFRESTDESBAL">#REF!</definedName>
    <definedName name="GFRESTECONUNCERT">#REF!</definedName>
    <definedName name="GFRESTPREPEXP">#REF!</definedName>
    <definedName name="GFRESTRSV4ANTENDBAL">#REF!</definedName>
    <definedName name="GFRESTRSV4PTNREQ">#REF!</definedName>
    <definedName name="GFRESTRVLVNGFD">#REF!</definedName>
    <definedName name="GFRESTUNDESBAL">#REF!</definedName>
    <definedName name="GFROC">#REF!</definedName>
    <definedName name="GFROC1">#REF!</definedName>
    <definedName name="GFROC1000">#REF!</definedName>
    <definedName name="GFROC2">#REF!</definedName>
    <definedName name="GFROC3">#REF!</definedName>
    <definedName name="GFROC4">#REF!</definedName>
    <definedName name="GFROC5">#REF!</definedName>
    <definedName name="GFROC6">#REF!</definedName>
    <definedName name="GFROC7">#REF!</definedName>
    <definedName name="GFROCDESBAL">#REF!</definedName>
    <definedName name="GFROCECONUNCERT">#REF!</definedName>
    <definedName name="GFROCPREPEXP">#REF!</definedName>
    <definedName name="GFROCRSV4ANTENDBAL">#REF!</definedName>
    <definedName name="GFROCRSV4PTNEQ">#REF!</definedName>
    <definedName name="GFROCRSVANTENDBAL">#REF!</definedName>
    <definedName name="GFROCRVLVNG">#REF!</definedName>
    <definedName name="GFROCUNDESBAL">#REF!</definedName>
    <definedName name="GFRRGM">#REF!</definedName>
    <definedName name="GFRRGM1">#REF!</definedName>
    <definedName name="GFRRGM1000">#REF!</definedName>
    <definedName name="GFRRGM2">#REF!</definedName>
    <definedName name="GFRRGM3">#REF!</definedName>
    <definedName name="GFRRGM4">#REF!</definedName>
    <definedName name="GFRRGM5">#REF!</definedName>
    <definedName name="GFRRGM6">#REF!</definedName>
    <definedName name="GFRRGM7">#REF!</definedName>
    <definedName name="GFRRGMDESBAL">#REF!</definedName>
    <definedName name="GFRRGMECONUNCERT">#REF!</definedName>
    <definedName name="GFRRGMPREPEXP">#REF!</definedName>
    <definedName name="GFRRGMRSV4ANTENDBAL">#REF!</definedName>
    <definedName name="GFRRGMRSV4PTNEQ">#REF!</definedName>
    <definedName name="GFRRGMRVLVNGFD">#REF!</definedName>
    <definedName name="GFRRGMUNDESBAL">#REF!</definedName>
    <definedName name="GFRSV4ANTENDBAL">#REF!</definedName>
    <definedName name="GFRSV4PTNEQ">#REF!</definedName>
    <definedName name="GFRSV4PTNREQ">#REF!</definedName>
    <definedName name="GFRVLVNGFD">#REF!</definedName>
    <definedName name="GFSPEC">#REF!</definedName>
    <definedName name="GFSPED">#REF!</definedName>
    <definedName name="GFSPED1">#REF!</definedName>
    <definedName name="GFSPED2">#REF!</definedName>
    <definedName name="GFSPED3">#REF!</definedName>
    <definedName name="GFSPED4">#REF!</definedName>
    <definedName name="GFSPED5">#REF!</definedName>
    <definedName name="GFSPED6">#REF!</definedName>
    <definedName name="GFSPED7">#REF!</definedName>
    <definedName name="GFSPEDDESBAL">#REF!</definedName>
    <definedName name="GFSPEDECONUNCERT">#REF!</definedName>
    <definedName name="GFSPEDPREPEXP">#REF!</definedName>
    <definedName name="GFSPEDRSV4ANTENDBAL">#REF!</definedName>
    <definedName name="GFSPEDRSV4PTNEQ">#REF!</definedName>
    <definedName name="GFSPEDRVLVNGFD">#REF!</definedName>
    <definedName name="GFSPEDUNDESBAL">#REF!</definedName>
    <definedName name="GFSRVNOTH5">#REF!</definedName>
    <definedName name="GFSRVNOTH6">#REF!</definedName>
    <definedName name="GFSRVNOTH8">#REF!</definedName>
    <definedName name="GFSRVNOTH9">#REF!</definedName>
    <definedName name="GFSVCNOTH">#REF!</definedName>
    <definedName name="GFSVCNOTH1">#REF!</definedName>
    <definedName name="GFSVCNOTH2">#REF!</definedName>
    <definedName name="GFSVCNOTH3">#REF!</definedName>
    <definedName name="GFSVCNOTH4">#REF!</definedName>
    <definedName name="GFSVCNOTH5">#REF!</definedName>
    <definedName name="GFSVCNOTHRS1">#REF!</definedName>
    <definedName name="GFSVCNOTHRS2">#REF!</definedName>
    <definedName name="GFSVCNOTHRS3">#REF!</definedName>
    <definedName name="GFSVCSNOTH2">#REF!</definedName>
    <definedName name="GFSVCSNOTHRS">#REF!</definedName>
    <definedName name="GFSVCSNOTHRS1">#REF!</definedName>
    <definedName name="GFSVCSNOTHRS3">#REF!</definedName>
    <definedName name="GFTIIG">#REF!</definedName>
    <definedName name="GFTIIG1">#REF!</definedName>
    <definedName name="GFTIIG1000">#REF!</definedName>
    <definedName name="GFTIIG2">#REF!</definedName>
    <definedName name="GFTIIG3">#REF!</definedName>
    <definedName name="GFTIIG4">#REF!</definedName>
    <definedName name="GFTIIG5">#REF!</definedName>
    <definedName name="GFTIIG6">#REF!</definedName>
    <definedName name="GFTIIG7">#REF!</definedName>
    <definedName name="GFTIIGDESBAL">#REF!</definedName>
    <definedName name="GFTIIGECONUNCERT">#REF!</definedName>
    <definedName name="GFTIIGPREPEXP">#REF!</definedName>
    <definedName name="GFTIIGRSV4ANTENDBAL">#REF!</definedName>
    <definedName name="GFTIIGRSV4PTNEQ">#REF!</definedName>
    <definedName name="GFTIIGRVLVNGFD">#REF!</definedName>
    <definedName name="GFTIIGUNDESBAL">#REF!</definedName>
    <definedName name="GFTOTAL">#REF!</definedName>
    <definedName name="GFUNDESBAL">#REF!</definedName>
    <definedName name="GFUNR">#REF!</definedName>
    <definedName name="GFUNR1">#REF!</definedName>
    <definedName name="GFUNR1000">#REF!</definedName>
    <definedName name="GFUNR2">#REF!</definedName>
    <definedName name="GFUNR2000">#REF!</definedName>
    <definedName name="GFUNR3">#REF!</definedName>
    <definedName name="GFUNR3000">#REF!</definedName>
    <definedName name="GFUNR4">#REF!</definedName>
    <definedName name="GFUNR4000">#REF!</definedName>
    <definedName name="GFUNR5">#REF!</definedName>
    <definedName name="GFUNR5000">#REF!</definedName>
    <definedName name="GFUNR6">#REF!</definedName>
    <definedName name="GFUNR6000">#REF!</definedName>
    <definedName name="GFUNR7">#REF!</definedName>
    <definedName name="GFUNR7000">#REF!</definedName>
    <definedName name="GFUNRDESBAL">#REF!</definedName>
    <definedName name="GFUNRECONUNCERT">#REF!</definedName>
    <definedName name="GFUNRPREPEXP">#REF!</definedName>
    <definedName name="GFUNRRES4ANTENDBAL">#REF!</definedName>
    <definedName name="GFUNRRES4PTNEQ">#REF!</definedName>
    <definedName name="GFUNRRS4PTNEQ">#REF!</definedName>
    <definedName name="GFUNRRSV4ANTENDBAL">#REF!</definedName>
    <definedName name="GFUNRRSV4PTNEQ">#REF!</definedName>
    <definedName name="GFUNRRVLVNGFD">#REF!</definedName>
    <definedName name="GFUNRUNDESBAL">#REF!</definedName>
    <definedName name="gg" hidden="1">{#N/A,#N/A,FALSE,"Cashflow Analysis";#N/A,#N/A,FALSE,"Sensitivity Analysis";#N/A,#N/A,FALSE,"PV";#N/A,#N/A,FALSE,"Pro Forma"}</definedName>
    <definedName name="gg.2" hidden="1">{#N/A,#N/A,FALSE,"Cashflow Analysis";#N/A,#N/A,FALSE,"Sensitivity Analysis";#N/A,#N/A,FALSE,"PV";#N/A,#N/A,FALSE,"Pro Forma"}</definedName>
    <definedName name="gg\">#REF!</definedName>
    <definedName name="ggcondo_int">#REF!</definedName>
    <definedName name="ggcondo_intadd">#REF!</definedName>
    <definedName name="ggg">#REF!</definedName>
    <definedName name="gggg" hidden="1">{"ODB",#N/A,FALSE,"Hold Scenario"}</definedName>
    <definedName name="Gifted">#REF!</definedName>
    <definedName name="gifts">#REF!</definedName>
    <definedName name="gifts2">#REF!</definedName>
    <definedName name="Gilchrist">#REF!</definedName>
    <definedName name="gjkjkjgk">#REF!</definedName>
    <definedName name="GL_Numbers">#REF!</definedName>
    <definedName name="Glades">#REF!</definedName>
    <definedName name="GNO">#REF!</definedName>
    <definedName name="Goals">#REF!</definedName>
    <definedName name="GoalsList">#REF!</definedName>
    <definedName name="GoAssetChart">#REF!</definedName>
    <definedName name="GoBack">#REF!</definedName>
    <definedName name="GoBalanceSheet">#REF!</definedName>
    <definedName name="GOBonds">#REF!</definedName>
    <definedName name="GoCashFlow">#REF!</definedName>
    <definedName name="GoData">#REF!</definedName>
    <definedName name="GoIncomeChart">#REF!</definedName>
    <definedName name="GOLDMAN_MODEL">#REF!</definedName>
    <definedName name="golf">#REF!</definedName>
    <definedName name="golf_avgabs">#REF!</definedName>
    <definedName name="golf_fgv1abs">#REF!</definedName>
    <definedName name="golf_maxabs">#REF!</definedName>
    <definedName name="golfbreakeven">#REF!</definedName>
    <definedName name="golfdate">#REF!</definedName>
    <definedName name="golfopenq">#REF!</definedName>
    <definedName name="golfopenyr">#REF!</definedName>
    <definedName name="golfsaleq">#REF!</definedName>
    <definedName name="golfsaleyr">#REF!</definedName>
    <definedName name="golfswitch">#REF!</definedName>
    <definedName name="Goodwill">#REF!</definedName>
    <definedName name="Goodwill_Per">#REF!</definedName>
    <definedName name="GOV">#REF!</definedName>
    <definedName name="gp">#REF!</definedName>
    <definedName name="GP_46">#REF!</definedName>
    <definedName name="GP_46_14">#REF!</definedName>
    <definedName name="GP_78">#REF!</definedName>
    <definedName name="GP_78_14">#REF!</definedName>
    <definedName name="GP_912">#REF!</definedName>
    <definedName name="GP_K3">#REF!</definedName>
    <definedName name="GP_K3_14">#REF!</definedName>
    <definedName name="gpm">#REF!</definedName>
    <definedName name="gr" localSheetId="4">{"three",#N/A,FALSE,"Capital";"four",#N/A,FALSE,"Capital"}</definedName>
    <definedName name="gr" localSheetId="2">{"three",#N/A,FALSE,"Capital";"four",#N/A,FALSE,"Capital"}</definedName>
    <definedName name="gr" localSheetId="1" hidden="1">{"three",#N/A,FALSE,"Capital";"four",#N/A,FALSE,"Capital"}</definedName>
    <definedName name="gr" localSheetId="5">{"three",#N/A,FALSE,"Capital";"four",#N/A,FALSE,"Capital"}</definedName>
    <definedName name="gr" localSheetId="8">{"three",#N/A,FALSE,"Capital";"four",#N/A,FALSE,"Capital"}</definedName>
    <definedName name="gr" localSheetId="3" hidden="1">{"three",#N/A,FALSE,"Capital";"four",#N/A,FALSE,"Capital"}</definedName>
    <definedName name="gr">{"three",#N/A,FALSE,"Capital";"four",#N/A,FALSE,"Capital"}</definedName>
    <definedName name="gr_2" hidden="1">{"three",#N/A,FALSE,"Capital";"four",#N/A,FALSE,"Capital"}</definedName>
    <definedName name="GRADE">#REF!</definedName>
    <definedName name="Grade_Level">#REF!</definedName>
    <definedName name="Graduate">#REF!</definedName>
    <definedName name="Grand_Total">#REF!</definedName>
    <definedName name="GrandTotalDevCost">#REF!</definedName>
    <definedName name="grantrec">#REF!</definedName>
    <definedName name="grants">#REF!</definedName>
    <definedName name="grants2">#REF!</definedName>
    <definedName name="grants3">#REF!</definedName>
    <definedName name="grants4">#REF!</definedName>
    <definedName name="GRAPH_TARGET">#REF!</definedName>
    <definedName name="GROCON">#REF!</definedName>
    <definedName name="gross">#REF!</definedName>
    <definedName name="Ground_Lease_Payments">#REF!</definedName>
    <definedName name="GroupPaceStart2">#REF!</definedName>
    <definedName name="GROW_EXP">#REF!</definedName>
    <definedName name="GROW_RETAX">#REF!</definedName>
    <definedName name="GROW_REV">#REF!</definedName>
    <definedName name="GrowthAssumptionCell">#REF!</definedName>
    <definedName name="GrowthOutcomes">#REF!</definedName>
    <definedName name="GRSF">#N/A</definedName>
    <definedName name="grsf2">rgrsf2</definedName>
    <definedName name="grsf245">#N/A</definedName>
    <definedName name="grsf3">rgrsf2</definedName>
    <definedName name="grsf4">rgrsf2</definedName>
    <definedName name="grsf5">rgrsf2</definedName>
    <definedName name="grsf6">rgrsf2</definedName>
    <definedName name="grsf7">rgrsf2</definedName>
    <definedName name="grsf8">rgrsf2</definedName>
    <definedName name="grsf9">rgrsf2</definedName>
    <definedName name="GRtoPC_ratio">#REF!</definedName>
    <definedName name="GSF">#REF!</definedName>
    <definedName name="gst_a">#REF!</definedName>
    <definedName name="Guam">#REF!</definedName>
    <definedName name="Guarantee_Max">#REF!</definedName>
    <definedName name="Guarantee_Per_Student">#REF!</definedName>
    <definedName name="guess">#REF!</definedName>
    <definedName name="guess_a">#REF!</definedName>
    <definedName name="guess_n">#REF!</definedName>
    <definedName name="guess_r">#REF!</definedName>
    <definedName name="guess2">#REF!</definedName>
    <definedName name="guessste">#REF!</definedName>
    <definedName name="guesstax">#REF!</definedName>
    <definedName name="guesstx">#REF!</definedName>
    <definedName name="Gulf">#REF!</definedName>
    <definedName name="gvef">#REF!</definedName>
    <definedName name="gvef2">#REF!</definedName>
    <definedName name="gvef3">#REF!</definedName>
    <definedName name="gvef4">#REF!</definedName>
    <definedName name="h" hidden="1">{"ed1",#N/A,TRUE,"E-D";"ed2",#N/A,TRUE,"E-D"}</definedName>
    <definedName name="h_2" hidden="1">{"ed1",#N/A,TRUE,"E-D";"ed2",#N/A,TRUE,"E-D"}</definedName>
    <definedName name="H_Options">#REF!</definedName>
    <definedName name="H_Plans">#REF!</definedName>
    <definedName name="h\">#REF!</definedName>
    <definedName name="Halifax_Middle">#REF!</definedName>
    <definedName name="Halifax_Primary">#REF!</definedName>
    <definedName name="Hamilton">#REF!</definedName>
    <definedName name="handleM">#REF!</definedName>
    <definedName name="handleY">#REF!</definedName>
    <definedName name="HardCosts">#REF!</definedName>
    <definedName name="Hardee">#REF!</definedName>
    <definedName name="Hawaii">#REF!</definedName>
    <definedName name="hb">#REF!</definedName>
    <definedName name="HB_avgabs">#REF!</definedName>
    <definedName name="HB_BE">#REF!</definedName>
    <definedName name="HB_fgv1abs">#REF!</definedName>
    <definedName name="HB_peakabs">#REF!</definedName>
    <definedName name="HB_peakabsyr">#REF!</definedName>
    <definedName name="hbbe">#REF!</definedName>
    <definedName name="hblbe">#REF!</definedName>
    <definedName name="HBLD_avgabs">#REF!</definedName>
    <definedName name="HBLD_fgv1abs">#REF!</definedName>
    <definedName name="HBLD_maxabs">#REF!</definedName>
    <definedName name="HBLevBreakeven">#REF!</definedName>
    <definedName name="HBUnlevBreakeven">#REF!</definedName>
    <definedName name="HC">#REF!</definedName>
    <definedName name="HCCheck">#REF!</definedName>
    <definedName name="HEAD">#REF!</definedName>
    <definedName name="Header_Area">#REF!</definedName>
    <definedName name="Header_Row">ROW(#REF!)</definedName>
    <definedName name="HEADPRINT">#N/A</definedName>
    <definedName name="HEALTH">#REF!</definedName>
    <definedName name="HEALTH_1">#REF!</definedName>
    <definedName name="HEALTH_2">#REF!</definedName>
    <definedName name="HEALTH_3">#REF!</definedName>
    <definedName name="HEALTH_4">#REF!</definedName>
    <definedName name="HEALTH_BASE_YR">#REF!</definedName>
    <definedName name="Health_EE_Deduction_Annual_Yr1">#REF!</definedName>
    <definedName name="Health_EE_Deduction_Annual_Yr2">#REF!</definedName>
    <definedName name="Health_EE_Deduction_Annual_Yr3">#REF!</definedName>
    <definedName name="Health_EE_Deduction_Annual_Yr4">#REF!</definedName>
    <definedName name="Health_EE_Deduction_Annual_Yr5">#REF!</definedName>
    <definedName name="Health_EE_Deduction_Annual_Yr6">#REF!</definedName>
    <definedName name="HEALTH_EMPLOYEE_SHARE_YR_1">#REF!</definedName>
    <definedName name="HEALTH_EMPLOYEE_SHARE_YR_2">#REF!</definedName>
    <definedName name="HEALTH_EMPLOYEE_SHARE_YR_3">#REF!</definedName>
    <definedName name="HEALTH_EMPLOYEE_SHARE_YR_4">#REF!</definedName>
    <definedName name="Health_Expense_Annual_Yr1">#REF!</definedName>
    <definedName name="Health_Expense_Annual_Yr2">#REF!</definedName>
    <definedName name="Health_Expense_Annual_Yr3">#REF!</definedName>
    <definedName name="Health_Expense_Annual_Yr4">#REF!</definedName>
    <definedName name="Health_Expense_Annual_Yr5">#REF!</definedName>
    <definedName name="Health_Expense_Annual_Yr6">#REF!</definedName>
    <definedName name="HEALTH_GRAPH_BASE">#REF!</definedName>
    <definedName name="HEALTH_GRAPH_YR_1">#REF!</definedName>
    <definedName name="HEALTH_GRAPH_YR_2">#REF!</definedName>
    <definedName name="HEALTH_GRAPH_YR_3">#REF!</definedName>
    <definedName name="HEALTH_GRAPH_YR_4">#REF!</definedName>
    <definedName name="Health_Increase">#REF!</definedName>
    <definedName name="Health_Options">#REF!</definedName>
    <definedName name="HEALTH_PER_STUDENT_GRAPH_BASE">#REF!</definedName>
    <definedName name="HEALTH_PER_STUDENT_GRAPH_YR_1">#REF!</definedName>
    <definedName name="HEALTH_PER_STUDENT_GRAPH_YR_2">#REF!</definedName>
    <definedName name="HEALTH_PER_STUDENT_GRAPH_YR_3">#REF!</definedName>
    <definedName name="HEALTH_PER_STUDENT_GRAPH_YR_4">#REF!</definedName>
    <definedName name="HEALTH_PERCENT_YR_1">#REF!</definedName>
    <definedName name="HEALTH_PERCENT_YR_2">#REF!</definedName>
    <definedName name="HEALTH_PERCENT_YR_3">#REF!</definedName>
    <definedName name="HEALTH_PERCENT_YR_4">#REF!</definedName>
    <definedName name="HEALTH_POTENTIAL_EMPLOYEE_SHARE_YR_1">#REF!</definedName>
    <definedName name="HEALTH_POTENTIAL_EMPLOYEE_SHARE_YR_2">#REF!</definedName>
    <definedName name="HEALTH_POTENTIAL_EMPLOYEE_SHARE_YR_3">#REF!</definedName>
    <definedName name="HEALTH_POTENTIAL_EMPLOYEE_SHARE_YR_4">#REF!</definedName>
    <definedName name="HEALTH_POTENTIAL_SHARE_YR_1">#REF!</definedName>
    <definedName name="HEALTH_POTENTIAL_SHARE_YR_2">#REF!</definedName>
    <definedName name="HEALTH_POTENTIAL_SHARE_YR_3">#REF!</definedName>
    <definedName name="HEALTH_POTENTIAL_SHARE_YR_4">#REF!</definedName>
    <definedName name="Health_Rates">#REF!</definedName>
    <definedName name="HEALTH_TOTAL_PREM_YR_1">#REF!</definedName>
    <definedName name="HEALTH_TOTAL_PREM_YR_2">#REF!</definedName>
    <definedName name="HEALTH_TOTAL_PREM_YR_3">#REF!</definedName>
    <definedName name="HEALTH_TOTAL_PREM_YR_4">#REF!</definedName>
    <definedName name="HealthClub">#REF!</definedName>
    <definedName name="HealthIncrease">#REF!</definedName>
    <definedName name="HealthInfl">#REF!</definedName>
    <definedName name="healthinsurancegrowth">#REF!</definedName>
    <definedName name="healthplans_fy15">#REF!</definedName>
    <definedName name="healthplans_fy16">#REF!</definedName>
    <definedName name="HealthRatesRev">#REF!</definedName>
    <definedName name="hello">#REF!</definedName>
    <definedName name="help" hidden="1">{#N/A,#N/A,FALSE,"ZLDebtMaturity";#N/A,#N/A,FALSE,"FCDebtMaturity";#N/A,#N/A,FALSE,"ZM3DebtMaturity";#N/A,#N/A,FALSE,"ZM2DebtMaturity";#N/A,#N/A,FALSE,"zm1DebtMaturity";#N/A,#N/A,FALSE,"ConsZM123DebtMaturity"}</definedName>
    <definedName name="Hendry">#REF!</definedName>
    <definedName name="HENSLEY_CofO">#REF!</definedName>
    <definedName name="HENSLEY_COMMENTS">#REF!</definedName>
    <definedName name="HENSLEY_COMMENTS_2">#REF!</definedName>
    <definedName name="HENSLEY_CONST_FEE">#REF!</definedName>
    <definedName name="HENSLEY_CONST_START">#REF!</definedName>
    <definedName name="HENSLEY_DB_FEE">#REF!</definedName>
    <definedName name="HENSLEY_DDCD">#REF!</definedName>
    <definedName name="HENSLEY_DES_FEE">#REF!</definedName>
    <definedName name="HENSLEY_DES_START">#REF!</definedName>
    <definedName name="HENSLEY_DETAILS_DES_FEE">#REF!</definedName>
    <definedName name="HENSLEY_FINISH">#REF!</definedName>
    <definedName name="HENSLEY_PREC_FEE">#REF!</definedName>
    <definedName name="Hernando">#REF!</definedName>
    <definedName name="hgjghjghjk">#REF!</definedName>
    <definedName name="HH_DIFF_BASE_YR">#REF!</definedName>
    <definedName name="HH_DIFF_YR_1">#REF!</definedName>
    <definedName name="HH_DIFF_YR_2">#REF!</definedName>
    <definedName name="HH_DIFF_YR_3">#REF!</definedName>
    <definedName name="HH_DIFF_YR_4">#REF!</definedName>
    <definedName name="hh\">#REF!</definedName>
    <definedName name="HHH" hidden="1">{#N/A,#N/A,FALSE,"OpEx (PP)";#N/A,#N/A,FALSE,"Lease Comps (O)-BT";#N/A,#N/A,FALSE,"OpEx (CC)";#N/A,#N/A,FALSE,"Value (PP-Base)";#N/A,#N/A,FALSE,"Value (CC-Base)";#N/A,#N/A,FALSE,"Sales Comps (R)";#N/A,#N/A,FALSE,"Sales Comps (O)"}</definedName>
    <definedName name="hhhh" hidden="1">{#N/A,#N/A,FALSE,"OpEx (PP)";#N/A,#N/A,FALSE,"Lease Comps (O)-BT";#N/A,#N/A,FALSE,"OpEx (CC)";#N/A,#N/A,FALSE,"Value (PP-Base)";#N/A,#N/A,FALSE,"Value (CC-Base)";#N/A,#N/A,FALSE,"Sales Comps (R)";#N/A,#N/A,FALSE,"Sales Comps (O)"}</definedName>
    <definedName name="Hi">#REF!</definedName>
    <definedName name="Hide">#REF!</definedName>
    <definedName name="Highlands">#REF!</definedName>
    <definedName name="HIGHWAY">#REF!</definedName>
    <definedName name="Hillsborough">#REF!</definedName>
    <definedName name="HiPercent">#REF!</definedName>
    <definedName name="histbreakeven">#REF!</definedName>
    <definedName name="Historical_Operations_1_AsOfDate">#REF!</definedName>
    <definedName name="Historical_Operations_1_NCF">#REF!</definedName>
    <definedName name="Historical_Operations_1_Title">#REF!</definedName>
    <definedName name="Historical_Operations_1_Tot_Rev">#REF!</definedName>
    <definedName name="Historical_Operations_2_AsOfDate">#REF!</definedName>
    <definedName name="Historical_Operations_2_NCF">#REF!</definedName>
    <definedName name="Historical_Operations_2_Title">#REF!</definedName>
    <definedName name="Historical_Operations_2_Tot_Rev">#REF!</definedName>
    <definedName name="Historical_Operations_3_AsOfDate">#REF!</definedName>
    <definedName name="Historical_Operations_3_NCF">#REF!</definedName>
    <definedName name="Historical_Operations_3_Title">#REF!</definedName>
    <definedName name="Historical_Operations_3_Tot_Rev">#REF!</definedName>
    <definedName name="Historical_Operations_AsOfDate">#REF!</definedName>
    <definedName name="Historical_Operations_Title">#REF!</definedName>
    <definedName name="hjhjhjh">#REF!</definedName>
    <definedName name="hjk">#REF!</definedName>
    <definedName name="hjkjk">#REF!</definedName>
    <definedName name="hjlj">#REF!</definedName>
    <definedName name="HL_Sheet_Main">#REF!</definedName>
    <definedName name="HL_Sheet_Main_2">#REF!</definedName>
    <definedName name="HL_Sheet_Main_3">#REF!</definedName>
    <definedName name="HL_Sheet_Main_4">#REF!</definedName>
    <definedName name="HL_Sheet_Main_5">#REF!</definedName>
    <definedName name="HL_Sheet_Main_6">#REF!</definedName>
    <definedName name="HL_Sheet_Main_7">#REF!</definedName>
    <definedName name="HLBFSCurrencyCode">"USD"</definedName>
    <definedName name="HLBFSReportCurrency">"US$"</definedName>
    <definedName name="HLBFSReportingS1S3Skip">0</definedName>
    <definedName name="HLBFSReportingSourceFile">"PRPTEXP"</definedName>
    <definedName name="HLBFSReviewReport">FALSE</definedName>
    <definedName name="hmnxghj" hidden="1">{"CF",#N/A,FALSE,"Cash Flow";"RET",#N/A,FALSE,"Returns";"NPV",#N/A,FALSE,"Values";"ASMPT",#N/A,FALSE,"Assumptions"}</definedName>
    <definedName name="hmnxghj_2" hidden="1">{"CF",#N/A,FALSE,"Cash Flow";"RET",#N/A,FALSE,"Returns";"NPV",#N/A,FALSE,"Values";"ASMPT",#N/A,FALSE,"Assumptions"}</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n.Version">"Version 3.1a"</definedName>
    <definedName name="HNO">#REF!</definedName>
    <definedName name="HOC">#N/A</definedName>
    <definedName name="HOLD2">#REF!</definedName>
    <definedName name="holidays">OFFSET(#REF!,0,0,COUNT(#REF!),1)</definedName>
    <definedName name="Holmes">#REF!</definedName>
    <definedName name="home">#REF!</definedName>
    <definedName name="HomeGoods">#REF!</definedName>
    <definedName name="HOMEONE">#REF!</definedName>
    <definedName name="HOMESTEAD_HH_RATE_BASE_YR">#REF!</definedName>
    <definedName name="HOMESTEAD_HH_RATE_MAX_AUTHORIZED_BASE_YR">#REF!</definedName>
    <definedName name="HOMESTEAD_HH_RATE_MAX_AUTHORIZED_YR_1">#REF!</definedName>
    <definedName name="HOMESTEAD_HH_RATE_MAX_AUTHORIZED_YR_2">#REF!</definedName>
    <definedName name="HOMESTEAD_HH_RATE_MAX_AUTHORIZED_YR_3">#REF!</definedName>
    <definedName name="HOMESTEAD_HH_RATE_MAX_AUTHORIZED_YR_4">#REF!</definedName>
    <definedName name="HOMESTEAD_HH_RATE_OVER18_BASE_YR">#REF!</definedName>
    <definedName name="HOMESTEAD_PERCENT_YR_1">#REF!</definedName>
    <definedName name="HOMESTEAD_PERCENT_YR_2">#REF!</definedName>
    <definedName name="HOMESTEAD_PERCENT_YR_3">#REF!</definedName>
    <definedName name="HOMESTEAD_PERCENT_YR_4">#REF!</definedName>
    <definedName name="HOMESTEAD_TAV_BASE_YR">#REF!</definedName>
    <definedName name="Hotel" localSheetId="4" hidden="1">{#N/A,#N/A,FALSE,"ExecSum";#N/A,#N/A,FALSE,"total summary";#N/A,#N/A,FALSE,"Budget";#N/A,#N/A,FALSE,"CashFlow"}</definedName>
    <definedName name="Hotel" localSheetId="2" hidden="1">{#N/A,#N/A,FALSE,"ExecSum";#N/A,#N/A,FALSE,"total summary";#N/A,#N/A,FALSE,"Budget";#N/A,#N/A,FALSE,"CashFlow"}</definedName>
    <definedName name="Hotel" localSheetId="1" hidden="1">{#N/A,#N/A,FALSE,"ExecSum";#N/A,#N/A,FALSE,"total summary";#N/A,#N/A,FALSE,"Budget";#N/A,#N/A,FALSE,"CashFlow"}</definedName>
    <definedName name="Hotel" localSheetId="5" hidden="1">{#N/A,#N/A,FALSE,"ExecSum";#N/A,#N/A,FALSE,"total summary";#N/A,#N/A,FALSE,"Budget";#N/A,#N/A,FALSE,"CashFlow"}</definedName>
    <definedName name="Hotel" localSheetId="8" hidden="1">{#N/A,#N/A,FALSE,"ExecSum";#N/A,#N/A,FALSE,"total summary";#N/A,#N/A,FALSE,"Budget";#N/A,#N/A,FALSE,"CashFlow"}</definedName>
    <definedName name="Hotel" localSheetId="3" hidden="1">{#N/A,#N/A,FALSE,"ExecSum";#N/A,#N/A,FALSE,"total summary";#N/A,#N/A,FALSE,"Budget";#N/A,#N/A,FALSE,"CashFlow"}</definedName>
    <definedName name="Hotel" hidden="1">{#N/A,#N/A,FALSE,"ExecSum";#N/A,#N/A,FALSE,"total summary";#N/A,#N/A,FALSE,"Budget";#N/A,#N/A,FALSE,"CashFlow"}</definedName>
    <definedName name="hotel_name">#REF!</definedName>
    <definedName name="Hotel_Tower_Project_Costs">#REF!</definedName>
    <definedName name="hours">#REF!</definedName>
    <definedName name="HousingSF">#REF!</definedName>
    <definedName name="HPPAGE">#REF!</definedName>
    <definedName name="HRA_Rates">#REF!</definedName>
    <definedName name="HRC">#REF!</definedName>
    <definedName name="HROutcomes">#REF!</definedName>
    <definedName name="HS_Enrollment">#REF!</definedName>
    <definedName name="HS_Student_Count">#REF!</definedName>
    <definedName name="HSDEP18">#REF!</definedName>
    <definedName name="HSincrementalfoundation">#REF!</definedName>
    <definedName name="HSKP">#REF!</definedName>
    <definedName name="HTML" localSheetId="4">{"'AssumptionsHTML'!$B$9:$E$357","'SummationHTML'!$A$4:$J$93","'Difference'!$A$11:$K$101","'DifferenceFTE'!$A$11:$K$101","'Detail1'!$A$11:$I$97","'Detail2'!$A$11:$J$97","'Detail3'!$A$11:$J$97","'Categorical1'!$A$11:$L$97"}</definedName>
    <definedName name="HTML" localSheetId="2">{"'AssumptionsHTML'!$B$9:$E$357","'SummationHTML'!$A$4:$J$93","'Difference'!$A$11:$K$101","'DifferenceFTE'!$A$11:$K$101","'Detail1'!$A$11:$I$97","'Detail2'!$A$11:$J$97","'Detail3'!$A$11:$J$97","'Categorical1'!$A$11:$L$97"}</definedName>
    <definedName name="HTML" localSheetId="1">{"'AssumptionsHTML'!$B$9:$E$357","'SummationHTML'!$A$4:$J$93","'Difference'!$A$11:$K$101","'DifferenceFTE'!$A$11:$K$101","'Detail1'!$A$11:$I$97","'Detail2'!$A$11:$J$97","'Detail3'!$A$11:$J$97","'Categorical1'!$A$11:$L$97"}</definedName>
    <definedName name="HTML" localSheetId="5">{"'AssumptionsHTML'!$B$9:$E$357","'SummationHTML'!$A$4:$J$93","'Difference'!$A$11:$K$101","'DifferenceFTE'!$A$11:$K$101","'Detail1'!$A$11:$I$97","'Detail2'!$A$11:$J$97","'Detail3'!$A$11:$J$97","'Categorical1'!$A$11:$L$97"}</definedName>
    <definedName name="HTML" localSheetId="8">{"'AssumptionsHTML'!$B$9:$E$357","'SummationHTML'!$A$4:$J$93","'Difference'!$A$11:$K$101","'DifferenceFTE'!$A$11:$K$101","'Detail1'!$A$11:$I$97","'Detail2'!$A$11:$J$97","'Detail3'!$A$11:$J$97","'Categorical1'!$A$11:$L$97"}</definedName>
    <definedName name="HTML" localSheetId="3">{"'AssumptionsHTML'!$B$9:$E$357","'SummationHTML'!$A$4:$J$93","'Difference'!$A$11:$K$101","'DifferenceFTE'!$A$11:$K$101","'Detail1'!$A$11:$I$97","'Detail2'!$A$11:$J$97","'Detail3'!$A$11:$J$97","'Categorical1'!$A$11:$L$97"}</definedName>
    <definedName name="HTML">{"'AssumptionsHTML'!$B$9:$E$357","'SummationHTML'!$A$4:$J$93","'Difference'!$A$11:$K$101","'DifferenceFTE'!$A$11:$K$101","'Detail1'!$A$11:$I$97","'Detail2'!$A$11:$J$97","'Detail3'!$A$11:$J$97","'Categorical1'!$A$11:$L$97"}</definedName>
    <definedName name="HTML_CodePage" hidden="1">1252</definedName>
    <definedName name="HTML_Control" localSheetId="6" hidden="1">{"'AssumptionsHTML'!$B$9:$E$357","'SummationHTML'!$A$4:$J$93","'Difference'!$A$11:$K$101","'DifferenceFTE'!$A$11:$K$101","'Detail1'!$A$11:$I$97","'Detail2'!$A$11:$J$97","'Detail3'!$A$11:$J$97","'Categorical1'!$A$11:$L$97"}</definedName>
    <definedName name="HTML_Control" localSheetId="4" hidden="1">{"'Sheet1'!$A$1:$K$359"}</definedName>
    <definedName name="HTML_Control" localSheetId="2" hidden="1">{"'AssumptionsHTML'!$B$9:$E$357","'SummationHTML'!$A$4:$J$93","'Difference'!$A$11:$K$101","'DifferenceFTE'!$A$11:$K$101","'Detail1'!$A$11:$I$97","'Detail2'!$A$11:$J$97","'Detail3'!$A$11:$J$97","'Categorical1'!$A$11:$L$97"}</definedName>
    <definedName name="HTML_Control" localSheetId="1" hidden="1">{"'Sheet1'!$A$1:$K$359"}</definedName>
    <definedName name="HTML_Control" localSheetId="5" hidden="1">{"'Sheet1'!$A$1:$K$359"}</definedName>
    <definedName name="HTML_Control" localSheetId="8" hidden="1">{"'Sheet1'!$A$1:$K$359"}</definedName>
    <definedName name="HTML_Control" localSheetId="3" hidden="1">{"'Sheet1'!$A$1:$K$359"}</definedName>
    <definedName name="HTML_Control" hidden="1">{"'Sheet1'!$A$1:$K$359"}</definedName>
    <definedName name="HTML_Control1" localSheetId="4" hidden="1">{"'Sheet1'!$A$1:$K$359"}</definedName>
    <definedName name="HTML_Control1" localSheetId="2" hidden="1">{"'Sheet1'!$A$1:$K$359"}</definedName>
    <definedName name="HTML_Control1" localSheetId="1" hidden="1">{"'Sheet1'!$A$1:$K$359"}</definedName>
    <definedName name="HTML_Control1" localSheetId="5" hidden="1">{"'Sheet1'!$A$1:$K$359"}</definedName>
    <definedName name="HTML_Control1" localSheetId="8" hidden="1">{"'Sheet1'!$A$1:$K$359"}</definedName>
    <definedName name="HTML_Control1" localSheetId="3" hidden="1">{"'Sheet1'!$A$1:$K$359"}</definedName>
    <definedName name="HTML_Control1" hidden="1">{"'Sheet1'!$A$1:$K$359"}</definedName>
    <definedName name="HTML_Control2" hidden="1">{"'Cash Requirements 5F '!$A$1:$AC$48"}</definedName>
    <definedName name="HTML_Controll" localSheetId="4">{"'AssumptionsHTML'!$B$9:$E$357","'SummationHTML'!$A$4:$J$93","'Difference'!$A$11:$K$101","'DifferenceFTE'!$A$11:$K$101","'Detail1'!$A$11:$I$97","'Detail2'!$A$11:$J$97","'Detail3'!$A$11:$J$97","'Categorical1'!$A$11:$L$97"}</definedName>
    <definedName name="HTML_Controll" localSheetId="2">{"'AssumptionsHTML'!$B$9:$E$357","'SummationHTML'!$A$4:$J$93","'Difference'!$A$11:$K$101","'DifferenceFTE'!$A$11:$K$101","'Detail1'!$A$11:$I$97","'Detail2'!$A$11:$J$97","'Detail3'!$A$11:$J$97","'Categorical1'!$A$11:$L$97"}</definedName>
    <definedName name="HTML_Controll" localSheetId="1" hidden="1">{"'AssumptionsHTML'!$B$9:$E$357","'SummationHTML'!$A$4:$J$93","'Difference'!$A$11:$K$101","'DifferenceFTE'!$A$11:$K$101","'Detail1'!$A$11:$I$97","'Detail2'!$A$11:$J$97","'Detail3'!$A$11:$J$97","'Categorical1'!$A$11:$L$97"}</definedName>
    <definedName name="HTML_Controll" localSheetId="5">{"'AssumptionsHTML'!$B$9:$E$357","'SummationHTML'!$A$4:$J$93","'Difference'!$A$11:$K$101","'DifferenceFTE'!$A$11:$K$101","'Detail1'!$A$11:$I$97","'Detail2'!$A$11:$J$97","'Detail3'!$A$11:$J$97","'Categorical1'!$A$11:$L$97"}</definedName>
    <definedName name="HTML_Controll" localSheetId="8">{"'AssumptionsHTML'!$B$9:$E$357","'SummationHTML'!$A$4:$J$93","'Difference'!$A$11:$K$101","'DifferenceFTE'!$A$11:$K$101","'Detail1'!$A$11:$I$97","'Detail2'!$A$11:$J$97","'Detail3'!$A$11:$J$97","'Categorical1'!$A$11:$L$97"}</definedName>
    <definedName name="HTML_Controll" localSheetId="3" hidden="1">{"'AssumptionsHTML'!$B$9:$E$357","'SummationHTML'!$A$4:$J$93","'Difference'!$A$11:$K$101","'DifferenceFTE'!$A$11:$K$101","'Detail1'!$A$11:$I$97","'Detail2'!$A$11:$J$97","'Detail3'!$A$11:$J$97","'Categorical1'!$A$11:$L$97"}</definedName>
    <definedName name="HTML_Controll">{"'AssumptionsHTML'!$B$9:$E$357","'SummationHTML'!$A$4:$J$93","'Difference'!$A$11:$K$101","'DifferenceFTE'!$A$11:$K$101","'Detail1'!$A$11:$I$97","'Detail2'!$A$11:$J$97","'Detail3'!$A$11:$J$97","'Categorical1'!$A$11:$L$97"}</definedName>
    <definedName name="HTML_Description" hidden="1">""</definedName>
    <definedName name="HTML_Email" hidden="1">""</definedName>
    <definedName name="HTML_Header" localSheetId="6" hidden="1">""</definedName>
    <definedName name="HTML_Header" localSheetId="2" hidden="1">""</definedName>
    <definedName name="HTML_Header" localSheetId="1" hidden="1">"Master List of Resources"</definedName>
    <definedName name="HTML_Header" localSheetId="3" hidden="1">"Master List of Resources"</definedName>
    <definedName name="HTML_Header" hidden="1">"Master List of Resources"</definedName>
    <definedName name="HTML_LastUpdate" localSheetId="6" hidden="1">"9/4/97"</definedName>
    <definedName name="HTML_LastUpdate" localSheetId="2" hidden="1">"9/4/97"</definedName>
    <definedName name="HTML_LastUpdate" localSheetId="1" hidden="1">"7/12/99"</definedName>
    <definedName name="HTML_LastUpdate" localSheetId="3" hidden="1">"7/12/99"</definedName>
    <definedName name="HTML_LastUpdate" hidden="1">"7/12/99"</definedName>
    <definedName name="HTML_LineAfter" hidden="1">FALSE</definedName>
    <definedName name="HTML_LineBefore" hidden="1">FALSE</definedName>
    <definedName name="HTML_Name" localSheetId="6" hidden="1">"David Montford"</definedName>
    <definedName name="HTML_Name" localSheetId="2" hidden="1">"David Montford"</definedName>
    <definedName name="HTML_Name" localSheetId="1" hidden="1">"Mary Eve Peek"</definedName>
    <definedName name="HTML_Name" localSheetId="3" hidden="1">"Mary Eve Peek"</definedName>
    <definedName name="HTML_Name" hidden="1">"Mary Eve Peek"</definedName>
    <definedName name="HTML_OBDlg2" hidden="1">TRUE</definedName>
    <definedName name="HTML_OBDlg4" hidden="1">TRUE</definedName>
    <definedName name="HTML_OS" hidden="1">0</definedName>
    <definedName name="HTML_PathFile" localSheetId="6" hidden="1">"H:\XLFILES\test.htm"</definedName>
    <definedName name="HTML_PathFile" localSheetId="2" hidden="1">"H:\XLFILES\test.htm"</definedName>
    <definedName name="HTML_PathFile" localSheetId="1" hidden="1">"H:\ofsma\sacs\ResourceHistory.htm"</definedName>
    <definedName name="HTML_PathFile" localSheetId="3" hidden="1">"H:\ofsma\sacs\ResourceHistory.htm"</definedName>
    <definedName name="HTML_PathFile" hidden="1">"H:\ofsma\sacs\ResourceHistory.htm"</definedName>
    <definedName name="HTML_Title" localSheetId="6" hidden="1">""</definedName>
    <definedName name="HTML_Title" localSheetId="2" hidden="1">""</definedName>
    <definedName name="HTML_Title" localSheetId="1" hidden="1">"Master List of Resources"</definedName>
    <definedName name="HTML_Title" localSheetId="3" hidden="1">"Master List of Resources"</definedName>
    <definedName name="HTML_Title" hidden="1">"Master List of Resources"</definedName>
    <definedName name="HTML1_1">"[FCFF3]Sheet1!$A$1:$L$34"</definedName>
    <definedName name="HTML1_10">""</definedName>
    <definedName name="HTML1_11">1</definedName>
    <definedName name="HTML1_12">"Aswath:Adobe SiteMillª 1.0.2:MyHomePage:FCFF3.html"</definedName>
    <definedName name="HTML1_2">1</definedName>
    <definedName name="HTML1_3">"FCFF3"</definedName>
    <definedName name="HTML1_4">"Three-Stage FCFF Model"</definedName>
    <definedName name="HTML1_5">""</definedName>
    <definedName name="HTML1_6">-4146</definedName>
    <definedName name="HTML1_7">-4146</definedName>
    <definedName name="HTML1_8">"10/22/96"</definedName>
    <definedName name="HTML1_9">"Aswath Damodaran"</definedName>
    <definedName name="HTMLControl" localSheetId="4" hidden="1">{"'Sheet1'!$A$1:$K$359"}</definedName>
    <definedName name="HTMLControl" localSheetId="2" hidden="1">{"'Sheet1'!$A$1:$K$359"}</definedName>
    <definedName name="HTMLControl" localSheetId="1" hidden="1">{"'Sheet1'!$A$1:$K$359"}</definedName>
    <definedName name="HTMLControl" localSheetId="5" hidden="1">{"'Sheet1'!$A$1:$K$359"}</definedName>
    <definedName name="HTMLControl" localSheetId="8" hidden="1">{"'Sheet1'!$A$1:$K$359"}</definedName>
    <definedName name="HTMLControl" localSheetId="3" hidden="1">{"'Sheet1'!$A$1:$K$359"}</definedName>
    <definedName name="HTMLControl" hidden="1">{"'Sheet1'!$A$1:$K$359"}</definedName>
    <definedName name="HTMLCount">1</definedName>
    <definedName name="HUNT">#REF!</definedName>
    <definedName name="HURDLE">#REF!</definedName>
    <definedName name="Hurdle_1">#REF!</definedName>
    <definedName name="Hurdle_2">#REF!</definedName>
    <definedName name="Hurdle_3">#REF!</definedName>
    <definedName name="Hurdle_Rate">#REF!</definedName>
    <definedName name="hurdle1">#REF!</definedName>
    <definedName name="hurdle2">#REF!</definedName>
    <definedName name="HurdleMin">#REF!</definedName>
    <definedName name="HVA">#REF!</definedName>
    <definedName name="HVAC">#REF!</definedName>
    <definedName name="HVRoy">#REF!</definedName>
    <definedName name="HYP_COST">#REF!</definedName>
    <definedName name="i\">#REF!</definedName>
    <definedName name="i3grants">#REF!</definedName>
    <definedName name="ICA_CoA">#REF!</definedName>
    <definedName name="ICA_CoA_Descriptions">#REF!</definedName>
    <definedName name="ICA_STAFFING_FY23_BUDGET">#REF!</definedName>
    <definedName name="ICA_STAFFING_FY23_FTE">#REF!</definedName>
    <definedName name="ICA_STAFFING_FY23_ROLES">#REF!</definedName>
    <definedName name="ICA_STAFFING_FY24_BUDGET">#REF!</definedName>
    <definedName name="ICA_STAFFING_FY24_FTE">#REF!</definedName>
    <definedName name="ICA_STAFFING_FY24_ROLES">#REF!</definedName>
    <definedName name="Idaho">#REF!</definedName>
    <definedName name="IDC_2P_FEDERAL">#REF!</definedName>
    <definedName name="IDC_FEDERAL">#REF!</definedName>
    <definedName name="IDC_STATE">#REF!</definedName>
    <definedName name="IDEA">#REF!</definedName>
    <definedName name="Identified_researched">#REF!</definedName>
    <definedName name="IDN">#REF!</definedName>
    <definedName name="IFN">#REF!</definedName>
    <definedName name="II">#REF!</definedName>
    <definedName name="ii\">#REF!</definedName>
    <definedName name="III"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liihjlhj">#REF!</definedName>
    <definedName name="Illinois">#REF!</definedName>
    <definedName name="illkljkl">AND(ISNUMBER(#REF!),ISNUMBER(#REF!),ISNUMBER(#REF!),ISNUMBER(#REF!))</definedName>
    <definedName name="ILPT_Comienza">#REF!</definedName>
    <definedName name="ILPT_Empower">#REF!</definedName>
    <definedName name="ILPT_KAO">#REF!</definedName>
    <definedName name="ILPT_KLAP">#REF!</definedName>
    <definedName name="ILPT_KRA">#REF!</definedName>
    <definedName name="ILPT_MS3">#REF!</definedName>
    <definedName name="ILPT_MS6">#REF!</definedName>
    <definedName name="ILPTRate">#REF!</definedName>
    <definedName name="ILPTRateYr2">#REF!</definedName>
    <definedName name="ILPTRateYr3">#REF!</definedName>
    <definedName name="ILPTRateYr4">#REF!</definedName>
    <definedName name="ILPTRateYr5">#REF!</definedName>
    <definedName name="ILPTRateYr6">#REF!</definedName>
    <definedName name="ima">#REF!</definedName>
    <definedName name="IMF9.0">#REF!</definedName>
    <definedName name="IMF9.25">#REF!</definedName>
    <definedName name="IMF9.5">#REF!</definedName>
    <definedName name="Imm_1819_funded_students">#REF!</definedName>
    <definedName name="Imm_2019_20_Private_School_Reimbursement_Detail">#REF!</definedName>
    <definedName name="Imm_scenarios">#REF!</definedName>
    <definedName name="imm_served_SNOR_comparison_070218">#REF!</definedName>
    <definedName name="ImpactList">#REF!</definedName>
    <definedName name="Import_Elem_Secondary_ByLEA">#REF!</definedName>
    <definedName name="Import_K_12_ByLEA">#REF!</definedName>
    <definedName name="Import_MFP_and_Other_Funded_ByLEA">#REF!</definedName>
    <definedName name="Import_Total_Reported_ByLEA">#REF!</definedName>
    <definedName name="IN_COMING_TRANSFERS">#REF!</definedName>
    <definedName name="incassum">#REF!</definedName>
    <definedName name="IncBase">#REF!</definedName>
    <definedName name="IncBase2">#REF!</definedName>
    <definedName name="IncBase3">#REF!</definedName>
    <definedName name="Increase_Expenses">#REF!</definedName>
    <definedName name="Increase_Revenues">#REF!</definedName>
    <definedName name="Increase_Taxes">#REF!</definedName>
    <definedName name="ind_total">#REF!</definedName>
    <definedName name="Index">#REF!</definedName>
    <definedName name="Index_DriverValues">#REF!</definedName>
    <definedName name="Index_FUTA_Rate">#REF!</definedName>
    <definedName name="Index_SchoolFundRate">#REF!</definedName>
    <definedName name="Index_SUTA_Rate">#REF!</definedName>
    <definedName name="Index1">#REF!</definedName>
    <definedName name="Index2">#REF!</definedName>
    <definedName name="IndexBenefits">#REF!</definedName>
    <definedName name="IndexCOLA">#REF!</definedName>
    <definedName name="IndexInLieuMedical">#REF!</definedName>
    <definedName name="Indian_River">#REF!</definedName>
    <definedName name="Indian_Set_Aside">#REF!</definedName>
    <definedName name="Indiana">#REF!</definedName>
    <definedName name="Indirect">0.0351</definedName>
    <definedName name="Individual_Giving">#REF!</definedName>
    <definedName name="IndOutcomes">#REF!</definedName>
    <definedName name="INDUS_PP_PERCENT_YR_1">#REF!</definedName>
    <definedName name="INDUS_PP_PERCENT_YR_2">#REF!</definedName>
    <definedName name="INDUS_PP_PERCENT_YR_3">#REF!</definedName>
    <definedName name="INDUS_PP_PERCENT_YR_4">#REF!</definedName>
    <definedName name="INF_HS_Allocation">#REF!</definedName>
    <definedName name="Infinity_Allocation">#REF!</definedName>
    <definedName name="Infl">#REF!</definedName>
    <definedName name="Inflation" hidden="1">#REF!</definedName>
    <definedName name="Inflation07">#REF!</definedName>
    <definedName name="Inflation08">#REF!</definedName>
    <definedName name="Inflation09">#REF!</definedName>
    <definedName name="inflation1">#REF!</definedName>
    <definedName name="Inflation10">#REF!</definedName>
    <definedName name="Inflation11">#REF!</definedName>
    <definedName name="inflation2">#REF!</definedName>
    <definedName name="inflation3">#REF!</definedName>
    <definedName name="inflation4">#REF!</definedName>
    <definedName name="INFO">#REF!</definedName>
    <definedName name="INIT">#REF!</definedName>
    <definedName name="Initiatives">#REF!</definedName>
    <definedName name="INPUT">#REF!</definedName>
    <definedName name="Inputs">#REF!</definedName>
    <definedName name="INS">#REF!</definedName>
    <definedName name="INSTR">#REF!</definedName>
    <definedName name="Instructional_Days">#REF!</definedName>
    <definedName name="Instructional_Materials_Allocation__Less_science_lab_and_dual_enrollment">#REF!</definedName>
    <definedName name="InstructionalDays_Yr1">#REF!</definedName>
    <definedName name="INSTRUCTIONS">#REF!</definedName>
    <definedName name="INSURANCE">#REF!</definedName>
    <definedName name="INSURANCE_ANNUAL_COST_EACH_BASE_YR">#REF!</definedName>
    <definedName name="Insurance_Fees">#REF!</definedName>
    <definedName name="INSURANCE_TOTAL_BASE_YR">#REF!</definedName>
    <definedName name="InsuranceYearOne">#REF!</definedName>
    <definedName name="Int">#REF!</definedName>
    <definedName name="Int_bridge">#REF!</definedName>
    <definedName name="Int_Cash">#REF!</definedName>
    <definedName name="Int_Mezz">#REF!</definedName>
    <definedName name="Int_Rev">#REF!</definedName>
    <definedName name="Int_term1">#REF!</definedName>
    <definedName name="Int_term2">#REF!</definedName>
    <definedName name="Interest">#N/A</definedName>
    <definedName name="Interest_Capitalization">#REF!</definedName>
    <definedName name="Interest_Impact_Table">#REF!</definedName>
    <definedName name="interest_on_cash">#REF!</definedName>
    <definedName name="Interest_Rate">#REF!</definedName>
    <definedName name="Interest_Rate_9">#REF!</definedName>
    <definedName name="interest_rate_discount">#REF!</definedName>
    <definedName name="INTEREST1">#REF!</definedName>
    <definedName name="INTEREST2">#REF!</definedName>
    <definedName name="INTEREST3">#REF!</definedName>
    <definedName name="InterestRate">#REF!</definedName>
    <definedName name="INTERIORS">#REF!</definedName>
    <definedName name="intfdloan">#REF!</definedName>
    <definedName name="IntResrvRelease">#REF!</definedName>
    <definedName name="IntroPrintArea" hidden="1">#REF!</definedName>
    <definedName name="IntroPrintArea_2" hidden="1">#REF!</definedName>
    <definedName name="INTYEAR">#REF!</definedName>
    <definedName name="Inv">#REF!</definedName>
    <definedName name="invapproval">#REF!</definedName>
    <definedName name="INVBkeven">#REF!</definedName>
    <definedName name="Invoice_Pkg">#REF!</definedName>
    <definedName name="INVTAXREPT">#REF!</definedName>
    <definedName name="io_period">#REF!</definedName>
    <definedName name="Iowa">#REF!</definedName>
    <definedName name="ip">#REF!</definedName>
    <definedName name="ip_ConCon">#REF!</definedName>
    <definedName name="ip_ProjectNam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1</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800000</definedName>
    <definedName name="IQ_NAMES_REVISION_DATE_" hidden="1">39965.7988425926</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38849.5606597222</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130000</definedName>
    <definedName name="IQ_YTW" hidden="1">"c2163"</definedName>
    <definedName name="IQ_YTW_DATE" hidden="1">"c2164"</definedName>
    <definedName name="IQ_YTW_DATE_TYPE" hidden="1">"c2165"</definedName>
    <definedName name="IQ_Z_SCORE" hidden="1">"c1339"</definedName>
    <definedName name="IRR">#REF!</definedName>
    <definedName name="IRR_Guaranteed">#REF!</definedName>
    <definedName name="IRR_National">#REF!</definedName>
    <definedName name="irrelease">#REF!</definedName>
    <definedName name="irs">#REF!</definedName>
    <definedName name="IRSP_New_MS">#REF!</definedName>
    <definedName name="IS">#REF!</definedName>
    <definedName name="IsColHidden" hidden="1">FALSE</definedName>
    <definedName name="ISD_ACT18_BASE_YR">#REF!</definedName>
    <definedName name="ISD_ACT18_PERCENT_YR_1">#REF!</definedName>
    <definedName name="ISD_ACT18_PERCENT_YR_2">#REF!</definedName>
    <definedName name="ISD_ACT18_PERCENT_YR_3">#REF!</definedName>
    <definedName name="ISD_ACT18_PERCENT_YR_4">#REF!</definedName>
    <definedName name="ISD_GRANTS_BASE_YR">#REF!</definedName>
    <definedName name="ISD_GRANTS_PERCENT_YR_1">#REF!</definedName>
    <definedName name="ISD_GRANTS_PERCENT_YR_2">#REF!</definedName>
    <definedName name="ISD_GRANTS_PERCENT_YR_3">#REF!</definedName>
    <definedName name="ISD_GRANTS_PERCENT_YR_4">#REF!</definedName>
    <definedName name="ISDate">#REF!</definedName>
    <definedName name="IsLTMColHidden" hidden="1">FALSE</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SSUANCE">#N/A</definedName>
    <definedName name="ISSUED_COL">#REF!</definedName>
    <definedName name="IT">#REF!</definedName>
    <definedName name="Item_Number">#REF!</definedName>
    <definedName name="iwahlprice">#REF!</definedName>
    <definedName name="iwalp">#REF!</definedName>
    <definedName name="j\">#REF!</definedName>
    <definedName name="J2Total">#REF!</definedName>
    <definedName name="J3ATotalExpenditures">#REF!</definedName>
    <definedName name="J3BLessFederal">#REF!</definedName>
    <definedName name="J3CTotal">#REF!</definedName>
    <definedName name="J3DTotal">#REF!</definedName>
    <definedName name="J3ETotal">#REF!</definedName>
    <definedName name="Jackson">#REF!</definedName>
    <definedName name="jalpa">#REF!</definedName>
    <definedName name="january">#REF!</definedName>
    <definedName name="Jefferson">#REF!</definedName>
    <definedName name="jg">#REF!</definedName>
    <definedName name="jgkjkjk">#REF!</definedName>
    <definedName name="jh" localSheetId="4">IF(Loan_Amount_9*Interest_Rate_9*Loan_Years_9*Loan_Start_9&gt;0,1,0)</definedName>
    <definedName name="jh" localSheetId="2">IF(Loan_Amount_9*Interest_Rate_9*Loan_Years_9*Loan_Start_9&gt;0,1,0)</definedName>
    <definedName name="jh" localSheetId="1">IF(Loan_Amount_9*Interest_Rate_9*Loan_Years_9*Loan_Start_9&gt;0,1,0)</definedName>
    <definedName name="jh" localSheetId="5">IF(Loan_Amount_9*Interest_Rate_9*Loan_Years_9*Loan_Start_9&gt;0,1,0)</definedName>
    <definedName name="jh" localSheetId="8">IF(Loan_Amount_9*Interest_Rate_9*Loan_Years_9*Loan_Start_9&gt;0,1,0)</definedName>
    <definedName name="jh" localSheetId="3">IF(Loan_Amount_9*Interest_Rate_9*Loan_Years_9*Loan_Start_9&gt;0,1,0)</definedName>
    <definedName name="jh">IF(Loan_Amount_9*Interest_Rate_9*Loan_Years_9*Loan_Start_9&gt;0,1,0)</definedName>
    <definedName name="jhjhjh">#REF!</definedName>
    <definedName name="jhkhhj">#REF!</definedName>
    <definedName name="jj">#REF!</definedName>
    <definedName name="jj\">#REF!</definedName>
    <definedName name="jjj">#REF!</definedName>
    <definedName name="jjkk">#REF!</definedName>
    <definedName name="jkhjk">#REF!</definedName>
    <definedName name="jkjhj">#REF!</definedName>
    <definedName name="jkjkhjkjk">#REF!</definedName>
    <definedName name="jkjkj">#REF!</definedName>
    <definedName name="jlkj" hidden="1">{#N/A,#N/A,TRUE,"XL Cash Flow";#N/A,#N/A,TRUE,"Prop Valuation";#N/A,#N/A,TRUE,"Equity";#N/A,#N/A,TRUE,"Modeling assumptions";#N/A,#N/A,TRUE,"NER Model";#N/A,#N/A,TRUE,"Lease Exp";#N/A,#N/A,TRUE,"Inc &amp; Exp";#N/A,#N/A,TRUE,"Formatted - roll";#N/A,#N/A,TRUE,"Debt Model";#N/A,#N/A,TRUE,"Debt-Moody";#N/A,#N/A,TRUE,"Debt"}</definedName>
    <definedName name="JOB">#REF!</definedName>
    <definedName name="Job_Level">#REF!</definedName>
    <definedName name="JOBNAME">#REF!</definedName>
    <definedName name="jrsubdebt">#REF!</definedName>
    <definedName name="JT">#REF!</definedName>
    <definedName name="july">#REF!</definedName>
    <definedName name="JulyBalanceSheet">#REF!</definedName>
    <definedName name="JulyExpense">#REF!</definedName>
    <definedName name="JulyNet">#REF!</definedName>
    <definedName name="JulyRevenue">#REF!</definedName>
    <definedName name="JulyRevenueLookup">#REF!</definedName>
    <definedName name="June" localSheetId="4">{"three",#N/A,FALSE,"Capital";"four",#N/A,FALSE,"Capital"}</definedName>
    <definedName name="June" localSheetId="2">{"three",#N/A,FALSE,"Capital";"four",#N/A,FALSE,"Capital"}</definedName>
    <definedName name="June" localSheetId="1" hidden="1">{"three",#N/A,FALSE,"Capital";"four",#N/A,FALSE,"Capital"}</definedName>
    <definedName name="June" localSheetId="5">{"three",#N/A,FALSE,"Capital";"four",#N/A,FALSE,"Capital"}</definedName>
    <definedName name="June" localSheetId="8">{"three",#N/A,FALSE,"Capital";"four",#N/A,FALSE,"Capital"}</definedName>
    <definedName name="June" localSheetId="3" hidden="1">{"three",#N/A,FALSE,"Capital";"four",#N/A,FALSE,"Capital"}</definedName>
    <definedName name="June">{"three",#N/A,FALSE,"Capital";"four",#N/A,FALSE,"Capital"}</definedName>
    <definedName name="June_2" hidden="1">{"three",#N/A,FALSE,"Capital";"four",#N/A,FALSE,"Capital"}</definedName>
    <definedName name="jv">#REF!</definedName>
    <definedName name="JV_AREA">#REF!</definedName>
    <definedName name="jv_partner">#REF!</definedName>
    <definedName name="jz" hidden="1">#REF!</definedName>
    <definedName name="k\">#REF!</definedName>
    <definedName name="Kansas">#REF!</definedName>
    <definedName name="KAO_BASE10">#REF!</definedName>
    <definedName name="KAO_BASE11">#REF!</definedName>
    <definedName name="KAO_BASE5">#REF!</definedName>
    <definedName name="KAO_BASE6">#REF!</definedName>
    <definedName name="KAO_BASE7">#REF!</definedName>
    <definedName name="KAO_BASE8">#REF!</definedName>
    <definedName name="KAO_BASE9">#REF!</definedName>
    <definedName name="KAO_BONUS5">#REF!</definedName>
    <definedName name="KAO_BONUS6">#REF!</definedName>
    <definedName name="KAO_BONUS7">#REF!</definedName>
    <definedName name="KAO_BONUS8">#REF!</definedName>
    <definedName name="KAO_BONUS9">#REF!</definedName>
    <definedName name="KAO_CODE1">#REF!</definedName>
    <definedName name="KAO_CODE2">#REF!</definedName>
    <definedName name="KAO_CODE3">#REF!</definedName>
    <definedName name="KAO_Operating">#REF!</definedName>
    <definedName name="KAO_Revenue">#REF!</definedName>
    <definedName name="KAO_Staffing">#REF!</definedName>
    <definedName name="KAO_STIPEND5">#REF!</definedName>
    <definedName name="KAO_STIPEND6">#REF!</definedName>
    <definedName name="KAO_STIPEND7">#REF!</definedName>
    <definedName name="KAO_STIPEND8">#REF!</definedName>
    <definedName name="KAO_STIPEND9">#REF!</definedName>
    <definedName name="KAO_TOTAL10">#REF!</definedName>
    <definedName name="KAO_TOTAL11">#REF!</definedName>
    <definedName name="KAO_TOTAL5">#REF!</definedName>
    <definedName name="KAO_TOTAL6">#REF!</definedName>
    <definedName name="KAO_TOTAL7">#REF!</definedName>
    <definedName name="KAO_TOTAL8">#REF!</definedName>
    <definedName name="KAO_TOTAL9">#REF!</definedName>
    <definedName name="ke" hidden="1">#REF!</definedName>
    <definedName name="Kentucky">#REF!</definedName>
    <definedName name="KEY">#REF!</definedName>
    <definedName name="KEY3PI">#REF!</definedName>
    <definedName name="KEY3PN">#REF!</definedName>
    <definedName name="KEYCODE">#REF!</definedName>
    <definedName name="khklhklk">#REF!</definedName>
    <definedName name="KIPPNYC_Allocation">#REF!</definedName>
    <definedName name="KJ">#N/A</definedName>
    <definedName name="kjkjk">#REF!</definedName>
    <definedName name="kk\">#REF!</definedName>
    <definedName name="kkkkkkk">#REF!</definedName>
    <definedName name="KLAP_BASE10">#REF!</definedName>
    <definedName name="KLAP_BASE11">#REF!</definedName>
    <definedName name="KLAP_BASE5">#REF!</definedName>
    <definedName name="KLAP_BASE6">#REF!</definedName>
    <definedName name="KLAP_BASE7">#REF!</definedName>
    <definedName name="KLAP_BASE8">#REF!</definedName>
    <definedName name="KLAP_BASE9">#REF!</definedName>
    <definedName name="KLAP_BONUS5">#REF!</definedName>
    <definedName name="KLAP_BONUS6">#REF!</definedName>
    <definedName name="KLAP_BONUS7">#REF!</definedName>
    <definedName name="KLAP_BONUS8">#REF!</definedName>
    <definedName name="KLAP_CODE1">#REF!</definedName>
    <definedName name="KLAP_CODE2">#REF!</definedName>
    <definedName name="KLAP_CODE3">#REF!</definedName>
    <definedName name="KLAP_Operating">#REF!</definedName>
    <definedName name="KLAP_Revenue">#REF!</definedName>
    <definedName name="KLAP_Staffing">#REF!</definedName>
    <definedName name="KLAP_STIPEND5">#REF!</definedName>
    <definedName name="KLAP_STIPEND6">#REF!</definedName>
    <definedName name="KLAP_STIPEND7">#REF!</definedName>
    <definedName name="KLAP_STIPEND8">#REF!</definedName>
    <definedName name="KLAP_TOTAL10">#REF!</definedName>
    <definedName name="KLAP_TOTAL11">#REF!</definedName>
    <definedName name="KLAP_TOTAL5">#REF!</definedName>
    <definedName name="KLAP_TOTAL6">#REF!</definedName>
    <definedName name="KLAP_TOTAL7">#REF!</definedName>
    <definedName name="KLAP_TOTAL8">#REF!</definedName>
    <definedName name="KLAP_TOTAL9">#REF!</definedName>
    <definedName name="kljkkl">#REF!</definedName>
    <definedName name="klklklklk">#REF!</definedName>
    <definedName name="klklkllklkl">#REF!</definedName>
    <definedName name="KNYI_Allocation">#REF!</definedName>
    <definedName name="kpa_BASE3">#REF!</definedName>
    <definedName name="kpa_BASE4">#REF!</definedName>
    <definedName name="kpa_BASE5">#REF!</definedName>
    <definedName name="kpa_BASE6">#REF!</definedName>
    <definedName name="kpa_BASE7">#REF!</definedName>
    <definedName name="kpa_BASE8">#REF!</definedName>
    <definedName name="kpa_BASE9">#REF!</definedName>
    <definedName name="kpa_BONUS3">#REF!</definedName>
    <definedName name="kpa_BONUS4">#REF!</definedName>
    <definedName name="kpa_BONUS5">#REF!</definedName>
    <definedName name="kpa_BONUS6">#REF!</definedName>
    <definedName name="kpa_BONUS7">#REF!</definedName>
    <definedName name="kpa_BONUS8">#REF!</definedName>
    <definedName name="kpa_BONUS9">#REF!</definedName>
    <definedName name="kpa_CODE1">#REF!</definedName>
    <definedName name="kpa_CODE2">#REF!</definedName>
    <definedName name="kpa_CODE3">#REF!</definedName>
    <definedName name="kpa_Open_Year">#REF!</definedName>
    <definedName name="kpa_Operating">#REF!</definedName>
    <definedName name="kpa_Revenue">#REF!</definedName>
    <definedName name="kpa_STIPEND3">#REF!</definedName>
    <definedName name="kpa_STIPEND4">#REF!</definedName>
    <definedName name="kpa_STIPEND5">#REF!</definedName>
    <definedName name="kpa_STIPEND6">#REF!</definedName>
    <definedName name="kpa_STIPEND7">#REF!</definedName>
    <definedName name="kpa_STIPEND8">#REF!</definedName>
    <definedName name="kpa_STIPEND9">#REF!</definedName>
    <definedName name="kpa_TOTAL3">#REF!</definedName>
    <definedName name="kpa_TOTAL4">#REF!</definedName>
    <definedName name="kpa_TOTAL5">#REF!</definedName>
    <definedName name="kpa_TOTAL6">#REF!</definedName>
    <definedName name="kpa_TOTAL7">#REF!</definedName>
    <definedName name="kpa_TOTAL8">#REF!</definedName>
    <definedName name="kpa_TOTAL9">#REF!</definedName>
    <definedName name="KRA">#REF!</definedName>
    <definedName name="KRA_BASE10">#REF!</definedName>
    <definedName name="KRA_BASE11">#REF!</definedName>
    <definedName name="KRA_BASE5">#REF!</definedName>
    <definedName name="KRA_BASE6">#REF!</definedName>
    <definedName name="KRA_BASE7">#REF!</definedName>
    <definedName name="KRA_BASE8">#REF!</definedName>
    <definedName name="KRA_BASE9">#REF!</definedName>
    <definedName name="KRA_BONUS5">#REF!</definedName>
    <definedName name="KRA_BONUS6">#REF!</definedName>
    <definedName name="KRA_BONUS7">#REF!</definedName>
    <definedName name="KRA_BONUS8">#REF!</definedName>
    <definedName name="KRA_BONUS9">#REF!</definedName>
    <definedName name="KRA_CODE1">#REF!</definedName>
    <definedName name="KRA_CODE2">#REF!</definedName>
    <definedName name="KRA_CODE3">#REF!</definedName>
    <definedName name="KRA_Operating">#REF!</definedName>
    <definedName name="KRA_Revenue">#REF!</definedName>
    <definedName name="KRA_Staffing">#REF!</definedName>
    <definedName name="KRA_STIPEND5">#REF!</definedName>
    <definedName name="KRA_STIPEND6">#REF!</definedName>
    <definedName name="KRA_STIPEND7">#REF!</definedName>
    <definedName name="KRA_STIPEND8">#REF!</definedName>
    <definedName name="KRA_STIPEND9">#REF!</definedName>
    <definedName name="KRA_TOTAL10">#REF!</definedName>
    <definedName name="KRA_TOTAL11">#REF!</definedName>
    <definedName name="KRA_TOTAL5">#REF!</definedName>
    <definedName name="KRA_TOTAL6">#REF!</definedName>
    <definedName name="KRA_TOTAL7">#REF!</definedName>
    <definedName name="KRA_TOTAL8">#REF!</definedName>
    <definedName name="KRA_TOTAL9">#REF!</definedName>
    <definedName name="KSA_BASE3">#REF!</definedName>
    <definedName name="KSA_BASE4">#REF!</definedName>
    <definedName name="KSA_BASE5">#REF!</definedName>
    <definedName name="KSA_BASE6">#REF!</definedName>
    <definedName name="KSA_BASE7">#REF!</definedName>
    <definedName name="KSA_BASE8">#REF!</definedName>
    <definedName name="KSA_BASE9">#REF!</definedName>
    <definedName name="ksa_CODE1">#REF!</definedName>
    <definedName name="KSA_OPEN_YEAR">#REF!</definedName>
    <definedName name="KSA_Operating">#REF!</definedName>
    <definedName name="KSA_Revenue">#REF!</definedName>
    <definedName name="KSA_TOTAL3">#REF!</definedName>
    <definedName name="KSA_TOTAL4">#REF!</definedName>
    <definedName name="KSA_TOTAL5">#REF!</definedName>
    <definedName name="KSA_TOTAL6">#REF!</definedName>
    <definedName name="KSA_TOTAL7">#REF!</definedName>
    <definedName name="KSA_TOTAL8">#REF!</definedName>
    <definedName name="KSA_TOTAL9">#REF!</definedName>
    <definedName name="KSOL_BASE3">#REF!</definedName>
    <definedName name="KSOL_BASE4">#REF!</definedName>
    <definedName name="KSOL_BASE5">#REF!</definedName>
    <definedName name="KSOL_BASE6">#REF!</definedName>
    <definedName name="KSOL_BASE7">#REF!</definedName>
    <definedName name="KSOL_BASE8">#REF!</definedName>
    <definedName name="KSOL_BASE9">#REF!</definedName>
    <definedName name="KSOL_CODE1">#REF!</definedName>
    <definedName name="KSOL_OPEN_YEAR">#REF!</definedName>
    <definedName name="KSOL_Operating">#REF!</definedName>
    <definedName name="KSOL_Revenue">#REF!</definedName>
    <definedName name="KSOL_TOTAL3">#REF!</definedName>
    <definedName name="KSOL_TOTAL4">#REF!</definedName>
    <definedName name="KSOL_TOTAL5">#REF!</definedName>
    <definedName name="KSOL_TOTAL6">#REF!</definedName>
    <definedName name="KSOL_TOTAL7">#REF!</definedName>
    <definedName name="KSOL_TOTAL8">#REF!</definedName>
    <definedName name="KSOL_TOTAL9">#REF!</definedName>
    <definedName name="KULLMAN_CofO">#REF!</definedName>
    <definedName name="KULLMAN_COMMENTS">#REF!</definedName>
    <definedName name="KULLMAN_COMMENTS_2">#REF!</definedName>
    <definedName name="KULLMAN_CONST_FEE">#REF!</definedName>
    <definedName name="KULLMAN_CONST_START">#REF!</definedName>
    <definedName name="KULLMAN_DB_FEE">#REF!</definedName>
    <definedName name="KULLMAN_DDCD">#REF!</definedName>
    <definedName name="KULLMAN_DES_FEE">#REF!</definedName>
    <definedName name="KULLMAN_DES_START">#REF!</definedName>
    <definedName name="KULLMAN_DETAILS_DES_FEE">#REF!</definedName>
    <definedName name="KULLMAN_FINISH">#REF!</definedName>
    <definedName name="KULLMAN_PREC_FEE">#REF!</definedName>
    <definedName name="l">#REF!</definedName>
    <definedName name="l\">#REF!</definedName>
    <definedName name="labels">#REF!</definedName>
    <definedName name="Labels1">#REF!</definedName>
    <definedName name="Lafayette">#REF!</definedName>
    <definedName name="Lake">#REF!</definedName>
    <definedName name="land">#REF!</definedName>
    <definedName name="LAND_LEASE_ADJUSTMENT">#REF!</definedName>
    <definedName name="LAND_PERCENTAGE_RENT">#REF!</definedName>
    <definedName name="LAND_SF">#REF!</definedName>
    <definedName name="LAND_VALUE">#REF!</definedName>
    <definedName name="LAND_YIELD">#REF!</definedName>
    <definedName name="LandCost">#REF!</definedName>
    <definedName name="landnpvtable">#REF!</definedName>
    <definedName name="LandSqFt">#REF!</definedName>
    <definedName name="lasdate">#REF!</definedName>
    <definedName name="LASDAY">#REF!</definedName>
    <definedName name="LASMAT">#REF!</definedName>
    <definedName name="Last_Row" localSheetId="4">IF(DEBT!Values_Entered,Header_Row+DEBT!Number_of_Payments,Header_Row)</definedName>
    <definedName name="Last_Row" localSheetId="2">IF(ENROLLMENT!Values_Entered,Header_Row+ENROLLMENT!Number_of_Payments,Header_Row)</definedName>
    <definedName name="Last_Row" localSheetId="1">IF(INPUTS!Values_Entered,Header_Row+INPUTS!Number_of_Payments,Header_Row)</definedName>
    <definedName name="Last_Row" localSheetId="5">IF('P&amp;L'!Values_Entered,Header_Row+'P&amp;L'!Number_of_Payments,Header_Row)</definedName>
    <definedName name="Last_Row" localSheetId="8">IF(REPORTS!Values_Entered,Header_Row+REPORTS!Number_of_Payments,Header_Row)</definedName>
    <definedName name="Last_Row" localSheetId="3">IF(STAFFING!Values_Entered,Header_Row+STAFFING!Number_of_Payments,Header_Row)</definedName>
    <definedName name="Last_Row">IF([0]!Values_Entered,Header_Row+Number_of_Payments,Header_Row)</definedName>
    <definedName name="LastCol">MATCH(REPT("z",255),#REF!)</definedName>
    <definedName name="lastday">#REF!</definedName>
    <definedName name="LASTLEASEMO">#REF!</definedName>
    <definedName name="LASTLSMO">#REF!</definedName>
    <definedName name="LastRow">MATCH(9.99E+307,#REF!)</definedName>
    <definedName name="lastyear">#REF!</definedName>
    <definedName name="lastype">#REF!</definedName>
    <definedName name="LATchrPrepPos">#REF!</definedName>
    <definedName name="lausd">#REF!</definedName>
    <definedName name="LAUSD__CY_ADA">#REF!</definedName>
    <definedName name="LAUSD_Fed_Yr1">#REF!</definedName>
    <definedName name="LAUSD_Fed_Yr2">#REF!</definedName>
    <definedName name="LAUSD_Fed_Yr3">#REF!</definedName>
    <definedName name="LAUSD_Fed_Yr4">#REF!</definedName>
    <definedName name="LAUSD_Fed_Yr5">#REF!</definedName>
    <definedName name="LAUSD_Fed_Yr6">#REF!</definedName>
    <definedName name="LAUSD_State_Yr1">#REF!</definedName>
    <definedName name="LAUSD_State_Yr2">#REF!</definedName>
    <definedName name="LAUSD_State_Yr3">#REF!</definedName>
    <definedName name="LAUSD_State_Yr4">#REF!</definedName>
    <definedName name="LAUSD_State_Yr5">#REF!</definedName>
    <definedName name="LAUSD_State_Yr6">#REF!</definedName>
    <definedName name="LBO">#REF!</definedName>
    <definedName name="LBOIPOExit1">#REF!</definedName>
    <definedName name="LBOIPOExit2">#REF!</definedName>
    <definedName name="LBOSaleExit1">#REF!</definedName>
    <definedName name="LBOSaleExit2">#REF!</definedName>
    <definedName name="LC">#REF!</definedName>
    <definedName name="LC_AMT">#REF!</definedName>
    <definedName name="LC_GL_">#REF!</definedName>
    <definedName name="LC_PERCENT">#REF!</definedName>
    <definedName name="LCFF">#REF!</definedName>
    <definedName name="LCFFTotal_Yr1">#REF!</definedName>
    <definedName name="LCFFTotal_Yr2">#REF!</definedName>
    <definedName name="LCFFTotal_Yr3">#REF!</definedName>
    <definedName name="LCFFTotal_Yr4">#REF!</definedName>
    <definedName name="LCFFTotal_Yr5">#REF!</definedName>
    <definedName name="LCFFTotal_Yr6">#REF!</definedName>
    <definedName name="LCL">#REF!</definedName>
    <definedName name="LCM">#REF!</definedName>
    <definedName name="LCT">#REF!</definedName>
    <definedName name="LCTOHP">#REF!</definedName>
    <definedName name="ld">#REF!</definedName>
    <definedName name="LD_BE">#REF!</definedName>
    <definedName name="LD_Name">#REF!</definedName>
    <definedName name="LDL">#REF!</definedName>
    <definedName name="LDLALLOC">#N/A</definedName>
    <definedName name="LDOutcomes">#REF!</definedName>
    <definedName name="LEA_Plan">#REF!</definedName>
    <definedName name="Lease_Costs">#REF!</definedName>
    <definedName name="Lease_Term">#REF!</definedName>
    <definedName name="LeaseExpirationYear">#REF!</definedName>
    <definedName name="Leasehold_Improvements">#REF!</definedName>
    <definedName name="Lee">#REF!</definedName>
    <definedName name="LEGAL_FEES">#REF!</definedName>
    <definedName name="LenderName">#REF!</definedName>
    <definedName name="Length_of_projection">#REF!</definedName>
    <definedName name="Length_of_projection2">#REF!</definedName>
    <definedName name="Leon">#REF!</definedName>
    <definedName name="LEP">#REF!</definedName>
    <definedName name="LEP_complete_567">#REF!</definedName>
    <definedName name="Lesline">#REF!</definedName>
    <definedName name="Letter_Upfront">#REF!</definedName>
    <definedName name="Letter_Upfronttax">#REF!</definedName>
    <definedName name="levbe">#REF!</definedName>
    <definedName name="levbreakeven">#REF!</definedName>
    <definedName name="Level">#REF!</definedName>
    <definedName name="level.I.list" localSheetId="4">INDEX(#REF!,,MATCH(INDIRECT("R[0]C[-1]",FALSE),staffing.entity.list,0))</definedName>
    <definedName name="level.I.list" localSheetId="2">INDEX(#REF!,,MATCH(INDIRECT("R[0]C[-1]",FALSE),staffing.entity.list,0))</definedName>
    <definedName name="level.I.list" localSheetId="1">INDEX(#REF!,,MATCH(INDIRECT("R[0]C[-1]",FALSE),staffing.entity.list,0))</definedName>
    <definedName name="level.I.list" localSheetId="5">INDEX(#REF!,,MATCH(INDIRECT("R[0]C[-1]",FALSE),staffing.entity.list,0))</definedName>
    <definedName name="level.I.list" localSheetId="8">INDEX(#REF!,,MATCH(INDIRECT("R[0]C[-1]",FALSE),staffing.entity.list,0))</definedName>
    <definedName name="level.I.list" localSheetId="3">INDEX(#REF!,,MATCH(INDIRECT("R[0]C[-1]",FALSE),staffing.entity.list,0))</definedName>
    <definedName name="level.I.list">INDEX(#REF!,,MATCH(INDIRECT("R[0]C[-1]",FALSE),staffing.entity.list,0))</definedName>
    <definedName name="level.II.list" localSheetId="4">INDEX(#REF!,,MATCH(INDIRECT("R[0]C[-1]",FALSE),staffing.level.I.list,0))</definedName>
    <definedName name="level.II.list" localSheetId="2">INDEX(#REF!,,MATCH(INDIRECT("R[0]C[-1]",FALSE),staffing.level.I.list,0))</definedName>
    <definedName name="level.II.list" localSheetId="1">INDEX(#REF!,,MATCH(INDIRECT("R[0]C[-1]",FALSE),staffing.level.I.list,0))</definedName>
    <definedName name="level.II.list" localSheetId="5">INDEX(#REF!,,MATCH(INDIRECT("R[0]C[-1]",FALSE),staffing.level.I.list,0))</definedName>
    <definedName name="level.II.list" localSheetId="8">INDEX(#REF!,,MATCH(INDIRECT("R[0]C[-1]",FALSE),staffing.level.I.list,0))</definedName>
    <definedName name="level.II.list" localSheetId="3">INDEX(#REF!,,MATCH(INDIRECT("R[0]C[-1]",FALSE),staffing.level.I.list,0))</definedName>
    <definedName name="level.II.list">INDEX(#REF!,,MATCH(INDIRECT("R[0]C[-1]",FALSE),staffing.level.I.list,0))</definedName>
    <definedName name="level.III.list" localSheetId="4">INDEX(#REF!,,MATCH(INDIRECT("R[0]C[-1]",FALSE),staffing.level.II.list,0))</definedName>
    <definedName name="level.III.list" localSheetId="2">INDEX(#REF!,,MATCH(INDIRECT("R[0]C[-1]",FALSE),staffing.level.II.list,0))</definedName>
    <definedName name="level.III.list" localSheetId="1">INDEX(#REF!,,MATCH(INDIRECT("R[0]C[-1]",FALSE),staffing.level.II.list,0))</definedName>
    <definedName name="level.III.list" localSheetId="5">INDEX(#REF!,,MATCH(INDIRECT("R[0]C[-1]",FALSE),staffing.level.II.list,0))</definedName>
    <definedName name="level.III.list" localSheetId="8">INDEX(#REF!,,MATCH(INDIRECT("R[0]C[-1]",FALSE),staffing.level.II.list,0))</definedName>
    <definedName name="level.III.list" localSheetId="3">INDEX(#REF!,,MATCH(INDIRECT("R[0]C[-1]",FALSE),staffing.level.II.list,0))</definedName>
    <definedName name="level.III.list">INDEX(#REF!,,MATCH(INDIRECT("R[0]C[-1]",FALSE),staffing.level.II.list,0))</definedName>
    <definedName name="LEVERAGED">#REF!</definedName>
    <definedName name="levswitch">#REF!</definedName>
    <definedName name="Levy">#REF!</definedName>
    <definedName name="LEXP">#REF!</definedName>
    <definedName name="LF">#REF!</definedName>
    <definedName name="lfeeover">#REF!</definedName>
    <definedName name="LFL">#REF!</definedName>
    <definedName name="LFM">#REF!</definedName>
    <definedName name="LFT">#REF!</definedName>
    <definedName name="LFTOHP">#REF!</definedName>
    <definedName name="lgs">#REF!</definedName>
    <definedName name="Liberty">#REF!</definedName>
    <definedName name="LibrarySold">#REF!</definedName>
    <definedName name="LibrarySoldSpread">#REF!</definedName>
    <definedName name="LibValPct">#REF!</definedName>
    <definedName name="LibValSwitch">#REF!</definedName>
    <definedName name="LICENSES">#REF!</definedName>
    <definedName name="Licensing_Fees">#REF!</definedName>
    <definedName name="limcount" hidden="1">1</definedName>
    <definedName name="LINCSPLIT">#REF!</definedName>
    <definedName name="LINE">#N/A</definedName>
    <definedName name="LINE1">#N/A</definedName>
    <definedName name="LINK">#REF!</definedName>
    <definedName name="lirr">#REF!</definedName>
    <definedName name="List">#REF!</definedName>
    <definedName name="list_for_SFSD">#REF!</definedName>
    <definedName name="List_Grade5Levels">#REF!</definedName>
    <definedName name="List1">#REF!</definedName>
    <definedName name="List2">#REF!</definedName>
    <definedName name="List3">#REF!</definedName>
    <definedName name="listAssSheets">#REF!</definedName>
    <definedName name="lkjlk">#REF!</definedName>
    <definedName name="ll\">#REF!</definedName>
    <definedName name="lll">#REF!</definedName>
    <definedName name="llll">#REF!</definedName>
    <definedName name="llvins">#REF!</definedName>
    <definedName name="lmd">#REF!</definedName>
    <definedName name="lmd_new">#REF!</definedName>
    <definedName name="lmdtax">#REF!</definedName>
    <definedName name="lmdtx">#REF!</definedName>
    <definedName name="LNSI">#REF!</definedName>
    <definedName name="LNSO">#REF!</definedName>
    <definedName name="LO">#N/A</definedName>
    <definedName name="Loan_Amount">#REF!</definedName>
    <definedName name="Loan_Amount_9">#REF!</definedName>
    <definedName name="Loan_Bridge">#REF!</definedName>
    <definedName name="Loan_Not_Paid">#N/A</definedName>
    <definedName name="Loan_Start">#REF!</definedName>
    <definedName name="Loan_Start_9">#REF!</definedName>
    <definedName name="Loan_Years">#REF!</definedName>
    <definedName name="Loan_Years_9">#REF!</definedName>
    <definedName name="Loan1">#REF!</definedName>
    <definedName name="LOAN2">#N/A</definedName>
    <definedName name="LoanAmount">#REF!</definedName>
    <definedName name="LoanAmt">#REF!</definedName>
    <definedName name="LoanIsGood">(#REF!*#REF!*#REF!*#REF!)&gt;0</definedName>
    <definedName name="LoanPeriod">#REF!</definedName>
    <definedName name="LOANPROCEEDS">#REF!</definedName>
    <definedName name="LoanStartDate">#REF!</definedName>
    <definedName name="LoanTable">#REF!</definedName>
    <definedName name="LoanTerm">#REF!</definedName>
    <definedName name="LOC">#REF!</definedName>
    <definedName name="LOC_Ongoing">#REF!</definedName>
    <definedName name="LOC_Ongoingtax">#REF!</definedName>
    <definedName name="LOC_Rate">#REF!</definedName>
    <definedName name="LOCAL_MYSQL_DATE_FORMAT" localSheetId="4">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Revenue">#REF!</definedName>
    <definedName name="LocalAid">#REF!</definedName>
    <definedName name="LocalRevenueCalc">#REF!</definedName>
    <definedName name="LocalRevenueCalcFIB">#REF!</definedName>
    <definedName name="LocalRevenueCalcJuly">#REF!</definedName>
    <definedName name="Location">#REF!</definedName>
    <definedName name="Locations">#REF!</definedName>
    <definedName name="locdaycov">#REF!</definedName>
    <definedName name="Lol" hidden="1">#REF!</definedName>
    <definedName name="longbegin">#REF!</definedName>
    <definedName name="longp">#REF!</definedName>
    <definedName name="longper">#REF!</definedName>
    <definedName name="longyear">#REF!</definedName>
    <definedName name="LOOK_DATE">#REF!</definedName>
    <definedName name="Look1Area">#REF!</definedName>
    <definedName name="Look2Area">#REF!</definedName>
    <definedName name="Look3Area">#REF!</definedName>
    <definedName name="Look4Area">#REF!</definedName>
    <definedName name="Look5Area">#REF!</definedName>
    <definedName name="lookback">#REF!</definedName>
    <definedName name="lookup">#REF!</definedName>
    <definedName name="lookupfinance">#REF!</definedName>
    <definedName name="LookUpRange">#REF!</definedName>
    <definedName name="LOT">#N/A</definedName>
    <definedName name="lot_disc">#REF!</definedName>
    <definedName name="lotdevq1">#REF!</definedName>
    <definedName name="lotdevq2">#REF!</definedName>
    <definedName name="lotdevq3">#REF!</definedName>
    <definedName name="lotdevq4">#REF!</definedName>
    <definedName name="LotPricing">#REF!</definedName>
    <definedName name="lots">#REF!</definedName>
    <definedName name="lotsum2">#REF!</definedName>
    <definedName name="Lottery_Type">#REF!</definedName>
    <definedName name="Louisiana">#REF!</definedName>
    <definedName name="lowball">#REF!</definedName>
    <definedName name="Lowes">#REF!</definedName>
    <definedName name="lowincelem">#REF!</definedName>
    <definedName name="lowincother">#REF!</definedName>
    <definedName name="lr">#N/A</definedName>
    <definedName name="LRDDRResDCode">#REF!</definedName>
    <definedName name="lrv">#REF!</definedName>
    <definedName name="LRVabs">#REF!</definedName>
    <definedName name="lrvcoi">#REF!</definedName>
    <definedName name="lrvres">#REF!</definedName>
    <definedName name="LTC">#REF!</definedName>
    <definedName name="LTM_EBITDA">#REF!</definedName>
    <definedName name="LTRate">#REF!</definedName>
    <definedName name="ltv">#REF!</definedName>
    <definedName name="luladcf">#REF!</definedName>
    <definedName name="LUV">#REF!</definedName>
    <definedName name="lv">#REF!</definedName>
    <definedName name="lvs">#REF!</definedName>
    <definedName name="LWP">#REF!</definedName>
    <definedName name="LYN">#REF!</definedName>
    <definedName name="LYON_CONTR_DISTR">#REF!</definedName>
    <definedName name="m">#REF!</definedName>
    <definedName name="m\">#REF!</definedName>
    <definedName name="MACRO">#REF!</definedName>
    <definedName name="MACRO_INDEX">#REF!</definedName>
    <definedName name="Madison">#REF!</definedName>
    <definedName name="main">#REF!</definedName>
    <definedName name="Maine">#REF!</definedName>
    <definedName name="Maint">#REF!</definedName>
    <definedName name="major_events">#REF!</definedName>
    <definedName name="management">#REF!</definedName>
    <definedName name="Management_Fee">#REF!</definedName>
    <definedName name="Manatee">#REF!</definedName>
    <definedName name="mandoIIpfyXVII">#REF!</definedName>
    <definedName name="manual">#REF!</definedName>
    <definedName name="Manual_Removal">#REF!</definedName>
    <definedName name="MAR">#REF!</definedName>
    <definedName name="March">#REF!</definedName>
    <definedName name="marco">#REF!</definedName>
    <definedName name="Marion">#REF!</definedName>
    <definedName name="market">#REF!</definedName>
    <definedName name="market_info">#REF!</definedName>
    <definedName name="Marketing">#REF!</definedName>
    <definedName name="MarketPrice">#REF!</definedName>
    <definedName name="MarkOutcomes">#REF!</definedName>
    <definedName name="Marshalls">#REF!</definedName>
    <definedName name="Martin">#REF!</definedName>
    <definedName name="Maryland">#REF!</definedName>
    <definedName name="Massachusetts">#REF!</definedName>
    <definedName name="Match_Drivers">#REF!</definedName>
    <definedName name="Match_SiteName">#REF!</definedName>
    <definedName name="Match_Year">#REF!</definedName>
    <definedName name="MatchBenefits">#REF!</definedName>
    <definedName name="MatchCOLA">#REF!</definedName>
    <definedName name="MatchRatesYear">#REF!</definedName>
    <definedName name="MaterialsTest">#REF!</definedName>
    <definedName name="MaterialsTestBudgetData">#REF!</definedName>
    <definedName name="MaterialsTestBudgetDataFIB">#REF!</definedName>
    <definedName name="MathTeacherList">#REF!</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_Level">#REF!</definedName>
    <definedName name="maxabs">#REF!</definedName>
    <definedName name="maxabsyr">#REF!</definedName>
    <definedName name="MaxCA">#REF!</definedName>
    <definedName name="MAXIMUM_DEDUCT_BASE_YR">#REF!</definedName>
    <definedName name="MAXIMUM_DEDUCT_YR_1">#REF!</definedName>
    <definedName name="MAXIMUM_DEDUCT_YR_2">#REF!</definedName>
    <definedName name="MAXIMUM_DEDUCT_YR_3">#REF!</definedName>
    <definedName name="MAXIMUM_DEDUCT_YR_4">#REF!</definedName>
    <definedName name="MAXIMUM_INCREASE_BASE_YR">#REF!</definedName>
    <definedName name="MAXIMUM_INCREASE_YR_1">#REF!</definedName>
    <definedName name="MAXIMUM_INCREASE_YR_2">#REF!</definedName>
    <definedName name="MAXIMUM_INCREASE_YR_3">#REF!</definedName>
    <definedName name="MAXIMUM_INCREASE_YR_4">#REF!</definedName>
    <definedName name="maxloan">#REF!</definedName>
    <definedName name="may">#REF!</definedName>
    <definedName name="MCA_CoA">#REF!</definedName>
    <definedName name="MCA_COA_DESCRIPTIONS">#REF!</definedName>
    <definedName name="MCA_STAFFING_FY24_FTE">#REF!</definedName>
    <definedName name="MCA_STAFFING_FY24_ROLES">#REF!</definedName>
    <definedName name="mccarthy">#REF!</definedName>
    <definedName name="MCUwork1" hidden="1">{#N/A,#N/A,TRUE,"Summary";#N/A,#N/A,TRUE,"Program Scheme";#N/A,#N/A,TRUE,"Assumptions";#N/A,#N/A,TRUE,"Development Budget &amp; Timing";#N/A,#N/A,TRUE,"Cash Flow";#N/A,#N/A,TRUE,"Cash Flow to Debt &amp; Equity"}</definedName>
    <definedName name="MEALS">#REF!</definedName>
    <definedName name="mechroom">#REF!</definedName>
    <definedName name="Med_BO_Family">#REF!</definedName>
    <definedName name="Med_BO_Individual">#REF!</definedName>
    <definedName name="med_i">#REF!</definedName>
    <definedName name="med_prm">#REF!</definedName>
    <definedName name="media_cali">#REF!</definedName>
    <definedName name="media_LA">#REF!</definedName>
    <definedName name="media_localCA">#REF!</definedName>
    <definedName name="media_losang">#REF!</definedName>
    <definedName name="media_memph">#REF!</definedName>
    <definedName name="media_memphis">#REF!</definedName>
    <definedName name="media_natl">#REF!</definedName>
    <definedName name="media_ntl">#REF!</definedName>
    <definedName name="media_oak">#REF!</definedName>
    <definedName name="media_oakland">#REF!</definedName>
    <definedName name="media_stock">#REF!</definedName>
    <definedName name="media_stockton">#REF!</definedName>
    <definedName name="Medical_Plans">#REF!</definedName>
    <definedName name="Medicare">#REF!</definedName>
    <definedName name="MedicareCheck">#REF!</definedName>
    <definedName name="MedInLieu">#REF!</definedName>
    <definedName name="MEINV">#N/A</definedName>
    <definedName name="MemberID1">#REF!</definedName>
    <definedName name="MemberID2">#REF!</definedName>
    <definedName name="MemberID3">#REF!</definedName>
    <definedName name="Merge_ELPD_Base_Data3">#REF!</definedName>
    <definedName name="Merged_CBEDS_Charter_Data">#REF!</definedName>
    <definedName name="mezz">#REF!</definedName>
    <definedName name="MezzRecoupRelease">#REF!</definedName>
    <definedName name="mfeeover">#REF!</definedName>
    <definedName name="MGMT">#REF!</definedName>
    <definedName name="mgmtfee">#REF!</definedName>
    <definedName name="Miami_Dade">#REF!</definedName>
    <definedName name="Michaels">#REF!</definedName>
    <definedName name="Michigan">#REF!</definedName>
    <definedName name="midrise1">#REF!</definedName>
    <definedName name="mildtomod1">#REF!</definedName>
    <definedName name="MinCA">#REF!</definedName>
    <definedName name="MinCash">#REF!</definedName>
    <definedName name="MinEPA_Yr1">#REF!</definedName>
    <definedName name="MinEPA_Yr2">#REF!</definedName>
    <definedName name="MinEPA_Yr3">#REF!</definedName>
    <definedName name="MinEPA_Yr4">#REF!</definedName>
    <definedName name="MinEPA_Yr5">#REF!</definedName>
    <definedName name="MinEPA_Yr6">#REF!</definedName>
    <definedName name="Minimum_Cash">#REF!</definedName>
    <definedName name="Minimum_Guarantee_Adjustment">#REF!</definedName>
    <definedName name="Minnesota">#REF!</definedName>
    <definedName name="MINRESERVE">#REF!</definedName>
    <definedName name="MIP">#REF!</definedName>
    <definedName name="Misc_Benefits">#REF!</definedName>
    <definedName name="Misc_EPA">#REF!</definedName>
    <definedName name="MISSING">#REF!</definedName>
    <definedName name="Mission">#REF!</definedName>
    <definedName name="Mississippi">#REF!</definedName>
    <definedName name="Missouri">#REF!</definedName>
    <definedName name="MIXVAR">#N/A</definedName>
    <definedName name="MK">#REF!</definedName>
    <definedName name="MKDESBAL">#REF!</definedName>
    <definedName name="MKECONUNCERT">#REF!</definedName>
    <definedName name="MKPREPEXP">#REF!</definedName>
    <definedName name="MKRSV4ANTENDBAL">#REF!</definedName>
    <definedName name="MKRSV4PTNEQ">#REF!</definedName>
    <definedName name="MKRVLVNGFD">#REF!</definedName>
    <definedName name="MKT">#REF!</definedName>
    <definedName name="mktrevesc">#REF!</definedName>
    <definedName name="MktRnt">#REF!</definedName>
    <definedName name="MKUNDESBAL">#REF!</definedName>
    <definedName name="mm">#REF!</definedName>
    <definedName name="mm\">#REF!</definedName>
    <definedName name="MMAStrategy">#REF!</definedName>
    <definedName name="MMIBond">#REF!</definedName>
    <definedName name="mmr">#REF!</definedName>
    <definedName name="MOD">#N/A</definedName>
    <definedName name="MODEL">#REF!</definedName>
    <definedName name="Modified_Accrual_Basis__Applicable_Capital_Outlay_Debt_Service_Fund_Balance_objects_are_6100_6170__6200_6500__7438__7439">#REF!</definedName>
    <definedName name="Modified_Cash">#REF!</definedName>
    <definedName name="ModifiedAccuralCheck">#REF!</definedName>
    <definedName name="ModifiedBasis">#REF!,#REF!,#REF!</definedName>
    <definedName name="ModifiedBasisEnable">#REF!</definedName>
    <definedName name="Monroe">#REF!</definedName>
    <definedName name="Montana">#REF!</definedName>
    <definedName name="Month">#REF!</definedName>
    <definedName name="Month1">#REF!</definedName>
    <definedName name="Month12">#REF!</definedName>
    <definedName name="monthbox">#REF!</definedName>
    <definedName name="monthdata">#REF!</definedName>
    <definedName name="MONTHLY">#REF!</definedName>
    <definedName name="Monthly_Payment">#N/A</definedName>
    <definedName name="MonthlyCashFlowRows">#REF!</definedName>
    <definedName name="MonthlyCFDeleteCellContents">#REF!</definedName>
    <definedName name="MonthlyCFSaveValues">#REF!</definedName>
    <definedName name="MonthlyRent">#REF!</definedName>
    <definedName name="MonthlyStatementRowHideCount">#REF!</definedName>
    <definedName name="MonthlyStatementRowHideStart">#REF!</definedName>
    <definedName name="Months">#REF!</definedName>
    <definedName name="Months_in_year_1">#REF!</definedName>
    <definedName name="Months_in_year1">#REF!</definedName>
    <definedName name="MonthsComplete">#REF!</definedName>
    <definedName name="monthsworked">#REF!</definedName>
    <definedName name="MORTB">#N/A</definedName>
    <definedName name="Mortgage_Amount">#REF!</definedName>
    <definedName name="MR">#REF!</definedName>
    <definedName name="MRDESBAL">#REF!</definedName>
    <definedName name="MRECONUNCERT">#REF!</definedName>
    <definedName name="MRPREPEXP">#REF!</definedName>
    <definedName name="MRRSV4ANTENDBAL">#REF!</definedName>
    <definedName name="MRRSV4PTNEQ">#REF!</definedName>
    <definedName name="MRRVLVNGFD">#REF!</definedName>
    <definedName name="MRUNDESBAL">#REF!</definedName>
    <definedName name="MS_Enrollment">#REF!</definedName>
    <definedName name="MS_MATH_BASE_YR">#REF!</definedName>
    <definedName name="MS_MATH_YR_1">#REF!</definedName>
    <definedName name="MS_MATH_YR_2">#REF!</definedName>
    <definedName name="MS_MATH_YR_3">#REF!</definedName>
    <definedName name="MS_MATH_YR_4">#REF!</definedName>
    <definedName name="MS1_MoveDate">#REF!</definedName>
    <definedName name="MS2_MoveDate">#REF!</definedName>
    <definedName name="MS3_BASE1">#REF!</definedName>
    <definedName name="MS3_BASE2">#REF!</definedName>
    <definedName name="MS3_BASE3">#REF!</definedName>
    <definedName name="MS3_BASE4">#REF!</definedName>
    <definedName name="MS3_BASE5">#REF!</definedName>
    <definedName name="MS3_BASE6">#REF!</definedName>
    <definedName name="MS3_BASE7">#REF!</definedName>
    <definedName name="MS3_BASE8">#REF!</definedName>
    <definedName name="MS3_BASE9">#REF!</definedName>
    <definedName name="MS3_BONUS1">#REF!</definedName>
    <definedName name="MS3_BONUS2">#REF!</definedName>
    <definedName name="MS3_BONUS3">#REF!</definedName>
    <definedName name="MS3_BONUS4">#REF!</definedName>
    <definedName name="MS3_BONUS5">#REF!</definedName>
    <definedName name="MS3_BONUS6">#REF!</definedName>
    <definedName name="MS3_BONUS7">#REF!</definedName>
    <definedName name="MS3_BONUS8">#REF!</definedName>
    <definedName name="MS3_BONUS9">#REF!</definedName>
    <definedName name="MS3_CODE1">#REF!</definedName>
    <definedName name="MS3_CODE2">#REF!</definedName>
    <definedName name="MS3_CODE3">#REF!</definedName>
    <definedName name="MS3_Operating">#REF!</definedName>
    <definedName name="MS3_Revenue">#REF!</definedName>
    <definedName name="MS3_STIPEND1">#REF!</definedName>
    <definedName name="MS3_STIPEND2">#REF!</definedName>
    <definedName name="MS3_STIPEND3">#REF!</definedName>
    <definedName name="MS3_STIPEND4">#REF!</definedName>
    <definedName name="MS3_STIPEND5">#REF!</definedName>
    <definedName name="MS3_STIPEND6">#REF!</definedName>
    <definedName name="MS3_STIPEND7">#REF!</definedName>
    <definedName name="MS3_STIPEND8">#REF!</definedName>
    <definedName name="MS3_STIPEND9">#REF!</definedName>
    <definedName name="MS3_TOTAL1">#REF!</definedName>
    <definedName name="MS3_TOTAL2">#REF!</definedName>
    <definedName name="MS3_TOTAL3">#REF!</definedName>
    <definedName name="MS3_TOTAL4">#REF!</definedName>
    <definedName name="MS3_TOTAL5">#REF!</definedName>
    <definedName name="MS3_TOTAL6">#REF!</definedName>
    <definedName name="MS3_TOTAL7">#REF!</definedName>
    <definedName name="MS3_TOTAL8">#REF!</definedName>
    <definedName name="MS3_TOTAL9">#REF!</definedName>
    <definedName name="MS6_BASE3">#REF!</definedName>
    <definedName name="MS6_BASE4">#REF!</definedName>
    <definedName name="MS6_BASE5">#REF!</definedName>
    <definedName name="MS6_BASE6">#REF!</definedName>
    <definedName name="MS6_BASE7">#REF!</definedName>
    <definedName name="MS6_BASE8">#REF!</definedName>
    <definedName name="MS6_BASE9">#REF!</definedName>
    <definedName name="MS6_CODE1">#REF!</definedName>
    <definedName name="MS6_Open_Year">#REF!</definedName>
    <definedName name="MS6_Operating">#REF!</definedName>
    <definedName name="MS6_Revenue">#REF!</definedName>
    <definedName name="MS6_TOTAL3">#REF!</definedName>
    <definedName name="MS6_TOTAL4">#REF!</definedName>
    <definedName name="MS6_TOTAL5">#REF!</definedName>
    <definedName name="MS6_TOTAL6">#REF!</definedName>
    <definedName name="MS6_TOTAL7">#REF!</definedName>
    <definedName name="MS6_TOTAL8">#REF!</definedName>
    <definedName name="MS6_TOTAL9">#REF!</definedName>
    <definedName name="MSQ_REM">#REF!</definedName>
    <definedName name="Mssg1">#REF!</definedName>
    <definedName name="Mssg2">#REF!</definedName>
    <definedName name="MTA_Tax_Rate">#REF!</definedName>
    <definedName name="MTA_Taxes">#REF!</definedName>
    <definedName name="mtgebond">#REF!</definedName>
    <definedName name="MU">#REF!</definedName>
    <definedName name="Mult_Sen">#REF!</definedName>
    <definedName name="multi">#REF!</definedName>
    <definedName name="MultiSiteRange" localSheetId="4">OFFSET(RawSiteRange,0,1,1,COLUMNS(RawSiteRange)-2)</definedName>
    <definedName name="MultiSiteRange" localSheetId="5">OFFSET(RawSiteRange,0,1,1,COLUMNS(RawSiteRange)-2)</definedName>
    <definedName name="MultiSiteRange" localSheetId="8">OFFSET(RawSiteRange,0,1,1,COLUMNS(RawSiteRange)-2)</definedName>
    <definedName name="MultiSiteRange">OFFSET(RawSiteRange,0,1,1,COLUMNS(RawSiteRange)-2)</definedName>
    <definedName name="MultiSiteSub">#REF!</definedName>
    <definedName name="myra">#REF!</definedName>
    <definedName name="mySchools">#REF!</definedName>
    <definedName name="N" hidden="1">#REF!</definedName>
    <definedName name="N_A">#REF!</definedName>
    <definedName name="n\">#REF!</definedName>
    <definedName name="NAME">#REF!</definedName>
    <definedName name="name1">#REF!</definedName>
    <definedName name="names">#REF!</definedName>
    <definedName name="Nassau">#REF!</definedName>
    <definedName name="NCF">#REF!</definedName>
    <definedName name="Nebraska">#REF!</definedName>
    <definedName name="ned_indent">#REF!</definedName>
    <definedName name="NET">#REF!</definedName>
    <definedName name="NET_FOUNDATION_BASE_YR">#REF!</definedName>
    <definedName name="Net_Income_Percent_for_Green.School_Info_Sheet">#REF!</definedName>
    <definedName name="Net_Income_Target_for_Orange.Reference_Tables_Sheet">#REF!</definedName>
    <definedName name="NetDebt">#REF!</definedName>
    <definedName name="NETGLA">#REF!</definedName>
    <definedName name="netinvplnt">#REF!</definedName>
    <definedName name="NETLAND">#REF!</definedName>
    <definedName name="netproceeds">#REF!</definedName>
    <definedName name="netsf">#REF!</definedName>
    <definedName name="Netw">#REF!</definedName>
    <definedName name="Network" hidden="1">#REF!</definedName>
    <definedName name="Nevada">#REF!</definedName>
    <definedName name="new">#REF!</definedName>
    <definedName name="new_2" hidden="1">{"CF",#N/A,FALSE,"Cash Flow";"RET",#N/A,FALSE,"Returns";"NPV",#N/A,FALSE,"Values";"ASMPT",#N/A,FALSE,"Assumptions"}</definedName>
    <definedName name="new_approached">#REF!</definedName>
    <definedName name="New_Furniture">#REF!</definedName>
    <definedName name="New_Grade_Level_Students">#REF!</definedName>
    <definedName name="New_Hampshire">#REF!</definedName>
    <definedName name="new_ident">#REF!</definedName>
    <definedName name="new_ind_total">#REF!</definedName>
    <definedName name="New_Jersey">#REF!</definedName>
    <definedName name="new_lapsed_won">#REF!</definedName>
    <definedName name="New_Mexico">#REF!</definedName>
    <definedName name="New_Students">#REF!</definedName>
    <definedName name="New_York">#REF!</definedName>
    <definedName name="NewClassrooms">#REF!</definedName>
    <definedName name="NEWDRAW">#REF!</definedName>
    <definedName name="NEWDRAW2">#REF!</definedName>
    <definedName name="NewFTE">#REF!</definedName>
    <definedName name="NewHeading">#REF!</definedName>
    <definedName name="NewLeaseTerm">#REF!</definedName>
    <definedName name="NEWNAME" hidden="1">{#N/A,#N/A,FALSE,"Cover Page";#N/A,#N/A,FALSE,"Sources";#N/A,#N/A,FALSE,"Summary";#N/A,#N/A,FALSE,"Cash Flow";#N/A,#N/A,FALSE,"INVESTOR IRR";#N/A,#N/A,FALSE,"Settle - VA"}</definedName>
    <definedName name="NEWNAME1">#REF!</definedName>
    <definedName name="newsf">#REF!</definedName>
    <definedName name="NewStaff">#REF!</definedName>
    <definedName name="NewStudents">#REF!</definedName>
    <definedName name="NewTeacherAides">#REF!</definedName>
    <definedName name="NewTeachers">#REF!</definedName>
    <definedName name="Newtrade">#REF!</definedName>
    <definedName name="newyld1">#REF!</definedName>
    <definedName name="nextcell">#REF!</definedName>
    <definedName name="NFPCategories">#REF!</definedName>
    <definedName name="NHS_FIXED_TAX_RATE">0.018</definedName>
    <definedName name="NHS_HOLD_HARMLESS_RATE_BASE_YR">#REF!</definedName>
    <definedName name="NHS_MILLAGE_RATE_BASE_YR">#REF!</definedName>
    <definedName name="NHS_MILLAGE_RATE_YR_1">#REF!</definedName>
    <definedName name="NHS_MILLAGE_RATE_YR_2">#REF!</definedName>
    <definedName name="NHS_MILLAGE_RATE_YR_3">#REF!</definedName>
    <definedName name="NHS_MILLAGE_RATE_YR_4">#REF!</definedName>
    <definedName name="NHS_TAV_BASE_YR">#REF!</definedName>
    <definedName name="NHS_TAV_YR_1">#REF!</definedName>
    <definedName name="NHS_TAV_YR_2">#REF!</definedName>
    <definedName name="NHS_TAV_YR_3">#REF!</definedName>
    <definedName name="NHS_TAV_YR_4">#REF!</definedName>
    <definedName name="nic">#REF!</definedName>
    <definedName name="nic_n">#REF!</definedName>
    <definedName name="nic_r">#REF!</definedName>
    <definedName name="nicc">#REF!</definedName>
    <definedName name="nictax">#REF!</definedName>
    <definedName name="nictx">#REF!</definedName>
    <definedName name="NISSAN">#REF!</definedName>
    <definedName name="NL">#REF!</definedName>
    <definedName name="nn"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_2"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#REF!</definedName>
    <definedName name="NNNRent">#REF!</definedName>
    <definedName name="no">#REF!</definedName>
    <definedName name="noa">#REF!</definedName>
    <definedName name="NOI">#REF!</definedName>
    <definedName name="NOIATHURDLERATE">#REF!</definedName>
    <definedName name="NOIRow">#REF!</definedName>
    <definedName name="NOIRowRes">#REF!</definedName>
    <definedName name="NOISecondStabilizedYear">#REF!</definedName>
    <definedName name="NOMO">#REF!</definedName>
    <definedName name="nonpgmstaff">#REF!</definedName>
    <definedName name="nonzero_agg">#REF!</definedName>
    <definedName name="NoRenew">#REF!</definedName>
    <definedName name="NORM">#REF!</definedName>
    <definedName name="NORM_2010">#REF!</definedName>
    <definedName name="norm1">#REF!</definedName>
    <definedName name="norm2">#REF!</definedName>
    <definedName name="Norm2009">#REF!</definedName>
    <definedName name="Norm2010">#REF!</definedName>
    <definedName name="Norm2011">#REF!</definedName>
    <definedName name="Norm2012">#REF!</definedName>
    <definedName name="norm3">#REF!</definedName>
    <definedName name="Normal">#REF!</definedName>
    <definedName name="Normalize_Factor">#REF!</definedName>
    <definedName name="North_Carolina">#REF!</definedName>
    <definedName name="North_Dakota">#REF!</definedName>
    <definedName name="Northern_Mariana_Islands">#REF!</definedName>
    <definedName name="NoSaveAfterMacro">#REF!</definedName>
    <definedName name="Note_1">#REF!</definedName>
    <definedName name="Note_1_Amortization">#REF!</definedName>
    <definedName name="Note_1_AmountVariable">#REF!</definedName>
    <definedName name="Note_1_IO">#REF!</definedName>
    <definedName name="Note_1_Rate">#REF!</definedName>
    <definedName name="Note_1_StartDate">#REF!</definedName>
    <definedName name="Note_1_TermVariable">#REF!</definedName>
    <definedName name="Note_2">#REF!</definedName>
    <definedName name="Note_2_Amortization">#REF!</definedName>
    <definedName name="Note_2_AmountVariable">#REF!</definedName>
    <definedName name="Note_2_IO">#REF!</definedName>
    <definedName name="Note_2_Rate">#REF!</definedName>
    <definedName name="Note_2_StartDate">#REF!</definedName>
    <definedName name="Note_2_TermVariable">#REF!</definedName>
    <definedName name="Note_aa">#REF!</definedName>
    <definedName name="Note_ab">#REF!</definedName>
    <definedName name="Note_ac">#REF!</definedName>
    <definedName name="Note_b">#REF!</definedName>
    <definedName name="Note_c">#REF!</definedName>
    <definedName name="Note_d">#REF!</definedName>
    <definedName name="Note_e">#REF!</definedName>
    <definedName name="Note_f">#REF!</definedName>
    <definedName name="Note_g">#REF!</definedName>
    <definedName name="Note_h">#REF!</definedName>
    <definedName name="Note_i">#REF!</definedName>
    <definedName name="Note_j">#REF!</definedName>
    <definedName name="Note_k">#REF!</definedName>
    <definedName name="Note_l">#REF!</definedName>
    <definedName name="Note_m">#REF!</definedName>
    <definedName name="Note_n">#REF!</definedName>
    <definedName name="Note_o">#REF!</definedName>
    <definedName name="Note_p">#REF!</definedName>
    <definedName name="Note_q">#REF!</definedName>
    <definedName name="Note_r">#REF!</definedName>
    <definedName name="Note_s">#REF!</definedName>
    <definedName name="Note_t">#REF!</definedName>
    <definedName name="Note_u">#REF!</definedName>
    <definedName name="Note_v">#REF!</definedName>
    <definedName name="Note_w">#REF!</definedName>
    <definedName name="Note_x">#REF!</definedName>
    <definedName name="Note_y">#REF!</definedName>
    <definedName name="Note_z">#REF!</definedName>
    <definedName name="NOTE1">#REF!</definedName>
    <definedName name="NOTE2">#REF!</definedName>
    <definedName name="NOTE3">#REF!</definedName>
    <definedName name="NOTE4">#REF!</definedName>
    <definedName name="NOTE5">#REF!</definedName>
    <definedName name="NOTE6">#REF!</definedName>
    <definedName name="notepad">#REF!</definedName>
    <definedName name="notes">#REF!</definedName>
    <definedName name="novella">#REF!</definedName>
    <definedName name="novella2">#REF!</definedName>
    <definedName name="november">#REF!</definedName>
    <definedName name="NP">#REF!</definedName>
    <definedName name="nper" localSheetId="4">term*periods_per_year</definedName>
    <definedName name="nper" localSheetId="2">term*periods_per_year</definedName>
    <definedName name="nper" localSheetId="1">term*periods_per_year</definedName>
    <definedName name="nper" localSheetId="5">term*periods_per_year</definedName>
    <definedName name="nper" localSheetId="8">[0]!term*periods_per_year</definedName>
    <definedName name="nper" localSheetId="3">term*periods_per_year</definedName>
    <definedName name="nper">term*periods_per_year</definedName>
    <definedName name="npet">#N/A</definedName>
    <definedName name="npgmallocation">#REF!</definedName>
    <definedName name="npv">#REF!</definedName>
    <definedName name="npvtable">#REF!</definedName>
    <definedName name="NRA">#REF!</definedName>
    <definedName name="NRSF">#N/A</definedName>
    <definedName name="nrsf93">#N/A</definedName>
    <definedName name="NS">#REF!</definedName>
    <definedName name="NSLPFreePercent">#REF!</definedName>
    <definedName name="NSLPReducedPercent">#REF!</definedName>
    <definedName name="NT">#REF!</definedName>
    <definedName name="NTGrowth">#REF!</definedName>
    <definedName name="NTV">#REF!</definedName>
    <definedName name="Num_Classes">#REF!</definedName>
    <definedName name="Num_Pmt_Per_Year">#REF!</definedName>
    <definedName name="Number_of_Payments" localSheetId="4">MATCH(0.01,[0]!End_Bal,-1)+1</definedName>
    <definedName name="Number_of_Payments" localSheetId="2">MATCH(0.01,[0]!End_Bal,-1)+1</definedName>
    <definedName name="Number_of_Payments" localSheetId="1">MATCH(0.01,End_Bal,-1)+1</definedName>
    <definedName name="Number_of_Payments" localSheetId="5">MATCH(0.01,End_Bal,-1)+1</definedName>
    <definedName name="Number_of_Payments" localSheetId="8">MATCH(0.01,End_Bal,-1)+1</definedName>
    <definedName name="Number_of_Payments" localSheetId="3">MATCH(0.01,End_Bal,-1)+1</definedName>
    <definedName name="Number_of_Payments">MATCH(0.01,[0]!End_Bal,-1)+1</definedName>
    <definedName name="Number_of_Payments_9" localSheetId="4">MATCH(0.01,End_Bal_9,-1)+1</definedName>
    <definedName name="Number_of_Payments_9" localSheetId="2">MATCH(0.01,End_Bal_9,-1)+1</definedName>
    <definedName name="Number_of_Payments_9" localSheetId="1">MATCH(0.01,End_Bal_9,-1)+1</definedName>
    <definedName name="Number_of_Payments_9" localSheetId="5">MATCH(0.01,End_Bal_9,-1)+1</definedName>
    <definedName name="Number_of_Payments_9" localSheetId="8">MATCH(0.01,End_Bal_9,-1)+1</definedName>
    <definedName name="Number_of_Payments_9" localSheetId="3">MATCH(0.01,End_Bal_9,-1)+1</definedName>
    <definedName name="Number_of_Payments_9">MATCH(0.01,End_Bal_9,-1)+1</definedName>
    <definedName name="Number_of_pupils">#REF!</definedName>
    <definedName name="Number_of_Quarters">#REF!</definedName>
    <definedName name="NumberArea">#REF!</definedName>
    <definedName name="NUMBEROFMATURITIES">#REF!</definedName>
    <definedName name="NumberofPayments" localSheetId="4">MATCH(0.01,End_Bal_9,-1)+1</definedName>
    <definedName name="NumberofPayments" localSheetId="2">MATCH(0.01,End_Bal_9,-1)+1</definedName>
    <definedName name="NumberofPayments" localSheetId="1">MATCH(0.01,End_Bal_9,-1)+1</definedName>
    <definedName name="NumberofPayments" localSheetId="5">MATCH(0.01,End_Bal_9,-1)+1</definedName>
    <definedName name="NumberofPayments" localSheetId="8">MATCH(0.01,End_Bal_9,-1)+1</definedName>
    <definedName name="NumberofPayments" localSheetId="3">MATCH(0.01,End_Bal_9,-1)+1</definedName>
    <definedName name="NumberofPayments">MATCH(0.01,End_Bal_9,-1)+1</definedName>
    <definedName name="NUMBEROFPERIODS">#REF!</definedName>
    <definedName name="numberofquarters">#REF!</definedName>
    <definedName name="NUMCHECK">AND(ISNUMBER(#REF!),ISNUMBER(#REF!),ISNUMBER(#REF!),ISNUMBER(#REF!))</definedName>
    <definedName name="NUMENTRIES">#REF!</definedName>
    <definedName name="NvsASD">"V1999-12-31"</definedName>
    <definedName name="NvsAutoDrillOk">"VN"</definedName>
    <definedName name="NvsInstLang">"VENG"</definedName>
    <definedName name="NvsInstSpec">"%,FBUSINESS_UNIT,TALL_BUSINESS_UNITS,NALL_BUS"</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"%,X,RZF..,CPF.."</definedName>
    <definedName name="NvsPanelBusUnit">"V"</definedName>
    <definedName name="NvsPanelEffdt">"V1990-01-01"</definedName>
    <definedName name="NvsPanelSetid">"VBROOK"</definedName>
    <definedName name="NvsReqBU">"V00600"</definedName>
    <definedName name="NvsReqBUOnly">"VY"</definedName>
    <definedName name="NvsTransLed">"VN"</definedName>
    <definedName name="NvsTreeASD">"V1999-12-31"</definedName>
    <definedName name="NvsValTbl.ACCOUNT">"GL_ACCOUNT_TBL"</definedName>
    <definedName name="NvsValTbl.AFFILIATE">"AFFILIATE_VW"</definedName>
    <definedName name="NvsValTbl.BUSINESS_UNIT">"BUS_UNIT_TBL_GL"</definedName>
    <definedName name="NvsValTbl.CURRENCY_CD">"CURRENCY_CD_TBL"</definedName>
    <definedName name="NvsValTbl.DEPTID">"DEPARTMENT_TBL"</definedName>
    <definedName name="NvsValTbl.PRODUCT">"PRODUCT_TBL"</definedName>
    <definedName name="NvsValTbl.SCENARIO">"BD_SCENARIO_TBL"</definedName>
    <definedName name="NvsValTbl.STATISTICS_CODE">"STAT_TBL"</definedName>
    <definedName name="O">#REF!</definedName>
    <definedName name="o\">#REF!</definedName>
    <definedName name="O0Y1">#REF!</definedName>
    <definedName name="O0Y1N">#REF!</definedName>
    <definedName name="O0Y2">#REF!</definedName>
    <definedName name="O0Y2N">#REF!</definedName>
    <definedName name="O0Y3">#REF!</definedName>
    <definedName name="O0Y3N">#REF!</definedName>
    <definedName name="O0Y4">#REF!</definedName>
    <definedName name="O0Y4N">#REF!</definedName>
    <definedName name="O0Y5">#REF!</definedName>
    <definedName name="O0Y5N">#REF!</definedName>
    <definedName name="O0Y6">#REF!</definedName>
    <definedName name="O0Y6N">#REF!</definedName>
    <definedName name="O1Y1">#REF!</definedName>
    <definedName name="O1Y1N">#REF!</definedName>
    <definedName name="O1Y2">#REF!</definedName>
    <definedName name="O1Y2N">#REF!</definedName>
    <definedName name="O1Y3">#REF!</definedName>
    <definedName name="O1Y3N">#REF!</definedName>
    <definedName name="O1Y4">#REF!</definedName>
    <definedName name="O1Y4N">#REF!</definedName>
    <definedName name="O1Y5">#REF!</definedName>
    <definedName name="O1Y5N">#REF!</definedName>
    <definedName name="O1Y6">#REF!</definedName>
    <definedName name="O1Y6N">#REF!</definedName>
    <definedName name="O2Y1">#REF!</definedName>
    <definedName name="O2Y1N">#REF!</definedName>
    <definedName name="O2Y2">#REF!</definedName>
    <definedName name="O2Y2N">#REF!</definedName>
    <definedName name="O2Y3">#REF!</definedName>
    <definedName name="O2Y3N">#REF!</definedName>
    <definedName name="O2Y4">#REF!</definedName>
    <definedName name="O2Y4N">#REF!</definedName>
    <definedName name="O2Y5">#REF!</definedName>
    <definedName name="O2Y5N">#REF!</definedName>
    <definedName name="O2Y6">#REF!</definedName>
    <definedName name="O2Y6N">#REF!</definedName>
    <definedName name="O3Y1">#REF!</definedName>
    <definedName name="O3Y1N">#REF!</definedName>
    <definedName name="O3Y2">#REF!</definedName>
    <definedName name="O3Y2N">#REF!</definedName>
    <definedName name="O3Y3">#REF!</definedName>
    <definedName name="O3Y3N">#REF!</definedName>
    <definedName name="O3Y4">#REF!</definedName>
    <definedName name="O3Y4N">#REF!</definedName>
    <definedName name="O3Y5">#REF!</definedName>
    <definedName name="O3Y5N">#REF!</definedName>
    <definedName name="O3Y6">#REF!</definedName>
    <definedName name="O3Y6N">#REF!</definedName>
    <definedName name="O4Y1">#REF!</definedName>
    <definedName name="O4Y1N">#REF!</definedName>
    <definedName name="O4Y2">#REF!</definedName>
    <definedName name="O4Y2N">#REF!</definedName>
    <definedName name="O4Y3">#REF!</definedName>
    <definedName name="O4Y3N">#REF!</definedName>
    <definedName name="O4Y4">#REF!</definedName>
    <definedName name="O4Y4N">#REF!</definedName>
    <definedName name="O4Y5">#REF!</definedName>
    <definedName name="O4Y5N">#REF!</definedName>
    <definedName name="O4Y6">#REF!</definedName>
    <definedName name="O4Y6N">#REF!</definedName>
    <definedName name="OAAbatementModifier">#REF!</definedName>
    <definedName name="OAAccountCodes">#REF!</definedName>
    <definedName name="OAApartment">#REF!</definedName>
    <definedName name="OAAreaMeasures">#REF!</definedName>
    <definedName name="OABreakpoints">#REF!</definedName>
    <definedName name="OAConProps">#REF!</definedName>
    <definedName name="OACPIRent">#REF!</definedName>
    <definedName name="OACriteria">#REF!</definedName>
    <definedName name="OADebt">#REF!</definedName>
    <definedName name="OADefault">#REF!</definedName>
    <definedName name="OADetailedReimbursementMethods">#REF!</definedName>
    <definedName name="OADistribution">#REF!</definedName>
    <definedName name="OADIV">#REF!</definedName>
    <definedName name="OADIV2">#REF!</definedName>
    <definedName name="OAEscrow">#REF!</definedName>
    <definedName name="OAExpenseGrp">#REF!</definedName>
    <definedName name="OAFootnotes">#REF!</definedName>
    <definedName name="OAGCur">#REF!</definedName>
    <definedName name="OAGDIV">#REF!</definedName>
    <definedName name="OAGDIVC">#REF!</definedName>
    <definedName name="OAGFor">#REF!</definedName>
    <definedName name="OAGIGroups">#REF!</definedName>
    <definedName name="OAGLeaseType">#REF!</definedName>
    <definedName name="OAGLMod">#REF!</definedName>
    <definedName name="OAGLV">#REF!</definedName>
    <definedName name="OAGPLabels">#REF!</definedName>
    <definedName name="OAGPType">#REF!</definedName>
    <definedName name="OAGRepPackage">#REF!</definedName>
    <definedName name="OAGTenantCat">#REF!</definedName>
    <definedName name="OAHotelRooms">#REF!</definedName>
    <definedName name="OAIntelligentRenewals">#REF!</definedName>
    <definedName name="OALAssoc">#REF!</definedName>
    <definedName name="OALeaseType">#REF!</definedName>
    <definedName name="OALevels">#REF!</definedName>
    <definedName name="OALGroup">#REF!</definedName>
    <definedName name="OALPart">#REF!</definedName>
    <definedName name="OAMarketLeasing">#REF!</definedName>
    <definedName name="OAMaster">#REF!</definedName>
    <definedName name="OAMasterScenario">#REF!</definedName>
    <definedName name="OAMiscellaneousRent">#REF!</definedName>
    <definedName name="OAMonthsInput">#REF!</definedName>
    <definedName name="OAMultipleScenarios">#REF!</definedName>
    <definedName name="OAMVA">#REF!</definedName>
    <definedName name="OANPV">#REF!</definedName>
    <definedName name="OAOutput">#REF!</definedName>
    <definedName name="OAPartnerGroups">#REF!</definedName>
    <definedName name="OAPayOpt">#REF!</definedName>
    <definedName name="OAPercentOfLine">#REF!</definedName>
    <definedName name="OAPeriodicity">#REF!</definedName>
    <definedName name="OAPortersWage">#REF!</definedName>
    <definedName name="OAPortfolio">#REF!</definedName>
    <definedName name="OAPropDescription">#REF!</definedName>
    <definedName name="OAProperty">#REF!</definedName>
    <definedName name="OAPropertyRange">#REF!</definedName>
    <definedName name="OAPRRColumn">#REF!</definedName>
    <definedName name="OARange">#REF!</definedName>
    <definedName name="OARefDate">#REF!</definedName>
    <definedName name="OARentRoll">#REF!</definedName>
    <definedName name="OAReportOptions">#REF!</definedName>
    <definedName name="OARepPackage">#REF!</definedName>
    <definedName name="OARevCurve">#REF!</definedName>
    <definedName name="OARevEx">#REF!</definedName>
    <definedName name="OASales">#REF!</definedName>
    <definedName name="OASalesVolume">#REF!</definedName>
    <definedName name="OAScenario">#REF!</definedName>
    <definedName name="OASCurve">#REF!</definedName>
    <definedName name="OASDICheck">#REF!</definedName>
    <definedName name="OAStatus">#REF!</definedName>
    <definedName name="OASteppedInput">#REF!</definedName>
    <definedName name="OATax">#REF!</definedName>
    <definedName name="OATenantCat">#REF!</definedName>
    <definedName name="OATenantGroups">#REF!</definedName>
    <definedName name="OATenantRange">#REF!</definedName>
    <definedName name="OAUnitData">#REF!</definedName>
    <definedName name="OAYearsCategory">#REF!</definedName>
    <definedName name="OAYearsInput">#REF!</definedName>
    <definedName name="OBJCATTEXT_COL2">#REF!</definedName>
    <definedName name="OBJECT">#REF!</definedName>
    <definedName name="Object_Capital_Outlay">#REF!</definedName>
    <definedName name="objects">#REF!</definedName>
    <definedName name="OC_Enrollment">#REF!</definedName>
    <definedName name="occpercent">#REF!</definedName>
    <definedName name="Oct_06">#REF!</definedName>
    <definedName name="october">#REF!</definedName>
    <definedName name="OE2POOLS">#REF!</definedName>
    <definedName name="office_inflation">#REF!</definedName>
    <definedName name="officetel">#REF!</definedName>
    <definedName name="OH">#N/A</definedName>
    <definedName name="OH_Cap18">#REF!</definedName>
    <definedName name="OH_Decrease">#REF!</definedName>
    <definedName name="OH_Dep18">#REF!</definedName>
    <definedName name="oh_Dep19">#REF!</definedName>
    <definedName name="OH_Increase">#REF!</definedName>
    <definedName name="OHAlloc">#REF!</definedName>
    <definedName name="OHandP">#REF!</definedName>
    <definedName name="OHDEP20">#REF!</definedName>
    <definedName name="OHDEP21">#REF!</definedName>
    <definedName name="Ohio">#REF!</definedName>
    <definedName name="OHMOVE">#REF!</definedName>
    <definedName name="OHperFilm">#REF!</definedName>
    <definedName name="OHUnal">#REF!</definedName>
    <definedName name="OHUnal2">#REF!</definedName>
    <definedName name="OHUnal3">#REF!</definedName>
    <definedName name="oid">#REF!</definedName>
    <definedName name="oid_n">#REF!</definedName>
    <definedName name="oid_r">#REF!</definedName>
    <definedName name="oidtax">#REF!</definedName>
    <definedName name="oidtx">#REF!</definedName>
    <definedName name="Okaloosa">#REF!</definedName>
    <definedName name="okay">#REF!</definedName>
    <definedName name="Okeechobee">#REF!</definedName>
    <definedName name="Oklahoma">#REF!</definedName>
    <definedName name="old">#REF!</definedName>
    <definedName name="OLR_Rate">#REF!</definedName>
    <definedName name="on">#REF!</definedName>
    <definedName name="one">#REF!</definedName>
    <definedName name="one_p_funding_line">#REF!</definedName>
    <definedName name="ONEP">#REF!</definedName>
    <definedName name="Ones">#REF!</definedName>
    <definedName name="OneYrDelay_STAE">#REF!</definedName>
    <definedName name="onezzzzfy17">#REF!</definedName>
    <definedName name="oo\">#REF!</definedName>
    <definedName name="op">#REF!</definedName>
    <definedName name="Op_Stmt_Date_3">#REF!</definedName>
    <definedName name="Opcase">#REF!</definedName>
    <definedName name="Open">#REF!</definedName>
    <definedName name="Open_ClosedSchools">#REF!</definedName>
    <definedName name="OpenDoc">#REF!</definedName>
    <definedName name="Oper_Case">#REF!</definedName>
    <definedName name="Operating_Deficit_Calculation">#REF!</definedName>
    <definedName name="Operating_Expense_Comparison">#REF!</definedName>
    <definedName name="Operating_Expenses">#REF!</definedName>
    <definedName name="Operating_Expenses_Absorption">#REF!</definedName>
    <definedName name="operatingcosts">#REF!</definedName>
    <definedName name="OperatingExpenseGrowthRate">#REF!</definedName>
    <definedName name="Ops_Grant">#REF!</definedName>
    <definedName name="opsMin">MIN(#REF!)</definedName>
    <definedName name="OpsOutcomes">#REF!</definedName>
    <definedName name="OPT">#REF!</definedName>
    <definedName name="Option_Proceeds">#REF!</definedName>
    <definedName name="options">#REF!</definedName>
    <definedName name="optrange">#REF!</definedName>
    <definedName name="optrange2">#REF!</definedName>
    <definedName name="Orange">#REF!</definedName>
    <definedName name="ORDPER">#REF!</definedName>
    <definedName name="Oregon">#REF!</definedName>
    <definedName name="ORG_CODE">#REF!</definedName>
    <definedName name="ORGN">#REF!</definedName>
    <definedName name="OrigBase">#REF!</definedName>
    <definedName name="ORIGINAL_GHUGHES">#REF!</definedName>
    <definedName name="Originator_UW_Cash_Flow">#REF!</definedName>
    <definedName name="Originator_UW_Net_Cash_Flow">#REF!</definedName>
    <definedName name="os_logo">#REF!</definedName>
    <definedName name="os_product">#REF!</definedName>
    <definedName name="Osceola">#REF!</definedName>
    <definedName name="Other">#REF!</definedName>
    <definedName name="OTHER_CONTR_DISTR">#REF!</definedName>
    <definedName name="OTHER_COST_SUMMARY">#REF!</definedName>
    <definedName name="Other_Costs">#REF!</definedName>
    <definedName name="OTHER_EXPENSE_1">#REF!</definedName>
    <definedName name="OTHER_EXPENSE_2">#REF!</definedName>
    <definedName name="OTHER_EXPENSE_3">#REF!</definedName>
    <definedName name="OTHER_EXPENSE_4">#REF!</definedName>
    <definedName name="OTHER_EXPENSE_BASE_YR">#REF!</definedName>
    <definedName name="other_income">#REF!</definedName>
    <definedName name="OTHER_LOCAL_BASE_YR">#REF!</definedName>
    <definedName name="OTHER_LOCAL_PERCENT_YR_1">#REF!</definedName>
    <definedName name="OTHER_LOCAL_PERCENT_YR_2">#REF!</definedName>
    <definedName name="OTHER_LOCAL_PERCENT_YR_3">#REF!</definedName>
    <definedName name="OTHER_LOCAL_PERCENT_YR_4">#REF!</definedName>
    <definedName name="Other_Non_State_Allocations">#REF!</definedName>
    <definedName name="OTHER_PERCENT_YR_1">#REF!</definedName>
    <definedName name="OTHER_PERCENT_YR_2">#REF!</definedName>
    <definedName name="OTHER_PERCENT_YR_3">#REF!</definedName>
    <definedName name="OTHER_PERCENT_YR_4">#REF!</definedName>
    <definedName name="Other_SELPA">#REF!</definedName>
    <definedName name="other_SST_benefits_percentage">#REF!</definedName>
    <definedName name="other_SST_payroll_taxes_percentage">#REF!</definedName>
    <definedName name="other_SST_retirement_percentage">#REF!</definedName>
    <definedName name="OtherOutgoTest">#REF!</definedName>
    <definedName name="OtherRetirement1">#REF!</definedName>
    <definedName name="OtherRetirement2">#REF!</definedName>
    <definedName name="OTHRFD">#REF!</definedName>
    <definedName name="othrsrc">#REF!</definedName>
    <definedName name="OUT_GOING_TRANSFERS">#REF!</definedName>
    <definedName name="Outs">#REF!</definedName>
    <definedName name="OVM">#REF!</definedName>
    <definedName name="OvPC">#REF!</definedName>
    <definedName name="OvrH">#REF!</definedName>
    <definedName name="OvrH2">#REF!</definedName>
    <definedName name="OWNER">#REF!</definedName>
    <definedName name="p">#REF!</definedName>
    <definedName name="P_A_ADA">#REF!</definedName>
    <definedName name="p_Amort">#REF!</definedName>
    <definedName name="p_Assump">#REF!</definedName>
    <definedName name="p_BS">#REF!</definedName>
    <definedName name="p_CFS">#REF!</definedName>
    <definedName name="p_ConvDebt">#REF!</definedName>
    <definedName name="p_ConvPref">#REF!</definedName>
    <definedName name="p_DCF">#REF!</definedName>
    <definedName name="P_dd">#REF!</definedName>
    <definedName name="p_DebtBreakdownA">#REF!</definedName>
    <definedName name="p_DebtBreakdownB">#REF!</definedName>
    <definedName name="p_DebtBreakdownC">#REF!</definedName>
    <definedName name="p_DebtBreakdownD">#REF!</definedName>
    <definedName name="p_DebtSummary">#REF!</definedName>
    <definedName name="p_Depr">#REF!</definedName>
    <definedName name="p_DiscretionaryDebt">#REF!</definedName>
    <definedName name="p_EVA">#REF!</definedName>
    <definedName name="p_FirmValue">#REF!</definedName>
    <definedName name="p_football">#REF!</definedName>
    <definedName name="p_highyield_BS">#REF!</definedName>
    <definedName name="p_highyield_CFS">#REF!</definedName>
    <definedName name="p_highyield_Depr">#REF!</definedName>
    <definedName name="p_highyield_FA">#REF!</definedName>
    <definedName name="p_highyield_IS">#REF!</definedName>
    <definedName name="p_highyield_Return">#REF!</definedName>
    <definedName name="p_highyield_to">#REF!</definedName>
    <definedName name="p_IncomeStatement">#REF!</definedName>
    <definedName name="p_Index">#REF!</definedName>
    <definedName name="p_InterestExp">#REF!</definedName>
    <definedName name="p_LBO_Amort">#REF!</definedName>
    <definedName name="p_LBO_BS">#REF!</definedName>
    <definedName name="p_LBO_BS_Adj">#REF!</definedName>
    <definedName name="p_LBO_CF">#REF!</definedName>
    <definedName name="p_LBO_Debt">#REF!</definedName>
    <definedName name="p_LBO_DebtB">#REF!</definedName>
    <definedName name="p_LBO_IS">#REF!</definedName>
    <definedName name="p_LBO_returncalc">#REF!</definedName>
    <definedName name="p_LBO_returncalcb">#REF!</definedName>
    <definedName name="p_LBO_Returns">#REF!</definedName>
    <definedName name="p_LBO_SO">#REF!</definedName>
    <definedName name="p_LBO_Summary">#REF!</definedName>
    <definedName name="p_LBO_Tax">#REF!</definedName>
    <definedName name="p_LTM_BS">#REF!</definedName>
    <definedName name="p_LTM_IS">#REF!</definedName>
    <definedName name="p_MandatoryDebt">#REF!</definedName>
    <definedName name="P_O">#REF!</definedName>
    <definedName name="p_Options">#REF!</definedName>
    <definedName name="p_Preferred">#REF!</definedName>
    <definedName name="p_Premium">#REF!</definedName>
    <definedName name="p_SharesOutstanding">#REF!</definedName>
    <definedName name="p_Sum">#REF!</definedName>
    <definedName name="p_Tax">#REF!</definedName>
    <definedName name="p\">#REF!</definedName>
    <definedName name="P1ADABudgeted">#REF!</definedName>
    <definedName name="P1ADACurrentProjection">#REF!</definedName>
    <definedName name="P2ADABudgeted">#REF!</definedName>
    <definedName name="P2ADACurrentProjection">#REF!</definedName>
    <definedName name="PA_Summary">#REF!</definedName>
    <definedName name="PAC" localSheetId="4">{#N/A,#N/A,FALSE,"Summation";#N/A,#N/A,FALSE,"BSA";#N/A,#N/A,FALSE,"Detail1";#N/A,#N/A,FALSE,"Detail2";#N/A,#N/A,FALSE,"Detail3";#N/A,#N/A,FALSE,"WFTE_Summary";#N/A,#N/A,FALSE,"Funded_WFTE";#N/A,#N/A,FALSE,"PYADJ96"}</definedName>
    <definedName name="PAC" localSheetId="2">{#N/A,#N/A,FALSE,"Summation";#N/A,#N/A,FALSE,"BSA";#N/A,#N/A,FALSE,"Detail1";#N/A,#N/A,FALSE,"Detail2";#N/A,#N/A,FALSE,"Detail3";#N/A,#N/A,FALSE,"WFTE_Summary";#N/A,#N/A,FALSE,"Funded_WFTE";#N/A,#N/A,FALSE,"PYADJ96"}</definedName>
    <definedName name="PAC" localSheetId="1">{#N/A,#N/A,FALSE,"Summation";#N/A,#N/A,FALSE,"BSA";#N/A,#N/A,FALSE,"Detail1";#N/A,#N/A,FALSE,"Detail2";#N/A,#N/A,FALSE,"Detail3";#N/A,#N/A,FALSE,"WFTE_Summary";#N/A,#N/A,FALSE,"Funded_WFTE";#N/A,#N/A,FALSE,"PYADJ96"}</definedName>
    <definedName name="PAC" localSheetId="5">{#N/A,#N/A,FALSE,"Summation";#N/A,#N/A,FALSE,"BSA";#N/A,#N/A,FALSE,"Detail1";#N/A,#N/A,FALSE,"Detail2";#N/A,#N/A,FALSE,"Detail3";#N/A,#N/A,FALSE,"WFTE_Summary";#N/A,#N/A,FALSE,"Funded_WFTE";#N/A,#N/A,FALSE,"PYADJ96"}</definedName>
    <definedName name="PAC" localSheetId="8">{#N/A,#N/A,FALSE,"Summation";#N/A,#N/A,FALSE,"BSA";#N/A,#N/A,FALSE,"Detail1";#N/A,#N/A,FALSE,"Detail2";#N/A,#N/A,FALSE,"Detail3";#N/A,#N/A,FALSE,"WFTE_Summary";#N/A,#N/A,FALSE,"Funded_WFTE";#N/A,#N/A,FALSE,"PYADJ96"}</definedName>
    <definedName name="PAC" localSheetId="3">{#N/A,#N/A,FALSE,"Summation";#N/A,#N/A,FALSE,"BSA";#N/A,#N/A,FALSE,"Detail1";#N/A,#N/A,FALSE,"Detail2";#N/A,#N/A,FALSE,"Detail3";#N/A,#N/A,FALSE,"WFTE_Summary";#N/A,#N/A,FALSE,"Funded_WFTE";#N/A,#N/A,FALSE,"PYADJ96"}</definedName>
    <definedName name="PAC">{#N/A,#N/A,FALSE,"Summation";#N/A,#N/A,FALSE,"BSA";#N/A,#N/A,FALSE,"Detail1";#N/A,#N/A,FALSE,"Detail2";#N/A,#N/A,FALSE,"Detail3";#N/A,#N/A,FALSE,"WFTE_Summary";#N/A,#N/A,FALSE,"Funded_WFTE";#N/A,#N/A,FALSE,"PYADJ96"}</definedName>
    <definedName name="pAFRProjCode">#REF!</definedName>
    <definedName name="page_01">#REF!</definedName>
    <definedName name="page_02">#REF!</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_10">#REF!</definedName>
    <definedName name="page_11">#REF!</definedName>
    <definedName name="page_12">#REF!</definedName>
    <definedName name="page_13">#REF!</definedName>
    <definedName name="page_14">#REF!</definedName>
    <definedName name="page_a">#REF!</definedName>
    <definedName name="page_b">#REF!</definedName>
    <definedName name="Page_No">#REF!</definedName>
    <definedName name="PAGE01">#REF!</definedName>
    <definedName name="PAGE02">#REF!</definedName>
    <definedName name="PAGE03">#REF!</definedName>
    <definedName name="PAGE04">#REF!</definedName>
    <definedName name="PAGE05">#REF!</definedName>
    <definedName name="PAGE06">#REF!</definedName>
    <definedName name="PAGE07">#REF!</definedName>
    <definedName name="PAGE08">#REF!</definedName>
    <definedName name="PAGE09">#REF!</definedName>
    <definedName name="page1">#REF!</definedName>
    <definedName name="PAGE10">#REF!</definedName>
    <definedName name="PAGE11">#REF!</definedName>
    <definedName name="PAGE12">#REF!</definedName>
    <definedName name="PAGE13">#REF!</definedName>
    <definedName name="PAGE14">#REF!</definedName>
    <definedName name="PAGE15">#REF!</definedName>
    <definedName name="PAGE16">#REF!</definedName>
    <definedName name="page17">#REF!</definedName>
    <definedName name="PAGE18">#REF!</definedName>
    <definedName name="PAGE19">#REF!</definedName>
    <definedName name="page2">#REF!</definedName>
    <definedName name="PAGE20">#REF!</definedName>
    <definedName name="PAGE21">#REF!</definedName>
    <definedName name="PAGE22">#REF!</definedName>
    <definedName name="PAGE23">#REF!</definedName>
    <definedName name="PAGE2A">#N/A</definedName>
    <definedName name="PAGE3">#N/A</definedName>
    <definedName name="PAGE4">#REF!</definedName>
    <definedName name="PAGE5">#N/A</definedName>
    <definedName name="PAGE6">#REF!</definedName>
    <definedName name="PAGE7">#REF!</definedName>
    <definedName name="pageb">#REF!</definedName>
    <definedName name="PAint">#REF!</definedName>
    <definedName name="Pal_Workbook_GUID">"8FEP6B3MC4X5HH6TVIVQGGHH"</definedName>
    <definedName name="Palm_Beach">#REF!</definedName>
    <definedName name="PANDI">#REF!</definedName>
    <definedName name="PANDI2">#REF!</definedName>
    <definedName name="PAR">#REF!</definedName>
    <definedName name="Par_BANs">#REF!</definedName>
    <definedName name="par_n">#REF!</definedName>
    <definedName name="par_r">#REF!</definedName>
    <definedName name="parc">#REF!</definedName>
    <definedName name="Parents">#REF!</definedName>
    <definedName name="PARIS">#REF!</definedName>
    <definedName name="park245">#REF!</definedName>
    <definedName name="park270">#REF!</definedName>
    <definedName name="park280">#REF!</definedName>
    <definedName name="PARS">#REF!</definedName>
    <definedName name="partax">#REF!</definedName>
    <definedName name="Partic">#REF!</definedName>
    <definedName name="PARTLNS">#N/A</definedName>
    <definedName name="PartnerAmount">#REF!</definedName>
    <definedName name="PartnerCash02Level">#REF!</definedName>
    <definedName name="PartnerCash03Level">#REF!</definedName>
    <definedName name="PartnerEquityContribution">#REF!</definedName>
    <definedName name="PartnerExcessCashPiece">#REF!</definedName>
    <definedName name="PartnerExcessCashPiece02">#REF!</definedName>
    <definedName name="PartnerIRRTarget">#REF!</definedName>
    <definedName name="PartnerLevel">#REF!</definedName>
    <definedName name="PartnerName">#REF!</definedName>
    <definedName name="PartnerPercentOfCashFlow">#REF!</definedName>
    <definedName name="PartnerRate">#REF!</definedName>
    <definedName name="PartnerResidualCashSplit01">#REF!</definedName>
    <definedName name="PartnerResidualCashSplit02">#REF!</definedName>
    <definedName name="PartnerResidualIRRTarget">#REF!</definedName>
    <definedName name="PartnerReturnInvestmentLevel">#REF!</definedName>
    <definedName name="partners_expense">#REF!</definedName>
    <definedName name="PartnersIRRLookBackSolution">#REF!</definedName>
    <definedName name="PartnersResidualIRRCalcArea">#REF!</definedName>
    <definedName name="PartnersResidualIRRFormulas">#REF!</definedName>
    <definedName name="partnertier1">#REF!</definedName>
    <definedName name="partnertier2">#REF!</definedName>
    <definedName name="partnertier3">#REF!</definedName>
    <definedName name="partnertier4">#REF!</definedName>
    <definedName name="PartnerTypeOfReturn">#REF!</definedName>
    <definedName name="partotal">#REF!</definedName>
    <definedName name="partx">#REF!</definedName>
    <definedName name="Pasco">#REF!</definedName>
    <definedName name="PatnerEquityContribution">#REF!</definedName>
    <definedName name="paw">#N/A</definedName>
    <definedName name="Pay_Date">#REF!</definedName>
    <definedName name="Pay_Detail">#REF!</definedName>
    <definedName name="Pay_Num">#REF!</definedName>
    <definedName name="Payment_Date">#N/A</definedName>
    <definedName name="Payment_Number">#N/A</definedName>
    <definedName name="Payments">#REF!</definedName>
    <definedName name="Payments_per_year">#REF!</definedName>
    <definedName name="PaymentsPerYear">#REF!</definedName>
    <definedName name="payoff">#REF!</definedName>
    <definedName name="PAYROLL">#REF!</definedName>
    <definedName name="Payroll_Data">#REF!</definedName>
    <definedName name="payroll_data_yr2">#REF!,#REF!</definedName>
    <definedName name="Payroll_Fees">#REF!</definedName>
    <definedName name="Payroll_Location">#REF!</definedName>
    <definedName name="PayscaleChanges">#REF!</definedName>
    <definedName name="payschedules">#REF!</definedName>
    <definedName name="PaySheet">#REF!</definedName>
    <definedName name="pbBACKUP">#REF!</definedName>
    <definedName name="pbOTHER">#REF!</definedName>
    <definedName name="PBX">#REF!</definedName>
    <definedName name="PC">#REF!</definedName>
    <definedName name="PC_1">#REF!</definedName>
    <definedName name="PC_2">#REF!</definedName>
    <definedName name="PC_3">#REF!</definedName>
    <definedName name="PC_T">#REF!</definedName>
    <definedName name="pcf">#REF!</definedName>
    <definedName name="PCL">#REF!</definedName>
    <definedName name="PCM">#REF!</definedName>
    <definedName name="PCN_1">#REF!</definedName>
    <definedName name="PCN_2">#REF!</definedName>
    <definedName name="PCN_3">#REF!</definedName>
    <definedName name="PCN_T">#REF!</definedName>
    <definedName name="PCO_Status">#REF!</definedName>
    <definedName name="PCOPS">#REF!</definedName>
    <definedName name="PCSBstmts">#REF!</definedName>
    <definedName name="PCT">#REF!</definedName>
    <definedName name="PctBudgetList">#REF!</definedName>
    <definedName name="PctDownPmt">#REF!</definedName>
    <definedName name="PCTOHP">#REF!</definedName>
    <definedName name="PctOwn">#REF!</definedName>
    <definedName name="pd">#N/A</definedName>
    <definedName name="PD_Days">#REF!</definedName>
    <definedName name="PD_END">#REF!</definedName>
    <definedName name="PD_List">#REF!</definedName>
    <definedName name="PDAFileName3">#REF!</definedName>
    <definedName name="PE">#REF!</definedName>
    <definedName name="Peak">#REF!</definedName>
    <definedName name="PEL">#REF!</definedName>
    <definedName name="PEM">#REF!</definedName>
    <definedName name="pen">#REF!</definedName>
    <definedName name="Pennsylvania">#REF!</definedName>
    <definedName name="penswitch">#REF!</definedName>
    <definedName name="PER">#REF!</definedName>
    <definedName name="per_special_education_student">#REF!</definedName>
    <definedName name="Per_Student">#REF!</definedName>
    <definedName name="PerADA">#REF!</definedName>
    <definedName name="PerADAChange">#REF!</definedName>
    <definedName name="perc">#REF!</definedName>
    <definedName name="Percent_EdTec_Fees">#REF!</definedName>
    <definedName name="Percent_of_Food_Expense">#REF!</definedName>
    <definedName name="Percent_of_Nutrition_Revenue_all">#REF!</definedName>
    <definedName name="Percent_of_Nutrition_Revenue_gov">#REF!</definedName>
    <definedName name="Percent_of_Sped_Revenue">#REF!</definedName>
    <definedName name="Percent_of_State_Aid">#REF!</definedName>
    <definedName name="Percent_of_State_and_Fed">#REF!</definedName>
    <definedName name="Percent_of_Total_LCFF">#REF!</definedName>
    <definedName name="Percentages">#REF!</definedName>
    <definedName name="PercentChange">#REF!</definedName>
    <definedName name="PercentofHomeOfficeExpenses">#REF!</definedName>
    <definedName name="PercentofNetHomeOfficeExpenses">#REF!</definedName>
    <definedName name="PercentofRevenue">#REF!</definedName>
    <definedName name="PercentofSiteGovRevenue">#REF!</definedName>
    <definedName name="PercentofSiteLCFF">#REF!</definedName>
    <definedName name="PercentofSiteRevenue">#REF!</definedName>
    <definedName name="PercentVarianceThreshold">#REF!</definedName>
    <definedName name="perf">#REF!</definedName>
    <definedName name="PerformanceAndForecasts_Comp">#REF!</definedName>
    <definedName name="PerformanceAndForecasts_Reit">#REF!</definedName>
    <definedName name="Period">#REF!</definedName>
    <definedName name="PeriodBS">#REF!</definedName>
    <definedName name="PeriodEndNum">#REF!</definedName>
    <definedName name="PeriodIS">#REF!</definedName>
    <definedName name="Periods">#REF!</definedName>
    <definedName name="perm.pv">#REF!</definedName>
    <definedName name="Permit11">#REF!</definedName>
    <definedName name="PermitCalc">#REF!</definedName>
    <definedName name="PERMLOAN">#REF!</definedName>
    <definedName name="Perna">#REF!</definedName>
    <definedName name="perpupil">#REF!</definedName>
    <definedName name="PERS">#REF!</definedName>
    <definedName name="PERSCheck">#REF!</definedName>
    <definedName name="PERSrateYear2">#REF!</definedName>
    <definedName name="PERSrateYear3">#REF!</definedName>
    <definedName name="PERSrateYear4">#REF!</definedName>
    <definedName name="PERSrateYear5">#REF!</definedName>
    <definedName name="PERYR">#REF!</definedName>
    <definedName name="PET">#REF!</definedName>
    <definedName name="Peter">#REF!</definedName>
    <definedName name="PETOHP">#REF!</definedName>
    <definedName name="pfs">#REF!</definedName>
    <definedName name="PFY">#REF!</definedName>
    <definedName name="PHASE">#REF!</definedName>
    <definedName name="phase1beds">#REF!</definedName>
    <definedName name="Phase1pct">#REF!</definedName>
    <definedName name="phase1sf">#REF!</definedName>
    <definedName name="phase1units">#REF!</definedName>
    <definedName name="phase2beds">#REF!</definedName>
    <definedName name="phase2sf">#REF!</definedName>
    <definedName name="phase2units">#REF!</definedName>
    <definedName name="Photocopier_Lease">#REF!</definedName>
    <definedName name="PhysLocPLFloor">#REF!</definedName>
    <definedName name="pidbe">#REF!</definedName>
    <definedName name="pilot">#REF!</definedName>
    <definedName name="pIMPORT_TABLE_1">#REF!</definedName>
    <definedName name="pIMPORT_TABLE_1BS">#REF!</definedName>
    <definedName name="pIMPORT_TABLE_2A">#REF!</definedName>
    <definedName name="pIMPORT_TABLE_2B">#REF!</definedName>
    <definedName name="pIMPORT_TABLE_3">#REF!</definedName>
    <definedName name="pIMPORT_TABLE_4">#REF!</definedName>
    <definedName name="Pinellas">#REF!</definedName>
    <definedName name="pistatus">#REF!</definedName>
    <definedName name="pitdropM">#REF!</definedName>
    <definedName name="pitdropY">#REF!</definedName>
    <definedName name="pitwinM">#REF!</definedName>
    <definedName name="pitwinY">#REF!</definedName>
    <definedName name="PJB">#REF!</definedName>
    <definedName name="PKEY">#REF!</definedName>
    <definedName name="PKG_INCOME">#REF!</definedName>
    <definedName name="PL_Amortization">#REF!</definedName>
    <definedName name="PL_COGS">#REF!</definedName>
    <definedName name="PL_Convertible_Interest">#REF!</definedName>
    <definedName name="PL_Convertible_PDividend">#REF!</definedName>
    <definedName name="PL_Depreciation">#REF!</definedName>
    <definedName name="PL_Income_Taxes">#REF!</definedName>
    <definedName name="PL_Minority_NI">#REF!</definedName>
    <definedName name="PL_Operating_Expenses">#REF!</definedName>
    <definedName name="PL_Revenues">#REF!</definedName>
    <definedName name="PL_SGA">#REF!</definedName>
    <definedName name="PL_Straight_Interest">#REF!</definedName>
    <definedName name="PL_Straight_PDividend">#REF!</definedName>
    <definedName name="PL_XO">#REF!</definedName>
    <definedName name="PLACESET">#REF!</definedName>
    <definedName name="Planning">#REF!</definedName>
    <definedName name="plant">#REF!</definedName>
    <definedName name="plata">#REF!</definedName>
    <definedName name="Platform">#REF!</definedName>
    <definedName name="PLU">#REF!</definedName>
    <definedName name="PLUG">#REF!</definedName>
    <definedName name="plugswitch">#REF!</definedName>
    <definedName name="PLUMBING">#REF!</definedName>
    <definedName name="PM">#REF!</definedName>
    <definedName name="pmnt">#REF!</definedName>
    <definedName name="PMTS">#REF!</definedName>
    <definedName name="PNT">#REF!</definedName>
    <definedName name="police">#REF!</definedName>
    <definedName name="PolicyOutcomes">#REF!</definedName>
    <definedName name="Polk">#REF!</definedName>
    <definedName name="POOL">#REF!</definedName>
    <definedName name="POOL1">#REF!</definedName>
    <definedName name="POOL2">#REF!</definedName>
    <definedName name="POOL3">#REF!</definedName>
    <definedName name="pooling">#REF!</definedName>
    <definedName name="POS">#REF!</definedName>
    <definedName name="POSITION">#REF!</definedName>
    <definedName name="Position_List">#REF!</definedName>
    <definedName name="POSITION2">#REF!</definedName>
    <definedName name="PositionCell">#REF!</definedName>
    <definedName name="Potential_Increase">#REF!</definedName>
    <definedName name="pp\">#REF!</definedName>
    <definedName name="PPCategory">#REF!</definedName>
    <definedName name="ppf">#REF!</definedName>
    <definedName name="PPFFacilityAllotmentNonResidential">#REF!</definedName>
    <definedName name="PPFFacilityAllotmentResidential">#REF!</definedName>
    <definedName name="PPFPayment01">#REF!</definedName>
    <definedName name="PPFPayment02">#REF!</definedName>
    <definedName name="PPFPayment03">#REF!</definedName>
    <definedName name="PPFPayment04">#REF!</definedName>
    <definedName name="PPFPayment05">#REF!</definedName>
    <definedName name="PPFPayment06">#REF!</definedName>
    <definedName name="PPFPayment07">#REF!</definedName>
    <definedName name="PPFPayment08">#REF!</definedName>
    <definedName name="PPFPayment09">#REF!</definedName>
    <definedName name="PPFPayment10">#REF!</definedName>
    <definedName name="PPFPayment11">#REF!</definedName>
    <definedName name="PPFPayment12">#REF!</definedName>
    <definedName name="PPFPaymentAdult">#REF!</definedName>
    <definedName name="PPFPaymentAlternative">#REF!</definedName>
    <definedName name="PPFPaymentAtRisk">#REF!</definedName>
    <definedName name="PPFPaymentESY1">#REF!</definedName>
    <definedName name="PPFPaymentESY2">#REF!</definedName>
    <definedName name="PPFPaymentESY3">#REF!</definedName>
    <definedName name="PPFPaymentESY4">#REF!</definedName>
    <definedName name="PPFPaymentK">#REF!</definedName>
    <definedName name="PPFPaymentLEPNEP">#REF!</definedName>
    <definedName name="PPFPaymentLEPNEPResidential">#REF!</definedName>
    <definedName name="PPFPaymentPK">#REF!</definedName>
    <definedName name="PPFPaymentPS">#REF!</definedName>
    <definedName name="PPFPaymentResidential">#REF!</definedName>
    <definedName name="PPFPaymentSpecialEd">#REF!</definedName>
    <definedName name="PPFPaymentSpEd1">#REF!</definedName>
    <definedName name="PPFPaymentSpEd2">#REF!</definedName>
    <definedName name="PPFPaymentSpEd3">#REF!</definedName>
    <definedName name="PPFPaymentSpEd4">#REF!</definedName>
    <definedName name="PPFPaymentSpEdAttorneyFees">#REF!</definedName>
    <definedName name="PPFPaymentSpEdBlackmanJones">#REF!</definedName>
    <definedName name="PPFPaymentSpEdCapacity">#REF!</definedName>
    <definedName name="PPFPaymentSpEdResidential1">#REF!</definedName>
    <definedName name="PPFPaymentSpEdResidential2">#REF!</definedName>
    <definedName name="PPFPaymentSpEdResidential3">#REF!</definedName>
    <definedName name="PPFPaymentSpEdResidential4">#REF!</definedName>
    <definedName name="ppp">#REF!</definedName>
    <definedName name="PPR">#REF!</definedName>
    <definedName name="PPR_Tbl_Date">#REF!</definedName>
    <definedName name="pprice">#REF!</definedName>
    <definedName name="PPV">#REF!</definedName>
    <definedName name="PRACTICE" localSheetId="6" hidden="1">{#N/A,#N/A,FALSE,"Summation";#N/A,#N/A,FALSE,"BSA";#N/A,#N/A,FALSE,"Detail1";#N/A,#N/A,FALSE,"Detail2";#N/A,#N/A,FALSE,"Detail3";#N/A,#N/A,FALSE,"WFTE_Summary";#N/A,#N/A,FALSE,"Funded_WFTE";#N/A,#N/A,FALSE,"PYADJ96"}</definedName>
    <definedName name="PRACTICE" localSheetId="4" hidden="1">{#N/A,#N/A,FALSE,"Summation";#N/A,#N/A,FALSE,"BSA";#N/A,#N/A,FALSE,"Detail1";#N/A,#N/A,FALSE,"Detail2";#N/A,#N/A,FALSE,"Detail3";#N/A,#N/A,FALSE,"WFTE_Summary";#N/A,#N/A,FALSE,"Funded_WFTE";#N/A,#N/A,FALSE,"PYADJ96"}</definedName>
    <definedName name="PRACTICE" localSheetId="2" hidden="1">{#N/A,#N/A,FALSE,"Summation";#N/A,#N/A,FALSE,"BSA";#N/A,#N/A,FALSE,"Detail1";#N/A,#N/A,FALSE,"Detail2";#N/A,#N/A,FALSE,"Detail3";#N/A,#N/A,FALSE,"WFTE_Summary";#N/A,#N/A,FALSE,"Funded_WFTE";#N/A,#N/A,FALSE,"PYADJ96"}</definedName>
    <definedName name="PRACTICE" localSheetId="1" hidden="1">{#N/A,#N/A,FALSE,"Summation";#N/A,#N/A,FALSE,"BSA";#N/A,#N/A,FALSE,"Detail1";#N/A,#N/A,FALSE,"Detail2";#N/A,#N/A,FALSE,"Detail3";#N/A,#N/A,FALSE,"WFTE_Summary";#N/A,#N/A,FALSE,"Funded_WFTE";#N/A,#N/A,FALSE,"PYADJ96"}</definedName>
    <definedName name="PRACTICE" localSheetId="5" hidden="1">{#N/A,#N/A,FALSE,"Summation";#N/A,#N/A,FALSE,"BSA";#N/A,#N/A,FALSE,"Detail1";#N/A,#N/A,FALSE,"Detail2";#N/A,#N/A,FALSE,"Detail3";#N/A,#N/A,FALSE,"WFTE_Summary";#N/A,#N/A,FALSE,"Funded_WFTE";#N/A,#N/A,FALSE,"PYADJ96"}</definedName>
    <definedName name="PRACTICE" localSheetId="8" hidden="1">{#N/A,#N/A,FALSE,"Summation";#N/A,#N/A,FALSE,"BSA";#N/A,#N/A,FALSE,"Detail1";#N/A,#N/A,FALSE,"Detail2";#N/A,#N/A,FALSE,"Detail3";#N/A,#N/A,FALSE,"WFTE_Summary";#N/A,#N/A,FALSE,"Funded_WFTE";#N/A,#N/A,FALSE,"PYADJ96"}</definedName>
    <definedName name="PRACTICE" localSheetId="3" hidden="1">{#N/A,#N/A,FALSE,"Summation";#N/A,#N/A,FALSE,"BSA";#N/A,#N/A,FALSE,"Detail1";#N/A,#N/A,FALSE,"Detail2";#N/A,#N/A,FALSE,"Detail3";#N/A,#N/A,FALSE,"WFTE_Summary";#N/A,#N/A,FALSE,"Funded_WFTE";#N/A,#N/A,FALSE,"PYADJ96"}</definedName>
    <definedName name="PRACTICE" hidden="1">{#N/A,#N/A,FALSE,"Summation";#N/A,#N/A,FALSE,"BSA";#N/A,#N/A,FALSE,"Detail1";#N/A,#N/A,FALSE,"Detail2";#N/A,#N/A,FALSE,"Detail3";#N/A,#N/A,FALSE,"WFTE_Summary";#N/A,#N/A,FALSE,"Funded_WFTE";#N/A,#N/A,FALSE,"PYADJ96"}</definedName>
    <definedName name="PRACTOCE" localSheetId="6" hidden="1">{#N/A,#N/A,FALSE,"Summation";#N/A,#N/A,FALSE,"BSA";#N/A,#N/A,FALSE,"Detail1";#N/A,#N/A,FALSE,"Detail2";#N/A,#N/A,FALSE,"Detail3";#N/A,#N/A,FALSE,"WFTE_Summary";#N/A,#N/A,FALSE,"Funded_WFTE";#N/A,#N/A,FALSE,"PYADJ96"}</definedName>
    <definedName name="PRACTOCE" localSheetId="4" hidden="1">{#N/A,#N/A,FALSE,"Summation";#N/A,#N/A,FALSE,"BSA";#N/A,#N/A,FALSE,"Detail1";#N/A,#N/A,FALSE,"Detail2";#N/A,#N/A,FALSE,"Detail3";#N/A,#N/A,FALSE,"WFTE_Summary";#N/A,#N/A,FALSE,"Funded_WFTE";#N/A,#N/A,FALSE,"PYADJ96"}</definedName>
    <definedName name="PRACTOCE" localSheetId="2" hidden="1">{#N/A,#N/A,FALSE,"Summation";#N/A,#N/A,FALSE,"BSA";#N/A,#N/A,FALSE,"Detail1";#N/A,#N/A,FALSE,"Detail2";#N/A,#N/A,FALSE,"Detail3";#N/A,#N/A,FALSE,"WFTE_Summary";#N/A,#N/A,FALSE,"Funded_WFTE";#N/A,#N/A,FALSE,"PYADJ96"}</definedName>
    <definedName name="PRACTOCE" localSheetId="1" hidden="1">{#N/A,#N/A,FALSE,"Summation";#N/A,#N/A,FALSE,"BSA";#N/A,#N/A,FALSE,"Detail1";#N/A,#N/A,FALSE,"Detail2";#N/A,#N/A,FALSE,"Detail3";#N/A,#N/A,FALSE,"WFTE_Summary";#N/A,#N/A,FALSE,"Funded_WFTE";#N/A,#N/A,FALSE,"PYADJ96"}</definedName>
    <definedName name="PRACTOCE" localSheetId="5" hidden="1">{#N/A,#N/A,FALSE,"Summation";#N/A,#N/A,FALSE,"BSA";#N/A,#N/A,FALSE,"Detail1";#N/A,#N/A,FALSE,"Detail2";#N/A,#N/A,FALSE,"Detail3";#N/A,#N/A,FALSE,"WFTE_Summary";#N/A,#N/A,FALSE,"Funded_WFTE";#N/A,#N/A,FALSE,"PYADJ96"}</definedName>
    <definedName name="PRACTOCE" localSheetId="8" hidden="1">{#N/A,#N/A,FALSE,"Summation";#N/A,#N/A,FALSE,"BSA";#N/A,#N/A,FALSE,"Detail1";#N/A,#N/A,FALSE,"Detail2";#N/A,#N/A,FALSE,"Detail3";#N/A,#N/A,FALSE,"WFTE_Summary";#N/A,#N/A,FALSE,"Funded_WFTE";#N/A,#N/A,FALSE,"PYADJ96"}</definedName>
    <definedName name="PRACTOCE" localSheetId="3" hidden="1">{#N/A,#N/A,FALSE,"Summation";#N/A,#N/A,FALSE,"BSA";#N/A,#N/A,FALSE,"Detail1";#N/A,#N/A,FALSE,"Detail2";#N/A,#N/A,FALSE,"Detail3";#N/A,#N/A,FALSE,"WFTE_Summary";#N/A,#N/A,FALSE,"Funded_WFTE";#N/A,#N/A,FALSE,"PYADJ96"}</definedName>
    <definedName name="PRACTOCE" hidden="1">{#N/A,#N/A,FALSE,"Summation";#N/A,#N/A,FALSE,"BSA";#N/A,#N/A,FALSE,"Detail1";#N/A,#N/A,FALSE,"Detail2";#N/A,#N/A,FALSE,"Detail3";#N/A,#N/A,FALSE,"WFTE_Summary";#N/A,#N/A,FALSE,"Funded_WFTE";#N/A,#N/A,FALSE,"PYADJ96"}</definedName>
    <definedName name="PRCONST">#REF!</definedName>
    <definedName name="Pre_Draw">#REF!</definedName>
    <definedName name="Pre_Draw_Month10">#REF!</definedName>
    <definedName name="Pre_Draw_Month11">#REF!</definedName>
    <definedName name="Pre_Draw_Month12">#REF!</definedName>
    <definedName name="Pre_Draw_Month13">#REF!</definedName>
    <definedName name="Pre_Draw_Month14">#REF!</definedName>
    <definedName name="Pre_Draw_Month15">#REF!</definedName>
    <definedName name="Pre_Draw_Month16">#REF!</definedName>
    <definedName name="Pre_Draw_Month17">#REF!</definedName>
    <definedName name="Pre_Draw_Month18">#REF!</definedName>
    <definedName name="Pre_Draw_Month19">#REF!</definedName>
    <definedName name="Pre_Draw_Month2">#REF!</definedName>
    <definedName name="Pre_Draw_Month20">#REF!</definedName>
    <definedName name="Pre_Draw_Month21">#REF!</definedName>
    <definedName name="Pre_Draw_Month22">#REF!</definedName>
    <definedName name="Pre_Draw_Month23">#REF!</definedName>
    <definedName name="Pre_Draw_Month24">#REF!</definedName>
    <definedName name="Pre_Draw_Month25">#REF!</definedName>
    <definedName name="Pre_Draw_Month26">#REF!</definedName>
    <definedName name="Pre_Draw_Month27">#REF!</definedName>
    <definedName name="Pre_Draw_Month28">#REF!</definedName>
    <definedName name="Pre_Draw_Month29">#REF!</definedName>
    <definedName name="Pre_Draw_Month3">#REF!</definedName>
    <definedName name="Pre_Draw_Month30">#REF!</definedName>
    <definedName name="Pre_Draw_Month4">#REF!</definedName>
    <definedName name="Pre_Draw_Month5">#REF!</definedName>
    <definedName name="Pre_Draw_Month6">#REF!</definedName>
    <definedName name="Pre_Draw_Month7">#REF!</definedName>
    <definedName name="Pre_Draw_Month8">#REF!</definedName>
    <definedName name="Pre_Draw_Month9">#REF!</definedName>
    <definedName name="Pre_Draw_Use12">#REF!</definedName>
    <definedName name="Pre_Draw_Use13">#REF!</definedName>
    <definedName name="Pre_Draw_Use14">#REF!</definedName>
    <definedName name="Pre_Draw_Use15">#REF!</definedName>
    <definedName name="Pre_Draw_Use16">#REF!</definedName>
    <definedName name="Pre_Draw_Use17">#REF!</definedName>
    <definedName name="Pre_Draw_Use18">#REF!</definedName>
    <definedName name="Pre_Draw_Use19">#REF!</definedName>
    <definedName name="Pre_Draw_Use20">#REF!</definedName>
    <definedName name="Pre_Draw_Use21">#REF!</definedName>
    <definedName name="Pre_Draw_Use22">#REF!</definedName>
    <definedName name="Pre_Draw_Use23">#REF!</definedName>
    <definedName name="Pre_Draw_Use24">#REF!</definedName>
    <definedName name="Pre_Draw_Use25">#REF!</definedName>
    <definedName name="Pre_Draw_Use26">#REF!</definedName>
    <definedName name="Pre_Draw_Use27">#REF!</definedName>
    <definedName name="Pre_Draw_Use28">#REF!</definedName>
    <definedName name="Pre_Draw_Use29">#REF!</definedName>
    <definedName name="Pre_Draw_Use30">#REF!</definedName>
    <definedName name="Pre_Draw_Use31">#REF!</definedName>
    <definedName name="Pre_Draw_Use32">#REF!</definedName>
    <definedName name="Pre_Draw_Use33">#REF!</definedName>
    <definedName name="Pre_Draw_Use34">#REF!</definedName>
    <definedName name="Pre_Draw_Use35">#REF!</definedName>
    <definedName name="PrecedentAnalysis">#REF!</definedName>
    <definedName name="PREF">#N/A</definedName>
    <definedName name="Preferred_Return">#REF!</definedName>
    <definedName name="Premium">#REF!</definedName>
    <definedName name="Premium_Options">#REF!</definedName>
    <definedName name="PREMIUM_SHARE_1">#REF!</definedName>
    <definedName name="PREMIUM_SHARE_2">#REF!</definedName>
    <definedName name="PREMIUM_SHARE_3">#REF!</definedName>
    <definedName name="PREMIUM_SHARE_4">#REF!</definedName>
    <definedName name="PreOpenPd">#REF!</definedName>
    <definedName name="PreOpenType">#REF!</definedName>
    <definedName name="PreSale">#REF!</definedName>
    <definedName name="Present_Value">#REF!</definedName>
    <definedName name="PresentationNormalA4">#REF!</definedName>
    <definedName name="PreviousMonthMinimumDiff">#REF!</definedName>
    <definedName name="pricecase">#REF!</definedName>
    <definedName name="primary">#REF!</definedName>
    <definedName name="PRIN_REDUX_CODE">#REF!</definedName>
    <definedName name="Princ">#REF!</definedName>
    <definedName name="Principal">#N/A</definedName>
    <definedName name="principal_sought">#REF!</definedName>
    <definedName name="PRINRES">#N/A</definedName>
    <definedName name="print">#REF!</definedName>
    <definedName name="PRINT_ALL">#REF!</definedName>
    <definedName name="PRINT_AR06">#REF!</definedName>
    <definedName name="PRINT_AR08">#REF!</definedName>
    <definedName name="PRINT_AR12">#REF!</definedName>
    <definedName name="PRINT_AR15">#REF!</definedName>
    <definedName name="PRINT_AR17">#REF!</definedName>
    <definedName name="_xlnm.Print_Area" localSheetId="8">REPORTS!$A$1:$AS$33</definedName>
    <definedName name="_xlnm.Print_Area">#REF!</definedName>
    <definedName name="PRINT_AREA_01">#REF!</definedName>
    <definedName name="PRINT_AREA_MI" localSheetId="2">#REF!</definedName>
    <definedName name="PRINT_AREA_MI" localSheetId="1">#REF!</definedName>
    <definedName name="Print_Area_MI">#REF!</definedName>
    <definedName name="Print_Area_Reset" localSheetId="4">#N/A</definedName>
    <definedName name="Print_Area_Reset" localSheetId="1">OFFSET(Full_Print,0,0,INPUTS!Last_Row)</definedName>
    <definedName name="Print_Area_Reset" localSheetId="5">OFFSET(Full_Print,0,0,'P&amp;L'!Last_Row)</definedName>
    <definedName name="Print_Area_Reset" localSheetId="8">OFFSET(Full_Print,0,0,REPORTS!Last_Row)</definedName>
    <definedName name="Print_Area_Reset" localSheetId="3">OFFSET(Full_Print,0,0,STAFFING!Last_Row)</definedName>
    <definedName name="Print_Area_Reset">#N/A</definedName>
    <definedName name="print_bank">#N/A</definedName>
    <definedName name="print_bank2">#N/A</definedName>
    <definedName name="Print_Funddate1">#REF!</definedName>
    <definedName name="Print_Funddate2">#REF!</definedName>
    <definedName name="PRINT_LEVERAGED">#REF!</definedName>
    <definedName name="PRINT_MENU">#REF!</definedName>
    <definedName name="PRINT_PASSTHRU">#REF!</definedName>
    <definedName name="_xlnm.Print_Titles">#N/A</definedName>
    <definedName name="Print_Titles_MI" localSheetId="2">#REF!</definedName>
    <definedName name="Print_Titles_MI" localSheetId="1">#REF!</definedName>
    <definedName name="Print_Titles_MI">#REF!</definedName>
    <definedName name="print_ver">#N/A</definedName>
    <definedName name="print2">#REF!</definedName>
    <definedName name="PRINTALL_MENU">#REF!</definedName>
    <definedName name="Printarea" localSheetId="4">#REF!:Bottom</definedName>
    <definedName name="Printarea" localSheetId="2">#REF!:Bottom</definedName>
    <definedName name="Printarea" localSheetId="1">#REF!:Bottom</definedName>
    <definedName name="Printarea" localSheetId="5">#REF!:Bottom</definedName>
    <definedName name="Printarea" localSheetId="8">#REF!:Bottom</definedName>
    <definedName name="Printarea" localSheetId="3">#REF!:Bottom</definedName>
    <definedName name="Printarea">#REF!:Bottom</definedName>
    <definedName name="PrintArea_SET" localSheetId="4">OFFSET(#REF!,,,LastRow,LastCol)</definedName>
    <definedName name="PrintArea_SET" localSheetId="2">OFFSET(#REF!,,,LastRow,LastCol)</definedName>
    <definedName name="PrintArea_SET" localSheetId="1">OFFSET(#REF!,,,LastRow,LastCol)</definedName>
    <definedName name="PrintArea_SET" localSheetId="5">OFFSET(#REF!,,,LastRow,LastCol)</definedName>
    <definedName name="PrintArea_SET" localSheetId="8">OFFSET(#REF!,,,LastRow,LastCol)</definedName>
    <definedName name="PrintArea_SET" localSheetId="3">OFFSET(#REF!,,,LastRow,LastCol)</definedName>
    <definedName name="PrintArea_SET">OFFSET(#REF!,,,LastRow,LastCol)</definedName>
    <definedName name="PrintAreaReset" localSheetId="4">OFFSET(Full_Print,0,0,DEBT!Last_Row)</definedName>
    <definedName name="PrintAreaReset" localSheetId="2">OFFSET(Full_Print,0,0,ENROLLMENT!Last_Row)</definedName>
    <definedName name="PrintAreaReset" localSheetId="1">OFFSET(Full_Print,0,0,[0]!Last_Row)</definedName>
    <definedName name="PrintAreaReset" localSheetId="5">OFFSET(Full_Print,0,0,'P&amp;L'!Last_Row)</definedName>
    <definedName name="PrintAreaReset" localSheetId="8">OFFSET(Full_Print,0,0,REPORTS!Last_Row)</definedName>
    <definedName name="PrintAreaReset" localSheetId="3">OFFSET(Full_Print,0,0,[0]!Last_Row)</definedName>
    <definedName name="PrintAreaReset">OFFSET(Full_Print,0,0,[0]!Last_Row)</definedName>
    <definedName name="printb">#REF!</definedName>
    <definedName name="PRINTCOL">#REF!</definedName>
    <definedName name="PrintEnd1">#REF!</definedName>
    <definedName name="PrintEnd2">#REF!</definedName>
    <definedName name="PRINTING">#REF!</definedName>
    <definedName name="printjob1">#REF!,#REF!,#REF!,#REF!,#REF!,#REF!,#REF!,#REF!,#REF!,#REF!,#REF!</definedName>
    <definedName name="printjob2">#REF!,#REF!,#REF!,#REF!,#REF!,#REF!,#REF!,#REF!,#REF!,#REF!,#REF!</definedName>
    <definedName name="printjob3">#REF!,#REF!</definedName>
    <definedName name="PRINTMACRO">#REF!</definedName>
    <definedName name="printsumm">#REF!,#REF!,#REF!,#REF!,#REF!</definedName>
    <definedName name="printtabor">#REF!,#REF!,#REF!</definedName>
    <definedName name="Prior_Period">#REF!</definedName>
    <definedName name="PRIOR_YEAR">#REF!</definedName>
    <definedName name="PriorBudget">#REF!</definedName>
    <definedName name="PriorDPLCFF">#REF!</definedName>
    <definedName name="PriorFullYearActuals">#REF!</definedName>
    <definedName name="PrioritiesList">#REF!</definedName>
    <definedName name="PriorPeriod">#REF!</definedName>
    <definedName name="priorStart">#REF!</definedName>
    <definedName name="PriorVersion">#REF!</definedName>
    <definedName name="PriorYear">#REF!</definedName>
    <definedName name="private_els_served_1718">#REF!</definedName>
    <definedName name="prmote">#REF!</definedName>
    <definedName name="prntall" hidden="1">{#N/A,#N/A,FALSE,"Land";#N/A,#N/A,FALSE,"Cost Analysis";"Summary",#N/A,FALSE,"Equipment"}</definedName>
    <definedName name="prntall_2" hidden="1">{#N/A,#N/A,FALSE,"Land";#N/A,#N/A,FALSE,"Cost Analysis";"Summary",#N/A,FALSE,"Equipment"}</definedName>
    <definedName name="PrntBldgDepre">#REF!</definedName>
    <definedName name="PrntBldgImpr">#REF!</definedName>
    <definedName name="PrntLsComm">#REF!</definedName>
    <definedName name="PrntOthrLsCst">#REF!</definedName>
    <definedName name="PrntTntImpr">#REF!</definedName>
    <definedName name="Prodback1">#REF!</definedName>
    <definedName name="prodback10">#REF!</definedName>
    <definedName name="prodback11">#REF!</definedName>
    <definedName name="prodback12">#REF!</definedName>
    <definedName name="prodback13">#REF!</definedName>
    <definedName name="prodback14">#REF!</definedName>
    <definedName name="prodback15">#REF!</definedName>
    <definedName name="prodback16">#REF!</definedName>
    <definedName name="prodback17">#REF!</definedName>
    <definedName name="prodback18">#REF!</definedName>
    <definedName name="prodback19">#REF!</definedName>
    <definedName name="prodback2">#REF!</definedName>
    <definedName name="prodback20">#REF!</definedName>
    <definedName name="prodback3">#REF!</definedName>
    <definedName name="prodback4">#REF!</definedName>
    <definedName name="prodback5">#REF!</definedName>
    <definedName name="prodback6">#REF!</definedName>
    <definedName name="prodback7">#REF!</definedName>
    <definedName name="prodback8">#REF!</definedName>
    <definedName name="prodback9">#REF!</definedName>
    <definedName name="prodfee">#REF!</definedName>
    <definedName name="PRODIND">#REF!</definedName>
    <definedName name="ProducerFee">#REF!</definedName>
    <definedName name="Product">#REF!</definedName>
    <definedName name="Product_Type">#REF!</definedName>
    <definedName name="productinfo">#REF!</definedName>
    <definedName name="ProductionPeriod">#REF!</definedName>
    <definedName name="ProductList">OFFSET(#REF!,0,0,1,COUNTA(#REF!))</definedName>
    <definedName name="PROF">#REF!</definedName>
    <definedName name="PROFEXPFACT">#REF!</definedName>
    <definedName name="ProForma_G">#REF!</definedName>
    <definedName name="ProForma_K">#REF!</definedName>
    <definedName name="PROFRET">#REF!</definedName>
    <definedName name="PROG">#REF!</definedName>
    <definedName name="PROG0809SecondInt">#REF!</definedName>
    <definedName name="Prog5">#REF!</definedName>
    <definedName name="ProgBudgetCuts">#REF!</definedName>
    <definedName name="Program">#REF!</definedName>
    <definedName name="Program_111__Grades_K_3">#REF!</definedName>
    <definedName name="Program_112__Grades_4_8">#REF!</definedName>
    <definedName name="Program_113__Grades_9_12">#REF!</definedName>
    <definedName name="PROGRAMNAME_COL3">#REF!</definedName>
    <definedName name="proj">#REF!</definedName>
    <definedName name="proj_comp">#REF!</definedName>
    <definedName name="PROJ_NAME">#REF!</definedName>
    <definedName name="PROJCOST">#REF!</definedName>
    <definedName name="ProjCostScenarios">#REF!</definedName>
    <definedName name="PROJECT_COST">#REF!</definedName>
    <definedName name="project_duration">#REF!</definedName>
    <definedName name="PROJECT_INFO">#REF!</definedName>
    <definedName name="Project_Name">#REF!</definedName>
    <definedName name="ProjectCode">#REF!</definedName>
    <definedName name="Projectfund">#REF!</definedName>
    <definedName name="PROJECTION1">#REF!</definedName>
    <definedName name="PROJECTION2">#REF!</definedName>
    <definedName name="Projects">#REF!</definedName>
    <definedName name="PROM">#REF!</definedName>
    <definedName name="PROM2">#REF!</definedName>
    <definedName name="PROMOTE">#REF!</definedName>
    <definedName name="Promote_1">#REF!</definedName>
    <definedName name="Promote_2">#REF!</definedName>
    <definedName name="Promote_3">#REF!</definedName>
    <definedName name="Promote_Woodglen">#REF!</definedName>
    <definedName name="promote1">#REF!</definedName>
    <definedName name="promote2">#REF!</definedName>
    <definedName name="PromotionCell">#REF!</definedName>
    <definedName name="ProofCell">#REF!</definedName>
    <definedName name="prop_revenue">#REF!</definedName>
    <definedName name="PROP_TAX_BASE_YR">#REF!</definedName>
    <definedName name="PROP47">#REF!</definedName>
    <definedName name="PROP55">#REF!</definedName>
    <definedName name="PROPERTY_TAX_PERCENT_YR_1">#REF!</definedName>
    <definedName name="PROPERTY_TAX_PERCENT_YR_2">#REF!</definedName>
    <definedName name="PROPERTY_TAX_PERCENT_YR_3">#REF!</definedName>
    <definedName name="PROPERTY_TAX_PERCENT_YR_4">#REF!</definedName>
    <definedName name="Property_Units_Rooms_SF_Beds_Sites">#REF!</definedName>
    <definedName name="PropertyName">#REF!</definedName>
    <definedName name="PropertyOps">#REF!</definedName>
    <definedName name="Proposal_Types">#REF!</definedName>
    <definedName name="PROPOSED_SALE___END_OF_FIRST_STABILIZED_YEAR">#REF!</definedName>
    <definedName name="PropSqFt">#REF!</definedName>
    <definedName name="Proratioin_to_Veto">#REF!</definedName>
    <definedName name="Proration_to_the_Appropriation">#REF!</definedName>
    <definedName name="prsMin">MIN(#REF!)</definedName>
    <definedName name="PRSW">#REF!</definedName>
    <definedName name="PRSW1">#REF!</definedName>
    <definedName name="PRSW2">#REF!</definedName>
    <definedName name="PRSW3">#REF!</definedName>
    <definedName name="PRSW4">#REF!</definedName>
    <definedName name="PRSW5">#REF!</definedName>
    <definedName name="PRSW6">#REF!</definedName>
    <definedName name="PRSW7">#REF!</definedName>
    <definedName name="PRSW8">#REF!</definedName>
    <definedName name="PRSW9">#REF!</definedName>
    <definedName name="PRTALL">#REF!</definedName>
    <definedName name="PRTBMT">#REF!</definedName>
    <definedName name="PRTCOURTHOUSE">#REF!</definedName>
    <definedName name="PRTCSSC">#REF!</definedName>
    <definedName name="PRTLWP">#REF!</definedName>
    <definedName name="PRTMIL">#REF!</definedName>
    <definedName name="PRTMOUNT">#REF!</definedName>
    <definedName name="PRTMUDDY">#REF!</definedName>
    <definedName name="PRTOLNEY">#REF!</definedName>
    <definedName name="PRTPENN">#REF!</definedName>
    <definedName name="PRTPINE">#REF!</definedName>
    <definedName name="PRTPOT">#REF!</definedName>
    <definedName name="PRTPRCL">#REF!</definedName>
    <definedName name="PRTSOUTH">#REF!</definedName>
    <definedName name="PRTSTON">#REF!</definedName>
    <definedName name="PRTTALL">#REF!</definedName>
    <definedName name="PRTTOW">#REF!</definedName>
    <definedName name="PRTUNION">#REF!</definedName>
    <definedName name="PRTVMS">#REF!</definedName>
    <definedName name="PRTVSC">#REF!</definedName>
    <definedName name="PRTWMT">#REF!</definedName>
    <definedName name="ps">#REF!</definedName>
    <definedName name="PSEs">#REF!</definedName>
    <definedName name="pt_strs">#REF!</definedName>
    <definedName name="PTAXDOL">#REF!</definedName>
    <definedName name="ptrCellAbove">#REF!</definedName>
    <definedName name="Puerto_Rico">#REF!</definedName>
    <definedName name="Purchase_Mult">#REF!</definedName>
    <definedName name="PurchasePrice">#REF!</definedName>
    <definedName name="Putnam">#REF!</definedName>
    <definedName name="PV">#REF!</definedName>
    <definedName name="PV_REM">#REF!</definedName>
    <definedName name="pv2can">#REF!</definedName>
    <definedName name="pv2can2000">#REF!</definedName>
    <definedName name="PV2CAN2001">#REF!</definedName>
    <definedName name="pv2def">#REF!</definedName>
    <definedName name="pv2def2000">#REF!</definedName>
    <definedName name="pv2def2001">#REF!</definedName>
    <definedName name="pv3def2000">#REF!</definedName>
    <definedName name="PVCF">#REF!</definedName>
    <definedName name="PVINV">#N/A</definedName>
    <definedName name="PVLDL">#N/A</definedName>
    <definedName name="PVNLDL">#REF!</definedName>
    <definedName name="PWI_CM0_2016_SALARIES_TOTAL">#REF!</definedName>
    <definedName name="PWI_FILLED_VACANT">#REF!</definedName>
    <definedName name="PWIFN0_042617">#REF!</definedName>
    <definedName name="pwisalary">#REF!</definedName>
    <definedName name="PY_9_12_ADA">#REF!</definedName>
    <definedName name="PY_ADA">#REF!</definedName>
    <definedName name="PY_CBEDS_Enrollment">#REF!</definedName>
    <definedName name="PY_Common_Equity">#REF!</definedName>
    <definedName name="PY_Depreciation">#REF!</definedName>
    <definedName name="PY_ELL">#REF!</definedName>
    <definedName name="PY_FRL">#REF!</definedName>
    <definedName name="PY_Intangible_Assets">#REF!</definedName>
    <definedName name="PY_Interest_Expense">#REF!</definedName>
    <definedName name="PY_K_8_ADA">#REF!</definedName>
    <definedName name="PY_LT_Debt">#REF!</definedName>
    <definedName name="PY_Market_Value_of_Equity">#REF!</definedName>
    <definedName name="PY_Marketable_Sec">#REF!</definedName>
    <definedName name="PY_Other_Exp">#REF!</definedName>
    <definedName name="PY_P2">#REF!</definedName>
    <definedName name="PY_Selling">#REF!</definedName>
    <definedName name="PY_Tangible_Net_Worth">#REF!</definedName>
    <definedName name="PY2_Common_Equity">#REF!</definedName>
    <definedName name="PY2_Depreciation">#REF!</definedName>
    <definedName name="PY2_Intangible_Assets">#REF!</definedName>
    <definedName name="PY2_Interest_Expense">#REF!</definedName>
    <definedName name="PY2_LT_Debt">#REF!</definedName>
    <definedName name="PY2_Marketable_Sec">#REF!</definedName>
    <definedName name="PY2_Other_Exp.">#REF!</definedName>
    <definedName name="PY2_Selling">#REF!</definedName>
    <definedName name="PY2_Tangible_Net_Worth">#REF!</definedName>
    <definedName name="PYAccountBalance">#REF!</definedName>
    <definedName name="PYAccountBalance2">#REF!</definedName>
    <definedName name="PYANB_HS">#REF!</definedName>
    <definedName name="PYB_Elem">#REF!</definedName>
    <definedName name="PYB_HS">#REF!</definedName>
    <definedName name="PYBASE_HS">#REF!</definedName>
    <definedName name="PYBASEMills_Elem">#REF!</definedName>
    <definedName name="PYBASEMills_HS">#REF!</definedName>
    <definedName name="PYC_Summary">#REF!</definedName>
    <definedName name="PYMax_Elem">#REF!</definedName>
    <definedName name="PYMax_HS">#REF!</definedName>
    <definedName name="Pymts">#REF!</definedName>
    <definedName name="PYOBASEMills_Elem">#REF!</definedName>
    <definedName name="PYOBASEMills_HS">#REF!</definedName>
    <definedName name="q">#REF!</definedName>
    <definedName name="q_2" hidden="1">{"BB1",#N/A,TRUE,"B-B (R)";"BB2",#N/A,TRUE,"B-B (R)"}</definedName>
    <definedName name="q_Prelim_Bud0607_by_DDP">#REF!</definedName>
    <definedName name="q\">#REF!</definedName>
    <definedName name="qdelay">#REF!</definedName>
    <definedName name="qq" hidden="1">{"ed1",#N/A,TRUE,"E-D";"ed2",#N/A,TRUE,"E-D"}</definedName>
    <definedName name="qq_2" hidden="1">{"ed1",#N/A,TRUE,"E-D";"ed2",#N/A,TRUE,"E-D"}</definedName>
    <definedName name="qq\">#REF!</definedName>
    <definedName name="qreg">#REF!</definedName>
    <definedName name="qrtsinyr1">#REF!</definedName>
    <definedName name="qry_08_09_AdjSchLvl___Dist___LFs">#REF!</definedName>
    <definedName name="qry_aggr2007_Teacher_ct_to_LEA_level">#REF!</definedName>
    <definedName name="qry_aggre_2007_CBED_PAR_Sch_Level_to_dist_level">#REF!</definedName>
    <definedName name="qry_may_7_master_IV_16_programs">#REF!</definedName>
    <definedName name="qry_t5_inpt_data_w_frpm_nov_14_1026_pm">#REF!</definedName>
    <definedName name="qry_Teacher_ct_PAR_File_Sch_Level_to_Dist_Level">#REF!</definedName>
    <definedName name="qry03_District_Level_Data_LEAs">#REF!</definedName>
    <definedName name="qry05_District_Level_Data_NFCS">#REF!</definedName>
    <definedName name="qryAggreLFCS_NonCharter_SchLev">#REF!</definedName>
    <definedName name="qryChartersActive">#REF!</definedName>
    <definedName name="qryFed_File_District_Level_no_DFCS">#REF!</definedName>
    <definedName name="qryFed_File_District_level_no_DFCS1">#REF!</definedName>
    <definedName name="qryFED_LFCS_NonCharters_aggreDistLev">#REF!</definedName>
    <definedName name="qryFED_LFCS_NonCharters_AggreLEALev">#REF!</definedName>
    <definedName name="qryPubschls">#REF!</definedName>
    <definedName name="QryReorgedDistricts">#REF!</definedName>
    <definedName name="QS_GeneralCategories">#REF!</definedName>
    <definedName name="QTR">#REF!</definedName>
    <definedName name="QTR_MSG">#REF!</definedName>
    <definedName name="QTY">#REF!</definedName>
    <definedName name="QUAL_PCT">#REF!</definedName>
    <definedName name="Quarterlies" localSheetId="4">IF(Loan_Amount_9*Interest_Rate_9*Loan_Years_9*Loan_Start_9&gt;0,1,0)</definedName>
    <definedName name="Quarterlies" localSheetId="2">IF(Loan_Amount_9*Interest_Rate_9*Loan_Years_9*Loan_Start_9&gt;0,1,0)</definedName>
    <definedName name="Quarterlies" localSheetId="1">IF(Loan_Amount_9*Interest_Rate_9*Loan_Years_9*Loan_Start_9&gt;0,1,0)</definedName>
    <definedName name="Quarterlies" localSheetId="5">IF(Loan_Amount_9*Interest_Rate_9*Loan_Years_9*Loan_Start_9&gt;0,1,0)</definedName>
    <definedName name="Quarterlies" localSheetId="8">IF(Loan_Amount_9*Interest_Rate_9*Loan_Years_9*Loan_Start_9&gt;0,1,0)</definedName>
    <definedName name="Quarterlies" localSheetId="3">IF(Loan_Amount_9*Interest_Rate_9*Loan_Years_9*Loan_Start_9&gt;0,1,0)</definedName>
    <definedName name="Quarterlies">IF(Loan_Amount_9*Interest_Rate_9*Loan_Years_9*Loan_Start_9&gt;0,1,0)</definedName>
    <definedName name="Quarterly">#REF!</definedName>
    <definedName name="QuarterlyIrr">#REF!</definedName>
    <definedName name="quarters">#REF!</definedName>
    <definedName name="Quarters_1">#REF!</definedName>
    <definedName name="Quarters_in_year_1">#REF!</definedName>
    <definedName name="Query">#REF!</definedName>
    <definedName name="QueryInsReceivedPrint">#REF!</definedName>
    <definedName name="question" hidden="1">{"CF",#N/A,FALSE,"Cash Flow";"RET",#N/A,FALSE,"Returns";"NPV",#N/A,FALSE,"Values";"ASMPT",#N/A,FALSE,"Assumptions"}</definedName>
    <definedName name="question_2" hidden="1">{"CF",#N/A,FALSE,"Cash Flow";"RET",#N/A,FALSE,"Returns";"NPV",#N/A,FALSE,"Values";"ASMPT",#N/A,FALSE,"Assumptions"}</definedName>
    <definedName name="QUICK_START">#REF!</definedName>
    <definedName name="Quinn">#REF!</definedName>
    <definedName name="r_printfunction">#REF!</definedName>
    <definedName name="r.Title1">#REF!</definedName>
    <definedName name="r.Title2">#REF!</definedName>
    <definedName name="r.Title3">#REF!</definedName>
    <definedName name="r\">#REF!</definedName>
    <definedName name="raise">#REF!</definedName>
    <definedName name="Range.District_Cash_Flow_Scenarios">#REF!</definedName>
    <definedName name="Range.Increase_by">#REF!</definedName>
    <definedName name="Range.Item_Description">#REF!</definedName>
    <definedName name="Range.PerType">#REF!</definedName>
    <definedName name="Range.Resource_Code_List">#REF!</definedName>
    <definedName name="Range.State_Cashflow_Scenarios">#REF!</definedName>
    <definedName name="Range.Y_N">#REF!</definedName>
    <definedName name="range2008">OFFSET(#REF!,0,0,COUNTA(#REF!),COUNTA(#REF!))</definedName>
    <definedName name="rangeI">#REF!</definedName>
    <definedName name="RangeInc">#REF!</definedName>
    <definedName name="RangeTest01">#REF!</definedName>
    <definedName name="RangeTest02">#REF!</definedName>
    <definedName name="RangeTest03">#REF!</definedName>
    <definedName name="RangeTest04">#REF!</definedName>
    <definedName name="RANK_BAL">#REF!</definedName>
    <definedName name="RANK_TARGET">#REF!</definedName>
    <definedName name="Rate">#REF!</definedName>
    <definedName name="Rate_lookup">#REF!</definedName>
    <definedName name="rateact">#REF!</definedName>
    <definedName name="rateaides">#REF!</definedName>
    <definedName name="rateath">#REF!</definedName>
    <definedName name="rateben2">#REF!</definedName>
    <definedName name="ratebenefits">#REF!</definedName>
    <definedName name="ratebooks">#REF!</definedName>
    <definedName name="ratecentral">#REF!</definedName>
    <definedName name="rateclerical">#REF!</definedName>
    <definedName name="ratecust">#REF!</definedName>
    <definedName name="rateexpand">#REF!</definedName>
    <definedName name="rateextra">#REF!</definedName>
    <definedName name="ratehealth">#REF!</definedName>
    <definedName name="ratemaint">#REF!</definedName>
    <definedName name="ratemisc">#REF!</definedName>
    <definedName name="rateprinc">#REF!</definedName>
    <definedName name="rateprofdev">#REF!</definedName>
    <definedName name="Rates">#REF!</definedName>
    <definedName name="ratesupport">#REF!</definedName>
    <definedName name="rateteach">#REF!</definedName>
    <definedName name="ratetuit">#REF!</definedName>
    <definedName name="RatingList">#REF!</definedName>
    <definedName name="RatingPerformanceList">#REF!</definedName>
    <definedName name="ratio">#REF!</definedName>
    <definedName name="RawSiteRange">#REF!</definedName>
    <definedName name="RBI_League">#REF!</definedName>
    <definedName name="RBN">#REF!</definedName>
    <definedName name="rbrtbrt">#REF!</definedName>
    <definedName name="RBU">#REF!</definedName>
    <definedName name="RCIII" hidden="1">{"ba1",#N/A,TRUE,"B-A";"ba2",#N/A,TRUE,"B-A"}</definedName>
    <definedName name="RCIII_2" hidden="1">{"ba1",#N/A,TRUE,"B-A";"ba2",#N/A,TRUE,"B-A"}</definedName>
    <definedName name="rcss">#REF!</definedName>
    <definedName name="RealEstateTaxesYearONe">#REF!</definedName>
    <definedName name="rebecca">#REF!</definedName>
    <definedName name="Rebuy">#REF!</definedName>
    <definedName name="rebuy_hold">#REF!</definedName>
    <definedName name="Recon">#REF!</definedName>
    <definedName name="_xlnm.Recorder">#REF!</definedName>
    <definedName name="Recovery">#REF!</definedName>
    <definedName name="Recovery_Max_Year">#REF!</definedName>
    <definedName name="recruit">#REF!</definedName>
    <definedName name="Recruiting">#REF!</definedName>
    <definedName name="REF">#REF!</definedName>
    <definedName name="reference">#REF!</definedName>
    <definedName name="refifees">#REF!</definedName>
    <definedName name="refinancing_fee">#REF!</definedName>
    <definedName name="refinancing_interest_rate_lead_time">#REF!</definedName>
    <definedName name="refinancing_loan_period">#REF!</definedName>
    <definedName name="refltv">#REF!</definedName>
    <definedName name="RefreshArea">#REF!</definedName>
    <definedName name="REFUND">#REF!</definedName>
    <definedName name="regben">#REF!</definedName>
    <definedName name="RegOutcomes">#REF!</definedName>
    <definedName name="Regular_benefit">#REF!</definedName>
    <definedName name="reimb">20.3</definedName>
    <definedName name="reimbpercent">#REF!</definedName>
    <definedName name="reimbursementgrowth">#REF!</definedName>
    <definedName name="reimqdelay">#REF!</definedName>
    <definedName name="reimydelay">#REF!</definedName>
    <definedName name="Release">#REF!</definedName>
    <definedName name="releasepricedata">#REF!</definedName>
    <definedName name="ReleaseSched">#REF!</definedName>
    <definedName name="Relocation">#REF!</definedName>
    <definedName name="Relocation_expense">#REF!</definedName>
    <definedName name="relocationexpense">#REF!</definedName>
    <definedName name="REMAIN">#REF!</definedName>
    <definedName name="Remarketing_Ongoing">#REF!</definedName>
    <definedName name="Remarketing_Ongoingtax">#REF!</definedName>
    <definedName name="Renew">#REF!</definedName>
    <definedName name="renewals_ident">#REF!</definedName>
    <definedName name="renewals_submitted">#REF!</definedName>
    <definedName name="renewals_won">#REF!</definedName>
    <definedName name="RENT">#REF!</definedName>
    <definedName name="Rent_Roll_Lookup">#REF!</definedName>
    <definedName name="RENT_SF">#REF!</definedName>
    <definedName name="Rent0" hidden="1">{#N/A,#N/A,TRUE,"XL Cash Flow";#N/A,#N/A,TRUE,"Prop Valuation";#N/A,#N/A,TRUE,"Equity";#N/A,#N/A,TRUE,"Modeling assumptions";#N/A,#N/A,TRUE,"NER Model";#N/A,#N/A,TRUE,"Lease Exp";#N/A,#N/A,TRUE,"Inc &amp; Exp";#N/A,#N/A,TRUE,"Formatted - roll";#N/A,#N/A,TRUE,"Debt Model";#N/A,#N/A,TRUE,"Debt-Moody";#N/A,#N/A,TRUE,"Debt"}</definedName>
    <definedName name="Rent0_2" hidden="1">{#N/A,#N/A,TRUE,"XL Cash Flow";#N/A,#N/A,TRUE,"Prop Valuation";#N/A,#N/A,TRUE,"Equity";#N/A,#N/A,TRUE,"Modeling assumptions";#N/A,#N/A,TRUE,"NER Model";#N/A,#N/A,TRUE,"Lease Exp";#N/A,#N/A,TRUE,"Inc &amp; Exp";#N/A,#N/A,TRUE,"Formatted - roll";#N/A,#N/A,TRUE,"Debt Model";#N/A,#N/A,TRUE,"Debt-Moody";#N/A,#N/A,TRUE,"Debt"}</definedName>
    <definedName name="Rent0a" hidden="1">{#N/A,#N/A,TRUE,"XL Cash Flow";#N/A,#N/A,TRUE,"Prop Valuation";#N/A,#N/A,TRUE,"Equity";#N/A,#N/A,TRUE,"Modeling assumptions";#N/A,#N/A,TRUE,"NER Model";#N/A,#N/A,TRUE,"Lease Exp";#N/A,#N/A,TRUE,"Inc &amp; Exp";#N/A,#N/A,TRUE,"Formatted - roll";#N/A,#N/A,TRUE,"Debt Model";#N/A,#N/A,TRUE,"Debt-Moody";#N/A,#N/A,TRUE,"Debt"}</definedName>
    <definedName name="Rent0a_2" hidden="1">{#N/A,#N/A,TRUE,"XL Cash Flow";#N/A,#N/A,TRUE,"Prop Valuation";#N/A,#N/A,TRUE,"Equity";#N/A,#N/A,TRUE,"Modeling assumptions";#N/A,#N/A,TRUE,"NER Model";#N/A,#N/A,TRUE,"Lease Exp";#N/A,#N/A,TRUE,"Inc &amp; Exp";#N/A,#N/A,TRUE,"Formatted - roll";#N/A,#N/A,TRUE,"Debt Model";#N/A,#N/A,TRUE,"Debt-Moody";#N/A,#N/A,TRUE,"Debt"}</definedName>
    <definedName name="rent2" hidden="1">{#N/A,#N/A,TRUE,"XL Cash Flow";#N/A,#N/A,TRUE,"Prop Valuation";#N/A,#N/A,TRUE,"Equity";#N/A,#N/A,TRUE,"Modeling assumptions";#N/A,#N/A,TRUE,"NER Model";#N/A,#N/A,TRUE,"Lease Exp";#N/A,#N/A,TRUE,"Inc &amp; Exp";#N/A,#N/A,TRUE,"Formatted - roll";#N/A,#N/A,TRUE,"Debt Model";#N/A,#N/A,TRUE,"Debt-Moody";#N/A,#N/A,TRUE,"Debt"}</definedName>
    <definedName name="rent2_2" hidden="1">{#N/A,#N/A,TRUE,"XL Cash Flow";#N/A,#N/A,TRUE,"Prop Valuation";#N/A,#N/A,TRUE,"Equity";#N/A,#N/A,TRUE,"Modeling assumptions";#N/A,#N/A,TRUE,"NER Model";#N/A,#N/A,TRUE,"Lease Exp";#N/A,#N/A,TRUE,"Inc &amp; Exp";#N/A,#N/A,TRUE,"Formatted - roll";#N/A,#N/A,TRUE,"Debt Model";#N/A,#N/A,TRUE,"Debt-Moody";#N/A,#N/A,TRUE,"Debt"}</definedName>
    <definedName name="RentalData">#REF!</definedName>
    <definedName name="RENTEXPA">#REF!</definedName>
    <definedName name="RENTEXPB">#REF!</definedName>
    <definedName name="RENTEXPC">#REF!</definedName>
    <definedName name="RENTEXPMST">#REF!</definedName>
    <definedName name="Rentfee">#REF!</definedName>
    <definedName name="RentInflation">#REF!</definedName>
    <definedName name="RENTINPA">#REF!</definedName>
    <definedName name="RentLookup">#REF!</definedName>
    <definedName name="rentmat">#REF!</definedName>
    <definedName name="RentperRSF">#REF!</definedName>
    <definedName name="RENTS">#REF!</definedName>
    <definedName name="REPAIRS">#REF!</definedName>
    <definedName name="REPLACE1">#REF!</definedName>
    <definedName name="REPLACE2">#REF!</definedName>
    <definedName name="REPLACE3">#REF!</definedName>
    <definedName name="Replacement_Reserves">#REF!</definedName>
    <definedName name="report">#REF!</definedName>
    <definedName name="Report_Per">#REF!</definedName>
    <definedName name="reports_on_time">#REF!</definedName>
    <definedName name="ReportSettings">#REF!</definedName>
    <definedName name="ReportTitles">#REF!</definedName>
    <definedName name="reprepl">#REF!</definedName>
    <definedName name="required_adj_net_surplus_margin">#REF!</definedName>
    <definedName name="RES">#REF!</definedName>
    <definedName name="RESERVE_AMT">#REF!</definedName>
    <definedName name="RESERVE_AMT2">#REF!</definedName>
    <definedName name="Reserve_Percent">#REF!</definedName>
    <definedName name="reserves">#REF!</definedName>
    <definedName name="resi">#REF!</definedName>
    <definedName name="resid">#REF!</definedName>
    <definedName name="Residential_Rents">#REF!</definedName>
    <definedName name="Residential_Sales">#REF!</definedName>
    <definedName name="ResidFree">#REF!</definedName>
    <definedName name="ResidPay">#REF!</definedName>
    <definedName name="RESIDPR">#REF!</definedName>
    <definedName name="Residu" hidden="1">{#N/A,#N/A,TRUE,"Summary";"AnnualRentRoll",#N/A,TRUE,"RentRoll";#N/A,#N/A,TRUE,"ExitStratigy";#N/A,#N/A,TRUE,"OperatingAssumptions"}</definedName>
    <definedName name="ResidualDate">#REF!</definedName>
    <definedName name="resmid">#REF!</definedName>
    <definedName name="resmid4A">#REF!</definedName>
    <definedName name="resmid5">#REF!</definedName>
    <definedName name="Resource">#REF!</definedName>
    <definedName name="Resource_list">#REF!</definedName>
    <definedName name="resource_name">#REF!</definedName>
    <definedName name="ResourceBalancing">#REF!</definedName>
    <definedName name="RESPG1">#REF!</definedName>
    <definedName name="restfb">#REF!</definedName>
    <definedName name="restroom">#REF!</definedName>
    <definedName name="Resv">#REF!</definedName>
    <definedName name="Ret_CMO">#REF!</definedName>
    <definedName name="Ret_DSST1">#REF!</definedName>
    <definedName name="Ret_DSST2">#REF!</definedName>
    <definedName name="retail">#REF!</definedName>
    <definedName name="Retail_Commission_Rate_Schedule">#REF!</definedName>
    <definedName name="Retail_Rent_Schedule">#REF!</definedName>
    <definedName name="retailsf">#REF!</definedName>
    <definedName name="retdebt">#REF!</definedName>
    <definedName name="RETFLOW">#REF!</definedName>
    <definedName name="RETIRE_1">#REF!</definedName>
    <definedName name="RETIRE_2">#REF!</definedName>
    <definedName name="RETIRE_3">#REF!</definedName>
    <definedName name="RETIRE_4">#REF!</definedName>
    <definedName name="RETIRE_BASE_YR">#REF!</definedName>
    <definedName name="RETIRE_GRAPH_BASE">#REF!</definedName>
    <definedName name="RETIRE_GRAPH_YR_1">#REF!</definedName>
    <definedName name="RETIRE_GRAPH_YR_2">#REF!</definedName>
    <definedName name="RETIRE_GRAPH_YR_3">#REF!</definedName>
    <definedName name="RETIRE_GRAPH_YR_4">#REF!</definedName>
    <definedName name="RETIRE_PER_STUDENT_GRAPH_BASE">#REF!</definedName>
    <definedName name="RETIRE_PER_STUDENT_GRAPH_YR_1">#REF!</definedName>
    <definedName name="RETIRE_PER_STUDENT_GRAPH_YR_2">#REF!</definedName>
    <definedName name="RETIRE_PER_STUDENT_GRAPH_YR_3">#REF!</definedName>
    <definedName name="RETIRE_PER_STUDENT_GRAPH_YR_4">#REF!</definedName>
    <definedName name="RETIRE_PERCENT_YR_1">#REF!</definedName>
    <definedName name="RETIRE_PERCENT_YR_2">#REF!</definedName>
    <definedName name="RETIRE_PERCENT_YR_3">#REF!</definedName>
    <definedName name="RETIRE_PERCENT_YR_4">#REF!</definedName>
    <definedName name="RETIRE_RATE_BASE_YR">#REF!</definedName>
    <definedName name="RETIRE_RATE_PRIOR_YR">#REF!</definedName>
    <definedName name="RETIRE_RATE_TWO_YRS_PRIOR">#REF!</definedName>
    <definedName name="RETIRE_RATE_YR_1">#REF!</definedName>
    <definedName name="RETIRE_RATE_YR_2">#REF!</definedName>
    <definedName name="RETIRE_RATE_YR_3">#REF!</definedName>
    <definedName name="RETIRE_RATE_YR_4">#REF!</definedName>
    <definedName name="retirement">#REF!</definedName>
    <definedName name="RETURN_ON_COST">#REF!</definedName>
    <definedName name="RETURNS">#REF!</definedName>
    <definedName name="REV_EXP">#REF!</definedName>
    <definedName name="rev_i">#REF!</definedName>
    <definedName name="Rev_Pct_1">#REF!</definedName>
    <definedName name="Rev_Pct_10">#REF!</definedName>
    <definedName name="Rev_Pct_11">#REF!</definedName>
    <definedName name="Rev_Pct_12">#REF!</definedName>
    <definedName name="Rev_Pct_13">#REF!</definedName>
    <definedName name="Rev_Pct_14">#REF!</definedName>
    <definedName name="Rev_Pct_15">#REF!</definedName>
    <definedName name="Rev_Pct_16">#REF!</definedName>
    <definedName name="Rev_Pct_2">#REF!</definedName>
    <definedName name="Rev_Pct_3">#REF!</definedName>
    <definedName name="Rev_Pct_4">#REF!</definedName>
    <definedName name="Rev_Pct_5">#REF!</definedName>
    <definedName name="Rev_Pct_6">#REF!</definedName>
    <definedName name="Rev_Pct_7">#REF!</definedName>
    <definedName name="Rev_Pct_8">#REF!</definedName>
    <definedName name="Rev_Pct_9">#REF!</definedName>
    <definedName name="RevCOLAYear2">#REF!</definedName>
    <definedName name="RevCOLAYear3">#REF!</definedName>
    <definedName name="RevCOLAYear4">#REF!</definedName>
    <definedName name="RevCOLAYear5">#REF!</definedName>
    <definedName name="revdatatable">#REF!</definedName>
    <definedName name="REVDATE">#REF!</definedName>
    <definedName name="revenue">#REF!</definedName>
    <definedName name="REVENUE_16">#REF!</definedName>
    <definedName name="Revenue_Category">#REF!</definedName>
    <definedName name="REVENUE_CODING">#REF!</definedName>
    <definedName name="Revenue_Discount_Rate">#REF!</definedName>
    <definedName name="REVENUE_INCREASE_YR_1">#REF!</definedName>
    <definedName name="REVENUE_INCREASE_YR_2">#REF!</definedName>
    <definedName name="REVENUE_INCREASE_YR_3">#REF!</definedName>
    <definedName name="REVENUE_INCREASE_YR_4">#REF!</definedName>
    <definedName name="Revenue_Split">#REF!</definedName>
    <definedName name="RevenueLookup">#REF!</definedName>
    <definedName name="RevenueLookupFIB">#REF!</definedName>
    <definedName name="RevenueLookupSIB">#REF!</definedName>
    <definedName name="Revenues_1">#REF!</definedName>
    <definedName name="Revenues_2">#REF!</definedName>
    <definedName name="Revenues_3">#REF!</definedName>
    <definedName name="Revenues_4">#REF!</definedName>
    <definedName name="Revenues_5">#REF!</definedName>
    <definedName name="Revenues_6">#REF!</definedName>
    <definedName name="Revenues_B">#REF!</definedName>
    <definedName name="REVENUES_BASE_YR">#REF!</definedName>
    <definedName name="REVENUES_YR_1">#REF!</definedName>
    <definedName name="REVENUES_YR_2">#REF!</definedName>
    <definedName name="REVENUES_YR_3">#REF!</definedName>
    <definedName name="REVENUES_YR_4">#REF!</definedName>
    <definedName name="RevenueTest">#REF!</definedName>
    <definedName name="Reverse_FA">#REF!</definedName>
    <definedName name="Reversion_reciprocal">#REF!</definedName>
    <definedName name="Reversion_to_the_Mean">#REF!</definedName>
    <definedName name="reversionyr">#REF!</definedName>
    <definedName name="revinf">#REF!</definedName>
    <definedName name="REVISED">#REF!</definedName>
    <definedName name="Revised_hs_bud">#REF!</definedName>
    <definedName name="RevisedADU">#REF!</definedName>
    <definedName name="REVISION">#REF!</definedName>
    <definedName name="Revolver">#REF!</definedName>
    <definedName name="Revolver_Interest">#REF!</definedName>
    <definedName name="RF">#REF!</definedName>
    <definedName name="RF_Bkfst">#REF!</definedName>
    <definedName name="RF_Bkfst_UB">#REF!</definedName>
    <definedName name="RF_Breakfast">#REF!</definedName>
    <definedName name="RF_lunch">#REF!</definedName>
    <definedName name="RF_Lunch_712">#REF!</definedName>
    <definedName name="RF_Lunch_K6">#REF!</definedName>
    <definedName name="RF_lunch_UB">#REF!</definedName>
    <definedName name="RF_Snack">#REF!</definedName>
    <definedName name="RFEAR">#REF!</definedName>
    <definedName name="RFRANGE">#REF!</definedName>
    <definedName name="RFTITLE">#REF!</definedName>
    <definedName name="RGRSF">#REF!</definedName>
    <definedName name="Rhode_Island">#REF!</definedName>
    <definedName name="RID">#REF!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GenerateExcelReportsAtEndOfSimulation">TRUE</definedName>
    <definedName name="RiskHasSettings">8</definedName>
    <definedName name="RiskMinimizeOnStart">FALSE</definedName>
    <definedName name="RiskMonitorConvergence">FALSE</definedName>
    <definedName name="RiskMultipleCPUSupportEnabled">FALSE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TRUE</definedName>
    <definedName name="RiskUseMultipleCPUs">FALSE</definedName>
    <definedName name="RMC">#REF!</definedName>
    <definedName name="RNRSF">#REF!</definedName>
    <definedName name="ROCRow">#REF!</definedName>
    <definedName name="ROCRowRes">#REF!</definedName>
    <definedName name="ROI">#REF!</definedName>
    <definedName name="role_type">#REF!</definedName>
    <definedName name="roll">#REF!</definedName>
    <definedName name="ROLL_PERCENT">#REF!</definedName>
    <definedName name="ROOFING">#REF!</definedName>
    <definedName name="Rookies_16">#REF!</definedName>
    <definedName name="Rooms">#REF!</definedName>
    <definedName name="row_start">#REF!</definedName>
    <definedName name="ROWS">#REF!</definedName>
    <definedName name="rowstart">#REF!</definedName>
    <definedName name="RowTitleRegion1..E9">#REF!</definedName>
    <definedName name="RowTitleRegion2..I7">#REF!</definedName>
    <definedName name="RowTitleRegion3..E9">#REF!</definedName>
    <definedName name="RowTitleRegion4..H9">#REF!</definedName>
    <definedName name="rp">#REF!</definedName>
    <definedName name="RPA" hidden="1">{#N/A,#N/A,FALSE,"Cashflow Analysis";#N/A,#N/A,FALSE,"Sensitivity Analysis";#N/A,#N/A,FALSE,"PV";#N/A,#N/A,FALSE,"Pro Forma"}</definedName>
    <definedName name="RPA.2" hidden="1">{#N/A,#N/A,FALSE,"Cashflow Analysis";#N/A,#N/A,FALSE,"Sensitivity Analysis";#N/A,#N/A,FALSE,"PV";#N/A,#N/A,FALSE,"Pro Forma"}</definedName>
    <definedName name="RPP_TABLE">#REF!</definedName>
    <definedName name="Rpt_Rqst_Dscr">#REF!</definedName>
    <definedName name="rpt_title">#REF!</definedName>
    <definedName name="rptyear">#REF!</definedName>
    <definedName name="Rqst_BU_NBR">#REF!</definedName>
    <definedName name="Rqst_BU_Nm">#REF!</definedName>
    <definedName name="rr\">#REF!</definedName>
    <definedName name="rrby">#REF!</definedName>
    <definedName name="RRCALC">#REF!</definedName>
    <definedName name="rs">#REF!</definedName>
    <definedName name="RSA">#REF!</definedName>
    <definedName name="RSF">#REF!</definedName>
    <definedName name="rtbwrtbtr">#REF!</definedName>
    <definedName name="rtrtrt" localSheetId="2">OFFSET([0]!Full_Print,0,0,ENROLLMENT!Last_Row)</definedName>
    <definedName name="rtrtrt" localSheetId="1">OFFSET([0]!Full_Print,0,0,[0]!Last_Row)</definedName>
    <definedName name="rtrtrt" localSheetId="3">OFFSET([0]!Full_Print,0,0,[0]!Last_Row)</definedName>
    <definedName name="rtrtrt">#N/A</definedName>
    <definedName name="Run_Dt">#REF!</definedName>
    <definedName name="run_tm">#REF!</definedName>
    <definedName name="RUNSD">#REF!</definedName>
    <definedName name="ruth">#REF!</definedName>
    <definedName name="Rwvu.allocations.">#REF!</definedName>
    <definedName name="Rwvu.annual._.hotel.">#REF!</definedName>
    <definedName name="Rwvu.bottom._.line.">#REF!</definedName>
    <definedName name="Rwvu.cash._.flow.">#REF!</definedName>
    <definedName name="Rwvu.combo.">#REF!</definedName>
    <definedName name="Rwvu.offsite.">#REF!</definedName>
    <definedName name="Rwvu.onsite.">#REF!</definedName>
    <definedName name="s">#REF!</definedName>
    <definedName name="s\">#REF!</definedName>
    <definedName name="sa" localSheetId="4"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 localSheetId="2"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 localSheetId="1"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 localSheetId="5"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 localSheetId="8"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 localSheetId="3"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saa" hidden="1">{"rtn",#N/A,FALSE,"RTN";"tables",#N/A,FALSE,"RTN";"cf",#N/A,FALSE,"CF";"stats",#N/A,FALSE,"Stats";"prop",#N/A,FALSE,"Prop"}</definedName>
    <definedName name="SACS_GOAL">#REF!</definedName>
    <definedName name="SACS_RSC">#REF!</definedName>
    <definedName name="SACSFunction">#REF!</definedName>
    <definedName name="SACSGoal">#REF!</definedName>
    <definedName name="SACSGOAL1">#REF!</definedName>
    <definedName name="SACSObject">#REF!</definedName>
    <definedName name="SACSResource">#REF!</definedName>
    <definedName name="SACSStructure">#REF!</definedName>
    <definedName name="sadd" hidden="1">{"MonthlyRentRoll",#N/A,FALSE,"RentRoll"}</definedName>
    <definedName name="sadd1" hidden="1">{"MonthlyRentRoll",#N/A,FALSE,"RentRoll"}</definedName>
    <definedName name="sadd2" hidden="1">{"MonthlyRentRoll",#N/A,FALSE,"RentRoll"}</definedName>
    <definedName name="sadd22" hidden="1">{"MonthlyRentRoll",#N/A,FALSE,"RentRoll"}</definedName>
    <definedName name="saddd" hidden="1">{"AnnualRentRoll",#N/A,FALSE,"RentRoll"}</definedName>
    <definedName name="saddd2" hidden="1">{"AnnualRentRoll",#N/A,FALSE,"RentRoll"}</definedName>
    <definedName name="sadddd2" hidden="1">{"AnnualRentRoll",#N/A,FALSE,"RentRoll"}</definedName>
    <definedName name="saddddd" hidden="1">{"AnnualRentRoll",#N/A,FALSE,"RentRoll"}</definedName>
    <definedName name="saddddddd2" hidden="1">{#N/A,#N/A,FALSE,"ExitStratigy"}</definedName>
    <definedName name="sadddddddd" hidden="1">{#N/A,#N/A,FALSE,"ExitStratigy"}</definedName>
    <definedName name="saddddddddd2" hidden="1">{#N/A,#N/A,FALSE,"LoanAssumptions"}</definedName>
    <definedName name="sadddddddddd" hidden="1">{#N/A,#N/A,FALSE,"LoanAssumptions"}</definedName>
    <definedName name="saddddddddddd2" hidden="1">{#N/A,#N/A,FALSE,"OperatingAssumptions"}</definedName>
    <definedName name="saddddddddddddd" hidden="1">{#N/A,#N/A,FALSE,"OperatingAssumptions"}</definedName>
    <definedName name="Sage_lookup">#REF!</definedName>
    <definedName name="Sal">#REF!</definedName>
    <definedName name="sal_adj_1q">#REF!</definedName>
    <definedName name="SAL_PERCENT_1">#REF!</definedName>
    <definedName name="SAL_PERCENT_2">#REF!</definedName>
    <definedName name="SAL_PERCENT_3">#REF!</definedName>
    <definedName name="SAL_PERCENT_4">#REF!</definedName>
    <definedName name="SAL_PERCENT_YR_1">#REF!</definedName>
    <definedName name="SAL_PERCENT_YR_2">#REF!</definedName>
    <definedName name="SAL_PERCENT_YR_3">#REF!</definedName>
    <definedName name="SAL_PERCENT_YR_4">#REF!</definedName>
    <definedName name="SALARY_BASE_YR">#REF!</definedName>
    <definedName name="Salary_Scale">#REF!</definedName>
    <definedName name="salary1">#REF!</definedName>
    <definedName name="salary2">#REF!</definedName>
    <definedName name="salary3">#REF!</definedName>
    <definedName name="salary4">#REF!</definedName>
    <definedName name="SalaryIncrease">#REF!</definedName>
    <definedName name="Sale">#REF!</definedName>
    <definedName name="SALE_CAP">#REF!</definedName>
    <definedName name="Sale_Month">#REF!</definedName>
    <definedName name="Sale_Mult">#REF!</definedName>
    <definedName name="SALE_YEAR">#REF!</definedName>
    <definedName name="salecosts">#REF!</definedName>
    <definedName name="Sales">#REF!</definedName>
    <definedName name="sales_duration">#REF!</definedName>
    <definedName name="SalesQuarter">#REF!</definedName>
    <definedName name="SALESTAX">#REF!</definedName>
    <definedName name="saleyr">#REF!</definedName>
    <definedName name="SalInfl">#REF!</definedName>
    <definedName name="SalRate">#REF!</definedName>
    <definedName name="SAMPLE">#REF!</definedName>
    <definedName name="Santa_Rosa">#REF!</definedName>
    <definedName name="SAPBEXdnldView" hidden="1">"4GKQGA68BTJSRT8MI528THIA3"</definedName>
    <definedName name="SAPBEXsysID" hidden="1">"PB1"</definedName>
    <definedName name="Sarasota">#REF!</definedName>
    <definedName name="sas" hidden="1">{"Outflow 1",#N/A,FALSE,"Outflows-Inflows";"Outflow 2",#N/A,FALSE,"Outflows-Inflows";"Inflow 1",#N/A,FALSE,"Outflows-Inflows";"Inflow 2",#N/A,FALSE,"Outflows-Inflows"}</definedName>
    <definedName name="sasf">#REF!</definedName>
    <definedName name="SAVE">#REF!</definedName>
    <definedName name="SAVE_A1">#REF!</definedName>
    <definedName name="SAVE_A2">#REF!</definedName>
    <definedName name="SAVE_A3">#REF!</definedName>
    <definedName name="SAVE_A4">#REF!</definedName>
    <definedName name="SAVE_A5">#REF!</definedName>
    <definedName name="SAVE_A6">#REF!</definedName>
    <definedName name="SAVE_A7">#REF!</definedName>
    <definedName name="SAVE_B1">#REF!</definedName>
    <definedName name="SAVE_B2">#REF!</definedName>
    <definedName name="SAVE_B3">#REF!</definedName>
    <definedName name="SAVE_B4">#REF!</definedName>
    <definedName name="SAVE_B5">#REF!</definedName>
    <definedName name="SAVE_B6">#REF!</definedName>
    <definedName name="SAVE_B7">#REF!</definedName>
    <definedName name="SAVE_C1">#REF!</definedName>
    <definedName name="SAVE_C2">#REF!</definedName>
    <definedName name="SAVE_C3">#REF!</definedName>
    <definedName name="SAVE_C4">#REF!</definedName>
    <definedName name="SAVE_C5">#REF!</definedName>
    <definedName name="SAVE_C6">#REF!</definedName>
    <definedName name="SAVE_C7">#REF!</definedName>
    <definedName name="SAVE1">#REF!</definedName>
    <definedName name="Savings">#REF!</definedName>
    <definedName name="SB740_Cost_Accounts">#REF!</definedName>
    <definedName name="SB740_LeaseProrate_Yr1">#REF!</definedName>
    <definedName name="SB740_LeaseProrate_Yr2">#REF!</definedName>
    <definedName name="SB740_LeaseProrate_Yr3">#REF!</definedName>
    <definedName name="SB740_LeaseProrate_Yr4">#REF!</definedName>
    <definedName name="SB740_LeaseProrate_Yr5">#REF!</definedName>
    <definedName name="SB740_LeaseProrate_Yr6">#REF!</definedName>
    <definedName name="SB740_OCProrate_Yr1">#REF!</definedName>
    <definedName name="SB740_OCProrate_Yr2">#REF!</definedName>
    <definedName name="SB740_OCProrate_Yr3">#REF!</definedName>
    <definedName name="SB740_OCProrate_Yr4">#REF!</definedName>
    <definedName name="SB740_OCProrate_Yr5">#REF!</definedName>
    <definedName name="SB740_OCProrate_Yr6">#REF!</definedName>
    <definedName name="SB740_per_ADA_Y1">#REF!</definedName>
    <definedName name="SB740_per_ADA_Y2">#REF!</definedName>
    <definedName name="SB740_per_ADA_Y3">#REF!</definedName>
    <definedName name="SB740_per_ADA_Y4">#REF!</definedName>
    <definedName name="SB740_per_ADA_Y5">#REF!</definedName>
    <definedName name="SB740_per_ADA_Y6">#REF!</definedName>
    <definedName name="SB740_Percent_Y1">#REF!</definedName>
    <definedName name="SB740_Percent_Y2">#REF!</definedName>
    <definedName name="SB740_Percent_Y3">#REF!</definedName>
    <definedName name="SB740_Percent_Y4">#REF!</definedName>
    <definedName name="SB740_Percent_Y5">#REF!</definedName>
    <definedName name="SB740_Percent_Y6">#REF!</definedName>
    <definedName name="SB740_Prorate_Yr1">#REF!</definedName>
    <definedName name="SB740_Prorate_Yr2">#REF!</definedName>
    <definedName name="SB740_Prorate_Yr3">#REF!</definedName>
    <definedName name="SB740_Prorate_Yr4">#REF!</definedName>
    <definedName name="SB740_Prorate_Yr5">#REF!</definedName>
    <definedName name="SB740_Prorate_Yr6">#REF!</definedName>
    <definedName name="SB740_Schedule">#REF!</definedName>
    <definedName name="sbp">#REF!</definedName>
    <definedName name="SC">#REF!</definedName>
    <definedName name="SC_1">#REF!</definedName>
    <definedName name="SC_2">#REF!</definedName>
    <definedName name="SC_3">#REF!</definedName>
    <definedName name="scalebump18">#REF!</definedName>
    <definedName name="Scalebump18amount">#REF!</definedName>
    <definedName name="Scalebump18percent">#REF!</definedName>
    <definedName name="scalebump19">#REF!</definedName>
    <definedName name="scalebump19percent">#REF!</definedName>
    <definedName name="scalebump20">#REF!</definedName>
    <definedName name="scalebump20percent">#REF!</definedName>
    <definedName name="scalebump21">#REF!</definedName>
    <definedName name="scalebump21percent">#REF!</definedName>
    <definedName name="scc">#REF!</definedName>
    <definedName name="scd">#REF!</definedName>
    <definedName name="scen1">#REF!</definedName>
    <definedName name="SCEN2">#REF!</definedName>
    <definedName name="scen3">#REF!</definedName>
    <definedName name="Scenario">#REF!</definedName>
    <definedName name="scenario_lookup">#REF!</definedName>
    <definedName name="ScenarioTable">#REF!</definedName>
    <definedName name="ScenarioTableRes">#REF!</definedName>
    <definedName name="Sched_Pay">#REF!</definedName>
    <definedName name="Schedule">#REF!</definedName>
    <definedName name="Schedule_360">#REF!</definedName>
    <definedName name="Schedule_Dates">#REF!</definedName>
    <definedName name="Scheduled_Extra_Payments">#REF!</definedName>
    <definedName name="Scheduled_Interest_Rate">#REF!</definedName>
    <definedName name="Scheduled_Monthly_Payment">#REF!</definedName>
    <definedName name="ScheduledNumberOfPayments">#REF!</definedName>
    <definedName name="ScheduledPayment">#REF!</definedName>
    <definedName name="School">#REF!</definedName>
    <definedName name="School_Capacity">#REF!</definedName>
    <definedName name="School_data">#REF!</definedName>
    <definedName name="School_Fiscal">#REF!</definedName>
    <definedName name="school_legend">#REF!</definedName>
    <definedName name="School_List">#REF!</definedName>
    <definedName name="School_Name">#REF!</definedName>
    <definedName name="School_Non_School">#REF!</definedName>
    <definedName name="school_number">#REF!</definedName>
    <definedName name="School_Site_Name">#REF!</definedName>
    <definedName name="School_Year">#REF!</definedName>
    <definedName name="School_Year__Days">#REF!</definedName>
    <definedName name="School_Year_Days">#REF!</definedName>
    <definedName name="School1">#REF!</definedName>
    <definedName name="School1ADAYear0">#REF!</definedName>
    <definedName name="School1ADAYear1">#REF!</definedName>
    <definedName name="School1ADAYear2">#REF!</definedName>
    <definedName name="School1ADAYear3">#REF!</definedName>
    <definedName name="School1BegBal">#REF!</definedName>
    <definedName name="School1BegCash">#REF!</definedName>
    <definedName name="School1EnrollYear0">#REF!</definedName>
    <definedName name="School1EnrollYear1">#REF!</definedName>
    <definedName name="School1EnrollYear2">#REF!</definedName>
    <definedName name="School1EnrollYear3">#REF!</definedName>
    <definedName name="School1Fund">#REF!</definedName>
    <definedName name="School1PriorEPA">#REF!</definedName>
    <definedName name="School1PriorILPT">#REF!</definedName>
    <definedName name="School1PriorStateAid">#REF!</definedName>
    <definedName name="School1UndupPer">#REF!</definedName>
    <definedName name="School2">#REF!</definedName>
    <definedName name="School2ADAYear0">#REF!</definedName>
    <definedName name="School2ADAYear1">#REF!</definedName>
    <definedName name="School2ADAYear2">#REF!</definedName>
    <definedName name="School2ADAYear3">#REF!</definedName>
    <definedName name="School2BegBal">#REF!</definedName>
    <definedName name="School2BegCash">#REF!</definedName>
    <definedName name="School2EnrollYear0">#REF!</definedName>
    <definedName name="School2EnrollYear1">#REF!</definedName>
    <definedName name="School2EnrollYear2">#REF!</definedName>
    <definedName name="School2EnrollYear3">#REF!</definedName>
    <definedName name="School2Fund">#REF!</definedName>
    <definedName name="School2PriorEPA">#REF!</definedName>
    <definedName name="School2PriorILPT">#REF!</definedName>
    <definedName name="School2PriorStateAid">#REF!</definedName>
    <definedName name="School2UndupPer">#REF!</definedName>
    <definedName name="School3">#REF!</definedName>
    <definedName name="School3ADAYear0">#REF!</definedName>
    <definedName name="School3ADAYear1">#REF!</definedName>
    <definedName name="School3ADAYear2">#REF!</definedName>
    <definedName name="School3ADAYear3">#REF!</definedName>
    <definedName name="School3BegBal">#REF!</definedName>
    <definedName name="School3BegCash">#REF!</definedName>
    <definedName name="School3EnrollYear0">#REF!</definedName>
    <definedName name="School3EnrollYear1">#REF!</definedName>
    <definedName name="School3EnrollYear2">#REF!</definedName>
    <definedName name="School3EnrollYear3">#REF!</definedName>
    <definedName name="School3Fund">#REF!</definedName>
    <definedName name="School3PriorEPA">#REF!</definedName>
    <definedName name="School3PriorILPT">#REF!</definedName>
    <definedName name="School3PriorStateAid">#REF!</definedName>
    <definedName name="School3UndupPer">#REF!</definedName>
    <definedName name="SchoolAbreviation">#REF!</definedName>
    <definedName name="SchoolDays">#REF!</definedName>
    <definedName name="SchoolDetailExpanded">#REF!</definedName>
    <definedName name="SchoolFundRate">#REF!</definedName>
    <definedName name="SchoolFundStatus">#REF!</definedName>
    <definedName name="SchoolName">#REF!</definedName>
    <definedName name="SCHOOLS">#REF!</definedName>
    <definedName name="schoolstatus">#REF!</definedName>
    <definedName name="SchoolVariables">#REF!</definedName>
    <definedName name="Science_Lab_Materials_Allocation">#REF!</definedName>
    <definedName name="scn">#REF!</definedName>
    <definedName name="scr">#REF!</definedName>
    <definedName name="sd">#REF!</definedName>
    <definedName name="sdaf">#REF!</definedName>
    <definedName name="SDATE">#REF!</definedName>
    <definedName name="sdf">#REF!</definedName>
    <definedName name="sdfass" hidden="1">{"Outflow 1",#N/A,FALSE,"Outflows-Inflows";"Outflow 2",#N/A,FALSE,"Outflows-Inflows";"Inflow 1",#N/A,FALSE,"Outflows-Inflows";"Inflow 2",#N/A,FALSE,"Outflows-Inflows"}</definedName>
    <definedName name="sdfg" hidden="1">{"Summaryall",#N/A,FALSE,"Model";"5 Year Argus Office/Retail Properties",#N/A,FALSE,"Office-Retail Argus 2002-2006";"Joint Ventures",#N/A,FALSE,"Joint Ventures";"Hotelall",#N/A,FALSE,"Hotel";"RDVall",#N/A,FALSE,"LDV";"Otherall",#N/A,FALSE,"Other";"Dispoall",#N/A,FALSE,"Dispositions"}</definedName>
    <definedName name="sdfg_2" hidden="1">{"Summaryall",#N/A,FALSE,"Model";"5 Year Argus Office/Retail Properties",#N/A,FALSE,"Office-Retail Argus 2002-2006";"Joint Ventures",#N/A,FALSE,"Joint Ventures";"Hotelall",#N/A,FALSE,"Hotel";"RDVall",#N/A,FALSE,"LDV";"Otherall",#N/A,FALSE,"Other";"Dispoall",#N/A,FALSE,"Dispositions"}</definedName>
    <definedName name="sdfgfd">#REF!</definedName>
    <definedName name="sdfsd">#REF!</definedName>
    <definedName name="sdfsdf">#REF!</definedName>
    <definedName name="sdg">#REF!</definedName>
    <definedName name="sdi">#REF!</definedName>
    <definedName name="SE4094_PERCENT_YR_1">#REF!</definedName>
    <definedName name="SE4094_PERCENT_YR_2">#REF!</definedName>
    <definedName name="SE4094_PERCENT_YR_3">#REF!</definedName>
    <definedName name="SE4094_PERCENT_YR_4">#REF!</definedName>
    <definedName name="SE4096_PERCENT_YR_1">#REF!</definedName>
    <definedName name="SE4096_PERCENT_YR_2">#REF!</definedName>
    <definedName name="SE4096_PERCENT_YR_3">#REF!</definedName>
    <definedName name="SE4096_PERCENT_YR_4">#REF!</definedName>
    <definedName name="Season">#REF!</definedName>
    <definedName name="seasonality">#REF!</definedName>
    <definedName name="Seasonality_Factor">#REF!</definedName>
    <definedName name="seatwait">#REF!</definedName>
    <definedName name="sec">#REF!</definedName>
    <definedName name="SEC_DEP_INC_DEC_CODE">#REF!</definedName>
    <definedName name="SECNorm0506">#REF!</definedName>
    <definedName name="SECNorm0607">#REF!</definedName>
    <definedName name="Secondary">#REF!</definedName>
    <definedName name="SecondSpot">#REF!</definedName>
    <definedName name="SecondYear">#REF!</definedName>
    <definedName name="SECTION_29_BASE_YR">#REF!</definedName>
    <definedName name="SECTION_29_YR_1">#REF!</definedName>
    <definedName name="SECTION_29_YR_2">#REF!</definedName>
    <definedName name="SECTION_29_YR_3">#REF!</definedName>
    <definedName name="SECTION_29_YR_4">#REF!</definedName>
    <definedName name="Section_Size">#REF!</definedName>
    <definedName name="Section2ACapitalDetail">#REF!</definedName>
    <definedName name="Section2ADebtDetail">#REF!</definedName>
    <definedName name="Section2ADetail">#REF!</definedName>
    <definedName name="SectionA2">#REF!</definedName>
    <definedName name="SectionA2Total">#REF!</definedName>
    <definedName name="Sections">#REF!</definedName>
    <definedName name="securities">#REF!</definedName>
    <definedName name="Security">#REF!</definedName>
    <definedName name="SeedCap_Funding_Date">#REF!</definedName>
    <definedName name="seek_to_zero">#REF!</definedName>
    <definedName name="segassum">#REF!</definedName>
    <definedName name="segassum1">#REF!</definedName>
    <definedName name="segmenta">#REF!</definedName>
    <definedName name="segmentb">#REF!</definedName>
    <definedName name="segmentc">#REF!</definedName>
    <definedName name="segmentd">#REF!</definedName>
    <definedName name="SEi">#REF!</definedName>
    <definedName name="SEIII">#REF!</definedName>
    <definedName name="SEIV">#REF!</definedName>
    <definedName name="SelectedCoreTeacher">#REF!</definedName>
    <definedName name="SelectedDRATeacher">#REF!</definedName>
    <definedName name="SelectedMathTeacher">#REF!</definedName>
    <definedName name="SelectedSWTeacher">#REF!</definedName>
    <definedName name="SelfDistr">#REF!</definedName>
    <definedName name="SelfFtv">#REF!</definedName>
    <definedName name="SelfPtv">#REF!</definedName>
    <definedName name="SelfTh">#REF!</definedName>
    <definedName name="SelfVid">#REF!</definedName>
    <definedName name="SELPA">#REF!</definedName>
    <definedName name="Seminole">#REF!</definedName>
    <definedName name="Sen_Rate">#REF!</definedName>
    <definedName name="sencount" hidden="1">2</definedName>
    <definedName name="SENDBL">#REF!</definedName>
    <definedName name="SENDMAT">#REF!</definedName>
    <definedName name="SENSITIVITIES">#REF!</definedName>
    <definedName name="sensitivity" localSheetId="4" hidden="1">{#N/A,#N/A,FALSE,"Page 2";#N/A,#N/A,FALSE,"Page 1A";#N/A,#N/A,FALSE,"Page 1B";#N/A,#N/A,FALSE,"ExecSum";#N/A,#N/A,FALSE,"Budget";#N/A,#N/A,FALSE,"Lease Summary";#N/A,#N/A,FALSE,"Summary1";#N/A,#N/A,FALSE,"CashFlow";#N/A,#N/A,FALSE,"Page 3";#N/A,#N/A,FALSE,"Page 4";#N/A,#N/A,FALSE,"Carry"}</definedName>
    <definedName name="sensitivity" localSheetId="2" hidden="1">{#N/A,#N/A,FALSE,"Page 2";#N/A,#N/A,FALSE,"Page 1A";#N/A,#N/A,FALSE,"Page 1B";#N/A,#N/A,FALSE,"ExecSum";#N/A,#N/A,FALSE,"Budget";#N/A,#N/A,FALSE,"Lease Summary";#N/A,#N/A,FALSE,"Summary1";#N/A,#N/A,FALSE,"CashFlow";#N/A,#N/A,FALSE,"Page 3";#N/A,#N/A,FALSE,"Page 4";#N/A,#N/A,FALSE,"Carry"}</definedName>
    <definedName name="sensitivity" localSheetId="1" hidden="1">{#N/A,#N/A,FALSE,"Page 2";#N/A,#N/A,FALSE,"Page 1A";#N/A,#N/A,FALSE,"Page 1B";#N/A,#N/A,FALSE,"ExecSum";#N/A,#N/A,FALSE,"Budget";#N/A,#N/A,FALSE,"Lease Summary";#N/A,#N/A,FALSE,"Summary1";#N/A,#N/A,FALSE,"CashFlow";#N/A,#N/A,FALSE,"Page 3";#N/A,#N/A,FALSE,"Page 4";#N/A,#N/A,FALSE,"Carry"}</definedName>
    <definedName name="sensitivity" localSheetId="5" hidden="1">{#N/A,#N/A,FALSE,"Page 2";#N/A,#N/A,FALSE,"Page 1A";#N/A,#N/A,FALSE,"Page 1B";#N/A,#N/A,FALSE,"ExecSum";#N/A,#N/A,FALSE,"Budget";#N/A,#N/A,FALSE,"Lease Summary";#N/A,#N/A,FALSE,"Summary1";#N/A,#N/A,FALSE,"CashFlow";#N/A,#N/A,FALSE,"Page 3";#N/A,#N/A,FALSE,"Page 4";#N/A,#N/A,FALSE,"Carry"}</definedName>
    <definedName name="sensitivity" localSheetId="8" hidden="1">{#N/A,#N/A,FALSE,"Page 2";#N/A,#N/A,FALSE,"Page 1A";#N/A,#N/A,FALSE,"Page 1B";#N/A,#N/A,FALSE,"ExecSum";#N/A,#N/A,FALSE,"Budget";#N/A,#N/A,FALSE,"Lease Summary";#N/A,#N/A,FALSE,"Summary1";#N/A,#N/A,FALSE,"CashFlow";#N/A,#N/A,FALSE,"Page 3";#N/A,#N/A,FALSE,"Page 4";#N/A,#N/A,FALSE,"Carry"}</definedName>
    <definedName name="sensitivity" localSheetId="3" hidden="1">{#N/A,#N/A,FALSE,"Page 2";#N/A,#N/A,FALSE,"Page 1A";#N/A,#N/A,FALSE,"Page 1B";#N/A,#N/A,FALSE,"ExecSum";#N/A,#N/A,FALSE,"Budget";#N/A,#N/A,FALSE,"Lease Summary";#N/A,#N/A,FALSE,"Summary1";#N/A,#N/A,FALSE,"CashFlow";#N/A,#N/A,FALSE,"Page 3";#N/A,#N/A,FALSE,"Page 4";#N/A,#N/A,FALSE,"Carry"}</definedName>
    <definedName name="sensitivity" hidden="1">{#N/A,#N/A,FALSE,"Page 2";#N/A,#N/A,FALSE,"Page 1A";#N/A,#N/A,FALSE,"Page 1B";#N/A,#N/A,FALSE,"ExecSum";#N/A,#N/A,FALSE,"Budget";#N/A,#N/A,FALSE,"Lease Summary";#N/A,#N/A,FALSE,"Summary1";#N/A,#N/A,FALSE,"CashFlow";#N/A,#N/A,FALSE,"Page 3";#N/A,#N/A,FALSE,"Page 4";#N/A,#N/A,FALSE,"Carry"}</definedName>
    <definedName name="Sensitivity_2" hidden="1">{"mgmt forecast",#N/A,FALSE,"Mgmt Forecast";"dcf table",#N/A,FALSE,"Mgmt Forecast";"sensitivity",#N/A,FALSE,"Mgmt Forecast";"table inputs",#N/A,FALSE,"Mgmt Forecast";"calculations",#N/A,FALSE,"Mgmt Forecast"}</definedName>
    <definedName name="sept">#REF!</definedName>
    <definedName name="september">#REF!</definedName>
    <definedName name="Service_Categories">#REF!</definedName>
    <definedName name="ServicesTest">#REF!</definedName>
    <definedName name="ServicesTestBudgetData">#REF!</definedName>
    <definedName name="ServicesTestBudgetDataFIB">#REF!</definedName>
    <definedName name="SetupBudgetYears">#REF!</definedName>
    <definedName name="SetupBudgetYearYears">#REF!</definedName>
    <definedName name="SEV">#REF!</definedName>
    <definedName name="SEVI">#REF!</definedName>
    <definedName name="SEVii">#REF!</definedName>
    <definedName name="SEX">#REF!</definedName>
    <definedName name="SF">#REF!</definedName>
    <definedName name="SF_BLDG">#REF!</definedName>
    <definedName name="sfbe">#REF!</definedName>
    <definedName name="sfd">#REF!</definedName>
    <definedName name="SFEXIST">#REF!</definedName>
    <definedName name="sfghsfgh" hidden="1">{"CF",#N/A,FALSE,"Cash Flow";"RET",#N/A,FALSE,"Returns";"NPV",#N/A,FALSE,"Values";"ASMPT",#N/A,FALSE,"Assumptions"}</definedName>
    <definedName name="sfghsfgh_2" hidden="1">{"CF",#N/A,FALSE,"Cash Flow";"RET",#N/A,FALSE,"Returns";"NPV",#N/A,FALSE,"Values";"ASMPT",#N/A,FALSE,"Assumptions"}</definedName>
    <definedName name="SFinAcre">#REF!</definedName>
    <definedName name="SFINCR">#REF!</definedName>
    <definedName name="SFNEW">#REF!</definedName>
    <definedName name="SFR">#REF!</definedName>
    <definedName name="SFT">#REF!</definedName>
    <definedName name="SFV">#REF!</definedName>
    <definedName name="SGI">#REF!</definedName>
    <definedName name="SGL">#REF!</definedName>
    <definedName name="share">#REF!</definedName>
    <definedName name="Shares_Issued_Debt">#REF!</definedName>
    <definedName name="Shares_Issued_Option">#REF!</definedName>
    <definedName name="Shares_Issued_Preferred">#REF!</definedName>
    <definedName name="sheet1">#REF!</definedName>
    <definedName name="ShellTI">#REF!</definedName>
    <definedName name="SHI">#REF!</definedName>
    <definedName name="SHINBERG_CofO">#REF!</definedName>
    <definedName name="SHINBERG_COMMENTS">#REF!</definedName>
    <definedName name="SHINBERG_COMMENTS_2">#REF!</definedName>
    <definedName name="SHINBERG_CONST_FEE">#REF!</definedName>
    <definedName name="SHINBERG_CONST_START">#REF!</definedName>
    <definedName name="SHINBERG_DB_FEE">#REF!</definedName>
    <definedName name="SHINBERG_DDCD">#REF!</definedName>
    <definedName name="SHINBERG_DES_FEE">#REF!</definedName>
    <definedName name="SHINBERG_DES_START">#REF!</definedName>
    <definedName name="SHINBERG_DETAILS_DES_FEE">#REF!</definedName>
    <definedName name="SHINBERG_FINISH">#REF!</definedName>
    <definedName name="SHINBERG_PREC_FEE">#REF!</definedName>
    <definedName name="Show">#REF!</definedName>
    <definedName name="ShowName">#REF!</definedName>
    <definedName name="ShowName2">#REF!</definedName>
    <definedName name="SIBExpense">#REF!</definedName>
    <definedName name="Sick_Days_Payout">#REF!</definedName>
    <definedName name="Sick_Days_Unused">#REF!</definedName>
    <definedName name="SIENNA" hidden="1">#REF!</definedName>
    <definedName name="SIGN">#REF!</definedName>
    <definedName name="Site">#REF!</definedName>
    <definedName name="Site_Codes">#REF!</definedName>
    <definedName name="SiteABVs">#REF!</definedName>
    <definedName name="SiteRange" localSheetId="4">OFFSET(RawSiteRange,0,1,1,COLUMNS(RawSiteRange)-2)</definedName>
    <definedName name="SiteRange" localSheetId="5">OFFSET(RawSiteRange,0,1,1,COLUMNS(RawSiteRange)-2)</definedName>
    <definedName name="SiteRange" localSheetId="8">OFFSET(RawSiteRange,0,1,1,COLUMNS(RawSiteRange)-2)</definedName>
    <definedName name="SiteRange">OFFSET(RawSiteRange,0,1,1,COLUMNS(RawSiteRange)-2)</definedName>
    <definedName name="SITEWORK">#REF!</definedName>
    <definedName name="Sizeadj">#REF!</definedName>
    <definedName name="SizingColumn">#REF!</definedName>
    <definedName name="SLA_Counselor">#REF!</definedName>
    <definedName name="Sliding_Percent">#REF!</definedName>
    <definedName name="SLOT">#REF!</definedName>
    <definedName name="slotwinM">#REF!</definedName>
    <definedName name="slotwinY">#REF!</definedName>
    <definedName name="SLV">#REF!</definedName>
    <definedName name="Small_Capacity">#REF!</definedName>
    <definedName name="SMOKTREE">#N/A</definedName>
    <definedName name="SMOOT_CofO">#REF!</definedName>
    <definedName name="SMOOT_COMMENTS">#REF!</definedName>
    <definedName name="SMOOT_COMMENTS_2">#REF!</definedName>
    <definedName name="SMOOT_CONST_START">#REF!</definedName>
    <definedName name="SMOOT_DDCD">#REF!</definedName>
    <definedName name="SMOOT_DES_START">#REF!</definedName>
    <definedName name="SMOOT_DETAILS_CONST_FEE">#REF!</definedName>
    <definedName name="SMOOT_DETAILS_DES_FEE">#REF!</definedName>
    <definedName name="SMOOT_FINISH">#REF!</definedName>
    <definedName name="SMOOTCM_CONST_FEE">#REF!</definedName>
    <definedName name="SMOOTCM_DB_FEE">#REF!</definedName>
    <definedName name="SMOOTCM_DES_FEE">#REF!</definedName>
    <definedName name="SMOOTCM_PREC_FEE">#REF!</definedName>
    <definedName name="SMOOTDB_CONST_FEE">#REF!</definedName>
    <definedName name="SMOOTDB_DB_FEE">#REF!</definedName>
    <definedName name="SMOOTDB_DES_FEE">#REF!</definedName>
    <definedName name="SMOOTDB_PREC_FEE">#REF!</definedName>
    <definedName name="SNOR_14_15_district_level">#REF!</definedName>
    <definedName name="SNOR_15_16_by_district">#REF!</definedName>
    <definedName name="so">#REF!</definedName>
    <definedName name="SocialSecurity">#REF!</definedName>
    <definedName name="Soft_Cost_Comparison">#REF!</definedName>
    <definedName name="Soft_Costs_Comparison">#REF!</definedName>
    <definedName name="softcosts">#REF!</definedName>
    <definedName name="solver_lin" hidden="1">0</definedName>
    <definedName name="solver_num" hidden="1">0</definedName>
    <definedName name="solver_typ" hidden="1">3</definedName>
    <definedName name="solver_val" hidden="1">0.6</definedName>
    <definedName name="SOP_Operational">#REF!</definedName>
    <definedName name="SORG_CofO">#REF!</definedName>
    <definedName name="SORG_COMMENTS">#REF!</definedName>
    <definedName name="SORG_COMMENTS_2">#REF!</definedName>
    <definedName name="SORG_CONST_FEE">#REF!</definedName>
    <definedName name="SORG_CONST_START">#REF!</definedName>
    <definedName name="SORG_DB_FEE">#REF!</definedName>
    <definedName name="SORG_DDCD">#REF!</definedName>
    <definedName name="SORG_DES_FEE">#REF!</definedName>
    <definedName name="SORG_DES_START">#REF!</definedName>
    <definedName name="SORG_DETAILS_DES_FEE">#REF!</definedName>
    <definedName name="SORG_FINISH">#REF!</definedName>
    <definedName name="SORG_PREC_FEE">#REF!</definedName>
    <definedName name="sort">#REF!</definedName>
    <definedName name="SortRange">#REF!</definedName>
    <definedName name="sources">#REF!</definedName>
    <definedName name="South_Carolina">#REF!</definedName>
    <definedName name="South_Dakota">#REF!</definedName>
    <definedName name="Sparsity_Supplement">#REF!</definedName>
    <definedName name="spart" hidden="1">#REF!</definedName>
    <definedName name="specialistreplacement">#REF!</definedName>
    <definedName name="SPECIALTIES">#REF!</definedName>
    <definedName name="SPECRES">#REF!</definedName>
    <definedName name="SPECRES1000">#REF!</definedName>
    <definedName name="SPECRES2000">#REF!</definedName>
    <definedName name="SPECRES3000">#REF!</definedName>
    <definedName name="SPECRES4000">#REF!</definedName>
    <definedName name="SPECRES5000">#REF!</definedName>
    <definedName name="SPECRES6000">#REF!</definedName>
    <definedName name="SPECRES7000">#REF!</definedName>
    <definedName name="SPECRESDESBAL">#REF!</definedName>
    <definedName name="SPECRESECONUNC">#REF!</definedName>
    <definedName name="SPECRESECONUNCERT">#REF!</definedName>
    <definedName name="SPECRESPREPEXP">#REF!</definedName>
    <definedName name="SPECRESRSV4ANTENDBAL">#REF!</definedName>
    <definedName name="SPECRESRSV4PTNEQ">#REF!</definedName>
    <definedName name="SPECRESRVLVNGFD">#REF!</definedName>
    <definedName name="SPECRESUNDESBAL">#REF!</definedName>
    <definedName name="SPED">#REF!</definedName>
    <definedName name="SPED_AB602">#REF!</definedName>
    <definedName name="SPED_Above_60">#REF!</definedName>
    <definedName name="SPED_Below_60">#REF!</definedName>
    <definedName name="SPED_IDEA">#REF!</definedName>
    <definedName name="SpEd_Model">#REF!</definedName>
    <definedName name="SPED18">#REF!</definedName>
    <definedName name="sped2">#REF!</definedName>
    <definedName name="sped3">#REF!</definedName>
    <definedName name="sped4">#REF!</definedName>
    <definedName name="SpEdHours">#REF!</definedName>
    <definedName name="SpEdNorm0506">#REF!</definedName>
    <definedName name="SpEdNorm0607">#REF!</definedName>
    <definedName name="SpEdStaff">#REF!</definedName>
    <definedName name="spend">#REF!</definedName>
    <definedName name="SPENDLIM">#REF!</definedName>
    <definedName name="SPFED">#REF!</definedName>
    <definedName name="split">#REF!</definedName>
    <definedName name="Split1">#REF!</definedName>
    <definedName name="Split2">#REF!</definedName>
    <definedName name="Split3">#REF!</definedName>
    <definedName name="SPM" hidden="1">{#N/A,#N/A,FALSE,"Cashflow Analysis";#N/A,#N/A,FALSE,"Sensitivity Analysis";#N/A,#N/A,FALSE,"PV";#N/A,#N/A,FALSE,"Pro Forma"}</definedName>
    <definedName name="SPM.2" hidden="1">{#N/A,#N/A,FALSE,"Cashflow Analysis";#N/A,#N/A,FALSE,"Sensitivity Analysis";#N/A,#N/A,FALSE,"PV";#N/A,#N/A,FALSE,"Pro Forma"}</definedName>
    <definedName name="sponsortier1">#REF!</definedName>
    <definedName name="sponsortier2">#REF!</definedName>
    <definedName name="sponsortier3">#REF!</definedName>
    <definedName name="sponsortier4">#REF!</definedName>
    <definedName name="spread">#REF!</definedName>
    <definedName name="SqFT">#REF!</definedName>
    <definedName name="SQFTA">#REF!</definedName>
    <definedName name="SQFTB">#REF!</definedName>
    <definedName name="SQFTC">#REF!</definedName>
    <definedName name="SQFTD">#REF!</definedName>
    <definedName name="SQFTE">#REF!</definedName>
    <definedName name="SqFtg">#REF!</definedName>
    <definedName name="SQFTSA">#REF!</definedName>
    <definedName name="SQFTSB">#REF!</definedName>
    <definedName name="SQFTSC">#REF!</definedName>
    <definedName name="SQFTSD">#REF!</definedName>
    <definedName name="SQFTSE">#REF!</definedName>
    <definedName name="SQFTST">#REF!</definedName>
    <definedName name="SQFTT">#REF!</definedName>
    <definedName name="Square_Feet">#REF!</definedName>
    <definedName name="SquareFeet">#REF!</definedName>
    <definedName name="SquareFootage">#REF!</definedName>
    <definedName name="SRbkeven">#REF!</definedName>
    <definedName name="srghs" hidden="1">{"CF",#N/A,FALSE,"Cash Flow";"RET",#N/A,FALSE,"Returns";"NPV",#N/A,FALSE,"Values";"ASMPT",#N/A,FALSE,"Assumptions"}</definedName>
    <definedName name="srghs_2" hidden="1">{"CF",#N/A,FALSE,"Cash Flow";"RET",#N/A,FALSE,"Returns";"NPV",#N/A,FALSE,"Values";"ASMPT",#N/A,FALSE,"Assumptions"}</definedName>
    <definedName name="srsubdebt">#REF!</definedName>
    <definedName name="SS">#REF!</definedName>
    <definedName name="SS_2" hidden="1">{#N/A,#N/A,FALSE,"Summary Schedule Heller Ltd";#N/A,#N/A,FALSE,"Qtrly  heller Page 1";#N/A,#N/A,FALSE,"Qtrly heller Page 3"}</definedName>
    <definedName name="ss_i">#REF!</definedName>
    <definedName name="ss\">#REF!</definedName>
    <definedName name="SSC_BASE10">#REF!</definedName>
    <definedName name="SSC_BASE5">#REF!</definedName>
    <definedName name="SSC_BASE6">#REF!</definedName>
    <definedName name="SSC_BASE7">#REF!</definedName>
    <definedName name="SSC_BASE8">#REF!</definedName>
    <definedName name="SSC_BASE9">#REF!</definedName>
    <definedName name="SSC_BONUS5">#REF!</definedName>
    <definedName name="SSC_BONUS6">#REF!</definedName>
    <definedName name="SSC_BONUS7">#REF!</definedName>
    <definedName name="SSC_BONUS8">#REF!</definedName>
    <definedName name="SSC_BONUS9">#REF!</definedName>
    <definedName name="SSC_CODE1">#REF!</definedName>
    <definedName name="SSC_CODE2">#REF!</definedName>
    <definedName name="SSC_CODE3">#REF!</definedName>
    <definedName name="SSC_Operating">#REF!</definedName>
    <definedName name="SSC_Revenue">#REF!</definedName>
    <definedName name="SSC_s">#REF!</definedName>
    <definedName name="SSC_Staffing">#REF!</definedName>
    <definedName name="SSC_STIPEND5">#REF!</definedName>
    <definedName name="SSC_STIPEND6">#REF!</definedName>
    <definedName name="SSC_STIPEND7">#REF!</definedName>
    <definedName name="SSC_STIPEND8">#REF!</definedName>
    <definedName name="SSC_STIPEND9">#REF!</definedName>
    <definedName name="SSC_TOTAL10">#REF!</definedName>
    <definedName name="SSC_TOTAL11">#REF!</definedName>
    <definedName name="SSC_TOTAL5">#REF!</definedName>
    <definedName name="SSC_TOTAL6">#REF!</definedName>
    <definedName name="SSC_TOTAL7">#REF!</definedName>
    <definedName name="SSC_TOTAL8">#REF!</definedName>
    <definedName name="SSC_TOTAL9">#REF!</definedName>
    <definedName name="SSL">#REF!</definedName>
    <definedName name="SSM">#REF!</definedName>
    <definedName name="sssss">#REF!</definedName>
    <definedName name="SST">#REF!</definedName>
    <definedName name="sst_11">#REF!</definedName>
    <definedName name="SST_Allocations">#REF!</definedName>
    <definedName name="SST_Compensation">#REF!</definedName>
    <definedName name="SST_Fee">#REF!</definedName>
    <definedName name="sst_i">#REF!</definedName>
    <definedName name="SST_Rent">#REF!</definedName>
    <definedName name="SSTOHP">#REF!</definedName>
    <definedName name="ST" hidden="1">#REF!</definedName>
    <definedName name="St._Johns">#REF!</definedName>
    <definedName name="St._Lucie">#REF!</definedName>
    <definedName name="STAB">#REF!</definedName>
    <definedName name="STAB_VAC">#REF!</definedName>
    <definedName name="StabilizedDate">#REF!</definedName>
    <definedName name="Stack">#REF!</definedName>
    <definedName name="Staff">#REF!</definedName>
    <definedName name="Staff_Allocations">#REF!</definedName>
    <definedName name="STAFF_CHANGES_YR_1">#REF!</definedName>
    <definedName name="STAFF_CHANGES_YR_2">#REF!</definedName>
    <definedName name="STAFF_CHANGES_YR_3">#REF!</definedName>
    <definedName name="STAFF_CHANGES_YR_4">#REF!</definedName>
    <definedName name="STAFF_LOOKUP_TABLE_YR_1">#REF!</definedName>
    <definedName name="STAFF_LOOKUP_TABLE_YR_2">#REF!</definedName>
    <definedName name="STAFF_LOOKUP_TABLE_YR_3">#REF!</definedName>
    <definedName name="STAFF_LOOKUP_TABLE_YR_4">#REF!</definedName>
    <definedName name="Staff_Recruitment">#REF!</definedName>
    <definedName name="StaffCOLAYear2">#REF!</definedName>
    <definedName name="StaffCOLAYear3">#REF!</definedName>
    <definedName name="StaffCOLAYear4">#REF!</definedName>
    <definedName name="StaffCOLAYear5">#REF!</definedName>
    <definedName name="staffing">#REF!</definedName>
    <definedName name="STAFFING_CODING">#REF!</definedName>
    <definedName name="staffing.entity.list">#REF!</definedName>
    <definedName name="staffing.level.I.list">#REF!</definedName>
    <definedName name="staffing.level.II.list">#REF!</definedName>
    <definedName name="StaffName_HS">#REF!</definedName>
    <definedName name="StaffPD">#REF!</definedName>
    <definedName name="StaffSalary">#REF!</definedName>
    <definedName name="StaffType_HS">#REF!</definedName>
    <definedName name="STAR_Allocation">#REF!</definedName>
    <definedName name="STAR_HS_Allocation">#REF!</definedName>
    <definedName name="Star3">#REF!</definedName>
    <definedName name="Star4">#REF!</definedName>
    <definedName name="Start">#REF!</definedName>
    <definedName name="Start_Date">#REF!</definedName>
    <definedName name="Start_of_first_quarter">#REF!</definedName>
    <definedName name="StartDate">#REF!</definedName>
    <definedName name="StartDate_Yr1">#REF!</definedName>
    <definedName name="StartDate_Yr2">#REF!</definedName>
    <definedName name="StartDate_Yr3">#REF!</definedName>
    <definedName name="StartDate_Yr4">#REF!</definedName>
    <definedName name="StartDate_Yr5">#REF!</definedName>
    <definedName name="StartDate_Yr6">#REF!</definedName>
    <definedName name="StartingGrY1">#REF!</definedName>
    <definedName name="StartingGrY2">#REF!</definedName>
    <definedName name="StartingGrY3">#REF!</definedName>
    <definedName name="StartingGrY4">#REF!</definedName>
    <definedName name="StartingGrY5">#REF!</definedName>
    <definedName name="StartOfYear" localSheetId="4">#REF!</definedName>
    <definedName name="StartOfYear" localSheetId="5">#REF!</definedName>
    <definedName name="StartOfYear" localSheetId="8">[2]Setup!$D$13</definedName>
    <definedName name="StartOfYear" localSheetId="3">#REF!</definedName>
    <definedName name="StartOfYear">#REF!</definedName>
    <definedName name="StartYear">#REF!</definedName>
    <definedName name="STATACCT">#REF!</definedName>
    <definedName name="state_capital_outlay_percent">#REF!</definedName>
    <definedName name="STATE_CATEGORICAL_BASE_YR">#REF!</definedName>
    <definedName name="STATE_CATEGORICAL_PERCENT_YR_1">#REF!</definedName>
    <definedName name="STATE_CATEGORICAL_PERCENT_YR_2">#REF!</definedName>
    <definedName name="STATE_CATEGORICAL_PERCENT_YR_3">#REF!</definedName>
    <definedName name="STATE_CATEGORICAL_PERCENT_YR_4">#REF!</definedName>
    <definedName name="Statements" hidden="1">{"CF",#N/A,FALSE,"Cash Flow";"RET",#N/A,FALSE,"Returns";"NPV",#N/A,FALSE,"Values";"ASMPT",#N/A,FALSE,"Assumptions"}</definedName>
    <definedName name="Statements_2" hidden="1">{"CF",#N/A,FALSE,"Cash Flow";"RET",#N/A,FALSE,"Returns";"NPV",#N/A,FALSE,"Values";"ASMPT",#N/A,FALSE,"Assumptions"}</definedName>
    <definedName name="StateRevenueCalc">#REF!</definedName>
    <definedName name="StateRevenueCalcFIB">#REF!</definedName>
    <definedName name="StateRevenueCalcJuly">#REF!</definedName>
    <definedName name="Status">#REF!</definedName>
    <definedName name="STCF">#REF!</definedName>
    <definedName name="STCKPORT">#REF!</definedName>
    <definedName name="STCKPORT1">#REF!</definedName>
    <definedName name="STCKPORT2">#REF!</definedName>
    <definedName name="STCKPORT3">#REF!</definedName>
    <definedName name="STD">#REF!</definedName>
    <definedName name="SteinMart">#REF!</definedName>
    <definedName name="STEP_1">#REF!</definedName>
    <definedName name="STEP_2">#REF!</definedName>
    <definedName name="STEP_3">#REF!</definedName>
    <definedName name="STEP_4">#REF!</definedName>
    <definedName name="STEP_PERCENT_1">#REF!</definedName>
    <definedName name="STEP_PERCENT_2">#REF!</definedName>
    <definedName name="STEP_PERCENT_3">#REF!</definedName>
    <definedName name="STEP_PERCENT_4">#REF!</definedName>
    <definedName name="stepcert">#REF!</definedName>
    <definedName name="stepclass">#REF!</definedName>
    <definedName name="StepInc">#REF!</definedName>
    <definedName name="STINV">#N/A</definedName>
    <definedName name="Stipends">#REF!</definedName>
    <definedName name="stldate">#REF!</definedName>
    <definedName name="stldate1">#REF!</definedName>
    <definedName name="STNLDL">#REF!</definedName>
    <definedName name="Straight">#REF!</definedName>
    <definedName name="STRAT_EVAL">#REF!</definedName>
    <definedName name="STRS">#REF!</definedName>
    <definedName name="STRS14">#REF!</definedName>
    <definedName name="STRS15">#REF!</definedName>
    <definedName name="STRS16">#REF!</definedName>
    <definedName name="STRS17">#REF!</definedName>
    <definedName name="STRS18">#REF!</definedName>
    <definedName name="STRS19">#REF!</definedName>
    <definedName name="STRS20">#REF!</definedName>
    <definedName name="STRSCheck">#REF!</definedName>
    <definedName name="STRSrateYear2">#REF!</definedName>
    <definedName name="STRSrateYear3">#REF!</definedName>
    <definedName name="STRSrateYear4">#REF!</definedName>
    <definedName name="STRSrateYear5">#REF!</definedName>
    <definedName name="STUD_TEACH_RATIO">#REF!</definedName>
    <definedName name="Student_Days">#REF!</definedName>
    <definedName name="Student_Recruitment">#REF!</definedName>
    <definedName name="student_to_bep_conversion">#REF!</definedName>
    <definedName name="StudentDB">#REF!</definedName>
    <definedName name="StudentGrowth">#REF!</definedName>
    <definedName name="StudentList">#REF!</definedName>
    <definedName name="STUDENTS">#REF!</definedName>
    <definedName name="Students_Enrolled">#REF!</definedName>
    <definedName name="Students01">#REF!</definedName>
    <definedName name="Students02">#REF!</definedName>
    <definedName name="Students03">#REF!</definedName>
    <definedName name="Students04">#REF!</definedName>
    <definedName name="Students05">#REF!</definedName>
    <definedName name="Students06">#REF!</definedName>
    <definedName name="Students07">#REF!</definedName>
    <definedName name="Students08">#REF!</definedName>
    <definedName name="Students09">#REF!</definedName>
    <definedName name="Students10">#REF!</definedName>
    <definedName name="Students11">#REF!</definedName>
    <definedName name="Students12">#REF!</definedName>
    <definedName name="Students1st3rd">#REF!</definedName>
    <definedName name="Students4th5th">#REF!</definedName>
    <definedName name="Students6th8th">#REF!</definedName>
    <definedName name="Students9th12th">#REF!</definedName>
    <definedName name="StudentsAdult">#REF!</definedName>
    <definedName name="StudentsAlternative">#REF!</definedName>
    <definedName name="StudentsAtRisk">#REF!</definedName>
    <definedName name="StudentsAtRiskOverageHS">#REF!</definedName>
    <definedName name="StudentsDiscountNY">#REF!</definedName>
    <definedName name="StudentsDiscountOutYears">#REF!</definedName>
    <definedName name="StudentsESL">#REF!</definedName>
    <definedName name="StudentsESY1">#REF!</definedName>
    <definedName name="StudentsESY2">#REF!</definedName>
    <definedName name="StudentsESY3">#REF!</definedName>
    <definedName name="StudentsESY4">#REF!</definedName>
    <definedName name="StudentsFacilityNonResidential">#REF!</definedName>
    <definedName name="StudentsFacilityResidential">#REF!</definedName>
    <definedName name="StudentsK">#REF!</definedName>
    <definedName name="StudentsK12">#REF!</definedName>
    <definedName name="StudentsKindergarten">#REF!</definedName>
    <definedName name="StudentsLEPNEP">#REF!</definedName>
    <definedName name="StudentsLEPNEPES">#REF!</definedName>
    <definedName name="StudentsLEPNEPMSHS">#REF!</definedName>
    <definedName name="StudentsLEPNEPResidential">#REF!</definedName>
    <definedName name="StudentsLevel1">#REF!</definedName>
    <definedName name="StudentsLevel2">#REF!</definedName>
    <definedName name="StudentsLevel3">#REF!</definedName>
    <definedName name="StudentsLevel4">#REF!</definedName>
    <definedName name="StudentsPK">#REF!</definedName>
    <definedName name="StudentsPreKindergarten">#REF!</definedName>
    <definedName name="StudentsPreSchool">#REF!</definedName>
    <definedName name="StudentsPS">#REF!</definedName>
    <definedName name="StudentsPSK">#REF!</definedName>
    <definedName name="StudentsResidential">#REF!</definedName>
    <definedName name="StudentsSpecialEd">#REF!</definedName>
    <definedName name="StudentsSpecialEdSchool">#REF!</definedName>
    <definedName name="StudentsSpEd">#REF!</definedName>
    <definedName name="StudentsSpEdLevel1">#REF!</definedName>
    <definedName name="StudentsSpEdLevel2">#REF!</definedName>
    <definedName name="StudentsSpEdLevel3">#REF!</definedName>
    <definedName name="StudentsSpEdLevel4">#REF!</definedName>
    <definedName name="StudentsSpEdNew">#REF!</definedName>
    <definedName name="StudentsSpEdResidentialLevel1">#REF!</definedName>
    <definedName name="StudentsSpEdResidentialLevel2">#REF!</definedName>
    <definedName name="StudentsSpEdResidentialLevel3">#REF!</definedName>
    <definedName name="StudentsSpEdResidentialLevel4">#REF!</definedName>
    <definedName name="StudentsSpEdTotal">#REF!</definedName>
    <definedName name="StudentsSpEdWeighted">#REF!</definedName>
    <definedName name="StudentsSummerActual">#REF!</definedName>
    <definedName name="StudentsSummerPaid">#REF!</definedName>
    <definedName name="StudentsTable">#REF!</definedName>
    <definedName name="StudentsTitleI">#REF!</definedName>
    <definedName name="StudentsUngradedES">#REF!</definedName>
    <definedName name="StudentsUngradedHS">#REF!</definedName>
    <definedName name="StudentsUngradedMS">#REF!</definedName>
    <definedName name="SU">#REF!</definedName>
    <definedName name="Sub_Debts">#REF!</definedName>
    <definedName name="SubBudget">#REF!</definedName>
    <definedName name="Subcategory">#REF!</definedName>
    <definedName name="SUBCONTRACTS">#REF!</definedName>
    <definedName name="subdivision01">#REF!</definedName>
    <definedName name="subdivision02">#REF!</definedName>
    <definedName name="subdivision03">#REF!</definedName>
    <definedName name="subdivision04">#REF!</definedName>
    <definedName name="subdivisionall">#REF!</definedName>
    <definedName name="Subject">#REF!</definedName>
    <definedName name="sublist">#REF!</definedName>
    <definedName name="Submitted">#REF!</definedName>
    <definedName name="subrate">#REF!</definedName>
    <definedName name="Subsidiary_Location">#REF!</definedName>
    <definedName name="SubsidiaryNumber">#REF!</definedName>
    <definedName name="SUBSTRUCTURE">#REF!</definedName>
    <definedName name="subtotal1">#REF!</definedName>
    <definedName name="subtotal2">#REF!</definedName>
    <definedName name="sui">#REF!</definedName>
    <definedName name="SUI_AMP">#REF!</definedName>
    <definedName name="SUI_INF_STAR">#REF!</definedName>
    <definedName name="SUI_LLC">#REF!</definedName>
    <definedName name="SUI_Max">#REF!</definedName>
    <definedName name="SUICheck">#REF!</definedName>
    <definedName name="sum">#REF!</definedName>
    <definedName name="SUMM01">#REF!</definedName>
    <definedName name="SUMM02">#REF!</definedName>
    <definedName name="SUMM03">#REF!</definedName>
    <definedName name="SUMM04">#REF!</definedName>
    <definedName name="SUMM05">#REF!</definedName>
    <definedName name="SummaryDaysOfCash">#REF!</definedName>
    <definedName name="SummaryDSCR">#REF!</definedName>
    <definedName name="SummaryELLStudents">#REF!</definedName>
    <definedName name="SummaryEndingCash">#REF!</definedName>
    <definedName name="SummaryExpenses">#REF!</definedName>
    <definedName name="SummaryGrossMargin">#REF!</definedName>
    <definedName name="SummaryLookup">#REF!</definedName>
    <definedName name="SummaryNetIncome">#REF!</definedName>
    <definedName name="SummaryRevenue">#REF!</definedName>
    <definedName name="Summer_Pay_Days">#REF!</definedName>
    <definedName name="SummerSchoolWeeks">#REF!</definedName>
    <definedName name="Sumter">#REF!</definedName>
    <definedName name="SUPER">#N/A</definedName>
    <definedName name="SUPERSTRUCTURE">#REF!</definedName>
    <definedName name="Supplemental_Academic_Instruction">#REF!</definedName>
    <definedName name="Supplementary_Insurance">#REF!</definedName>
    <definedName name="support_benefits_percentage">#REF!</definedName>
    <definedName name="support_payroll_taxes_percentage">#REF!</definedName>
    <definedName name="support_retirement_percentage">#REF!</definedName>
    <definedName name="Supportable_Mortgage">#REF!</definedName>
    <definedName name="SURPLUS_DEFICIT_YR_1">#REF!</definedName>
    <definedName name="SURPLUS_DEFICIT_YR_2">#REF!</definedName>
    <definedName name="SURPLUS_DEFICIT_YR_3">#REF!</definedName>
    <definedName name="SURPLUS_DEFICIT_YR_4">#REF!</definedName>
    <definedName name="SUTA">#REF!</definedName>
    <definedName name="Suwannee">#REF!</definedName>
    <definedName name="swapagent">#REF!</definedName>
    <definedName name="swaploc">#REF!</definedName>
    <definedName name="Swvu.allocations.">#REF!</definedName>
    <definedName name="Swvu.annual._.hotel.">#REF!</definedName>
    <definedName name="Swvu.bottom._.line.">#REF!</definedName>
    <definedName name="Swvu.cash._.flow.">#REF!</definedName>
    <definedName name="Swvu.combo.">#REF!</definedName>
    <definedName name="Swvu.full.">#REF!</definedName>
    <definedName name="Swvu.offsite.">#REF!</definedName>
    <definedName name="Swvu.onsite.">#REF!</definedName>
    <definedName name="SysTotal1">#REF!</definedName>
    <definedName name="SysTotal2">#REF!</definedName>
    <definedName name="SysTotal3">#REF!</definedName>
    <definedName name="T">#REF!</definedName>
    <definedName name="T.Sq.">#REF!</definedName>
    <definedName name="t\">#REF!</definedName>
    <definedName name="ta" localSheetId="4"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2"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1"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5"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8"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localSheetId="3"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b1ProjBudget">#REF!</definedName>
    <definedName name="Tab2Subsidy">#REF!</definedName>
    <definedName name="Tab3Purchase">#REF!</definedName>
    <definedName name="Tab4Option">#REF!</definedName>
    <definedName name="Tab5LTLease">#REF!</definedName>
    <definedName name="Tab6Sensitivity">#REF!</definedName>
    <definedName name="table">#REF!</definedName>
    <definedName name="Table_Four">#REF!</definedName>
    <definedName name="Table_One">#REF!</definedName>
    <definedName name="Table_Two">#REF!</definedName>
    <definedName name="Table1_Dropdown1">#REF!</definedName>
    <definedName name="Table1_Dropdown2">#REF!</definedName>
    <definedName name="Table3_ben">#REF!</definedName>
    <definedName name="Table3_Sal">#REF!</definedName>
    <definedName name="TABLE4">#REF!</definedName>
    <definedName name="Table5">#REF!</definedName>
    <definedName name="Table6">#REF!</definedName>
    <definedName name="Table7">#REF!</definedName>
    <definedName name="tableref">#REF!</definedName>
    <definedName name="tableref2">#REF!</definedName>
    <definedName name="tableref3">#REF!</definedName>
    <definedName name="tables">#REF!</definedName>
    <definedName name="tableStudentGap">#REF!</definedName>
    <definedName name="TableThree">#REF!</definedName>
    <definedName name="TableTwo">#REF!</definedName>
    <definedName name="TARGET">#REF!</definedName>
    <definedName name="TAV_COMM_PP_BASE_YR">#REF!</definedName>
    <definedName name="TAV_IND_PP_BASE_YR">#REF!</definedName>
    <definedName name="TAV_NON_PRE_BASE_YR">#REF!</definedName>
    <definedName name="TAV_PRE_BASE_YR">#REF!</definedName>
    <definedName name="Tax_Status">#REF!</definedName>
    <definedName name="TAXES">#REF!</definedName>
    <definedName name="TAXLIM">#REF!</definedName>
    <definedName name="TAXSAVC2">#N/A</definedName>
    <definedName name="Taylor">#REF!</definedName>
    <definedName name="tb">#REF!</definedName>
    <definedName name="Tbl_One">#REF!</definedName>
    <definedName name="tblPubschlsDownload">#REF!</definedName>
    <definedName name="TD">#REF!</definedName>
    <definedName name="TEACH_1">#REF!</definedName>
    <definedName name="TEACH_2">#REF!</definedName>
    <definedName name="TEACH_3">#REF!</definedName>
    <definedName name="TEACH_4">#REF!</definedName>
    <definedName name="TEACH_AVG_SAL_YR_1">#REF!</definedName>
    <definedName name="TEACH_AVG_SAL_YR_2">#REF!</definedName>
    <definedName name="TEACH_AVG_SAL_YR_3">#REF!</definedName>
    <definedName name="TEACH_AVG_SAL_YR_4">#REF!</definedName>
    <definedName name="teach_sal_13">#REF!</definedName>
    <definedName name="TeacherAides">#REF!</definedName>
    <definedName name="TeacherCell">#REF!</definedName>
    <definedName name="TeacherFTE">#REF!</definedName>
    <definedName name="TeacherHeadcount">#REF!</definedName>
    <definedName name="teacherreplacement">#REF!</definedName>
    <definedName name="Teachers">#REF!</definedName>
    <definedName name="teachers_benefits_percentage">#REF!</definedName>
    <definedName name="teachers_payroll_taxes_percentage">#REF!</definedName>
    <definedName name="teachers_retirement_percentage">#REF!</definedName>
    <definedName name="TEACHERS_YR_1">#REF!</definedName>
    <definedName name="TEACHERS_YR_2">#REF!</definedName>
    <definedName name="TEACHERS_YR_3">#REF!</definedName>
    <definedName name="TEACHERS_YR_4">#REF!</definedName>
    <definedName name="TeachingStaff">#REF!</definedName>
    <definedName name="Team">#REF!</definedName>
    <definedName name="TechOutcomes">#REF!</definedName>
    <definedName name="Template_14_15">#REF!</definedName>
    <definedName name="TemplatePrintArea">#REF!</definedName>
    <definedName name="Tennessee">#REF!</definedName>
    <definedName name="term">#N/A</definedName>
    <definedName name="test">#REF!</definedName>
    <definedName name="TEST0">#REF!</definedName>
    <definedName name="TEST1">#REF!</definedName>
    <definedName name="TEST10">#REF!</definedName>
    <definedName name="TEST100">#REF!</definedName>
    <definedName name="TEST101">#REF!</definedName>
    <definedName name="TEST102">#REF!</definedName>
    <definedName name="TEST103">#REF!</definedName>
    <definedName name="TEST104">#REF!</definedName>
    <definedName name="TEST105">#REF!</definedName>
    <definedName name="TEST106">#REF!</definedName>
    <definedName name="TEST107">#REF!</definedName>
    <definedName name="TEST108">#REF!</definedName>
    <definedName name="TEST109">#REF!</definedName>
    <definedName name="TEST11">#REF!</definedName>
    <definedName name="TEST110">#REF!</definedName>
    <definedName name="TEST111">#REF!</definedName>
    <definedName name="TEST112">#REF!</definedName>
    <definedName name="TEST113">#REF!</definedName>
    <definedName name="TEST114">#REF!</definedName>
    <definedName name="TEST115">#REF!</definedName>
    <definedName name="TEST116">#REF!</definedName>
    <definedName name="TEST117">#REF!</definedName>
    <definedName name="TEST118">#REF!</definedName>
    <definedName name="TEST119">#REF!</definedName>
    <definedName name="TEST12">#REF!</definedName>
    <definedName name="TEST120">#REF!</definedName>
    <definedName name="TEST121">#REF!</definedName>
    <definedName name="TEST122">#REF!</definedName>
    <definedName name="TEST123">#REF!</definedName>
    <definedName name="TEST124">#REF!</definedName>
    <definedName name="TEST125">#REF!</definedName>
    <definedName name="TEST126">#REF!</definedName>
    <definedName name="TEST127">#REF!</definedName>
    <definedName name="TEST128">#REF!</definedName>
    <definedName name="TEST129">#REF!</definedName>
    <definedName name="TEST13">#REF!</definedName>
    <definedName name="TEST130">#REF!</definedName>
    <definedName name="TEST131">#REF!</definedName>
    <definedName name="TEST132">#REF!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_2" hidden="1">{FALSE,FALSE,1.75,1,600,351,FALSE,FALSE,TRUE,TRUE,0,30,#N/A,41,#N/A,9.57777777777778,18.9166666666667,1,FALSE,FALSE,1,TRUE,1,FALSE,100,"Swvu.As._.Is._.Value.","ACwvu.As._.Is._.Value.",1,FALSE,FALSE,1,1,1,1,1,"","",FALSE,FALSE,FALSE,FALSE,1,#N/A,1,1,FALSE,FALSE,FALSE,FALSE,FALSE,FALSE}</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0">#REF!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87">#REF!</definedName>
    <definedName name="TEST88">#REF!</definedName>
    <definedName name="TEST89">#REF!</definedName>
    <definedName name="TEST9">#REF!</definedName>
    <definedName name="TEST90">#REF!</definedName>
    <definedName name="TEST91">#REF!</definedName>
    <definedName name="TEST92">#REF!</definedName>
    <definedName name="TEST93">#REF!</definedName>
    <definedName name="TEST94">#REF!</definedName>
    <definedName name="TEST95">#REF!</definedName>
    <definedName name="TEST96">#REF!</definedName>
    <definedName name="TEST97">#REF!</definedName>
    <definedName name="TEST98">#REF!</definedName>
    <definedName name="TEST99">#REF!</definedName>
    <definedName name="TestAdd">"Test RefersTo1"</definedName>
    <definedName name="TESTHKEY">#REF!</definedName>
    <definedName name="Testing_Fees">#REF!</definedName>
    <definedName name="TESTKEYS">#REF!</definedName>
    <definedName name="TESTVKEY">#REF!</definedName>
    <definedName name="Texas">#REF!</definedName>
    <definedName name="TFellowsTrigger">#REF!</definedName>
    <definedName name="tghgfhgf">#REF!</definedName>
    <definedName name="TgtSecName">#REF!</definedName>
    <definedName name="ThirdYear">#REF!</definedName>
    <definedName name="three">#REF!</definedName>
    <definedName name="THREE_P">#REF!</definedName>
    <definedName name="Threes">#REF!</definedName>
    <definedName name="tic">#REF!</definedName>
    <definedName name="tic_n">#REF!</definedName>
    <definedName name="tic_r">#REF!</definedName>
    <definedName name="ticc">#REF!</definedName>
    <definedName name="tictax">#REF!</definedName>
    <definedName name="tictx">#REF!</definedName>
    <definedName name="tier_1_meetings">#REF!</definedName>
    <definedName name="tier_2_donor_list">#REF!</definedName>
    <definedName name="tier_2_donors">#REF!</definedName>
    <definedName name="TIF_admin_cost">#REF!</definedName>
    <definedName name="TIF_debt_constant">#REF!</definedName>
    <definedName name="TIF_mo_payment">#REF!</definedName>
    <definedName name="TIF_mortgage">#REF!</definedName>
    <definedName name="TIF_percentage">#REF!</definedName>
    <definedName name="TIF_term">#REF!</definedName>
    <definedName name="titl">#REF!</definedName>
    <definedName name="Title">#REF!</definedName>
    <definedName name="TITLEBASE">#REF!</definedName>
    <definedName name="TitleI">#REF!</definedName>
    <definedName name="TitleIPercent">#REF!</definedName>
    <definedName name="TLOutcomes">#REF!</definedName>
    <definedName name="TO_IFS_AREA">#REF!</definedName>
    <definedName name="TO_IFS_HERE">#REF!</definedName>
    <definedName name="TolalDaysOfCash">#REF!</definedName>
    <definedName name="TOP">#REF!</definedName>
    <definedName name="topcell">#REF!</definedName>
    <definedName name="TOT">#REF!</definedName>
    <definedName name="total">#REF!</definedName>
    <definedName name="Total_Cost">#REF!</definedName>
    <definedName name="Total_enrolled">#REF!</definedName>
    <definedName name="TOTAL_EXPENSES_PRIOR">#REF!</definedName>
    <definedName name="Total_from_ESE_Guarantee">#REF!</definedName>
    <definedName name="Total_FTE_with_ESE_Services">#REF!</definedName>
    <definedName name="Total_Instructional_Materials_Allocation">#REF!</definedName>
    <definedName name="Total_Interest">#REF!</definedName>
    <definedName name="Total_Other_Sources">#REF!</definedName>
    <definedName name="Total_Pay">#REF!</definedName>
    <definedName name="Total_Payment" localSheetId="4">Scheduled_Payment+Extra_Payment</definedName>
    <definedName name="Total_Payment" localSheetId="2">Scheduled_Payment+Extra_Payment</definedName>
    <definedName name="Total_Payment" localSheetId="1">Scheduled_Payment+Extra_Payment</definedName>
    <definedName name="Total_Payment" localSheetId="5">Scheduled_Payment+Extra_Payment</definedName>
    <definedName name="Total_Payment" localSheetId="8">Scheduled_Payment+Extra_Payment</definedName>
    <definedName name="Total_Payment" localSheetId="3">Scheduled_Payment+Extra_Payment</definedName>
    <definedName name="Total_Payment">Scheduled_Payment+Extra_Payment</definedName>
    <definedName name="TOTAL_PRIOR_YEAR_FOUNDATION_BASE_YR">#REF!</definedName>
    <definedName name="TOTAL_PRIOR_YEAR_FOUNDATION_YR_1">#REF!</definedName>
    <definedName name="TOTAL_PRIOR_YEAR_FOUNDATION_YR_2">#REF!</definedName>
    <definedName name="TOTAL_PRIOR_YEAR_FOUNDATION_YR_3">#REF!</definedName>
    <definedName name="TOTAL_PRIOR_YEAR_FOUNDATION_YR_4">#REF!</definedName>
    <definedName name="TOTAL_PROERTY_TAX_REVENUE_BASE_YR">#REF!</definedName>
    <definedName name="TOTAL_PROERTY_TAX_REVENUE_YR_1">#REF!</definedName>
    <definedName name="TOTAL_PROERTY_TAX_REVENUE_YR_2">#REF!</definedName>
    <definedName name="TOTAL_PROERTY_TAX_REVENUE_YR_3">#REF!</definedName>
    <definedName name="TOTAL_PROERTY_TAX_REVENUE_YR_4">#REF!</definedName>
    <definedName name="TOTAL_REVENUES_PRIOR">#REF!</definedName>
    <definedName name="Total_Square_Feet">#REF!</definedName>
    <definedName name="Total_Student_Count">#REF!</definedName>
    <definedName name="TOTAL005">#REF!</definedName>
    <definedName name="TOTAL011">#REF!</definedName>
    <definedName name="TOTAL013">#REF!</definedName>
    <definedName name="TOTAL015">#REF!</definedName>
    <definedName name="TOTAL016">#REF!</definedName>
    <definedName name="TOTAL017">#REF!</definedName>
    <definedName name="TOTAL021">#REF!</definedName>
    <definedName name="TOTAL022">#REF!</definedName>
    <definedName name="TOTAL023">#REF!</definedName>
    <definedName name="TOTAL027">#REF!</definedName>
    <definedName name="TOTAL029">#REF!</definedName>
    <definedName name="TOTAL030">#REF!</definedName>
    <definedName name="TOTAL043">#REF!</definedName>
    <definedName name="TOTAL044">#REF!</definedName>
    <definedName name="TOTAL045">#REF!</definedName>
    <definedName name="TOTAL046">#REF!</definedName>
    <definedName name="TOTAL062">#REF!</definedName>
    <definedName name="TOTAL065">#REF!</definedName>
    <definedName name="TOTAL066">#REF!</definedName>
    <definedName name="TOTAL067">#REF!</definedName>
    <definedName name="TOTAL070">#REF!</definedName>
    <definedName name="TOTAL071">#REF!</definedName>
    <definedName name="TOTAL073">#REF!</definedName>
    <definedName name="TOTAL074">#REF!</definedName>
    <definedName name="TotalADA_Yr0">#REF!</definedName>
    <definedName name="TotalADA_Yr1">#REF!</definedName>
    <definedName name="TotalADA_Yr2">#REF!</definedName>
    <definedName name="TotalADA_Yr3">#REF!</definedName>
    <definedName name="TotalADA_Yr4">#REF!</definedName>
    <definedName name="TotalADA_Yr5">#REF!</definedName>
    <definedName name="TotalADA_Yr6">#REF!</definedName>
    <definedName name="TOTALADULT">#REF!</definedName>
    <definedName name="TOTALARF">#REF!</definedName>
    <definedName name="TotalAssets">#REF!</definedName>
    <definedName name="TOTALCAPPROJ">#REF!</definedName>
    <definedName name="TotalCMOFeesExpenses">#REF!</definedName>
    <definedName name="TOTALCP">#REF!</definedName>
    <definedName name="TOTALCP015">#REF!</definedName>
    <definedName name="TOTALCP017">#REF!</definedName>
    <definedName name="TOTALCP074">#REF!</definedName>
    <definedName name="TOTALCP1000">#REF!</definedName>
    <definedName name="TotalCurrentAssets">#REF!</definedName>
    <definedName name="TotalCurrentLiabilities">#REF!</definedName>
    <definedName name="TOTALDEBTSVC">#REF!</definedName>
    <definedName name="TotalEarlyPayments" localSheetId="4">SUM(#REF!)</definedName>
    <definedName name="TotalEarlyPayments" localSheetId="2">SUM(#REF!)</definedName>
    <definedName name="TotalEarlyPayments" localSheetId="1">SUM(#REF!)</definedName>
    <definedName name="TotalEarlyPayments" localSheetId="5">SUM(#REF!)</definedName>
    <definedName name="TotalEarlyPayments" localSheetId="8">SUM(#REF!)</definedName>
    <definedName name="TotalEarlyPayments" localSheetId="3">SUM(#REF!)</definedName>
    <definedName name="TotalEarlyPayments">SUM(#REF!)</definedName>
    <definedName name="TotalEnrolled_Yr1">#REF!</definedName>
    <definedName name="TotalEnrolled_Yr2">#REF!</definedName>
    <definedName name="TotalEnrolled_Yr3">#REF!</definedName>
    <definedName name="TotalEnrolled_Yr4">#REF!</definedName>
    <definedName name="TotalEnrolled_Yr5">#REF!</definedName>
    <definedName name="TotalEnrolled_Yr6">#REF!</definedName>
    <definedName name="TotalExpenses">#REF!</definedName>
    <definedName name="TOTALFID">#REF!</definedName>
    <definedName name="TotalFTE">#REF!</definedName>
    <definedName name="TOTALGFEXP">#REF!</definedName>
    <definedName name="TOTALGFUNR">#REF!</definedName>
    <definedName name="TotalGrossMargin">#REF!</definedName>
    <definedName name="TotalHeadcount">#REF!</definedName>
    <definedName name="TotalIncome">#REF!</definedName>
    <definedName name="TotalInterest" localSheetId="4">SUM(#REF!)</definedName>
    <definedName name="TotalInterest" localSheetId="2">SUM(#REF!)</definedName>
    <definedName name="TotalInterest" localSheetId="1">SUM(#REF!)</definedName>
    <definedName name="TotalInterest" localSheetId="5">SUM(#REF!)</definedName>
    <definedName name="TotalInterest" localSheetId="8">SUM(#REF!)</definedName>
    <definedName name="TotalInterest" localSheetId="3">SUM(#REF!)</definedName>
    <definedName name="TotalInterest">SUM(#REF!)</definedName>
    <definedName name="TOTALINTSVC">#REF!</definedName>
    <definedName name="TotalLiabilities">#REF!</definedName>
    <definedName name="TotalRevenue">#REF!</definedName>
    <definedName name="TOTALS">#N/A</definedName>
    <definedName name="TotalSF">#REF!</definedName>
    <definedName name="TotalStudents">#REF!</definedName>
    <definedName name="TOTFDS">#REF!</definedName>
    <definedName name="TOTINT">#REF!</definedName>
    <definedName name="TP">#REF!</definedName>
    <definedName name="TRADE_ITEMS">#REF!</definedName>
    <definedName name="Trades">#REF!</definedName>
    <definedName name="Training">#REF!</definedName>
    <definedName name="training2">#REF!</definedName>
    <definedName name="Tranche">#REF!</definedName>
    <definedName name="TRDHDNG">#REF!</definedName>
    <definedName name="trdttl">#REF!</definedName>
    <definedName name="Treasury">#REF!</definedName>
    <definedName name="trigger">#REF!</definedName>
    <definedName name="trinel">#REF!</definedName>
    <definedName name="TRS_Contribution_Rate">#REF!</definedName>
    <definedName name="TRS_Eligibility">#REF!</definedName>
    <definedName name="TRS_Rt">#REF!</definedName>
    <definedName name="tsfcamp">#REF!</definedName>
    <definedName name="tsfintraplnt">#REF!</definedName>
    <definedName name="tsfplnt">#REF!</definedName>
    <definedName name="tsfprinint">#REF!</definedName>
    <definedName name="tsfreprepl">#REF!</definedName>
    <definedName name="tt">#REF!</definedName>
    <definedName name="tt\">#REF!</definedName>
    <definedName name="ttttt" hidden="1">{FALSE,FALSE,1.75,1,600,351,FALSE,FALSE,TRUE,TRUE,0,30,#N/A,41,#N/A,9.57777777777778,18.9166666666667,1,FALSE,FALSE,1,TRUE,1,FALSE,100,"Swvu.As._.Is._.Value.","ACwvu.As._.Is._.Value.",1,FALSE,FALSE,1,1,1,1,1,"","",FALSE,FALSE,FALSE,FALSE,1,#N/A,1,1,FALSE,FALSE,FALSE,FALSE,FALSE,FALSE}</definedName>
    <definedName name="ttttt_2" hidden="1">{FALSE,FALSE,1.75,1,600,351,FALSE,FALSE,TRUE,TRUE,0,30,#N/A,41,#N/A,9.57777777777778,18.9166666666667,1,FALSE,FALSE,1,TRUE,1,FALSE,100,"Swvu.As._.Is._.Value.","ACwvu.As._.Is._.Value.",1,FALSE,FALSE,1,1,1,1,1,"","",FALSE,FALSE,FALSE,FALSE,1,#N/A,1,1,FALSE,FALSE,FALSE,FALSE,FALSE,FALSE}</definedName>
    <definedName name="ttttttt" hidden="1">{FALSE,FALSE,1.75,1,600,351,FALSE,FALSE,TRUE,TRUE,0,30,#N/A,41,#N/A,9.57777777777778,18.9166666666667,1,FALSE,FALSE,1,TRUE,1,FALSE,100,"Swvu.As._.Is._.Value.","ACwvu.As._.Is._.Value.",1,FALSE,FALSE,1,1,1,1,1,"","",FALSE,FALSE,FALSE,FALSE,1,#N/A,1,1,FALSE,FALSE,FALSE,FALSE,FALSE,FALSE}</definedName>
    <definedName name="ttttttt_2" hidden="1">{FALSE,FALSE,1.75,1,600,351,FALSE,FALSE,TRUE,TRUE,0,30,#N/A,41,#N/A,9.57777777777778,18.9166666666667,1,FALSE,FALSE,1,TRUE,1,FALSE,100,"Swvu.As._.Is._.Value.","ACwvu.As._.Is._.Value.",1,FALSE,FALSE,1,1,1,1,1,"","",FALSE,FALSE,FALSE,FALSE,1,#N/A,1,1,FALSE,FALSE,FALSE,FALSE,FALSE,FALSE}</definedName>
    <definedName name="TTTTTTTT" hidden="1">{FALSE,FALSE,1.75,1,600,351,FALSE,FALSE,TRUE,TRUE,0,30,#N/A,41,#N/A,9.57777777777778,18.9166666666667,1,FALSE,FALSE,1,TRUE,1,FALSE,100,"Swvu.As._.Is._.Value.","ACwvu.As._.Is._.Value.",1,FALSE,FALSE,1,1,1,1,1,"","",FALSE,FALSE,FALSE,FALSE,1,#N/A,1,1,FALSE,FALSE,FALSE,FALSE,FALSE,FALSE}</definedName>
    <definedName name="TTTTTTTT_2" hidden="1">{FALSE,FALSE,1.75,1,600,351,FALSE,FALSE,TRUE,TRUE,0,30,#N/A,41,#N/A,9.57777777777778,18.9166666666667,1,FALSE,FALSE,1,TRUE,1,FALSE,100,"Swvu.As._.Is._.Value.","ACwvu.As._.Is._.Value.",1,FALSE,FALSE,1,1,1,1,1,"","",FALSE,FALSE,FALSE,FALSE,1,#N/A,1,1,FALSE,FALSE,FALSE,FALSE,FALSE,FALSE}</definedName>
    <definedName name="tttttttttttttt" hidden="1">{FALSE,FALSE,1.75,1,600,351,FALSE,FALSE,TRUE,TRUE,0,30,#N/A,41,#N/A,9.57777777777778,18.9166666666667,1,FALSE,FALSE,1,TRUE,1,FALSE,100,"Swvu.As._.Is._.Value.","ACwvu.As._.Is._.Value.",1,FALSE,FALSE,1,1,1,1,1,"","",FALSE,FALSE,FALSE,FALSE,1,#N/A,1,1,FALSE,FALSE,FALSE,FALSE,FALSE,FALSE}</definedName>
    <definedName name="ttttttttttttttt_2" hidden="1">{FALSE,FALSE,1.75,1,600,351,FALSE,FALSE,TRUE,TRUE,0,30,#N/A,41,#N/A,9.57777777777778,18.9166666666667,1,FALSE,FALSE,1,TRUE,1,FALSE,100,"Swvu.As._.Is._.Value.","ACwvu.As._.Is._.Value.",1,FALSE,FALSE,1,1,1,1,1,"","",FALSE,FALSE,FALSE,FALSE,1,#N/A,1,1,FALSE,FALSE,FALSE,FALSE,FALSE,FALSE}</definedName>
    <definedName name="TuitionGrowthScenarios">#REF!</definedName>
    <definedName name="TutorsList">#REF!</definedName>
    <definedName name="TutorsTable">#REF!</definedName>
    <definedName name="two">#REF!</definedName>
    <definedName name="TWO_P_123015">#REF!</definedName>
    <definedName name="TWO_YEARS_PRIOR">#REF!</definedName>
    <definedName name="Twos">#REF!</definedName>
    <definedName name="txtKPI2Memo">#REF!</definedName>
    <definedName name="txtKPI2Title">#REF!</definedName>
    <definedName name="txtKPI4Memo">#REF!</definedName>
    <definedName name="txtKPI4Title">#REF!</definedName>
    <definedName name="txtMonthlyCash">#REF!</definedName>
    <definedName name="txtPrograms">#REF!</definedName>
    <definedName name="Type">#REF!</definedName>
    <definedName name="TYPE1">#REF!</definedName>
    <definedName name="TYPE2">#REF!</definedName>
    <definedName name="Typelook">#REF!</definedName>
    <definedName name="types">#REF!</definedName>
    <definedName name="u\">#REF!</definedName>
    <definedName name="UD">#REF!</definedName>
    <definedName name="UDevDevTotal">#REF!</definedName>
    <definedName name="UF_Lab_School">#REF!</definedName>
    <definedName name="UFT_Scale_2011">#REF!</definedName>
    <definedName name="UFT_Scale_2012">#REF!</definedName>
    <definedName name="UG_Res_Board">#REF!</definedName>
    <definedName name="UG_Res_Board_Expenses">#REF!</definedName>
    <definedName name="UG_Res_Fees">#REF!</definedName>
    <definedName name="UG_Res_Incremental_Expenses">#REF!</definedName>
    <definedName name="UG_Res_Projected_No_of_Students">#REF!</definedName>
    <definedName name="UG_Res_Room">#REF!</definedName>
    <definedName name="UG_Res_Room_Disc">#REF!</definedName>
    <definedName name="UG_Res_Room_Expenses">#REF!</definedName>
    <definedName name="UG_Res_Tuition_Disc">#REF!</definedName>
    <definedName name="uiuiuyiuyi">#REF!</definedName>
    <definedName name="UManDesignFee">#REF!</definedName>
    <definedName name="UMortgageReq">#REF!</definedName>
    <definedName name="unaudited1">#REF!</definedName>
    <definedName name="Union">#REF!</definedName>
    <definedName name="UNION_REDUCE">#REF!</definedName>
    <definedName name="Unit">#REF!</definedName>
    <definedName name="UnitK">#REF!</definedName>
    <definedName name="Units">#REF!</definedName>
    <definedName name="units1">#REF!</definedName>
    <definedName name="unrestfb">#REF!</definedName>
    <definedName name="UnusedDistrictList">OFFSET(#REF!,0,0,COUNTA(#REF!)-COUNTBLANK(#REF!),1)</definedName>
    <definedName name="UpdateCSLEAInfo">#REF!</definedName>
    <definedName name="Utah">#REF!</definedName>
    <definedName name="UTIL">#N/A</definedName>
    <definedName name="uu\">#REF!</definedName>
    <definedName name="UW_BANs">#REF!</definedName>
    <definedName name="V">#REF!</definedName>
    <definedName name="v\">#REF!</definedName>
    <definedName name="Vacancy">#REF!</definedName>
    <definedName name="Vacancy_Rate">#REF!</definedName>
    <definedName name="VAL">#REF!</definedName>
    <definedName name="VALID">#REF!</definedName>
    <definedName name="validbudgets">#REF!</definedName>
    <definedName name="ValidPeriods">#REF!</definedName>
    <definedName name="Value" hidden="1">{#N/A,#N/A,FALSE,"Cashflow Analysis";#N/A,#N/A,FALSE,"Sensitivity Analysis";#N/A,#N/A,FALSE,"PV";#N/A,#N/A,FALSE,"Pro Forma"}</definedName>
    <definedName name="Value.2" hidden="1">{#N/A,#N/A,FALSE,"Cashflow Analysis";#N/A,#N/A,FALSE,"Sensitivity Analysis";#N/A,#N/A,FALSE,"PV";#N/A,#N/A,FALSE,"Pro Forma"}</definedName>
    <definedName name="value1" hidden="1">{#N/A,#N/A,FALSE,"Cashflow Analysis";#N/A,#N/A,FALSE,"Sensitivity Analysis";#N/A,#N/A,FALSE,"PV";#N/A,#N/A,FALSE,"Pro Forma"}</definedName>
    <definedName name="value1.2" hidden="1">{#N/A,#N/A,FALSE,"Cashflow Analysis";#N/A,#N/A,FALSE,"Sensitivity Analysis";#N/A,#N/A,FALSE,"PV";#N/A,#N/A,FALSE,"Pro Forma"}</definedName>
    <definedName name="ValueRatingList">#REF!</definedName>
    <definedName name="Values_Entered" localSheetId="4">IF([0]!Loan_Amount*[0]!Interest_Rate*[0]!Loan_Years*[0]!Loan_Start&gt;0,1,0)</definedName>
    <definedName name="Values_Entered" localSheetId="2">IF([0]!Loan_Amount*[0]!Interest_Rate*[0]!Loan_Years*[0]!Loan_Start&gt;0,1,0)</definedName>
    <definedName name="Values_Entered" localSheetId="1">IF(Loan_Amount*Interest_Rate*Loan_Years*Loan_Start&gt;0,1,0)</definedName>
    <definedName name="Values_Entered" localSheetId="5">IF([0]!Loan_Amount*[0]!Interest_Rate*[0]!Loan_Years*[0]!Loan_Start&gt;0,1,0)</definedName>
    <definedName name="Values_Entered" localSheetId="8">IF([0]!Loan_Amount*[0]!Interest_Rate*[0]!Loan_Years*[0]!Loan_Start&gt;0,1,0)</definedName>
    <definedName name="Values_Entered" localSheetId="3">IF(Loan_Amount*Interest_Rate*Loan_Years*Loan_Start&gt;0,1,0)</definedName>
    <definedName name="Values_Entered">IF([0]!Loan_Amount*[0]!Interest_Rate*[0]!Loan_Years*[0]!Loan_Start&gt;0,1,0)</definedName>
    <definedName name="Values_Entered_9" localSheetId="4">IF(Loan_Amount_9*Interest_Rate_9*Loan_Years_9*Loan_Start_9&gt;0,1,0)</definedName>
    <definedName name="Values_Entered_9" localSheetId="2">IF(Loan_Amount_9*Interest_Rate_9*Loan_Years_9*Loan_Start_9&gt;0,1,0)</definedName>
    <definedName name="Values_Entered_9" localSheetId="1">IF(Loan_Amount_9*Interest_Rate_9*Loan_Years_9*Loan_Start_9&gt;0,1,0)</definedName>
    <definedName name="Values_Entered_9" localSheetId="5">IF(Loan_Amount_9*Interest_Rate_9*Loan_Years_9*Loan_Start_9&gt;0,1,0)</definedName>
    <definedName name="Values_Entered_9" localSheetId="8">IF(Loan_Amount_9*Interest_Rate_9*Loan_Years_9*Loan_Start_9&gt;0,1,0)</definedName>
    <definedName name="Values_Entered_9" localSheetId="3">IF(Loan_Amount_9*Interest_Rate_9*Loan_Years_9*Loan_Start_9&gt;0,1,0)</definedName>
    <definedName name="Values_Entered_9">IF(Loan_Amount_9*Interest_Rate_9*Loan_Years_9*Loan_Start_9&gt;0,1,0)</definedName>
    <definedName name="Vendor">#REF!</definedName>
    <definedName name="Vendor_Match_Results">#REF!</definedName>
    <definedName name="vent47">#REF!</definedName>
    <definedName name="vent48">#REF!</definedName>
    <definedName name="ventshafts">#REF!</definedName>
    <definedName name="Vermont">#REF!</definedName>
    <definedName name="Version">#REF!</definedName>
    <definedName name="VERTTRANS">#REF!</definedName>
    <definedName name="Virgin_Islands">#REF!</definedName>
    <definedName name="Virginia">#REF!</definedName>
    <definedName name="Vision_FULL">#REF!</definedName>
    <definedName name="Vision_Plans">#REF!</definedName>
    <definedName name="Vision_PPO_Full">#REF!</definedName>
    <definedName name="Vision_PPO_Shared">#REF!</definedName>
    <definedName name="Vision_SHARED">#REF!</definedName>
    <definedName name="VLAGPR_PROJ__RY_S_FILTERED_OUT">#REF!</definedName>
    <definedName name="VLAGPR_RD_RX__RY_S_FILTERED_OUT">#REF!</definedName>
    <definedName name="vlook">#REF!</definedName>
    <definedName name="VLORG">#REF!</definedName>
    <definedName name="VLTAX">#REF!</definedName>
    <definedName name="Volusia">#REF!</definedName>
    <definedName name="vv" hidden="1">{"mgmt forecast",#N/A,FALSE,"Mgmt Forecast";"dcf table",#N/A,FALSE,"Mgmt Forecast";"sensitivity",#N/A,FALSE,"Mgmt Forecast";"table inputs",#N/A,FALSE,"Mgmt Forecast";"calculations",#N/A,FALSE,"Mgmt Forecast"}</definedName>
    <definedName name="vv_2" hidden="1">{"mgmt forecast",#N/A,FALSE,"Mgmt Forecast";"dcf table",#N/A,FALSE,"Mgmt Forecast";"sensitivity",#N/A,FALSE,"Mgmt Forecast";"table inputs",#N/A,FALSE,"Mgmt Forecast";"calculations",#N/A,FALSE,"Mgmt Forecast"}</definedName>
    <definedName name="vv\">#REF!</definedName>
    <definedName name="vvvv" hidden="1">{#N/A,#N/A,FALSE,"Cashflow Analysis";#N/A,#N/A,FALSE,"Sensitivity Analysis";#N/A,#N/A,FALSE,"PV";#N/A,#N/A,FALSE,"Pro Forma"}</definedName>
    <definedName name="VVVV.2" hidden="1">{#N/A,#N/A,FALSE,"Cashflow Analysis";#N/A,#N/A,FALSE,"Sensitivity Analysis";#N/A,#N/A,FALSE,"PV";#N/A,#N/A,FALSE,"Pro Forma"}</definedName>
    <definedName name="vz" hidden="1">{"mgmt forecast",#N/A,FALSE,"Mgmt Forecast";"dcf table",#N/A,FALSE,"Mgmt Forecast";"sensitivity",#N/A,FALSE,"Mgmt Forecast";"table inputs",#N/A,FALSE,"Mgmt Forecast";"calculations",#N/A,FALSE,"Mgmt Forecast"}</definedName>
    <definedName name="vz_2"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vzx_2" hidden="1">{"mgmt forecast",#N/A,FALSE,"Mgmt Forecast";"dcf table",#N/A,FALSE,"Mgmt Forecast";"sensitivity",#N/A,FALSE,"Mgmt Forecast";"table inputs",#N/A,FALSE,"Mgmt Forecast";"calculations",#N/A,FALSE,"Mgmt Forecast"}</definedName>
    <definedName name="W">#REF!</definedName>
    <definedName name="W_BASE_COL">#REF!</definedName>
    <definedName name="w\">#REF!</definedName>
    <definedName name="wage437">#REF!</definedName>
    <definedName name="wageCHA">#REF!</definedName>
    <definedName name="Wakulla">#REF!</definedName>
    <definedName name="waldorf">#REF!</definedName>
    <definedName name="Walton">#REF!</definedName>
    <definedName name="warn1">#REF!</definedName>
    <definedName name="warn2">#REF!</definedName>
    <definedName name="Washington">#REF!</definedName>
    <definedName name="Washington_Special">#REF!</definedName>
    <definedName name="Waterfall_Dropdown">#REF!</definedName>
    <definedName name="WC">#REF!</definedName>
    <definedName name="WCCheck">#REF!</definedName>
    <definedName name="Web_list_el_1920">#REF!</definedName>
    <definedName name="web_list_imm_1920">#REF!</definedName>
    <definedName name="WeekOf">#REF!</definedName>
    <definedName name="WeekOf2">#REF!</definedName>
    <definedName name="West_Virginia">#REF!</definedName>
    <definedName name="what" localSheetId="4" hidden="1">{"Page1",#N/A,FALSE,"7979";"Page2",#N/A,FALSE,"7979";"Page3",#N/A,FALSE,"7979"}</definedName>
    <definedName name="what" localSheetId="2" hidden="1">{"Page1",#N/A,FALSE,"7979";"Page2",#N/A,FALSE,"7979";"Page3",#N/A,FALSE,"7979"}</definedName>
    <definedName name="what" localSheetId="1" hidden="1">{"Page1",#N/A,FALSE,"7979";"Page2",#N/A,FALSE,"7979";"Page3",#N/A,FALSE,"7979"}</definedName>
    <definedName name="what" localSheetId="5" hidden="1">{"Page1",#N/A,FALSE,"7979";"Page2",#N/A,FALSE,"7979";"Page3",#N/A,FALSE,"7979"}</definedName>
    <definedName name="what" localSheetId="8" hidden="1">{"Page1",#N/A,FALSE,"7979";"Page2",#N/A,FALSE,"7979";"Page3",#N/A,FALSE,"7979"}</definedName>
    <definedName name="what" localSheetId="3" hidden="1">{"Page1",#N/A,FALSE,"7979";"Page2",#N/A,FALSE,"7979";"Page3",#N/A,FALSE,"7979"}</definedName>
    <definedName name="what" hidden="1">{"Page1",#N/A,FALSE,"7979";"Page2",#N/A,FALSE,"7979";"Page3",#N/A,FALSE,"7979"}</definedName>
    <definedName name="what_2" hidden="1">{#N/A,#N/A,TRUE,"XL Cash Flow";#N/A,#N/A,TRUE,"Prop Valuation";#N/A,#N/A,TRUE,"Equity";#N/A,#N/A,TRUE,"Modeling assumptions";#N/A,#N/A,TRUE,"NER Model";#N/A,#N/A,TRUE,"Lease Exp";#N/A,#N/A,TRUE,"Inc &amp; Exp";#N/A,#N/A,TRUE,"Formatted - roll";#N/A,#N/A,TRUE,"Debt Model";#N/A,#N/A,TRUE,"Debt-Moody";#N/A,#N/A,TRUE,"Debt"}</definedName>
    <definedName name="what_asdf2" hidden="1">{#N/A,#N/A,FALSE,"OperatingAssumptions"}</definedName>
    <definedName name="what2" hidden="1">{#N/A,#N/A,TRUE,"XL Cash Flow";#N/A,#N/A,TRUE,"Prop Valuation";#N/A,#N/A,TRUE,"Equity";#N/A,#N/A,TRUE,"Modeling assumptions";#N/A,#N/A,TRUE,"NER Model";#N/A,#N/A,TRUE,"Lease Exp";#N/A,#N/A,TRUE,"Inc &amp; Exp";#N/A,#N/A,TRUE,"Formatted - roll";#N/A,#N/A,TRUE,"Debt Model";#N/A,#N/A,TRUE,"Debt-Moody";#N/A,#N/A,TRUE,"Debt"}</definedName>
    <definedName name="what2_2" hidden="1">{#N/A,#N/A,TRUE,"XL Cash Flow";#N/A,#N/A,TRUE,"Prop Valuation";#N/A,#N/A,TRUE,"Equity";#N/A,#N/A,TRUE,"Modeling assumptions";#N/A,#N/A,TRUE,"NER Model";#N/A,#N/A,TRUE,"Lease Exp";#N/A,#N/A,TRUE,"Inc &amp; Exp";#N/A,#N/A,TRUE,"Formatted - roll";#N/A,#N/A,TRUE,"Debt Model";#N/A,#N/A,TRUE,"Debt-Moody";#N/A,#N/A,TRUE,"Debt"}</definedName>
    <definedName name="whatwhat" localSheetId="4" hidden="1">{"Page1",#N/A,FALSE,"7979";"Page2",#N/A,FALSE,"7979";"Page3",#N/A,FALSE,"7979"}</definedName>
    <definedName name="whatwhat" localSheetId="2" hidden="1">{"Page1",#N/A,FALSE,"7979";"Page2",#N/A,FALSE,"7979";"Page3",#N/A,FALSE,"7979"}</definedName>
    <definedName name="whatwhat" localSheetId="1" hidden="1">{"Page1",#N/A,FALSE,"7979";"Page2",#N/A,FALSE,"7979";"Page3",#N/A,FALSE,"7979"}</definedName>
    <definedName name="whatwhat" localSheetId="5" hidden="1">{"Page1",#N/A,FALSE,"7979";"Page2",#N/A,FALSE,"7979";"Page3",#N/A,FALSE,"7979"}</definedName>
    <definedName name="whatwhat" localSheetId="8" hidden="1">{"Page1",#N/A,FALSE,"7979";"Page2",#N/A,FALSE,"7979";"Page3",#N/A,FALSE,"7979"}</definedName>
    <definedName name="whatwhat" localSheetId="3" hidden="1">{"Page1",#N/A,FALSE,"7979";"Page2",#N/A,FALSE,"7979";"Page3",#N/A,FALSE,"7979"}</definedName>
    <definedName name="whatwhat" hidden="1">{"Page1",#N/A,FALSE,"7979";"Page2",#N/A,FALSE,"7979";"Page3",#N/A,FALSE,"7979"}</definedName>
    <definedName name="WhoField">#REF!</definedName>
    <definedName name="WhoField2">#REF!</definedName>
    <definedName name="WhoLookup">OFFSET(#REF!,,,COUNT(#REF!),1)</definedName>
    <definedName name="WhoLookup2">OFFSET(#REF!,,,COUNT(#REF!),1)</definedName>
    <definedName name="WindowCheck">#REF!</definedName>
    <definedName name="Wisconsin">#REF!</definedName>
    <definedName name="WMA_CoA">#REF!</definedName>
    <definedName name="WMA_CoA_Descriptions">#REF!</definedName>
    <definedName name="WMA_STAFFING_FY23_BUDGET">#REF!</definedName>
    <definedName name="WMA_STAFFING_FY23_FTE">#REF!</definedName>
    <definedName name="WMA_STAFFING_FY23_NAMES">#REF!</definedName>
    <definedName name="WMA_STAFFING_FY23_ROLES">#REF!</definedName>
    <definedName name="WMA_STAFFING_FY24_BUDGET">#REF!</definedName>
    <definedName name="WMA_STAFFING_FY24_FTE">#REF!</definedName>
    <definedName name="WMA_STAFFING_FY24_ROLES">#REF!</definedName>
    <definedName name="wmcomp">#REF!</definedName>
    <definedName name="WNPV">#REF!</definedName>
    <definedName name="word">#REF!</definedName>
    <definedName name="WorkersComp">#REF!</definedName>
    <definedName name="Working_Capital_Reserve">#REF!</definedName>
    <definedName name="worksheet">#REF!</definedName>
    <definedName name="wr" localSheetId="4">{"Output-3Column",#N/A,FALSE,"Output"}</definedName>
    <definedName name="wr" localSheetId="2">{"Output-3Column",#N/A,FALSE,"Output"}</definedName>
    <definedName name="wr" localSheetId="1" hidden="1">{"Output-3Column",#N/A,FALSE,"Output"}</definedName>
    <definedName name="wr" localSheetId="5">{"Output-3Column",#N/A,FALSE,"Output"}</definedName>
    <definedName name="wr" localSheetId="8">{"Output-3Column",#N/A,FALSE,"Output"}</definedName>
    <definedName name="wr" localSheetId="3" hidden="1">{"Output-3Column",#N/A,FALSE,"Output"}</definedName>
    <definedName name="wr">{"Output-3Column",#N/A,FALSE,"Output"}</definedName>
    <definedName name="wr_2" hidden="1">{"Output-3Column",#N/A,FALSE,"Output"}</definedName>
    <definedName name="wr.Annual._.Detail.2" hidden="1">{"annualsum",#N/A,FALSE,"Cost Summary";"annual1",#N/A,FALSE,"Phase_1";"annual2",#N/A,FALSE,"Phase_2";"annual3",#N/A,FALSE,"Phase_3";"annual4",#N/A,FALSE,"Phase_4"}</definedName>
    <definedName name="wrn" localSheetId="4">{"Inflation-BaseYear",#N/A,FALSE,"Inputs"}</definedName>
    <definedName name="wrn" localSheetId="2">{"Inflation-BaseYear",#N/A,FALSE,"Inputs"}</definedName>
    <definedName name="wrn" localSheetId="1" hidden="1">{"Inflation-BaseYear",#N/A,FALSE,"Inputs"}</definedName>
    <definedName name="wrn" localSheetId="5">{"Inflation-BaseYear",#N/A,FALSE,"Inputs"}</definedName>
    <definedName name="wrn" localSheetId="8">{"Inflation-BaseYear",#N/A,FALSE,"Inputs"}</definedName>
    <definedName name="wrn" localSheetId="3" hidden="1">{"Inflation-BaseYear",#N/A,FALSE,"Inputs"}</definedName>
    <definedName name="wrn">{"Inflation-BaseYear",#N/A,FALSE,"Inputs"}</definedName>
    <definedName name="wrn_2" hidden="1">{"Inflation-BaseYear",#N/A,FALSE,"Inputs"}</definedName>
    <definedName name="wrn.10._.Year._.Analysis." hidden="1">{"Data Input",#N/A,TRUE,"Data Input";"10-Yr Cash Flow",#N/A,TRUE,"Cash Flow";"10-Yr Value",#N/A,TRUE,"Value "}</definedName>
    <definedName name="wrn.15._.Year._.Analysis." hidden="1">{"Data Input",#N/A,TRUE,"Data Input";"15-Yr Cash Flow",#N/A,TRUE,"Cash Flow";"15-Yr Value",#N/A,TRUE,"Value "}</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001._.Budget._.by._.Qtr." hidden="1">{"Qtr2001",#N/A,FALSE,"Model";"Office/Retail 2001 by Qtr",#N/A,FALSE,"Formatted Office-Retail Page";"Other Income 2001 by Qtr",#N/A,FALSE,"Other";"Resort/Hotel 2001 by Qtr",#N/A,FALSE,"Hotel";"LDV 2001 by Qtr",#N/A,FALSE,"LDV";"Disp 2001 by Qtr",#N/A,FALSE,"Dispositions"}</definedName>
    <definedName name="wrn.2001._.Budget._.by._.Year."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hidden="1">{"Qtr2001",#N/A,FALSE,"Model";"Office/Retail 2001 by Qtr",#N/A,FALSE,"Formatted Office-Retail Page";"Other Income 2001 by Qtr",#N/A,FALSE,"Other";"Resort/Hotel 2001 by Qtr",#N/A,FALSE,"Hotel";"LDV 2001 by Qtr",#N/A,FALSE,"LDV";"Disp 2001 by Qtr",#N/A,FALSE,"Dispositions"}</definedName>
    <definedName name="wrn.2001._.Budget._by._.Qtr.2" hidden="1">{"Qtr2001",#N/A,FALSE,"Model";"Office/Retail 2001 by Qtr",#N/A,FALSE,"Formatted Office-Retail Page";"Other Income 2001 by Qtr",#N/A,FALSE,"Other";"Resort/Hotel 2001 by Qtr",#N/A,FALSE,"Hotel";"LDV 2001 by Qtr",#N/A,FALSE,"LDV";"Disp 2001 by Qtr",#N/A,FALSE,"Dispositions"}</definedName>
    <definedName name="wrn.2001._.by._.Month." hidden="1">{"2001 by Month",#N/A,FALSE,"Model";"Resort/Hotel 2001 by Month",#N/A,FALSE,"Hotel";"LDV 2001 By Month",#N/A,FALSE,"LDV";"Other Income By Month",#N/A,FALSE,"Other";"Office/Retail 2001 by Month",#N/A,FALSE,"Formatted Office-Retail Page";"Dispo 2001 by Month",#N/A,FALSE,"Dispositions"}</definedName>
    <definedName name="wrn.2001._.by._.Month.2"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hidden="1">{"2001 by Month",#N/A,FALSE,"Model";"Resort/Hotel 2001 by Month",#N/A,FALSE,"Hotel";"LDV 2001 By Month",#N/A,FALSE,"LDV";"Other Income By Month",#N/A,FALSE,"Other";"Office/Retail 2001 by Month",#N/A,FALSE,"Formatted Office-Retail Page";"Dispo 2001 by Month",#N/A,FALSE,"Dispositions"}</definedName>
    <definedName name="wrn.2001._by._.Month.0_2" hidden="1">{"2001 by Month",#N/A,FALSE,"Model";"Resort/Hotel 2001 by Month",#N/A,FALSE,"Hotel";"LDV 2001 By Month",#N/A,FALSE,"LDV";"Other Income By Month",#N/A,FALSE,"Other";"Office/Retail 2001 by Month",#N/A,FALSE,"Formatted Office-Retail Page";"Dispo 2001 by Month",#N/A,FALSE,"Dispositions"}</definedName>
    <definedName name="wrn.3yr.CF." hidden="1">{"assume",#N/A,FALSE,"K&amp;20th Month CF";"MoCF",#N/A,FALSE,"K&amp;20th Month CF";"AnCF",#N/A,FALSE,"K&amp;20th Month CF"}</definedName>
    <definedName name="wrn.92264." hidden="1">{"Page 1",#N/A,FALSE,"92264 Page 1";"Page 2",#N/A,FALSE,"92264 Page 2";"Page 3",#N/A,FALSE,"92264 Page 3";"Page 4",#N/A,FALSE,"92264 Page 4";"Page 5",#N/A,FALSE,"92264 Page 5";"Page 6",#N/A,FALSE,"92264 Page 6";"Page 7",#N/A,FALSE,"92264 Page 7";"Page 8",#N/A,FALSE,"92264 Page 8"}</definedName>
    <definedName name="wrn.Acquisition." hidden="1">{#N/A,#N/A,TRUE,"Title Page";#N/A,#N/A,TRUE,"Executive Summary";#N/A,#N/A,TRUE,"Vacant Space";#N/A,#N/A,TRUE,"Cash Flow";#N/A,#N/A,TRUE,"Residual (Year 10)";#N/A,#N/A,TRUE,"Pricing Matrix";#N/A,#N/A,TRUE,"Vacancy Detail";#N/A,#N/A,TRUE,"Value Matrix";#N/A,#N/A,TRUE,"GI Detail";#N/A,#N/A,TRUE,"Exp Detail"}</definedName>
    <definedName name="wrn.Acquistion._.Status." hidden="1">{#N/A,#N/A,FALSE,"zm III";#N/A,#N/A,FALSE,"deal flow";#N/A,#N/A,FALSE,"Pending deals"}</definedName>
    <definedName name="wrn.ALL." localSheetId="4"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1"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5"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8"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_.Inputs." localSheetId="4" hidden="1">{#N/A,#N/A,FALSE,"Primary";#N/A,#N/A,FALSE,"Secondary";#N/A,#N/A,FALSE,"Latent";#N/A,#N/A,FALSE,"Demand Inputs";#N/A,#N/A,FALSE,"Supply Addn";#N/A,#N/A,FALSE,"Mkt Pen"}</definedName>
    <definedName name="wrn.All._.Inputs." localSheetId="2" hidden="1">{#N/A,#N/A,FALSE,"Primary";#N/A,#N/A,FALSE,"Secondary";#N/A,#N/A,FALSE,"Latent";#N/A,#N/A,FALSE,"Demand Inputs";#N/A,#N/A,FALSE,"Supply Addn";#N/A,#N/A,FALSE,"Mkt Pen"}</definedName>
    <definedName name="wrn.All._.Inputs." localSheetId="1"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3"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pages." hidden="1">{#N/A,#N/A,FALSE,"Stack";#N/A,#N/A,FALSE,"Floors";#N/A,#N/A,FALSE,"Units";#N/A,#N/A,FALSE,"Units (2)";#N/A,#N/A,FALSE,"B";#N/A,#N/A,FALSE,"A";#N/A,#N/A,FALSE,"01";#N/A,#N/A,FALSE,"02";#N/A,#N/A,FALSE,"03";#N/A,#N/A,FALSE,"10";#N/A,#N/A,FALSE,"11";#N/A,#N/A,FALSE,"12";#N/A,#N/A,FALSE,"13";#N/A,#N/A,FALSE,"14"}</definedName>
    <definedName name="wrn.all._.periods."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Reports." hidden="1">{"Recap",#N/A,TRUE,"POS";"Monthly",#N/A,TRUE,"POS";"YTD",#N/A,TRUE,"POS"}</definedName>
    <definedName name="wrn.All.0" hidden="1">{#N/A,#N/A,TRUE,"hist_5yr";#N/A,#N/A,TRUE,"Summary";#N/A,#N/A,TRUE,"Detail";#N/A,#N/A,TRUE,"Prop Issues";#N/A,#N/A,TRUE,"Acq";#N/A,#N/A,TRUE,"Other Dept"}</definedName>
    <definedName name="wrn.All.0_2" hidden="1">{#N/A,#N/A,TRUE,"hist_5yr";#N/A,#N/A,TRUE,"Summary";#N/A,#N/A,TRUE,"Detail";#N/A,#N/A,TRUE,"Prop Issues";#N/A,#N/A,TRUE,"Acq";#N/A,#N/A,TRUE,"Other Dept"}</definedName>
    <definedName name="wrn.all.2" localSheetId="4"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1"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5"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8"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localSheetId="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per."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htout._.Office._.Detail.2"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hidden="1">{"Summaryall",#N/A,FALSE,"Model";"5 Year Argus Office/Retail Properties",#N/A,FALSE,"Office-Retail Argus 2002-2006";"Joint Ventures",#N/A,FALSE,"Joint Ventures";"Hotelall",#N/A,FALSE,"Hotel";"RDVall",#N/A,FALSE,"LDV";"Otherall",#N/A,FALSE,"Other";"Dispoall",#N/A,FALSE,"Dispositions"}</definedName>
    <definedName name="wrn.Allperiods._2"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hidden="1">{"Summaryall",#N/A,FALSE,"Model";"5Officeall",#N/A,FALSE,"Office-Retail Argus 2002-2006";"Officelegal",#N/A,FALSE,"Formatted Office-Retail Page";"Joint Ventures",#N/A,FALSE,"Joint Ventures";"Hotelall",#N/A,FALSE,"Hotel";"RDVall",#N/A,FALSE,"LDV";"Otherall",#N/A,FALSE,"Other";"Dispoall",#N/A,FALSE,"Dispositions"}</definedName>
    <definedName name="wrn.AllProperties." hidden="1">{#N/A,#N/A,FALSE,"0Consolidated";#N/A,#N/A,FALSE,"1Airport A and B ";#N/A,#N/A,FALSE,"2CityWest ";#N/A,#N/A,FALSE,"3Normandale Tech A and B";#N/A,#N/A,FALSE,"4Plymouth Corporate";#N/A,#N/A,FALSE,"5Freeway1";#N/A,#N/A,FALSE,"6Freeway2";#N/A,#N/A,FALSE,"7Freeway3";#N/A,#N/A,FALSE,"8Freeway4";#N/A,#N/A,FALSE,"9Parking Lots"}</definedName>
    <definedName name="wrn.alta." hidden="1">{"page1",#N/A,FALSE,"Sheet1";"page2",#N/A,FALSE,"Sheet1";"page3",#N/A,FALSE,"Sheet1"}</definedName>
    <definedName name="wrn.annual." localSheetId="4">{"annual",#N/A,FALSE,"Pro Forma"}</definedName>
    <definedName name="wrn.annual." localSheetId="2">{"annual",#N/A,FALSE,"Pro Forma"}</definedName>
    <definedName name="wrn.annual." localSheetId="1" hidden="1">{"annual",#N/A,FALSE,"Pro Forma"}</definedName>
    <definedName name="wrn.annual." localSheetId="5">{"annual",#N/A,FALSE,"Pro Forma"}</definedName>
    <definedName name="wrn.annual." localSheetId="8">{"annual",#N/A,FALSE,"Pro Forma"}</definedName>
    <definedName name="wrn.annual." localSheetId="3" hidden="1">{"annual",#N/A,FALSE,"Pro Forma"}</definedName>
    <definedName name="wrn.annual.">{"annual",#N/A,FALSE,"Pro Forma"}</definedName>
    <definedName name="wrn.Annual._.Detail." localSheetId="4">{"annualsum",#N/A,FALSE,"Cost Summary";"annual1",#N/A,FALSE,"Phase_1";"annual2",#N/A,FALSE,"Phase_2";"annual3",#N/A,FALSE,"Phase_3";"annual4",#N/A,FALSE,"Phase_4"}</definedName>
    <definedName name="wrn.Annual._.Detail." localSheetId="2">{"annualsum",#N/A,FALSE,"Cost Summary";"annual1",#N/A,FALSE,"Phase_1";"annual2",#N/A,FALSE,"Phase_2";"annual3",#N/A,FALSE,"Phase_3";"annual4",#N/A,FALSE,"Phase_4"}</definedName>
    <definedName name="wrn.Annual._.Detail." localSheetId="1" hidden="1">{"annualsum",#N/A,FALSE,"Cost Summary";"annual1",#N/A,FALSE,"Phase_1";"annual2",#N/A,FALSE,"Phase_2";"annual3",#N/A,FALSE,"Phase_3";"annual4",#N/A,FALSE,"Phase_4"}</definedName>
    <definedName name="wrn.Annual._.Detail." localSheetId="5">{"annualsum",#N/A,FALSE,"Cost Summary";"annual1",#N/A,FALSE,"Phase_1";"annual2",#N/A,FALSE,"Phase_2";"annual3",#N/A,FALSE,"Phase_3";"annual4",#N/A,FALSE,"Phase_4"}</definedName>
    <definedName name="wrn.Annual._.Detail." localSheetId="8">{"annualsum",#N/A,FALSE,"Cost Summary";"annual1",#N/A,FALSE,"Phase_1";"annual2",#N/A,FALSE,"Phase_2";"annual3",#N/A,FALSE,"Phase_3";"annual4",#N/A,FALSE,"Phase_4"}</definedName>
    <definedName name="wrn.Annual._.Detail." localSheetId="3" hidden="1">{"annualsum",#N/A,FALSE,"Cost Summary";"annual1",#N/A,FALSE,"Phase_1";"annual2",#N/A,FALSE,"Phase_2";"annual3",#N/A,FALSE,"Phase_3";"annual4",#N/A,FALSE,"Phase_4"}</definedName>
    <definedName name="wrn.Annual._.Detail.">{"annualsum",#N/A,FALSE,"Cost Summary";"annual1",#N/A,FALSE,"Phase_1";"annual2",#N/A,FALSE,"Phase_2";"annual3",#N/A,FALSE,"Phase_3";"annual4",#N/A,FALSE,"Phase_4"}</definedName>
    <definedName name="wrn.Annual._.Golf." localSheetId="4">{"a_dev",#N/A,FALSE,"Golf Development";"a_memstats",#N/A,FALSE,"Golf Development";"a_opstats",#N/A,FALSE,"Golf Development";"a_rev",#N/A,FALSE,"Golf Development";"a_return",#N/A,FALSE,"Golf Development"}</definedName>
    <definedName name="wrn.Annual._.Golf." localSheetId="2">{"a_dev",#N/A,FALSE,"Golf Development";"a_memstats",#N/A,FALSE,"Golf Development";"a_opstats",#N/A,FALSE,"Golf Development";"a_rev",#N/A,FALSE,"Golf Development";"a_return",#N/A,FALSE,"Golf Development"}</definedName>
    <definedName name="wrn.Annual._.Golf." localSheetId="1" hidden="1">{"a_dev",#N/A,FALSE,"Golf Development";"a_memstats",#N/A,FALSE,"Golf Development";"a_opstats",#N/A,FALSE,"Golf Development";"a_rev",#N/A,FALSE,"Golf Development";"a_return",#N/A,FALSE,"Golf Development"}</definedName>
    <definedName name="wrn.Annual._.Golf." localSheetId="5">{"a_dev",#N/A,FALSE,"Golf Development";"a_memstats",#N/A,FALSE,"Golf Development";"a_opstats",#N/A,FALSE,"Golf Development";"a_rev",#N/A,FALSE,"Golf Development";"a_return",#N/A,FALSE,"Golf Development"}</definedName>
    <definedName name="wrn.Annual._.Golf." localSheetId="8">{"a_dev",#N/A,FALSE,"Golf Development";"a_memstats",#N/A,FALSE,"Golf Development";"a_opstats",#N/A,FALSE,"Golf Development";"a_rev",#N/A,FALSE,"Golf Development";"a_return",#N/A,FALSE,"Golf Development"}</definedName>
    <definedName name="wrn.Annual._.Golf." localSheetId="3" hidden="1">{"a_dev",#N/A,FALSE,"Golf Development";"a_memstats",#N/A,FALSE,"Golf Development";"a_opstats",#N/A,FALSE,"Golf Development";"a_rev",#N/A,FALSE,"Golf Development";"a_return",#N/A,FALSE,"Golf Development"}</definedName>
    <definedName name="wrn.Annual._.Golf.">{"a_dev",#N/A,FALSE,"Golf Development";"a_memstats",#N/A,FALSE,"Golf Development";"a_opstats",#N/A,FALSE,"Golf Development";"a_rev",#N/A,FALSE,"Golf Development";"a_return",#N/A,FALSE,"Golf Development"}</definedName>
    <definedName name="wrn.Annual._.Golf.2" hidden="1">{"a_dev",#N/A,FALSE,"Golf Development";"a_memstats",#N/A,FALSE,"Golf Development";"a_opstats",#N/A,FALSE,"Golf Development";"a_rev",#N/A,FALSE,"Golf Development";"a_return",#N/A,FALSE,"Golf Development"}</definedName>
    <definedName name="wrn.Annual._.Hotel." localSheetId="4">{"annual hotel",#N/A,FALSE,"Hotel Development"}</definedName>
    <definedName name="wrn.Annual._.Hotel." localSheetId="2">{"annual hotel",#N/A,FALSE,"Hotel Development"}</definedName>
    <definedName name="wrn.Annual._.Hotel." localSheetId="1" hidden="1">{"annual hotel",#N/A,FALSE,"Hotel Development"}</definedName>
    <definedName name="wrn.Annual._.Hotel." localSheetId="5">{"annual hotel",#N/A,FALSE,"Hotel Development"}</definedName>
    <definedName name="wrn.Annual._.Hotel." localSheetId="8">{"annual hotel",#N/A,FALSE,"Hotel Development"}</definedName>
    <definedName name="wrn.Annual._.Hotel." localSheetId="3" hidden="1">{"annual hotel",#N/A,FALSE,"Hotel Development"}</definedName>
    <definedName name="wrn.Annual._.Hotel.">{"annual hotel",#N/A,FALSE,"Hotel Development"}</definedName>
    <definedName name="wrn.Annual._.Hotel.2" hidden="1">{"annual hotel",#N/A,FALSE,"Hotel Development"}</definedName>
    <definedName name="wrn.Annual._.Land._.Sales_2" hidden="1">{"annual",#N/A,FALSE,"Land Sales"}</definedName>
    <definedName name="wrn.Annual._.Land._.Sales." localSheetId="4">{"annual",#N/A,FALSE,"Land Sales"}</definedName>
    <definedName name="wrn.Annual._.Land._.Sales." localSheetId="2">{"annual",#N/A,FALSE,"Land Sales"}</definedName>
    <definedName name="wrn.Annual._.Land._.Sales." localSheetId="1" hidden="1">{"annual",#N/A,FALSE,"Land Sales"}</definedName>
    <definedName name="wrn.Annual._.Land._.Sales." localSheetId="5">{"annual",#N/A,FALSE,"Land Sales"}</definedName>
    <definedName name="wrn.Annual._.Land._.Sales." localSheetId="8">{"annual",#N/A,FALSE,"Land Sales"}</definedName>
    <definedName name="wrn.Annual._.Land._.Sales." localSheetId="3" hidden="1">{"annual",#N/A,FALSE,"Land Sales"}</definedName>
    <definedName name="wrn.Annual._.Land._.Sales.">{"annual",#N/A,FALSE,"Land Sales"}</definedName>
    <definedName name="wrn.Annual._.Report." localSheetId="4">{"annual",#N/A,FALSE,"Pro Forma";#N/A,#N/A,FALSE,"Golf Operations"}</definedName>
    <definedName name="wrn.Annual._.Report." localSheetId="2">{"annual",#N/A,FALSE,"Pro Forma";#N/A,#N/A,FALSE,"Golf Operations"}</definedName>
    <definedName name="wrn.Annual._.Report." localSheetId="1" hidden="1">{"annual",#N/A,FALSE,"Pro Forma";#N/A,#N/A,FALSE,"Golf Operations"}</definedName>
    <definedName name="wrn.Annual._.Report." localSheetId="5">{"annual",#N/A,FALSE,"Pro Forma";#N/A,#N/A,FALSE,"Golf Operations"}</definedName>
    <definedName name="wrn.Annual._.Report." localSheetId="8">{"annual",#N/A,FALSE,"Pro Forma";#N/A,#N/A,FALSE,"Golf Operations"}</definedName>
    <definedName name="wrn.Annual._.Report." localSheetId="3" hidden="1">{"annual",#N/A,FALSE,"Pro Forma";#N/A,#N/A,FALSE,"Golf Operations"}</definedName>
    <definedName name="wrn.Annual._.Report.">{"annual",#N/A,FALSE,"Pro Forma";#N/A,#N/A,FALSE,"Golf Operations"}</definedName>
    <definedName name="wrn.Annual._.Report._.no._.releases." localSheetId="4">{"a_sales",#N/A,FALSE,"Summary";"a_debt",#N/A,FALSE,"Summary";"a_cash",#N/A,FALSE,"Summary";"a_accrual",#N/A,FALSE,"Summary"}</definedName>
    <definedName name="wrn.Annual._.Report._.no._.releases." localSheetId="2">{"a_sales",#N/A,FALSE,"Summary";"a_debt",#N/A,FALSE,"Summary";"a_cash",#N/A,FALSE,"Summary";"a_accrual",#N/A,FALSE,"Summary"}</definedName>
    <definedName name="wrn.Annual._.Report._.no._.releases." localSheetId="1" hidden="1">{"a_sales",#N/A,FALSE,"Summary";"a_debt",#N/A,FALSE,"Summary";"a_cash",#N/A,FALSE,"Summary";"a_accrual",#N/A,FALSE,"Summary"}</definedName>
    <definedName name="wrn.Annual._.Report._.no._.releases." localSheetId="5">{"a_sales",#N/A,FALSE,"Summary";"a_debt",#N/A,FALSE,"Summary";"a_cash",#N/A,FALSE,"Summary";"a_accrual",#N/A,FALSE,"Summary"}</definedName>
    <definedName name="wrn.Annual._.Report._.no._.releases." localSheetId="8">{"a_sales",#N/A,FALSE,"Summary";"a_debt",#N/A,FALSE,"Summary";"a_cash",#N/A,FALSE,"Summary";"a_accrual",#N/A,FALSE,"Summary"}</definedName>
    <definedName name="wrn.Annual._.Report._.no._.releases." localSheetId="3" hidden="1">{"a_sales",#N/A,FALSE,"Summary";"a_debt",#N/A,FALSE,"Summary";"a_cash",#N/A,FALSE,"Summary";"a_accrual",#N/A,FALSE,"Summary"}</definedName>
    <definedName name="wrn.Annual._.Report._.no._.releases.">{"a_sales",#N/A,FALSE,"Summary";"a_debt",#N/A,FALSE,"Summary";"a_cash",#N/A,FALSE,"Summary";"a_accrual",#N/A,FALSE,"Summary"}</definedName>
    <definedName name="wrn.Annual._.Report._.no._.releases2" hidden="1">{"a_sales",#N/A,FALSE,"Summary";"a_debt",#N/A,FALSE,"Summary";"a_cash",#N/A,FALSE,"Summary";"a_accrual",#N/A,FALSE,"Summary"}</definedName>
    <definedName name="wrn.Annual._.Report._.with._.releases." localSheetId="4">{"a_sales",#N/A,FALSE,"Summary";"a_debt",#N/A,FALSE,"Summary";"a_releases",#N/A,FALSE,"Summary";"a_cash",#N/A,FALSE,"Summary";"a_accrual",#N/A,FALSE,"Summary"}</definedName>
    <definedName name="wrn.Annual._.Report._.with._.releases." localSheetId="2">{"a_sales",#N/A,FALSE,"Summary";"a_debt",#N/A,FALSE,"Summary";"a_releases",#N/A,FALSE,"Summary";"a_cash",#N/A,FALSE,"Summary";"a_accrual",#N/A,FALSE,"Summary"}</definedName>
    <definedName name="wrn.Annual._.Report._.with._.releases." localSheetId="1" hidden="1">{"a_sales",#N/A,FALSE,"Summary";"a_debt",#N/A,FALSE,"Summary";"a_releases",#N/A,FALSE,"Summary";"a_cash",#N/A,FALSE,"Summary";"a_accrual",#N/A,FALSE,"Summary"}</definedName>
    <definedName name="wrn.Annual._.Report._.with._.releases." localSheetId="5">{"a_sales",#N/A,FALSE,"Summary";"a_debt",#N/A,FALSE,"Summary";"a_releases",#N/A,FALSE,"Summary";"a_cash",#N/A,FALSE,"Summary";"a_accrual",#N/A,FALSE,"Summary"}</definedName>
    <definedName name="wrn.Annual._.Report._.with._.releases." localSheetId="8">{"a_sales",#N/A,FALSE,"Summary";"a_debt",#N/A,FALSE,"Summary";"a_releases",#N/A,FALSE,"Summary";"a_cash",#N/A,FALSE,"Summary";"a_accrual",#N/A,FALSE,"Summary"}</definedName>
    <definedName name="wrn.Annual._.Report._.with._.releases." localSheetId="3" hidden="1">{"a_sales",#N/A,FALSE,"Summary";"a_debt",#N/A,FALSE,"Summary";"a_releases",#N/A,FALSE,"Summary";"a_cash",#N/A,FALSE,"Summary";"a_accrual",#N/A,FALSE,"Summary"}</definedName>
    <definedName name="wrn.Annual._.Report._.with._.releases.">{"a_sales",#N/A,FALSE,"Summary";"a_debt",#N/A,FALSE,"Summary";"a_releases",#N/A,FALSE,"Summary";"a_cash",#N/A,FALSE,"Summary";"a_accrual",#N/A,FALSE,"Summary"}</definedName>
    <definedName name="wrn.Annual._.Report._.with._.releases.2" hidden="1">{"a_sales",#N/A,FALSE,"Summary";"a_debt",#N/A,FALSE,"Summary";"a_releases",#N/A,FALSE,"Summary";"a_cash",#N/A,FALSE,"Summary";"a_accrual",#N/A,FALSE,"Summary"}</definedName>
    <definedName name="wrn.Annual._.Report._2" hidden="1">{"annual",#N/A,FALSE,"Pro Forma";#N/A,#N/A,FALSE,"Golf Operations"}</definedName>
    <definedName name="wrn.annual._2" hidden="1">{"annual",#N/A,FALSE,"Pro Forma"}</definedName>
    <definedName name="wrn.AnnualRentRoll" hidden="1">{"AnnualRentRoll",#N/A,FALSE,"RentRoll"}</definedName>
    <definedName name="wrn.AnnualRentRoll." hidden="1">{"AnnualRentRoll",#N/A,FALSE,"RentRoll"}</definedName>
    <definedName name="wrn.annualrentroll2" hidden="1">{"AnnualRentRoll",#N/A,FALSE,"RentRoll"}</definedName>
    <definedName name="wrn.BA." hidden="1">{"ba1",#N/A,TRUE,"B-A";"ba2",#N/A,TRUE,"B-A"}</definedName>
    <definedName name="wrn.BA.2" hidden="1">{"ba1",#N/A,TRUE,"B-A";"ba2",#N/A,TRUE,"B-A"}</definedName>
    <definedName name="wrn.Base._.Case._.Print." localSheetId="4" hidden="1">{#N/A,#N/A,FALSE,"Assumptions";#N/A,#N/A,FALSE,"Ground Rent";#N/A,#N/A,FALSE,"SQFT SUMMARY";#N/A,#N/A,FALSE,"PROJECT COSTS";#N/A,#N/A,FALSE,"Financing";#N/A,#N/A,FALSE,"RE Tax Analysis";#N/A,#N/A,FALSE,"Oper Pro Forma";#N/A,#N/A,FALSE,"Sale and IRR";#N/A,#N/A,FALSE,"Int BackUP"}</definedName>
    <definedName name="wrn.Base._.Case._.Print." localSheetId="2" hidden="1">{#N/A,#N/A,FALSE,"Assumptions";#N/A,#N/A,FALSE,"Ground Rent";#N/A,#N/A,FALSE,"SQFT SUMMARY";#N/A,#N/A,FALSE,"PROJECT COSTS";#N/A,#N/A,FALSE,"Financing";#N/A,#N/A,FALSE,"RE Tax Analysis";#N/A,#N/A,FALSE,"Oper Pro Forma";#N/A,#N/A,FALSE,"Sale and IRR";#N/A,#N/A,FALSE,"Int BackUP"}</definedName>
    <definedName name="wrn.Base._.Case._.Print." localSheetId="1" hidden="1">{#N/A,#N/A,FALSE,"Assumptions";#N/A,#N/A,FALSE,"Ground Rent";#N/A,#N/A,FALSE,"SQFT SUMMARY";#N/A,#N/A,FALSE,"PROJECT COSTS";#N/A,#N/A,FALSE,"Financing";#N/A,#N/A,FALSE,"RE Tax Analysis";#N/A,#N/A,FALSE,"Oper Pro Forma";#N/A,#N/A,FALSE,"Sale and IRR";#N/A,#N/A,FALSE,"Int BackUP"}</definedName>
    <definedName name="wrn.Base._.Case._.Print." localSheetId="5" hidden="1">{#N/A,#N/A,FALSE,"Assumptions";#N/A,#N/A,FALSE,"Ground Rent";#N/A,#N/A,FALSE,"SQFT SUMMARY";#N/A,#N/A,FALSE,"PROJECT COSTS";#N/A,#N/A,FALSE,"Financing";#N/A,#N/A,FALSE,"RE Tax Analysis";#N/A,#N/A,FALSE,"Oper Pro Forma";#N/A,#N/A,FALSE,"Sale and IRR";#N/A,#N/A,FALSE,"Int BackUP"}</definedName>
    <definedName name="wrn.Base._.Case._.Print." localSheetId="8" hidden="1">{#N/A,#N/A,FALSE,"Assumptions";#N/A,#N/A,FALSE,"Ground Rent";#N/A,#N/A,FALSE,"SQFT SUMMARY";#N/A,#N/A,FALSE,"PROJECT COSTS";#N/A,#N/A,FALSE,"Financing";#N/A,#N/A,FALSE,"RE Tax Analysis";#N/A,#N/A,FALSE,"Oper Pro Forma";#N/A,#N/A,FALSE,"Sale and IRR";#N/A,#N/A,FALSE,"Int BackUP"}</definedName>
    <definedName name="wrn.Base._.Case._.Print." localSheetId="3" hidden="1">{#N/A,#N/A,FALSE,"Assumptions";#N/A,#N/A,FALSE,"Ground Rent";#N/A,#N/A,FALSE,"SQFT SUMMARY";#N/A,#N/A,FALSE,"PROJECT COSTS";#N/A,#N/A,FALSE,"Financing";#N/A,#N/A,FALSE,"RE Tax Analysis";#N/A,#N/A,FALSE,"Oper Pro Forma";#N/A,#N/A,FALSE,"Sale and IRR";#N/A,#N/A,FALSE,"Int BackUP"}</definedName>
    <definedName name="wrn.Base._.Case._.Print." hidden="1">{#N/A,#N/A,FALSE,"Assumptions";#N/A,#N/A,FALSE,"Ground Rent";#N/A,#N/A,FALSE,"SQFT SUMMARY";#N/A,#N/A,FALSE,"PROJECT COSTS";#N/A,#N/A,FALSE,"Financing";#N/A,#N/A,FALSE,"RE Tax Analysis";#N/A,#N/A,FALSE,"Oper Pro Forma";#N/A,#N/A,FALSE,"Sale and IRR";#N/A,#N/A,FALSE,"Int BackUP"}</definedName>
    <definedName name="wrn.Base._.Data._.Comparison." localSheetId="6" hidden="1">{#N/A,#N/A,FALSE,"Summation";#N/A,#N/A,FALSE,"BSA";#N/A,#N/A,FALSE,"Detail1";#N/A,#N/A,FALSE,"Detail2";#N/A,#N/A,FALSE,"Detail3";#N/A,#N/A,FALSE,"WFTE_Summary";#N/A,#N/A,FALSE,"Funded_WFTE";#N/A,#N/A,FALSE,"PYADJ96"}</definedName>
    <definedName name="wrn.Base._.Data._.Comparison." localSheetId="4" hidden="1">{#N/A,#N/A,FALSE,"Summation";#N/A,#N/A,FALSE,"BSA";#N/A,#N/A,FALSE,"Detail1";#N/A,#N/A,FALSE,"Detail2";#N/A,#N/A,FALSE,"Detail3";#N/A,#N/A,FALSE,"WFTE_Summary";#N/A,#N/A,FALSE,"Funded_WFTE";#N/A,#N/A,FALSE,"PYADJ96"}</definedName>
    <definedName name="wrn.Base._.Data._.Comparison." localSheetId="2" hidden="1">{#N/A,#N/A,FALSE,"Summation";#N/A,#N/A,FALSE,"BSA";#N/A,#N/A,FALSE,"Detail1";#N/A,#N/A,FALSE,"Detail2";#N/A,#N/A,FALSE,"Detail3";#N/A,#N/A,FALSE,"WFTE_Summary";#N/A,#N/A,FALSE,"Funded_WFTE";#N/A,#N/A,FALSE,"PYADJ96"}</definedName>
    <definedName name="wrn.Base._.Data._.Comparison." localSheetId="1" hidden="1">{#N/A,#N/A,FALSE,"Summation";#N/A,#N/A,FALSE,"BSA";#N/A,#N/A,FALSE,"Detail1";#N/A,#N/A,FALSE,"Detail2";#N/A,#N/A,FALSE,"Detail3";#N/A,#N/A,FALSE,"WFTE_Summary";#N/A,#N/A,FALSE,"Funded_WFTE";#N/A,#N/A,FALSE,"PYADJ96"}</definedName>
    <definedName name="wrn.Base._.Data._.Comparison." localSheetId="5" hidden="1">{#N/A,#N/A,FALSE,"Summation";#N/A,#N/A,FALSE,"BSA";#N/A,#N/A,FALSE,"Detail1";#N/A,#N/A,FALSE,"Detail2";#N/A,#N/A,FALSE,"Detail3";#N/A,#N/A,FALSE,"WFTE_Summary";#N/A,#N/A,FALSE,"Funded_WFTE";#N/A,#N/A,FALSE,"PYADJ96"}</definedName>
    <definedName name="wrn.Base._.Data._.Comparison." localSheetId="8" hidden="1">{#N/A,#N/A,FALSE,"Summation";#N/A,#N/A,FALSE,"BSA";#N/A,#N/A,FALSE,"Detail1";#N/A,#N/A,FALSE,"Detail2";#N/A,#N/A,FALSE,"Detail3";#N/A,#N/A,FALSE,"WFTE_Summary";#N/A,#N/A,FALSE,"Funded_WFTE";#N/A,#N/A,FALSE,"PYADJ96"}</definedName>
    <definedName name="wrn.Base._.Data._.Comparison." localSheetId="3" hidden="1">{#N/A,#N/A,FALSE,"Summation";#N/A,#N/A,FALSE,"BSA";#N/A,#N/A,FALSE,"Detail1";#N/A,#N/A,FALSE,"Detail2";#N/A,#N/A,FALSE,"Detail3";#N/A,#N/A,FALSE,"WFTE_Summary";#N/A,#N/A,FALSE,"Funded_WFTE";#N/A,#N/A,FALSE,"PYADJ96"}</definedName>
    <definedName name="wrn.Base._.Data._.Comparison." hidden="1">{#N/A,#N/A,FALSE,"Summation";#N/A,#N/A,FALSE,"BSA";#N/A,#N/A,FALSE,"Detail1";#N/A,#N/A,FALSE,"Detail2";#N/A,#N/A,FALSE,"Detail3";#N/A,#N/A,FALSE,"WFTE_Summary";#N/A,#N/A,FALSE,"Funded_WFTE";#N/A,#N/A,FALSE,"PYADJ96"}</definedName>
    <definedName name="wrn.BaseYearDemand." localSheetId="4" hidden="1">{"Base Year Demand",#N/A,FALSE,"Demand-Base Year"}</definedName>
    <definedName name="wrn.BaseYearDemand." localSheetId="2" hidden="1">{"Base Year Demand",#N/A,FALSE,"Demand-Base Year"}</definedName>
    <definedName name="wrn.BaseYearDemand." localSheetId="1" hidden="1">{"Base Year Demand",#N/A,FALSE,"Demand-Base Year"}</definedName>
    <definedName name="wrn.BaseYearDemand." localSheetId="5" hidden="1">{"Base Year Demand",#N/A,FALSE,"Demand-Base Year"}</definedName>
    <definedName name="wrn.BaseYearDemand." localSheetId="8" hidden="1">{"Base Year Demand",#N/A,FALSE,"Demand-Base Year"}</definedName>
    <definedName name="wrn.BaseYearDemand." localSheetId="3" hidden="1">{"Base Year Demand",#N/A,FALSE,"Demand-Base Year"}</definedName>
    <definedName name="wrn.BaseYearDemand." hidden="1">{"Base Year Demand",#N/A,FALSE,"Demand-Base Year"}</definedName>
    <definedName name="wrn.BASIC." hidden="1">{#N/A,#N/A,FALSE,"9Pricing Matrix";#N/A,#N/A,FALSE,"3Cash Flow";#N/A,#N/A,FALSE,"2Assumptions";#N/A,#N/A,FALSE,"5Residual"}</definedName>
    <definedName name="wrn.Basic._.Forecast." localSheetId="4"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2"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1"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5"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8"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localSheetId="3"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leu4." hidden="1">{#N/A,#N/A,FALSE}</definedName>
    <definedName name="wrn.bleu4.2" hidden="1">{#N/A,#N/A,FALSE}</definedName>
    <definedName name="wrn.Blue._.Book._.Sections." hidden="1">{#N/A,#N/A,TRUE,"Summary";#N/A,#N/A,TRUE,"Program Scheme";#N/A,#N/A,TRUE,"Assumptions";#N/A,#N/A,TRUE,"Development Budget &amp; Timing";#N/A,#N/A,TRUE,"Cash Flow";#N/A,#N/A,TRUE,"Cash Flow to Debt &amp; Equity"}</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th._.Outputs." localSheetId="4" hidden="1">{"LTV Output",#N/A,FALSE,"Output";"DCR Output",#N/A,FALSE,"Output"}</definedName>
    <definedName name="wrn.Both._.Outputs." localSheetId="2" hidden="1">{"LTV Output",#N/A,FALSE,"Output";"DCR Output",#N/A,FALSE,"Output"}</definedName>
    <definedName name="wrn.Both._.Outputs." localSheetId="1" hidden="1">{"LTV Output",#N/A,FALSE,"Output";"DCR Output",#N/A,FALSE,"Output"}</definedName>
    <definedName name="wrn.Both._.Outputs." localSheetId="5" hidden="1">{"LTV Output",#N/A,FALSE,"Output";"DCR Output",#N/A,FALSE,"Output"}</definedName>
    <definedName name="wrn.Both._.Outputs." localSheetId="8" hidden="1">{"LTV Output",#N/A,FALSE,"Output";"DCR Output",#N/A,FALSE,"Output"}</definedName>
    <definedName name="wrn.Both._.Outputs." localSheetId="3" hidden="1">{"LTV Output",#N/A,FALSE,"Output";"DCR Output",#N/A,FALSE,"Output"}</definedName>
    <definedName name="wrn.Both._.Outputs." hidden="1">{"LTV Output",#N/A,FALSE,"Output";"DCR Output",#N/A,FALSE,"Output"}</definedName>
    <definedName name="wrn.BUDGET._.PACKAGE." hidden="1">{"General Input",#N/A,FALSE,"General Info";"Miscellaneous Input",#N/A,FALSE,"General Info";"Tenant Info",#N/A,FALSE,"Revenue Input";"Base Rent",#N/A,FALSE,"Revenue Input";"RSF Projections",#N/A,FALSE,"Revenue Input";"OP Cost Escalations",#N/A,FALSE,"Revenue Input";"OP Cost Monthly",#N/A,FALSE,"Revenue Input";"RE Tax Escalation",#N/A,FALSE,"Revenue Input";"RE Tax Monthly",#N/A,FALSE,"Revenue Input";"Assumptions",#N/A,FALSE,"Leasing Assumptions";"Property Improvements",#N/A,FALSE,"Property Improvements";"Parking",#N/A,FALSE,"Parking";"ONE",#N/A,FALSE,"Expenses";"TWO",#N/A,FALSE,"Expenses";"FOUR",#N/A,FALSE,"Expenses";"THREE",#N/A,FALSE,"Expenses";"Five",#N/A,FALSE,"Expenses";"Six",#N/A,FALSE,"Expenses";"Seven",#N/A,FALSE,"Expenses";"Eight",#N/A,FALSE,"Expenses";"Nine",#N/A,FALSE,"Expenses";"Ten",#N/A,FALSE,"Expenses";"Eleven",#N/A,FALSE,"Expenses";"Twelve",#N/A,FALSE,"Expenses";"Thirteen",#N/A,FALSE,"Expenses";"Fourteen",#N/A,FALSE,"Expenses";"Fifteen",#N/A,FALSE,"Expenses";"Sixteen",#N/A,FALSE,"Expenses";"Seventeen",#N/A,FALSE,"Expenses";"Eighteen",#N/A,FALSE,"Expenses";"Nineteen",#N/A,FALSE,"Expenses";"Twenty",#N/A,FALSE,"Expenses";"Twenty one",#N/A,FALSE,"Expenses";"Twenty two",#N/A,FALSE,"Expenses";"Twenty three",#N/A,FALSE,"Expenses";"Twenty four",#N/A,FALSE,"Expenses";"Twenty five",#N/A,FALSE,"Expenses";"Twenty six",#N/A,FALSE,"Expenses";"Twenty seven",#N/A,FALSE,"Expenses";"Twenty eight",#N/A,FALSE,"Expenses";"Twenty nine",#N/A,FALSE,"Expenses";"Thirty",#N/A,FALSE,"Expenses";"Thirty one",#N/A,FALSE,"Expenses";"Thirty two",#N/A,FALSE,"Expenses";"Thirty three",#N/A,FALSE,"Expenses";"Thirty four",#N/A,FALSE,"Expenses";"Thirty five",#N/A,FALSE,"Expenses";"Thirty six",#N/A,FALSE,"Expenses";"Thirty seven",#N/A,FALSE,"Expenses";"Thirty eight",#N/A,FALSE,"Expenses";"Thirty nine",#N/A,FALSE,"Expenses";"forty",#N/A,FALSE,"Expenses";"Forty one",#N/A,FALSE,"Expenses";"Forty two",#N/A,FALSE,"Expenses";"Forty three",#N/A,FALSE,"Expenses";"Forty four",#N/A,FALSE,"Expenses";"Forty five",#N/A,FALSE,"Expenses";"PriorYr1",#N/A,FALSE,"Prior Year Amounts";"PriorYr2",#N/A,FALSE,"Prior Year Amounts";#N/A,#N/A,FALSE,"Capital Expenditures";"Commission Cost",#N/A,FALSE,"Capital Expenditures";"Tenant Improvements",#N/A,FALSE,"Capital Expenditures";#N/A,#N/A,FALSE,"Revenue Schedules";"Revenue Summary",#N/A,FALSE,"Revenue Schedules";#N/A,#N/A,FALSE,"Expense Schedules";"Expense Schedules",#N/A,FALSE,"Expense Schedules";"MonSum 1",#N/A,FALSE,"Summary Schedules";"MonSum 2",#N/A,FALSE,"Summary Schedules";"QtrSum1",#N/A,FALSE,"Summary Schedules";"QtrSum2",#N/A,FALSE,"Summary Schedules";"AnnualSum1",#N/A,FALSE,"Summary Schedules"}</definedName>
    <definedName name="wrn.Capital._.Expenditures." hidden="1">{"Commission Cost",#N/A,FALSE,"Capital Expenditures";"Tenant Improvements",#N/A,FALSE,"Capital Expenditures"}</definedName>
    <definedName name="wrn.CAPREIT." hidden="1">{#N/A,#N/A,FALSE,"CAPREIT"}</definedName>
    <definedName name="wrn.CAPREIT2" hidden="1">{#N/A,#N/A,FALSE,"CAPREIT"}</definedName>
    <definedName name="wrn.Cash._.and._.Accrual." localSheetId="4">{"a_cash",#N/A,FALSE,"Summary";"a_accrual",#N/A,FALSE,"Summary"}</definedName>
    <definedName name="wrn.Cash._.and._.Accrual." localSheetId="2">{"a_cash",#N/A,FALSE,"Summary";"a_accrual",#N/A,FALSE,"Summary"}</definedName>
    <definedName name="wrn.Cash._.and._.Accrual." localSheetId="1" hidden="1">{"a_cash",#N/A,FALSE,"Summary";"a_accrual",#N/A,FALSE,"Summary"}</definedName>
    <definedName name="wrn.Cash._.and._.Accrual." localSheetId="5">{"a_cash",#N/A,FALSE,"Summary";"a_accrual",#N/A,FALSE,"Summary"}</definedName>
    <definedName name="wrn.Cash._.and._.Accrual." localSheetId="8">{"a_cash",#N/A,FALSE,"Summary";"a_accrual",#N/A,FALSE,"Summary"}</definedName>
    <definedName name="wrn.Cash._.and._.Accrual." localSheetId="3" hidden="1">{"a_cash",#N/A,FALSE,"Summary";"a_accrual",#N/A,FALSE,"Summary"}</definedName>
    <definedName name="wrn.Cash._.and._.Accrual.">{"a_cash",#N/A,FALSE,"Summary";"a_accrual",#N/A,FALSE,"Summary"}</definedName>
    <definedName name="wrn.Cash._.and._.Accrual.2" hidden="1">{"a_cash",#N/A,FALSE,"Summary";"a_accrual",#N/A,FALSE,"Summary"}</definedName>
    <definedName name="wrn.Cash._.Flow._.Analysis." localSheetId="4" hidden="1">{"CF",#N/A,FALSE,"Cash Flow";"RET",#N/A,FALSE,"Returns";"NPV",#N/A,FALSE,"Values";"ASMPT",#N/A,FALSE,"Assumptions"}</definedName>
    <definedName name="wrn.Cash._.Flow._.Analysis." localSheetId="2" hidden="1">{"CF",#N/A,FALSE,"Cash Flow";"RET",#N/A,FALSE,"Returns";"NPV",#N/A,FALSE,"Values";"ASMPT",#N/A,FALSE,"Assumptions"}</definedName>
    <definedName name="wrn.Cash._.Flow._.Analysis." localSheetId="1" hidden="1">{"CF",#N/A,FALSE,"Cash Flow";"RET",#N/A,FALSE,"Returns";"NPV",#N/A,FALSE,"Values";"ASMPT",#N/A,FALSE,"Assumptions"}</definedName>
    <definedName name="wrn.Cash._.Flow._.Analysis." localSheetId="5" hidden="1">{"CF",#N/A,FALSE,"Cash Flow";"RET",#N/A,FALSE,"Returns";"NPV",#N/A,FALSE,"Values";"ASMPT",#N/A,FALSE,"Assumptions"}</definedName>
    <definedName name="wrn.Cash._.Flow._.Analysis." localSheetId="8" hidden="1">{"CF",#N/A,FALSE,"Cash Flow";"RET",#N/A,FALSE,"Returns";"NPV",#N/A,FALSE,"Values";"ASMPT",#N/A,FALSE,"Assumptions"}</definedName>
    <definedName name="wrn.Cash._.Flow._.Analysis." localSheetId="3" hidden="1">{"CF",#N/A,FALSE,"Cash Flow";"RET",#N/A,FALSE,"Returns";"NPV",#N/A,FALSE,"Values";"ASMPT",#N/A,FALSE,"Assumptions"}</definedName>
    <definedName name="wrn.Cash._.Flow._.Analysis." hidden="1">{"CF",#N/A,FALSE,"Cash Flow";"RET",#N/A,FALSE,"Returns";"NPV",#N/A,FALSE,"Values";"ASMPT",#N/A,FALSE,"Assumptions"}</definedName>
    <definedName name="wrn.Cash._.Flow._.Analysis.2" hidden="1">{"CF",#N/A,FALSE,"Cash Flow";"RET",#N/A,FALSE,"Returns";"NPV",#N/A,FALSE,"Values";"ASMPT",#N/A,FALSE,"Assumptions"}</definedName>
    <definedName name="wrn.CD." hidden="1">{"CD1",#N/A,TRUE,"C-D (R)";"CD2",#N/A,TRUE,"C-D (R)"}</definedName>
    <definedName name="wrn.CD.2" hidden="1">{"CD1",#N/A,TRUE,"C-D (R)";"CD2",#N/A,TRUE,"C-D (R)"}</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eck." localSheetId="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1"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5"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8"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1"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5"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8"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ombined." localSheetId="4" hidden="1">{#N/A,#N/A,FALSE,"Page 2";#N/A,#N/A,FALSE,"Page 1A";#N/A,#N/A,FALSE,"Page 1B";#N/A,#N/A,FALSE,"ExecSum";#N/A,#N/A,FALSE,"Budget";#N/A,#N/A,FALSE,"Lease Summary";#N/A,#N/A,FALSE,"Summary1";#N/A,#N/A,FALSE,"CashFlow";#N/A,#N/A,FALSE,"Page 3";#N/A,#N/A,FALSE,"Page 4";#N/A,#N/A,FALSE,"Carry"}</definedName>
    <definedName name="wrn.combined." localSheetId="2" hidden="1">{#N/A,#N/A,FALSE,"Page 2";#N/A,#N/A,FALSE,"Page 1A";#N/A,#N/A,FALSE,"Page 1B";#N/A,#N/A,FALSE,"ExecSum";#N/A,#N/A,FALSE,"Budget";#N/A,#N/A,FALSE,"Lease Summary";#N/A,#N/A,FALSE,"Summary1";#N/A,#N/A,FALSE,"CashFlow";#N/A,#N/A,FALSE,"Page 3";#N/A,#N/A,FALSE,"Page 4";#N/A,#N/A,FALSE,"Carry"}</definedName>
    <definedName name="wrn.combined." localSheetId="1" hidden="1">{#N/A,#N/A,FALSE,"Page 2";#N/A,#N/A,FALSE,"Page 1A";#N/A,#N/A,FALSE,"Page 1B";#N/A,#N/A,FALSE,"ExecSum";#N/A,#N/A,FALSE,"Budget";#N/A,#N/A,FALSE,"Lease Summary";#N/A,#N/A,FALSE,"Summary1";#N/A,#N/A,FALSE,"CashFlow";#N/A,#N/A,FALSE,"Page 3";#N/A,#N/A,FALSE,"Page 4";#N/A,#N/A,FALSE,"Carry"}</definedName>
    <definedName name="wrn.combined." localSheetId="5" hidden="1">{#N/A,#N/A,FALSE,"Page 2";#N/A,#N/A,FALSE,"Page 1A";#N/A,#N/A,FALSE,"Page 1B";#N/A,#N/A,FALSE,"ExecSum";#N/A,#N/A,FALSE,"Budget";#N/A,#N/A,FALSE,"Lease Summary";#N/A,#N/A,FALSE,"Summary1";#N/A,#N/A,FALSE,"CashFlow";#N/A,#N/A,FALSE,"Page 3";#N/A,#N/A,FALSE,"Page 4";#N/A,#N/A,FALSE,"Carry"}</definedName>
    <definedName name="wrn.combined." localSheetId="8" hidden="1">{#N/A,#N/A,FALSE,"Page 2";#N/A,#N/A,FALSE,"Page 1A";#N/A,#N/A,FALSE,"Page 1B";#N/A,#N/A,FALSE,"ExecSum";#N/A,#N/A,FALSE,"Budget";#N/A,#N/A,FALSE,"Lease Summary";#N/A,#N/A,FALSE,"Summary1";#N/A,#N/A,FALSE,"CashFlow";#N/A,#N/A,FALSE,"Page 3";#N/A,#N/A,FALSE,"Page 4";#N/A,#N/A,FALSE,"Carry"}</definedName>
    <definedName name="wrn.combined." localSheetId="3" hidden="1">{#N/A,#N/A,FALSE,"Page 2";#N/A,#N/A,FALSE,"Page 1A";#N/A,#N/A,FALSE,"Page 1B";#N/A,#N/A,FALSE,"ExecSum";#N/A,#N/A,FALSE,"Budget";#N/A,#N/A,FALSE,"Lease Summary";#N/A,#N/A,FALSE,"Summary1";#N/A,#N/A,FALSE,"CashFlow";#N/A,#N/A,FALSE,"Page 3";#N/A,#N/A,FALSE,"Page 4";#N/A,#N/A,FALSE,"Carry"}</definedName>
    <definedName name="wrn.combined." hidden="1">{#N/A,#N/A,FALSE,"Page 2";#N/A,#N/A,FALSE,"Page 1A";#N/A,#N/A,FALSE,"Page 1B";#N/A,#N/A,FALSE,"ExecSum";#N/A,#N/A,FALSE,"Budget";#N/A,#N/A,FALSE,"Lease Summary";#N/A,#N/A,FALSE,"Summary1";#N/A,#N/A,FALSE,"CashFlow";#N/A,#N/A,FALSE,"Page 3";#N/A,#N/A,FALSE,"Page 4";#N/A,#N/A,FALSE,"Carry"}</definedName>
    <definedName name="wrn.condensed." hidden="1">{#N/A,#N/A,FALSE,"Unconsolidated Debt"}</definedName>
    <definedName name="wrn.condensed.0" hidden="1">{#N/A,#N/A,FALSE,"Unconsolidated Debt"}</definedName>
    <definedName name="wrn.condensed.2" hidden="1">{#N/A,#N/A,FALSE,"Unconsolidated Debt"}</definedName>
    <definedName name="wrn.contribution." hidden="1">{#N/A,#N/A,FALSE,"Contribution Analysis"}</definedName>
    <definedName name="wrn.contribution.1" hidden="1">{#N/A,#N/A,FALSE,"Contribution Analysis"}</definedName>
    <definedName name="wrn.csc." hidden="1">{"orixcsc",#N/A,FALSE,"ORIX CSC";"orixcsc2",#N/A,FALSE,"ORIX CSC"}</definedName>
    <definedName name="wrn.csc.1" hidden="1">{"orixcsc",#N/A,FALSE,"ORIX CSC";"orixcsc2",#N/A,FALSE,"ORIX CSC"}</definedName>
    <definedName name="wrn.csc.1_2" hidden="1">{"orixcsc",#N/A,FALSE,"ORIX CSC";"orixcsc2",#N/A,FALSE,"ORIX CSC"}</definedName>
    <definedName name="wrn.csc.3" hidden="1">{#N/A,#N/A,FALSE,"ORIX CSC"}</definedName>
    <definedName name="wrn.csc.3_2" hidden="1">{#N/A,#N/A,FALSE,"ORIX CSC"}</definedName>
    <definedName name="wrn.csc2." hidden="1">{#N/A,#N/A,FALSE,"ORIX CSC"}</definedName>
    <definedName name="wrn.csc2.2" hidden="1">{#N/A,#N/A,FALSE,"ORIX CSC"}</definedName>
    <definedName name="wrn.data." localSheetId="4">{"data",#N/A,FALSE,"INPUT"}</definedName>
    <definedName name="wrn.data." localSheetId="2">{"data",#N/A,FALSE,"INPUT"}</definedName>
    <definedName name="wrn.data." localSheetId="1" hidden="1">{"data",#N/A,FALSE,"INPUT"}</definedName>
    <definedName name="wrn.data." localSheetId="5">{"data",#N/A,FALSE,"INPUT"}</definedName>
    <definedName name="wrn.data." localSheetId="8">{"data",#N/A,FALSE,"INPUT"}</definedName>
    <definedName name="wrn.data." localSheetId="3" hidden="1">{"data",#N/A,FALSE,"INPUT"}</definedName>
    <definedName name="wrn.data.">{"data",#N/A,FALSE,"INPUT"}</definedName>
    <definedName name="wrn.data1" localSheetId="4">{"data",#N/A,FALSE,"INPUT"}</definedName>
    <definedName name="wrn.data1" localSheetId="2">{"data",#N/A,FALSE,"INPUT"}</definedName>
    <definedName name="wrn.data1" localSheetId="1" hidden="1">{"data",#N/A,FALSE,"INPUT"}</definedName>
    <definedName name="wrn.data1" localSheetId="5">{"data",#N/A,FALSE,"INPUT"}</definedName>
    <definedName name="wrn.data1" localSheetId="8">{"data",#N/A,FALSE,"INPUT"}</definedName>
    <definedName name="wrn.data1" localSheetId="3" hidden="1">{"data",#N/A,FALSE,"INPUT"}</definedName>
    <definedName name="wrn.data1">{"data",#N/A,FALSE,"INPUT"}</definedName>
    <definedName name="wrn.dcf." hidden="1">{"mgmt forecast",#N/A,FALSE,"Mgmt Forecast";"dcf table",#N/A,FALSE,"Mgmt Forecast";"sensitivity",#N/A,FALSE,"Mgmt Forecast";"table inputs",#N/A,FALSE,"Mgmt Forecast";"calculations",#N/A,FALSE,"Mgmt Forecast"}</definedName>
    <definedName name="wrn.DCR._.Output." localSheetId="4" hidden="1">{"DCR Output",#N/A,FALSE,"Output"}</definedName>
    <definedName name="wrn.DCR._.Output." localSheetId="2" hidden="1">{"DCR Output",#N/A,FALSE,"Output"}</definedName>
    <definedName name="wrn.DCR._.Output." localSheetId="1" hidden="1">{"DCR Output",#N/A,FALSE,"Output"}</definedName>
    <definedName name="wrn.DCR._.Output." localSheetId="5" hidden="1">{"DCR Output",#N/A,FALSE,"Output"}</definedName>
    <definedName name="wrn.DCR._.Output." localSheetId="8" hidden="1">{"DCR Output",#N/A,FALSE,"Output"}</definedName>
    <definedName name="wrn.DCR._.Output." localSheetId="3" hidden="1">{"DCR Output",#N/A,FALSE,"Output"}</definedName>
    <definedName name="wrn.DCR._.Output." hidden="1">{"DCR Output",#N/A,FALSE,"Output"}</definedName>
    <definedName name="wrn.Debt._.Maturity." hidden="1">{#N/A,#N/A,FALSE,"ZLDebtMaturity";#N/A,#N/A,FALSE,"FCDebtMaturity";#N/A,#N/A,FALSE,"ZM3DebtMaturity";#N/A,#N/A,FALSE,"ZM2DebtMaturity";#N/A,#N/A,FALSE,"zm1DebtMaturity";#N/A,#N/A,FALSE,"ConsZM123DebtMaturity"}</definedName>
    <definedName name="wrn.Demand._.Calcs." localSheetId="4" hidden="1">{#N/A,#N/A,FALSE,"Demand Calcs"}</definedName>
    <definedName name="wrn.Demand._.Calcs." localSheetId="2" hidden="1">{#N/A,#N/A,FALSE,"Demand Calcs"}</definedName>
    <definedName name="wrn.Demand._.Calcs." localSheetId="1" hidden="1">{#N/A,#N/A,FALSE,"Demand Calcs"}</definedName>
    <definedName name="wrn.Demand._.Calcs." localSheetId="5" hidden="1">{#N/A,#N/A,FALSE,"Demand Calcs"}</definedName>
    <definedName name="wrn.Demand._.Calcs." localSheetId="8" hidden="1">{#N/A,#N/A,FALSE,"Demand Calcs"}</definedName>
    <definedName name="wrn.Demand._.Calcs." localSheetId="3" hidden="1">{#N/A,#N/A,FALSE,"Demand Calcs"}</definedName>
    <definedName name="wrn.Demand._.Calcs." hidden="1">{#N/A,#N/A,FALSE,"Demand Calcs"}</definedName>
    <definedName name="wrn.Demand._.Inputs." localSheetId="4" hidden="1">{#N/A,#N/A,FALSE,"Demand Inputs"}</definedName>
    <definedName name="wrn.Demand._.Inputs." localSheetId="2" hidden="1">{#N/A,#N/A,FALSE,"Demand Inputs"}</definedName>
    <definedName name="wrn.Demand._.Inputs." localSheetId="1" hidden="1">{#N/A,#N/A,FALSE,"Demand Inputs"}</definedName>
    <definedName name="wrn.Demand._.Inputs." localSheetId="5" hidden="1">{#N/A,#N/A,FALSE,"Demand Inputs"}</definedName>
    <definedName name="wrn.Demand._.Inputs." localSheetId="8" hidden="1">{#N/A,#N/A,FALSE,"Demand Inputs"}</definedName>
    <definedName name="wrn.Demand._.Inputs." localSheetId="3" hidden="1">{#N/A,#N/A,FALSE,"Demand Inputs"}</definedName>
    <definedName name="wrn.Demand._.Inputs." hidden="1">{#N/A,#N/A,FALSE,"Demand Inputs"}</definedName>
    <definedName name="wrn.detail." hidden="1">{"detail1",#N/A,FALSE,"Sheet1";"detail2",#N/A,FALSE,"Sheet1";"detail3",#N/A,FALSE,"Sheet1";"detail4",#N/A,FALSE,"Sheet1";"detail5",#N/A,FALSE,"Sheet1";"detail6",#N/A,FALSE,"Sheet1";"detail7",#N/A,FALSE,"Sheet1";"detail8",#N/A,FALSE,"Sheet1";"detail9",#N/A,FALSE,"Sheet1"}</definedName>
    <definedName name="wrn.DETAIL._.SCHEDULES." localSheetId="4" hidden="1">{"ACCOUNT DETAIL",#N/A,FALSE,"SCHEDULE E";"ACCOUNT DETAIL",#N/A,FALSE,"SCHEDULE G";"ACCOUNT DETAIL",#N/A,FALSE,"SCHEDULE H";"ACCOUNT DETAIL",#N/A,FALSE,"SCHEDULE I"}</definedName>
    <definedName name="wrn.DETAIL._.SCHEDULES." localSheetId="2" hidden="1">{"ACCOUNT DETAIL",#N/A,FALSE,"SCHEDULE E";"ACCOUNT DETAIL",#N/A,FALSE,"SCHEDULE G";"ACCOUNT DETAIL",#N/A,FALSE,"SCHEDULE H";"ACCOUNT DETAIL",#N/A,FALSE,"SCHEDULE I"}</definedName>
    <definedName name="wrn.DETAIL._.SCHEDULES." localSheetId="1" hidden="1">{"ACCOUNT DETAIL",#N/A,FALSE,"SCHEDULE E";"ACCOUNT DETAIL",#N/A,FALSE,"SCHEDULE G";"ACCOUNT DETAIL",#N/A,FALSE,"SCHEDULE H";"ACCOUNT DETAIL",#N/A,FALSE,"SCHEDULE I"}</definedName>
    <definedName name="wrn.DETAIL._.SCHEDULES." localSheetId="5" hidden="1">{"ACCOUNT DETAIL",#N/A,FALSE,"SCHEDULE E";"ACCOUNT DETAIL",#N/A,FALSE,"SCHEDULE G";"ACCOUNT DETAIL",#N/A,FALSE,"SCHEDULE H";"ACCOUNT DETAIL",#N/A,FALSE,"SCHEDULE I"}</definedName>
    <definedName name="wrn.DETAIL._.SCHEDULES." localSheetId="8" hidden="1">{"ACCOUNT DETAIL",#N/A,FALSE,"SCHEDULE E";"ACCOUNT DETAIL",#N/A,FALSE,"SCHEDULE G";"ACCOUNT DETAIL",#N/A,FALSE,"SCHEDULE H";"ACCOUNT DETAIL",#N/A,FALSE,"SCHEDULE I"}</definedName>
    <definedName name="wrn.DETAIL._.SCHEDULES." localSheetId="3"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dtl.schedules" localSheetId="4" hidden="1">{"ACCOUNT DETAIL",#N/A,FALSE,"SCHEDULE E";"ACCOUNT DETAIL",#N/A,FALSE,"SCHEDULE G";"ACCOUNT DETAIL",#N/A,FALSE,"SCHEDULE H";"ACCOUNT DETAIL",#N/A,FALSE,"SCHEDULE I"}</definedName>
    <definedName name="wrn.dtl.schedules" localSheetId="2" hidden="1">{"ACCOUNT DETAIL",#N/A,FALSE,"SCHEDULE E";"ACCOUNT DETAIL",#N/A,FALSE,"SCHEDULE G";"ACCOUNT DETAIL",#N/A,FALSE,"SCHEDULE H";"ACCOUNT DETAIL",#N/A,FALSE,"SCHEDULE I"}</definedName>
    <definedName name="wrn.dtl.schedules" localSheetId="1" hidden="1">{"ACCOUNT DETAIL",#N/A,FALSE,"SCHEDULE E";"ACCOUNT DETAIL",#N/A,FALSE,"SCHEDULE G";"ACCOUNT DETAIL",#N/A,FALSE,"SCHEDULE H";"ACCOUNT DETAIL",#N/A,FALSE,"SCHEDULE I"}</definedName>
    <definedName name="wrn.dtl.schedules" localSheetId="5" hidden="1">{"ACCOUNT DETAIL",#N/A,FALSE,"SCHEDULE E";"ACCOUNT DETAIL",#N/A,FALSE,"SCHEDULE G";"ACCOUNT DETAIL",#N/A,FALSE,"SCHEDULE H";"ACCOUNT DETAIL",#N/A,FALSE,"SCHEDULE I"}</definedName>
    <definedName name="wrn.dtl.schedules" localSheetId="8" hidden="1">{"ACCOUNT DETAIL",#N/A,FALSE,"SCHEDULE E";"ACCOUNT DETAIL",#N/A,FALSE,"SCHEDULE G";"ACCOUNT DETAIL",#N/A,FALSE,"SCHEDULE H";"ACCOUNT DETAIL",#N/A,FALSE,"SCHEDULE I"}</definedName>
    <definedName name="wrn.dtl.schedules" localSheetId="3" hidden="1">{"ACCOUNT DETAIL",#N/A,FALSE,"SCHEDULE E";"ACCOUNT DETAIL",#N/A,FALSE,"SCHEDULE G";"ACCOUNT DETAIL",#N/A,FALSE,"SCHEDULE H";"ACCOUNT DETAIL",#N/A,FALSE,"SCHEDULE I"}</definedName>
    <definedName name="wrn.dtl.schedules" hidden="1">{"ACCOUNT DETAIL",#N/A,FALSE,"SCHEDULE E";"ACCOUNT DETAIL",#N/A,FALSE,"SCHEDULE G";"ACCOUNT DETAIL",#N/A,FALSE,"SCHEDULE H";"ACCOUNT DETAIL",#N/A,FALSE,"SCHEDULE I"}</definedName>
    <definedName name="wrn.EB." hidden="1">{"eb1",#N/A,TRUE,"E-B (R)";"eb2",#N/A,TRUE,"E-B (R)"}</definedName>
    <definedName name="wrn.EC1." hidden="1">{"eca",#N/A,TRUE,"E-C1 (R)";"ecb",#N/A,TRUE,"E-C1 (R)"}</definedName>
    <definedName name="wrn.ED." hidden="1">{"ed1",#N/A,TRUE,"E-D";"ed2",#N/A,TRUE,"E-D"}</definedName>
    <definedName name="wrn.Elementary._.Ballot." hidden="1">{#N/A,#N/A,FALSE,"Elementary Proposition"}</definedName>
    <definedName name="wrn.escrow." hidden="1">{"escrow",#N/A,FALSE,"Prior1";"slgscash",#N/A,FALSE,"slgscash";"slgsproceeds",#N/A,FALSE,"slgscash"}</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hibitD1." localSheetId="4" hidden="1">{"ExhibitD1",#N/A,FALSE,"ExhibitD1"}</definedName>
    <definedName name="wrn.ExhibitD1." localSheetId="2" hidden="1">{"ExhibitD1",#N/A,FALSE,"ExhibitD1"}</definedName>
    <definedName name="wrn.ExhibitD1." localSheetId="1" hidden="1">{"ExhibitD1",#N/A,FALSE,"ExhibitD1"}</definedName>
    <definedName name="wrn.ExhibitD1." localSheetId="5" hidden="1">{"ExhibitD1",#N/A,FALSE,"ExhibitD1"}</definedName>
    <definedName name="wrn.ExhibitD1." localSheetId="8" hidden="1">{"ExhibitD1",#N/A,FALSE,"ExhibitD1"}</definedName>
    <definedName name="wrn.ExhibitD1." localSheetId="3" hidden="1">{"ExhibitD1",#N/A,FALSE,"ExhibitD1"}</definedName>
    <definedName name="wrn.ExhibitD1." hidden="1">{"ExhibitD1",#N/A,FALSE,"ExhibitD1"}</definedName>
    <definedName name="wrn.ExhibitD2." localSheetId="4" hidden="1">{"ExhibitD2",#N/A,FALSE,"ExhibitD2"}</definedName>
    <definedName name="wrn.ExhibitD2." localSheetId="2" hidden="1">{"ExhibitD2",#N/A,FALSE,"ExhibitD2"}</definedName>
    <definedName name="wrn.ExhibitD2." localSheetId="1" hidden="1">{"ExhibitD2",#N/A,FALSE,"ExhibitD2"}</definedName>
    <definedName name="wrn.ExhibitD2." localSheetId="5" hidden="1">{"ExhibitD2",#N/A,FALSE,"ExhibitD2"}</definedName>
    <definedName name="wrn.ExhibitD2." localSheetId="8" hidden="1">{"ExhibitD2",#N/A,FALSE,"ExhibitD2"}</definedName>
    <definedName name="wrn.ExhibitD2." localSheetId="3" hidden="1">{"ExhibitD2",#N/A,FALSE,"ExhibitD2"}</definedName>
    <definedName name="wrn.ExhibitD2." hidden="1">{"ExhibitD2",#N/A,FALSE,"ExhibitD2"}</definedName>
    <definedName name="wrn.ExitAndSalesAssumptions." hidden="1">{#N/A,#N/A,FALSE,"ExitStratigy"}</definedName>
    <definedName name="wrn.Expense._.Detail." hidden="1">{"ONE",#N/A,FALSE,"Expenses";"TWO",#N/A,FALSE,"Expenses";"THREE",#N/A,FALSE,"Expenses";"FOUR",#N/A,FALSE,"Expenses";"Five",#N/A,FALSE,"Expenses";"Six",#N/A,FALSE,"Expenses";"Seven",#N/A,FALSE,"Expenses";"Eight",#N/A,FALSE,"Expenses";"eight.5",#N/A,FALSE,"Expenses";"Nine",#N/A,FALSE,"Expenses";"Ten",#N/A,FALSE,"Expenses";"Eleven",#N/A,FALSE,"Expenses";"Twelve",#N/A,FALSE,"Expenses";"Thirteen",#N/A,FALSE,"Expenses";"Fourteen",#N/A,FALSE,"Expenses";"Fifteen",#N/A,FALSE,"Expenses";"Sixteen",#N/A,FALSE,"Expenses";"Seventeen",#N/A,FALSE,"Expenses";"Eighteen",#N/A,FALSE,"Expenses";"Nineteen",#N/A,FALSE,"Expenses";"Twenty",#N/A,FALSE,"Expenses";"Twenty one",#N/A,FALSE,"Expenses";"Twenty two",#N/A,FALSE,"Expenses";"Twenty three",#N/A,FALSE,"Expenses";"Twenty four",#N/A,FALSE,"Expenses";"Twenty five",#N/A,FALSE,"Expenses";"Twenty six",#N/A,FALSE,"Expenses";"Twenty seven",#N/A,FALSE,"Expenses";"Twenty eight",#N/A,FALSE,"Expenses";"Twenty nine",#N/A,FALSE,"Expenses";"Thirty",#N/A,FALSE,"Expenses";"Thirty one",#N/A,FALSE,"Expenses";"Thirty two",#N/A,FALSE,"Expenses";"Thirty three",#N/A,FALSE,"Expenses";"Thirty four",#N/A,FALSE,"Expenses";"Thirty five",#N/A,FALSE,"Expenses";"Thirty six",#N/A,FALSE,"Expenses";"Thirty seven",#N/A,FALSE,"Expenses";"Thirty eight",#N/A,FALSE,"Expenses";"Thirty nine",#N/A,FALSE,"Expenses";"forty",#N/A,FALSE,"Expenses";"Forty one",#N/A,FALSE,"Expenses";"Forty two",#N/A,FALSE,"Expenses";"Forty three",#N/A,FALSE,"Expenses";"Forty four",#N/A,FALSE,"Expenses";"Forty five",#N/A,FALSE,"Expenses"}</definedName>
    <definedName name="wrn.Expense._.Schedules." hidden="1">{"Expense Schedules",#N/A,FALSE,"Expense Schedules"}</definedName>
    <definedName name="wrn.External._.Report__detail._.hidden." hidden="1">{"CREELP external",#N/A,FALSE,"CREELP";#N/A,#N/A,FALSE,"Funding 1 &amp; 2";#N/A,#N/A,FALSE,"Funding 8"}</definedName>
    <definedName name="wrn.External._Report_detail._.hidden.0" hidden="1">{"CREELP external",#N/A,FALSE,"CREELP";#N/A,#N/A,FALSE,"Funding 1 &amp; 2";#N/A,#N/A,FALSE,"Funding 8"}</definedName>
    <definedName name="wrn.Fair._.Share._.Calcs." localSheetId="4" hidden="1">{#N/A,#N/A,FALSE,"Fair Share"}</definedName>
    <definedName name="wrn.Fair._.Share._.Calcs." localSheetId="2" hidden="1">{#N/A,#N/A,FALSE,"Fair Share"}</definedName>
    <definedName name="wrn.Fair._.Share._.Calcs." localSheetId="1" hidden="1">{#N/A,#N/A,FALSE,"Fair Share"}</definedName>
    <definedName name="wrn.Fair._.Share._.Calcs." localSheetId="5" hidden="1">{#N/A,#N/A,FALSE,"Fair Share"}</definedName>
    <definedName name="wrn.Fair._.Share._.Calcs." localSheetId="8" hidden="1">{#N/A,#N/A,FALSE,"Fair Share"}</definedName>
    <definedName name="wrn.Fair._.Share._.Calcs." localSheetId="3" hidden="1">{#N/A,#N/A,FALSE,"Fair Share"}</definedName>
    <definedName name="wrn.Fair._.Share._.Calcs." hidden="1">{#N/A,#N/A,FALSE,"Fair Share"}</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hidden="1">{#N/A,#N/A,FALSE,"1Summary";#N/A,#N/A,FALSE,"9Pricing Matrix";#N/A,#N/A,FALSE,"Assumptions";#N/A,#N/A,FALSE,"3Cash Flow";#N/A,#N/A,FALSE,"5Residual";#N/A,#N/A,FALSE,"8Residual Sensitivity";#N/A,#N/A,FALSE,"10Vacancy Matrix";#N/A,#N/A,FALSE,"11Expiration Schedule";#N/A,#N/A,FALSE,"12Lease-up Schedule"}</definedName>
    <definedName name="wrn.Final._.Output." localSheetId="4" hidden="1">{#N/A,#N/A,FALSE,"Final Output"}</definedName>
    <definedName name="wrn.Final._.Output." localSheetId="2" hidden="1">{#N/A,#N/A,FALSE,"Final Output"}</definedName>
    <definedName name="wrn.Final._.Output." localSheetId="1" hidden="1">{#N/A,#N/A,FALSE,"Final Output"}</definedName>
    <definedName name="wrn.Final._.Output." localSheetId="5" hidden="1">{#N/A,#N/A,FALSE,"Final Output"}</definedName>
    <definedName name="wrn.Final._.Output." localSheetId="8" hidden="1">{#N/A,#N/A,FALSE,"Final Output"}</definedName>
    <definedName name="wrn.Final._.Output." localSheetId="3" hidden="1">{#N/A,#N/A,FALSE,"Final Output"}</definedName>
    <definedName name="wrn.Final._.Output." hidden="1">{#N/A,#N/A,FALSE,"Final Output"}</definedName>
    <definedName name="wrn.Financial._.Reports." hidden="1">{#N/A,#N/A,FALSE,"Overview";#N/A,#N/A,FALSE,"santafe";#N/A,#N/A,FALSE,"noble";#N/A,#N/A,FALSE,"Combined Results";#N/A,#N/A,FALSE,"Earnings"}</definedName>
    <definedName name="wrn.Financials1." localSheetId="4" hidden="1">{"Inc_5Yr",#N/A,FALSE,"Inc";"Bal_5Yr",#N/A,FALSE,"Inc";"SCF_5Yr",#N/A,FALSE,"Inc";"Inc_Yr1",#N/A,FALSE,"Inc";"Bal_Yr1",#N/A,FALSE,"Inc";"SCF_Yr1",#N/A,FALSE,"Inc";"Inc_Yr2",#N/A,FALSE,"Inc";"Bal_Yr2",#N/A,FALSE,"Inc";"SCF_Yr2",#N/A,FALSE,"Inc";"Inc_Yr3",#N/A,FALSE,"Inc";"Bal_Yr3",#N/A,FALSE,"Inc";"SCF_Yr3",#N/A,FALSE,"Inc";"Inc_Yr4",#N/A,FALSE,"Inc";"Bal_Yr4",#N/A,FALSE,"Inc";"SCF_Yr4",#N/A,FALSE,"Inc";"Inc_Yr5",#N/A,FALSE,"Inc";"Bal_Yr5",#N/A,FALSE,"Inc";"SCF_Yr5",#N/A,FALSE,"Inc"}</definedName>
    <definedName name="wrn.Financials1." localSheetId="2" hidden="1">{"Inc_5Yr",#N/A,FALSE,"Inc";"Bal_5Yr",#N/A,FALSE,"Inc";"SCF_5Yr",#N/A,FALSE,"Inc";"Inc_Yr1",#N/A,FALSE,"Inc";"Bal_Yr1",#N/A,FALSE,"Inc";"SCF_Yr1",#N/A,FALSE,"Inc";"Inc_Yr2",#N/A,FALSE,"Inc";"Bal_Yr2",#N/A,FALSE,"Inc";"SCF_Yr2",#N/A,FALSE,"Inc";"Inc_Yr3",#N/A,FALSE,"Inc";"Bal_Yr3",#N/A,FALSE,"Inc";"SCF_Yr3",#N/A,FALSE,"Inc";"Inc_Yr4",#N/A,FALSE,"Inc";"Bal_Yr4",#N/A,FALSE,"Inc";"SCF_Yr4",#N/A,FALSE,"Inc";"Inc_Yr5",#N/A,FALSE,"Inc";"Bal_Yr5",#N/A,FALSE,"Inc";"SCF_Yr5",#N/A,FALSE,"Inc"}</definedName>
    <definedName name="wrn.Financials1." localSheetId="1" hidden="1">{"Inc_5Yr",#N/A,FALSE,"Inc";"Bal_5Yr",#N/A,FALSE,"Inc";"SCF_5Yr",#N/A,FALSE,"Inc";"Inc_Yr1",#N/A,FALSE,"Inc";"Bal_Yr1",#N/A,FALSE,"Inc";"SCF_Yr1",#N/A,FALSE,"Inc";"Inc_Yr2",#N/A,FALSE,"Inc";"Bal_Yr2",#N/A,FALSE,"Inc";"SCF_Yr2",#N/A,FALSE,"Inc";"Inc_Yr3",#N/A,FALSE,"Inc";"Bal_Yr3",#N/A,FALSE,"Inc";"SCF_Yr3",#N/A,FALSE,"Inc";"Inc_Yr4",#N/A,FALSE,"Inc";"Bal_Yr4",#N/A,FALSE,"Inc";"SCF_Yr4",#N/A,FALSE,"Inc";"Inc_Yr5",#N/A,FALSE,"Inc";"Bal_Yr5",#N/A,FALSE,"Inc";"SCF_Yr5",#N/A,FALSE,"Inc"}</definedName>
    <definedName name="wrn.Financials1." localSheetId="5" hidden="1">{"Inc_5Yr",#N/A,FALSE,"Inc";"Bal_5Yr",#N/A,FALSE,"Inc";"SCF_5Yr",#N/A,FALSE,"Inc";"Inc_Yr1",#N/A,FALSE,"Inc";"Bal_Yr1",#N/A,FALSE,"Inc";"SCF_Yr1",#N/A,FALSE,"Inc";"Inc_Yr2",#N/A,FALSE,"Inc";"Bal_Yr2",#N/A,FALSE,"Inc";"SCF_Yr2",#N/A,FALSE,"Inc";"Inc_Yr3",#N/A,FALSE,"Inc";"Bal_Yr3",#N/A,FALSE,"Inc";"SCF_Yr3",#N/A,FALSE,"Inc";"Inc_Yr4",#N/A,FALSE,"Inc";"Bal_Yr4",#N/A,FALSE,"Inc";"SCF_Yr4",#N/A,FALSE,"Inc";"Inc_Yr5",#N/A,FALSE,"Inc";"Bal_Yr5",#N/A,FALSE,"Inc";"SCF_Yr5",#N/A,FALSE,"Inc"}</definedName>
    <definedName name="wrn.Financials1." localSheetId="8" hidden="1">{"Inc_5Yr",#N/A,FALSE,"Inc";"Bal_5Yr",#N/A,FALSE,"Inc";"SCF_5Yr",#N/A,FALSE,"Inc";"Inc_Yr1",#N/A,FALSE,"Inc";"Bal_Yr1",#N/A,FALSE,"Inc";"SCF_Yr1",#N/A,FALSE,"Inc";"Inc_Yr2",#N/A,FALSE,"Inc";"Bal_Yr2",#N/A,FALSE,"Inc";"SCF_Yr2",#N/A,FALSE,"Inc";"Inc_Yr3",#N/A,FALSE,"Inc";"Bal_Yr3",#N/A,FALSE,"Inc";"SCF_Yr3",#N/A,FALSE,"Inc";"Inc_Yr4",#N/A,FALSE,"Inc";"Bal_Yr4",#N/A,FALSE,"Inc";"SCF_Yr4",#N/A,FALSE,"Inc";"Inc_Yr5",#N/A,FALSE,"Inc";"Bal_Yr5",#N/A,FALSE,"Inc";"SCF_Yr5",#N/A,FALSE,"Inc"}</definedName>
    <definedName name="wrn.Financials1." localSheetId="3" hidden="1">{"Inc_5Yr",#N/A,FALSE,"Inc";"Bal_5Yr",#N/A,FALSE,"Inc";"SCF_5Yr",#N/A,FALSE,"Inc";"Inc_Yr1",#N/A,FALSE,"Inc";"Bal_Yr1",#N/A,FALSE,"Inc";"SCF_Yr1",#N/A,FALSE,"Inc";"Inc_Yr2",#N/A,FALSE,"Inc";"Bal_Yr2",#N/A,FALSE,"Inc";"SCF_Yr2",#N/A,FALSE,"Inc";"Inc_Yr3",#N/A,FALSE,"Inc";"Bal_Yr3",#N/A,FALSE,"Inc";"SCF_Yr3",#N/A,FALSE,"Inc";"Inc_Yr4",#N/A,FALSE,"Inc";"Bal_Yr4",#N/A,FALSE,"Inc";"SCF_Yr4",#N/A,FALSE,"Inc";"Inc_Yr5",#N/A,FALSE,"Inc";"Bal_Yr5",#N/A,FALSE,"Inc";"SCF_Yr5",#N/A,FALSE,"Inc"}</definedName>
    <definedName name="wrn.Financials1." hidden="1">{"Inc_5Yr",#N/A,FALSE,"Inc";"Bal_5Yr",#N/A,FALSE,"Inc";"SCF_5Yr",#N/A,FALSE,"Inc";"Inc_Yr1",#N/A,FALSE,"Inc";"Bal_Yr1",#N/A,FALSE,"Inc";"SCF_Yr1",#N/A,FALSE,"Inc";"Inc_Yr2",#N/A,FALSE,"Inc";"Bal_Yr2",#N/A,FALSE,"Inc";"SCF_Yr2",#N/A,FALSE,"Inc";"Inc_Yr3",#N/A,FALSE,"Inc";"Bal_Yr3",#N/A,FALSE,"Inc";"SCF_Yr3",#N/A,FALSE,"Inc";"Inc_Yr4",#N/A,FALSE,"Inc";"Bal_Yr4",#N/A,FALSE,"Inc";"SCF_Yr4",#N/A,FALSE,"Inc";"Inc_Yr5",#N/A,FALSE,"Inc";"Bal_Yr5",#N/A,FALSE,"Inc";"SCF_Yr5",#N/A,FALSE,"Inc"}</definedName>
    <definedName name="wrn.Fleet." hidden="1">{"FleetDetailsNE",#N/A,FALSE,"NEForecast"}</definedName>
    <definedName name="wrn.FOschedules." hidden="1">{"FOschedule1",#N/A,FALSE,"Sheet1";"FOschedule2",#N/A,FALSE,"Sheet1";"FOschedule3",#N/A,FALSE,"Sheet1"}</definedName>
    <definedName name="wrn.Fredrik."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COMPARISON." localSheetId="4" hidden="1">{"Full Sheet",#N/A,FALSE,"Expense Comparison"}</definedName>
    <definedName name="wrn.FULL._.COMPARISON." localSheetId="2" hidden="1">{"Full Sheet",#N/A,FALSE,"Expense Comparison"}</definedName>
    <definedName name="wrn.FULL._.COMPARISON." localSheetId="1" hidden="1">{"Full Sheet",#N/A,FALSE,"Expense Comparison"}</definedName>
    <definedName name="wrn.FULL._.COMPARISON." localSheetId="5" hidden="1">{"Full Sheet",#N/A,FALSE,"Expense Comparison"}</definedName>
    <definedName name="wrn.FULL._.COMPARISON." localSheetId="8" hidden="1">{"Full Sheet",#N/A,FALSE,"Expense Comparison"}</definedName>
    <definedName name="wrn.FULL._.COMPARISON." localSheetId="3" hidden="1">{"Full Sheet",#N/A,FALSE,"Expense Comparison"}</definedName>
    <definedName name="wrn.FULL._.COMPARISON." hidden="1">{"Full Sheet",#N/A,FALSE,"Expense Comparison"}</definedName>
    <definedName name="wrn.Full._.Print."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wrn.Full._.Report" localSheetId="4"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2"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1"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5"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8"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4"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2"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1"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5"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8"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Template."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Y97SBP." hidden="1">{#N/A,#N/A,FALSE,"FY97";#N/A,#N/A,FALSE,"FY98";#N/A,#N/A,FALSE,"FY99";#N/A,#N/A,FALSE,"FY00";#N/A,#N/A,FALSE,"FY01"}</definedName>
    <definedName name="wrn.Gen_Misc._.Input." hidden="1">{"General Input",#N/A,FALSE,"General Info";"Miscellaneous Input",#N/A,FALSE,"General Info"}</definedName>
    <definedName name="wrn.General." hidden="1">{"Sources &amp; Uses",#N/A,FALSE,"2M 2003";"Debt Service",#N/A,FALSE,"2M 2003";"Yields",#N/A,FALSE,"2M 2003";"Mill Levy",#N/A,FALSE,"2M 2003"}</definedName>
    <definedName name="wrn.greg." localSheetId="4">{"three",#N/A,FALSE,"Capital";"four",#N/A,FALSE,"Capital"}</definedName>
    <definedName name="wrn.greg." localSheetId="2">{"three",#N/A,FALSE,"Capital";"four",#N/A,FALSE,"Capital"}</definedName>
    <definedName name="wrn.greg." localSheetId="1" hidden="1">{"three",#N/A,FALSE,"Capital";"four",#N/A,FALSE,"Capital"}</definedName>
    <definedName name="wrn.greg." localSheetId="5">{"three",#N/A,FALSE,"Capital";"four",#N/A,FALSE,"Capital"}</definedName>
    <definedName name="wrn.greg." localSheetId="8">{"three",#N/A,FALSE,"Capital";"four",#N/A,FALSE,"Capital"}</definedName>
    <definedName name="wrn.greg." localSheetId="3" hidden="1">{"three",#N/A,FALSE,"Capital";"four",#N/A,FALSE,"Capital"}</definedName>
    <definedName name="wrn.greg.">{"three",#N/A,FALSE,"Capital";"four",#N/A,FALSE,"Capital"}</definedName>
    <definedName name="wrn.Hold._.Sell." hidden="1">{#N/A,#N/A,FALSE,"13Residual 2007";#N/A,#N/A,FALSE,"14Residual 2008";#N/A,#N/A,FALSE,"15Residual 2009";#N/A,#N/A,FALSE,"16Residual 2010";#N/A,#N/A,FALSE,"17Residual 2011";#N/A,#N/A,FALSE,"18Hold Disposition Matrix";#N/A,#N/A,FALSE,"19Other Disposition Matrix"}</definedName>
    <definedName name="wrn.Inputs." localSheetId="4" hidden="1">{"Inflation-BaseYear",#N/A,FALSE,"Inputs"}</definedName>
    <definedName name="wrn.Inputs." localSheetId="2" hidden="1">{"Inflation-BaseYear",#N/A,FALSE,"Inputs"}</definedName>
    <definedName name="wrn.Inputs." localSheetId="1" hidden="1">{"Inflation-BaseYear",#N/A,FALSE,"Inputs"}</definedName>
    <definedName name="wrn.Inputs." localSheetId="5" hidden="1">{"Inflation-BaseYear",#N/A,FALSE,"Inputs"}</definedName>
    <definedName name="wrn.Inputs." localSheetId="8" hidden="1">{"Inflation-BaseYear",#N/A,FALSE,"Inputs"}</definedName>
    <definedName name="wrn.Inputs." localSheetId="3" hidden="1">{"Inflation-BaseYear",#N/A,FALSE,"Inputs"}</definedName>
    <definedName name="wrn.Inputs." hidden="1">{"Inflation-BaseYear",#N/A,FALSE,"Inputs"}</definedName>
    <definedName name="wrn.Internal._.Report__detail._.displayed." hidden="1">{"CREELP Internal",#N/A,FALSE,"CREELP";#N/A,#N/A,FALSE,"Funding 1 &amp; 2";#N/A,#N/A,FALSE,"Funding 8";#N/A,#N/A,FALSE,"Capitalization";#N/A,#N/A,FALSE,"Company EBITDA"}</definedName>
    <definedName name="wrn.Internal._.Report_detail._.displated.0" hidden="1">{"CREELP Internal",#N/A,FALSE,"CREELP";#N/A,#N/A,FALSE,"Funding 1 &amp; 2";#N/A,#N/A,FALSE,"Funding 8";#N/A,#N/A,FALSE,"Capitalization";#N/A,#N/A,FALSE,"Company EBITDA"}</definedName>
    <definedName name="wrn.JEG." hidden="1">{#N/A,#N/A,FALSE,"Assumptions";#N/A,#N/A,FALSE,"I&amp;E";#N/A,#N/A,FALSE,"Tax Analysis";#N/A,#N/A,FALSE,"3Cash Flow";#N/A,#N/A,FALSE,"5Residual";#N/A,#N/A,FALSE,"9Pricing Matrix";#N/A,#N/A,FALSE,"10Vacancy Matrix";#N/A,#N/A,FALSE,"11Expiration Schedule";#N/A,#N/A,FALSE,"12Lease-up Schedule"}</definedName>
    <definedName name="wrn.JR._.Proforma." localSheetId="4">{"Coversheet",#N/A,TRUE,"Sheet1";"Const Budget",#N/A,TRUE,"Sheet1";"CashFlow",#N/A,TRUE,"Sheet1";"Fund Distributions",#N/A,TRUE,"Sheet1";"Debt",#N/A,TRUE,"Debt";"Sensitivity Analysis",#N/A,TRUE,"Sheet1";"TI Schedule",#N/A,TRUE,"RentRoll";"LC Schedule",#N/A,TRUE,"RentRoll";"Reimbursements",#N/A,TRUE,"Reimbursments";"4555 RR",#N/A,TRUE,"JR Presentation RR"}</definedName>
    <definedName name="wrn.JR._.Proforma." localSheetId="2">{"Coversheet",#N/A,TRUE,"Sheet1";"Const Budget",#N/A,TRUE,"Sheet1";"CashFlow",#N/A,TRUE,"Sheet1";"Fund Distributions",#N/A,TRUE,"Sheet1";"Debt",#N/A,TRUE,"Debt";"Sensitivity Analysis",#N/A,TRUE,"Sheet1";"TI Schedule",#N/A,TRUE,"RentRoll";"LC Schedule",#N/A,TRUE,"RentRoll";"Reimbursements",#N/A,TRUE,"Reimbursments";"4555 RR",#N/A,TRUE,"JR Presentation RR"}</definedName>
    <definedName name="wrn.JR._.Proforma." localSheetId="1">{"Coversheet",#N/A,TRUE,"Sheet1";"Const Budget",#N/A,TRUE,"Sheet1";"CashFlow",#N/A,TRUE,"Sheet1";"Fund Distributions",#N/A,TRUE,"Sheet1";"Debt",#N/A,TRUE,"Debt";"Sensitivity Analysis",#N/A,TRUE,"Sheet1";"TI Schedule",#N/A,TRUE,"RentRoll";"LC Schedule",#N/A,TRUE,"RentRoll";"Reimbursements",#N/A,TRUE,"Reimbursments";"4555 RR",#N/A,TRUE,"JR Presentation RR"}</definedName>
    <definedName name="wrn.JR._.Proforma." localSheetId="5">{"Coversheet",#N/A,TRUE,"Sheet1";"Const Budget",#N/A,TRUE,"Sheet1";"CashFlow",#N/A,TRUE,"Sheet1";"Fund Distributions",#N/A,TRUE,"Sheet1";"Debt",#N/A,TRUE,"Debt";"Sensitivity Analysis",#N/A,TRUE,"Sheet1";"TI Schedule",#N/A,TRUE,"RentRoll";"LC Schedule",#N/A,TRUE,"RentRoll";"Reimbursements",#N/A,TRUE,"Reimbursments";"4555 RR",#N/A,TRUE,"JR Presentation RR"}</definedName>
    <definedName name="wrn.JR._.Proforma." localSheetId="8">{"Coversheet",#N/A,TRUE,"Sheet1";"Const Budget",#N/A,TRUE,"Sheet1";"CashFlow",#N/A,TRUE,"Sheet1";"Fund Distributions",#N/A,TRUE,"Sheet1";"Debt",#N/A,TRUE,"Debt";"Sensitivity Analysis",#N/A,TRUE,"Sheet1";"TI Schedule",#N/A,TRUE,"RentRoll";"LC Schedule",#N/A,TRUE,"RentRoll";"Reimbursements",#N/A,TRUE,"Reimbursments";"4555 RR",#N/A,TRUE,"JR Presentation RR"}</definedName>
    <definedName name="wrn.JR._.Proforma." localSheetId="3">{"Coversheet",#N/A,TRUE,"Sheet1";"Const Budget",#N/A,TRUE,"Sheet1";"CashFlow",#N/A,TRUE,"Sheet1";"Fund Distributions",#N/A,TRUE,"Sheet1";"Debt",#N/A,TRUE,"Debt";"Sensitivity Analysis",#N/A,TRUE,"Sheet1";"TI Schedule",#N/A,TRUE,"RentRoll";"LC Schedule",#N/A,TRUE,"RentRoll";"Reimbursements",#N/A,TRUE,"Reimbursments";"4555 RR",#N/A,TRUE,"JR Presentation RR"}</definedName>
    <definedName name="wrn.JR._.Proforma.">{"Coversheet",#N/A,TRUE,"Sheet1";"Const Budget",#N/A,TRUE,"Sheet1";"CashFlow",#N/A,TRUE,"Sheet1";"Fund Distributions",#N/A,TRUE,"Sheet1";"Debt",#N/A,TRUE,"Debt";"Sensitivity Analysis",#N/A,TRUE,"Sheet1";"TI Schedule",#N/A,TRUE,"RentRoll";"LC Schedule",#N/A,TRUE,"RentRoll";"Reimbursements",#N/A,TRUE,"Reimbursments";"4555 RR",#N/A,TRUE,"JR Presentation RR"}</definedName>
    <definedName name="wrn.Las._.Palomas._.Hotel." localSheetId="4" hidden="1">{"Utilization",#N/A,FALSE,"Utilization";"Sources",#N/A,FALSE,"Sources"}</definedName>
    <definedName name="wrn.Las._.Palomas._.Hotel." localSheetId="2" hidden="1">{"Utilization",#N/A,FALSE,"Utilization";"Sources",#N/A,FALSE,"Sources"}</definedName>
    <definedName name="wrn.Las._.Palomas._.Hotel." localSheetId="1" hidden="1">{"Utilization",#N/A,FALSE,"Utilization";"Sources",#N/A,FALSE,"Sources"}</definedName>
    <definedName name="wrn.Las._.Palomas._.Hotel." localSheetId="5" hidden="1">{"Utilization",#N/A,FALSE,"Utilization";"Sources",#N/A,FALSE,"Sources"}</definedName>
    <definedName name="wrn.Las._.Palomas._.Hotel." localSheetId="8" hidden="1">{"Utilization",#N/A,FALSE,"Utilization";"Sources",#N/A,FALSE,"Sources"}</definedName>
    <definedName name="wrn.Las._.Palomas._.Hotel." localSheetId="3" hidden="1">{"Utilization",#N/A,FALSE,"Utilization";"Sources",#N/A,FALSE,"Sources"}</definedName>
    <definedName name="wrn.Las._.Palomas._.Hotel." hidden="1">{"Utilization",#N/A,FALSE,"Utilization";"Sources",#N/A,FALSE,"Sources"}</definedName>
    <definedName name="wrn.Latent._.Demand._.Inputs." localSheetId="4" hidden="1">{#N/A,#N/A,FALSE,"Latent"}</definedName>
    <definedName name="wrn.Latent._.Demand._.Inputs." localSheetId="2" hidden="1">{#N/A,#N/A,FALSE,"Latent"}</definedName>
    <definedName name="wrn.Latent._.Demand._.Inputs." localSheetId="1" hidden="1">{#N/A,#N/A,FALSE,"Latent"}</definedName>
    <definedName name="wrn.Latent._.Demand._.Inputs." localSheetId="5" hidden="1">{#N/A,#N/A,FALSE,"Latent"}</definedName>
    <definedName name="wrn.Latent._.Demand._.Inputs." localSheetId="8" hidden="1">{#N/A,#N/A,FALSE,"Latent"}</definedName>
    <definedName name="wrn.Latent._.Demand._.Inputs." localSheetId="3" hidden="1">{#N/A,#N/A,FALSE,"Latent"}</definedName>
    <definedName name="wrn.Latent._.Demand._.Inputs." hidden="1">{#N/A,#N/A,FALSE,"Latent"}</definedName>
    <definedName name="wrn.Leasing._.Assumptions." hidden="1">{"Assumptions",#N/A,FALSE,"Leasing Assumptions"}</definedName>
    <definedName name="wrn.Leasing._.Variance." hidden="1">{#N/A,#N/A,FALSE,"Leasing 6A"}</definedName>
    <definedName name="wrn.LeasingResults." hidden="1">{#N/A,#N/A,FALSE,"Retention";#N/A,#N/A,FALSE,"ZL Roll";#N/A,#N/A,FALSE,"FC Roll";#N/A,#N/A,FALSE,"zmlConsildated";#N/A,#N/A,FALSE,"ZM ROll SbyS";#N/A,#N/A,FALSE,"ZL";#N/A,#N/A,FALSE,"FCOccy";#N/A,#N/A,FALSE,"ZM123";#N/A,#N/A,FALSE,"portfolio"}</definedName>
    <definedName name="wrn.LETTERED." localSheetId="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1"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8"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nsum" localSheetId="4" hidden="1">{"Loan Summary",#N/A,FALSE,"Phase 1 loan &amp; data"}</definedName>
    <definedName name="wrn.lnsum" localSheetId="2" hidden="1">{"Loan Summary",#N/A,FALSE,"Phase 1 loan &amp; data"}</definedName>
    <definedName name="wrn.lnsum" localSheetId="1" hidden="1">{"Loan Summary",#N/A,FALSE,"Phase 1 loan &amp; data"}</definedName>
    <definedName name="wrn.lnsum" localSheetId="5" hidden="1">{"Loan Summary",#N/A,FALSE,"Phase 1 loan &amp; data"}</definedName>
    <definedName name="wrn.lnsum" localSheetId="8" hidden="1">{"Loan Summary",#N/A,FALSE,"Phase 1 loan &amp; data"}</definedName>
    <definedName name="wrn.lnsum" localSheetId="3" hidden="1">{"Loan Summary",#N/A,FALSE,"Phase 1 loan &amp; data"}</definedName>
    <definedName name="wrn.lnsum" hidden="1">{"Loan Summary",#N/A,FALSE,"Phase 1 loan &amp; data"}</definedName>
    <definedName name="wrn.Loan._.Brief." hidden="1">{#N/A,#N/A,TRUE,"Brief-Loan Request";#N/A,#N/A,TRUE,"Property History";#N/A,#N/A,TRUE,"Borrower";#N/A,#N/A,TRUE,"Sponsor-Manager";#N/A,#N/A,TRUE,"Area-Neigborhood";#N/A,#N/A,TRUE,"Site-Improvements";#N/A,#N/A,TRUE,"Tenancy";#N/A,#N/A,TRUE,"Immed Needs";#N/A,#N/A,TRUE,"Needs over Term";#N/A,#N/A,TRUE,"Environmental";#N/A,#N/A,TRUE,"Market-Quality";#N/A,#N/A,TRUE,"Appraisal";#N/A,#N/A,TRUE,"UW Income";#N/A,#N/A,TRUE,"UW Expenses";#N/A,#N/A,TRUE,"UW Reserves";#N/A,#N/A,TRUE,"Exit-Valuation";#N/A,#N/A,TRUE,"Strengths-Weaknesses";#N/A,#N/A,TRUE,"Recommendation"}</definedName>
    <definedName name="wrn.Loan._.Submission." hidden="1">{#N/A,#N/A,FALSE,"Brief";#N/A,#N/A,FALSE,"Loan Purpose";#N/A,#N/A,FALSE,"Borrower";#N/A,#N/A,FALSE,"Sponsor";#N/A,#N/A,FALSE,"Site-Improvements";#N/A,#N/A,FALSE,"Manager";#N/A,#N/A,FALSE,"Tenancy-MF";#N/A,#N/A,FALSE,"Market";#N/A,#N/A,FALSE,"Engineering";#N/A,#N/A,FALSE,"Environmental";#N/A,#N/A,FALSE,"Appraisal";#N/A,#N/A,FALSE,"UW Income";#N/A,#N/A,FALSE,"UW Expenses";#N/A,#N/A,FALSE,"UW Reserves";#N/A,#N/A,FALSE,"Exit-Valuation";#N/A,#N/A,FALSE,"Strengths-Weaknesses";#N/A,#N/A,FALSE,"Recommendation"}</definedName>
    <definedName name="wrn.Loan._.Summary." localSheetId="4" hidden="1">{"Loan Summary",#N/A,FALSE,"Phase 1 loan &amp; data"}</definedName>
    <definedName name="wrn.Loan._.Summary." localSheetId="2" hidden="1">{"Loan Summary",#N/A,FALSE,"Phase 1 loan &amp; data"}</definedName>
    <definedName name="wrn.Loan._.Summary." localSheetId="1" hidden="1">{"Loan Summary",#N/A,FALSE,"Phase 1 loan &amp; data"}</definedName>
    <definedName name="wrn.Loan._.Summary." localSheetId="5" hidden="1">{"Loan Summary",#N/A,FALSE,"Phase 1 loan &amp; data"}</definedName>
    <definedName name="wrn.Loan._.Summary." localSheetId="8" hidden="1">{"Loan Summary",#N/A,FALSE,"Phase 1 loan &amp; data"}</definedName>
    <definedName name="wrn.Loan._.Summary." localSheetId="3" hidden="1">{"Loan Summary",#N/A,FALSE,"Phase 1 loan &amp; data"}</definedName>
    <definedName name="wrn.Loan._.Summary." hidden="1">{"Loan Summary",#N/A,FALSE,"Phase 1 loan &amp; data"}</definedName>
    <definedName name="wrn.LoanInformation." hidden="1">{#N/A,#N/A,FALSE,"LoanAssumptions"}</definedName>
    <definedName name="wrn.Lower._.Tier._.Model." localSheetId="4" hidden="1">{#N/A,#N/A,FALSE,"Summary";#N/A,#N/A,FALSE,"Sources and Uses";"TCA",#N/A,FALSE,"Proforma Operations";"Stabilized Operations",#N/A,FALSE,"Proforma Operations";"15 Year Proforma",#N/A,FALSE,"Proforma Operations";#N/A,#N/A,FALSE,"Qualified Basis";#N/A,#N/A,FALSE,"Lease-Up";#N/A,#N/A,FALSE,"Tax Credit Analysis";#N/A,#N/A,FALSE,"Buyer's IRR";#N/A,#N/A,FALSE,"EP&amp;TCS"}</definedName>
    <definedName name="wrn.Lower._.Tier._.Model." localSheetId="2" hidden="1">{#N/A,#N/A,FALSE,"Summary";#N/A,#N/A,FALSE,"Sources and Uses";"TCA",#N/A,FALSE,"Proforma Operations";"Stabilized Operations",#N/A,FALSE,"Proforma Operations";"15 Year Proforma",#N/A,FALSE,"Proforma Operations";#N/A,#N/A,FALSE,"Qualified Basis";#N/A,#N/A,FALSE,"Lease-Up";#N/A,#N/A,FALSE,"Tax Credit Analysis";#N/A,#N/A,FALSE,"Buyer's IRR";#N/A,#N/A,FALSE,"EP&amp;TCS"}</definedName>
    <definedName name="wrn.Lower._.Tier._.Model." localSheetId="1" hidden="1">{#N/A,#N/A,FALSE,"Summary";#N/A,#N/A,FALSE,"Sources and Uses";"TCA",#N/A,FALSE,"Proforma Operations";"Stabilized Operations",#N/A,FALSE,"Proforma Operations";"15 Year Proforma",#N/A,FALSE,"Proforma Operations";#N/A,#N/A,FALSE,"Qualified Basis";#N/A,#N/A,FALSE,"Lease-Up";#N/A,#N/A,FALSE,"Tax Credit Analysis";#N/A,#N/A,FALSE,"Buyer's IRR";#N/A,#N/A,FALSE,"EP&amp;TCS"}</definedName>
    <definedName name="wrn.Lower._.Tier._.Model." localSheetId="5" hidden="1">{#N/A,#N/A,FALSE,"Summary";#N/A,#N/A,FALSE,"Sources and Uses";"TCA",#N/A,FALSE,"Proforma Operations";"Stabilized Operations",#N/A,FALSE,"Proforma Operations";"15 Year Proforma",#N/A,FALSE,"Proforma Operations";#N/A,#N/A,FALSE,"Qualified Basis";#N/A,#N/A,FALSE,"Lease-Up";#N/A,#N/A,FALSE,"Tax Credit Analysis";#N/A,#N/A,FALSE,"Buyer's IRR";#N/A,#N/A,FALSE,"EP&amp;TCS"}</definedName>
    <definedName name="wrn.Lower._.Tier._.Model." localSheetId="8" hidden="1">{#N/A,#N/A,FALSE,"Summary";#N/A,#N/A,FALSE,"Sources and Uses";"TCA",#N/A,FALSE,"Proforma Operations";"Stabilized Operations",#N/A,FALSE,"Proforma Operations";"15 Year Proforma",#N/A,FALSE,"Proforma Operations";#N/A,#N/A,FALSE,"Qualified Basis";#N/A,#N/A,FALSE,"Lease-Up";#N/A,#N/A,FALSE,"Tax Credit Analysis";#N/A,#N/A,FALSE,"Buyer's IRR";#N/A,#N/A,FALSE,"EP&amp;TCS"}</definedName>
    <definedName name="wrn.Lower._.Tier._.Model." localSheetId="3" hidden="1">{#N/A,#N/A,FALSE,"Summary";#N/A,#N/A,FALSE,"Sources and Uses";"TCA",#N/A,FALSE,"Proforma Operations";"Stabilized Operations",#N/A,FALSE,"Proforma Operations";"15 Year Proforma",#N/A,FALSE,"Proforma Operations";#N/A,#N/A,FALSE,"Qualified Basis";#N/A,#N/A,FALSE,"Lease-Up";#N/A,#N/A,FALSE,"Tax Credit Analysis";#N/A,#N/A,FALSE,"Buyer's IRR";#N/A,#N/A,FALSE,"EP&amp;TCS"}</definedName>
    <definedName name="wrn.Lower._.Tier._.Model." hidden="1">{#N/A,#N/A,FALSE,"Summary";#N/A,#N/A,FALSE,"Sources and Uses";"TCA",#N/A,FALSE,"Proforma Operations";"Stabilized Operations",#N/A,FALSE,"Proforma Operations";"15 Year Proforma",#N/A,FALSE,"Proforma Operations";#N/A,#N/A,FALSE,"Qualified Basis";#N/A,#N/A,FALSE,"Lease-Up";#N/A,#N/A,FALSE,"Tax Credit Analysis";#N/A,#N/A,FALSE,"Buyer's IRR";#N/A,#N/A,FALSE,"EP&amp;TCS"}</definedName>
    <definedName name="wrn.ltrd." localSheetId="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1"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8"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localSheetId="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r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4" hidden="1">{"LTV Output",#N/A,FALSE,"Output"}</definedName>
    <definedName name="wrn.LTV._.Output." localSheetId="2" hidden="1">{"LTV Output",#N/A,FALSE,"Output"}</definedName>
    <definedName name="wrn.LTV._.Output." localSheetId="1" hidden="1">{"LTV Output",#N/A,FALSE,"Output"}</definedName>
    <definedName name="wrn.LTV._.Output." localSheetId="5" hidden="1">{"LTV Output",#N/A,FALSE,"Output"}</definedName>
    <definedName name="wrn.LTV._.Output." localSheetId="8" hidden="1">{"LTV Output",#N/A,FALSE,"Output"}</definedName>
    <definedName name="wrn.LTV._.Output." localSheetId="3" hidden="1">{"LTV Output",#N/A,FALSE,"Output"}</definedName>
    <definedName name="wrn.LTV._.Output." hidden="1">{"LTV Output",#N/A,FALSE,"Output"}</definedName>
    <definedName name="wrn.market." hidden="1">{#N/A,#N/A,FALSE,"SUBMKT";#N/A,#N/A,FALSE,"MARKET";#N/A,#N/A,FALSE,"VACANCY";#N/A,#N/A,FALSE,"ABSORB";#N/A,#N/A,FALSE,"SUBLEASE";#N/A,#N/A,FALSE,"CONSTRCT"}</definedName>
    <definedName name="wrn.Market._.Values." hidden="1">{#N/A,#N/A,TRUE,"10 Yr Hold";#N/A,#N/A,TRUE,"7 Yr Hold";#N/A,#N/A,TRUE,"5 Yr Hold";#N/A,#N/A,TRUE,"3 Yr Hold"}</definedName>
    <definedName name="wrn.MARKETING." localSheetId="4" hidden="1">{#N/A,#N/A,FALSE,"MARKETING I";#N/A,#N/A,FALSE,"MARKETING II";#N/A,#N/A,FALSE,"MARKETING III"}</definedName>
    <definedName name="wrn.MARKETING." localSheetId="2" hidden="1">{#N/A,#N/A,FALSE,"MARKETING I";#N/A,#N/A,FALSE,"MARKETING II";#N/A,#N/A,FALSE,"MARKETING III"}</definedName>
    <definedName name="wrn.MARKETING." localSheetId="1" hidden="1">{#N/A,#N/A,FALSE,"MARKETING I";#N/A,#N/A,FALSE,"MARKETING II";#N/A,#N/A,FALSE,"MARKETING III"}</definedName>
    <definedName name="wrn.MARKETING." localSheetId="5" hidden="1">{#N/A,#N/A,FALSE,"MARKETING I";#N/A,#N/A,FALSE,"MARKETING II";#N/A,#N/A,FALSE,"MARKETING III"}</definedName>
    <definedName name="wrn.MARKETING." localSheetId="8" hidden="1">{#N/A,#N/A,FALSE,"MARKETING I";#N/A,#N/A,FALSE,"MARKETING II";#N/A,#N/A,FALSE,"MARKETING III"}</definedName>
    <definedName name="wrn.MARKETING." localSheetId="3" hidden="1">{#N/A,#N/A,FALSE,"MARKETING I";#N/A,#N/A,FALSE,"MARKETING II";#N/A,#N/A,FALSE,"MARKETING III"}</definedName>
    <definedName name="wrn.MARKETING." hidden="1">{#N/A,#N/A,FALSE,"MARKETING I";#N/A,#N/A,FALSE,"MARKETING II";#N/A,#N/A,FALSE,"MARKETING III"}</definedName>
    <definedName name="wrn.MERGER._.PLANS." hidden="1">{"Assumptions1",#N/A,FALSE,"Assumptions";"MergerPlans1","20yearamort",FALSE,"MergerPlans";"MergerPlans1","40yearamort",FALSE,"MergerPlans";"MergerPlans2",#N/A,FALSE,"MergerPlans";"inputs",#N/A,FALSE,"MergerPlans"}</definedName>
    <definedName name="wrn.MINRENT." localSheetId="4" hidden="1">{"MINRENT2",#N/A,FALSE,"SCHEDULE B"}</definedName>
    <definedName name="wrn.MINRENT." localSheetId="2" hidden="1">{"MINRENT2",#N/A,FALSE,"SCHEDULE B"}</definedName>
    <definedName name="wrn.MINRENT." localSheetId="1" hidden="1">{"MINRENT2",#N/A,FALSE,"SCHEDULE B"}</definedName>
    <definedName name="wrn.MINRENT." localSheetId="5" hidden="1">{"MINRENT2",#N/A,FALSE,"SCHEDULE B"}</definedName>
    <definedName name="wrn.MINRENT." localSheetId="8" hidden="1">{"MINRENT2",#N/A,FALSE,"SCHEDULE B"}</definedName>
    <definedName name="wrn.MINRENT." localSheetId="3" hidden="1">{"MINRENT2",#N/A,FALSE,"SCHEDULE B"}</definedName>
    <definedName name="wrn.MINRENT." hidden="1">{"MINRENT2",#N/A,FALSE,"SCHEDULE B"}</definedName>
    <definedName name="wrn.minrent.2" localSheetId="4" hidden="1">{"MINRENT2",#N/A,FALSE,"SCHEDULE B"}</definedName>
    <definedName name="wrn.minrent.2" localSheetId="2" hidden="1">{"MINRENT2",#N/A,FALSE,"SCHEDULE B"}</definedName>
    <definedName name="wrn.minrent.2" localSheetId="1" hidden="1">{"MINRENT2",#N/A,FALSE,"SCHEDULE B"}</definedName>
    <definedName name="wrn.minrent.2" localSheetId="5" hidden="1">{"MINRENT2",#N/A,FALSE,"SCHEDULE B"}</definedName>
    <definedName name="wrn.minrent.2" localSheetId="8" hidden="1">{"MINRENT2",#N/A,FALSE,"SCHEDULE B"}</definedName>
    <definedName name="wrn.minrent.2" localSheetId="3" hidden="1">{"MINRENT2",#N/A,FALSE,"SCHEDULE B"}</definedName>
    <definedName name="wrn.minrent.2" hidden="1">{"MINRENT2",#N/A,FALSE,"SCHEDULE B"}</definedName>
    <definedName name="wrn.mkting" localSheetId="4" hidden="1">{#N/A,#N/A,FALSE,"MARKETING I";#N/A,#N/A,FALSE,"MARKETING II";#N/A,#N/A,FALSE,"MARKETING III"}</definedName>
    <definedName name="wrn.mkting" localSheetId="2" hidden="1">{#N/A,#N/A,FALSE,"MARKETING I";#N/A,#N/A,FALSE,"MARKETING II";#N/A,#N/A,FALSE,"MARKETING III"}</definedName>
    <definedName name="wrn.mkting" localSheetId="1" hidden="1">{#N/A,#N/A,FALSE,"MARKETING I";#N/A,#N/A,FALSE,"MARKETING II";#N/A,#N/A,FALSE,"MARKETING III"}</definedName>
    <definedName name="wrn.mkting" localSheetId="5" hidden="1">{#N/A,#N/A,FALSE,"MARKETING I";#N/A,#N/A,FALSE,"MARKETING II";#N/A,#N/A,FALSE,"MARKETING III"}</definedName>
    <definedName name="wrn.mkting" localSheetId="8" hidden="1">{#N/A,#N/A,FALSE,"MARKETING I";#N/A,#N/A,FALSE,"MARKETING II";#N/A,#N/A,FALSE,"MARKETING III"}</definedName>
    <definedName name="wrn.mkting" localSheetId="3" hidden="1">{#N/A,#N/A,FALSE,"MARKETING I";#N/A,#N/A,FALSE,"MARKETING II";#N/A,#N/A,FALSE,"MARKETING III"}</definedName>
    <definedName name="wrn.mkting" hidden="1">{#N/A,#N/A,FALSE,"MARKETING I";#N/A,#N/A,FALSE,"MARKETING II";#N/A,#N/A,FALSE,"MARKETING III"}</definedName>
    <definedName name="wrn.ModelReview."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ly._.financial." hidden="1">{#N/A,#N/A,FALSE,"SUMMARY 4a";#N/A,#N/A,FALSE,"GBA 4b";#N/A,#N/A,FALSE,"TENANT 4c";#N/A,#N/A,FALSE,"BUDGET DETAIL";#N/A,#N/A,FALSE,"PRO FORMA"}</definedName>
    <definedName name="wrn.MonthlyRentRoll." hidden="1">{"MonthlyRentRoll",#N/A,FALSE,"RentRoll"}</definedName>
    <definedName name="wrn.New._.Loan._.Brief." hidden="1">{#N/A,#N/A,TRUE,"Brief";#N/A,#N/A,TRUE,"Loan Purpose";#N/A,#N/A,TRUE,"Borrower";#N/A,#N/A,TRUE,"Sponsor";#N/A,#N/A,TRUE,"Site-Improvements";#N/A,#N/A,TRUE,"Manager";#N/A,#N/A,TRUE,"Tenancy-Comm";#N/A,#N/A,TRUE,"Engineering";#N/A,#N/A,TRUE,"Market";#N/A,#N/A,TRUE,"Environmental";#N/A,#N/A,TRUE,"Appraisal";#N/A,#N/A,TRUE,"UW Income";#N/A,#N/A,TRUE,"UW Expenses";#N/A,#N/A,TRUE,"UW Reserves";#N/A,#N/A,TRUE,"Exit-Valuation";#N/A,#N/A,TRUE,"Strengths-Weaknesses";#N/A,#N/A,TRUE,"Recommendation"}</definedName>
    <definedName name="wrn.New._.Sizing._.Sheet." hidden="1">{#N/A,#N/A,TRUE,"Input";#N/A,#N/A,TRUE,"Op Stmt Reconciliation";#N/A,#N/A,TRUE,"RR Reconciliation";#N/A,#N/A,TRUE,"Rollover";#N/A,#N/A,TRUE,"Cash Flow Summary";#N/A,#N/A,TRUE,"Loan Analysis";#N/A,#N/A,TRUE,"Projection"}</definedName>
    <definedName name="wrn.Occupancy._.Calcs." localSheetId="4" hidden="1">{#N/A,#N/A,FALSE,"Occ. Calcs"}</definedName>
    <definedName name="wrn.Occupancy._.Calcs." localSheetId="2" hidden="1">{#N/A,#N/A,FALSE,"Occ. Calcs"}</definedName>
    <definedName name="wrn.Occupancy._.Calcs." localSheetId="1" hidden="1">{#N/A,#N/A,FALSE,"Occ. Calcs"}</definedName>
    <definedName name="wrn.Occupancy._.Calcs." localSheetId="5" hidden="1">{#N/A,#N/A,FALSE,"Occ. Calcs"}</definedName>
    <definedName name="wrn.Occupancy._.Calcs." localSheetId="8" hidden="1">{#N/A,#N/A,FALSE,"Occ. Calcs"}</definedName>
    <definedName name="wrn.Occupancy._.Calcs." localSheetId="3" hidden="1">{#N/A,#N/A,FALSE,"Occ. Calcs"}</definedName>
    <definedName name="wrn.Occupancy._.Calcs." hidden="1">{#N/A,#N/A,FALSE,"Occ. Calcs"}</definedName>
    <definedName name="wrn.ODB." hidden="1">{"ODB",#N/A,FALSE,"Hold Scenario"}</definedName>
    <definedName name="wrn.office." localSheetId="4"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1"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5"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8"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localSheetId="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e._.Partner."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hidden="1">{"page1",#N/A,FALSE,"sheet 1";"Page2",#N/A,FALSE,"sheet 1";"page3",#N/A,FALSE,"sheet 1";"page4",#N/A,FALSE,"sheet 1"}</definedName>
    <definedName name="wrn.open." hidden="1">{#N/A,#N/A,FALSE,"Unconsolidated Debt"}</definedName>
    <definedName name="wrn.open.0" hidden="1">{#N/A,#N/A,FALSE,"Unconsolidated Debt"}</definedName>
    <definedName name="wrn.OperatingAssumtions." hidden="1">{#N/A,#N/A,FALSE,"OperatingAssumptions"}</definedName>
    <definedName name="wrn.Output." hidden="1">{#N/A,#N/A,TRUE,"Cover";#N/A,#N/A,TRUE,"Summary";#N/A,#N/A,TRUE,"Assumptions";#N/A,#N/A,TRUE,"Stack";#N/A,#N/A,TRUE,"Budget";#N/A,#N/A,TRUE,"Condo Summary";#N/A,#N/A,TRUE,"Sellout Summary"}</definedName>
    <definedName name="wrn.Output3Column." localSheetId="4" hidden="1">{"Output-3Column",#N/A,FALSE,"Output"}</definedName>
    <definedName name="wrn.Output3Column." localSheetId="2" hidden="1">{"Output-3Column",#N/A,FALSE,"Output"}</definedName>
    <definedName name="wrn.Output3Column." localSheetId="1" hidden="1">{"Output-3Column",#N/A,FALSE,"Output"}</definedName>
    <definedName name="wrn.Output3Column." localSheetId="5" hidden="1">{"Output-3Column",#N/A,FALSE,"Output"}</definedName>
    <definedName name="wrn.Output3Column." localSheetId="8" hidden="1">{"Output-3Column",#N/A,FALSE,"Output"}</definedName>
    <definedName name="wrn.Output3Column." localSheetId="3" hidden="1">{"Output-3Column",#N/A,FALSE,"Output"}</definedName>
    <definedName name="wrn.Output3Column." hidden="1">{"Output-3Column",#N/A,FALSE,"Output"}</definedName>
    <definedName name="wrn.OutputAll." localSheetId="4" hidden="1">{"Output-All",#N/A,FALSE,"Output"}</definedName>
    <definedName name="wrn.OutputAll." localSheetId="2" hidden="1">{"Output-All",#N/A,FALSE,"Output"}</definedName>
    <definedName name="wrn.OutputAll." localSheetId="1" hidden="1">{"Output-All",#N/A,FALSE,"Output"}</definedName>
    <definedName name="wrn.OutputAll." localSheetId="5" hidden="1">{"Output-All",#N/A,FALSE,"Output"}</definedName>
    <definedName name="wrn.OutputAll." localSheetId="8" hidden="1">{"Output-All",#N/A,FALSE,"Output"}</definedName>
    <definedName name="wrn.OutputAll." localSheetId="3" hidden="1">{"Output-All",#N/A,FALSE,"Output"}</definedName>
    <definedName name="wrn.OutputAll." hidden="1">{"Output-All",#N/A,FALSE,"Output"}</definedName>
    <definedName name="wrn.OutputBaseYear." localSheetId="4" hidden="1">{"Output-BaseYear",#N/A,FALSE,"Output"}</definedName>
    <definedName name="wrn.OutputBaseYear." localSheetId="2" hidden="1">{"Output-BaseYear",#N/A,FALSE,"Output"}</definedName>
    <definedName name="wrn.OutputBaseYear." localSheetId="1" hidden="1">{"Output-BaseYear",#N/A,FALSE,"Output"}</definedName>
    <definedName name="wrn.OutputBaseYear." localSheetId="5" hidden="1">{"Output-BaseYear",#N/A,FALSE,"Output"}</definedName>
    <definedName name="wrn.OutputBaseYear." localSheetId="8" hidden="1">{"Output-BaseYear",#N/A,FALSE,"Output"}</definedName>
    <definedName name="wrn.OutputBaseYear." localSheetId="3" hidden="1">{"Output-BaseYear",#N/A,FALSE,"Output"}</definedName>
    <definedName name="wrn.OutputBaseYear." hidden="1">{"Output-BaseYear",#N/A,FALSE,"Output"}</definedName>
    <definedName name="wrn.OutputMin." localSheetId="4" hidden="1">{"Output-Min",#N/A,FALSE,"Output"}</definedName>
    <definedName name="wrn.OutputMin." localSheetId="2" hidden="1">{"Output-Min",#N/A,FALSE,"Output"}</definedName>
    <definedName name="wrn.OutputMin." localSheetId="1" hidden="1">{"Output-Min",#N/A,FALSE,"Output"}</definedName>
    <definedName name="wrn.OutputMin." localSheetId="5" hidden="1">{"Output-Min",#N/A,FALSE,"Output"}</definedName>
    <definedName name="wrn.OutputMin." localSheetId="8" hidden="1">{"Output-Min",#N/A,FALSE,"Output"}</definedName>
    <definedName name="wrn.OutputMin." localSheetId="3" hidden="1">{"Output-Min",#N/A,FALSE,"Output"}</definedName>
    <definedName name="wrn.OutputMin." hidden="1">{"Output-Min",#N/A,FALSE,"Output"}</definedName>
    <definedName name="wrn.OutputPercent." localSheetId="4" hidden="1">{"Output%",#N/A,FALSE,"Output"}</definedName>
    <definedName name="wrn.OutputPercent." localSheetId="2" hidden="1">{"Output%",#N/A,FALSE,"Output"}</definedName>
    <definedName name="wrn.OutputPercent." localSheetId="1" hidden="1">{"Output%",#N/A,FALSE,"Output"}</definedName>
    <definedName name="wrn.OutputPercent." localSheetId="5" hidden="1">{"Output%",#N/A,FALSE,"Output"}</definedName>
    <definedName name="wrn.OutputPercent." localSheetId="8" hidden="1">{"Output%",#N/A,FALSE,"Output"}</definedName>
    <definedName name="wrn.OutputPercent." localSheetId="3" hidden="1">{"Output%",#N/A,FALSE,"Output"}</definedName>
    <definedName name="wrn.OutputPercent." hidden="1">{"Output%",#N/A,FALSE,"Output"}</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rking." hidden="1">{"Parking",#N/A,FALSE,"Parking"}</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enetration." localSheetId="4" hidden="1">{#N/A,#N/A,FALSE,"Mkt Pen"}</definedName>
    <definedName name="wrn.Penetration." localSheetId="2" hidden="1">{#N/A,#N/A,FALSE,"Mkt Pen"}</definedName>
    <definedName name="wrn.Penetration." localSheetId="1" hidden="1">{#N/A,#N/A,FALSE,"Mkt Pen"}</definedName>
    <definedName name="wrn.Penetration." localSheetId="5" hidden="1">{#N/A,#N/A,FALSE,"Mkt Pen"}</definedName>
    <definedName name="wrn.Penetration." localSheetId="8" hidden="1">{#N/A,#N/A,FALSE,"Mkt Pen"}</definedName>
    <definedName name="wrn.Penetration." localSheetId="3" hidden="1">{#N/A,#N/A,FALSE,"Mkt Pen"}</definedName>
    <definedName name="wrn.Penetration." hidden="1">{#N/A,#N/A,FALSE,"Mkt Pen"}</definedName>
    <definedName name="wrn.PERCENTAGE._.RENT." localSheetId="4" hidden="1">{"PERCENTAGE RENT",#N/A,TRUE,"SCHEDULE B"}</definedName>
    <definedName name="wrn.PERCENTAGE._.RENT." localSheetId="2" hidden="1">{"PERCENTAGE RENT",#N/A,TRUE,"SCHEDULE B"}</definedName>
    <definedName name="wrn.PERCENTAGE._.RENT." localSheetId="1" hidden="1">{"PERCENTAGE RENT",#N/A,TRUE,"SCHEDULE B"}</definedName>
    <definedName name="wrn.PERCENTAGE._.RENT." localSheetId="5" hidden="1">{"PERCENTAGE RENT",#N/A,TRUE,"SCHEDULE B"}</definedName>
    <definedName name="wrn.PERCENTAGE._.RENT." localSheetId="8" hidden="1">{"PERCENTAGE RENT",#N/A,TRUE,"SCHEDULE B"}</definedName>
    <definedName name="wrn.PERCENTAGE._.RENT." localSheetId="3" hidden="1">{"PERCENTAGE RENT",#N/A,TRUE,"SCHEDULE B"}</definedName>
    <definedName name="wrn.PERCENTAGE._.RENT." hidden="1">{"PERCENTAGE RENT",#N/A,TRUE,"SCHEDULE B"}</definedName>
    <definedName name="wrn.pl." localSheetId="4">{#N/A,#N/A,FALSE,"Cons PL-Accrual"}</definedName>
    <definedName name="wrn.pl." localSheetId="2">{#N/A,#N/A,FALSE,"Cons PL-Accrual"}</definedName>
    <definedName name="wrn.pl." localSheetId="1" hidden="1">{#N/A,#N/A,FALSE,"Cons PL-Accrual"}</definedName>
    <definedName name="wrn.pl." localSheetId="5">{#N/A,#N/A,FALSE,"Cons PL-Accrual"}</definedName>
    <definedName name="wrn.pl." localSheetId="8">{#N/A,#N/A,FALSE,"Cons PL-Accrual"}</definedName>
    <definedName name="wrn.pl." localSheetId="3" hidden="1">{#N/A,#N/A,FALSE,"Cons PL-Accrual"}</definedName>
    <definedName name="wrn.pl.">{#N/A,#N/A,FALSE,"Cons PL-Accrual"}</definedName>
    <definedName name="wrn.PorfolioFinancialSummary." hidden="1">{#N/A,#N/A,FALSE,"ZellLurieFinSummary";#N/A,#N/A,FALSE,"FirstCapFinSummary";#N/A,#N/A,FALSE,"ZM I-III Consol FinSummary"}</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cntrent" localSheetId="4" hidden="1">{"PERCENTAGE RENT",#N/A,TRUE,"SCHEDULE B"}</definedName>
    <definedName name="wrn.prcntrent" localSheetId="2" hidden="1">{"PERCENTAGE RENT",#N/A,TRUE,"SCHEDULE B"}</definedName>
    <definedName name="wrn.prcntrent" localSheetId="1" hidden="1">{"PERCENTAGE RENT",#N/A,TRUE,"SCHEDULE B"}</definedName>
    <definedName name="wrn.prcntrent" localSheetId="5" hidden="1">{"PERCENTAGE RENT",#N/A,TRUE,"SCHEDULE B"}</definedName>
    <definedName name="wrn.prcntrent" localSheetId="8" hidden="1">{"PERCENTAGE RENT",#N/A,TRUE,"SCHEDULE B"}</definedName>
    <definedName name="wrn.prcntrent" localSheetId="3" hidden="1">{"PERCENTAGE RENT",#N/A,TRUE,"SCHEDULE B"}</definedName>
    <definedName name="wrn.prcntrent" hidden="1">{"PERCENTAGE RENT",#N/A,TRUE,"SCHEDULE B"}</definedName>
    <definedName name="wrn.Presentation." hidden="1">{#N/A,#N/A,TRUE,"Summary";"AnnualRentRoll",#N/A,TRUE,"RentRoll";#N/A,#N/A,TRUE,"ExitStratigy";#N/A,#N/A,TRUE,"OperatingAssumptions"}</definedName>
    <definedName name="wrn.Pricing._.Sheets._.inc._.Matrix." hidden="1">{#N/A,#N/A,FALSE,"Commercial Sizing";#N/A,#N/A,FALSE,"Pricing Matrix";#N/A,#N/A,FALSE,"Cash Flow (1)";#N/A,#N/A,FALSE,"Cash Flow (2)";#N/A,#N/A,FALSE,"Refinance Test";#N/A,#N/A,FALSE,"RentRoll";#N/A,#N/A,FALSE,"TI_LC"}</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4" hidden="1">{#N/A,#N/A,FALSE,"Primary"}</definedName>
    <definedName name="wrn.Primary._.Competition." localSheetId="2" hidden="1">{#N/A,#N/A,FALSE,"Primary"}</definedName>
    <definedName name="wrn.Primary._.Competition." localSheetId="1" hidden="1">{#N/A,#N/A,FALSE,"Primary"}</definedName>
    <definedName name="wrn.Primary._.Competition." localSheetId="5" hidden="1">{#N/A,#N/A,FALSE,"Primary"}</definedName>
    <definedName name="wrn.Primary._.Competition." localSheetId="8" hidden="1">{#N/A,#N/A,FALSE,"Primary"}</definedName>
    <definedName name="wrn.Primary._.Competition." localSheetId="3" hidden="1">{#N/A,#N/A,FALSE,"Primary"}</definedName>
    <definedName name="wrn.Primary._.Competition." hidden="1">{#N/A,#N/A,FALSE,"Primary"}</definedName>
    <definedName name="wrn.Print_Heller." hidden="1">{#N/A,#N/A,TRUE,"Summary Schedule Heller";#N/A,#N/A,TRUE,"Qtrly  heller Page 1";#N/A,#N/A,TRUE,"Qtrly heller Page 2";#N/A,#N/A,TRUE,"Qtrly heller Page 2A";#N/A,#N/A,TRUE,"Qtrly heller Page 3";#N/A,#N/A,TRUE,"Qtrly heller Page 3A";#N/A,#N/A,TRUE,"Summary Schedule Heller Ltd";#N/A,#N/A,TRUE,"Qtrly  heller 4 yr"}</definedName>
    <definedName name="wrn.Print." hidden="1">{#N/A,#N/A,TRUE,"Title Page";#N/A,#N/A,TRUE,"Executive Summary";#N/A,#N/A,TRUE,"Assumptions";#N/A,#N/A,TRUE,"Existing vs Mkt";#N/A,#N/A,TRUE,"Cash Flow";#N/A,#N/A,TRUE,"GR Detail";#N/A,#N/A,TRUE,"Exp Detail";#N/A,#N/A,TRUE,"Pricing Matrix";#N/A,#N/A,TRUE,"Value Matrix";#N/A,#N/A,TRUE,"Residual Marketing";#N/A,#N/A,TRUE,"Expiration Schedule";#N/A,#N/A,TRUE,"Expiration Graph ";#N/A,#N/A,TRUE,"Vacancy Detail";#N/A,#N/A,TRUE,"Input Matrix"}</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hidden="1">{#N/A,#N/A,FALSE,"Land";#N/A,#N/A,FALSE,"Cost Analysis";"Summary",#N/A,FALSE,"Equipment"}</definedName>
    <definedName name="wrn.Print._.All._.Improved._.Sales." hidden="1">{#N/A,#N/A,FALSE,"Sale 1";#N/A,#N/A,FALSE,"Sale 2";#N/A,#N/A,FALSE,"Sale 3";#N/A,#N/A,FALSE,"Sale 4";#N/A,#N/A,FALSE,"Sale 5";#N/A,#N/A,FALSE,"Sale 6";#N/A,#N/A,FALSE,"Sale 7";#N/A,#N/A,FALSE,"Sale 8";#N/A,#N/A,FALSE,"Sale 9";#N/A,#N/A,FALSE,"Sale 10";#N/A,#N/A,FALSE,"Sale 11";#N/A,#N/A,FALSE,"Sale 12"}</definedName>
    <definedName name="wrn.Print._.All._.Report._.Pages."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Worksheets." localSheetId="4" hidden="1">{#N/A,#N/A,FALSE,"Capitaliztion Matrix";#N/A,#N/A,FALSE,"4YR P&amp;L";#N/A,#N/A,FALSE,"Program Contributions";#N/A,#N/A,FALSE,"P&amp;L Trans YR 2";#N/A,#N/A,FALSE,"Rev &amp; EBITDA YR2";#N/A,#N/A,FALSE,"P&amp;L Trans YR 1";#N/A,#N/A,FALSE,"Rev &amp; EBITDA YR1"}</definedName>
    <definedName name="wrn.Print._.All._.Worksheets." localSheetId="2" hidden="1">{#N/A,#N/A,FALSE,"Capitaliztion Matrix";#N/A,#N/A,FALSE,"4YR P&amp;L";#N/A,#N/A,FALSE,"Program Contributions";#N/A,#N/A,FALSE,"P&amp;L Trans YR 2";#N/A,#N/A,FALSE,"Rev &amp; EBITDA YR2";#N/A,#N/A,FALSE,"P&amp;L Trans YR 1";#N/A,#N/A,FALSE,"Rev &amp; EBITDA YR1"}</definedName>
    <definedName name="wrn.Print._.All._.Worksheets." localSheetId="1" hidden="1">{#N/A,#N/A,FALSE,"Capitaliztion Matrix";#N/A,#N/A,FALSE,"4YR P&amp;L";#N/A,#N/A,FALSE,"Program Contributions";#N/A,#N/A,FALSE,"P&amp;L Trans YR 2";#N/A,#N/A,FALSE,"Rev &amp; EBITDA YR2";#N/A,#N/A,FALSE,"P&amp;L Trans YR 1";#N/A,#N/A,FALSE,"Rev &amp; EBITDA YR1"}</definedName>
    <definedName name="wrn.Print._.All._.Worksheets." localSheetId="5" hidden="1">{#N/A,#N/A,FALSE,"Capitaliztion Matrix";#N/A,#N/A,FALSE,"4YR P&amp;L";#N/A,#N/A,FALSE,"Program Contributions";#N/A,#N/A,FALSE,"P&amp;L Trans YR 2";#N/A,#N/A,FALSE,"Rev &amp; EBITDA YR2";#N/A,#N/A,FALSE,"P&amp;L Trans YR 1";#N/A,#N/A,FALSE,"Rev &amp; EBITDA YR1"}</definedName>
    <definedName name="wrn.Print._.All._.Worksheets." localSheetId="8" hidden="1">{#N/A,#N/A,FALSE,"Capitaliztion Matrix";#N/A,#N/A,FALSE,"4YR P&amp;L";#N/A,#N/A,FALSE,"Program Contributions";#N/A,#N/A,FALSE,"P&amp;L Trans YR 2";#N/A,#N/A,FALSE,"Rev &amp; EBITDA YR2";#N/A,#N/A,FALSE,"P&amp;L Trans YR 1";#N/A,#N/A,FALSE,"Rev &amp; EBITDA YR1"}</definedName>
    <definedName name="wrn.Print._.All._.Worksheets." localSheetId="3"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4">{#N/A,#N/A,FALSE,"Capitaliztion Matrix";#N/A,#N/A,FALSE,"4YR P&amp;L";#N/A,#N/A,FALSE,"Program Contributions";#N/A,#N/A,FALSE,"P&amp;L Trans YR 2";#N/A,#N/A,FALSE,"Rev &amp; EBITDA YR2";#N/A,#N/A,FALSE,"P&amp;L Trans YR 1";#N/A,#N/A,FALSE,"Rev &amp; EBITDA YR1"}</definedName>
    <definedName name="wrn.Print._.All._.Worksheets._1" localSheetId="2">{#N/A,#N/A,FALSE,"Capitaliztion Matrix";#N/A,#N/A,FALSE,"4YR P&amp;L";#N/A,#N/A,FALSE,"Program Contributions";#N/A,#N/A,FALSE,"P&amp;L Trans YR 2";#N/A,#N/A,FALSE,"Rev &amp; EBITDA YR2";#N/A,#N/A,FALSE,"P&amp;L Trans YR 1";#N/A,#N/A,FALSE,"Rev &amp; EBITDA YR1"}</definedName>
    <definedName name="wrn.Print._.All._.Worksheets._1" localSheetId="1" hidden="1">{#N/A,#N/A,FALSE,"Capitaliztion Matrix";#N/A,#N/A,FALSE,"4YR P&amp;L";#N/A,#N/A,FALSE,"Program Contributions";#N/A,#N/A,FALSE,"P&amp;L Trans YR 2";#N/A,#N/A,FALSE,"Rev &amp; EBITDA YR2";#N/A,#N/A,FALSE,"P&amp;L Trans YR 1";#N/A,#N/A,FALSE,"Rev &amp; EBITDA YR1"}</definedName>
    <definedName name="wrn.Print._.All._.Worksheets._1" localSheetId="5">{#N/A,#N/A,FALSE,"Capitaliztion Matrix";#N/A,#N/A,FALSE,"4YR P&amp;L";#N/A,#N/A,FALSE,"Program Contributions";#N/A,#N/A,FALSE,"P&amp;L Trans YR 2";#N/A,#N/A,FALSE,"Rev &amp; EBITDA YR2";#N/A,#N/A,FALSE,"P&amp;L Trans YR 1";#N/A,#N/A,FALSE,"Rev &amp; EBITDA YR1"}</definedName>
    <definedName name="wrn.Print._.All._.Worksheets._1" localSheetId="8">{#N/A,#N/A,FALSE,"Capitaliztion Matrix";#N/A,#N/A,FALSE,"4YR P&amp;L";#N/A,#N/A,FALSE,"Program Contributions";#N/A,#N/A,FALSE,"P&amp;L Trans YR 2";#N/A,#N/A,FALSE,"Rev &amp; EBITDA YR2";#N/A,#N/A,FALSE,"P&amp;L Trans YR 1";#N/A,#N/A,FALSE,"Rev &amp; EBITDA YR1"}</definedName>
    <definedName name="wrn.Print._.All._.Worksheets._1" localSheetId="3" hidden="1">{#N/A,#N/A,FALSE,"Capitaliztion Matrix";#N/A,#N/A,FALSE,"4YR P&amp;L";#N/A,#N/A,FALSE,"Program Contributions";#N/A,#N/A,FALSE,"P&amp;L Trans YR 2";#N/A,#N/A,FALSE,"Rev &amp; EBITDA YR2";#N/A,#N/A,FALSE,"P&amp;L Trans YR 1";#N/A,#N/A,FALSE,"Rev &amp; EBITDA YR1"}</definedName>
    <definedName name="wrn.Print._.All._.Worksheets._1">{#N/A,#N/A,FALSE,"Capitaliztion Matrix";#N/A,#N/A,FALSE,"4YR P&amp;L";#N/A,#N/A,FALSE,"Program Contributions";#N/A,#N/A,FALSE,"P&amp;L Trans YR 2";#N/A,#N/A,FALSE,"Rev &amp; EBITDA YR2";#N/A,#N/A,FALSE,"P&amp;L Trans YR 1";#N/A,#N/A,FALSE,"Rev &amp; EBITDA YR1"}</definedName>
    <definedName name="wrn.Print._.Everythin." localSheetId="4">{#N/A,#N/A,FALSE,"PRELIMINARY REVIEW";#N/A,#N/A,FALSE,"SOURCES AND USES OF FUNDS";#N/A,#N/A,FALSE,"COST ITEMS";#N/A,#N/A,FALSE,"DRAW SCHEDULE";#N/A,#N/A,FALSE,"STABILIZED OPERATING PROFORMA";#N/A,#N/A,FALSE,"LEASE UP OPERATING PROFORMA";#N/A,#N/A,FALSE,"INPUT SHEET"}</definedName>
    <definedName name="wrn.Print._.Everythin." localSheetId="2">{#N/A,#N/A,FALSE,"PRELIMINARY REVIEW";#N/A,#N/A,FALSE,"SOURCES AND USES OF FUNDS";#N/A,#N/A,FALSE,"COST ITEMS";#N/A,#N/A,FALSE,"DRAW SCHEDULE";#N/A,#N/A,FALSE,"STABILIZED OPERATING PROFORMA";#N/A,#N/A,FALSE,"LEASE UP OPERATING PROFORMA";#N/A,#N/A,FALSE,"INPUT SHEET"}</definedName>
    <definedName name="wrn.Print._.Everythin." localSheetId="1" hidden="1">{#N/A,#N/A,FALSE,"PRELIMINARY REVIEW";#N/A,#N/A,FALSE,"SOURCES AND USES OF FUNDS";#N/A,#N/A,FALSE,"COST ITEMS";#N/A,#N/A,FALSE,"DRAW SCHEDULE";#N/A,#N/A,FALSE,"STABILIZED OPERATING PROFORMA";#N/A,#N/A,FALSE,"LEASE UP OPERATING PROFORMA";#N/A,#N/A,FALSE,"INPUT SHEET"}</definedName>
    <definedName name="wrn.Print._.Everythin." localSheetId="5">{#N/A,#N/A,FALSE,"PRELIMINARY REVIEW";#N/A,#N/A,FALSE,"SOURCES AND USES OF FUNDS";#N/A,#N/A,FALSE,"COST ITEMS";#N/A,#N/A,FALSE,"DRAW SCHEDULE";#N/A,#N/A,FALSE,"STABILIZED OPERATING PROFORMA";#N/A,#N/A,FALSE,"LEASE UP OPERATING PROFORMA";#N/A,#N/A,FALSE,"INPUT SHEET"}</definedName>
    <definedName name="wrn.Print._.Everythin." localSheetId="8">{#N/A,#N/A,FALSE,"PRELIMINARY REVIEW";#N/A,#N/A,FALSE,"SOURCES AND USES OF FUNDS";#N/A,#N/A,FALSE,"COST ITEMS";#N/A,#N/A,FALSE,"DRAW SCHEDULE";#N/A,#N/A,FALSE,"STABILIZED OPERATING PROFORMA";#N/A,#N/A,FALSE,"LEASE UP OPERATING PROFORMA";#N/A,#N/A,FALSE,"INPUT SHEET"}</definedName>
    <definedName name="wrn.Print._.Everythin." localSheetId="3" hidden="1">{#N/A,#N/A,FALSE,"PRELIMINARY REVIEW";#N/A,#N/A,FALSE,"SOURCES AND USES OF FUNDS";#N/A,#N/A,FALSE,"COST ITEMS";#N/A,#N/A,FALSE,"DRAW SCHEDULE";#N/A,#N/A,FALSE,"STABILIZED OPERATING PROFORMA";#N/A,#N/A,FALSE,"LEASE UP OPERATING PROFORMA";#N/A,#N/A,FALSE,"INPUT SHEET"}</definedName>
    <definedName name="wrn.Print._.Everythin.">{#N/A,#N/A,FALSE,"PRELIMINARY REVIEW";#N/A,#N/A,FALSE,"SOURCES AND USES OF FUNDS";#N/A,#N/A,FALSE,"COST ITEMS";#N/A,#N/A,FALSE,"DRAW SCHEDULE";#N/A,#N/A,FALSE,"STABILIZED OPERATING PROFORMA";#N/A,#N/A,FALSE,"LEASE UP OPERATING PROFORMA";#N/A,#N/A,FALSE,"INPUT SHEET"}</definedName>
    <definedName name="wrn.Print._.It." hidden="1">{#N/A,#N/A,TRUE,"base case";#N/A,#N/A,TRUE,"valuation";#N/A,#N/A,TRUE,"sources and uses";#N/A,#N/A,TRUE,"recapitalization";#N/A,#N/A,TRUE,"flowchart";#N/A,#N/A,TRUE,"summary";#N/A,#N/A,TRUE,"sensitivities";#N/A,#N/A,TRUE,"pro forma";#N/A,#N/A,TRUE,"PAC shares"}</definedName>
    <definedName name="wrn.Print._.Ltd._.Ptr._.Heller." hidden="1">{#N/A,#N/A,FALSE,"Summary Schedule Heller Ltd";#N/A,#N/A,FALSE,"Qtrly  heller Page 1";#N/A,#N/A,FALSE,"Qtrly heller Page 3"}</definedName>
    <definedName name="wrn.Print._.Rent._.Comps." hidden="1">{#N/A,#N/A,FALSE,"Rent 1";#N/A,#N/A,FALSE,"Rent 2";#N/A,#N/A,FALSE,"Rent 3";#N/A,#N/A,FALSE,"Rent 4";#N/A,#N/A,FALSE,"Rent 5";#N/A,#N/A,FALSE,"Rent 6";#N/A,#N/A,FALSE,"Rent 7";#N/A,#N/A,FALSE,"Rent 8"}</definedName>
    <definedName name="wrn.print._.standalone." hidden="1">{"standalone1",#N/A,FALSE,"DCFBase";"standalone2",#N/A,FALSE,"DCFBase"}</definedName>
    <definedName name="wrn.Print._.sum."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Workbook." hidden="1">{#N/A,#N/A,FALSE,"Exec. Summ";#N/A,#N/A,FALSE,"Income";#N/A,#N/A,FALSE,"Expenses";#N/A,#N/A,FALSE,"Loan Options";#N/A,#N/A,FALSE,"Sources &amp; Uses";#N/A,#N/A,FALSE,"Spreadsheet"}</definedName>
    <definedName name="wrn.PrintAll." hidden="1">{#N/A,#N/A,FALSE,"Broker Sheet";#N/A,#N/A,FALSE,"Exec.Summary";#N/A,#N/A,FALSE,"Argus Cash Flow";#N/A,#N/A,FALSE,"SPF";#N/A,#N/A,FALSE,"RentRoll"}</definedName>
    <definedName name="wrn.Prior._.Year._.Amounts." hidden="1">{"PriorYr1",#N/A,FALSE,"Prior Year Amounts";"PriorYr2",#N/A,FALSE,"Prior Year Amounts"}</definedName>
    <definedName name="wrn.Pro._.Forma." hidden="1">{#N/A,#N/A,FALSE,"Assumptions";#N/A,#N/A,FALSE,"Proforma";#N/A,#N/A,FALSE,"Value Matrices";#N/A,#N/A,FALSE,"Graph &amp; Rent Roll"}</definedName>
    <definedName name="wrn.proforma." localSheetId="4" hidden="1">{#N/A,#N/A,FALSE,"ExecSum";#N/A,#N/A,FALSE,"Budget";#N/A,#N/A,FALSE,"total summary";#N/A,#N/A,FALSE,"CashFlow"}</definedName>
    <definedName name="wrn.proforma." localSheetId="2" hidden="1">{#N/A,#N/A,FALSE,"ExecSum";#N/A,#N/A,FALSE,"Budget";#N/A,#N/A,FALSE,"total summary";#N/A,#N/A,FALSE,"CashFlow"}</definedName>
    <definedName name="wrn.proforma." localSheetId="1" hidden="1">{#N/A,#N/A,FALSE,"ExecSum";#N/A,#N/A,FALSE,"Budget";#N/A,#N/A,FALSE,"total summary";#N/A,#N/A,FALSE,"CashFlow"}</definedName>
    <definedName name="wrn.proforma." localSheetId="5" hidden="1">{#N/A,#N/A,FALSE,"ExecSum";#N/A,#N/A,FALSE,"Budget";#N/A,#N/A,FALSE,"total summary";#N/A,#N/A,FALSE,"CashFlow"}</definedName>
    <definedName name="wrn.proforma." localSheetId="8" hidden="1">{#N/A,#N/A,FALSE,"ExecSum";#N/A,#N/A,FALSE,"Budget";#N/A,#N/A,FALSE,"total summary";#N/A,#N/A,FALSE,"CashFlow"}</definedName>
    <definedName name="wrn.proforma." localSheetId="3" hidden="1">{#N/A,#N/A,FALSE,"ExecSum";#N/A,#N/A,FALSE,"Budget";#N/A,#N/A,FALSE,"total summary";#N/A,#N/A,FALSE,"CashFlow"}</definedName>
    <definedName name="wrn.proforma." hidden="1">{#N/A,#N/A,FALSE,"ExecSum";#N/A,#N/A,FALSE,"Budget";#N/A,#N/A,FALSE,"total summary";#N/A,#N/A,FALSE,"CashFlow"}</definedName>
    <definedName name="wrn.Property._.Improvements." hidden="1">{"Property Improvements",#N/A,FALSE,"Property Improvements"}</definedName>
    <definedName name="wrn.PropertyInformation." hidden="1">{#N/A,#N/A,FALSE,"PropertyInfo"}</definedName>
    <definedName name="wrn.quarterly." localSheetId="4">{"quarterly",#N/A,FALSE,"Pro Forma"}</definedName>
    <definedName name="wrn.quarterly." localSheetId="2">{"quarterly",#N/A,FALSE,"Pro Forma"}</definedName>
    <definedName name="wrn.quarterly." localSheetId="1" hidden="1">{"quarterly",#N/A,FALSE,"Pro Forma"}</definedName>
    <definedName name="wrn.quarterly." localSheetId="5">{"quarterly",#N/A,FALSE,"Pro Forma"}</definedName>
    <definedName name="wrn.quarterly." localSheetId="8">{"quarterly",#N/A,FALSE,"Pro Forma"}</definedName>
    <definedName name="wrn.quarterly." localSheetId="3" hidden="1">{"quarterly",#N/A,FALSE,"Pro Forma"}</definedName>
    <definedName name="wrn.quarterly.">{"quarterly",#N/A,FALSE,"Pro Forma"}</definedName>
    <definedName name="wrn.rate." localSheetId="4" hidden="1">{"RATES",#N/A,FALSE,"RECOVERY RATES";"CONTRIBUTIONS",#N/A,FALSE,"RECOVERY RATES";"GLA CATEGORY SUMMARY",#N/A,FALSE,"RECOVERY RATES"}</definedName>
    <definedName name="wrn.rate." localSheetId="2" hidden="1">{"RATES",#N/A,FALSE,"RECOVERY RATES";"CONTRIBUTIONS",#N/A,FALSE,"RECOVERY RATES";"GLA CATEGORY SUMMARY",#N/A,FALSE,"RECOVERY RATES"}</definedName>
    <definedName name="wrn.rate." localSheetId="1" hidden="1">{"RATES",#N/A,FALSE,"RECOVERY RATES";"CONTRIBUTIONS",#N/A,FALSE,"RECOVERY RATES";"GLA CATEGORY SUMMARY",#N/A,FALSE,"RECOVERY RATES"}</definedName>
    <definedName name="wrn.rate." localSheetId="5" hidden="1">{"RATES",#N/A,FALSE,"RECOVERY RATES";"CONTRIBUTIONS",#N/A,FALSE,"RECOVERY RATES";"GLA CATEGORY SUMMARY",#N/A,FALSE,"RECOVERY RATES"}</definedName>
    <definedName name="wrn.rate." localSheetId="8" hidden="1">{"RATES",#N/A,FALSE,"RECOVERY RATES";"CONTRIBUTIONS",#N/A,FALSE,"RECOVERY RATES";"GLA CATEGORY SUMMARY",#N/A,FALSE,"RECOVERY RATES"}</definedName>
    <definedName name="wrn.rate." localSheetId="3" hidden="1">{"RATES",#N/A,FALSE,"RECOVERY RATES";"CONTRIBUTIONS",#N/A,FALSE,"RECOVERY RATES";"GLA CATEGORY SUMMARY",#N/A,FALSE,"RECOVERY RATES"}</definedName>
    <definedName name="wrn.rate." hidden="1">{"RATES",#N/A,FALSE,"RECOVERY RATES";"CONTRIBUTIONS",#N/A,FALSE,"RECOVERY RATES";"GLA CATEGORY SUMMARY",#N/A,FALSE,"RECOVERY RATES"}</definedName>
    <definedName name="wrn.RATES." localSheetId="4" hidden="1">{"RATES",#N/A,FALSE,"RECOVERY RATES";"CONTRIBUTIONS",#N/A,FALSE,"RECOVERY RATES";"GLA CATEGORY SUMMARY",#N/A,FALSE,"RECOVERY RATES"}</definedName>
    <definedName name="wrn.RATES." localSheetId="2" hidden="1">{"RATES",#N/A,FALSE,"RECOVERY RATES";"CONTRIBUTIONS",#N/A,FALSE,"RECOVERY RATES";"GLA CATEGORY SUMMARY",#N/A,FALSE,"RECOVERY RATES"}</definedName>
    <definedName name="wrn.RATES." localSheetId="1" hidden="1">{"RATES",#N/A,FALSE,"RECOVERY RATES";"CONTRIBUTIONS",#N/A,FALSE,"RECOVERY RATES";"GLA CATEGORY SUMMARY",#N/A,FALSE,"RECOVERY RATES"}</definedName>
    <definedName name="wrn.RATES." localSheetId="5" hidden="1">{"RATES",#N/A,FALSE,"RECOVERY RATES";"CONTRIBUTIONS",#N/A,FALSE,"RECOVERY RATES";"GLA CATEGORY SUMMARY",#N/A,FALSE,"RECOVERY RATES"}</definedName>
    <definedName name="wrn.RATES." localSheetId="8" hidden="1">{"RATES",#N/A,FALSE,"RECOVERY RATES";"CONTRIBUTIONS",#N/A,FALSE,"RECOVERY RATES";"GLA CATEGORY SUMMARY",#N/A,FALSE,"RECOVERY RATES"}</definedName>
    <definedName name="wrn.RATES." localSheetId="3"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Releases._.Cash._.Accrual." localSheetId="4">{"a_releases",#N/A,FALSE,"Summary";"a_cash",#N/A,FALSE,"Summary";"a_accrual",#N/A,FALSE,"Summary"}</definedName>
    <definedName name="wrn.Releases._.Cash._.Accrual." localSheetId="2">{"a_releases",#N/A,FALSE,"Summary";"a_cash",#N/A,FALSE,"Summary";"a_accrual",#N/A,FALSE,"Summary"}</definedName>
    <definedName name="wrn.Releases._.Cash._.Accrual." localSheetId="1" hidden="1">{"a_releases",#N/A,FALSE,"Summary";"a_cash",#N/A,FALSE,"Summary";"a_accrual",#N/A,FALSE,"Summary"}</definedName>
    <definedName name="wrn.Releases._.Cash._.Accrual." localSheetId="5">{"a_releases",#N/A,FALSE,"Summary";"a_cash",#N/A,FALSE,"Summary";"a_accrual",#N/A,FALSE,"Summary"}</definedName>
    <definedName name="wrn.Releases._.Cash._.Accrual." localSheetId="8">{"a_releases",#N/A,FALSE,"Summary";"a_cash",#N/A,FALSE,"Summary";"a_accrual",#N/A,FALSE,"Summary"}</definedName>
    <definedName name="wrn.Releases._.Cash._.Accrual." localSheetId="3" hidden="1">{"a_releases",#N/A,FALSE,"Summary";"a_cash",#N/A,FALSE,"Summary";"a_accrual",#N/A,FALSE,"Summary"}</definedName>
    <definedName name="wrn.Releases._.Cash._.Accrual.">{"a_releases",#N/A,FALSE,"Summary";"a_cash",#N/A,FALSE,"Summary";"a_accrual",#N/A,FALSE,"Summary"}</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ntRoll." hidden="1">{"CurrentRentRoll",#N/A,FALSE,"Graph &amp; Rent Roll"}</definedName>
    <definedName name="wrn.Report." hidden="1">{#N/A,#N/A,FALSE,"Loan Summary";#N/A,#N/A,FALSE,"NOI";"RR and Expir",#N/A,FALSE,"Rental";"Sales History",#N/A,FALSE,"Rental";#N/A,#N/A,FALSE,"Reserves"}</definedName>
    <definedName name="wrn.Report1." localSheetId="4">{"Budget1",#N/A,TRUE,"Budget";"Income",#N/A,TRUE,"Income";"Comp",#N/A,TRUE,"Comparison"}</definedName>
    <definedName name="wrn.Report1." localSheetId="2">{"Budget1",#N/A,TRUE,"Budget";"Income",#N/A,TRUE,"Income";"Comp",#N/A,TRUE,"Comparison"}</definedName>
    <definedName name="wrn.Report1." localSheetId="1">{"Budget1",#N/A,TRUE,"Budget";"Income",#N/A,TRUE,"Income";"Comp",#N/A,TRUE,"Comparison"}</definedName>
    <definedName name="wrn.Report1." localSheetId="5">{"Budget1",#N/A,TRUE,"Budget";"Income",#N/A,TRUE,"Income";"Comp",#N/A,TRUE,"Comparison"}</definedName>
    <definedName name="wrn.Report1." localSheetId="8">{"Budget1",#N/A,TRUE,"Budget";"Income",#N/A,TRUE,"Income";"Comp",#N/A,TRUE,"Comparison"}</definedName>
    <definedName name="wrn.Report1." localSheetId="3">{"Budget1",#N/A,TRUE,"Budget";"Income",#N/A,TRUE,"Income";"Comp",#N/A,TRUE,"Comparison"}</definedName>
    <definedName name="wrn.Report1.">{"Budget1",#N/A,TRUE,"Budget";"Income",#N/A,TRUE,"Income";"Comp",#N/A,TRUE,"Comparison"}</definedName>
    <definedName name="wrn.Report1._1" localSheetId="4">{"Budget1",#N/A,TRUE,"Budget";"Income",#N/A,TRUE,"Income";"Comp",#N/A,TRUE,"Comparison"}</definedName>
    <definedName name="wrn.Report1._1" localSheetId="2">{"Budget1",#N/A,TRUE,"Budget";"Income",#N/A,TRUE,"Income";"Comp",#N/A,TRUE,"Comparison"}</definedName>
    <definedName name="wrn.Report1._1" localSheetId="1">{"Budget1",#N/A,TRUE,"Budget";"Income",#N/A,TRUE,"Income";"Comp",#N/A,TRUE,"Comparison"}</definedName>
    <definedName name="wrn.Report1._1" localSheetId="5">{"Budget1",#N/A,TRUE,"Budget";"Income",#N/A,TRUE,"Income";"Comp",#N/A,TRUE,"Comparison"}</definedName>
    <definedName name="wrn.Report1._1" localSheetId="8">{"Budget1",#N/A,TRUE,"Budget";"Income",#N/A,TRUE,"Income";"Comp",#N/A,TRUE,"Comparison"}</definedName>
    <definedName name="wrn.Report1._1" localSheetId="3">{"Budget1",#N/A,TRUE,"Budget";"Income",#N/A,TRUE,"Income";"Comp",#N/A,TRUE,"Comparison"}</definedName>
    <definedName name="wrn.Report1._1">{"Budget1",#N/A,TRUE,"Budget";"Income",#N/A,TRUE,"Income";"Comp",#N/A,TRUE,"Comparison"}</definedName>
    <definedName name="wrn.Report1._2" localSheetId="4">{"Budget1",#N/A,TRUE,"Budget";"Income",#N/A,TRUE,"Income";"Comp",#N/A,TRUE,"Comparison"}</definedName>
    <definedName name="wrn.Report1._2" localSheetId="2">{"Budget1",#N/A,TRUE,"Budget";"Income",#N/A,TRUE,"Income";"Comp",#N/A,TRUE,"Comparison"}</definedName>
    <definedName name="wrn.Report1._2" localSheetId="1">{"Budget1",#N/A,TRUE,"Budget";"Income",#N/A,TRUE,"Income";"Comp",#N/A,TRUE,"Comparison"}</definedName>
    <definedName name="wrn.Report1._2" localSheetId="5">{"Budget1",#N/A,TRUE,"Budget";"Income",#N/A,TRUE,"Income";"Comp",#N/A,TRUE,"Comparison"}</definedName>
    <definedName name="wrn.Report1._2" localSheetId="8">{"Budget1",#N/A,TRUE,"Budget";"Income",#N/A,TRUE,"Income";"Comp",#N/A,TRUE,"Comparison"}</definedName>
    <definedName name="wrn.Report1._2" localSheetId="3">{"Budget1",#N/A,TRUE,"Budget";"Income",#N/A,TRUE,"Income";"Comp",#N/A,TRUE,"Comparison"}</definedName>
    <definedName name="wrn.Report1._2">{"Budget1",#N/A,TRUE,"Budget";"Income",#N/A,TRUE,"Income";"Comp",#N/A,TRUE,"Comparison"}</definedName>
    <definedName name="wrn.Report1._3" localSheetId="4">{"Budget1",#N/A,TRUE,"Budget";"Income",#N/A,TRUE,"Income";"Comp",#N/A,TRUE,"Comparison"}</definedName>
    <definedName name="wrn.Report1._3" localSheetId="2">{"Budget1",#N/A,TRUE,"Budget";"Income",#N/A,TRUE,"Income";"Comp",#N/A,TRUE,"Comparison"}</definedName>
    <definedName name="wrn.Report1._3" localSheetId="1">{"Budget1",#N/A,TRUE,"Budget";"Income",#N/A,TRUE,"Income";"Comp",#N/A,TRUE,"Comparison"}</definedName>
    <definedName name="wrn.Report1._3" localSheetId="5">{"Budget1",#N/A,TRUE,"Budget";"Income",#N/A,TRUE,"Income";"Comp",#N/A,TRUE,"Comparison"}</definedName>
    <definedName name="wrn.Report1._3" localSheetId="8">{"Budget1",#N/A,TRUE,"Budget";"Income",#N/A,TRUE,"Income";"Comp",#N/A,TRUE,"Comparison"}</definedName>
    <definedName name="wrn.Report1._3" localSheetId="3">{"Budget1",#N/A,TRUE,"Budget";"Income",#N/A,TRUE,"Income";"Comp",#N/A,TRUE,"Comparison"}</definedName>
    <definedName name="wrn.Report1._3">{"Budget1",#N/A,TRUE,"Budget";"Income",#N/A,TRUE,"Income";"Comp",#N/A,TRUE,"Comparison"}</definedName>
    <definedName name="wrn.Revenue._.Reports." hidden="1">{"Tenant Info",#N/A,FALSE,"Revenue Input";"Base Rent",#N/A,FALSE,"Revenue Input";"RSF Projections",#N/A,FALSE,"Revenue Input";"OP Cost Escalations",#N/A,FALSE,"Revenue Input";"OP Cost Monthly",#N/A,FALSE,"Revenue Input";"RE Tax Escalation",#N/A,FALSE,"Revenue Input";"RE Tax Monthly",#N/A,FALSE,"Revenue Input"}</definedName>
    <definedName name="wrn.Revenue._.Summary." hidden="1">{"Revenue Summary",#N/A,FALSE,"Revenue Schedules"}</definedName>
    <definedName name="wrn.Rogers."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gers.1"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pt96." localSheetId="4">{"rmrev1",#N/A,FALSE,"Forecast96";"rmrev2",#N/A,FALSE,"Forecast96";"rmrev3",#N/A,FALSE,"Forecast96"}</definedName>
    <definedName name="wrn.rpt96." localSheetId="2">{"rmrev1",#N/A,FALSE,"Forecast96";"rmrev2",#N/A,FALSE,"Forecast96";"rmrev3",#N/A,FALSE,"Forecast96"}</definedName>
    <definedName name="wrn.rpt96." localSheetId="1" hidden="1">{"rmrev1",#N/A,FALSE,"Forecast96";"rmrev2",#N/A,FALSE,"Forecast96";"rmrev3",#N/A,FALSE,"Forecast96"}</definedName>
    <definedName name="wrn.rpt96." localSheetId="5">{"rmrev1",#N/A,FALSE,"Forecast96";"rmrev2",#N/A,FALSE,"Forecast96";"rmrev3",#N/A,FALSE,"Forecast96"}</definedName>
    <definedName name="wrn.rpt96." localSheetId="8">{"rmrev1",#N/A,FALSE,"Forecast96";"rmrev2",#N/A,FALSE,"Forecast96";"rmrev3",#N/A,FALSE,"Forecast96"}</definedName>
    <definedName name="wrn.rpt96." localSheetId="3" hidden="1">{"rmrev1",#N/A,FALSE,"Forecast96";"rmrev2",#N/A,FALSE,"Forecast96";"rmrev3",#N/A,FALSE,"Forecast96"}</definedName>
    <definedName name="wrn.rpt96.">{"rmrev1",#N/A,FALSE,"Forecast96";"rmrev2",#N/A,FALSE,"Forecast96";"rmrev3",#N/A,FALSE,"Forecast96"}</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ales._.and._.Debt." localSheetId="4">{"a_sales",#N/A,FALSE,"Summary";"a_debt",#N/A,FALSE,"Summary"}</definedName>
    <definedName name="wrn.Sales._.and._.Debt." localSheetId="2">{"a_sales",#N/A,FALSE,"Summary";"a_debt",#N/A,FALSE,"Summary"}</definedName>
    <definedName name="wrn.Sales._.and._.Debt." localSheetId="1" hidden="1">{"a_sales",#N/A,FALSE,"Summary";"a_debt",#N/A,FALSE,"Summary"}</definedName>
    <definedName name="wrn.Sales._.and._.Debt." localSheetId="5">{"a_sales",#N/A,FALSE,"Summary";"a_debt",#N/A,FALSE,"Summary"}</definedName>
    <definedName name="wrn.Sales._.and._.Debt." localSheetId="8">{"a_sales",#N/A,FALSE,"Summary";"a_debt",#N/A,FALSE,"Summary"}</definedName>
    <definedName name="wrn.Sales._.and._.Debt." localSheetId="3" hidden="1">{"a_sales",#N/A,FALSE,"Summary";"a_debt",#N/A,FALSE,"Summary"}</definedName>
    <definedName name="wrn.Sales._.and._.Debt.">{"a_sales",#N/A,FALSE,"Summary";"a_debt",#N/A,FALSE,"Summary"}</definedName>
    <definedName name="wrn.SCHAs." localSheetId="4" hidden="1">{"ACCOUNTING COPY",#N/A,FALSE,"SCHEDULE A";"FINANCE COPY",#N/A,FALSE,"SCHEDULE A";"P.L. COPY",#N/A,FALSE,"SCHEDULE A"}</definedName>
    <definedName name="wrn.SCHAs." localSheetId="2" hidden="1">{"ACCOUNTING COPY",#N/A,FALSE,"SCHEDULE A";"FINANCE COPY",#N/A,FALSE,"SCHEDULE A";"P.L. COPY",#N/A,FALSE,"SCHEDULE A"}</definedName>
    <definedName name="wrn.SCHAs." localSheetId="1" hidden="1">{"ACCOUNTING COPY",#N/A,FALSE,"SCHEDULE A";"FINANCE COPY",#N/A,FALSE,"SCHEDULE A";"P.L. COPY",#N/A,FALSE,"SCHEDULE A"}</definedName>
    <definedName name="wrn.SCHAs." localSheetId="5" hidden="1">{"ACCOUNTING COPY",#N/A,FALSE,"SCHEDULE A";"FINANCE COPY",#N/A,FALSE,"SCHEDULE A";"P.L. COPY",#N/A,FALSE,"SCHEDULE A"}</definedName>
    <definedName name="wrn.SCHAs." localSheetId="8" hidden="1">{"ACCOUNTING COPY",#N/A,FALSE,"SCHEDULE A";"FINANCE COPY",#N/A,FALSE,"SCHEDULE A";"P.L. COPY",#N/A,FALSE,"SCHEDULE A"}</definedName>
    <definedName name="wrn.SCHAs." localSheetId="3" hidden="1">{"ACCOUNTING COPY",#N/A,FALSE,"SCHEDULE A";"FINANCE COPY",#N/A,FALSE,"SCHEDULE A";"P.L. COPY",#N/A,FALSE,"SCHEDULE A"}</definedName>
    <definedName name="wrn.SCHAs." hidden="1">{"ACCOUNTING COPY",#N/A,FALSE,"SCHEDULE A";"FINANCE COPY",#N/A,FALSE,"SCHEDULE A";"P.L. COPY",#N/A,FALSE,"SCHEDULE A"}</definedName>
    <definedName name="wrn.schas2" localSheetId="4" hidden="1">{"ACCOUNTING COPY",#N/A,FALSE,"SCHEDULE A";"FINANCE COPY",#N/A,FALSE,"SCHEDULE A";"P.L. COPY",#N/A,FALSE,"SCHEDULE A"}</definedName>
    <definedName name="wrn.schas2" localSheetId="2" hidden="1">{"ACCOUNTING COPY",#N/A,FALSE,"SCHEDULE A";"FINANCE COPY",#N/A,FALSE,"SCHEDULE A";"P.L. COPY",#N/A,FALSE,"SCHEDULE A"}</definedName>
    <definedName name="wrn.schas2" localSheetId="1" hidden="1">{"ACCOUNTING COPY",#N/A,FALSE,"SCHEDULE A";"FINANCE COPY",#N/A,FALSE,"SCHEDULE A";"P.L. COPY",#N/A,FALSE,"SCHEDULE A"}</definedName>
    <definedName name="wrn.schas2" localSheetId="5" hidden="1">{"ACCOUNTING COPY",#N/A,FALSE,"SCHEDULE A";"FINANCE COPY",#N/A,FALSE,"SCHEDULE A";"P.L. COPY",#N/A,FALSE,"SCHEDULE A"}</definedName>
    <definedName name="wrn.schas2" localSheetId="8" hidden="1">{"ACCOUNTING COPY",#N/A,FALSE,"SCHEDULE A";"FINANCE COPY",#N/A,FALSE,"SCHEDULE A";"P.L. COPY",#N/A,FALSE,"SCHEDULE A"}</definedName>
    <definedName name="wrn.schas2" localSheetId="3" hidden="1">{"ACCOUNTING COPY",#N/A,FALSE,"SCHEDULE A";"FINANCE COPY",#N/A,FALSE,"SCHEDULE A";"P.L. COPY",#N/A,FALSE,"SCHEDULE A"}</definedName>
    <definedName name="wrn.schas2" hidden="1">{"ACCOUNTING COPY",#N/A,FALSE,"SCHEDULE A";"FINANCE COPY",#N/A,FALSE,"SCHEDULE A";"P.L. COPY",#N/A,FALSE,"SCHEDULE A"}</definedName>
    <definedName name="wrn.schedules." hidden="1">{"schedule1",#N/A,FALSE,"Sheet1";"schedule2",#N/A,FALSE,"Sheet1";"schedule3",#N/A,FALSE,"Sheet1";"schedule4",#N/A,FALSE,"Sheet1";"schedule5",#N/A,FALSE,"Sheet1";"schedule6",#N/A,FALSE,"Sheet1"}</definedName>
    <definedName name="wrn.SCHEDULES._.ABC." localSheetId="4" hidden="1">{#N/A,#N/A,FALSE,"SCHEDULE A";"MINIMUM RENT",#N/A,FALSE,"SCHEDULES B &amp; C";"PERCENTAGE RENT",#N/A,FALSE,"SCHEDULES B &amp; C"}</definedName>
    <definedName name="wrn.SCHEDULES._.ABC." localSheetId="2" hidden="1">{#N/A,#N/A,FALSE,"SCHEDULE A";"MINIMUM RENT",#N/A,FALSE,"SCHEDULES B &amp; C";"PERCENTAGE RENT",#N/A,FALSE,"SCHEDULES B &amp; C"}</definedName>
    <definedName name="wrn.SCHEDULES._.ABC." localSheetId="1" hidden="1">{#N/A,#N/A,FALSE,"SCHEDULE A";"MINIMUM RENT",#N/A,FALSE,"SCHEDULES B &amp; C";"PERCENTAGE RENT",#N/A,FALSE,"SCHEDULES B &amp; C"}</definedName>
    <definedName name="wrn.SCHEDULES._.ABC." localSheetId="5" hidden="1">{#N/A,#N/A,FALSE,"SCHEDULE A";"MINIMUM RENT",#N/A,FALSE,"SCHEDULES B &amp; C";"PERCENTAGE RENT",#N/A,FALSE,"SCHEDULES B &amp; C"}</definedName>
    <definedName name="wrn.SCHEDULES._.ABC." localSheetId="8" hidden="1">{#N/A,#N/A,FALSE,"SCHEDULE A";"MINIMUM RENT",#N/A,FALSE,"SCHEDULES B &amp; C";"PERCENTAGE RENT",#N/A,FALSE,"SCHEDULES B &amp; C"}</definedName>
    <definedName name="wrn.SCHEDULES._.ABC." localSheetId="3" hidden="1">{#N/A,#N/A,FALSE,"SCHEDULE A";"MINIMUM RENT",#N/A,FALSE,"SCHEDULES B &amp; C";"PERCENTAGE RENT",#N/A,FALSE,"SCHEDULES B &amp; C"}</definedName>
    <definedName name="wrn.SCHEDULES._.ABC." hidden="1">{#N/A,#N/A,FALSE,"SCHEDULE A";"MINIMUM RENT",#N/A,FALSE,"SCHEDULES B &amp; C";"PERCENTAGE RENT",#N/A,FALSE,"SCHEDULES B &amp; C"}</definedName>
    <definedName name="wrn.seafirst." localSheetId="4"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2"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1"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5"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8"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localSheetId="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4" hidden="1">{#N/A,#N/A,FALSE,"Secondary"}</definedName>
    <definedName name="wrn.Secondary._.Competition." localSheetId="2" hidden="1">{#N/A,#N/A,FALSE,"Secondary"}</definedName>
    <definedName name="wrn.Secondary._.Competition." localSheetId="1" hidden="1">{#N/A,#N/A,FALSE,"Secondary"}</definedName>
    <definedName name="wrn.Secondary._.Competition." localSheetId="5" hidden="1">{#N/A,#N/A,FALSE,"Secondary"}</definedName>
    <definedName name="wrn.Secondary._.Competition." localSheetId="8" hidden="1">{#N/A,#N/A,FALSE,"Secondary"}</definedName>
    <definedName name="wrn.Secondary._.Competition." localSheetId="3" hidden="1">{#N/A,#N/A,FALSE,"Secondary"}</definedName>
    <definedName name="wrn.Secondary._.Competition." hidden="1">{#N/A,#N/A,FALSE,"Secondary"}</definedName>
    <definedName name="wrn.SecondCalc9798." localSheetId="6"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localSheetId="4"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localSheetId="2"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localSheetId="1"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localSheetId="5"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localSheetId="8"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localSheetId="3"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hared._.Costs." localSheetId="4">{"cash flow",#N/A,FALSE,"Shared Costs";"allocations",#N/A,FALSE,"Shared Costs"}</definedName>
    <definedName name="wrn.Shared._.Costs." localSheetId="2">{"cash flow",#N/A,FALSE,"Shared Costs";"allocations",#N/A,FALSE,"Shared Costs"}</definedName>
    <definedName name="wrn.Shared._.Costs." localSheetId="1" hidden="1">{"cash flow",#N/A,FALSE,"Shared Costs";"allocations",#N/A,FALSE,"Shared Costs"}</definedName>
    <definedName name="wrn.Shared._.Costs." localSheetId="5">{"cash flow",#N/A,FALSE,"Shared Costs";"allocations",#N/A,FALSE,"Shared Costs"}</definedName>
    <definedName name="wrn.Shared._.Costs." localSheetId="8">{"cash flow",#N/A,FALSE,"Shared Costs";"allocations",#N/A,FALSE,"Shared Costs"}</definedName>
    <definedName name="wrn.Shared._.Costs." localSheetId="3" hidden="1">{"cash flow",#N/A,FALSE,"Shared Costs";"allocations",#N/A,FALSE,"Shared Costs"}</definedName>
    <definedName name="wrn.Shared._.Costs.">{"cash flow",#N/A,FALSE,"Shared Costs";"allocations",#N/A,FALSE,"Shared Costs"}</definedName>
    <definedName name="wrn.Short._.Print." hidden="1">{#N/A,#N/A,FALSE,"Cover";#N/A,#N/A,FALSE,"Stack";#N/A,#N/A,FALSE,"Cost S";#N/A,#N/A,FALSE," CF";#N/A,#N/A,FALSE,"Investor"}</definedName>
    <definedName name="wrn.Sizing._.Sheets." hidden="1">{#N/A,#N/A,TRUE,"Commercial Sizing";#N/A,#N/A,TRUE,"Cash Flow (1)";#N/A,#N/A,TRUE,"Cash Flow (2)";#N/A,#N/A,TRUE,"Refinance Test";#N/A,#N/A,TRUE,"RentRoll";#N/A,#N/A,TRUE,"TI_LC"}</definedName>
    <definedName name="wrn.SKSCS1." hidden="1">{#N/A,#N/A,FALSE,"Antony Financials";#N/A,#N/A,FALSE,"Cowboy Financials";#N/A,#N/A,FALSE,"Combined";#N/A,#N/A,FALSE,"Valuematrix";#N/A,#N/A,FALSE,"DCFAntony";#N/A,#N/A,FALSE,"DCFCowboy";#N/A,#N/A,FALSE,"DCFCombined"}</definedName>
    <definedName name="wrn.Standard._.Proforma." hidden="1">{#N/A,#N/A,FALSE,"Cover Page";#N/A,#N/A,FALSE,"Sources";#N/A,#N/A,FALSE,"Summary";#N/A,#N/A,FALSE,"Cash Flow";#N/A,#N/A,FALSE,"INVESTOR IRR";#N/A,#N/A,FALSE,"Settle - VA"}</definedName>
    <definedName name="wrn.Summary." hidden="1">{"Office Properties",#N/A,FALSE,"Consolidation";"Residential Summary",#N/A,FALSE,"Consolidation";"Retail Properties",#N/A,FALSE,"Consolidation"}</definedName>
    <definedName name="wrn.SummaryPgs." hidden="1">{#N/A,#N/A,FALSE,"CreditStat";#N/A,#N/A,FALSE,"SPbrkup";#N/A,#N/A,FALSE,"MerSPsyn";#N/A,#N/A,FALSE,"MerSPwKCsyn";#N/A,#N/A,FALSE,"MerSPwKCsyn (2)";#N/A,#N/A,FALSE,"CreditStat (2)"}</definedName>
    <definedName name="wrn.SumSchedules." hidden="1">{"MonSum 1",#N/A,FALSE,"Summary Schedules";"MonSum 2",#N/A,FALSE,"Summary Schedules";"QtrSum1",#N/A,FALSE,"Summary Schedules";"QtrSum2",#N/A,FALSE,"Summary Schedules";"AnnualSum1",#N/A,FALSE,"Summary Schedules";"annual2",#N/A,FALSE,"Summary Schedules"}</definedName>
    <definedName name="wrn.SUN1." localSheetId="4">{#N/A,#N/A,FALSE,"Assumptions";#N/A,#N/A,FALSE,"office";#N/A,#N/A,FALSE,"monthly"}</definedName>
    <definedName name="wrn.SUN1." localSheetId="2">{#N/A,#N/A,FALSE,"Assumptions";#N/A,#N/A,FALSE,"office";#N/A,#N/A,FALSE,"monthly"}</definedName>
    <definedName name="wrn.SUN1." localSheetId="1" hidden="1">{#N/A,#N/A,FALSE,"Assumptions";#N/A,#N/A,FALSE,"office";#N/A,#N/A,FALSE,"monthly"}</definedName>
    <definedName name="wrn.SUN1." localSheetId="5">{#N/A,#N/A,FALSE,"Assumptions";#N/A,#N/A,FALSE,"office";#N/A,#N/A,FALSE,"monthly"}</definedName>
    <definedName name="wrn.SUN1." localSheetId="8">{#N/A,#N/A,FALSE,"Assumptions";#N/A,#N/A,FALSE,"office";#N/A,#N/A,FALSE,"monthly"}</definedName>
    <definedName name="wrn.SUN1." localSheetId="3" hidden="1">{#N/A,#N/A,FALSE,"Assumptions";#N/A,#N/A,FALSE,"office";#N/A,#N/A,FALSE,"monthly"}</definedName>
    <definedName name="wrn.SUN1.">{#N/A,#N/A,FALSE,"Assumptions";#N/A,#N/A,FALSE,"office";#N/A,#N/A,FALSE,"monthly"}</definedName>
    <definedName name="wrn.sun2" localSheetId="4">{#N/A,#N/A,FALSE,"Assumptions";#N/A,#N/A,FALSE,"office";#N/A,#N/A,FALSE,"monthly"}</definedName>
    <definedName name="wrn.sun2" localSheetId="2">{#N/A,#N/A,FALSE,"Assumptions";#N/A,#N/A,FALSE,"office";#N/A,#N/A,FALSE,"monthly"}</definedName>
    <definedName name="wrn.sun2" localSheetId="1" hidden="1">{#N/A,#N/A,FALSE,"Assumptions";#N/A,#N/A,FALSE,"office";#N/A,#N/A,FALSE,"monthly"}</definedName>
    <definedName name="wrn.sun2" localSheetId="5">{#N/A,#N/A,FALSE,"Assumptions";#N/A,#N/A,FALSE,"office";#N/A,#N/A,FALSE,"monthly"}</definedName>
    <definedName name="wrn.sun2" localSheetId="8">{#N/A,#N/A,FALSE,"Assumptions";#N/A,#N/A,FALSE,"office";#N/A,#N/A,FALSE,"monthly"}</definedName>
    <definedName name="wrn.sun2" localSheetId="3" hidden="1">{#N/A,#N/A,FALSE,"Assumptions";#N/A,#N/A,FALSE,"office";#N/A,#N/A,FALSE,"monthly"}</definedName>
    <definedName name="wrn.sun2">{#N/A,#N/A,FALSE,"Assumptions";#N/A,#N/A,FALSE,"office";#N/A,#N/A,FALSE,"monthly"}</definedName>
    <definedName name="wrn.Supply._.Additions." localSheetId="4" hidden="1">{#N/A,#N/A,FALSE,"Supply Addn"}</definedName>
    <definedName name="wrn.Supply._.Additions." localSheetId="2" hidden="1">{#N/A,#N/A,FALSE,"Supply Addn"}</definedName>
    <definedName name="wrn.Supply._.Additions." localSheetId="1" hidden="1">{#N/A,#N/A,FALSE,"Supply Addn"}</definedName>
    <definedName name="wrn.Supply._.Additions." localSheetId="5" hidden="1">{#N/A,#N/A,FALSE,"Supply Addn"}</definedName>
    <definedName name="wrn.Supply._.Additions." localSheetId="8" hidden="1">{#N/A,#N/A,FALSE,"Supply Addn"}</definedName>
    <definedName name="wrn.Supply._.Additions." localSheetId="3" hidden="1">{#N/A,#N/A,FALSE,"Supply Addn"}</definedName>
    <definedName name="wrn.Supply._.Additions." hidden="1">{#N/A,#N/A,FALSE,"Supply Addn"}</definedName>
    <definedName name="wrn.Syndication." localSheetId="4">{#N/A,#N/A,FALSE,"Assumptions";"Section 1",#N/A,FALSE,"SYNDICATION MODEL";"Section 2",#N/A,FALSE,"SYNDICATION MODEL";#N/A,#N/A,FALSE,"Input Sheet";#N/A,#N/A,FALSE,"SYNDICATION ROE"}</definedName>
    <definedName name="wrn.Syndication." localSheetId="2">{#N/A,#N/A,FALSE,"Assumptions";"Section 1",#N/A,FALSE,"SYNDICATION MODEL";"Section 2",#N/A,FALSE,"SYNDICATION MODEL";#N/A,#N/A,FALSE,"Input Sheet";#N/A,#N/A,FALSE,"SYNDICATION ROE"}</definedName>
    <definedName name="wrn.Syndication." localSheetId="1" hidden="1">{#N/A,#N/A,FALSE,"Assumptions";"Section 1",#N/A,FALSE,"SYNDICATION MODEL";"Section 2",#N/A,FALSE,"SYNDICATION MODEL";#N/A,#N/A,FALSE,"Input Sheet";#N/A,#N/A,FALSE,"SYNDICATION ROE"}</definedName>
    <definedName name="wrn.Syndication." localSheetId="5">{#N/A,#N/A,FALSE,"Assumptions";"Section 1",#N/A,FALSE,"SYNDICATION MODEL";"Section 2",#N/A,FALSE,"SYNDICATION MODEL";#N/A,#N/A,FALSE,"Input Sheet";#N/A,#N/A,FALSE,"SYNDICATION ROE"}</definedName>
    <definedName name="wrn.Syndication." localSheetId="8">{#N/A,#N/A,FALSE,"Assumptions";"Section 1",#N/A,FALSE,"SYNDICATION MODEL";"Section 2",#N/A,FALSE,"SYNDICATION MODEL";#N/A,#N/A,FALSE,"Input Sheet";#N/A,#N/A,FALSE,"SYNDICATION ROE"}</definedName>
    <definedName name="wrn.Syndication." localSheetId="3" hidden="1">{#N/A,#N/A,FALSE,"Assumptions";"Section 1",#N/A,FALSE,"SYNDICATION MODEL";"Section 2",#N/A,FALSE,"SYNDICATION MODEL";#N/A,#N/A,FALSE,"Input Sheet";#N/A,#N/A,FALSE,"SYNDICATION ROE"}</definedName>
    <definedName name="wrn.Syndication.">{#N/A,#N/A,FALSE,"Assumptions";"Section 1",#N/A,FALSE,"SYNDICATION MODEL";"Section 2",#N/A,FALSE,"SYNDICATION MODEL";#N/A,#N/A,FALSE,"Input Sheet";#N/A,#N/A,FALSE,"SYNDICATION ROE"}</definedName>
    <definedName name="wrn.tabb." hidden="1">{"p1",#N/A,FALSE,"Sheet1";"p2",#N/A,FALSE,"Sheet1"}</definedName>
    <definedName name="wrn.tablA." hidden="1">{"t1",#N/A,FALSE,"Sheet1";"t2",#N/A,FALSE,"Sheet1";"t3",#N/A,FALSE,"Sheet1";"t4",#N/A,FALSE,"Sheet1"}</definedName>
    <definedName name="wrn.TANASBOURNE._.ONLY." localSheetId="4" hidden="1">{#N/A,#N/A,FALSE,"Expense Comparison"}</definedName>
    <definedName name="wrn.TANASBOURNE._.ONLY." localSheetId="2" hidden="1">{#N/A,#N/A,FALSE,"Expense Comparison"}</definedName>
    <definedName name="wrn.TANASBOURNE._.ONLY." localSheetId="1" hidden="1">{#N/A,#N/A,FALSE,"Expense Comparison"}</definedName>
    <definedName name="wrn.TANASBOURNE._.ONLY." localSheetId="5" hidden="1">{#N/A,#N/A,FALSE,"Expense Comparison"}</definedName>
    <definedName name="wrn.TANASBOURNE._.ONLY." localSheetId="8" hidden="1">{#N/A,#N/A,FALSE,"Expense Comparison"}</definedName>
    <definedName name="wrn.TANASBOURNE._.ONLY." localSheetId="3" hidden="1">{#N/A,#N/A,FALSE,"Expense Comparison"}</definedName>
    <definedName name="wrn.TANASBOURNE._.ONLY." hidden="1">{#N/A,#N/A,FALSE,"Expense Comparison"}</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localSheetId="4" hidden="1">{#N/A,#N/A,FALSE,"SCHEDULE G"}</definedName>
    <definedName name="wrn.TEST." localSheetId="2" hidden="1">{#N/A,#N/A,FALSE,"SCHEDULE G"}</definedName>
    <definedName name="wrn.TEST." localSheetId="1" hidden="1">{#N/A,#N/A,FALSE,"SCHEDULE G"}</definedName>
    <definedName name="wrn.TEST." localSheetId="5" hidden="1">{#N/A,#N/A,FALSE,"SCHEDULE G"}</definedName>
    <definedName name="wrn.TEST." localSheetId="8" hidden="1">{#N/A,#N/A,FALSE,"SCHEDULE G"}</definedName>
    <definedName name="wrn.TEST." localSheetId="3" hidden="1">{#N/A,#N/A,FALSE,"SCHEDULE G"}</definedName>
    <definedName name="wrn.TEST." hidden="1">{#N/A,#N/A,FALSE,"SCHEDULE G"}</definedName>
    <definedName name="wrn.Things." localSheetId="4">{#N/A,#N/A,FALSE,"Bank Rec Cover Sheet";#N/A,#N/A,FALSE,"Bank Rec Details"}</definedName>
    <definedName name="wrn.Things." localSheetId="2">{#N/A,#N/A,FALSE,"Bank Rec Cover Sheet";#N/A,#N/A,FALSE,"Bank Rec Details"}</definedName>
    <definedName name="wrn.Things." localSheetId="1">{#N/A,#N/A,FALSE,"Bank Rec Cover Sheet";#N/A,#N/A,FALSE,"Bank Rec Details"}</definedName>
    <definedName name="wrn.Things." localSheetId="5">{#N/A,#N/A,FALSE,"Bank Rec Cover Sheet";#N/A,#N/A,FALSE,"Bank Rec Details"}</definedName>
    <definedName name="wrn.Things." localSheetId="8">{#N/A,#N/A,FALSE,"Bank Rec Cover Sheet";#N/A,#N/A,FALSE,"Bank Rec Details"}</definedName>
    <definedName name="wrn.Things." localSheetId="3">{#N/A,#N/A,FALSE,"Bank Rec Cover Sheet";#N/A,#N/A,FALSE,"Bank Rec Details"}</definedName>
    <definedName name="wrn.Things.">{#N/A,#N/A,FALSE,"Bank Rec Cover Sheet";#N/A,#N/A,FALSE,"Bank Rec Details"}</definedName>
    <definedName name="wrn.Things._1" localSheetId="4">{#N/A,#N/A,FALSE,"Bank Rec Cover Sheet";#N/A,#N/A,FALSE,"Bank Rec Details"}</definedName>
    <definedName name="wrn.Things._1" localSheetId="2">{#N/A,#N/A,FALSE,"Bank Rec Cover Sheet";#N/A,#N/A,FALSE,"Bank Rec Details"}</definedName>
    <definedName name="wrn.Things._1" localSheetId="1">{#N/A,#N/A,FALSE,"Bank Rec Cover Sheet";#N/A,#N/A,FALSE,"Bank Rec Details"}</definedName>
    <definedName name="wrn.Things._1" localSheetId="5">{#N/A,#N/A,FALSE,"Bank Rec Cover Sheet";#N/A,#N/A,FALSE,"Bank Rec Details"}</definedName>
    <definedName name="wrn.Things._1" localSheetId="8">{#N/A,#N/A,FALSE,"Bank Rec Cover Sheet";#N/A,#N/A,FALSE,"Bank Rec Details"}</definedName>
    <definedName name="wrn.Things._1" localSheetId="3">{#N/A,#N/A,FALSE,"Bank Rec Cover Sheet";#N/A,#N/A,FALSE,"Bank Rec Details"}</definedName>
    <definedName name="wrn.Things._1">{#N/A,#N/A,FALSE,"Bank Rec Cover Sheet";#N/A,#N/A,FALSE,"Bank Rec Details"}</definedName>
    <definedName name="wrn.Things._2" localSheetId="4">{#N/A,#N/A,FALSE,"Bank Rec Cover Sheet";#N/A,#N/A,FALSE,"Bank Rec Details"}</definedName>
    <definedName name="wrn.Things._2" localSheetId="2">{#N/A,#N/A,FALSE,"Bank Rec Cover Sheet";#N/A,#N/A,FALSE,"Bank Rec Details"}</definedName>
    <definedName name="wrn.Things._2" localSheetId="1">{#N/A,#N/A,FALSE,"Bank Rec Cover Sheet";#N/A,#N/A,FALSE,"Bank Rec Details"}</definedName>
    <definedName name="wrn.Things._2" localSheetId="5">{#N/A,#N/A,FALSE,"Bank Rec Cover Sheet";#N/A,#N/A,FALSE,"Bank Rec Details"}</definedName>
    <definedName name="wrn.Things._2" localSheetId="8">{#N/A,#N/A,FALSE,"Bank Rec Cover Sheet";#N/A,#N/A,FALSE,"Bank Rec Details"}</definedName>
    <definedName name="wrn.Things._2" localSheetId="3">{#N/A,#N/A,FALSE,"Bank Rec Cover Sheet";#N/A,#N/A,FALSE,"Bank Rec Details"}</definedName>
    <definedName name="wrn.Things._2">{#N/A,#N/A,FALSE,"Bank Rec Cover Sheet";#N/A,#N/A,FALSE,"Bank Rec Details"}</definedName>
    <definedName name="wrn.Things._3" localSheetId="4">{#N/A,#N/A,FALSE,"Bank Rec Cover Sheet";#N/A,#N/A,FALSE,"Bank Rec Details"}</definedName>
    <definedName name="wrn.Things._3" localSheetId="2">{#N/A,#N/A,FALSE,"Bank Rec Cover Sheet";#N/A,#N/A,FALSE,"Bank Rec Details"}</definedName>
    <definedName name="wrn.Things._3" localSheetId="1">{#N/A,#N/A,FALSE,"Bank Rec Cover Sheet";#N/A,#N/A,FALSE,"Bank Rec Details"}</definedName>
    <definedName name="wrn.Things._3" localSheetId="5">{#N/A,#N/A,FALSE,"Bank Rec Cover Sheet";#N/A,#N/A,FALSE,"Bank Rec Details"}</definedName>
    <definedName name="wrn.Things._3" localSheetId="8">{#N/A,#N/A,FALSE,"Bank Rec Cover Sheet";#N/A,#N/A,FALSE,"Bank Rec Details"}</definedName>
    <definedName name="wrn.Things._3" localSheetId="3">{#N/A,#N/A,FALSE,"Bank Rec Cover Sheet";#N/A,#N/A,FALSE,"Bank Rec Details"}</definedName>
    <definedName name="wrn.Things._3">{#N/A,#N/A,FALSE,"Bank Rec Cover Sheet";#N/A,#N/A,FALSE,"Bank Rec Details"}</definedName>
    <definedName name="wrn.tmtest." hidden="1">{#N/A,#N/A,FALSE,"Summary";#N/A,#N/A,FALSE,"Assumptions";#N/A,#N/A,FALSE,"Lease-up";#N/A,#N/A,FALSE,"DrawSchedule"}</definedName>
    <definedName name="wrn.TOCHTERMAN." localSheetId="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2"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1"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5"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8"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localSheetId="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p._.REITS." hidden="1">{#N/A,#N/A,FALSE,"REIT ";#N/A,#N/A,FALSE,"Equity Office";#N/A,#N/A,FALSE,"Boston Properties";#N/A,#N/A,FALSE,"Crescent RE";#N/A,#N/A,FALSE,"HRPT";#N/A,#N/A,FALSE,"Vornado";#N/A,#N/A,FALSE,"Cornerstone"}</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UPLIFTS." hidden="1">{#N/A,#N/A,FALSE,"Sheet1"}</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ation." localSheetId="4" hidden="1">{"Page1",#N/A,FALSE,"7979";"Page2",#N/A,FALSE,"7979";"Page3",#N/A,FALSE,"7979"}</definedName>
    <definedName name="wrn.valuation." localSheetId="2" hidden="1">{"Page1",#N/A,FALSE,"7979";"Page2",#N/A,FALSE,"7979";"Page3",#N/A,FALSE,"7979"}</definedName>
    <definedName name="wrn.valuation." localSheetId="1" hidden="1">{"Page1",#N/A,FALSE,"7979";"Page2",#N/A,FALSE,"7979";"Page3",#N/A,FALSE,"7979"}</definedName>
    <definedName name="wrn.valuation." localSheetId="5" hidden="1">{"Page1",#N/A,FALSE,"7979";"Page2",#N/A,FALSE,"7979";"Page3",#N/A,FALSE,"7979"}</definedName>
    <definedName name="wrn.valuation." localSheetId="8" hidden="1">{"Page1",#N/A,FALSE,"7979";"Page2",#N/A,FALSE,"7979";"Page3",#N/A,FALSE,"7979"}</definedName>
    <definedName name="wrn.valuation." localSheetId="3" hidden="1">{"Page1",#N/A,FALSE,"7979";"Page2",#N/A,FALSE,"7979";"Page3",#N/A,FALSE,"7979"}</definedName>
    <definedName name="wrn.valuation." hidden="1">{"Page1",#N/A,FALSE,"7979";"Page2",#N/A,FALSE,"7979";"Page3",#N/A,FALSE,"7979"}</definedName>
    <definedName name="wrn.Value." hidden="1">{#N/A,#N/A,FALSE,"Cashflow Analysis";#N/A,#N/A,FALSE,"Sensitivity Analysis";#N/A,#N/A,FALSE,"PV";#N/A,#N/A,FALSE,"Pro Forma"}</definedName>
    <definedName name="wrn.Value.2" hidden="1">{#N/A,#N/A,FALSE,"Cashflow Analysis";#N/A,#N/A,FALSE,"Sensitivity Analysis";#N/A,#N/A,FALSE,"PV";#N/A,#N/A,FALSE,"Pro Forma"}</definedName>
    <definedName name="wrn.WCC." hidden="1">{#N/A,#N/A,FALSE,"9Pricing Matrix";#N/A,#N/A,FALSE,"3Cash Flow";#N/A,#N/A,FALSE,"5Residual";#N/A,#N/A,FALSE,"8Residual Sensitivity";#N/A,#N/A,FALSE,"10Vacancy Matrix";#N/A,#N/A,FALSE,"11Expiration Schedule";#N/A,#N/A,FALSE,"12Lease-up Schedule";#N/A,#N/A,FALSE,"I&amp;E";#N/A,#N/A,FALSE,"Tax_Analysis"}</definedName>
    <definedName name="wrn.XL._.DTR." hidden="1">{#N/A,#N/A,TRUE,"XL Cash Flow";#N/A,#N/A,TRUE,"Prop Valuation";#N/A,#N/A,TRUE,"Equity";#N/A,#N/A,TRUE,"Modeling assumptions";#N/A,#N/A,TRUE,"NER Model";#N/A,#N/A,TRUE,"Lease Exp";#N/A,#N/A,TRUE,"Inc &amp; Exp";#N/A,#N/A,TRUE,"Formatted - roll";#N/A,#N/A,TRUE,"Debt Model";#N/A,#N/A,TRUE,"Debt-Moody";#N/A,#N/A,TRUE,"Debt"}</definedName>
    <definedName name="wrn.XL.DTR.0" hidden="1">{#N/A,#N/A,TRUE,"XL Cash Flow";#N/A,#N/A,TRUE,"Prop Valuation";#N/A,#N/A,TRUE,"Equity";#N/A,#N/A,TRUE,"Modeling assumptions";#N/A,#N/A,TRUE,"NER Model";#N/A,#N/A,TRUE,"Lease Exp";#N/A,#N/A,TRUE,"Inc &amp; Exp";#N/A,#N/A,TRUE,"Formatted - roll";#N/A,#N/A,TRUE,"Debt Model";#N/A,#N/A,TRUE,"Debt-Moody";#N/A,#N/A,TRUE,"Debt"}</definedName>
    <definedName name="wrn.Yield._.Graph." hidden="1">{#N/A,#N/A,FALSE,"Yield Graph"}</definedName>
    <definedName name="wrn.Yield._.Graph._.plus._.Input." hidden="1">{#N/A,#N/A,FALSE,"Yield Graph";#N/A,#N/A,FALSE,"Rent Roll";#N/A,#N/A,FALSE,"OE Yr1";#N/A,#N/A,FALSE,"Repl.Cst.+Ins."}</definedName>
    <definedName name="wrn.ZML123._.Financial._.Summaries." hidden="1">{#N/A,#N/A,FALSE,"ZM3 FinSummary";#N/A,#N/A,FALSE,"ZM2 FinSummary";#N/A,#N/A,FALSE,"ZM1 FinSummary"}</definedName>
    <definedName name="wrn2001._.Budget._.by._.Qtr.0_2" hidden="1">{"Qtr2001",#N/A,FALSE,"Model";"Office/Retail 2001 by Qtr",#N/A,FALSE,"Formatted Office-Retail Page";"Other Income 2001 by Qtr",#N/A,FALSE,"Other";"Resort/Hotel 2001 by Qtr",#N/A,FALSE,"Hotel";"LDV 2001 by Qtr",#N/A,FALSE,"LDV";"Disp 2001 by Qtr",#N/A,FALSE,"Dispositions"}</definedName>
    <definedName name="wrncond2" hidden="1">{#N/A,#N/A,FALSE,"Unconsolidated Debt"}</definedName>
    <definedName name="wrncontirb2" hidden="1">{#N/A,#N/A,FALSE,"Contribution Analysis"}</definedName>
    <definedName name="wrncontrib1_2" hidden="1">{#N/A,#N/A,FALSE,"Contribution Analysis"}</definedName>
    <definedName name="wrncsc_2" hidden="1">{"orixcsc",#N/A,FALSE,"ORIX CSC";"orixcsc2",#N/A,FALSE,"ORIX CSC"}</definedName>
    <definedName name="wrng" localSheetId="4">{"Output-BaseYear",#N/A,FALSE,"Output"}</definedName>
    <definedName name="wrng" localSheetId="2">{"Output-BaseYear",#N/A,FALSE,"Output"}</definedName>
    <definedName name="wrng" localSheetId="1" hidden="1">{"Output-BaseYear",#N/A,FALSE,"Output"}</definedName>
    <definedName name="wrng" localSheetId="5">{"Output-BaseYear",#N/A,FALSE,"Output"}</definedName>
    <definedName name="wrng" localSheetId="8">{"Output-BaseYear",#N/A,FALSE,"Output"}</definedName>
    <definedName name="wrng" localSheetId="3" hidden="1">{"Output-BaseYear",#N/A,FALSE,"Output"}</definedName>
    <definedName name="wrng">{"Output-BaseYear",#N/A,FALSE,"Output"}</definedName>
    <definedName name="wrnh" localSheetId="4">{"Output-All",#N/A,FALSE,"Output"}</definedName>
    <definedName name="wrnh" localSheetId="2">{"Output-All",#N/A,FALSE,"Output"}</definedName>
    <definedName name="wrnh" localSheetId="1" hidden="1">{"Output-All",#N/A,FALSE,"Output"}</definedName>
    <definedName name="wrnh" localSheetId="5">{"Output-All",#N/A,FALSE,"Output"}</definedName>
    <definedName name="wrnh" localSheetId="8">{"Output-All",#N/A,FALSE,"Output"}</definedName>
    <definedName name="wrnh" localSheetId="3" hidden="1">{"Output-All",#N/A,FALSE,"Output"}</definedName>
    <definedName name="wrnh">{"Output-All",#N/A,FALSE,"Output"}</definedName>
    <definedName name="wvu.allocations." localSheetId="4">{TRUE,TRUE,-1.41610738255034,-14.9463087248322,497.718120805369,308.295302013423,FALSE,TRUE,TRUE,TRUE,0,1,1,1,40,3,2.68,4,TRUE,TRUE,3,TRUE,1,FALSE,100,"Swvu.allocations.","ACwvu.allocations.",#N/A,FALSE,FALSE,0.5,0.5,0.5,0.5,1,"","&amp;L&amp;F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2">{TRUE,TRUE,-1.41610738255034,-14.9463087248322,497.718120805369,308.295302013423,FALSE,TRUE,TRUE,TRUE,0,1,1,1,40,3,2.68,4,TRUE,TRUE,3,TRUE,1,FALSE,100,"Swvu.allocations.","ACwvu.allocations.",#N/A,FALSE,FALSE,0.5,0.5,0.5,0.5,1,"","&amp;L&amp;F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1"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5">{TRUE,TRUE,-1.41610738255034,-14.9463087248322,497.718120805369,308.295302013423,FALSE,TRUE,TRUE,TRUE,0,1,1,1,40,3,2.68,4,TRUE,TRUE,3,TRUE,1,FALSE,100,"Swvu.allocations.","ACwvu.allocations.",#N/A,FALSE,FALSE,0.5,0.5,0.5,0.5,1,"","&amp;L&amp;F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8">{TRUE,TRUE,-1.41610738255034,-14.9463087248322,497.718120805369,308.295302013423,FALSE,TRUE,TRUE,TRUE,0,1,1,1,40,3,2.68,4,TRUE,TRUE,3,TRUE,1,FALSE,100,"Swvu.allocations.","ACwvu.allocations.",#N/A,FALSE,FALSE,0.5,0.5,0.5,0.5,1,"","&amp;L&amp;F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 localSheetId="3"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llocations.">{TRUE,TRUE,-1.41610738255034,-14.9463087248322,497.718120805369,308.295302013423,FALSE,TRUE,TRUE,TRUE,0,1,1,1,40,3,2.68,4,TRUE,TRUE,3,TRUE,1,FALSE,100,"Swvu.allocations.","ACwvu.allocations.",#N/A,FALSE,FALSE,0.5,0.5,0.5,0.5,1,"","&amp;L&amp;F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4">{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2">{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1"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5">{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8">{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 localSheetId="3"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4">{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2">{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1"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5">{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8">{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 localSheetId="3"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nnual._.hotel.">{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hidden="1">{FALSE,FALSE,1.75,1,600,351,FALSE,FALSE,TRUE,TRUE,0,30,#N/A,41,#N/A,9.57777777777778,18.9166666666667,1,FALSE,FALSE,1,TRUE,1,FALSE,100,"Swvu.As._.Is._.Value.","ACwvu.As._.Is._.Value.",1,FALSE,FALSE,1,1,1,1,1,"","",FALSE,FALSE,FALSE,FALSE,1,#N/A,1,1,FALSE,FALSE,FALSE,FALSE,FALSE,FALSE}</definedName>
    <definedName name="wvu.bottom._.line." localSheetId="4">{TRUE,TRUE,-1.41610738255034,-14.9463087248322,497.718120805369,308.295302013423,FALSE,TRUE,TRUE,TRUE,0,1,1,1,280,1,2.17391304347826,4,TRUE,TRUE,3,TRUE,1,FALSE,100,"Swvu.bottom._.line.","ACwvu.bottom._.line.",#N/A,FALSE,FALSE,0.5,0.5,0.5,0.5,2,"","&amp;L&amp;8&amp;F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2">{TRUE,TRUE,-1.41610738255034,-14.9463087248322,497.718120805369,308.295302013423,FALSE,TRUE,TRUE,TRUE,0,1,1,1,280,1,2.17391304347826,4,TRUE,TRUE,3,TRUE,1,FALSE,100,"Swvu.bottom._.line.","ACwvu.bottom._.line.",#N/A,FALSE,FALSE,0.5,0.5,0.5,0.5,2,"","&amp;L&amp;8&amp;F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1"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5">{TRUE,TRUE,-1.41610738255034,-14.9463087248322,497.718120805369,308.295302013423,FALSE,TRUE,TRUE,TRUE,0,1,1,1,280,1,2.17391304347826,4,TRUE,TRUE,3,TRUE,1,FALSE,100,"Swvu.bottom._.line.","ACwvu.bottom._.line.",#N/A,FALSE,FALSE,0.5,0.5,0.5,0.5,2,"","&amp;L&amp;8&amp;F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8">{TRUE,TRUE,-1.41610738255034,-14.9463087248322,497.718120805369,308.295302013423,FALSE,TRUE,TRUE,TRUE,0,1,1,1,280,1,2.17391304347826,4,TRUE,TRUE,3,TRUE,1,FALSE,100,"Swvu.bottom._.line.","ACwvu.bottom._.line.",#N/A,FALSE,FALSE,0.5,0.5,0.5,0.5,2,"","&amp;L&amp;8&amp;F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 localSheetId="3"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bottom._.line.">{TRUE,TRUE,-1.41610738255034,-14.9463087248322,497.718120805369,308.295302013423,FALSE,TRUE,TRUE,TRUE,0,1,1,1,280,1,2.17391304347826,4,TRUE,TRUE,3,TRUE,1,FALSE,100,"Swvu.bottom._.line.","ACwvu.bottom._.line.",#N/A,FALSE,FALSE,0.5,0.5,0.5,0.5,2,"","&amp;L&amp;8&amp;F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sh._.flow." localSheetId="4">{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2">{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1"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5">{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8">{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 localSheetId="3"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ash._.flow.">{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4">{TRUE,TRUE,-1.41610738255034,-14.9463087248322,497.718120805369,308.295302013423,FALSE,TRUE,TRUE,TRUE,0,1,3,1,170,1,1.07142857142857,3,TRUE,TRUE,3,TRUE,1,FALSE,100,"Swvu.combo.","ACwvu.combo.",#N/A,FALSE,FALSE,0.5,0.5,0.5,0.5,2,"","&amp;L&amp;8&amp;F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2">{TRUE,TRUE,-1.41610738255034,-14.9463087248322,497.718120805369,308.295302013423,FALSE,TRUE,TRUE,TRUE,0,1,3,1,170,1,1.07142857142857,3,TRUE,TRUE,3,TRUE,1,FALSE,100,"Swvu.combo.","ACwvu.combo.",#N/A,FALSE,FALSE,0.5,0.5,0.5,0.5,2,"","&amp;L&amp;8&amp;F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1"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5">{TRUE,TRUE,-1.41610738255034,-14.9463087248322,497.718120805369,308.295302013423,FALSE,TRUE,TRUE,TRUE,0,1,3,1,170,1,1.07142857142857,3,TRUE,TRUE,3,TRUE,1,FALSE,100,"Swvu.combo.","ACwvu.combo.",#N/A,FALSE,FALSE,0.5,0.5,0.5,0.5,2,"","&amp;L&amp;8&amp;F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8">{TRUE,TRUE,-1.41610738255034,-14.9463087248322,497.718120805369,308.295302013423,FALSE,TRUE,TRUE,TRUE,0,1,3,1,170,1,1.07142857142857,3,TRUE,TRUE,3,TRUE,1,FALSE,100,"Swvu.combo.","ACwvu.combo.",#N/A,FALSE,FALSE,0.5,0.5,0.5,0.5,2,"","&amp;L&amp;8&amp;F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 localSheetId="3"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combo.">{TRUE,TRUE,-1.41610738255034,-14.9463087248322,497.718120805369,308.295302013423,FALSE,TRUE,TRUE,TRUE,0,1,3,1,170,1,1.07142857142857,3,TRUE,TRUE,3,TRUE,1,FALSE,100,"Swvu.combo.","ACwvu.combo.",#N/A,FALSE,FALSE,0.5,0.5,0.5,0.5,2,"","&amp;L&amp;8&amp;F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full." localSheetId="4">{TRUE,TRUE,-1.41610738255034,-14.9463087248322,497.718120805369,308.295302013423,FALSE,TRUE,TRUE,TRUE,0,1,#N/A,1,1,8.41904761904762,2.4,3,FALSE,TRUE,3,TRUE,1,FALSE,100,"Swvu.full.","ACwvu.full.",#N/A,FALSE,FALSE,0.5,0.5,0.5,0.5,2,"","&amp;L&amp;F&amp;R&amp;D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2">{TRUE,TRUE,-1.41610738255034,-14.9463087248322,497.718120805369,308.295302013423,FALSE,TRUE,TRUE,TRUE,0,1,#N/A,1,1,8.41904761904762,2.4,3,FALSE,TRUE,3,TRUE,1,FALSE,100,"Swvu.full.","ACwvu.full.",#N/A,FALSE,FALSE,0.5,0.5,0.5,0.5,2,"","&amp;L&amp;F&amp;R&amp;D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1"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5">{TRUE,TRUE,-1.41610738255034,-14.9463087248322,497.718120805369,308.295302013423,FALSE,TRUE,TRUE,TRUE,0,1,#N/A,1,1,8.41904761904762,2.4,3,FALSE,TRUE,3,TRUE,1,FALSE,100,"Swvu.full.","ACwvu.full.",#N/A,FALSE,FALSE,0.5,0.5,0.5,0.5,2,"","&amp;L&amp;F&amp;R&amp;D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8">{TRUE,TRUE,-1.41610738255034,-14.9463087248322,497.718120805369,308.295302013423,FALSE,TRUE,TRUE,TRUE,0,1,#N/A,1,1,8.41904761904762,2.4,3,FALSE,TRUE,3,TRUE,1,FALSE,100,"Swvu.full.","ACwvu.full.",#N/A,FALSE,FALSE,0.5,0.5,0.5,0.5,2,"","&amp;L&amp;F&amp;R&amp;D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 localSheetId="3"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full.">{TRUE,TRUE,-1.41610738255034,-14.9463087248322,497.718120805369,308.295302013423,FALSE,TRUE,TRUE,TRUE,0,1,#N/A,1,1,8.41904761904762,2.4,3,FALSE,TRUE,3,TRUE,1,FALSE,100,"Swvu.full.","ACwvu.full.",#N/A,FALSE,FALSE,0.5,0.5,0.5,0.5,2,"","&amp;L&amp;F&amp;R&amp;D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offsite."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w">#REF!</definedName>
    <definedName name="ww\">#REF!</definedName>
    <definedName name="Wyoming">#REF!</definedName>
    <definedName name="x" localSheetId="4" hidden="1">{"'AssumptionsHTML'!$B$9:$E$357","'SummationHTML'!$A$4:$J$93","'Difference'!$A$11:$K$101","'DifferenceFTE'!$A$11:$K$101","'Detail1'!$A$11:$I$97","'Detail2'!$A$11:$J$97","'Detail3'!$A$11:$J$97","'Categorical1'!$A$11:$L$97"}</definedName>
    <definedName name="x" localSheetId="2" hidden="1">{"'AssumptionsHTML'!$B$9:$E$357","'SummationHTML'!$A$4:$J$93","'Difference'!$A$11:$K$101","'DifferenceFTE'!$A$11:$K$101","'Detail1'!$A$11:$I$97","'Detail2'!$A$11:$J$97","'Detail3'!$A$11:$J$97","'Categorical1'!$A$11:$L$97"}</definedName>
    <definedName name="x" localSheetId="1" hidden="1">{"'AssumptionsHTML'!$B$9:$E$357","'SummationHTML'!$A$4:$J$93","'Difference'!$A$11:$K$101","'DifferenceFTE'!$A$11:$K$101","'Detail1'!$A$11:$I$97","'Detail2'!$A$11:$J$97","'Detail3'!$A$11:$J$97","'Categorical1'!$A$11:$L$97"}</definedName>
    <definedName name="x" localSheetId="5" hidden="1">{"'AssumptionsHTML'!$B$9:$E$357","'SummationHTML'!$A$4:$J$93","'Difference'!$A$11:$K$101","'DifferenceFTE'!$A$11:$K$101","'Detail1'!$A$11:$I$97","'Detail2'!$A$11:$J$97","'Detail3'!$A$11:$J$97","'Categorical1'!$A$11:$L$97"}</definedName>
    <definedName name="x" localSheetId="8" hidden="1">{"'AssumptionsHTML'!$B$9:$E$357","'SummationHTML'!$A$4:$J$93","'Difference'!$A$11:$K$101","'DifferenceFTE'!$A$11:$K$101","'Detail1'!$A$11:$I$97","'Detail2'!$A$11:$J$97","'Detail3'!$A$11:$J$97","'Categorical1'!$A$11:$L$97"}</definedName>
    <definedName name="x" localSheetId="3" hidden="1">{"'AssumptionsHTML'!$B$9:$E$357","'SummationHTML'!$A$4:$J$93","'Difference'!$A$11:$K$101","'DifferenceFTE'!$A$11:$K$101","'Detail1'!$A$11:$I$97","'Detail2'!$A$11:$J$97","'Detail3'!$A$11:$J$97","'Categorical1'!$A$11:$L$97"}</definedName>
    <definedName name="x" hidden="1">{"'AssumptionsHTML'!$B$9:$E$357","'SummationHTML'!$A$4:$J$93","'Difference'!$A$11:$K$101","'DifferenceFTE'!$A$11:$K$101","'Detail1'!$A$11:$I$97","'Detail2'!$A$11:$J$97","'Detail3'!$A$11:$J$97","'Categorical1'!$A$11:$L$97"}</definedName>
    <definedName name="x_AuditYr">#REF!</definedName>
    <definedName name="X_Enrollment">'[3]5 YR Enrollment'!$C$7:$M$60</definedName>
    <definedName name="X_Enrollment_April">'[3]Enrollment '!$P$25</definedName>
    <definedName name="X_Enrollment_August">'[3]Enrollment '!$T$25</definedName>
    <definedName name="X_Enrollment_CB">[3]Enrollment!$J$26</definedName>
    <definedName name="X_Enrollment_CB_Mo.">'[3]Enrollment '!$G$25</definedName>
    <definedName name="X_Enrollment_December">'[3]Enrollment '!$L$25</definedName>
    <definedName name="X_Enrollment_February">'[3]Enrollment '!$N$25</definedName>
    <definedName name="X_Enrollment_January">'[3]Enrollment '!$M$25</definedName>
    <definedName name="X_Enrollment_July">'[3]Enrollment '!$S$25</definedName>
    <definedName name="X_Enrollment_June">'[3]Enrollment '!$R$25</definedName>
    <definedName name="X_Enrollment_March">'[3]Enrollment '!$O$25</definedName>
    <definedName name="X_Enrollment_May">'[3]Enrollment '!$Q$25</definedName>
    <definedName name="X_Enrollment_November">'[3]Enrollment '!$K$25</definedName>
    <definedName name="X_Enrollment_OB">[3]Enrollment!$I$26</definedName>
    <definedName name="X_Enrollment_OB_Mo.">'[3]Enrollment '!$F$25</definedName>
    <definedName name="X_Enrollment_October">'[3]Enrollment '!$J$25</definedName>
    <definedName name="X_Enrollment_PY">[3]Enrollment!$D$26</definedName>
    <definedName name="X_Enrollment_PY_Mo.">'[3]Enrollment '!$D$25</definedName>
    <definedName name="X_Enrollment_Q1">[3]Enrollment!$L$26</definedName>
    <definedName name="X_Enrollment_Q2">[3]Enrollment!$M$26</definedName>
    <definedName name="X_Enrollment_Q3">[3]Enrollment!$N$26</definedName>
    <definedName name="X_Enrollment_Q4">[3]Enrollment!$O$26</definedName>
    <definedName name="X_Enrollment_September">'[3]Enrollment '!$I$25</definedName>
    <definedName name="X_PositionsCategories">OFFSET(#REF!,0,0,COUNTA(#REF!)-1,1)</definedName>
    <definedName name="x_PriorYr">#REF!</definedName>
    <definedName name="x\">#REF!</definedName>
    <definedName name="X14X196">#REF!</definedName>
    <definedName name="xc">#REF!</definedName>
    <definedName name="xcfghjnhfj" hidden="1">{"CF",#N/A,FALSE,"Cash Flow";"RET",#N/A,FALSE,"Returns";"NPV",#N/A,FALSE,"Values";"ASMPT",#N/A,FALSE,"Assumptions"}</definedName>
    <definedName name="xfgnxfgn" hidden="1">{"CF",#N/A,FALSE,"Cash Flow";"RET",#N/A,FALSE,"Returns";"NPV",#N/A,FALSE,"Values";"ASMPT",#N/A,FALSE,"Assumptions"}</definedName>
    <definedName name="XLSIMDATA" hidden="1">{"Data","Sheet1!$E$3:$E$555","Box to Budget","True","False","False"}</definedName>
    <definedName name="XLSIMSIM" hidden="1">{"Sim",5,"ROA","'FF Timeline'!$C$2545","Total Revolver Draw","'Financing'!$D$19","Revolver Not Paid Down","'Financing'!$B$30","TR_PC","'FF Slate'!$AG$101","TR_TC","'FF Slate'!$AG$104","2","3","2,000","1"}</definedName>
    <definedName name="XREF">#REF!</definedName>
    <definedName name="XREF_COLUMN_1" hidden="1">#REF!</definedName>
    <definedName name="XRefActiveRow" hidden="1">#REF!</definedName>
    <definedName name="XRefColumnsCount" hidden="1">1</definedName>
    <definedName name="XRefCopy1"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RangeCount" hidden="1">5</definedName>
    <definedName name="Xwalk">#REF!</definedName>
    <definedName name="xx" localSheetId="4" hidden="1">{#N/A,#N/A,FALSE,"Summation";#N/A,#N/A,FALSE,"BSA";#N/A,#N/A,FALSE,"Detail1";#N/A,#N/A,FALSE,"Detail2";#N/A,#N/A,FALSE,"Detail3";#N/A,#N/A,FALSE,"WFTE_Summary";#N/A,#N/A,FALSE,"Funded_WFTE";#N/A,#N/A,FALSE,"PYADJ96"}</definedName>
    <definedName name="xx" localSheetId="2" hidden="1">{#N/A,#N/A,FALSE,"Summation";#N/A,#N/A,FALSE,"BSA";#N/A,#N/A,FALSE,"Detail1";#N/A,#N/A,FALSE,"Detail2";#N/A,#N/A,FALSE,"Detail3";#N/A,#N/A,FALSE,"WFTE_Summary";#N/A,#N/A,FALSE,"Funded_WFTE";#N/A,#N/A,FALSE,"PYADJ96"}</definedName>
    <definedName name="xx" localSheetId="1" hidden="1">{#N/A,#N/A,FALSE,"Summation";#N/A,#N/A,FALSE,"BSA";#N/A,#N/A,FALSE,"Detail1";#N/A,#N/A,FALSE,"Detail2";#N/A,#N/A,FALSE,"Detail3";#N/A,#N/A,FALSE,"WFTE_Summary";#N/A,#N/A,FALSE,"Funded_WFTE";#N/A,#N/A,FALSE,"PYADJ96"}</definedName>
    <definedName name="xx" localSheetId="5" hidden="1">{#N/A,#N/A,FALSE,"Summation";#N/A,#N/A,FALSE,"BSA";#N/A,#N/A,FALSE,"Detail1";#N/A,#N/A,FALSE,"Detail2";#N/A,#N/A,FALSE,"Detail3";#N/A,#N/A,FALSE,"WFTE_Summary";#N/A,#N/A,FALSE,"Funded_WFTE";#N/A,#N/A,FALSE,"PYADJ96"}</definedName>
    <definedName name="xx" localSheetId="8" hidden="1">{#N/A,#N/A,FALSE,"Summation";#N/A,#N/A,FALSE,"BSA";#N/A,#N/A,FALSE,"Detail1";#N/A,#N/A,FALSE,"Detail2";#N/A,#N/A,FALSE,"Detail3";#N/A,#N/A,FALSE,"WFTE_Summary";#N/A,#N/A,FALSE,"Funded_WFTE";#N/A,#N/A,FALSE,"PYADJ96"}</definedName>
    <definedName name="xx" localSheetId="3" hidden="1">{#N/A,#N/A,FALSE,"Summation";#N/A,#N/A,FALSE,"BSA";#N/A,#N/A,FALSE,"Detail1";#N/A,#N/A,FALSE,"Detail2";#N/A,#N/A,FALSE,"Detail3";#N/A,#N/A,FALSE,"WFTE_Summary";#N/A,#N/A,FALSE,"Funded_WFTE";#N/A,#N/A,FALSE,"PYADJ96"}</definedName>
    <definedName name="xx" hidden="1">{#N/A,#N/A,FALSE,"Summation";#N/A,#N/A,FALSE,"BSA";#N/A,#N/A,FALSE,"Detail1";#N/A,#N/A,FALSE,"Detail2";#N/A,#N/A,FALSE,"Detail3";#N/A,#N/A,FALSE,"WFTE_Summary";#N/A,#N/A,FALSE,"Funded_WFTE";#N/A,#N/A,FALSE,"PYADJ96"}</definedName>
    <definedName name="xx\">#REF!</definedName>
    <definedName name="xxd" hidden="1">{#N/A,#N/A,FALSE,"Cashflow Analysis";#N/A,#N/A,FALSE,"Sensitivity Analysis";#N/A,#N/A,FALSE,"PV";#N/A,#N/A,FALSE,"Pro Forma"}</definedName>
    <definedName name="xxd.2" hidden="1">{#N/A,#N/A,FALSE,"Cashflow Analysis";#N/A,#N/A,FALSE,"Sensitivity Analysis";#N/A,#N/A,FALSE,"PV";#N/A,#N/A,FALSE,"Pro Forma"}</definedName>
    <definedName name="xxx" hidden="1">#REF!</definedName>
    <definedName name="xxx3" hidden="1">{"AnnualRentRoll",#N/A,FALSE,"RentRoll"}</definedName>
    <definedName name="xxx4" hidden="1">{#N/A,#N/A,FALSE,"ExitStratigy"}</definedName>
    <definedName name="xxxx">#REF!</definedName>
    <definedName name="XXXXX">#REF!</definedName>
    <definedName name="xy">#REF!</definedName>
    <definedName name="xyz" hidden="1">#REF!</definedName>
    <definedName name="xyz.0" hidden="1">{#N/A,#N/A,TRUE,"XL Cash Flow";#N/A,#N/A,TRUE,"Prop Valuation";#N/A,#N/A,TRUE,"Equity";#N/A,#N/A,TRUE,"Modeling assumptions";#N/A,#N/A,TRUE,"NER Model";#N/A,#N/A,TRUE,"Lease Exp";#N/A,#N/A,TRUE,"Inc &amp; Exp";#N/A,#N/A,TRUE,"Formatted - roll";#N/A,#N/A,TRUE,"Debt Model";#N/A,#N/A,TRUE,"Debt-Moody";#N/A,#N/A,TRUE,"Debt"}</definedName>
    <definedName name="Y">#REF!</definedName>
    <definedName name="y\">#REF!</definedName>
    <definedName name="Year0ADA">#REF!</definedName>
    <definedName name="Year0COLA">#REF!</definedName>
    <definedName name="Year0Rev">#REF!</definedName>
    <definedName name="Year1">#REF!</definedName>
    <definedName name="Year1ADA">#REF!</definedName>
    <definedName name="Year1BB">#REF!</definedName>
    <definedName name="Year1EB">#REF!</definedName>
    <definedName name="Year1Enrollment">#REF!</definedName>
    <definedName name="Year1EPA">#REF!</definedName>
    <definedName name="Year1EPAFIB">#REF!</definedName>
    <definedName name="Year1EPAJuly">#REF!</definedName>
    <definedName name="Year1EPASIB">#REF!</definedName>
    <definedName name="year1exp">#REF!</definedName>
    <definedName name="Year1rev">#REF!</definedName>
    <definedName name="Year2">#REF!</definedName>
    <definedName name="Year2ADA">#REF!</definedName>
    <definedName name="Year2COLA">#REF!</definedName>
    <definedName name="Year2Enrollment">#REF!</definedName>
    <definedName name="YEar2EPAJuly">#REF!</definedName>
    <definedName name="Year3">#REF!</definedName>
    <definedName name="Year3ADA">#REF!</definedName>
    <definedName name="Year3COLA">#REF!</definedName>
    <definedName name="Year3Enrollment">#REF!</definedName>
    <definedName name="Year3EPAJuly">#REF!</definedName>
    <definedName name="Year4">#REF!</definedName>
    <definedName name="Year4ADA">#REF!</definedName>
    <definedName name="Year4COLA">#REF!</definedName>
    <definedName name="Year4Enrollment">#REF!</definedName>
    <definedName name="Year5">#REF!</definedName>
    <definedName name="Year5ADA">#REF!</definedName>
    <definedName name="YEAR5COLA">#REF!</definedName>
    <definedName name="Year5Enrollment">#REF!</definedName>
    <definedName name="Year6ADA">#REF!</definedName>
    <definedName name="Year7ADA">#REF!</definedName>
    <definedName name="YearAbsolute">#REF!</definedName>
    <definedName name="YearCode">#REF!</definedName>
    <definedName name="YearCurrent">#REF!</definedName>
    <definedName name="YearDepartmentReport">#REF!</definedName>
    <definedName name="YearLocationReport">#REF!</definedName>
    <definedName name="YearNext">#REF!</definedName>
    <definedName name="YearRelative">#REF!</definedName>
    <definedName name="yes">#REF!</definedName>
    <definedName name="Yes_No">#REF!</definedName>
    <definedName name="yesno">#REF!</definedName>
    <definedName name="yield">#REF!</definedName>
    <definedName name="Yr_End">#REF!</definedName>
    <definedName name="Yr_Start">#REF!</definedName>
    <definedName name="yr1loc">#REF!</definedName>
    <definedName name="YTDActualsExpenditureBudgetTab">#REF!</definedName>
    <definedName name="YTDActualsExpenditureTest">#REF!</definedName>
    <definedName name="YTDActualsRevenueBudgetTab">#REF!</definedName>
    <definedName name="YTDActualsRevenueTest">#REF!</definedName>
    <definedName name="YTDAugust">#REF!</definedName>
    <definedName name="yy\">#REF!</definedName>
    <definedName name="yyjyfj">#REF!</definedName>
    <definedName name="yyyy">#REF!</definedName>
    <definedName name="z">#REF!</definedName>
    <definedName name="Z_ADAPercent">#REF!</definedName>
    <definedName name="Z_ADMPercent">#REF!</definedName>
    <definedName name="Z_Assumptions_CMO">#REF!</definedName>
    <definedName name="Z_Assumptions_HighSchool">#REF!</definedName>
    <definedName name="Z_Assumptions_MiddleSchool">#REF!</definedName>
    <definedName name="Z_Assumptions_Region">#REF!</definedName>
    <definedName name="Z_AssumptionsInc_CMO">#REF!</definedName>
    <definedName name="Z_AssumptionsInc_HighSchool">#REF!</definedName>
    <definedName name="Z_AssumptionsInc_MiddleSchool">#REF!</definedName>
    <definedName name="Z_AssumptionsInc_Region">#REF!</definedName>
    <definedName name="Z_BalanceSheet">#REF!</definedName>
    <definedName name="Z_CMO">#REF!</definedName>
    <definedName name="Z_CurrentProjections">#REF!</definedName>
    <definedName name="Z_Detail_CMO">#REF!</definedName>
    <definedName name="Z_Detail_Phase1_MS_Schools">#REF!</definedName>
    <definedName name="Z_Detail_Phase1_Schools">#REF!</definedName>
    <definedName name="Z_Detail_Phase1_TN_Schools">#REF!</definedName>
    <definedName name="Z_Detail_Region_LA">#REF!</definedName>
    <definedName name="Z_Detail_Region_MISS">#REF!</definedName>
    <definedName name="Z_Detail_Region_TN">#REF!</definedName>
    <definedName name="Z_Detail_Region_Total_LA">#REF!</definedName>
    <definedName name="Z_Detail_Region_Total_MISS">#REF!</definedName>
    <definedName name="Z_Detail_Region_Total_TN">#REF!</definedName>
    <definedName name="Z_Detail_RePublicNetwork">#REF!</definedName>
    <definedName name="Z_Detail_School_LA1">#REF!</definedName>
    <definedName name="Z_Detail_School_LA2">#REF!</definedName>
    <definedName name="Z_Detail_School_LA3">#REF!</definedName>
    <definedName name="Z_Detail_School_LA4">#REF!</definedName>
    <definedName name="Z_Detail_School_LA5">#REF!</definedName>
    <definedName name="Z_Detail_School_LA6">#REF!</definedName>
    <definedName name="Z_Detail_School_MISS1">#REF!</definedName>
    <definedName name="Z_Detail_School_MISS2">#REF!</definedName>
    <definedName name="Z_Detail_School_MISS3">#REF!</definedName>
    <definedName name="Z_Detail_School_MISS4">#REF!</definedName>
    <definedName name="Z_Detail_School_MISS5">#REF!</definedName>
    <definedName name="Z_Detail_School_MISS6">#REF!</definedName>
    <definedName name="Z_Detail_School_TN1">#REF!</definedName>
    <definedName name="Z_Detail_School_TN2">#REF!</definedName>
    <definedName name="Z_Detail_School_TN3">#REF!</definedName>
    <definedName name="Z_Detail_School_TN4">#REF!</definedName>
    <definedName name="Z_Detail_School_TN5">#REF!</definedName>
    <definedName name="Z_Detail_School_TN6">#REF!</definedName>
    <definedName name="Z_Detail_School_TN7">#REF!</definedName>
    <definedName name="Z_Detail_School_TN8">#REF!</definedName>
    <definedName name="Z_Detail_School_TN9">#REF!</definedName>
    <definedName name="Z_Detail_Total_Schools_ALL">#REF!</definedName>
    <definedName name="Z_Detail_Total_Schools_LA">#REF!</definedName>
    <definedName name="Z_Detail_Total_Schools_MISS">#REF!</definedName>
    <definedName name="Z_Detail_Total_Schools_TN">#REF!</definedName>
    <definedName name="Z_ELLPercent">#REF!</definedName>
    <definedName name="Z_Facility_School_LA1">#REF!</definedName>
    <definedName name="Z_Facility_School_LA2">#REF!</definedName>
    <definedName name="Z_Facility_School_LA3">#REF!</definedName>
    <definedName name="Z_Facility_School_LA4">#REF!</definedName>
    <definedName name="Z_Facility_School_LA5">#REF!</definedName>
    <definedName name="Z_Facility_School_LA6">#REF!</definedName>
    <definedName name="Z_Facility_School_MISS1">#REF!</definedName>
    <definedName name="Z_Facility_School_MISS2">#REF!</definedName>
    <definedName name="Z_Facility_School_MISS3">#REF!</definedName>
    <definedName name="Z_Facility_School_MISS4">#REF!</definedName>
    <definedName name="Z_Facility_School_MISS5">#REF!</definedName>
    <definedName name="Z_Facility_School_MISS6">#REF!</definedName>
    <definedName name="Z_Facility_School_TN1">#REF!</definedName>
    <definedName name="Z_Facility_School_TN2">#REF!</definedName>
    <definedName name="Z_Facility_School_TN3">#REF!</definedName>
    <definedName name="Z_Facility_School_TN4">#REF!</definedName>
    <definedName name="Z_Facility_School_TN5">#REF!</definedName>
    <definedName name="Z_Facility_School_TN6">#REF!</definedName>
    <definedName name="Z_Facility_School_TN7">#REF!</definedName>
    <definedName name="Z_Facility_School_TN8">#REF!</definedName>
    <definedName name="Z_Facility_School_TN9">#REF!</definedName>
    <definedName name="Z_FreeLunch">#REF!</definedName>
    <definedName name="Z_FRLPercent">#REF!</definedName>
    <definedName name="Z_HighSchoolEnroll">#REF!</definedName>
    <definedName name="Z_LA_School1">#REF!</definedName>
    <definedName name="Z_LA_School2">#REF!</definedName>
    <definedName name="Z_LA_School3">#REF!</definedName>
    <definedName name="Z_LA_School4">#REF!</definedName>
    <definedName name="Z_LA_School5">#REF!</definedName>
    <definedName name="Z_LA_School6">#REF!</definedName>
    <definedName name="Z_MiddleSchoolEnroll">#REF!</definedName>
    <definedName name="Z_MISS_School1">#REF!</definedName>
    <definedName name="Z_MISS_School2">#REF!</definedName>
    <definedName name="Z_MISS_School3">#REF!</definedName>
    <definedName name="Z_MISS_School4">#REF!</definedName>
    <definedName name="Z_MISS_School5">#REF!</definedName>
    <definedName name="Z_MISS_School6">#REF!</definedName>
    <definedName name="Z_PaidLunch">#REF!</definedName>
    <definedName name="Z_PositionsCategories">'[3]General Info'!$B$2:$B$21</definedName>
    <definedName name="Z_PriorYear">#REF!</definedName>
    <definedName name="Z_ReducedLunch">#REF!</definedName>
    <definedName name="Z_Region_LA">#REF!</definedName>
    <definedName name="Z_Region_MISS">#REF!</definedName>
    <definedName name="Z_Region_TN">#REF!</definedName>
    <definedName name="Z_Rollup_All_Schools">#REF!</definedName>
    <definedName name="Z_SchoolDays">#REF!</definedName>
    <definedName name="Z_SchoolList_Info">#REF!</definedName>
    <definedName name="Z_SchoolName">'[3]School Info'!$C$3</definedName>
    <definedName name="Z_Schools_CMO_Names">#REF!</definedName>
    <definedName name="Z_Schools_CMO_Names_SUMMARY">#REF!</definedName>
    <definedName name="Z_SchoolYear">'[3]School Info'!$D$9</definedName>
    <definedName name="Z_SchoolYears">#REF!</definedName>
    <definedName name="Z_SPEDPercent">#REF!</definedName>
    <definedName name="Z_Staffing_CMO">#REF!</definedName>
    <definedName name="Z_Staffing_CMO_FTE">#REF!</definedName>
    <definedName name="Z_Staffing_CMO_Retirement">#REF!</definedName>
    <definedName name="Z_Staffing_LibertyCollegiate">#REF!</definedName>
    <definedName name="Z_Staffing_LibertyCollegiate_FTE">#REF!</definedName>
    <definedName name="Z_Staffing_LibertyCollegiate_Retirement">#REF!</definedName>
    <definedName name="Z_Staffing_NashvillePrep">#REF!</definedName>
    <definedName name="Z_Staffing_NashvillePrep_FTE">#REF!</definedName>
    <definedName name="Z_Staffing_NashvillePrep_Retirement">#REF!</definedName>
    <definedName name="Z_Staffing_NewSchools_MISS_HS">#REF!</definedName>
    <definedName name="Z_Staffing_NewSchools_MISS_HS_FTE">#REF!</definedName>
    <definedName name="Z_Staffing_NewSchools_MISS_HS_Retirement">#REF!</definedName>
    <definedName name="Z_Staffing_NewSchools_MISS_MS">#REF!</definedName>
    <definedName name="Z_Staffing_NewSchools_MISS_MS_FTE">#REF!</definedName>
    <definedName name="Z_Staffing_NewSchools_MISS_MS_Retirement">#REF!</definedName>
    <definedName name="Z_Staffing_NewSchools_TN_HS">#REF!</definedName>
    <definedName name="Z_Staffing_NewSchools_TN_HS_FTE">#REF!</definedName>
    <definedName name="Z_Staffing_NewSchools_TN_HS_Retirement">#REF!</definedName>
    <definedName name="Z_Staffing_NewSchools_TN_MS">#REF!</definedName>
    <definedName name="Z_Staffing_NewSchools_TN_MS_FTE">#REF!</definedName>
    <definedName name="Z_Staffing_NewSchools_TN_MS_Retirement">#REF!</definedName>
    <definedName name="Z_Staffing_Region_LA">#REF!</definedName>
    <definedName name="Z_Staffing_Region_LA_FTE">#REF!</definedName>
    <definedName name="Z_Staffing_Region_LA_Retirement">#REF!</definedName>
    <definedName name="Z_Staffing_Region_MISS">#REF!</definedName>
    <definedName name="Z_Staffing_Region_MISS_FTE">#REF!</definedName>
    <definedName name="Z_Staffing_Region_MISS_Retirement">#REF!</definedName>
    <definedName name="Z_Staffing_Region_TN">#REF!</definedName>
    <definedName name="Z_Staffing_Region_TN_FTE">#REF!</definedName>
    <definedName name="Z_Staffing_Region_TN_Retirement">#REF!</definedName>
    <definedName name="Z_Staffing_SalarySchedule_MISS">#REF!</definedName>
    <definedName name="Z_Staffing_SalarySchedule_MISS_YrsExp">OFFSET(#REF!,0,0,COUNTA(#REF!)-0,1)</definedName>
    <definedName name="Z_Staffing_SalarySchedule_TN">#REF!</definedName>
    <definedName name="Z_Staffing_SalarySchedule_TN_YrsExp">OFFSET(#REF!,0,0,COUNTA(#REF!)-0,1)</definedName>
    <definedName name="Z_State1">#REF!</definedName>
    <definedName name="Z_State2">#REF!</definedName>
    <definedName name="Z_State3">#REF!</definedName>
    <definedName name="Z_TN_School1">#REF!</definedName>
    <definedName name="Z_TN_School2">#REF!</definedName>
    <definedName name="Z_TN_School3">#REF!</definedName>
    <definedName name="Z_TN_School4">#REF!</definedName>
    <definedName name="Z_TN_School5">#REF!</definedName>
    <definedName name="Z_TN_School6">#REF!</definedName>
    <definedName name="Z_TN_School7">#REF!</definedName>
    <definedName name="Z_TN_School8">#REF!</definedName>
    <definedName name="Z_TN_School9">#REF!</definedName>
    <definedName name="Z_Year1">#REF!</definedName>
    <definedName name="Z_Year10">#REF!</definedName>
    <definedName name="Z_Year2">#REF!</definedName>
    <definedName name="Z_Year3">#REF!</definedName>
    <definedName name="Z_Year4">#REF!</definedName>
    <definedName name="Z_Year5">#REF!</definedName>
    <definedName name="Z_Year6">#REF!</definedName>
    <definedName name="Z_Year7">#REF!</definedName>
    <definedName name="Z_Year8">#REF!</definedName>
    <definedName name="Z_Year9">#REF!</definedName>
    <definedName name="z\">#REF!</definedName>
    <definedName name="zAppDate">#REF!</definedName>
    <definedName name="ZFIQUERY_041116_FM1_9">#REF!</definedName>
    <definedName name="ZFIQUERY1_FM1THRU9_COL2">#REF!</definedName>
    <definedName name="ZFIQUERY1_MARCH2016_EXPENDITURES_COL2">#REF!</definedName>
    <definedName name="ZHRFLEX">#REF!</definedName>
    <definedName name="ZHRFLEXNEW">#REF!</definedName>
    <definedName name="zxc" hidden="1">{"mgmt forecast",#N/A,FALSE,"Mgmt Forecast";"dcf table",#N/A,FALSE,"Mgmt Forecast";"sensitivity",#N/A,FALSE,"Mgmt Forecast";"table inputs",#N/A,FALSE,"Mgmt Forecast";"calculations",#N/A,FALSE,"Mgmt Forecast"}</definedName>
    <definedName name="zz\">#REF!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3" i="4" l="1"/>
  <c r="H143" i="4"/>
  <c r="G143" i="4"/>
  <c r="D73" i="12"/>
  <c r="D331" i="15" l="1"/>
  <c r="D149" i="4"/>
  <c r="D148" i="4"/>
  <c r="D145" i="4"/>
  <c r="D137" i="4"/>
  <c r="D138" i="4"/>
  <c r="D139" i="4"/>
  <c r="D140" i="4"/>
  <c r="D136" i="4"/>
  <c r="D131" i="4"/>
  <c r="D132" i="4"/>
  <c r="D133" i="4"/>
  <c r="D134" i="4"/>
  <c r="D130" i="4"/>
  <c r="D126" i="4"/>
  <c r="D127" i="4"/>
  <c r="D128" i="4"/>
  <c r="D125" i="4"/>
  <c r="L44" i="12" l="1"/>
  <c r="L43" i="12"/>
  <c r="L42" i="12"/>
  <c r="L41" i="12"/>
  <c r="L40" i="12"/>
  <c r="L39" i="12"/>
  <c r="L38" i="12"/>
  <c r="L37" i="12"/>
  <c r="F57" i="4" l="1"/>
  <c r="G57" i="4" s="1"/>
  <c r="H57" i="4" s="1"/>
  <c r="I57" i="4" s="1"/>
  <c r="AL25" i="22"/>
  <c r="AK4" i="22"/>
  <c r="AK5" i="22"/>
  <c r="AK6" i="22"/>
  <c r="AK7" i="22"/>
  <c r="AK9" i="22"/>
  <c r="AK10" i="22"/>
  <c r="AK11" i="22"/>
  <c r="AK12" i="22"/>
  <c r="AK13" i="22"/>
  <c r="AK14" i="22"/>
  <c r="AK15" i="22"/>
  <c r="AK16" i="22"/>
  <c r="AK17" i="22"/>
  <c r="AK18" i="22"/>
  <c r="AK19" i="22"/>
  <c r="AK20" i="22"/>
  <c r="AK21" i="22"/>
  <c r="AK22" i="22"/>
  <c r="AK23" i="22"/>
  <c r="AK24" i="22"/>
  <c r="AK25" i="22"/>
  <c r="AK26" i="22"/>
  <c r="AK27" i="22"/>
  <c r="AK29" i="22"/>
  <c r="AK3" i="22"/>
  <c r="C75" i="9"/>
  <c r="C67" i="9"/>
  <c r="A271" i="15"/>
  <c r="B271" i="15"/>
  <c r="C271" i="15"/>
  <c r="C90" i="9" s="1"/>
  <c r="K15" i="18"/>
  <c r="D232" i="15"/>
  <c r="E232" i="15"/>
  <c r="G51" i="9" s="1" a="1"/>
  <c r="G51" i="9" s="1"/>
  <c r="F232" i="15"/>
  <c r="G232" i="15"/>
  <c r="H232" i="15"/>
  <c r="I232" i="15"/>
  <c r="D236" i="15"/>
  <c r="D237" i="15"/>
  <c r="D238" i="15"/>
  <c r="D239" i="15"/>
  <c r="D240" i="15"/>
  <c r="E240" i="15"/>
  <c r="O59" i="9" s="1" a="1"/>
  <c r="O59" i="9" s="1"/>
  <c r="F240" i="15"/>
  <c r="G240" i="15"/>
  <c r="H240" i="15"/>
  <c r="I240" i="15"/>
  <c r="D241" i="15"/>
  <c r="D242" i="15"/>
  <c r="D243" i="15"/>
  <c r="D244" i="15"/>
  <c r="D245" i="15"/>
  <c r="H245" i="15"/>
  <c r="I245" i="15"/>
  <c r="D246" i="15"/>
  <c r="E246" i="15"/>
  <c r="G65" i="9" s="1" a="1"/>
  <c r="G65" i="9" s="1"/>
  <c r="F246" i="15"/>
  <c r="G246" i="15"/>
  <c r="H246" i="15"/>
  <c r="I246" i="15"/>
  <c r="D247" i="15"/>
  <c r="I247" i="15"/>
  <c r="D248" i="15"/>
  <c r="D249" i="15"/>
  <c r="D250" i="15"/>
  <c r="D251" i="15"/>
  <c r="D252" i="15"/>
  <c r="E252" i="15"/>
  <c r="O71" i="9" s="1" a="1"/>
  <c r="O71" i="9" s="1"/>
  <c r="F252" i="15"/>
  <c r="G252" i="15"/>
  <c r="H252" i="15"/>
  <c r="I252" i="15"/>
  <c r="D255" i="15"/>
  <c r="E255" i="15"/>
  <c r="K74" i="9" s="1" a="1"/>
  <c r="K74" i="9" s="1"/>
  <c r="F255" i="15"/>
  <c r="G255" i="15"/>
  <c r="H255" i="15"/>
  <c r="I255" i="15"/>
  <c r="D256" i="15"/>
  <c r="D258" i="15"/>
  <c r="E258" i="15"/>
  <c r="G77" i="9" s="1" a="1"/>
  <c r="G77" i="9" s="1"/>
  <c r="F258" i="15"/>
  <c r="G258" i="15"/>
  <c r="H258" i="15"/>
  <c r="I258" i="15"/>
  <c r="D259" i="15"/>
  <c r="D260" i="15"/>
  <c r="D261" i="15"/>
  <c r="E261" i="15"/>
  <c r="O80" i="9" s="1" a="1"/>
  <c r="O80" i="9" s="1"/>
  <c r="F261" i="15"/>
  <c r="G261" i="15"/>
  <c r="H261" i="15"/>
  <c r="I261" i="15"/>
  <c r="D262" i="15"/>
  <c r="E262" i="15"/>
  <c r="G81" i="9" s="1" a="1"/>
  <c r="G81" i="9" s="1"/>
  <c r="F262" i="15"/>
  <c r="G262" i="15"/>
  <c r="H262" i="15"/>
  <c r="I262" i="15"/>
  <c r="D263" i="15"/>
  <c r="E263" i="15"/>
  <c r="K82" i="9" s="1" a="1"/>
  <c r="K82" i="9" s="1"/>
  <c r="F263" i="15"/>
  <c r="G263" i="15"/>
  <c r="H263" i="15"/>
  <c r="I263" i="15"/>
  <c r="D264" i="15"/>
  <c r="D351" i="15" s="1"/>
  <c r="E264" i="15"/>
  <c r="E351" i="15" s="1"/>
  <c r="F264" i="15"/>
  <c r="F351" i="15" s="1"/>
  <c r="G264" i="15"/>
  <c r="G351" i="15" s="1"/>
  <c r="H264" i="15"/>
  <c r="H351" i="15" s="1"/>
  <c r="I264" i="15"/>
  <c r="I351" i="15" s="1"/>
  <c r="D265" i="15"/>
  <c r="E265" i="15"/>
  <c r="O84" i="9" s="1" a="1"/>
  <c r="O84" i="9" s="1"/>
  <c r="F265" i="15"/>
  <c r="G265" i="15"/>
  <c r="H265" i="15"/>
  <c r="I265" i="15"/>
  <c r="D266" i="15"/>
  <c r="E266" i="15"/>
  <c r="G85" i="9" s="1" a="1"/>
  <c r="G85" i="9" s="1"/>
  <c r="F266" i="15"/>
  <c r="G266" i="15"/>
  <c r="H266" i="15"/>
  <c r="I266" i="15"/>
  <c r="D267" i="15"/>
  <c r="E267" i="15"/>
  <c r="K86" i="9" s="1" a="1"/>
  <c r="K86" i="9" s="1"/>
  <c r="F267" i="15"/>
  <c r="G267" i="15"/>
  <c r="H267" i="15"/>
  <c r="I267" i="15"/>
  <c r="D268" i="15"/>
  <c r="E268" i="15"/>
  <c r="O87" i="9" s="1" a="1"/>
  <c r="O87" i="9" s="1"/>
  <c r="F268" i="15"/>
  <c r="G268" i="15"/>
  <c r="H268" i="15"/>
  <c r="I268" i="15"/>
  <c r="D269" i="15"/>
  <c r="E269" i="15"/>
  <c r="O88" i="9" s="1" a="1"/>
  <c r="O88" i="9" s="1"/>
  <c r="F269" i="15"/>
  <c r="G269" i="15"/>
  <c r="H269" i="15"/>
  <c r="I269" i="15"/>
  <c r="D270" i="15"/>
  <c r="E270" i="15"/>
  <c r="G89" i="9" s="1" a="1"/>
  <c r="G89" i="9" s="1"/>
  <c r="F270" i="15"/>
  <c r="G270" i="15"/>
  <c r="H270" i="15"/>
  <c r="I270" i="15"/>
  <c r="E231" i="15"/>
  <c r="L50" i="9" s="1" a="1"/>
  <c r="L50" i="9" s="1"/>
  <c r="F231" i="15"/>
  <c r="G231" i="15"/>
  <c r="H231" i="15"/>
  <c r="I231" i="15"/>
  <c r="D231" i="15"/>
  <c r="A268" i="15"/>
  <c r="B268" i="15"/>
  <c r="C268" i="15"/>
  <c r="C87" i="9" s="1"/>
  <c r="A269" i="15"/>
  <c r="B269" i="15"/>
  <c r="C269" i="15"/>
  <c r="C88" i="9" s="1"/>
  <c r="A270" i="15"/>
  <c r="B270" i="15"/>
  <c r="C270" i="15"/>
  <c r="C89" i="9" s="1"/>
  <c r="A272" i="15"/>
  <c r="B272" i="15"/>
  <c r="C272" i="15"/>
  <c r="A273" i="15"/>
  <c r="B273" i="15"/>
  <c r="C273" i="15"/>
  <c r="C91" i="9" s="1"/>
  <c r="A274" i="15"/>
  <c r="B274" i="15"/>
  <c r="C274" i="15"/>
  <c r="C92" i="9" s="1"/>
  <c r="A248" i="15"/>
  <c r="B248" i="15"/>
  <c r="C248" i="15"/>
  <c r="A249" i="15"/>
  <c r="B249" i="15"/>
  <c r="C249" i="15"/>
  <c r="C68" i="9" s="1"/>
  <c r="A250" i="15"/>
  <c r="B250" i="15"/>
  <c r="C250" i="15"/>
  <c r="C69" i="9" s="1"/>
  <c r="A251" i="15"/>
  <c r="B251" i="15"/>
  <c r="C251" i="15"/>
  <c r="C70" i="9" s="1"/>
  <c r="A252" i="15"/>
  <c r="B252" i="15"/>
  <c r="C252" i="15"/>
  <c r="C71" i="9" s="1"/>
  <c r="A253" i="15"/>
  <c r="B253" i="15"/>
  <c r="C253" i="15"/>
  <c r="C72" i="9" s="1"/>
  <c r="A254" i="15"/>
  <c r="B254" i="15"/>
  <c r="C254" i="15"/>
  <c r="C73" i="9" s="1"/>
  <c r="A255" i="15"/>
  <c r="B255" i="15"/>
  <c r="C255" i="15"/>
  <c r="C74" i="9" s="1"/>
  <c r="A256" i="15"/>
  <c r="B256" i="15"/>
  <c r="C256" i="15"/>
  <c r="A257" i="15"/>
  <c r="B257" i="15"/>
  <c r="C257" i="15"/>
  <c r="C76" i="9" s="1"/>
  <c r="A258" i="15"/>
  <c r="B258" i="15"/>
  <c r="C258" i="15"/>
  <c r="C77" i="9" s="1"/>
  <c r="A259" i="15"/>
  <c r="B259" i="15"/>
  <c r="C259" i="15"/>
  <c r="C78" i="9" s="1"/>
  <c r="A260" i="15"/>
  <c r="B260" i="15"/>
  <c r="C260" i="15"/>
  <c r="C79" i="9" s="1"/>
  <c r="A261" i="15"/>
  <c r="B261" i="15"/>
  <c r="C261" i="15"/>
  <c r="C80" i="9" s="1"/>
  <c r="A262" i="15"/>
  <c r="B262" i="15"/>
  <c r="C262" i="15"/>
  <c r="C81" i="9" s="1"/>
  <c r="A263" i="15"/>
  <c r="B263" i="15"/>
  <c r="C263" i="15"/>
  <c r="C82" i="9" s="1"/>
  <c r="A264" i="15"/>
  <c r="B264" i="15"/>
  <c r="C264" i="15"/>
  <c r="C83" i="9" s="1"/>
  <c r="A265" i="15"/>
  <c r="B265" i="15"/>
  <c r="C265" i="15"/>
  <c r="C84" i="9" s="1"/>
  <c r="A266" i="15"/>
  <c r="B266" i="15"/>
  <c r="C266" i="15"/>
  <c r="C85" i="9" s="1"/>
  <c r="A267" i="15"/>
  <c r="B267" i="15"/>
  <c r="C267" i="15"/>
  <c r="C86" i="9" s="1"/>
  <c r="A232" i="15"/>
  <c r="B232" i="15"/>
  <c r="C232" i="15"/>
  <c r="C51" i="9" s="1"/>
  <c r="A233" i="15"/>
  <c r="B233" i="15"/>
  <c r="C233" i="15"/>
  <c r="C52" i="9" s="1"/>
  <c r="A234" i="15"/>
  <c r="B234" i="15"/>
  <c r="C234" i="15"/>
  <c r="C53" i="9" s="1"/>
  <c r="A235" i="15"/>
  <c r="B235" i="15"/>
  <c r="C235" i="15"/>
  <c r="C54" i="9" s="1"/>
  <c r="A236" i="15"/>
  <c r="B236" i="15"/>
  <c r="C236" i="15"/>
  <c r="C55" i="9" s="1"/>
  <c r="A237" i="15"/>
  <c r="B237" i="15"/>
  <c r="C237" i="15"/>
  <c r="C56" i="9" s="1"/>
  <c r="A238" i="15"/>
  <c r="B238" i="15"/>
  <c r="C238" i="15"/>
  <c r="C57" i="9" s="1"/>
  <c r="A239" i="15"/>
  <c r="B239" i="15"/>
  <c r="C239" i="15"/>
  <c r="C58" i="9" s="1"/>
  <c r="A240" i="15"/>
  <c r="B240" i="15"/>
  <c r="C240" i="15"/>
  <c r="C59" i="9" s="1"/>
  <c r="A241" i="15"/>
  <c r="B241" i="15"/>
  <c r="C241" i="15"/>
  <c r="C60" i="9" s="1"/>
  <c r="A242" i="15"/>
  <c r="B242" i="15"/>
  <c r="C242" i="15"/>
  <c r="C61" i="9" s="1"/>
  <c r="A243" i="15"/>
  <c r="B243" i="15"/>
  <c r="C243" i="15"/>
  <c r="C62" i="9" s="1"/>
  <c r="A244" i="15"/>
  <c r="B244" i="15"/>
  <c r="C244" i="15"/>
  <c r="C63" i="9" s="1"/>
  <c r="A245" i="15"/>
  <c r="B245" i="15"/>
  <c r="C245" i="15"/>
  <c r="C64" i="9" s="1"/>
  <c r="A246" i="15"/>
  <c r="B246" i="15"/>
  <c r="C246" i="15"/>
  <c r="C65" i="9" s="1"/>
  <c r="A247" i="15"/>
  <c r="B247" i="15"/>
  <c r="C247" i="15"/>
  <c r="C66" i="9" s="1"/>
  <c r="C231" i="15"/>
  <c r="C50" i="9" s="1"/>
  <c r="B231" i="15"/>
  <c r="A231" i="15"/>
  <c r="C230" i="15"/>
  <c r="B230" i="15"/>
  <c r="A230" i="15"/>
  <c r="K231" i="15"/>
  <c r="K230" i="15"/>
  <c r="E41" i="4"/>
  <c r="E38" i="4"/>
  <c r="L86" i="9" l="1" a="1"/>
  <c r="L86" i="9" s="1"/>
  <c r="L74" i="9" a="1"/>
  <c r="L74" i="9" s="1"/>
  <c r="N86" i="9" a="1"/>
  <c r="N86" i="9" s="1"/>
  <c r="D59" i="9" a="1"/>
  <c r="D59" i="9" s="1"/>
  <c r="N74" i="9" a="1"/>
  <c r="N74" i="9" s="1"/>
  <c r="D88" i="9" a="1"/>
  <c r="D88" i="9" s="1"/>
  <c r="E59" i="9" a="1"/>
  <c r="E59" i="9" s="1"/>
  <c r="F88" i="9" a="1"/>
  <c r="F88" i="9" s="1"/>
  <c r="F59" i="9" a="1"/>
  <c r="F59" i="9" s="1"/>
  <c r="H89" i="9" a="1"/>
  <c r="H89" i="9" s="1"/>
  <c r="H59" i="9" a="1"/>
  <c r="H59" i="9" s="1"/>
  <c r="H77" i="9" a="1"/>
  <c r="H77" i="9" s="1"/>
  <c r="D50" i="9" a="1"/>
  <c r="D50" i="9" s="1"/>
  <c r="E50" i="9" a="1"/>
  <c r="E50" i="9" s="1"/>
  <c r="F50" i="9" a="1"/>
  <c r="F50" i="9" s="1"/>
  <c r="D80" i="9" a="1"/>
  <c r="D80" i="9" s="1"/>
  <c r="G50" i="9" a="1"/>
  <c r="G50" i="9" s="1"/>
  <c r="F80" i="9" a="1"/>
  <c r="F80" i="9" s="1"/>
  <c r="H51" i="9" a="1"/>
  <c r="H51" i="9" s="1"/>
  <c r="H65" i="9" a="1"/>
  <c r="H65" i="9" s="1"/>
  <c r="H81" i="9" a="1"/>
  <c r="H81" i="9" s="1"/>
  <c r="J65" i="9" a="1"/>
  <c r="J65" i="9" s="1"/>
  <c r="J81" i="9" a="1"/>
  <c r="J81" i="9" s="1"/>
  <c r="L82" i="9" a="1"/>
  <c r="L82" i="9" s="1"/>
  <c r="D84" i="9" a="1"/>
  <c r="D84" i="9" s="1"/>
  <c r="F84" i="9" a="1"/>
  <c r="F84" i="9" s="1"/>
  <c r="H85" i="9" a="1"/>
  <c r="H85" i="9" s="1"/>
  <c r="I51" i="9" a="1"/>
  <c r="I51" i="9" s="1"/>
  <c r="I65" i="9" a="1"/>
  <c r="I65" i="9" s="1"/>
  <c r="M74" i="9" a="1"/>
  <c r="M74" i="9" s="1"/>
  <c r="I77" i="9" a="1"/>
  <c r="I77" i="9" s="1"/>
  <c r="E80" i="9" a="1"/>
  <c r="E80" i="9" s="1"/>
  <c r="I81" i="9" a="1"/>
  <c r="I81" i="9" s="1"/>
  <c r="M82" i="9" a="1"/>
  <c r="M82" i="9" s="1"/>
  <c r="E84" i="9" a="1"/>
  <c r="E84" i="9" s="1"/>
  <c r="I85" i="9" a="1"/>
  <c r="I85" i="9" s="1"/>
  <c r="M86" i="9" a="1"/>
  <c r="M86" i="9" s="1"/>
  <c r="E88" i="9" a="1"/>
  <c r="E88" i="9" s="1"/>
  <c r="I89" i="9" a="1"/>
  <c r="I89" i="9" s="1"/>
  <c r="J77" i="9" a="1"/>
  <c r="J77" i="9" s="1"/>
  <c r="N82" i="9" a="1"/>
  <c r="N82" i="9" s="1"/>
  <c r="J85" i="9" a="1"/>
  <c r="J85" i="9" s="1"/>
  <c r="J89" i="9" a="1"/>
  <c r="J89" i="9" s="1"/>
  <c r="K65" i="9" a="1"/>
  <c r="K65" i="9" s="1"/>
  <c r="O74" i="9" a="1"/>
  <c r="O74" i="9" s="1"/>
  <c r="K77" i="9" a="1"/>
  <c r="K77" i="9" s="1"/>
  <c r="G80" i="9" a="1"/>
  <c r="G80" i="9" s="1"/>
  <c r="K81" i="9" a="1"/>
  <c r="K81" i="9" s="1"/>
  <c r="O82" i="9" a="1"/>
  <c r="O82" i="9" s="1"/>
  <c r="G84" i="9" a="1"/>
  <c r="G84" i="9" s="1"/>
  <c r="K85" i="9" a="1"/>
  <c r="K85" i="9" s="1"/>
  <c r="O86" i="9" a="1"/>
  <c r="O86" i="9" s="1"/>
  <c r="G88" i="9" a="1"/>
  <c r="G88" i="9" s="1"/>
  <c r="K89" i="9" a="1"/>
  <c r="K89" i="9" s="1"/>
  <c r="J51" i="9" a="1"/>
  <c r="J51" i="9" s="1"/>
  <c r="H50" i="9" a="1"/>
  <c r="H50" i="9" s="1"/>
  <c r="L51" i="9" a="1"/>
  <c r="L51" i="9" s="1"/>
  <c r="L65" i="9" a="1"/>
  <c r="L65" i="9" s="1"/>
  <c r="D71" i="9" a="1"/>
  <c r="D71" i="9" s="1"/>
  <c r="L77" i="9" a="1"/>
  <c r="L77" i="9" s="1"/>
  <c r="H80" i="9" a="1"/>
  <c r="H80" i="9" s="1"/>
  <c r="L81" i="9" a="1"/>
  <c r="L81" i="9" s="1"/>
  <c r="D83" i="9" a="1"/>
  <c r="D83" i="9" s="1"/>
  <c r="H84" i="9" a="1"/>
  <c r="H84" i="9" s="1"/>
  <c r="L85" i="9" a="1"/>
  <c r="L85" i="9" s="1"/>
  <c r="D87" i="9" a="1"/>
  <c r="D87" i="9" s="1"/>
  <c r="H88" i="9" a="1"/>
  <c r="H88" i="9" s="1"/>
  <c r="L89" i="9" a="1"/>
  <c r="L89" i="9" s="1"/>
  <c r="I50" i="9" a="1"/>
  <c r="I50" i="9" s="1"/>
  <c r="M51" i="9" a="1"/>
  <c r="M51" i="9" s="1"/>
  <c r="M65" i="9" a="1"/>
  <c r="M65" i="9" s="1"/>
  <c r="E71" i="9" a="1"/>
  <c r="E71" i="9" s="1"/>
  <c r="M77" i="9" a="1"/>
  <c r="M77" i="9" s="1"/>
  <c r="I80" i="9" a="1"/>
  <c r="I80" i="9" s="1"/>
  <c r="M81" i="9" a="1"/>
  <c r="M81" i="9" s="1"/>
  <c r="E83" i="9" a="1"/>
  <c r="E83" i="9" s="1"/>
  <c r="I84" i="9" a="1"/>
  <c r="I84" i="9" s="1"/>
  <c r="M85" i="9" a="1"/>
  <c r="M85" i="9" s="1"/>
  <c r="E87" i="9" a="1"/>
  <c r="E87" i="9" s="1"/>
  <c r="I88" i="9" a="1"/>
  <c r="I88" i="9" s="1"/>
  <c r="M89" i="9" a="1"/>
  <c r="M89" i="9" s="1"/>
  <c r="J50" i="9" a="1"/>
  <c r="J50" i="9" s="1"/>
  <c r="N51" i="9" a="1"/>
  <c r="N51" i="9" s="1"/>
  <c r="N65" i="9" a="1"/>
  <c r="N65" i="9" s="1"/>
  <c r="F71" i="9" a="1"/>
  <c r="F71" i="9" s="1"/>
  <c r="N77" i="9" a="1"/>
  <c r="N77" i="9" s="1"/>
  <c r="J80" i="9" a="1"/>
  <c r="J80" i="9" s="1"/>
  <c r="N81" i="9" a="1"/>
  <c r="N81" i="9" s="1"/>
  <c r="F83" i="9" a="1"/>
  <c r="F83" i="9" s="1"/>
  <c r="J84" i="9" a="1"/>
  <c r="J84" i="9" s="1"/>
  <c r="N85" i="9" a="1"/>
  <c r="N85" i="9" s="1"/>
  <c r="F87" i="9" a="1"/>
  <c r="F87" i="9" s="1"/>
  <c r="J88" i="9" a="1"/>
  <c r="J88" i="9" s="1"/>
  <c r="N89" i="9" a="1"/>
  <c r="N89" i="9" s="1"/>
  <c r="K51" i="9" a="1"/>
  <c r="K51" i="9" s="1"/>
  <c r="K50" i="9" a="1"/>
  <c r="K50" i="9" s="1"/>
  <c r="O51" i="9" a="1"/>
  <c r="O51" i="9" s="1"/>
  <c r="G59" i="9" a="1"/>
  <c r="G59" i="9" s="1"/>
  <c r="O65" i="9" a="1"/>
  <c r="O65" i="9" s="1"/>
  <c r="G71" i="9" a="1"/>
  <c r="G71" i="9" s="1"/>
  <c r="O77" i="9" a="1"/>
  <c r="O77" i="9" s="1"/>
  <c r="K80" i="9" a="1"/>
  <c r="K80" i="9" s="1"/>
  <c r="O81" i="9" a="1"/>
  <c r="O81" i="9" s="1"/>
  <c r="G83" i="9" a="1"/>
  <c r="G83" i="9" s="1"/>
  <c r="K84" i="9" a="1"/>
  <c r="K84" i="9" s="1"/>
  <c r="O85" i="9" a="1"/>
  <c r="O85" i="9" s="1"/>
  <c r="G87" i="9" a="1"/>
  <c r="G87" i="9" s="1"/>
  <c r="K88" i="9" a="1"/>
  <c r="K88" i="9" s="1"/>
  <c r="O89" i="9" a="1"/>
  <c r="O89" i="9" s="1"/>
  <c r="H71" i="9" a="1"/>
  <c r="H71" i="9" s="1"/>
  <c r="D74" i="9" a="1"/>
  <c r="D74" i="9" s="1"/>
  <c r="L80" i="9" a="1"/>
  <c r="L80" i="9" s="1"/>
  <c r="D82" i="9" a="1"/>
  <c r="D82" i="9" s="1"/>
  <c r="H83" i="9" a="1"/>
  <c r="H83" i="9" s="1"/>
  <c r="L84" i="9" a="1"/>
  <c r="L84" i="9" s="1"/>
  <c r="D86" i="9" a="1"/>
  <c r="D86" i="9" s="1"/>
  <c r="H87" i="9" a="1"/>
  <c r="H87" i="9" s="1"/>
  <c r="L88" i="9" a="1"/>
  <c r="L88" i="9" s="1"/>
  <c r="M50" i="9" a="1"/>
  <c r="M50" i="9" s="1"/>
  <c r="I59" i="9" a="1"/>
  <c r="I59" i="9" s="1"/>
  <c r="I71" i="9" a="1"/>
  <c r="I71" i="9" s="1"/>
  <c r="E74" i="9" a="1"/>
  <c r="E74" i="9" s="1"/>
  <c r="M80" i="9" a="1"/>
  <c r="M80" i="9" s="1"/>
  <c r="E82" i="9" a="1"/>
  <c r="E82" i="9" s="1"/>
  <c r="I83" i="9" a="1"/>
  <c r="I83" i="9" s="1"/>
  <c r="M84" i="9" a="1"/>
  <c r="M84" i="9" s="1"/>
  <c r="E86" i="9" a="1"/>
  <c r="E86" i="9" s="1"/>
  <c r="I87" i="9" a="1"/>
  <c r="I87" i="9" s="1"/>
  <c r="M88" i="9" a="1"/>
  <c r="M88" i="9" s="1"/>
  <c r="N50" i="9" a="1"/>
  <c r="N50" i="9" s="1"/>
  <c r="J59" i="9" a="1"/>
  <c r="J59" i="9" s="1"/>
  <c r="J71" i="9" a="1"/>
  <c r="J71" i="9" s="1"/>
  <c r="F74" i="9" a="1"/>
  <c r="F74" i="9" s="1"/>
  <c r="N80" i="9" a="1"/>
  <c r="N80" i="9" s="1"/>
  <c r="F82" i="9" a="1"/>
  <c r="F82" i="9" s="1"/>
  <c r="J83" i="9" a="1"/>
  <c r="J83" i="9" s="1"/>
  <c r="N84" i="9" a="1"/>
  <c r="N84" i="9" s="1"/>
  <c r="F86" i="9" a="1"/>
  <c r="F86" i="9" s="1"/>
  <c r="J87" i="9" a="1"/>
  <c r="J87" i="9" s="1"/>
  <c r="N88" i="9" a="1"/>
  <c r="N88" i="9" s="1"/>
  <c r="O50" i="9" a="1"/>
  <c r="O50" i="9" s="1"/>
  <c r="K59" i="9" a="1"/>
  <c r="K59" i="9" s="1"/>
  <c r="K71" i="9" a="1"/>
  <c r="K71" i="9" s="1"/>
  <c r="G74" i="9" a="1"/>
  <c r="G74" i="9" s="1"/>
  <c r="G82" i="9" a="1"/>
  <c r="G82" i="9" s="1"/>
  <c r="K83" i="9" a="1"/>
  <c r="K83" i="9" s="1"/>
  <c r="G86" i="9" a="1"/>
  <c r="G86" i="9" s="1"/>
  <c r="K87" i="9" a="1"/>
  <c r="K87" i="9" s="1"/>
  <c r="D51" i="9" a="1"/>
  <c r="D51" i="9" s="1"/>
  <c r="L59" i="9" a="1"/>
  <c r="L59" i="9" s="1"/>
  <c r="D65" i="9" a="1"/>
  <c r="D65" i="9" s="1"/>
  <c r="L71" i="9" a="1"/>
  <c r="L71" i="9" s="1"/>
  <c r="H74" i="9" a="1"/>
  <c r="H74" i="9" s="1"/>
  <c r="D77" i="9" a="1"/>
  <c r="D77" i="9" s="1"/>
  <c r="D81" i="9" a="1"/>
  <c r="D81" i="9" s="1"/>
  <c r="H82" i="9" a="1"/>
  <c r="H82" i="9" s="1"/>
  <c r="L83" i="9" a="1"/>
  <c r="L83" i="9" s="1"/>
  <c r="D85" i="9" a="1"/>
  <c r="D85" i="9" s="1"/>
  <c r="H86" i="9" a="1"/>
  <c r="H86" i="9" s="1"/>
  <c r="L87" i="9" a="1"/>
  <c r="L87" i="9" s="1"/>
  <c r="D89" i="9" a="1"/>
  <c r="D89" i="9" s="1"/>
  <c r="E51" i="9" a="1"/>
  <c r="E51" i="9" s="1"/>
  <c r="M59" i="9" a="1"/>
  <c r="M59" i="9" s="1"/>
  <c r="E65" i="9" a="1"/>
  <c r="E65" i="9" s="1"/>
  <c r="M71" i="9" a="1"/>
  <c r="M71" i="9" s="1"/>
  <c r="I74" i="9" a="1"/>
  <c r="I74" i="9" s="1"/>
  <c r="E77" i="9" a="1"/>
  <c r="E77" i="9" s="1"/>
  <c r="E81" i="9" a="1"/>
  <c r="E81" i="9" s="1"/>
  <c r="I82" i="9" a="1"/>
  <c r="I82" i="9" s="1"/>
  <c r="M83" i="9" a="1"/>
  <c r="M83" i="9" s="1"/>
  <c r="E85" i="9" a="1"/>
  <c r="E85" i="9" s="1"/>
  <c r="I86" i="9" a="1"/>
  <c r="I86" i="9" s="1"/>
  <c r="M87" i="9" a="1"/>
  <c r="M87" i="9" s="1"/>
  <c r="E89" i="9" a="1"/>
  <c r="E89" i="9" s="1"/>
  <c r="F51" i="9" a="1"/>
  <c r="F51" i="9" s="1"/>
  <c r="N59" i="9" a="1"/>
  <c r="N59" i="9" s="1"/>
  <c r="F65" i="9" a="1"/>
  <c r="F65" i="9" s="1"/>
  <c r="N71" i="9" a="1"/>
  <c r="N71" i="9" s="1"/>
  <c r="J74" i="9" a="1"/>
  <c r="J74" i="9" s="1"/>
  <c r="F77" i="9" a="1"/>
  <c r="F77" i="9" s="1"/>
  <c r="F81" i="9" a="1"/>
  <c r="F81" i="9" s="1"/>
  <c r="J82" i="9" a="1"/>
  <c r="J82" i="9" s="1"/>
  <c r="N83" i="9" a="1"/>
  <c r="N83" i="9" s="1"/>
  <c r="F85" i="9" a="1"/>
  <c r="F85" i="9" s="1"/>
  <c r="J86" i="9" a="1"/>
  <c r="J86" i="9" s="1"/>
  <c r="N87" i="9" a="1"/>
  <c r="N87" i="9" s="1"/>
  <c r="F89" i="9" a="1"/>
  <c r="F89" i="9" s="1"/>
  <c r="O83" i="9" a="1"/>
  <c r="O83" i="9" s="1"/>
  <c r="B288" i="15" a="1"/>
  <c r="E62" i="4"/>
  <c r="F62" i="4" s="1"/>
  <c r="G62" i="4" s="1"/>
  <c r="H62" i="4" s="1"/>
  <c r="I62" i="4" s="1"/>
  <c r="E56" i="4"/>
  <c r="F56" i="4" s="1"/>
  <c r="G56" i="4" s="1"/>
  <c r="H56" i="4" s="1"/>
  <c r="I56" i="4" s="1"/>
  <c r="E55" i="4"/>
  <c r="F55" i="4" s="1"/>
  <c r="G55" i="4" s="1"/>
  <c r="H55" i="4" s="1"/>
  <c r="I55" i="4" s="1"/>
  <c r="E54" i="4"/>
  <c r="F54" i="4" s="1"/>
  <c r="G54" i="4" s="1"/>
  <c r="H54" i="4" s="1"/>
  <c r="I54" i="4" s="1"/>
  <c r="E50" i="4"/>
  <c r="F50" i="4" s="1"/>
  <c r="G50" i="4" s="1"/>
  <c r="H50" i="4" s="1"/>
  <c r="I50" i="4" s="1"/>
  <c r="E49" i="4"/>
  <c r="F49" i="4" s="1"/>
  <c r="G49" i="4" s="1"/>
  <c r="H49" i="4" s="1"/>
  <c r="I49" i="4" s="1"/>
  <c r="E48" i="4"/>
  <c r="F48" i="4" s="1"/>
  <c r="G48" i="4" s="1"/>
  <c r="H48" i="4" s="1"/>
  <c r="I48" i="4" s="1"/>
  <c r="E47" i="4"/>
  <c r="F47" i="4" s="1"/>
  <c r="G47" i="4" s="1"/>
  <c r="H47" i="4" s="1"/>
  <c r="I47" i="4" s="1"/>
  <c r="E46" i="4"/>
  <c r="F46" i="4" s="1"/>
  <c r="G46" i="4" s="1"/>
  <c r="H46" i="4" s="1"/>
  <c r="I46" i="4" s="1"/>
  <c r="E45" i="4"/>
  <c r="F45" i="4" s="1"/>
  <c r="G45" i="4" s="1"/>
  <c r="H45" i="4" s="1"/>
  <c r="I45" i="4" s="1"/>
  <c r="E42" i="4"/>
  <c r="F42" i="4" s="1"/>
  <c r="G42" i="4" s="1"/>
  <c r="H42" i="4" s="1"/>
  <c r="I42" i="4" s="1"/>
  <c r="F41" i="4"/>
  <c r="G41" i="4" s="1"/>
  <c r="H41" i="4" s="1"/>
  <c r="I41" i="4" s="1"/>
  <c r="E36" i="4"/>
  <c r="F36" i="4" s="1"/>
  <c r="G36" i="4" s="1"/>
  <c r="H36" i="4" s="1"/>
  <c r="I36" i="4" s="1"/>
  <c r="E39" i="4"/>
  <c r="F39" i="4" s="1"/>
  <c r="G39" i="4" s="1"/>
  <c r="H39" i="4" s="1"/>
  <c r="I39" i="4" s="1"/>
  <c r="F38" i="4"/>
  <c r="G38" i="4" s="1"/>
  <c r="H38" i="4" s="1"/>
  <c r="I38" i="4" s="1"/>
  <c r="B288" i="15" l="1"/>
  <c r="E291" i="15"/>
  <c r="I291" i="15"/>
  <c r="H291" i="15"/>
  <c r="G291" i="15"/>
  <c r="F291" i="15"/>
  <c r="D291" i="15"/>
  <c r="B123" i="15"/>
  <c r="C123" i="15"/>
  <c r="C17" i="9" s="1"/>
  <c r="K123" i="15"/>
  <c r="L123" i="15"/>
  <c r="M123" i="15"/>
  <c r="B59" i="4" l="1"/>
  <c r="M161" i="15"/>
  <c r="L161" i="15"/>
  <c r="K161" i="15"/>
  <c r="M160" i="15"/>
  <c r="L160" i="15"/>
  <c r="K160" i="15"/>
  <c r="M159" i="15"/>
  <c r="L159" i="15"/>
  <c r="K159" i="15"/>
  <c r="M157" i="15"/>
  <c r="L157" i="15"/>
  <c r="K157" i="15"/>
  <c r="M156" i="15"/>
  <c r="L156" i="15"/>
  <c r="K156" i="15"/>
  <c r="M155" i="15"/>
  <c r="L155" i="15"/>
  <c r="K155" i="15"/>
  <c r="M154" i="15"/>
  <c r="L154" i="15"/>
  <c r="K154" i="15"/>
  <c r="M152" i="15"/>
  <c r="L152" i="15"/>
  <c r="K152" i="15"/>
  <c r="M151" i="15"/>
  <c r="L151" i="15"/>
  <c r="K151" i="15"/>
  <c r="M149" i="15"/>
  <c r="L149" i="15"/>
  <c r="K149" i="15"/>
  <c r="M148" i="15"/>
  <c r="L148" i="15"/>
  <c r="K148" i="15"/>
  <c r="M147" i="15"/>
  <c r="L147" i="15"/>
  <c r="K147" i="15"/>
  <c r="M145" i="15"/>
  <c r="L145" i="15"/>
  <c r="K145" i="15"/>
  <c r="M144" i="15"/>
  <c r="L144" i="15"/>
  <c r="K144" i="15"/>
  <c r="M143" i="15"/>
  <c r="L143" i="15"/>
  <c r="K143" i="15"/>
  <c r="M142" i="15"/>
  <c r="L142" i="15"/>
  <c r="K142" i="15"/>
  <c r="M141" i="15"/>
  <c r="L141" i="15"/>
  <c r="K141" i="15"/>
  <c r="M140" i="15"/>
  <c r="L140" i="15"/>
  <c r="K140" i="15"/>
  <c r="M139" i="15"/>
  <c r="L139" i="15"/>
  <c r="K139" i="15"/>
  <c r="M137" i="15"/>
  <c r="L137" i="15"/>
  <c r="K137" i="15"/>
  <c r="M136" i="15"/>
  <c r="L136" i="15"/>
  <c r="K136" i="15"/>
  <c r="M135" i="15"/>
  <c r="L135" i="15"/>
  <c r="K135" i="15"/>
  <c r="M134" i="15"/>
  <c r="L134" i="15"/>
  <c r="K134" i="15"/>
  <c r="M133" i="15"/>
  <c r="L133" i="15"/>
  <c r="K133" i="15"/>
  <c r="M132" i="15"/>
  <c r="L132" i="15"/>
  <c r="K132" i="15"/>
  <c r="M131" i="15"/>
  <c r="L131" i="15"/>
  <c r="K131" i="15"/>
  <c r="M129" i="15"/>
  <c r="L129" i="15"/>
  <c r="K129" i="15"/>
  <c r="M128" i="15"/>
  <c r="L128" i="15"/>
  <c r="K128" i="15"/>
  <c r="M127" i="15"/>
  <c r="L127" i="15"/>
  <c r="K127" i="15"/>
  <c r="M125" i="15"/>
  <c r="L125" i="15"/>
  <c r="K125" i="15"/>
  <c r="M124" i="15"/>
  <c r="L124" i="15"/>
  <c r="K124" i="15"/>
  <c r="M122" i="15"/>
  <c r="L122" i="15"/>
  <c r="K122" i="15"/>
  <c r="K120" i="15"/>
  <c r="K119" i="15"/>
  <c r="B160" i="15"/>
  <c r="C160" i="15"/>
  <c r="C47" i="9" s="1"/>
  <c r="B161" i="15"/>
  <c r="C162" i="15"/>
  <c r="B155" i="15"/>
  <c r="C155" i="15"/>
  <c r="C43" i="9" s="1"/>
  <c r="B156" i="15"/>
  <c r="C156" i="15"/>
  <c r="C44" i="9" s="1"/>
  <c r="B157" i="15"/>
  <c r="C158" i="15"/>
  <c r="B159" i="15"/>
  <c r="C159" i="15"/>
  <c r="C46" i="9" s="1"/>
  <c r="C146" i="15"/>
  <c r="B147" i="15"/>
  <c r="C147" i="15"/>
  <c r="C37" i="9" s="1"/>
  <c r="B148" i="15"/>
  <c r="C148" i="15"/>
  <c r="C38" i="9" s="1"/>
  <c r="B149" i="15"/>
  <c r="C150" i="15"/>
  <c r="B151" i="15"/>
  <c r="C151" i="15"/>
  <c r="C40" i="9" s="1"/>
  <c r="B152" i="15"/>
  <c r="C153" i="15"/>
  <c r="B154" i="15"/>
  <c r="C154" i="15"/>
  <c r="C42" i="9" s="1"/>
  <c r="B136" i="15"/>
  <c r="C136" i="15"/>
  <c r="C28" i="9" s="1"/>
  <c r="B137" i="15"/>
  <c r="C138" i="15"/>
  <c r="B139" i="15"/>
  <c r="C139" i="15"/>
  <c r="C30" i="9" s="1"/>
  <c r="B140" i="15"/>
  <c r="C140" i="15"/>
  <c r="C31" i="9" s="1"/>
  <c r="B141" i="15"/>
  <c r="C141" i="15"/>
  <c r="C32" i="9" s="1"/>
  <c r="B142" i="15"/>
  <c r="C142" i="15"/>
  <c r="C33" i="9" s="1"/>
  <c r="B143" i="15"/>
  <c r="C143" i="15"/>
  <c r="C34" i="9" s="1"/>
  <c r="B144" i="15"/>
  <c r="C144" i="15"/>
  <c r="C35" i="9" s="1"/>
  <c r="B145" i="15"/>
  <c r="C145" i="15"/>
  <c r="C36" i="9" s="1"/>
  <c r="B133" i="15"/>
  <c r="C133" i="15"/>
  <c r="C25" i="9" s="1"/>
  <c r="B134" i="15"/>
  <c r="C134" i="15"/>
  <c r="C26" i="9" s="1"/>
  <c r="B135" i="15"/>
  <c r="C135" i="15"/>
  <c r="C27" i="9" s="1"/>
  <c r="C120" i="15"/>
  <c r="C121" i="15"/>
  <c r="C122" i="15"/>
  <c r="C16" i="9" s="1"/>
  <c r="C124" i="15"/>
  <c r="C18" i="9" s="1"/>
  <c r="C126" i="15"/>
  <c r="C127" i="15"/>
  <c r="C20" i="9" s="1"/>
  <c r="C128" i="15"/>
  <c r="C21" i="9" s="1"/>
  <c r="C130" i="15"/>
  <c r="C131" i="15"/>
  <c r="C23" i="9" s="1"/>
  <c r="C132" i="15"/>
  <c r="C24" i="9" s="1"/>
  <c r="C119" i="15"/>
  <c r="B132" i="15"/>
  <c r="B122" i="15"/>
  <c r="B124" i="15"/>
  <c r="B125" i="15"/>
  <c r="B127" i="15"/>
  <c r="B128" i="15"/>
  <c r="B129" i="15"/>
  <c r="B131" i="15"/>
  <c r="B71" i="4"/>
  <c r="C157" i="15" s="1"/>
  <c r="C45" i="9" s="1"/>
  <c r="B66" i="4"/>
  <c r="C152" i="15" s="1"/>
  <c r="C41" i="9" s="1"/>
  <c r="B63" i="4"/>
  <c r="C149" i="15" s="1"/>
  <c r="C39" i="9" s="1"/>
  <c r="B51" i="4"/>
  <c r="C137" i="15" s="1"/>
  <c r="C29" i="9" s="1"/>
  <c r="B75" i="4"/>
  <c r="C161" i="15" s="1"/>
  <c r="C48" i="9" s="1"/>
  <c r="B43" i="4"/>
  <c r="C129" i="15" s="1"/>
  <c r="C22" i="9" s="1"/>
  <c r="B39" i="4"/>
  <c r="C125" i="15" s="1"/>
  <c r="C19" i="9" s="1"/>
  <c r="B280" i="15" l="1"/>
  <c r="C322" i="15" s="1"/>
  <c r="B281" i="15"/>
  <c r="C323" i="15" s="1"/>
  <c r="B282" i="15"/>
  <c r="C324" i="15" s="1"/>
  <c r="B283" i="15"/>
  <c r="C325" i="15" s="1"/>
  <c r="B284" i="15"/>
  <c r="C326" i="15" s="1"/>
  <c r="B285" i="15"/>
  <c r="C327" i="15" s="1"/>
  <c r="B91" i="15"/>
  <c r="B101" i="15"/>
  <c r="B102" i="15"/>
  <c r="B211" i="15"/>
  <c r="B212" i="15"/>
  <c r="B201" i="15"/>
  <c r="I284" i="15" l="1"/>
  <c r="I326" i="15" s="1"/>
  <c r="AQ20" i="22" s="1"/>
  <c r="H284" i="15"/>
  <c r="H326" i="15" s="1"/>
  <c r="AP20" i="22" s="1"/>
  <c r="G284" i="15"/>
  <c r="G326" i="15" s="1"/>
  <c r="AO20" i="22" s="1"/>
  <c r="F284" i="15"/>
  <c r="F326" i="15" s="1"/>
  <c r="AN20" i="22" s="1"/>
  <c r="E284" i="15"/>
  <c r="E326" i="15" s="1"/>
  <c r="AM20" i="22" s="1"/>
  <c r="D284" i="15"/>
  <c r="D326" i="15" s="1"/>
  <c r="AL20" i="22" s="1"/>
  <c r="D281" i="15"/>
  <c r="D323" i="15" s="1"/>
  <c r="AL17" i="22" s="1"/>
  <c r="S125" i="3"/>
  <c r="I31" i="26" l="1"/>
  <c r="C31" i="10"/>
  <c r="D31" i="10"/>
  <c r="E31" i="10"/>
  <c r="F31" i="10"/>
  <c r="B31" i="10"/>
  <c r="C26" i="10"/>
  <c r="D26" i="10"/>
  <c r="E26" i="10"/>
  <c r="F26" i="10"/>
  <c r="G26" i="10"/>
  <c r="B26" i="10"/>
  <c r="F27" i="26"/>
  <c r="J27" i="26"/>
  <c r="K27" i="26"/>
  <c r="J31" i="26"/>
  <c r="K31" i="26"/>
  <c r="K38" i="26" s="1"/>
  <c r="J36" i="26"/>
  <c r="K36" i="26"/>
  <c r="J38" i="26"/>
  <c r="I36" i="26"/>
  <c r="H36" i="26"/>
  <c r="G36" i="26"/>
  <c r="F36" i="26"/>
  <c r="I27" i="26"/>
  <c r="I38" i="26" s="1"/>
  <c r="H27" i="26"/>
  <c r="H31" i="26" s="1"/>
  <c r="H38" i="26" s="1"/>
  <c r="G27" i="26"/>
  <c r="G31" i="26" s="1"/>
  <c r="F31" i="26"/>
  <c r="D151" i="24"/>
  <c r="H151" i="24"/>
  <c r="F151" i="24" s="1"/>
  <c r="E151" i="24"/>
  <c r="G151" i="24"/>
  <c r="C151" i="24" l="1"/>
  <c r="G31" i="10"/>
  <c r="F38" i="26"/>
  <c r="G38" i="26"/>
  <c r="B78" i="12" l="1"/>
  <c r="A78" i="12" s="1" a="1"/>
  <c r="A78" i="12" s="1"/>
  <c r="B79" i="12"/>
  <c r="A79" i="12" s="1" a="1"/>
  <c r="A79" i="12" s="1"/>
  <c r="A80" i="12" a="1"/>
  <c r="A80" i="12" s="1"/>
  <c r="A81" i="12" a="1"/>
  <c r="A81" i="12" s="1"/>
  <c r="A82" i="12" a="1"/>
  <c r="A82" i="12" s="1"/>
  <c r="A83" i="12" a="1"/>
  <c r="A83" i="12" s="1"/>
  <c r="E83" i="12" s="1"/>
  <c r="B84" i="12"/>
  <c r="A84" i="12" s="1" a="1"/>
  <c r="A84" i="12" s="1"/>
  <c r="E84" i="12" s="1"/>
  <c r="D107" i="15" s="1"/>
  <c r="K211" i="15"/>
  <c r="K212" i="15"/>
  <c r="B213" i="15"/>
  <c r="K213" i="15"/>
  <c r="B214" i="15"/>
  <c r="K214" i="15"/>
  <c r="B215" i="15"/>
  <c r="K215" i="15"/>
  <c r="B216" i="15"/>
  <c r="K216" i="15"/>
  <c r="B217" i="15"/>
  <c r="K217" i="15"/>
  <c r="K101" i="15"/>
  <c r="K102" i="15"/>
  <c r="K103" i="15"/>
  <c r="K104" i="15"/>
  <c r="K105" i="15"/>
  <c r="K106" i="15"/>
  <c r="K107" i="15"/>
  <c r="B107" i="15"/>
  <c r="B103" i="15"/>
  <c r="B104" i="15"/>
  <c r="B105" i="15"/>
  <c r="B106" i="15"/>
  <c r="C101" i="15"/>
  <c r="C102" i="15"/>
  <c r="C103" i="15"/>
  <c r="C104" i="15"/>
  <c r="C105" i="15"/>
  <c r="C106" i="15"/>
  <c r="C107" i="15"/>
  <c r="C217" i="15" s="1"/>
  <c r="L120" i="12"/>
  <c r="L119" i="12"/>
  <c r="L118" i="12"/>
  <c r="L117" i="12"/>
  <c r="L116" i="12"/>
  <c r="L115" i="12"/>
  <c r="L114" i="12"/>
  <c r="D120" i="12"/>
  <c r="D119" i="12"/>
  <c r="D118" i="12"/>
  <c r="D117" i="12"/>
  <c r="D116" i="12"/>
  <c r="D115" i="12"/>
  <c r="D114" i="12"/>
  <c r="L84" i="12"/>
  <c r="L83" i="12"/>
  <c r="L82" i="12"/>
  <c r="L81" i="12"/>
  <c r="L80" i="12"/>
  <c r="L79" i="12"/>
  <c r="L78" i="12"/>
  <c r="D84" i="12"/>
  <c r="D83" i="12"/>
  <c r="D82" i="12"/>
  <c r="D81" i="12"/>
  <c r="D80" i="12"/>
  <c r="D79" i="12"/>
  <c r="D78" i="12"/>
  <c r="AD36" i="22"/>
  <c r="AE36" i="22"/>
  <c r="AF36" i="22"/>
  <c r="AG36" i="22"/>
  <c r="AH36" i="22"/>
  <c r="AD37" i="22"/>
  <c r="AE37" i="22"/>
  <c r="AF37" i="22"/>
  <c r="AG37" i="22"/>
  <c r="AH37" i="22"/>
  <c r="AC37" i="22"/>
  <c r="AC36" i="22"/>
  <c r="B37" i="22"/>
  <c r="B35" i="22"/>
  <c r="B36"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G102" i="15" l="1"/>
  <c r="H102" i="15"/>
  <c r="C216" i="15"/>
  <c r="C215" i="15"/>
  <c r="C211" i="15"/>
  <c r="C214" i="15"/>
  <c r="C213" i="15"/>
  <c r="C212" i="15"/>
  <c r="E80" i="12"/>
  <c r="F80" i="12"/>
  <c r="G80" i="12"/>
  <c r="H80" i="12"/>
  <c r="I80" i="12"/>
  <c r="J80" i="12"/>
  <c r="E82" i="12"/>
  <c r="G82" i="12"/>
  <c r="G105" i="15"/>
  <c r="H105" i="15"/>
  <c r="I105" i="15"/>
  <c r="J84" i="12"/>
  <c r="I107" i="15" s="1"/>
  <c r="E79" i="12"/>
  <c r="F79" i="12"/>
  <c r="G79" i="12"/>
  <c r="E78" i="12"/>
  <c r="E81" i="12"/>
  <c r="H104" i="15"/>
  <c r="E104" i="15"/>
  <c r="F104" i="15"/>
  <c r="G104" i="15"/>
  <c r="I104" i="15"/>
  <c r="I84" i="12"/>
  <c r="H107" i="15" s="1"/>
  <c r="H84" i="12"/>
  <c r="F84" i="12"/>
  <c r="E107" i="15" s="1"/>
  <c r="F82" i="12"/>
  <c r="I106" i="15"/>
  <c r="H83" i="12"/>
  <c r="G83" i="12"/>
  <c r="F83" i="12"/>
  <c r="G84" i="12"/>
  <c r="F107" i="15" s="1"/>
  <c r="H106" i="15"/>
  <c r="D106" i="15"/>
  <c r="I1" i="21"/>
  <c r="J1" i="21" s="1"/>
  <c r="K1" i="21" s="1"/>
  <c r="L1" i="21" s="1"/>
  <c r="M1" i="21" s="1"/>
  <c r="N1" i="21" s="1"/>
  <c r="B1" i="21"/>
  <c r="C1" i="21" s="1"/>
  <c r="D1" i="21" s="1"/>
  <c r="E1" i="21" s="1"/>
  <c r="F1" i="21" s="1"/>
  <c r="G1" i="21" s="1"/>
  <c r="H103" i="15" l="1"/>
  <c r="F103" i="15"/>
  <c r="D103" i="15"/>
  <c r="F106" i="15"/>
  <c r="G106" i="15"/>
  <c r="F105" i="15"/>
  <c r="E105" i="15"/>
  <c r="I103" i="15"/>
  <c r="G103" i="15"/>
  <c r="E103" i="15"/>
  <c r="E106" i="15"/>
  <c r="D104" i="15"/>
  <c r="D105" i="15"/>
  <c r="I102" i="15"/>
  <c r="H101" i="15"/>
  <c r="D101" i="15"/>
  <c r="F102" i="15"/>
  <c r="E102" i="15"/>
  <c r="D102" i="15"/>
  <c r="E101" i="15"/>
  <c r="G101" i="15"/>
  <c r="I101" i="15"/>
  <c r="F101" i="15"/>
  <c r="G107" i="15"/>
  <c r="D17" i="4" a="1"/>
  <c r="D17" i="4" s="1"/>
  <c r="D98" i="12" l="1"/>
  <c r="L98" i="12"/>
  <c r="L62" i="12"/>
  <c r="D62" i="12"/>
  <c r="B185" i="15"/>
  <c r="B186" i="15"/>
  <c r="B187" i="15"/>
  <c r="B188" i="15"/>
  <c r="B189" i="15"/>
  <c r="B190" i="15"/>
  <c r="B191" i="15"/>
  <c r="B192" i="15"/>
  <c r="B193" i="15"/>
  <c r="B194" i="15"/>
  <c r="B195" i="15"/>
  <c r="B196" i="15"/>
  <c r="B197" i="15"/>
  <c r="B198" i="15"/>
  <c r="B199" i="15"/>
  <c r="B200" i="15"/>
  <c r="B202" i="15"/>
  <c r="B203" i="15"/>
  <c r="B204" i="15"/>
  <c r="B205" i="15"/>
  <c r="B206" i="15"/>
  <c r="B207" i="15"/>
  <c r="B208" i="15"/>
  <c r="B209" i="15"/>
  <c r="B210" i="15"/>
  <c r="K186" i="15"/>
  <c r="K187" i="15"/>
  <c r="K188" i="15"/>
  <c r="K189" i="15"/>
  <c r="K190" i="15"/>
  <c r="K191" i="15"/>
  <c r="K192" i="15"/>
  <c r="K193" i="15"/>
  <c r="K194" i="15"/>
  <c r="K195" i="15"/>
  <c r="K196" i="15"/>
  <c r="K197" i="15"/>
  <c r="K198" i="15"/>
  <c r="K199" i="15"/>
  <c r="K200" i="15"/>
  <c r="K201" i="15"/>
  <c r="K202" i="15"/>
  <c r="K203" i="15"/>
  <c r="K204" i="15"/>
  <c r="K205" i="15"/>
  <c r="K206" i="15"/>
  <c r="K207" i="15"/>
  <c r="K208" i="15"/>
  <c r="K209" i="15"/>
  <c r="K210" i="15"/>
  <c r="K185" i="15"/>
  <c r="B76" i="15"/>
  <c r="B77" i="15"/>
  <c r="B78" i="15"/>
  <c r="B79" i="15"/>
  <c r="B80" i="15"/>
  <c r="B81" i="15"/>
  <c r="B82" i="15"/>
  <c r="B83" i="15"/>
  <c r="B84" i="15"/>
  <c r="B85" i="15"/>
  <c r="B86" i="15"/>
  <c r="B87" i="15"/>
  <c r="B88" i="15"/>
  <c r="B89" i="15"/>
  <c r="B90" i="15"/>
  <c r="B92" i="15"/>
  <c r="B93" i="15"/>
  <c r="B94" i="15"/>
  <c r="B95" i="15"/>
  <c r="B96" i="15"/>
  <c r="B97" i="15"/>
  <c r="B98" i="15"/>
  <c r="B99" i="15"/>
  <c r="B100" i="15"/>
  <c r="B75" i="15"/>
  <c r="C85" i="15" l="1"/>
  <c r="K85" i="15"/>
  <c r="B62" i="12"/>
  <c r="A62" i="12" s="1" a="1"/>
  <c r="A62" i="12" s="1"/>
  <c r="C62" i="12"/>
  <c r="L23" i="12"/>
  <c r="B49" i="12"/>
  <c r="D34" i="12"/>
  <c r="D31" i="12"/>
  <c r="D28" i="12"/>
  <c r="D25" i="12"/>
  <c r="D22" i="12"/>
  <c r="F6" i="12"/>
  <c r="F7" i="12"/>
  <c r="F8" i="12"/>
  <c r="F9" i="12"/>
  <c r="F10" i="12"/>
  <c r="G10" i="12"/>
  <c r="F11" i="12"/>
  <c r="G11" i="12"/>
  <c r="H11" i="12"/>
  <c r="F12" i="12"/>
  <c r="G12" i="12"/>
  <c r="F13" i="12"/>
  <c r="F14" i="12"/>
  <c r="F15" i="12"/>
  <c r="G15" i="12"/>
  <c r="F16" i="12"/>
  <c r="F17" i="12"/>
  <c r="F18" i="12"/>
  <c r="G18" i="12"/>
  <c r="E6" i="12"/>
  <c r="E7" i="12"/>
  <c r="E8" i="12"/>
  <c r="E9" i="12"/>
  <c r="E10" i="12"/>
  <c r="E11" i="12"/>
  <c r="E12" i="12"/>
  <c r="E13" i="12"/>
  <c r="E14" i="12"/>
  <c r="E15" i="12"/>
  <c r="E16" i="12"/>
  <c r="E17" i="12"/>
  <c r="E18" i="12"/>
  <c r="B22" i="6"/>
  <c r="D16" i="6"/>
  <c r="N16" i="6" s="1"/>
  <c r="G10" i="18"/>
  <c r="C14" i="18" s="1"/>
  <c r="Q57" i="18"/>
  <c r="P20" i="18"/>
  <c r="P21" i="18" s="1"/>
  <c r="P22" i="18" s="1"/>
  <c r="P23" i="18" s="1"/>
  <c r="P24" i="18" s="1"/>
  <c r="P25" i="18" s="1"/>
  <c r="P26" i="18" s="1"/>
  <c r="P27" i="18" s="1"/>
  <c r="P28" i="18" s="1"/>
  <c r="P29" i="18" s="1"/>
  <c r="P30" i="18" s="1"/>
  <c r="P31" i="18" s="1"/>
  <c r="P32" i="18" s="1"/>
  <c r="P33" i="18" s="1"/>
  <c r="P34" i="18" s="1"/>
  <c r="P35" i="18" s="1"/>
  <c r="P36" i="18" s="1"/>
  <c r="P37" i="18" s="1"/>
  <c r="P38" i="18" s="1"/>
  <c r="P39" i="18" s="1"/>
  <c r="P40" i="18" s="1"/>
  <c r="P41" i="18" s="1"/>
  <c r="P42" i="18" s="1"/>
  <c r="P43" i="18" s="1"/>
  <c r="P44" i="18" s="1"/>
  <c r="P45" i="18" s="1"/>
  <c r="P46" i="18" s="1"/>
  <c r="P47" i="18" s="1"/>
  <c r="P48" i="18" s="1"/>
  <c r="P49" i="18" s="1"/>
  <c r="P50" i="18" s="1"/>
  <c r="P51" i="18" s="1"/>
  <c r="P52" i="18" s="1"/>
  <c r="P53" i="18" s="1"/>
  <c r="P54" i="18" s="1"/>
  <c r="Q19" i="18"/>
  <c r="Q20" i="18" s="1"/>
  <c r="Q14" i="18"/>
  <c r="Q13" i="18"/>
  <c r="Q8" i="18"/>
  <c r="R8" i="18" s="1"/>
  <c r="T12" i="18" s="1"/>
  <c r="Q7" i="18"/>
  <c r="R7" i="18" s="1"/>
  <c r="P4" i="18"/>
  <c r="C15" i="18" l="1"/>
  <c r="G12" i="26"/>
  <c r="H12" i="26" s="1"/>
  <c r="I12" i="26" s="1"/>
  <c r="J12" i="26" s="1"/>
  <c r="K12" i="26" s="1"/>
  <c r="C195" i="15"/>
  <c r="N62" i="12"/>
  <c r="O62" i="12" s="1"/>
  <c r="P62" i="12" s="1"/>
  <c r="Q62" i="12" s="1"/>
  <c r="R62" i="12" s="1"/>
  <c r="G11" i="18"/>
  <c r="Q21" i="18"/>
  <c r="P57" i="18"/>
  <c r="Q58" i="18"/>
  <c r="H8" i="18" l="1"/>
  <c r="H11" i="18" s="1"/>
  <c r="C11" i="18"/>
  <c r="C8" i="18" s="1"/>
  <c r="R6" i="18" s="1"/>
  <c r="Q59" i="18"/>
  <c r="P58" i="18"/>
  <c r="R58" i="18" s="1"/>
  <c r="Q22" i="18"/>
  <c r="U57" i="18" l="1"/>
  <c r="U19" i="18"/>
  <c r="R57" i="18"/>
  <c r="Q23" i="18"/>
  <c r="P59" i="18"/>
  <c r="R59" i="18" s="1"/>
  <c r="Q60" i="18"/>
  <c r="S57" i="18" l="1"/>
  <c r="T57" i="18" s="1"/>
  <c r="V57" i="18"/>
  <c r="U58" i="18" s="1"/>
  <c r="U20" i="18"/>
  <c r="V19" i="18"/>
  <c r="P60" i="18"/>
  <c r="Q61" i="18"/>
  <c r="R60" i="18"/>
  <c r="Q24" i="18"/>
  <c r="S58" i="18" l="1"/>
  <c r="T58" i="18" s="1"/>
  <c r="V58" i="18"/>
  <c r="U59" i="18" s="1"/>
  <c r="Q25" i="18"/>
  <c r="P61" i="18"/>
  <c r="R61" i="18"/>
  <c r="Q62" i="18"/>
  <c r="V59" i="18" l="1"/>
  <c r="U60" i="18" s="1"/>
  <c r="S59" i="18"/>
  <c r="T59" i="18" s="1"/>
  <c r="Q63" i="18"/>
  <c r="P62" i="18"/>
  <c r="R62" i="18" s="1"/>
  <c r="Q26" i="18"/>
  <c r="S60" i="18" l="1"/>
  <c r="T60" i="18" s="1"/>
  <c r="V60" i="18"/>
  <c r="U61" i="18" s="1"/>
  <c r="Q27" i="18"/>
  <c r="P63" i="18"/>
  <c r="R63" i="18" s="1"/>
  <c r="Q64" i="18"/>
  <c r="S61" i="18" l="1"/>
  <c r="T61" i="18" s="1"/>
  <c r="V61" i="18"/>
  <c r="U62" i="18" s="1"/>
  <c r="Q65" i="18"/>
  <c r="P64" i="18"/>
  <c r="R64" i="18" s="1"/>
  <c r="Q28" i="18"/>
  <c r="S62" i="18" l="1"/>
  <c r="T62" i="18" s="1"/>
  <c r="V62" i="18"/>
  <c r="U63" i="18" s="1"/>
  <c r="P65" i="18"/>
  <c r="R65" i="18" s="1"/>
  <c r="Q66" i="18"/>
  <c r="Q29" i="18"/>
  <c r="V63" i="18" l="1"/>
  <c r="U64" i="18" s="1"/>
  <c r="S63" i="18"/>
  <c r="T63" i="18" s="1"/>
  <c r="Q67" i="18"/>
  <c r="P66" i="18"/>
  <c r="R66" i="18" s="1"/>
  <c r="Q30" i="18"/>
  <c r="V64" i="18" l="1"/>
  <c r="U65" i="18" s="1"/>
  <c r="S64" i="18"/>
  <c r="T64" i="18" s="1"/>
  <c r="Q31" i="18"/>
  <c r="P67" i="18"/>
  <c r="R67" i="18" s="1"/>
  <c r="Q68" i="18"/>
  <c r="V65" i="18" l="1"/>
  <c r="U66" i="18" s="1"/>
  <c r="S65" i="18"/>
  <c r="T65" i="18" s="1"/>
  <c r="Q69" i="18"/>
  <c r="P68" i="18"/>
  <c r="R68" i="18" s="1"/>
  <c r="Q32" i="18"/>
  <c r="V66" i="18" l="1"/>
  <c r="U67" i="18" s="1"/>
  <c r="S66" i="18"/>
  <c r="T66" i="18" s="1"/>
  <c r="Q33" i="18"/>
  <c r="P69" i="18"/>
  <c r="R69" i="18" s="1"/>
  <c r="Q70" i="18"/>
  <c r="S67" i="18" l="1"/>
  <c r="T67" i="18" s="1"/>
  <c r="V67" i="18"/>
  <c r="U68" i="18" s="1"/>
  <c r="Q34" i="18"/>
  <c r="Q71" i="18"/>
  <c r="P70" i="18"/>
  <c r="R70" i="18" s="1"/>
  <c r="S68" i="18" l="1"/>
  <c r="T68" i="18" s="1"/>
  <c r="V68" i="18"/>
  <c r="U69" i="18" s="1"/>
  <c r="Q35" i="18"/>
  <c r="P71" i="18"/>
  <c r="R71" i="18" s="1"/>
  <c r="Q72" i="18"/>
  <c r="S69" i="18" l="1"/>
  <c r="T69" i="18" s="1"/>
  <c r="V69" i="18"/>
  <c r="U70" i="18" s="1"/>
  <c r="Q36" i="18"/>
  <c r="P72" i="18"/>
  <c r="Q73" i="18"/>
  <c r="R72" i="18"/>
  <c r="V70" i="18" l="1"/>
  <c r="U71" i="18" s="1"/>
  <c r="S70" i="18"/>
  <c r="T70" i="18" s="1"/>
  <c r="P73" i="18"/>
  <c r="R73" i="18" s="1"/>
  <c r="Q74" i="18"/>
  <c r="Q37" i="18"/>
  <c r="S71" i="18" l="1"/>
  <c r="T71" i="18" s="1"/>
  <c r="V71" i="18"/>
  <c r="U72" i="18" s="1"/>
  <c r="Q75" i="18"/>
  <c r="P74" i="18"/>
  <c r="R74" i="18" s="1"/>
  <c r="Q38" i="18"/>
  <c r="S72" i="18" l="1"/>
  <c r="T72" i="18" s="1"/>
  <c r="V72" i="18"/>
  <c r="U73" i="18" s="1"/>
  <c r="P75" i="18"/>
  <c r="R75" i="18" s="1"/>
  <c r="Q76" i="18"/>
  <c r="Q39" i="18"/>
  <c r="S73" i="18" l="1"/>
  <c r="T73" i="18" s="1"/>
  <c r="V73" i="18"/>
  <c r="U74" i="18" s="1"/>
  <c r="Q40" i="18"/>
  <c r="Q77" i="18"/>
  <c r="P76" i="18"/>
  <c r="R76" i="18" s="1"/>
  <c r="S74" i="18" l="1"/>
  <c r="T74" i="18" s="1"/>
  <c r="V74" i="18"/>
  <c r="U75" i="18" s="1"/>
  <c r="P77" i="18"/>
  <c r="R77" i="18" s="1"/>
  <c r="Q78" i="18"/>
  <c r="Q41" i="18"/>
  <c r="S75" i="18" l="1"/>
  <c r="T75" i="18" s="1"/>
  <c r="V75" i="18"/>
  <c r="U76" i="18" s="1"/>
  <c r="Q42" i="18"/>
  <c r="Q79" i="18"/>
  <c r="P78" i="18"/>
  <c r="R78" i="18" s="1"/>
  <c r="S76" i="18" l="1"/>
  <c r="T76" i="18" s="1"/>
  <c r="V76" i="18"/>
  <c r="U77" i="18" s="1"/>
  <c r="Q43" i="18"/>
  <c r="Q80" i="18"/>
  <c r="P79" i="18"/>
  <c r="R79" i="18" s="1"/>
  <c r="S77" i="18" l="1"/>
  <c r="T77" i="18" s="1"/>
  <c r="V77" i="18"/>
  <c r="U78" i="18" s="1"/>
  <c r="Q81" i="18"/>
  <c r="P80" i="18"/>
  <c r="R80" i="18" s="1"/>
  <c r="Q44" i="18"/>
  <c r="V78" i="18" l="1"/>
  <c r="U79" i="18" s="1"/>
  <c r="S78" i="18"/>
  <c r="T78" i="18" s="1"/>
  <c r="Q82" i="18"/>
  <c r="P81" i="18"/>
  <c r="R81" i="18" s="1"/>
  <c r="Q45" i="18"/>
  <c r="S79" i="18" l="1"/>
  <c r="T79" i="18" s="1"/>
  <c r="V79" i="18"/>
  <c r="U80" i="18" s="1"/>
  <c r="Q46" i="18"/>
  <c r="P82" i="18"/>
  <c r="R82" i="18" s="1"/>
  <c r="Q83" i="18"/>
  <c r="S80" i="18" l="1"/>
  <c r="T80" i="18" s="1"/>
  <c r="V80" i="18"/>
  <c r="U81" i="18" s="1"/>
  <c r="Q47" i="18"/>
  <c r="Q84" i="18"/>
  <c r="P83" i="18"/>
  <c r="R83" i="18" s="1"/>
  <c r="S81" i="18" l="1"/>
  <c r="T81" i="18" s="1"/>
  <c r="V81" i="18"/>
  <c r="U82" i="18" s="1"/>
  <c r="Q48" i="18"/>
  <c r="P84" i="18"/>
  <c r="Q85" i="18"/>
  <c r="R84" i="18"/>
  <c r="V82" i="18" l="1"/>
  <c r="U83" i="18" s="1"/>
  <c r="S82" i="18"/>
  <c r="T82" i="18" s="1"/>
  <c r="Q49" i="18"/>
  <c r="Q86" i="18"/>
  <c r="P85" i="18"/>
  <c r="R85" i="18" s="1"/>
  <c r="V83" i="18" l="1"/>
  <c r="U84" i="18" s="1"/>
  <c r="S83" i="18"/>
  <c r="T83" i="18" s="1"/>
  <c r="P86" i="18"/>
  <c r="R86" i="18" s="1"/>
  <c r="Q87" i="18"/>
  <c r="Q50" i="18"/>
  <c r="V84" i="18" l="1"/>
  <c r="U85" i="18" s="1"/>
  <c r="S84" i="18"/>
  <c r="T84" i="18" s="1"/>
  <c r="Q88" i="18"/>
  <c r="P87" i="18"/>
  <c r="R87" i="18" s="1"/>
  <c r="Q51" i="18"/>
  <c r="S85" i="18" l="1"/>
  <c r="T85" i="18" s="1"/>
  <c r="V85" i="18"/>
  <c r="U86" i="18" s="1"/>
  <c r="Q52" i="18"/>
  <c r="Q89" i="18"/>
  <c r="P88" i="18"/>
  <c r="R88" i="18" s="1"/>
  <c r="S86" i="18" l="1"/>
  <c r="T86" i="18" s="1"/>
  <c r="V86" i="18"/>
  <c r="U87" i="18" s="1"/>
  <c r="Q90" i="18"/>
  <c r="P89" i="18"/>
  <c r="R89" i="18"/>
  <c r="Q53" i="18"/>
  <c r="S87" i="18" l="1"/>
  <c r="T87" i="18" s="1"/>
  <c r="V87" i="18"/>
  <c r="U88" i="18" s="1"/>
  <c r="Q91" i="18"/>
  <c r="P90" i="18"/>
  <c r="R90" i="18" s="1"/>
  <c r="Q54" i="18"/>
  <c r="S88" i="18" l="1"/>
  <c r="T88" i="18" s="1"/>
  <c r="V88" i="18"/>
  <c r="U89" i="18" s="1"/>
  <c r="Q92" i="18"/>
  <c r="P91" i="18"/>
  <c r="R91" i="18" s="1"/>
  <c r="V89" i="18" l="1"/>
  <c r="U90" i="18" s="1"/>
  <c r="S89" i="18"/>
  <c r="T89" i="18" s="1"/>
  <c r="Q93" i="18"/>
  <c r="P92" i="18"/>
  <c r="R92" i="18" s="1"/>
  <c r="S90" i="18" l="1"/>
  <c r="T90" i="18" s="1"/>
  <c r="V90" i="18"/>
  <c r="U91" i="18" s="1"/>
  <c r="Q94" i="18"/>
  <c r="P93" i="18"/>
  <c r="R93" i="18" s="1"/>
  <c r="S91" i="18" l="1"/>
  <c r="T91" i="18" s="1"/>
  <c r="V91" i="18"/>
  <c r="U92" i="18" s="1"/>
  <c r="Q95" i="18"/>
  <c r="P94" i="18"/>
  <c r="R94" i="18" s="1"/>
  <c r="S92" i="18" l="1"/>
  <c r="T92" i="18" s="1"/>
  <c r="V92" i="18"/>
  <c r="U93" i="18" s="1"/>
  <c r="P95" i="18"/>
  <c r="R95" i="18"/>
  <c r="Q96" i="18"/>
  <c r="V93" i="18" l="1"/>
  <c r="U94" i="18" s="1"/>
  <c r="S93" i="18"/>
  <c r="T93" i="18" s="1"/>
  <c r="P96" i="18"/>
  <c r="Q97" i="18"/>
  <c r="R96" i="18"/>
  <c r="S94" i="18" l="1"/>
  <c r="T94" i="18" s="1"/>
  <c r="V94" i="18"/>
  <c r="U95" i="18" s="1"/>
  <c r="P97" i="18"/>
  <c r="R97" i="18"/>
  <c r="Q98" i="18"/>
  <c r="V95" i="18" l="1"/>
  <c r="U96" i="18" s="1"/>
  <c r="S95" i="18"/>
  <c r="T95" i="18" s="1"/>
  <c r="Q99" i="18"/>
  <c r="P98" i="18"/>
  <c r="R98" i="18" s="1"/>
  <c r="V96" i="18" l="1"/>
  <c r="U97" i="18" s="1"/>
  <c r="S96" i="18"/>
  <c r="T96" i="18" s="1"/>
  <c r="Q100" i="18"/>
  <c r="P99" i="18"/>
  <c r="R99" i="18" s="1"/>
  <c r="V97" i="18" l="1"/>
  <c r="U98" i="18" s="1"/>
  <c r="S97" i="18"/>
  <c r="T97" i="18" s="1"/>
  <c r="Q101" i="18"/>
  <c r="P100" i="18"/>
  <c r="R100" i="18" s="1"/>
  <c r="S98" i="18" l="1"/>
  <c r="T98" i="18" s="1"/>
  <c r="V98" i="18"/>
  <c r="U99" i="18" s="1"/>
  <c r="P101" i="18"/>
  <c r="R101" i="18" s="1"/>
  <c r="Q102" i="18"/>
  <c r="S99" i="18" l="1"/>
  <c r="T99" i="18" s="1"/>
  <c r="V99" i="18"/>
  <c r="U100" i="18" s="1"/>
  <c r="Q103" i="18"/>
  <c r="P102" i="18"/>
  <c r="R102" i="18" s="1"/>
  <c r="S100" i="18" l="1"/>
  <c r="T100" i="18" s="1"/>
  <c r="V100" i="18"/>
  <c r="U101" i="18" s="1"/>
  <c r="Q104" i="18"/>
  <c r="P103" i="18"/>
  <c r="R103" i="18" s="1"/>
  <c r="S101" i="18" l="1"/>
  <c r="T101" i="18" s="1"/>
  <c r="V101" i="18"/>
  <c r="U102" i="18" s="1"/>
  <c r="P104" i="18"/>
  <c r="R104" i="18" s="1"/>
  <c r="Q105" i="18"/>
  <c r="V102" i="18" l="1"/>
  <c r="U103" i="18" s="1"/>
  <c r="S102" i="18"/>
  <c r="T102" i="18" s="1"/>
  <c r="Q106" i="18"/>
  <c r="P105" i="18"/>
  <c r="R105" i="18" s="1"/>
  <c r="S103" i="18" l="1"/>
  <c r="T103" i="18" s="1"/>
  <c r="V103" i="18"/>
  <c r="U104" i="18" s="1"/>
  <c r="P106" i="18"/>
  <c r="R106" i="18" s="1"/>
  <c r="Q107" i="18"/>
  <c r="S104" i="18" l="1"/>
  <c r="T104" i="18" s="1"/>
  <c r="V104" i="18"/>
  <c r="U105" i="18" s="1"/>
  <c r="Q108" i="18"/>
  <c r="P107" i="18"/>
  <c r="R107" i="18" s="1"/>
  <c r="S105" i="18" l="1"/>
  <c r="T105" i="18" s="1"/>
  <c r="V105" i="18"/>
  <c r="U106" i="18" s="1"/>
  <c r="P108" i="18"/>
  <c r="R108" i="18" s="1"/>
  <c r="Q109" i="18"/>
  <c r="S106" i="18" l="1"/>
  <c r="T106" i="18" s="1"/>
  <c r="V106" i="18"/>
  <c r="U107" i="18" s="1"/>
  <c r="Q110" i="18"/>
  <c r="P109" i="18"/>
  <c r="R109" i="18" s="1"/>
  <c r="V107" i="18" l="1"/>
  <c r="U108" i="18" s="1"/>
  <c r="S107" i="18"/>
  <c r="T107" i="18" s="1"/>
  <c r="P110" i="18"/>
  <c r="R110" i="18" s="1"/>
  <c r="Q111" i="18"/>
  <c r="S108" i="18" l="1"/>
  <c r="T108" i="18" s="1"/>
  <c r="V108" i="18"/>
  <c r="U109" i="18" s="1"/>
  <c r="Q112" i="18"/>
  <c r="P111" i="18"/>
  <c r="R111" i="18" s="1"/>
  <c r="S109" i="18" l="1"/>
  <c r="T109" i="18" s="1"/>
  <c r="V109" i="18"/>
  <c r="U110" i="18" s="1"/>
  <c r="Q113" i="18"/>
  <c r="P112" i="18"/>
  <c r="R112" i="18" s="1"/>
  <c r="S110" i="18" l="1"/>
  <c r="T110" i="18" s="1"/>
  <c r="V110" i="18"/>
  <c r="U111" i="18" s="1"/>
  <c r="P113" i="18"/>
  <c r="R113" i="18"/>
  <c r="Q114" i="18"/>
  <c r="S111" i="18" l="1"/>
  <c r="T111" i="18" s="1"/>
  <c r="V111" i="18"/>
  <c r="U112" i="18" s="1"/>
  <c r="Q115" i="18"/>
  <c r="P114" i="18"/>
  <c r="R114" i="18"/>
  <c r="V112" i="18" l="1"/>
  <c r="U113" i="18" s="1"/>
  <c r="S112" i="18"/>
  <c r="T112" i="18" s="1"/>
  <c r="P115" i="18"/>
  <c r="Q116" i="18"/>
  <c r="R115" i="18"/>
  <c r="V113" i="18" l="1"/>
  <c r="U114" i="18" s="1"/>
  <c r="S113" i="18"/>
  <c r="T113" i="18" s="1"/>
  <c r="Q117" i="18"/>
  <c r="P116" i="18"/>
  <c r="R116" i="18" s="1"/>
  <c r="V114" i="18" l="1"/>
  <c r="U115" i="18" s="1"/>
  <c r="S114" i="18"/>
  <c r="T114" i="18" s="1"/>
  <c r="P117" i="18"/>
  <c r="R117" i="18" s="1"/>
  <c r="Q118" i="18"/>
  <c r="S115" i="18" l="1"/>
  <c r="T115" i="18" s="1"/>
  <c r="V115" i="18"/>
  <c r="U116" i="18" s="1"/>
  <c r="Q119" i="18"/>
  <c r="P118" i="18"/>
  <c r="R118" i="18" s="1"/>
  <c r="V116" i="18" l="1"/>
  <c r="U117" i="18" s="1"/>
  <c r="S116" i="18"/>
  <c r="T116" i="18" s="1"/>
  <c r="P119" i="18"/>
  <c r="R119" i="18" s="1"/>
  <c r="Q120" i="18"/>
  <c r="S117" i="18" l="1"/>
  <c r="T117" i="18" s="1"/>
  <c r="V117" i="18"/>
  <c r="U118" i="18" s="1"/>
  <c r="P120" i="18"/>
  <c r="Q121" i="18"/>
  <c r="R120" i="18"/>
  <c r="S118" i="18" l="1"/>
  <c r="T118" i="18" s="1"/>
  <c r="V118" i="18"/>
  <c r="U119" i="18" s="1"/>
  <c r="Q122" i="18"/>
  <c r="P121" i="18"/>
  <c r="R121" i="18" s="1"/>
  <c r="S119" i="18" l="1"/>
  <c r="T119" i="18" s="1"/>
  <c r="V119" i="18"/>
  <c r="U120" i="18" s="1"/>
  <c r="Q123" i="18"/>
  <c r="P122" i="18"/>
  <c r="R122" i="18" s="1"/>
  <c r="V120" i="18" l="1"/>
  <c r="U121" i="18" s="1"/>
  <c r="S120" i="18"/>
  <c r="T120" i="18" s="1"/>
  <c r="P123" i="18"/>
  <c r="Q124" i="18"/>
  <c r="R123" i="18"/>
  <c r="S121" i="18" l="1"/>
  <c r="T121" i="18" s="1"/>
  <c r="V121" i="18"/>
  <c r="U122" i="18" s="1"/>
  <c r="Q125" i="18"/>
  <c r="P124" i="18"/>
  <c r="R124" i="18" s="1"/>
  <c r="S122" i="18" l="1"/>
  <c r="T122" i="18" s="1"/>
  <c r="V122" i="18"/>
  <c r="U123" i="18" s="1"/>
  <c r="P125" i="18"/>
  <c r="R125" i="18" s="1"/>
  <c r="Q126" i="18"/>
  <c r="S123" i="18" l="1"/>
  <c r="T123" i="18" s="1"/>
  <c r="V123" i="18"/>
  <c r="U124" i="18" s="1"/>
  <c r="P126" i="18"/>
  <c r="R126" i="18" s="1"/>
  <c r="Q127" i="18"/>
  <c r="V124" i="18" l="1"/>
  <c r="U125" i="18" s="1"/>
  <c r="S124" i="18"/>
  <c r="T124" i="18" s="1"/>
  <c r="P127" i="18"/>
  <c r="R127" i="18" s="1"/>
  <c r="Q128" i="18"/>
  <c r="S125" i="18" l="1"/>
  <c r="T125" i="18" s="1"/>
  <c r="V125" i="18"/>
  <c r="U126" i="18" s="1"/>
  <c r="P128" i="18"/>
  <c r="R128" i="18" s="1"/>
  <c r="Q129" i="18"/>
  <c r="S126" i="18" l="1"/>
  <c r="T126" i="18" s="1"/>
  <c r="V126" i="18"/>
  <c r="U127" i="18" s="1"/>
  <c r="Q130" i="18"/>
  <c r="P129" i="18"/>
  <c r="R129" i="18"/>
  <c r="V127" i="18" l="1"/>
  <c r="U128" i="18" s="1"/>
  <c r="S127" i="18"/>
  <c r="T127" i="18" s="1"/>
  <c r="Q131" i="18"/>
  <c r="P130" i="18"/>
  <c r="R130" i="18" s="1"/>
  <c r="S128" i="18" l="1"/>
  <c r="T128" i="18" s="1"/>
  <c r="V128" i="18"/>
  <c r="U129" i="18" s="1"/>
  <c r="P131" i="18"/>
  <c r="R131" i="18"/>
  <c r="Q132" i="18"/>
  <c r="V129" i="18" l="1"/>
  <c r="U130" i="18" s="1"/>
  <c r="S129" i="18"/>
  <c r="T129" i="18" s="1"/>
  <c r="P132" i="18"/>
  <c r="Q133" i="18"/>
  <c r="R132" i="18"/>
  <c r="S130" i="18" l="1"/>
  <c r="T130" i="18" s="1"/>
  <c r="V130" i="18"/>
  <c r="U131" i="18" s="1"/>
  <c r="P133" i="18"/>
  <c r="Q134" i="18"/>
  <c r="R133" i="18"/>
  <c r="S131" i="18" l="1"/>
  <c r="T131" i="18" s="1"/>
  <c r="V131" i="18"/>
  <c r="U132" i="18" s="1"/>
  <c r="Q135" i="18"/>
  <c r="P134" i="18"/>
  <c r="R134" i="18" s="1"/>
  <c r="S132" i="18" l="1"/>
  <c r="T132" i="18" s="1"/>
  <c r="V132" i="18"/>
  <c r="U133" i="18" s="1"/>
  <c r="Q136" i="18"/>
  <c r="P135" i="18"/>
  <c r="R135" i="18" s="1"/>
  <c r="S133" i="18" l="1"/>
  <c r="T133" i="18" s="1"/>
  <c r="V133" i="18"/>
  <c r="U134" i="18" s="1"/>
  <c r="Q137" i="18"/>
  <c r="P136" i="18"/>
  <c r="R136" i="18" s="1"/>
  <c r="S134" i="18" l="1"/>
  <c r="T134" i="18" s="1"/>
  <c r="V134" i="18"/>
  <c r="U135" i="18" s="1"/>
  <c r="Q138" i="18"/>
  <c r="P137" i="18"/>
  <c r="R137" i="18" s="1"/>
  <c r="S135" i="18" l="1"/>
  <c r="T135" i="18" s="1"/>
  <c r="V135" i="18"/>
  <c r="U136" i="18" s="1"/>
  <c r="P138" i="18"/>
  <c r="Q139" i="18"/>
  <c r="R138" i="18"/>
  <c r="S136" i="18" l="1"/>
  <c r="T136" i="18" s="1"/>
  <c r="V136" i="18"/>
  <c r="U137" i="18" s="1"/>
  <c r="Q140" i="18"/>
  <c r="P139" i="18"/>
  <c r="R139" i="18" s="1"/>
  <c r="S137" i="18" l="1"/>
  <c r="T137" i="18" s="1"/>
  <c r="V137" i="18"/>
  <c r="U138" i="18" s="1"/>
  <c r="P140" i="18"/>
  <c r="R140" i="18" s="1"/>
  <c r="Q141" i="18"/>
  <c r="V138" i="18" l="1"/>
  <c r="U139" i="18" s="1"/>
  <c r="S138" i="18"/>
  <c r="T138" i="18" s="1"/>
  <c r="Q142" i="18"/>
  <c r="P141" i="18"/>
  <c r="R141" i="18"/>
  <c r="S139" i="18" l="1"/>
  <c r="T139" i="18" s="1"/>
  <c r="V139" i="18"/>
  <c r="U140" i="18" s="1"/>
  <c r="P142" i="18"/>
  <c r="R142" i="18" s="1"/>
  <c r="Q143" i="18"/>
  <c r="S140" i="18" l="1"/>
  <c r="T140" i="18" s="1"/>
  <c r="V140" i="18"/>
  <c r="U141" i="18" s="1"/>
  <c r="Q144" i="18"/>
  <c r="P143" i="18"/>
  <c r="R143" i="18"/>
  <c r="V141" i="18" l="1"/>
  <c r="U142" i="18" s="1"/>
  <c r="S141" i="18"/>
  <c r="T141" i="18" s="1"/>
  <c r="P144" i="18"/>
  <c r="R144" i="18" s="1"/>
  <c r="Q145" i="18"/>
  <c r="V142" i="18" l="1"/>
  <c r="U143" i="18" s="1"/>
  <c r="S142" i="18"/>
  <c r="T142" i="18" s="1"/>
  <c r="P145" i="18"/>
  <c r="R145" i="18" s="1"/>
  <c r="Q146" i="18"/>
  <c r="V143" i="18" l="1"/>
  <c r="U144" i="18" s="1"/>
  <c r="S143" i="18"/>
  <c r="T143" i="18" s="1"/>
  <c r="P146" i="18"/>
  <c r="R146" i="18"/>
  <c r="Q147" i="18"/>
  <c r="S144" i="18" l="1"/>
  <c r="T144" i="18" s="1"/>
  <c r="V144" i="18"/>
  <c r="U145" i="18" s="1"/>
  <c r="Q148" i="18"/>
  <c r="P147" i="18"/>
  <c r="R147" i="18" s="1"/>
  <c r="S145" i="18" l="1"/>
  <c r="T145" i="18" s="1"/>
  <c r="V145" i="18"/>
  <c r="U146" i="18" s="1"/>
  <c r="Q149" i="18"/>
  <c r="P148" i="18"/>
  <c r="R148" i="18" s="1"/>
  <c r="S146" i="18" l="1"/>
  <c r="T146" i="18" s="1"/>
  <c r="V146" i="18"/>
  <c r="U147" i="18" s="1"/>
  <c r="P149" i="18"/>
  <c r="R149" i="18"/>
  <c r="Q150" i="18"/>
  <c r="S147" i="18" l="1"/>
  <c r="T147" i="18" s="1"/>
  <c r="V147" i="18"/>
  <c r="U148" i="18" s="1"/>
  <c r="Q151" i="18"/>
  <c r="P150" i="18"/>
  <c r="R150" i="18"/>
  <c r="S148" i="18" l="1"/>
  <c r="T148" i="18" s="1"/>
  <c r="V148" i="18"/>
  <c r="U149" i="18" s="1"/>
  <c r="P151" i="18"/>
  <c r="R151" i="18"/>
  <c r="Q152" i="18"/>
  <c r="S149" i="18" l="1"/>
  <c r="T149" i="18" s="1"/>
  <c r="V149" i="18"/>
  <c r="U150" i="18" s="1"/>
  <c r="P152" i="18"/>
  <c r="R152" i="18" s="1"/>
  <c r="Q153" i="18"/>
  <c r="V150" i="18" l="1"/>
  <c r="U151" i="18" s="1"/>
  <c r="S150" i="18"/>
  <c r="T150" i="18" s="1"/>
  <c r="Q154" i="18"/>
  <c r="P153" i="18"/>
  <c r="R153" i="18" s="1"/>
  <c r="S151" i="18" l="1"/>
  <c r="T151" i="18" s="1"/>
  <c r="V151" i="18"/>
  <c r="U152" i="18" s="1"/>
  <c r="Q155" i="18"/>
  <c r="P154" i="18"/>
  <c r="R154" i="18" s="1"/>
  <c r="V152" i="18" l="1"/>
  <c r="U153" i="18" s="1"/>
  <c r="S152" i="18"/>
  <c r="T152" i="18" s="1"/>
  <c r="Q156" i="18"/>
  <c r="P155" i="18"/>
  <c r="R155" i="18" s="1"/>
  <c r="S153" i="18" l="1"/>
  <c r="T153" i="18" s="1"/>
  <c r="V153" i="18"/>
  <c r="U154" i="18" s="1"/>
  <c r="P156" i="18"/>
  <c r="R156" i="18" s="1"/>
  <c r="Q157" i="18"/>
  <c r="S154" i="18" l="1"/>
  <c r="T154" i="18" s="1"/>
  <c r="V154" i="18"/>
  <c r="U155" i="18" s="1"/>
  <c r="P157" i="18"/>
  <c r="Q158" i="18"/>
  <c r="R157" i="18"/>
  <c r="V155" i="18" l="1"/>
  <c r="U156" i="18" s="1"/>
  <c r="S155" i="18"/>
  <c r="T155" i="18" s="1"/>
  <c r="P158" i="18"/>
  <c r="Q159" i="18"/>
  <c r="R158" i="18"/>
  <c r="S156" i="18" l="1"/>
  <c r="T156" i="18" s="1"/>
  <c r="V156" i="18"/>
  <c r="U157" i="18" s="1"/>
  <c r="P159" i="18"/>
  <c r="R159" i="18" s="1"/>
  <c r="Q160" i="18"/>
  <c r="V157" i="18" l="1"/>
  <c r="U158" i="18" s="1"/>
  <c r="S157" i="18"/>
  <c r="T157" i="18" s="1"/>
  <c r="P160" i="18"/>
  <c r="Q161" i="18"/>
  <c r="R160" i="18"/>
  <c r="V158" i="18" l="1"/>
  <c r="U159" i="18" s="1"/>
  <c r="S158" i="18"/>
  <c r="T158" i="18" s="1"/>
  <c r="P161" i="18"/>
  <c r="R161" i="18" s="1"/>
  <c r="Q162" i="18"/>
  <c r="S159" i="18" l="1"/>
  <c r="T159" i="18" s="1"/>
  <c r="V159" i="18"/>
  <c r="U160" i="18" s="1"/>
  <c r="Q163" i="18"/>
  <c r="P162" i="18"/>
  <c r="R162" i="18" s="1"/>
  <c r="S160" i="18" l="1"/>
  <c r="T160" i="18" s="1"/>
  <c r="V160" i="18"/>
  <c r="U161" i="18" s="1"/>
  <c r="Q164" i="18"/>
  <c r="P163" i="18"/>
  <c r="R163" i="18" s="1"/>
  <c r="S161" i="18" l="1"/>
  <c r="T161" i="18" s="1"/>
  <c r="V161" i="18"/>
  <c r="U162" i="18" s="1"/>
  <c r="P164" i="18"/>
  <c r="Q165" i="18"/>
  <c r="R164" i="18"/>
  <c r="S162" i="18" l="1"/>
  <c r="T162" i="18" s="1"/>
  <c r="V162" i="18"/>
  <c r="U163" i="18" s="1"/>
  <c r="Q166" i="18"/>
  <c r="P165" i="18"/>
  <c r="R165" i="18" s="1"/>
  <c r="V163" i="18" l="1"/>
  <c r="U164" i="18" s="1"/>
  <c r="S163" i="18"/>
  <c r="T163" i="18" s="1"/>
  <c r="P166" i="18"/>
  <c r="R166" i="18" s="1"/>
  <c r="Q167" i="18"/>
  <c r="V164" i="18" l="1"/>
  <c r="U165" i="18" s="1"/>
  <c r="S164" i="18"/>
  <c r="T164" i="18" s="1"/>
  <c r="Q168" i="18"/>
  <c r="P167" i="18"/>
  <c r="R167" i="18" s="1"/>
  <c r="V165" i="18" l="1"/>
  <c r="U166" i="18" s="1"/>
  <c r="S165" i="18"/>
  <c r="T165" i="18" s="1"/>
  <c r="P168" i="18"/>
  <c r="R168" i="18" s="1"/>
  <c r="Q169" i="18"/>
  <c r="V166" i="18" l="1"/>
  <c r="U167" i="18" s="1"/>
  <c r="S166" i="18"/>
  <c r="T166" i="18" s="1"/>
  <c r="Q170" i="18"/>
  <c r="P169" i="18"/>
  <c r="R169" i="18" s="1"/>
  <c r="V167" i="18" l="1"/>
  <c r="U168" i="18" s="1"/>
  <c r="S167" i="18"/>
  <c r="T167" i="18" s="1"/>
  <c r="P170" i="18"/>
  <c r="R170" i="18"/>
  <c r="Q171" i="18"/>
  <c r="V168" i="18" l="1"/>
  <c r="U169" i="18" s="1"/>
  <c r="S168" i="18"/>
  <c r="T168" i="18" s="1"/>
  <c r="Q172" i="18"/>
  <c r="P171" i="18"/>
  <c r="R171" i="18"/>
  <c r="S169" i="18" l="1"/>
  <c r="T169" i="18" s="1"/>
  <c r="V169" i="18"/>
  <c r="U170" i="18" s="1"/>
  <c r="P172" i="18"/>
  <c r="R172" i="18"/>
  <c r="Q173" i="18"/>
  <c r="V170" i="18" l="1"/>
  <c r="U171" i="18" s="1"/>
  <c r="S170" i="18"/>
  <c r="T170" i="18" s="1"/>
  <c r="Q174" i="18"/>
  <c r="P173" i="18"/>
  <c r="R173" i="18" s="1"/>
  <c r="S171" i="18" l="1"/>
  <c r="T171" i="18" s="1"/>
  <c r="V171" i="18"/>
  <c r="U172" i="18" s="1"/>
  <c r="Q175" i="18"/>
  <c r="P174" i="18"/>
  <c r="R174" i="18" s="1"/>
  <c r="S172" i="18" l="1"/>
  <c r="T172" i="18" s="1"/>
  <c r="V172" i="18"/>
  <c r="U173" i="18" s="1"/>
  <c r="Q176" i="18"/>
  <c r="P175" i="18"/>
  <c r="R175" i="18"/>
  <c r="S173" i="18" l="1"/>
  <c r="T173" i="18" s="1"/>
  <c r="V173" i="18"/>
  <c r="U174" i="18" s="1"/>
  <c r="P176" i="18"/>
  <c r="R176" i="18" s="1"/>
  <c r="Q177" i="18"/>
  <c r="S174" i="18" l="1"/>
  <c r="T174" i="18" s="1"/>
  <c r="V174" i="18"/>
  <c r="U175" i="18" s="1"/>
  <c r="Q178" i="18"/>
  <c r="P177" i="18"/>
  <c r="R177" i="18" s="1"/>
  <c r="S175" i="18" l="1"/>
  <c r="T175" i="18" s="1"/>
  <c r="V175" i="18"/>
  <c r="U176" i="18" s="1"/>
  <c r="P178" i="18"/>
  <c r="R178" i="18" s="1"/>
  <c r="Q179" i="18"/>
  <c r="V176" i="18" l="1"/>
  <c r="U177" i="18" s="1"/>
  <c r="S176" i="18"/>
  <c r="T176" i="18" s="1"/>
  <c r="Q180" i="18"/>
  <c r="P179" i="18"/>
  <c r="R179" i="18"/>
  <c r="V177" i="18" l="1"/>
  <c r="U178" i="18" s="1"/>
  <c r="S177" i="18"/>
  <c r="T177" i="18" s="1"/>
  <c r="Q181" i="18"/>
  <c r="P180" i="18"/>
  <c r="R180" i="18" s="1"/>
  <c r="S178" i="18" l="1"/>
  <c r="T178" i="18" s="1"/>
  <c r="V178" i="18"/>
  <c r="U179" i="18" s="1"/>
  <c r="P181" i="18"/>
  <c r="R181" i="18" s="1"/>
  <c r="Q182" i="18"/>
  <c r="S179" i="18" l="1"/>
  <c r="T179" i="18" s="1"/>
  <c r="V179" i="18"/>
  <c r="U180" i="18" s="1"/>
  <c r="P182" i="18"/>
  <c r="Q183" i="18"/>
  <c r="R182" i="18"/>
  <c r="S180" i="18" l="1"/>
  <c r="T180" i="18" s="1"/>
  <c r="V180" i="18"/>
  <c r="U181" i="18" s="1"/>
  <c r="P183" i="18"/>
  <c r="R183" i="18" s="1"/>
  <c r="Q184" i="18"/>
  <c r="S181" i="18" l="1"/>
  <c r="T181" i="18" s="1"/>
  <c r="V181" i="18"/>
  <c r="U182" i="18" s="1"/>
  <c r="P184" i="18"/>
  <c r="R184" i="18" s="1"/>
  <c r="Q185" i="18"/>
  <c r="V182" i="18" l="1"/>
  <c r="U183" i="18" s="1"/>
  <c r="S182" i="18"/>
  <c r="T182" i="18" s="1"/>
  <c r="P185" i="18"/>
  <c r="R185" i="18"/>
  <c r="Q186" i="18"/>
  <c r="S183" i="18" l="1"/>
  <c r="T183" i="18" s="1"/>
  <c r="V183" i="18"/>
  <c r="U184" i="18" s="1"/>
  <c r="Q187" i="18"/>
  <c r="P186" i="18"/>
  <c r="R186" i="18" s="1"/>
  <c r="S184" i="18" l="1"/>
  <c r="T184" i="18" s="1"/>
  <c r="V184" i="18"/>
  <c r="U185" i="18" s="1"/>
  <c r="Q188" i="18"/>
  <c r="P187" i="18"/>
  <c r="R187" i="18" s="1"/>
  <c r="S185" i="18" l="1"/>
  <c r="T185" i="18" s="1"/>
  <c r="V185" i="18"/>
  <c r="U186" i="18" s="1"/>
  <c r="P188" i="18"/>
  <c r="R188" i="18" s="1"/>
  <c r="Q189" i="18"/>
  <c r="V186" i="18" l="1"/>
  <c r="U187" i="18" s="1"/>
  <c r="S186" i="18"/>
  <c r="T186" i="18" s="1"/>
  <c r="Q190" i="18"/>
  <c r="P189" i="18"/>
  <c r="R189" i="18" s="1"/>
  <c r="S187" i="18" l="1"/>
  <c r="T187" i="18" s="1"/>
  <c r="V187" i="18"/>
  <c r="U188" i="18" s="1"/>
  <c r="Q191" i="18"/>
  <c r="P190" i="18"/>
  <c r="R190" i="18" s="1"/>
  <c r="V188" i="18" l="1"/>
  <c r="U189" i="18" s="1"/>
  <c r="S188" i="18"/>
  <c r="T188" i="18" s="1"/>
  <c r="P191" i="18"/>
  <c r="R191" i="18" s="1"/>
  <c r="Q192" i="18"/>
  <c r="V189" i="18" l="1"/>
  <c r="U190" i="18" s="1"/>
  <c r="S189" i="18"/>
  <c r="T189" i="18" s="1"/>
  <c r="Q193" i="18"/>
  <c r="P192" i="18"/>
  <c r="R192" i="18" s="1"/>
  <c r="S190" i="18" l="1"/>
  <c r="T190" i="18" s="1"/>
  <c r="V190" i="18"/>
  <c r="U191" i="18" s="1"/>
  <c r="P193" i="18"/>
  <c r="R193" i="18" s="1"/>
  <c r="Q194" i="18"/>
  <c r="V191" i="18" l="1"/>
  <c r="U192" i="18" s="1"/>
  <c r="S191" i="18"/>
  <c r="T191" i="18" s="1"/>
  <c r="P194" i="18"/>
  <c r="Q195" i="18"/>
  <c r="R194" i="18"/>
  <c r="S192" i="18" l="1"/>
  <c r="T192" i="18" s="1"/>
  <c r="V192" i="18"/>
  <c r="U193" i="18" s="1"/>
  <c r="P195" i="18"/>
  <c r="R195" i="18" s="1"/>
  <c r="Q196" i="18"/>
  <c r="V193" i="18" l="1"/>
  <c r="U194" i="18" s="1"/>
  <c r="S193" i="18"/>
  <c r="T193" i="18" s="1"/>
  <c r="Q197" i="18"/>
  <c r="P196" i="18"/>
  <c r="R196" i="18" s="1"/>
  <c r="S194" i="18" l="1"/>
  <c r="T194" i="18" s="1"/>
  <c r="V194" i="18"/>
  <c r="U195" i="18" s="1"/>
  <c r="Q198" i="18"/>
  <c r="P197" i="18"/>
  <c r="R197" i="18" s="1"/>
  <c r="S195" i="18" l="1"/>
  <c r="T195" i="18" s="1"/>
  <c r="V195" i="18"/>
  <c r="U196" i="18" s="1"/>
  <c r="Q199" i="18"/>
  <c r="P198" i="18"/>
  <c r="R198" i="18"/>
  <c r="S196" i="18" l="1"/>
  <c r="T196" i="18" s="1"/>
  <c r="V196" i="18"/>
  <c r="U197" i="18" s="1"/>
  <c r="Q200" i="18"/>
  <c r="P199" i="18"/>
  <c r="R199" i="18" s="1"/>
  <c r="S197" i="18" l="1"/>
  <c r="T197" i="18" s="1"/>
  <c r="V197" i="18"/>
  <c r="U198" i="18" s="1"/>
  <c r="P200" i="18"/>
  <c r="R200" i="18" s="1"/>
  <c r="Q201" i="18"/>
  <c r="S198" i="18" l="1"/>
  <c r="T198" i="18" s="1"/>
  <c r="V198" i="18"/>
  <c r="U199" i="18" s="1"/>
  <c r="P201" i="18"/>
  <c r="R201" i="18" s="1"/>
  <c r="Q202" i="18"/>
  <c r="V199" i="18" l="1"/>
  <c r="U200" i="18" s="1"/>
  <c r="S199" i="18"/>
  <c r="T199" i="18" s="1"/>
  <c r="Q203" i="18"/>
  <c r="P202" i="18"/>
  <c r="R202" i="18" s="1"/>
  <c r="V200" i="18" l="1"/>
  <c r="U201" i="18" s="1"/>
  <c r="S200" i="18"/>
  <c r="T200" i="18" s="1"/>
  <c r="P203" i="18"/>
  <c r="Q204" i="18"/>
  <c r="R203" i="18"/>
  <c r="S201" i="18" l="1"/>
  <c r="T201" i="18" s="1"/>
  <c r="V201" i="18"/>
  <c r="U202" i="18" s="1"/>
  <c r="Q205" i="18"/>
  <c r="P204" i="18"/>
  <c r="R204" i="18" s="1"/>
  <c r="S202" i="18" l="1"/>
  <c r="T202" i="18" s="1"/>
  <c r="V202" i="18"/>
  <c r="U203" i="18" s="1"/>
  <c r="P205" i="18"/>
  <c r="R205" i="18" s="1"/>
  <c r="Q206" i="18"/>
  <c r="S203" i="18" l="1"/>
  <c r="T203" i="18" s="1"/>
  <c r="V203" i="18"/>
  <c r="U204" i="18" s="1"/>
  <c r="P206" i="18"/>
  <c r="Q207" i="18"/>
  <c r="R206" i="18"/>
  <c r="S204" i="18" l="1"/>
  <c r="T204" i="18" s="1"/>
  <c r="V204" i="18"/>
  <c r="U205" i="18" s="1"/>
  <c r="Q208" i="18"/>
  <c r="P207" i="18"/>
  <c r="R207" i="18" s="1"/>
  <c r="S205" i="18" l="1"/>
  <c r="T205" i="18" s="1"/>
  <c r="V205" i="18"/>
  <c r="U206" i="18" s="1"/>
  <c r="P208" i="18"/>
  <c r="R208" i="18" s="1"/>
  <c r="Q209" i="18"/>
  <c r="S206" i="18" l="1"/>
  <c r="T206" i="18" s="1"/>
  <c r="V206" i="18"/>
  <c r="U207" i="18" s="1"/>
  <c r="Q210" i="18"/>
  <c r="P209" i="18"/>
  <c r="R209" i="18" s="1"/>
  <c r="S207" i="18" l="1"/>
  <c r="T207" i="18" s="1"/>
  <c r="V207" i="18"/>
  <c r="U208" i="18" s="1"/>
  <c r="Q211" i="18"/>
  <c r="P210" i="18"/>
  <c r="R210" i="18" s="1"/>
  <c r="V208" i="18" l="1"/>
  <c r="U209" i="18" s="1"/>
  <c r="S208" i="18"/>
  <c r="T208" i="18" s="1"/>
  <c r="P211" i="18"/>
  <c r="R211" i="18" s="1"/>
  <c r="Q212" i="18"/>
  <c r="S209" i="18" l="1"/>
  <c r="T209" i="18" s="1"/>
  <c r="V209" i="18"/>
  <c r="U210" i="18" s="1"/>
  <c r="Q213" i="18"/>
  <c r="P212" i="18"/>
  <c r="R212" i="18" s="1"/>
  <c r="V210" i="18" l="1"/>
  <c r="U211" i="18" s="1"/>
  <c r="S210" i="18"/>
  <c r="T210" i="18" s="1"/>
  <c r="P213" i="18"/>
  <c r="R213" i="18" s="1"/>
  <c r="Q214" i="18"/>
  <c r="S211" i="18" l="1"/>
  <c r="T211" i="18" s="1"/>
  <c r="V211" i="18"/>
  <c r="U212" i="18" s="1"/>
  <c r="Q215" i="18"/>
  <c r="P214" i="18"/>
  <c r="R214" i="18"/>
  <c r="S212" i="18" l="1"/>
  <c r="T212" i="18" s="1"/>
  <c r="V212" i="18"/>
  <c r="U213" i="18" s="1"/>
  <c r="P215" i="18"/>
  <c r="R215" i="18" s="1"/>
  <c r="Q216" i="18"/>
  <c r="S213" i="18" l="1"/>
  <c r="T213" i="18" s="1"/>
  <c r="V213" i="18"/>
  <c r="U214" i="18" s="1"/>
  <c r="Q217" i="18"/>
  <c r="P216" i="18"/>
  <c r="R216" i="18" s="1"/>
  <c r="V214" i="18" l="1"/>
  <c r="U215" i="18" s="1"/>
  <c r="S214" i="18"/>
  <c r="T214" i="18" s="1"/>
  <c r="P217" i="18"/>
  <c r="R217" i="18"/>
  <c r="Q218" i="18"/>
  <c r="S215" i="18" l="1"/>
  <c r="T215" i="18" s="1"/>
  <c r="V215" i="18"/>
  <c r="U216" i="18" s="1"/>
  <c r="P218" i="18"/>
  <c r="Q219" i="18"/>
  <c r="R218" i="18"/>
  <c r="V216" i="18" l="1"/>
  <c r="U217" i="18" s="1"/>
  <c r="S216" i="18"/>
  <c r="T216" i="18" s="1"/>
  <c r="P219" i="18"/>
  <c r="Q220" i="18"/>
  <c r="R219" i="18"/>
  <c r="S217" i="18" l="1"/>
  <c r="T217" i="18" s="1"/>
  <c r="V217" i="18"/>
  <c r="U218" i="18" s="1"/>
  <c r="Q221" i="18"/>
  <c r="P220" i="18"/>
  <c r="R220" i="18" s="1"/>
  <c r="S218" i="18" l="1"/>
  <c r="T218" i="18" s="1"/>
  <c r="V218" i="18"/>
  <c r="U219" i="18" s="1"/>
  <c r="P221" i="18"/>
  <c r="Q222" i="18"/>
  <c r="R221" i="18"/>
  <c r="S219" i="18" l="1"/>
  <c r="T219" i="18" s="1"/>
  <c r="V219" i="18"/>
  <c r="U220" i="18" s="1"/>
  <c r="Q223" i="18"/>
  <c r="P222" i="18"/>
  <c r="R222" i="18" s="1"/>
  <c r="V220" i="18" l="1"/>
  <c r="U221" i="18" s="1"/>
  <c r="S220" i="18"/>
  <c r="T220" i="18" s="1"/>
  <c r="P223" i="18"/>
  <c r="R223" i="18" s="1"/>
  <c r="Q224" i="18"/>
  <c r="S221" i="18" l="1"/>
  <c r="T221" i="18" s="1"/>
  <c r="V221" i="18"/>
  <c r="U222" i="18" s="1"/>
  <c r="Q225" i="18"/>
  <c r="P224" i="18"/>
  <c r="R224" i="18" s="1"/>
  <c r="S222" i="18" l="1"/>
  <c r="T222" i="18" s="1"/>
  <c r="V222" i="18"/>
  <c r="U223" i="18" s="1"/>
  <c r="Q226" i="18"/>
  <c r="P225" i="18"/>
  <c r="R225" i="18" s="1"/>
  <c r="V223" i="18" l="1"/>
  <c r="U224" i="18" s="1"/>
  <c r="S223" i="18"/>
  <c r="T223" i="18" s="1"/>
  <c r="Q227" i="18"/>
  <c r="P226" i="18"/>
  <c r="R226" i="18" s="1"/>
  <c r="S224" i="18" l="1"/>
  <c r="T224" i="18" s="1"/>
  <c r="V224" i="18"/>
  <c r="U225" i="18" s="1"/>
  <c r="P227" i="18"/>
  <c r="R227" i="18" s="1"/>
  <c r="Q228" i="18"/>
  <c r="V225" i="18" l="1"/>
  <c r="U226" i="18" s="1"/>
  <c r="S225" i="18"/>
  <c r="T225" i="18" s="1"/>
  <c r="P228" i="18"/>
  <c r="R228" i="18" s="1"/>
  <c r="Q229" i="18"/>
  <c r="S226" i="18" l="1"/>
  <c r="T226" i="18" s="1"/>
  <c r="V226" i="18"/>
  <c r="U227" i="18" s="1"/>
  <c r="Q230" i="18"/>
  <c r="P229" i="18"/>
  <c r="R229" i="18" s="1"/>
  <c r="S227" i="18" l="1"/>
  <c r="T227" i="18" s="1"/>
  <c r="V227" i="18"/>
  <c r="U228" i="18" s="1"/>
  <c r="P230" i="18"/>
  <c r="R230" i="18" s="1"/>
  <c r="Q231" i="18"/>
  <c r="S228" i="18" l="1"/>
  <c r="T228" i="18" s="1"/>
  <c r="V228" i="18"/>
  <c r="U229" i="18" s="1"/>
  <c r="Q232" i="18"/>
  <c r="P231" i="18"/>
  <c r="R231" i="18" s="1"/>
  <c r="S229" i="18" l="1"/>
  <c r="T229" i="18" s="1"/>
  <c r="V229" i="18"/>
  <c r="U230" i="18" s="1"/>
  <c r="Q233" i="18"/>
  <c r="P232" i="18"/>
  <c r="R232" i="18" s="1"/>
  <c r="S230" i="18" l="1"/>
  <c r="T230" i="18" s="1"/>
  <c r="V230" i="18"/>
  <c r="U231" i="18" s="1"/>
  <c r="P233" i="18"/>
  <c r="R233" i="18" s="1"/>
  <c r="Q234" i="18"/>
  <c r="S231" i="18" l="1"/>
  <c r="T231" i="18" s="1"/>
  <c r="V231" i="18"/>
  <c r="U232" i="18" s="1"/>
  <c r="Q235" i="18"/>
  <c r="P234" i="18"/>
  <c r="R234" i="18" s="1"/>
  <c r="S232" i="18" l="1"/>
  <c r="T232" i="18" s="1"/>
  <c r="V232" i="18"/>
  <c r="U233" i="18" s="1"/>
  <c r="Q236" i="18"/>
  <c r="P235" i="18"/>
  <c r="R235" i="18" s="1"/>
  <c r="S233" i="18" l="1"/>
  <c r="T233" i="18" s="1"/>
  <c r="V233" i="18"/>
  <c r="U234" i="18" s="1"/>
  <c r="Q237" i="18"/>
  <c r="P236" i="18"/>
  <c r="R236" i="18" s="1"/>
  <c r="S234" i="18" l="1"/>
  <c r="T234" i="18" s="1"/>
  <c r="V234" i="18"/>
  <c r="U235" i="18" s="1"/>
  <c r="P237" i="18"/>
  <c r="R237" i="18" s="1"/>
  <c r="Q238" i="18"/>
  <c r="S235" i="18" l="1"/>
  <c r="T235" i="18" s="1"/>
  <c r="V235" i="18"/>
  <c r="U236" i="18" s="1"/>
  <c r="Q239" i="18"/>
  <c r="P238" i="18"/>
  <c r="R238" i="18" s="1"/>
  <c r="S236" i="18" l="1"/>
  <c r="T236" i="18" s="1"/>
  <c r="V236" i="18"/>
  <c r="U237" i="18" s="1"/>
  <c r="Q240" i="18"/>
  <c r="P239" i="18"/>
  <c r="R239" i="18" s="1"/>
  <c r="S237" i="18" l="1"/>
  <c r="T237" i="18" s="1"/>
  <c r="V237" i="18"/>
  <c r="U238" i="18" s="1"/>
  <c r="Q241" i="18"/>
  <c r="P240" i="18"/>
  <c r="R240" i="18" s="1"/>
  <c r="V238" i="18" l="1"/>
  <c r="U239" i="18" s="1"/>
  <c r="S238" i="18"/>
  <c r="T238" i="18" s="1"/>
  <c r="Q242" i="18"/>
  <c r="P241" i="18"/>
  <c r="R241" i="18"/>
  <c r="S239" i="18" l="1"/>
  <c r="T239" i="18" s="1"/>
  <c r="V239" i="18"/>
  <c r="U240" i="18" s="1"/>
  <c r="P242" i="18"/>
  <c r="R242" i="18" s="1"/>
  <c r="Q243" i="18"/>
  <c r="S240" i="18" l="1"/>
  <c r="T240" i="18" s="1"/>
  <c r="V240" i="18"/>
  <c r="U241" i="18" s="1"/>
  <c r="P243" i="18"/>
  <c r="Q244" i="18"/>
  <c r="R243" i="18"/>
  <c r="S241" i="18" l="1"/>
  <c r="T241" i="18" s="1"/>
  <c r="V241" i="18"/>
  <c r="U242" i="18" s="1"/>
  <c r="P244" i="18"/>
  <c r="R244" i="18" s="1"/>
  <c r="Q245" i="18"/>
  <c r="V242" i="18" l="1"/>
  <c r="U243" i="18" s="1"/>
  <c r="S242" i="18"/>
  <c r="T242" i="18" s="1"/>
  <c r="Q246" i="18"/>
  <c r="P245" i="18"/>
  <c r="R245" i="18" s="1"/>
  <c r="S243" i="18" l="1"/>
  <c r="T243" i="18" s="1"/>
  <c r="V243" i="18"/>
  <c r="U244" i="18" s="1"/>
  <c r="Q247" i="18"/>
  <c r="P246" i="18"/>
  <c r="R246" i="18" s="1"/>
  <c r="V244" i="18" l="1"/>
  <c r="U245" i="18" s="1"/>
  <c r="S244" i="18"/>
  <c r="T244" i="18" s="1"/>
  <c r="P247" i="18"/>
  <c r="R247" i="18" s="1"/>
  <c r="Q248" i="18"/>
  <c r="S245" i="18" l="1"/>
  <c r="T245" i="18" s="1"/>
  <c r="V245" i="18"/>
  <c r="U246" i="18" s="1"/>
  <c r="Q249" i="18"/>
  <c r="P248" i="18"/>
  <c r="R248" i="18" s="1"/>
  <c r="S246" i="18" l="1"/>
  <c r="T246" i="18" s="1"/>
  <c r="V246" i="18"/>
  <c r="U247" i="18" s="1"/>
  <c r="Q250" i="18"/>
  <c r="P249" i="18"/>
  <c r="R249" i="18" s="1"/>
  <c r="S247" i="18" l="1"/>
  <c r="T247" i="18" s="1"/>
  <c r="V247" i="18"/>
  <c r="U248" i="18" s="1"/>
  <c r="P250" i="18"/>
  <c r="R250" i="18" s="1"/>
  <c r="Q251" i="18"/>
  <c r="V248" i="18" l="1"/>
  <c r="U249" i="18" s="1"/>
  <c r="S248" i="18"/>
  <c r="T248" i="18" s="1"/>
  <c r="Q252" i="18"/>
  <c r="P251" i="18"/>
  <c r="R251" i="18" s="1"/>
  <c r="S249" i="18" l="1"/>
  <c r="T249" i="18" s="1"/>
  <c r="V249" i="18"/>
  <c r="U250" i="18" s="1"/>
  <c r="P252" i="18"/>
  <c r="R252" i="18" s="1"/>
  <c r="Q253" i="18"/>
  <c r="S250" i="18" l="1"/>
  <c r="T250" i="18" s="1"/>
  <c r="V250" i="18"/>
  <c r="U251" i="18" s="1"/>
  <c r="Q254" i="18"/>
  <c r="P253" i="18"/>
  <c r="R253" i="18" s="1"/>
  <c r="S251" i="18" l="1"/>
  <c r="T251" i="18" s="1"/>
  <c r="V251" i="18"/>
  <c r="U252" i="18" s="1"/>
  <c r="P254" i="18"/>
  <c r="R254" i="18"/>
  <c r="Q255" i="18"/>
  <c r="S252" i="18" l="1"/>
  <c r="T252" i="18" s="1"/>
  <c r="V252" i="18"/>
  <c r="U253" i="18" s="1"/>
  <c r="Q256" i="18"/>
  <c r="P255" i="18"/>
  <c r="R255" i="18" s="1"/>
  <c r="S253" i="18" l="1"/>
  <c r="T253" i="18" s="1"/>
  <c r="V253" i="18"/>
  <c r="U254" i="18" s="1"/>
  <c r="P256" i="18"/>
  <c r="R256" i="18" s="1"/>
  <c r="Q257" i="18"/>
  <c r="V254" i="18" l="1"/>
  <c r="U255" i="18" s="1"/>
  <c r="S254" i="18"/>
  <c r="T254" i="18" s="1"/>
  <c r="P257" i="18"/>
  <c r="R257" i="18" s="1"/>
  <c r="Q258" i="18"/>
  <c r="S255" i="18" l="1"/>
  <c r="T255" i="18" s="1"/>
  <c r="V255" i="18"/>
  <c r="U256" i="18" s="1"/>
  <c r="Q259" i="18"/>
  <c r="P258" i="18"/>
  <c r="R258" i="18" s="1"/>
  <c r="S256" i="18" l="1"/>
  <c r="T256" i="18" s="1"/>
  <c r="V256" i="18"/>
  <c r="U257" i="18" s="1"/>
  <c r="P259" i="18"/>
  <c r="R259" i="18" s="1"/>
  <c r="Q260" i="18"/>
  <c r="S257" i="18" l="1"/>
  <c r="T257" i="18" s="1"/>
  <c r="V257" i="18"/>
  <c r="U258" i="18" s="1"/>
  <c r="P260" i="18"/>
  <c r="R260" i="18"/>
  <c r="Q261" i="18"/>
  <c r="V258" i="18" l="1"/>
  <c r="U259" i="18" s="1"/>
  <c r="S258" i="18"/>
  <c r="T258" i="18" s="1"/>
  <c r="Q262" i="18"/>
  <c r="P261" i="18"/>
  <c r="R261" i="18" s="1"/>
  <c r="S259" i="18" l="1"/>
  <c r="T259" i="18" s="1"/>
  <c r="V259" i="18"/>
  <c r="U260" i="18" s="1"/>
  <c r="P262" i="18"/>
  <c r="R262" i="18" s="1"/>
  <c r="Q263" i="18"/>
  <c r="V260" i="18" l="1"/>
  <c r="U261" i="18" s="1"/>
  <c r="S260" i="18"/>
  <c r="T260" i="18" s="1"/>
  <c r="Q264" i="18"/>
  <c r="P263" i="18"/>
  <c r="R263" i="18" s="1"/>
  <c r="S261" i="18" l="1"/>
  <c r="T261" i="18" s="1"/>
  <c r="V261" i="18"/>
  <c r="U262" i="18" s="1"/>
  <c r="P264" i="18"/>
  <c r="R264" i="18" s="1"/>
  <c r="Q265" i="18"/>
  <c r="V262" i="18" l="1"/>
  <c r="U263" i="18" s="1"/>
  <c r="S262" i="18"/>
  <c r="T262" i="18" s="1"/>
  <c r="Q266" i="18"/>
  <c r="P265" i="18"/>
  <c r="R265" i="18" s="1"/>
  <c r="V263" i="18" l="1"/>
  <c r="U264" i="18" s="1"/>
  <c r="S263" i="18"/>
  <c r="T263" i="18" s="1"/>
  <c r="P266" i="18"/>
  <c r="Q267" i="18"/>
  <c r="R266" i="18"/>
  <c r="V264" i="18" l="1"/>
  <c r="U265" i="18" s="1"/>
  <c r="S264" i="18"/>
  <c r="T264" i="18" s="1"/>
  <c r="Q268" i="18"/>
  <c r="P267" i="18"/>
  <c r="R267" i="18" s="1"/>
  <c r="S265" i="18" l="1"/>
  <c r="T265" i="18" s="1"/>
  <c r="V265" i="18"/>
  <c r="U266" i="18" s="1"/>
  <c r="Q269" i="18"/>
  <c r="P268" i="18"/>
  <c r="R268" i="18" s="1"/>
  <c r="S266" i="18" l="1"/>
  <c r="T266" i="18" s="1"/>
  <c r="V266" i="18"/>
  <c r="U267" i="18" s="1"/>
  <c r="Q270" i="18"/>
  <c r="P269" i="18"/>
  <c r="R269" i="18"/>
  <c r="S267" i="18" l="1"/>
  <c r="T267" i="18" s="1"/>
  <c r="V267" i="18"/>
  <c r="U268" i="18" s="1"/>
  <c r="Q271" i="18"/>
  <c r="P270" i="18"/>
  <c r="R270" i="18" s="1"/>
  <c r="S268" i="18" l="1"/>
  <c r="T268" i="18" s="1"/>
  <c r="V268" i="18"/>
  <c r="U269" i="18" s="1"/>
  <c r="P271" i="18"/>
  <c r="Q272" i="18"/>
  <c r="R271" i="18"/>
  <c r="S269" i="18" l="1"/>
  <c r="T269" i="18" s="1"/>
  <c r="V269" i="18"/>
  <c r="U270" i="18" s="1"/>
  <c r="P272" i="18"/>
  <c r="Q273" i="18"/>
  <c r="R272" i="18"/>
  <c r="S270" i="18" l="1"/>
  <c r="T270" i="18" s="1"/>
  <c r="V270" i="18"/>
  <c r="U271" i="18" s="1"/>
  <c r="P273" i="18"/>
  <c r="Q274" i="18"/>
  <c r="R273" i="18"/>
  <c r="V271" i="18" l="1"/>
  <c r="U272" i="18" s="1"/>
  <c r="S271" i="18"/>
  <c r="T271" i="18" s="1"/>
  <c r="P274" i="18"/>
  <c r="Q275" i="18"/>
  <c r="R274" i="18"/>
  <c r="S272" i="18" l="1"/>
  <c r="T272" i="18" s="1"/>
  <c r="V272" i="18"/>
  <c r="U273" i="18" s="1"/>
  <c r="Q276" i="18"/>
  <c r="P275" i="18"/>
  <c r="R275" i="18" s="1"/>
  <c r="V273" i="18" l="1"/>
  <c r="U274" i="18" s="1"/>
  <c r="S273" i="18"/>
  <c r="T273" i="18" s="1"/>
  <c r="P276" i="18"/>
  <c r="R276" i="18" s="1"/>
  <c r="Q277" i="18"/>
  <c r="V274" i="18" l="1"/>
  <c r="U275" i="18" s="1"/>
  <c r="S274" i="18"/>
  <c r="T274" i="18" s="1"/>
  <c r="Q278" i="18"/>
  <c r="P277" i="18"/>
  <c r="R277" i="18"/>
  <c r="V275" i="18" l="1"/>
  <c r="U276" i="18" s="1"/>
  <c r="S275" i="18"/>
  <c r="T275" i="18" s="1"/>
  <c r="P278" i="18"/>
  <c r="R278" i="18"/>
  <c r="Q279" i="18"/>
  <c r="S276" i="18" l="1"/>
  <c r="T276" i="18" s="1"/>
  <c r="V276" i="18"/>
  <c r="U277" i="18" s="1"/>
  <c r="P279" i="18"/>
  <c r="Q280" i="18"/>
  <c r="R279" i="18"/>
  <c r="S277" i="18" l="1"/>
  <c r="T277" i="18" s="1"/>
  <c r="V277" i="18"/>
  <c r="U278" i="18" s="1"/>
  <c r="P280" i="18"/>
  <c r="R280" i="18" s="1"/>
  <c r="Q281" i="18"/>
  <c r="V278" i="18" l="1"/>
  <c r="U279" i="18" s="1"/>
  <c r="S278" i="18"/>
  <c r="T278" i="18" s="1"/>
  <c r="Q282" i="18"/>
  <c r="P281" i="18"/>
  <c r="R281" i="18" s="1"/>
  <c r="S279" i="18" l="1"/>
  <c r="T279" i="18" s="1"/>
  <c r="V279" i="18"/>
  <c r="U280" i="18" s="1"/>
  <c r="Q283" i="18"/>
  <c r="P282" i="18"/>
  <c r="R282" i="18" s="1"/>
  <c r="S280" i="18" l="1"/>
  <c r="T280" i="18" s="1"/>
  <c r="V280" i="18"/>
  <c r="U281" i="18" s="1"/>
  <c r="Q284" i="18"/>
  <c r="P283" i="18"/>
  <c r="R283" i="18" s="1"/>
  <c r="S281" i="18" l="1"/>
  <c r="T281" i="18" s="1"/>
  <c r="V281" i="18"/>
  <c r="U282" i="18" s="1"/>
  <c r="P284" i="18"/>
  <c r="Q285" i="18"/>
  <c r="R284" i="18"/>
  <c r="S282" i="18" l="1"/>
  <c r="T282" i="18" s="1"/>
  <c r="V282" i="18"/>
  <c r="U283" i="18" s="1"/>
  <c r="P285" i="18"/>
  <c r="R285" i="18" s="1"/>
  <c r="Q286" i="18"/>
  <c r="S283" i="18" l="1"/>
  <c r="T283" i="18" s="1"/>
  <c r="V283" i="18"/>
  <c r="U284" i="18" s="1"/>
  <c r="P286" i="18"/>
  <c r="R286" i="18" s="1"/>
  <c r="Q287" i="18"/>
  <c r="V284" i="18" l="1"/>
  <c r="U285" i="18" s="1"/>
  <c r="S284" i="18"/>
  <c r="T284" i="18" s="1"/>
  <c r="P287" i="18"/>
  <c r="R287" i="18" s="1"/>
  <c r="Q288" i="18"/>
  <c r="V285" i="18" l="1"/>
  <c r="U286" i="18" s="1"/>
  <c r="S285" i="18"/>
  <c r="T285" i="18" s="1"/>
  <c r="Q289" i="18"/>
  <c r="P288" i="18"/>
  <c r="R288" i="18" s="1"/>
  <c r="S286" i="18" l="1"/>
  <c r="T286" i="18" s="1"/>
  <c r="V286" i="18"/>
  <c r="U287" i="18" s="1"/>
  <c r="Q290" i="18"/>
  <c r="P289" i="18"/>
  <c r="R289" i="18" s="1"/>
  <c r="S287" i="18" l="1"/>
  <c r="T287" i="18" s="1"/>
  <c r="V287" i="18"/>
  <c r="U288" i="18" s="1"/>
  <c r="P290" i="18"/>
  <c r="R290" i="18" s="1"/>
  <c r="Q291" i="18"/>
  <c r="V288" i="18" l="1"/>
  <c r="U289" i="18" s="1"/>
  <c r="S288" i="18"/>
  <c r="T288" i="18" s="1"/>
  <c r="P291" i="18"/>
  <c r="R291" i="18" s="1"/>
  <c r="Q292" i="18"/>
  <c r="S289" i="18" l="1"/>
  <c r="T289" i="18" s="1"/>
  <c r="V289" i="18"/>
  <c r="U290" i="18" s="1"/>
  <c r="P292" i="18"/>
  <c r="R292" i="18"/>
  <c r="Q293" i="18"/>
  <c r="S290" i="18" l="1"/>
  <c r="T290" i="18" s="1"/>
  <c r="V290" i="18"/>
  <c r="U291" i="18" s="1"/>
  <c r="Q294" i="18"/>
  <c r="P293" i="18"/>
  <c r="R293" i="18" s="1"/>
  <c r="S291" i="18" l="1"/>
  <c r="T291" i="18" s="1"/>
  <c r="V291" i="18"/>
  <c r="U292" i="18" s="1"/>
  <c r="Q295" i="18"/>
  <c r="P294" i="18"/>
  <c r="R294" i="18" s="1"/>
  <c r="V292" i="18" l="1"/>
  <c r="U293" i="18" s="1"/>
  <c r="S292" i="18"/>
  <c r="T292" i="18" s="1"/>
  <c r="Q296" i="18"/>
  <c r="P295" i="18"/>
  <c r="R295" i="18" s="1"/>
  <c r="S293" i="18" l="1"/>
  <c r="T293" i="18" s="1"/>
  <c r="V293" i="18"/>
  <c r="U294" i="18" s="1"/>
  <c r="Q297" i="18"/>
  <c r="P296" i="18"/>
  <c r="R296" i="18" s="1"/>
  <c r="S294" i="18" l="1"/>
  <c r="T294" i="18" s="1"/>
  <c r="V294" i="18"/>
  <c r="U295" i="18" s="1"/>
  <c r="P297" i="18"/>
  <c r="R297" i="18" s="1"/>
  <c r="Q298" i="18"/>
  <c r="S295" i="18" l="1"/>
  <c r="T295" i="18" s="1"/>
  <c r="V295" i="18"/>
  <c r="U296" i="18" s="1"/>
  <c r="Q299" i="18"/>
  <c r="P298" i="18"/>
  <c r="R298" i="18" s="1"/>
  <c r="S296" i="18" l="1"/>
  <c r="T296" i="18" s="1"/>
  <c r="V296" i="18"/>
  <c r="U297" i="18" s="1"/>
  <c r="P299" i="18"/>
  <c r="Q300" i="18"/>
  <c r="R299" i="18"/>
  <c r="S297" i="18" l="1"/>
  <c r="T297" i="18" s="1"/>
  <c r="V297" i="18"/>
  <c r="U298" i="18" s="1"/>
  <c r="P300" i="18"/>
  <c r="R300" i="18" s="1"/>
  <c r="Q301" i="18"/>
  <c r="S298" i="18" l="1"/>
  <c r="T298" i="18" s="1"/>
  <c r="V298" i="18"/>
  <c r="U299" i="18" s="1"/>
  <c r="P301" i="18"/>
  <c r="R301" i="18" s="1"/>
  <c r="Q302" i="18"/>
  <c r="V299" i="18" l="1"/>
  <c r="U300" i="18" s="1"/>
  <c r="S299" i="18"/>
  <c r="T299" i="18" s="1"/>
  <c r="P302" i="18"/>
  <c r="Q303" i="18"/>
  <c r="R302" i="18"/>
  <c r="S300" i="18" l="1"/>
  <c r="T300" i="18" s="1"/>
  <c r="V300" i="18"/>
  <c r="U301" i="18" s="1"/>
  <c r="P303" i="18"/>
  <c r="R303" i="18" s="1"/>
  <c r="Q304" i="18"/>
  <c r="V301" i="18" l="1"/>
  <c r="U302" i="18" s="1"/>
  <c r="S301" i="18"/>
  <c r="T301" i="18" s="1"/>
  <c r="Q305" i="18"/>
  <c r="P304" i="18"/>
  <c r="R304" i="18" s="1"/>
  <c r="V302" i="18" l="1"/>
  <c r="U303" i="18" s="1"/>
  <c r="S302" i="18"/>
  <c r="T302" i="18" s="1"/>
  <c r="Q306" i="18"/>
  <c r="P305" i="18"/>
  <c r="R305" i="18" s="1"/>
  <c r="V303" i="18" l="1"/>
  <c r="U304" i="18" s="1"/>
  <c r="S303" i="18"/>
  <c r="T303" i="18" s="1"/>
  <c r="P306" i="18"/>
  <c r="R306" i="18" s="1"/>
  <c r="Q307" i="18"/>
  <c r="S304" i="18" l="1"/>
  <c r="T304" i="18" s="1"/>
  <c r="V304" i="18"/>
  <c r="U305" i="18" s="1"/>
  <c r="Q308" i="18"/>
  <c r="P307" i="18"/>
  <c r="R307" i="18" s="1"/>
  <c r="S305" i="18" l="1"/>
  <c r="T305" i="18" s="1"/>
  <c r="V305" i="18"/>
  <c r="U306" i="18" s="1"/>
  <c r="P308" i="18"/>
  <c r="Q309" i="18"/>
  <c r="R308" i="18"/>
  <c r="S306" i="18" l="1"/>
  <c r="T306" i="18" s="1"/>
  <c r="V306" i="18"/>
  <c r="U307" i="18" s="1"/>
  <c r="P309" i="18"/>
  <c r="Q310" i="18"/>
  <c r="R309" i="18"/>
  <c r="S307" i="18" l="1"/>
  <c r="T307" i="18" s="1"/>
  <c r="V307" i="18"/>
  <c r="U308" i="18" s="1"/>
  <c r="P310" i="18"/>
  <c r="R310" i="18" s="1"/>
  <c r="Q311" i="18"/>
  <c r="V308" i="18" l="1"/>
  <c r="U309" i="18" s="1"/>
  <c r="S308" i="18"/>
  <c r="T308" i="18" s="1"/>
  <c r="P311" i="18"/>
  <c r="R311" i="18" s="1"/>
  <c r="Q312" i="18"/>
  <c r="S309" i="18" l="1"/>
  <c r="T309" i="18" s="1"/>
  <c r="V309" i="18"/>
  <c r="U310" i="18" s="1"/>
  <c r="Q313" i="18"/>
  <c r="P312" i="18"/>
  <c r="R312" i="18"/>
  <c r="S310" i="18" l="1"/>
  <c r="T310" i="18" s="1"/>
  <c r="V310" i="18"/>
  <c r="U311" i="18" s="1"/>
  <c r="Q314" i="18"/>
  <c r="P313" i="18"/>
  <c r="R313" i="18"/>
  <c r="S311" i="18" l="1"/>
  <c r="T311" i="18" s="1"/>
  <c r="V311" i="18"/>
  <c r="U312" i="18" s="1"/>
  <c r="Q315" i="18"/>
  <c r="P314" i="18"/>
  <c r="R314" i="18"/>
  <c r="S312" i="18" l="1"/>
  <c r="T312" i="18" s="1"/>
  <c r="V312" i="18"/>
  <c r="U313" i="18" s="1"/>
  <c r="P315" i="18"/>
  <c r="R315" i="18"/>
  <c r="Q316" i="18"/>
  <c r="S313" i="18" l="1"/>
  <c r="T313" i="18" s="1"/>
  <c r="V313" i="18"/>
  <c r="U314" i="18" s="1"/>
  <c r="Q317" i="18"/>
  <c r="P316" i="18"/>
  <c r="R316" i="18" s="1"/>
  <c r="V314" i="18" l="1"/>
  <c r="U315" i="18" s="1"/>
  <c r="S314" i="18"/>
  <c r="T314" i="18" s="1"/>
  <c r="P317" i="18"/>
  <c r="R317" i="18" s="1"/>
  <c r="Q318" i="18"/>
  <c r="V315" i="18" l="1"/>
  <c r="U316" i="18" s="1"/>
  <c r="S315" i="18"/>
  <c r="T315" i="18" s="1"/>
  <c r="Q319" i="18"/>
  <c r="P318" i="18"/>
  <c r="R318" i="18" s="1"/>
  <c r="V316" i="18" l="1"/>
  <c r="U317" i="18" s="1"/>
  <c r="S316" i="18"/>
  <c r="T316" i="18" s="1"/>
  <c r="P319" i="18"/>
  <c r="R319" i="18" s="1"/>
  <c r="Q320" i="18"/>
  <c r="V317" i="18" l="1"/>
  <c r="U318" i="18" s="1"/>
  <c r="S317" i="18"/>
  <c r="T317" i="18" s="1"/>
  <c r="Q321" i="18"/>
  <c r="P320" i="18"/>
  <c r="R320" i="18"/>
  <c r="S318" i="18" l="1"/>
  <c r="T318" i="18" s="1"/>
  <c r="V318" i="18"/>
  <c r="U319" i="18" s="1"/>
  <c r="P321" i="18"/>
  <c r="R321" i="18"/>
  <c r="Q322" i="18"/>
  <c r="V319" i="18" l="1"/>
  <c r="U320" i="18" s="1"/>
  <c r="S319" i="18"/>
  <c r="T319" i="18" s="1"/>
  <c r="Q323" i="18"/>
  <c r="P322" i="18"/>
  <c r="R322" i="18" s="1"/>
  <c r="S320" i="18" l="1"/>
  <c r="T320" i="18" s="1"/>
  <c r="V320" i="18"/>
  <c r="U321" i="18" s="1"/>
  <c r="Q324" i="18"/>
  <c r="P323" i="18"/>
  <c r="R323" i="18" s="1"/>
  <c r="S321" i="18" l="1"/>
  <c r="T321" i="18" s="1"/>
  <c r="V321" i="18"/>
  <c r="U322" i="18" s="1"/>
  <c r="Q325" i="18"/>
  <c r="P324" i="18"/>
  <c r="R324" i="18" s="1"/>
  <c r="S322" i="18" l="1"/>
  <c r="T322" i="18" s="1"/>
  <c r="V322" i="18"/>
  <c r="U323" i="18" s="1"/>
  <c r="Q326" i="18"/>
  <c r="P325" i="18"/>
  <c r="R325" i="18" s="1"/>
  <c r="S323" i="18" l="1"/>
  <c r="T323" i="18" s="1"/>
  <c r="V323" i="18"/>
  <c r="U324" i="18" s="1"/>
  <c r="Q327" i="18"/>
  <c r="P326" i="18"/>
  <c r="R326" i="18" s="1"/>
  <c r="S324" i="18" l="1"/>
  <c r="T324" i="18" s="1"/>
  <c r="V324" i="18"/>
  <c r="U325" i="18" s="1"/>
  <c r="Q328" i="18"/>
  <c r="P327" i="18"/>
  <c r="R327" i="18" s="1"/>
  <c r="S325" i="18" l="1"/>
  <c r="T325" i="18" s="1"/>
  <c r="V325" i="18"/>
  <c r="U326" i="18" s="1"/>
  <c r="Q329" i="18"/>
  <c r="P328" i="18"/>
  <c r="R328" i="18" s="1"/>
  <c r="S326" i="18" l="1"/>
  <c r="T326" i="18" s="1"/>
  <c r="V326" i="18"/>
  <c r="U327" i="18" s="1"/>
  <c r="Q330" i="18"/>
  <c r="P329" i="18"/>
  <c r="R329" i="18" s="1"/>
  <c r="S327" i="18" l="1"/>
  <c r="T327" i="18" s="1"/>
  <c r="V327" i="18"/>
  <c r="U328" i="18" s="1"/>
  <c r="P330" i="18"/>
  <c r="Q331" i="18"/>
  <c r="R330" i="18"/>
  <c r="V328" i="18" l="1"/>
  <c r="U329" i="18" s="1"/>
  <c r="S328" i="18"/>
  <c r="T328" i="18" s="1"/>
  <c r="Q332" i="18"/>
  <c r="P331" i="18"/>
  <c r="R331" i="18" s="1"/>
  <c r="S329" i="18" l="1"/>
  <c r="T329" i="18" s="1"/>
  <c r="V329" i="18"/>
  <c r="U330" i="18" s="1"/>
  <c r="P332" i="18"/>
  <c r="R332" i="18" s="1"/>
  <c r="Q333" i="18"/>
  <c r="S330" i="18" l="1"/>
  <c r="T330" i="18" s="1"/>
  <c r="V330" i="18"/>
  <c r="U331" i="18" s="1"/>
  <c r="P333" i="18"/>
  <c r="R333" i="18"/>
  <c r="Q334" i="18"/>
  <c r="V331" i="18" l="1"/>
  <c r="U332" i="18" s="1"/>
  <c r="S331" i="18"/>
  <c r="T331" i="18" s="1"/>
  <c r="Q335" i="18"/>
  <c r="P334" i="18"/>
  <c r="R334" i="18" s="1"/>
  <c r="S332" i="18" l="1"/>
  <c r="T332" i="18" s="1"/>
  <c r="V332" i="18"/>
  <c r="U333" i="18" s="1"/>
  <c r="Q336" i="18"/>
  <c r="P335" i="18"/>
  <c r="R335" i="18" s="1"/>
  <c r="S333" i="18" l="1"/>
  <c r="T333" i="18" s="1"/>
  <c r="V333" i="18"/>
  <c r="U334" i="18" s="1"/>
  <c r="Q337" i="18"/>
  <c r="P336" i="18"/>
  <c r="R336" i="18" s="1"/>
  <c r="S334" i="18" l="1"/>
  <c r="T334" i="18" s="1"/>
  <c r="V334" i="18"/>
  <c r="U335" i="18" s="1"/>
  <c r="Q338" i="18"/>
  <c r="P337" i="18"/>
  <c r="R337" i="18" s="1"/>
  <c r="S335" i="18" l="1"/>
  <c r="T335" i="18" s="1"/>
  <c r="V335" i="18"/>
  <c r="U336" i="18" s="1"/>
  <c r="Q339" i="18"/>
  <c r="P338" i="18"/>
  <c r="R338" i="18" s="1"/>
  <c r="S336" i="18" l="1"/>
  <c r="T336" i="18" s="1"/>
  <c r="V336" i="18"/>
  <c r="U337" i="18" s="1"/>
  <c r="Q340" i="18"/>
  <c r="P339" i="18"/>
  <c r="R339" i="18" s="1"/>
  <c r="S337" i="18" l="1"/>
  <c r="T337" i="18" s="1"/>
  <c r="V337" i="18"/>
  <c r="U338" i="18" s="1"/>
  <c r="Q341" i="18"/>
  <c r="P340" i="18"/>
  <c r="R340" i="18"/>
  <c r="S338" i="18" l="1"/>
  <c r="T338" i="18" s="1"/>
  <c r="V338" i="18"/>
  <c r="U339" i="18" s="1"/>
  <c r="Q342" i="18"/>
  <c r="P341" i="18"/>
  <c r="R341" i="18" s="1"/>
  <c r="V339" i="18" l="1"/>
  <c r="U340" i="18" s="1"/>
  <c r="S339" i="18"/>
  <c r="T339" i="18" s="1"/>
  <c r="Q343" i="18"/>
  <c r="P342" i="18"/>
  <c r="R342" i="18" s="1"/>
  <c r="V340" i="18" l="1"/>
  <c r="U341" i="18" s="1"/>
  <c r="S340" i="18"/>
  <c r="T340" i="18" s="1"/>
  <c r="P343" i="18"/>
  <c r="R343" i="18" s="1"/>
  <c r="Q344" i="18"/>
  <c r="S341" i="18" l="1"/>
  <c r="T341" i="18" s="1"/>
  <c r="V341" i="18"/>
  <c r="U342" i="18" s="1"/>
  <c r="P344" i="18"/>
  <c r="R344" i="18" s="1"/>
  <c r="Q345" i="18"/>
  <c r="S342" i="18" l="1"/>
  <c r="T342" i="18" s="1"/>
  <c r="V342" i="18"/>
  <c r="U343" i="18" s="1"/>
  <c r="P345" i="18"/>
  <c r="R345" i="18"/>
  <c r="Q346" i="18"/>
  <c r="S343" i="18" l="1"/>
  <c r="T343" i="18" s="1"/>
  <c r="V343" i="18"/>
  <c r="U344" i="18" s="1"/>
  <c r="Q347" i="18"/>
  <c r="P346" i="18"/>
  <c r="R346" i="18" s="1"/>
  <c r="V344" i="18" l="1"/>
  <c r="U345" i="18" s="1"/>
  <c r="S344" i="18"/>
  <c r="T344" i="18" s="1"/>
  <c r="P347" i="18"/>
  <c r="R347" i="18" s="1"/>
  <c r="Q348" i="18"/>
  <c r="V345" i="18" l="1"/>
  <c r="U346" i="18" s="1"/>
  <c r="S345" i="18"/>
  <c r="T345" i="18" s="1"/>
  <c r="P348" i="18"/>
  <c r="R348" i="18" s="1"/>
  <c r="Q349" i="18"/>
  <c r="S346" i="18" l="1"/>
  <c r="T346" i="18" s="1"/>
  <c r="V346" i="18"/>
  <c r="U347" i="18" s="1"/>
  <c r="Q350" i="18"/>
  <c r="P349" i="18"/>
  <c r="R349" i="18" s="1"/>
  <c r="S347" i="18" l="1"/>
  <c r="T347" i="18" s="1"/>
  <c r="V347" i="18"/>
  <c r="U348" i="18" s="1"/>
  <c r="P350" i="18"/>
  <c r="R350" i="18"/>
  <c r="Q351" i="18"/>
  <c r="S348" i="18" l="1"/>
  <c r="T348" i="18" s="1"/>
  <c r="V348" i="18"/>
  <c r="U349" i="18" s="1"/>
  <c r="Q352" i="18"/>
  <c r="P351" i="18"/>
  <c r="R351" i="18" s="1"/>
  <c r="S349" i="18" l="1"/>
  <c r="T349" i="18" s="1"/>
  <c r="V349" i="18"/>
  <c r="U350" i="18" s="1"/>
  <c r="P352" i="18"/>
  <c r="Q353" i="18"/>
  <c r="R352" i="18"/>
  <c r="S350" i="18" l="1"/>
  <c r="T350" i="18" s="1"/>
  <c r="V350" i="18"/>
  <c r="U351" i="18" s="1"/>
  <c r="P353" i="18"/>
  <c r="Q354" i="18"/>
  <c r="R353" i="18"/>
  <c r="V351" i="18" l="1"/>
  <c r="U352" i="18" s="1"/>
  <c r="S351" i="18"/>
  <c r="T351" i="18" s="1"/>
  <c r="Q355" i="18"/>
  <c r="P354" i="18"/>
  <c r="R354" i="18" s="1"/>
  <c r="S352" i="18" l="1"/>
  <c r="T352" i="18" s="1"/>
  <c r="V352" i="18"/>
  <c r="U353" i="18" s="1"/>
  <c r="Q356" i="18"/>
  <c r="P355" i="18"/>
  <c r="R355" i="18" s="1"/>
  <c r="V353" i="18" l="1"/>
  <c r="U354" i="18" s="1"/>
  <c r="S353" i="18"/>
  <c r="T353" i="18" s="1"/>
  <c r="P356" i="18"/>
  <c r="R356" i="18" s="1"/>
  <c r="Q357" i="18"/>
  <c r="S354" i="18" l="1"/>
  <c r="T354" i="18" s="1"/>
  <c r="V354" i="18"/>
  <c r="U355" i="18" s="1"/>
  <c r="P357" i="18"/>
  <c r="Q358" i="18"/>
  <c r="R357" i="18"/>
  <c r="S355" i="18" l="1"/>
  <c r="T355" i="18" s="1"/>
  <c r="V355" i="18"/>
  <c r="U356" i="18" s="1"/>
  <c r="P358" i="18"/>
  <c r="Q359" i="18"/>
  <c r="R358" i="18"/>
  <c r="S356" i="18" l="1"/>
  <c r="T356" i="18" s="1"/>
  <c r="V356" i="18"/>
  <c r="U357" i="18" s="1"/>
  <c r="P359" i="18"/>
  <c r="R359" i="18" s="1"/>
  <c r="Q360" i="18"/>
  <c r="V357" i="18" l="1"/>
  <c r="U358" i="18" s="1"/>
  <c r="S357" i="18"/>
  <c r="T357" i="18" s="1"/>
  <c r="P360" i="18"/>
  <c r="R360" i="18"/>
  <c r="Q361" i="18"/>
  <c r="S358" i="18" l="1"/>
  <c r="T358" i="18" s="1"/>
  <c r="V358" i="18"/>
  <c r="U359" i="18" s="1"/>
  <c r="Q362" i="18"/>
  <c r="P361" i="18"/>
  <c r="R361" i="18" s="1"/>
  <c r="S359" i="18" l="1"/>
  <c r="T359" i="18" s="1"/>
  <c r="V359" i="18"/>
  <c r="U360" i="18" s="1"/>
  <c r="P362" i="18"/>
  <c r="R362" i="18"/>
  <c r="Q363" i="18"/>
  <c r="S360" i="18" l="1"/>
  <c r="T360" i="18" s="1"/>
  <c r="V360" i="18"/>
  <c r="U361" i="18" s="1"/>
  <c r="Q364" i="18"/>
  <c r="P363" i="18"/>
  <c r="R363" i="18" s="1"/>
  <c r="S361" i="18" l="1"/>
  <c r="T361" i="18" s="1"/>
  <c r="V361" i="18"/>
  <c r="U362" i="18" s="1"/>
  <c r="P364" i="18"/>
  <c r="R364" i="18"/>
  <c r="Q365" i="18"/>
  <c r="S362" i="18" l="1"/>
  <c r="T362" i="18" s="1"/>
  <c r="V362" i="18"/>
  <c r="U363" i="18" s="1"/>
  <c r="Q366" i="18"/>
  <c r="P365" i="18"/>
  <c r="R365" i="18"/>
  <c r="V363" i="18" l="1"/>
  <c r="U364" i="18" s="1"/>
  <c r="S363" i="18"/>
  <c r="T363" i="18" s="1"/>
  <c r="P366" i="18"/>
  <c r="Q367" i="18"/>
  <c r="R366" i="18"/>
  <c r="S364" i="18" l="1"/>
  <c r="T364" i="18" s="1"/>
  <c r="V364" i="18"/>
  <c r="U365" i="18" s="1"/>
  <c r="Q368" i="18"/>
  <c r="P367" i="18"/>
  <c r="R367" i="18" s="1"/>
  <c r="S365" i="18" l="1"/>
  <c r="T365" i="18" s="1"/>
  <c r="V365" i="18"/>
  <c r="U366" i="18" s="1"/>
  <c r="P368" i="18"/>
  <c r="R368" i="18" s="1"/>
  <c r="Q369" i="18"/>
  <c r="S366" i="18" l="1"/>
  <c r="T366" i="18" s="1"/>
  <c r="V366" i="18"/>
  <c r="U367" i="18" s="1"/>
  <c r="P369" i="18"/>
  <c r="R369" i="18"/>
  <c r="Q370" i="18"/>
  <c r="S367" i="18" l="1"/>
  <c r="T367" i="18" s="1"/>
  <c r="V367" i="18"/>
  <c r="U368" i="18" s="1"/>
  <c r="Q371" i="18"/>
  <c r="P370" i="18"/>
  <c r="R370" i="18" s="1"/>
  <c r="V368" i="18" l="1"/>
  <c r="U369" i="18" s="1"/>
  <c r="S368" i="18"/>
  <c r="T368" i="18" s="1"/>
  <c r="Q372" i="18"/>
  <c r="P371" i="18"/>
  <c r="R371" i="18" s="1"/>
  <c r="V369" i="18" l="1"/>
  <c r="U370" i="18" s="1"/>
  <c r="S369" i="18"/>
  <c r="T369" i="18" s="1"/>
  <c r="P372" i="18"/>
  <c r="R372" i="18"/>
  <c r="Q373" i="18"/>
  <c r="S370" i="18" l="1"/>
  <c r="T370" i="18" s="1"/>
  <c r="V370" i="18"/>
  <c r="U371" i="18" s="1"/>
  <c r="Q374" i="18"/>
  <c r="P373" i="18"/>
  <c r="R373" i="18"/>
  <c r="S371" i="18" l="1"/>
  <c r="T371" i="18" s="1"/>
  <c r="V371" i="18"/>
  <c r="U372" i="18" s="1"/>
  <c r="P374" i="18"/>
  <c r="R374" i="18" s="1"/>
  <c r="Q375" i="18"/>
  <c r="S372" i="18" l="1"/>
  <c r="T372" i="18" s="1"/>
  <c r="V372" i="18"/>
  <c r="U373" i="18" s="1"/>
  <c r="Q376" i="18"/>
  <c r="P375" i="18"/>
  <c r="R375" i="18" s="1"/>
  <c r="V373" i="18" l="1"/>
  <c r="U374" i="18" s="1"/>
  <c r="S373" i="18"/>
  <c r="T373" i="18" s="1"/>
  <c r="P376" i="18"/>
  <c r="R376" i="18" s="1"/>
  <c r="Q377" i="18"/>
  <c r="V374" i="18" l="1"/>
  <c r="U375" i="18" s="1"/>
  <c r="S374" i="18"/>
  <c r="T374" i="18" s="1"/>
  <c r="Q378" i="18"/>
  <c r="P377" i="18"/>
  <c r="R377" i="18" s="1"/>
  <c r="S375" i="18" l="1"/>
  <c r="T375" i="18" s="1"/>
  <c r="V375" i="18"/>
  <c r="U376" i="18" s="1"/>
  <c r="Q379" i="18"/>
  <c r="P378" i="18"/>
  <c r="R378" i="18" s="1"/>
  <c r="S376" i="18" l="1"/>
  <c r="T376" i="18" s="1"/>
  <c r="V376" i="18"/>
  <c r="U377" i="18" s="1"/>
  <c r="Q380" i="18"/>
  <c r="P379" i="18"/>
  <c r="R379" i="18" s="1"/>
  <c r="V377" i="18" l="1"/>
  <c r="U378" i="18" s="1"/>
  <c r="S377" i="18"/>
  <c r="T377" i="18" s="1"/>
  <c r="P380" i="18"/>
  <c r="R380" i="18" s="1"/>
  <c r="Q381" i="18"/>
  <c r="V378" i="18" l="1"/>
  <c r="U379" i="18" s="1"/>
  <c r="S378" i="18"/>
  <c r="T378" i="18" s="1"/>
  <c r="P381" i="18"/>
  <c r="Q382" i="18"/>
  <c r="R381" i="18"/>
  <c r="S379" i="18" l="1"/>
  <c r="T379" i="18" s="1"/>
  <c r="V379" i="18"/>
  <c r="U380" i="18" s="1"/>
  <c r="P382" i="18"/>
  <c r="R382" i="18" s="1"/>
  <c r="Q383" i="18"/>
  <c r="S380" i="18" l="1"/>
  <c r="T380" i="18" s="1"/>
  <c r="V380" i="18"/>
  <c r="U381" i="18" s="1"/>
  <c r="Q384" i="18"/>
  <c r="P383" i="18"/>
  <c r="R383" i="18" s="1"/>
  <c r="S381" i="18" l="1"/>
  <c r="T381" i="18" s="1"/>
  <c r="V381" i="18"/>
  <c r="U382" i="18" s="1"/>
  <c r="Q385" i="18"/>
  <c r="P384" i="18"/>
  <c r="R384" i="18" s="1"/>
  <c r="S382" i="18" l="1"/>
  <c r="T382" i="18" s="1"/>
  <c r="V382" i="18"/>
  <c r="U383" i="18" s="1"/>
  <c r="Q386" i="18"/>
  <c r="P385" i="18"/>
  <c r="R385" i="18" s="1"/>
  <c r="S383" i="18" l="1"/>
  <c r="T383" i="18" s="1"/>
  <c r="V383" i="18"/>
  <c r="U384" i="18" s="1"/>
  <c r="P386" i="18"/>
  <c r="R386" i="18"/>
  <c r="Q387" i="18"/>
  <c r="S384" i="18" l="1"/>
  <c r="T384" i="18" s="1"/>
  <c r="V384" i="18"/>
  <c r="U385" i="18" s="1"/>
  <c r="Q388" i="18"/>
  <c r="P387" i="18"/>
  <c r="R387" i="18" s="1"/>
  <c r="V385" i="18" l="1"/>
  <c r="U386" i="18" s="1"/>
  <c r="S385" i="18"/>
  <c r="T385" i="18" s="1"/>
  <c r="P388" i="18"/>
  <c r="R388" i="18"/>
  <c r="Q389" i="18"/>
  <c r="S386" i="18" l="1"/>
  <c r="T386" i="18" s="1"/>
  <c r="V386" i="18"/>
  <c r="U387" i="18" s="1"/>
  <c r="Q390" i="18"/>
  <c r="P389" i="18"/>
  <c r="R389" i="18" s="1"/>
  <c r="S387" i="18" l="1"/>
  <c r="T387" i="18" s="1"/>
  <c r="V387" i="18"/>
  <c r="U388" i="18" s="1"/>
  <c r="Q391" i="18"/>
  <c r="P390" i="18"/>
  <c r="R390" i="18" s="1"/>
  <c r="S388" i="18" l="1"/>
  <c r="T388" i="18" s="1"/>
  <c r="V388" i="18"/>
  <c r="U389" i="18" s="1"/>
  <c r="P391" i="18"/>
  <c r="R391" i="18" s="1"/>
  <c r="Q392" i="18"/>
  <c r="V389" i="18" l="1"/>
  <c r="U390" i="18" s="1"/>
  <c r="S389" i="18"/>
  <c r="T389" i="18" s="1"/>
  <c r="P392" i="18"/>
  <c r="R392" i="18" s="1"/>
  <c r="Q393" i="18"/>
  <c r="S390" i="18" l="1"/>
  <c r="T390" i="18" s="1"/>
  <c r="V390" i="18"/>
  <c r="U391" i="18" s="1"/>
  <c r="P393" i="18"/>
  <c r="R393" i="18" s="1"/>
  <c r="Q394" i="18"/>
  <c r="S391" i="18" l="1"/>
  <c r="T391" i="18" s="1"/>
  <c r="V391" i="18"/>
  <c r="U392" i="18" s="1"/>
  <c r="P394" i="18"/>
  <c r="R394" i="18" s="1"/>
  <c r="Q395" i="18"/>
  <c r="S392" i="18" l="1"/>
  <c r="T392" i="18" s="1"/>
  <c r="V392" i="18"/>
  <c r="U393" i="18" s="1"/>
  <c r="P395" i="18"/>
  <c r="R395" i="18" s="1"/>
  <c r="Q396" i="18"/>
  <c r="S393" i="18" l="1"/>
  <c r="T393" i="18" s="1"/>
  <c r="V393" i="18"/>
  <c r="U394" i="18" s="1"/>
  <c r="P396" i="18"/>
  <c r="R396" i="18" s="1"/>
  <c r="Q397" i="18"/>
  <c r="S394" i="18" l="1"/>
  <c r="T394" i="18" s="1"/>
  <c r="V394" i="18"/>
  <c r="U395" i="18" s="1"/>
  <c r="Q398" i="18"/>
  <c r="P397" i="18"/>
  <c r="R397" i="18" s="1"/>
  <c r="S395" i="18" l="1"/>
  <c r="T395" i="18" s="1"/>
  <c r="V395" i="18"/>
  <c r="U396" i="18" s="1"/>
  <c r="Q399" i="18"/>
  <c r="P398" i="18"/>
  <c r="R398" i="18" s="1"/>
  <c r="S396" i="18" l="1"/>
  <c r="T396" i="18" s="1"/>
  <c r="V396" i="18"/>
  <c r="U397" i="18" s="1"/>
  <c r="Q400" i="18"/>
  <c r="P399" i="18"/>
  <c r="R399" i="18" s="1"/>
  <c r="S397" i="18" l="1"/>
  <c r="T397" i="18" s="1"/>
  <c r="V397" i="18"/>
  <c r="U398" i="18" s="1"/>
  <c r="Q401" i="18"/>
  <c r="P400" i="18"/>
  <c r="R400" i="18"/>
  <c r="S398" i="18" l="1"/>
  <c r="T398" i="18" s="1"/>
  <c r="V398" i="18"/>
  <c r="U399" i="18" s="1"/>
  <c r="P401" i="18"/>
  <c r="R401" i="18" s="1"/>
  <c r="Q402" i="18"/>
  <c r="S399" i="18" l="1"/>
  <c r="T399" i="18" s="1"/>
  <c r="V399" i="18"/>
  <c r="U400" i="18" s="1"/>
  <c r="Q403" i="18"/>
  <c r="P402" i="18"/>
  <c r="R402" i="18" s="1"/>
  <c r="S400" i="18" l="1"/>
  <c r="T400" i="18" s="1"/>
  <c r="V400" i="18"/>
  <c r="U401" i="18" s="1"/>
  <c r="P403" i="18"/>
  <c r="R403" i="18" s="1"/>
  <c r="Q404" i="18"/>
  <c r="S401" i="18" l="1"/>
  <c r="T401" i="18" s="1"/>
  <c r="V401" i="18"/>
  <c r="U402" i="18" s="1"/>
  <c r="P404" i="18"/>
  <c r="Q405" i="18"/>
  <c r="R404" i="18"/>
  <c r="S402" i="18" l="1"/>
  <c r="T402" i="18" s="1"/>
  <c r="V402" i="18"/>
  <c r="U403" i="18" s="1"/>
  <c r="P405" i="18"/>
  <c r="Q406" i="18"/>
  <c r="R405" i="18"/>
  <c r="S403" i="18" l="1"/>
  <c r="T403" i="18" s="1"/>
  <c r="V403" i="18"/>
  <c r="U404" i="18" s="1"/>
  <c r="P406" i="18"/>
  <c r="Q407" i="18"/>
  <c r="R406" i="18"/>
  <c r="S404" i="18" l="1"/>
  <c r="T404" i="18" s="1"/>
  <c r="V404" i="18"/>
  <c r="U405" i="18" s="1"/>
  <c r="P407" i="18"/>
  <c r="Q408" i="18"/>
  <c r="R407" i="18"/>
  <c r="V405" i="18" l="1"/>
  <c r="U406" i="18" s="1"/>
  <c r="S405" i="18"/>
  <c r="T405" i="18" s="1"/>
  <c r="P408" i="18"/>
  <c r="Q409" i="18"/>
  <c r="R408" i="18"/>
  <c r="S406" i="18" l="1"/>
  <c r="T406" i="18" s="1"/>
  <c r="V406" i="18"/>
  <c r="U407" i="18" s="1"/>
  <c r="Q410" i="18"/>
  <c r="P409" i="18"/>
  <c r="R409" i="18"/>
  <c r="S407" i="18" l="1"/>
  <c r="T407" i="18" s="1"/>
  <c r="V407" i="18"/>
  <c r="U408" i="18" s="1"/>
  <c r="Q411" i="18"/>
  <c r="P410" i="18"/>
  <c r="R410" i="18" s="1"/>
  <c r="S408" i="18" l="1"/>
  <c r="T408" i="18" s="1"/>
  <c r="V408" i="18"/>
  <c r="U409" i="18" s="1"/>
  <c r="P411" i="18"/>
  <c r="R411" i="18"/>
  <c r="Q412" i="18"/>
  <c r="V409" i="18" l="1"/>
  <c r="U410" i="18" s="1"/>
  <c r="S409" i="18"/>
  <c r="T409" i="18" s="1"/>
  <c r="Q413" i="18"/>
  <c r="P412" i="18"/>
  <c r="R412" i="18" s="1"/>
  <c r="S410" i="18" l="1"/>
  <c r="T410" i="18" s="1"/>
  <c r="V410" i="18"/>
  <c r="U411" i="18" s="1"/>
  <c r="Q414" i="18"/>
  <c r="P413" i="18"/>
  <c r="R413" i="18" s="1"/>
  <c r="V411" i="18" l="1"/>
  <c r="U412" i="18" s="1"/>
  <c r="S411" i="18"/>
  <c r="T411" i="18" s="1"/>
  <c r="Q415" i="18"/>
  <c r="P414" i="18"/>
  <c r="R414" i="18" s="1"/>
  <c r="V412" i="18" l="1"/>
  <c r="U413" i="18" s="1"/>
  <c r="S412" i="18"/>
  <c r="T412" i="18" s="1"/>
  <c r="P415" i="18"/>
  <c r="R415" i="18" s="1"/>
  <c r="Q416" i="18"/>
  <c r="V413" i="18" l="1"/>
  <c r="U414" i="18" s="1"/>
  <c r="S413" i="18"/>
  <c r="T413" i="18" s="1"/>
  <c r="P416" i="18"/>
  <c r="Q417" i="18"/>
  <c r="R416" i="18"/>
  <c r="S414" i="18" l="1"/>
  <c r="T414" i="18" s="1"/>
  <c r="V414" i="18"/>
  <c r="U415" i="18" s="1"/>
  <c r="P417" i="18"/>
  <c r="V417" i="18"/>
  <c r="Q418" i="18"/>
  <c r="U417" i="18"/>
  <c r="S417" i="18"/>
  <c r="R417" i="18"/>
  <c r="T417" i="18" l="1"/>
  <c r="S415" i="18"/>
  <c r="T415" i="18" s="1"/>
  <c r="V415" i="18"/>
  <c r="U416" i="18" s="1"/>
  <c r="U418" i="18"/>
  <c r="Q419" i="18"/>
  <c r="P418" i="18"/>
  <c r="V418" i="18"/>
  <c r="R418" i="18"/>
  <c r="S418" i="18"/>
  <c r="V416" i="18" l="1"/>
  <c r="S416" i="18"/>
  <c r="T416" i="18" s="1"/>
  <c r="T418" i="18"/>
  <c r="U419" i="18"/>
  <c r="P419" i="18"/>
  <c r="Q420" i="18"/>
  <c r="S419" i="18"/>
  <c r="R419" i="18"/>
  <c r="V419" i="18"/>
  <c r="T419" i="18" l="1"/>
  <c r="S420" i="18"/>
  <c r="Q421" i="18"/>
  <c r="R420" i="18"/>
  <c r="V420" i="18"/>
  <c r="U420" i="18"/>
  <c r="P420" i="18"/>
  <c r="T420" i="18" l="1"/>
  <c r="Q422" i="18"/>
  <c r="P421" i="18"/>
  <c r="V421" i="18"/>
  <c r="U421" i="18"/>
  <c r="S421" i="18"/>
  <c r="R421" i="18"/>
  <c r="T421" i="18" l="1"/>
  <c r="Q423" i="18"/>
  <c r="V422" i="18"/>
  <c r="U422" i="18"/>
  <c r="S422" i="18"/>
  <c r="R422" i="18"/>
  <c r="P422" i="18"/>
  <c r="T422" i="18" l="1"/>
  <c r="V423" i="18"/>
  <c r="S423" i="18"/>
  <c r="P423" i="18"/>
  <c r="U423" i="18"/>
  <c r="R423" i="18"/>
  <c r="Q424" i="18"/>
  <c r="T423" i="18" l="1"/>
  <c r="Q425" i="18"/>
  <c r="P424" i="18"/>
  <c r="V424" i="18"/>
  <c r="U424" i="18"/>
  <c r="S424" i="18"/>
  <c r="R424" i="18"/>
  <c r="T424" i="18" l="1"/>
  <c r="R425" i="18"/>
  <c r="P425" i="18"/>
  <c r="U425" i="18"/>
  <c r="S425" i="18"/>
  <c r="Q426" i="18"/>
  <c r="V425" i="18"/>
  <c r="Q427" i="18" l="1"/>
  <c r="R426" i="18"/>
  <c r="S426" i="18"/>
  <c r="U426" i="18"/>
  <c r="V426" i="18"/>
  <c r="P426" i="18"/>
  <c r="T425" i="18"/>
  <c r="T426" i="18" l="1"/>
  <c r="R427" i="18"/>
  <c r="S427" i="18"/>
  <c r="P427" i="18"/>
  <c r="V427" i="18"/>
  <c r="Q428" i="18"/>
  <c r="U427" i="18"/>
  <c r="Q429" i="18" l="1"/>
  <c r="P428" i="18"/>
  <c r="V428" i="18"/>
  <c r="U428" i="18"/>
  <c r="S428" i="18"/>
  <c r="R428" i="18"/>
  <c r="T427" i="18"/>
  <c r="T428" i="18" l="1"/>
  <c r="P429" i="18"/>
  <c r="S429" i="18"/>
  <c r="R429" i="18"/>
  <c r="Q430" i="18"/>
  <c r="U429" i="18"/>
  <c r="V429" i="18"/>
  <c r="T429" i="18" l="1"/>
  <c r="U430" i="18"/>
  <c r="R430" i="18"/>
  <c r="Q431" i="18"/>
  <c r="S430" i="18"/>
  <c r="P430" i="18"/>
  <c r="V430" i="18"/>
  <c r="P431" i="18" l="1"/>
  <c r="S431" i="18"/>
  <c r="R431" i="18"/>
  <c r="Q432" i="18"/>
  <c r="U431" i="18"/>
  <c r="V431" i="18"/>
  <c r="T430" i="18"/>
  <c r="T431" i="18" l="1"/>
  <c r="S432" i="18"/>
  <c r="V432" i="18"/>
  <c r="U432" i="18"/>
  <c r="R432" i="18"/>
  <c r="T432" i="18" s="1"/>
  <c r="P432" i="18"/>
  <c r="Q433" i="18"/>
  <c r="Q434" i="18" l="1"/>
  <c r="S433" i="18"/>
  <c r="R433" i="18"/>
  <c r="U433" i="18"/>
  <c r="V433" i="18"/>
  <c r="P433" i="18"/>
  <c r="T433" i="18" l="1"/>
  <c r="U434" i="18"/>
  <c r="Q435" i="18"/>
  <c r="V434" i="18"/>
  <c r="R434" i="18"/>
  <c r="P434" i="18"/>
  <c r="S434" i="18"/>
  <c r="T434" i="18" l="1"/>
  <c r="V435" i="18"/>
  <c r="S435" i="18"/>
  <c r="R435" i="18"/>
  <c r="P435" i="18"/>
  <c r="U435" i="18"/>
  <c r="Q436" i="18"/>
  <c r="T435" i="18" l="1"/>
  <c r="Q437" i="18"/>
  <c r="V436" i="18"/>
  <c r="U436" i="18"/>
  <c r="R436" i="18"/>
  <c r="S436" i="18"/>
  <c r="P436" i="18"/>
  <c r="T436" i="18" l="1"/>
  <c r="S437" i="18"/>
  <c r="R437" i="18"/>
  <c r="V437" i="18"/>
  <c r="U437" i="18"/>
  <c r="Q438" i="18"/>
  <c r="P437" i="18"/>
  <c r="T437" i="18" l="1"/>
  <c r="S438" i="18"/>
  <c r="R438" i="18"/>
  <c r="U438" i="18"/>
  <c r="P438" i="18"/>
  <c r="V438" i="18"/>
  <c r="Q439" i="18"/>
  <c r="T438" i="18" l="1"/>
  <c r="R439" i="18"/>
  <c r="S439" i="18"/>
  <c r="Q440" i="18"/>
  <c r="P439" i="18"/>
  <c r="V439" i="18"/>
  <c r="U439" i="18"/>
  <c r="R440" i="18" l="1"/>
  <c r="P440" i="18"/>
  <c r="V440" i="18"/>
  <c r="Q441" i="18"/>
  <c r="U440" i="18"/>
  <c r="S440" i="18"/>
  <c r="T439" i="18"/>
  <c r="P441" i="18" l="1"/>
  <c r="Q442" i="18"/>
  <c r="S441" i="18"/>
  <c r="R441" i="18"/>
  <c r="T441" i="18" s="1"/>
  <c r="V441" i="18"/>
  <c r="U441" i="18"/>
  <c r="T440" i="18"/>
  <c r="U442" i="18" l="1"/>
  <c r="S442" i="18"/>
  <c r="V442" i="18"/>
  <c r="R442" i="18"/>
  <c r="P442" i="18"/>
  <c r="Q443" i="18"/>
  <c r="T442" i="18" l="1"/>
  <c r="S443" i="18"/>
  <c r="V443" i="18"/>
  <c r="Q444" i="18"/>
  <c r="P443" i="18"/>
  <c r="U443" i="18"/>
  <c r="R443" i="18"/>
  <c r="T443" i="18" l="1"/>
  <c r="S444" i="18"/>
  <c r="P444" i="18"/>
  <c r="V444" i="18"/>
  <c r="R444" i="18"/>
  <c r="Q445" i="18"/>
  <c r="U444" i="18"/>
  <c r="T444" i="18" l="1"/>
  <c r="Q446" i="18"/>
  <c r="V445" i="18"/>
  <c r="S445" i="18"/>
  <c r="P445" i="18"/>
  <c r="U445" i="18"/>
  <c r="R445" i="18"/>
  <c r="T445" i="18" l="1"/>
  <c r="Q447" i="18"/>
  <c r="U446" i="18"/>
  <c r="V446" i="18"/>
  <c r="R446" i="18"/>
  <c r="P446" i="18"/>
  <c r="S446" i="18"/>
  <c r="T446" i="18" l="1"/>
  <c r="V447" i="18"/>
  <c r="T13" i="18" s="1" a="1"/>
  <c r="T13" i="18" s="1"/>
  <c r="U447" i="18"/>
  <c r="S447" i="18"/>
  <c r="S20" i="18" s="1"/>
  <c r="R447" i="18"/>
  <c r="R53" i="18" s="1"/>
  <c r="P447" i="18"/>
  <c r="S21" i="18"/>
  <c r="R19" i="18"/>
  <c r="S19" i="18"/>
  <c r="V20" i="18"/>
  <c r="U21" i="18" s="1"/>
  <c r="R22" i="18"/>
  <c r="R23" i="18"/>
  <c r="R21" i="18"/>
  <c r="V22" i="18"/>
  <c r="U23" i="18" s="1"/>
  <c r="S23" i="18"/>
  <c r="V21" i="18"/>
  <c r="U22" i="18" s="1"/>
  <c r="S22" i="18"/>
  <c r="V24" i="18"/>
  <c r="U25" i="18" s="1"/>
  <c r="S25" i="18"/>
  <c r="R26" i="18"/>
  <c r="R24" i="18"/>
  <c r="V25" i="18"/>
  <c r="U26" i="18" s="1"/>
  <c r="R25" i="18"/>
  <c r="S26" i="18"/>
  <c r="S24" i="18"/>
  <c r="V23" i="18"/>
  <c r="U24" i="18" s="1"/>
  <c r="R27" i="18"/>
  <c r="V26" i="18"/>
  <c r="U27" i="18" s="1"/>
  <c r="S27" i="18"/>
  <c r="R28" i="18"/>
  <c r="V27" i="18"/>
  <c r="U28" i="18" s="1"/>
  <c r="R29" i="18"/>
  <c r="S29" i="18"/>
  <c r="S28" i="18"/>
  <c r="R33" i="18"/>
  <c r="R31" i="18"/>
  <c r="R30" i="18"/>
  <c r="S30" i="18"/>
  <c r="V30" i="18"/>
  <c r="U31" i="18" s="1"/>
  <c r="V29" i="18"/>
  <c r="U30" i="18" s="1"/>
  <c r="V28" i="18"/>
  <c r="U29" i="18" s="1"/>
  <c r="S32" i="18"/>
  <c r="R32" i="18"/>
  <c r="S31" i="18"/>
  <c r="V35" i="18"/>
  <c r="U36" i="18" s="1"/>
  <c r="V31" i="18"/>
  <c r="U32" i="18" s="1"/>
  <c r="S34" i="18"/>
  <c r="V33" i="18"/>
  <c r="U34" i="18" s="1"/>
  <c r="R34" i="18"/>
  <c r="R35" i="18"/>
  <c r="V36" i="18"/>
  <c r="U37" i="18" s="1"/>
  <c r="S33" i="18"/>
  <c r="R36" i="18"/>
  <c r="V32" i="18"/>
  <c r="U33" i="18" s="1"/>
  <c r="V34" i="18"/>
  <c r="U35" i="18" s="1"/>
  <c r="V39" i="18"/>
  <c r="U40" i="18" s="1"/>
  <c r="R37" i="18"/>
  <c r="S35" i="18"/>
  <c r="S38" i="18"/>
  <c r="S37" i="18"/>
  <c r="S36" i="18"/>
  <c r="R39" i="18"/>
  <c r="V37" i="18"/>
  <c r="U38" i="18" s="1"/>
  <c r="R38" i="18"/>
  <c r="S39" i="18"/>
  <c r="R40" i="18"/>
  <c r="S40" i="18"/>
  <c r="V38" i="18"/>
  <c r="U39" i="18" s="1"/>
  <c r="R41" i="18"/>
  <c r="V42" i="18"/>
  <c r="U43" i="18" s="1"/>
  <c r="V43" i="18"/>
  <c r="U44" i="18" s="1"/>
  <c r="R43" i="18"/>
  <c r="S42" i="18"/>
  <c r="V40" i="18"/>
  <c r="U41" i="18" s="1"/>
  <c r="S41" i="18"/>
  <c r="V41" i="18"/>
  <c r="U42" i="18" s="1"/>
  <c r="R42" i="18"/>
  <c r="V45" i="18"/>
  <c r="U46" i="18" s="1"/>
  <c r="R47" i="18"/>
  <c r="S45" i="18"/>
  <c r="S43" i="18"/>
  <c r="R44" i="18"/>
  <c r="S44" i="18"/>
  <c r="R45" i="18"/>
  <c r="V44" i="18"/>
  <c r="U45" i="18" s="1"/>
  <c r="R49" i="18"/>
  <c r="S46" i="18"/>
  <c r="V46" i="18"/>
  <c r="U47" i="18" s="1"/>
  <c r="V47" i="18"/>
  <c r="U48" i="18" s="1"/>
  <c r="S50" i="18"/>
  <c r="R46" i="18"/>
  <c r="S48" i="18"/>
  <c r="S49" i="18"/>
  <c r="V48" i="18"/>
  <c r="U49" i="18" s="1"/>
  <c r="R48" i="18"/>
  <c r="S47" i="18"/>
  <c r="R51" i="18"/>
  <c r="V49" i="18"/>
  <c r="U50" i="18" s="1"/>
  <c r="R50" i="18"/>
  <c r="V51" i="18"/>
  <c r="U52" i="18" s="1"/>
  <c r="S52" i="18"/>
  <c r="V50" i="18"/>
  <c r="U51" i="18" s="1"/>
  <c r="S51" i="18"/>
  <c r="R52" i="18"/>
  <c r="V53" i="18"/>
  <c r="U54" i="18" s="1"/>
  <c r="V52" i="18"/>
  <c r="U53" i="18" s="1"/>
  <c r="R54" i="18"/>
  <c r="V54" i="18"/>
  <c r="S54" i="18"/>
  <c r="S53" i="18" l="1"/>
  <c r="S55" i="18" s="1"/>
  <c r="T46" i="18"/>
  <c r="T48" i="18"/>
  <c r="T22" i="18"/>
  <c r="T25" i="18"/>
  <c r="T33" i="18"/>
  <c r="T42" i="18"/>
  <c r="T32" i="18"/>
  <c r="T50" i="18"/>
  <c r="T39" i="18"/>
  <c r="T49" i="18"/>
  <c r="T45" i="18"/>
  <c r="T43" i="18"/>
  <c r="T31" i="18"/>
  <c r="T23" i="18"/>
  <c r="T29" i="18"/>
  <c r="T27" i="18"/>
  <c r="T52" i="18"/>
  <c r="T41" i="18"/>
  <c r="T37" i="18"/>
  <c r="T24" i="18"/>
  <c r="T26" i="18"/>
  <c r="T19" i="18"/>
  <c r="T47" i="18"/>
  <c r="T40" i="18"/>
  <c r="T28" i="18"/>
  <c r="T36" i="18"/>
  <c r="T447" i="18"/>
  <c r="R20" i="18"/>
  <c r="T38" i="18"/>
  <c r="T35" i="18"/>
  <c r="T44" i="18"/>
  <c r="T54" i="18"/>
  <c r="T51" i="18"/>
  <c r="T34" i="18"/>
  <c r="T30" i="18"/>
  <c r="T21" i="18"/>
  <c r="T53" i="18" l="1"/>
  <c r="T20" i="18"/>
  <c r="T55" i="18"/>
  <c r="R55" i="18"/>
  <c r="D62" i="15" l="1"/>
  <c r="E62" i="15"/>
  <c r="F62" i="15"/>
  <c r="G62" i="15"/>
  <c r="H62" i="15"/>
  <c r="I62" i="15"/>
  <c r="D63" i="15"/>
  <c r="E63" i="15"/>
  <c r="F63" i="15"/>
  <c r="G63" i="15"/>
  <c r="H63" i="15"/>
  <c r="I63" i="15"/>
  <c r="D65" i="15"/>
  <c r="E65" i="15"/>
  <c r="F65" i="15"/>
  <c r="G65" i="15"/>
  <c r="H65" i="15"/>
  <c r="I65" i="15"/>
  <c r="D67" i="15"/>
  <c r="E67" i="15"/>
  <c r="F67" i="15"/>
  <c r="G67" i="15"/>
  <c r="H67" i="15"/>
  <c r="I67" i="15"/>
  <c r="C61" i="15"/>
  <c r="C62" i="15"/>
  <c r="C63" i="15"/>
  <c r="C64" i="15"/>
  <c r="C65" i="15"/>
  <c r="C66" i="15"/>
  <c r="C67" i="15"/>
  <c r="C68" i="15"/>
  <c r="C69" i="15"/>
  <c r="C70" i="15"/>
  <c r="C60" i="15"/>
  <c r="K76" i="15"/>
  <c r="K77" i="15"/>
  <c r="K78" i="15"/>
  <c r="K79" i="15"/>
  <c r="K80" i="15"/>
  <c r="K81" i="15"/>
  <c r="K82" i="15"/>
  <c r="K83" i="15"/>
  <c r="K84" i="15"/>
  <c r="K86" i="15"/>
  <c r="K87" i="15"/>
  <c r="K88" i="15"/>
  <c r="K89" i="15"/>
  <c r="K90" i="15"/>
  <c r="K91" i="15"/>
  <c r="K92" i="15"/>
  <c r="K93" i="15"/>
  <c r="K94" i="15"/>
  <c r="K95" i="15"/>
  <c r="K96" i="15"/>
  <c r="K97" i="15"/>
  <c r="K98" i="15"/>
  <c r="K99" i="15"/>
  <c r="K100" i="15"/>
  <c r="K75" i="15"/>
  <c r="C89" i="15"/>
  <c r="C90" i="15"/>
  <c r="C91" i="15"/>
  <c r="C92" i="15"/>
  <c r="C93" i="15"/>
  <c r="C94" i="15"/>
  <c r="C95" i="15"/>
  <c r="C96" i="15"/>
  <c r="C97" i="15"/>
  <c r="C98" i="15"/>
  <c r="C99" i="15"/>
  <c r="C100" i="15"/>
  <c r="C76" i="15"/>
  <c r="C77" i="15"/>
  <c r="C78" i="15"/>
  <c r="C79" i="15"/>
  <c r="C80" i="15"/>
  <c r="C81" i="15"/>
  <c r="C82" i="15"/>
  <c r="C83" i="15"/>
  <c r="C84" i="15"/>
  <c r="C86" i="15"/>
  <c r="C87" i="15"/>
  <c r="C88" i="15"/>
  <c r="C75" i="15"/>
  <c r="C206" i="15" l="1"/>
  <c r="C203" i="15"/>
  <c r="C202" i="15"/>
  <c r="C194" i="15"/>
  <c r="C189" i="15"/>
  <c r="C188" i="15"/>
  <c r="C201" i="15"/>
  <c r="C192" i="15"/>
  <c r="C190" i="15"/>
  <c r="C187" i="15"/>
  <c r="C186" i="15"/>
  <c r="C199" i="15"/>
  <c r="C207" i="15"/>
  <c r="C193" i="15"/>
  <c r="C204" i="15"/>
  <c r="C198" i="15"/>
  <c r="C210" i="15"/>
  <c r="C185" i="15"/>
  <c r="C197" i="15"/>
  <c r="C209" i="15"/>
  <c r="C205" i="15"/>
  <c r="C191" i="15"/>
  <c r="C200" i="15"/>
  <c r="C208" i="15"/>
  <c r="C196" i="15"/>
  <c r="H16" i="12" l="1"/>
  <c r="G16" i="12"/>
  <c r="H15" i="12"/>
  <c r="G13" i="12"/>
  <c r="H12" i="12"/>
  <c r="G9" i="12"/>
  <c r="G8" i="12"/>
  <c r="G6" i="12"/>
  <c r="G48" i="6"/>
  <c r="F70" i="15" s="1"/>
  <c r="F48" i="6"/>
  <c r="E70" i="15" s="1"/>
  <c r="F47" i="6"/>
  <c r="E69" i="15" s="1"/>
  <c r="F46" i="6"/>
  <c r="E68" i="15" s="1"/>
  <c r="E48" i="6"/>
  <c r="D70" i="15" s="1"/>
  <c r="E47" i="6"/>
  <c r="D69" i="15" s="1"/>
  <c r="E46" i="6"/>
  <c r="D68" i="15" s="1"/>
  <c r="L36" i="12"/>
  <c r="L35" i="12"/>
  <c r="L34" i="12"/>
  <c r="L33" i="12"/>
  <c r="L32" i="12"/>
  <c r="L31" i="12"/>
  <c r="L30" i="12"/>
  <c r="L29" i="12"/>
  <c r="L28" i="12"/>
  <c r="L27" i="12"/>
  <c r="L26" i="12"/>
  <c r="L25" i="12"/>
  <c r="L24" i="12"/>
  <c r="L22" i="12"/>
  <c r="L21" i="12"/>
  <c r="L20" i="12"/>
  <c r="L19" i="12"/>
  <c r="L18" i="12"/>
  <c r="L17" i="12"/>
  <c r="L16" i="12"/>
  <c r="L15" i="12"/>
  <c r="L14" i="12"/>
  <c r="L13" i="12"/>
  <c r="A84" i="3"/>
  <c r="A85" i="3" s="1"/>
  <c r="A86" i="3" s="1"/>
  <c r="A87" i="3" s="1"/>
  <c r="A88" i="3" s="1"/>
  <c r="A89" i="3" s="1"/>
  <c r="A90" i="3" s="1"/>
  <c r="A91" i="3" s="1"/>
  <c r="A92" i="3" s="1"/>
  <c r="L113" i="12"/>
  <c r="L112" i="12"/>
  <c r="L111" i="12"/>
  <c r="L110" i="12"/>
  <c r="L109" i="12"/>
  <c r="L108" i="12"/>
  <c r="L107" i="12"/>
  <c r="L106" i="12"/>
  <c r="L105" i="12"/>
  <c r="L104" i="12"/>
  <c r="L103" i="12"/>
  <c r="L102" i="12"/>
  <c r="L101" i="12"/>
  <c r="L100" i="12"/>
  <c r="L99" i="12"/>
  <c r="L97" i="12"/>
  <c r="L96" i="12"/>
  <c r="L95" i="12"/>
  <c r="L94" i="12"/>
  <c r="L93" i="12"/>
  <c r="L92" i="12"/>
  <c r="L91" i="12"/>
  <c r="L90" i="12"/>
  <c r="L89" i="12"/>
  <c r="L88" i="12"/>
  <c r="D113" i="12"/>
  <c r="D112" i="12"/>
  <c r="D111" i="12"/>
  <c r="D110" i="12"/>
  <c r="D109" i="12"/>
  <c r="D108" i="12"/>
  <c r="D107" i="12"/>
  <c r="D106" i="12"/>
  <c r="D105" i="12"/>
  <c r="D104" i="12"/>
  <c r="D103" i="12"/>
  <c r="D102" i="12"/>
  <c r="D101" i="12"/>
  <c r="D100" i="12"/>
  <c r="D99" i="12"/>
  <c r="D97" i="12"/>
  <c r="D96" i="12"/>
  <c r="D95" i="12"/>
  <c r="D94" i="12"/>
  <c r="D93" i="12"/>
  <c r="D92" i="12"/>
  <c r="D91" i="12"/>
  <c r="D90" i="12"/>
  <c r="D89" i="12"/>
  <c r="D88" i="12"/>
  <c r="L77" i="12"/>
  <c r="L76" i="12"/>
  <c r="L75" i="12"/>
  <c r="L74" i="12"/>
  <c r="L73" i="12"/>
  <c r="L72" i="12"/>
  <c r="L71" i="12"/>
  <c r="L70" i="12"/>
  <c r="L69" i="12"/>
  <c r="L68" i="12"/>
  <c r="L67" i="12"/>
  <c r="L66" i="12"/>
  <c r="L65" i="12"/>
  <c r="L64" i="12"/>
  <c r="L63" i="12"/>
  <c r="L61" i="12"/>
  <c r="L60" i="12"/>
  <c r="L59" i="12"/>
  <c r="L58" i="12"/>
  <c r="L57" i="12"/>
  <c r="L56" i="12"/>
  <c r="L55" i="12"/>
  <c r="L54" i="12"/>
  <c r="L53" i="12"/>
  <c r="L52" i="12"/>
  <c r="D77" i="12"/>
  <c r="D76" i="12"/>
  <c r="D75" i="12"/>
  <c r="D74" i="12"/>
  <c r="D72" i="12"/>
  <c r="D71" i="12"/>
  <c r="D70" i="12"/>
  <c r="D69" i="12"/>
  <c r="D68" i="12"/>
  <c r="D67" i="12"/>
  <c r="D66" i="12"/>
  <c r="D65" i="12"/>
  <c r="D64" i="12"/>
  <c r="D63" i="12"/>
  <c r="D61" i="12"/>
  <c r="D60" i="12"/>
  <c r="D59" i="12"/>
  <c r="D58" i="12"/>
  <c r="D57" i="12"/>
  <c r="D56" i="12"/>
  <c r="D55" i="12"/>
  <c r="D54" i="12"/>
  <c r="D53" i="12"/>
  <c r="D52" i="12"/>
  <c r="B53" i="12"/>
  <c r="A53" i="12" s="1" a="1"/>
  <c r="A53" i="12" s="1"/>
  <c r="B54" i="12"/>
  <c r="A54" i="12" s="1" a="1"/>
  <c r="A54" i="12" s="1"/>
  <c r="B55" i="12"/>
  <c r="A55" i="12" s="1" a="1"/>
  <c r="A55" i="12" s="1"/>
  <c r="B56" i="12"/>
  <c r="A56" i="12" s="1" a="1"/>
  <c r="A56" i="12" s="1"/>
  <c r="B57" i="12"/>
  <c r="A57" i="12" s="1" a="1"/>
  <c r="A57" i="12" s="1"/>
  <c r="B58" i="12"/>
  <c r="A58" i="12" s="1" a="1"/>
  <c r="A58" i="12" s="1"/>
  <c r="B59" i="12"/>
  <c r="A59" i="12" s="1" a="1"/>
  <c r="A59" i="12" s="1"/>
  <c r="B60" i="12"/>
  <c r="A60" i="12" s="1" a="1"/>
  <c r="A60" i="12" s="1"/>
  <c r="B61" i="12"/>
  <c r="A61" i="12" s="1" a="1"/>
  <c r="A61" i="12" s="1"/>
  <c r="B63" i="12"/>
  <c r="A63" i="12" s="1" a="1"/>
  <c r="A63" i="12" s="1"/>
  <c r="B64" i="12"/>
  <c r="A64" i="12" s="1" a="1"/>
  <c r="A64" i="12" s="1"/>
  <c r="B65" i="12"/>
  <c r="A65" i="12" s="1" a="1"/>
  <c r="A65" i="12" s="1"/>
  <c r="B66" i="12"/>
  <c r="A66" i="12" s="1" a="1"/>
  <c r="A66" i="12" s="1"/>
  <c r="B67" i="12"/>
  <c r="A67" i="12" s="1" a="1"/>
  <c r="A67" i="12" s="1"/>
  <c r="B68" i="12"/>
  <c r="A68" i="12" s="1" a="1"/>
  <c r="A68" i="12" s="1"/>
  <c r="B69" i="12"/>
  <c r="A69" i="12" s="1" a="1"/>
  <c r="A69" i="12" s="1"/>
  <c r="B70" i="12"/>
  <c r="A70" i="12" s="1" a="1"/>
  <c r="A70" i="12" s="1"/>
  <c r="B71" i="12"/>
  <c r="A71" i="12" s="1" a="1"/>
  <c r="A71" i="12" s="1"/>
  <c r="B72" i="12"/>
  <c r="A72" i="12" s="1" a="1"/>
  <c r="A72" i="12" s="1"/>
  <c r="B73" i="12"/>
  <c r="A73" i="12" s="1" a="1"/>
  <c r="A73" i="12" s="1"/>
  <c r="F73" i="12" s="1"/>
  <c r="B74" i="12"/>
  <c r="A74" i="12" s="1" a="1"/>
  <c r="A74" i="12" s="1"/>
  <c r="B75" i="12"/>
  <c r="A75" i="12" s="1" a="1"/>
  <c r="A75" i="12" s="1"/>
  <c r="B76" i="12"/>
  <c r="A76" i="12" s="1" a="1"/>
  <c r="A76" i="12" s="1"/>
  <c r="B77" i="12"/>
  <c r="A77" i="12" s="1" a="1"/>
  <c r="A77" i="12" s="1"/>
  <c r="B52" i="12"/>
  <c r="A52" i="12" s="1" a="1"/>
  <c r="A52" i="12" s="1"/>
  <c r="C69" i="12"/>
  <c r="C70" i="12"/>
  <c r="C71" i="12"/>
  <c r="C72" i="12"/>
  <c r="C73" i="12"/>
  <c r="C74" i="12"/>
  <c r="C75" i="12"/>
  <c r="C76" i="12"/>
  <c r="C77" i="12"/>
  <c r="D49" i="12"/>
  <c r="C68" i="12"/>
  <c r="C67" i="12"/>
  <c r="C66" i="12"/>
  <c r="C65" i="12"/>
  <c r="C64" i="12"/>
  <c r="C63" i="12"/>
  <c r="C61" i="12"/>
  <c r="C60" i="12"/>
  <c r="C59" i="12"/>
  <c r="C58" i="12"/>
  <c r="C57" i="12"/>
  <c r="C56" i="12"/>
  <c r="C55" i="12"/>
  <c r="C54" i="12"/>
  <c r="C53" i="12"/>
  <c r="C52" i="12"/>
  <c r="G64" i="12" l="1"/>
  <c r="F64" i="12"/>
  <c r="E87" i="15" s="1"/>
  <c r="F89" i="15"/>
  <c r="H13" i="12"/>
  <c r="H6" i="12"/>
  <c r="G14" i="12"/>
  <c r="G7" i="12"/>
  <c r="G17" i="12"/>
  <c r="E76" i="12"/>
  <c r="D99" i="15" s="1"/>
  <c r="E74" i="12"/>
  <c r="D97" i="15" s="1"/>
  <c r="H96" i="15"/>
  <c r="E73" i="12"/>
  <c r="I53" i="12"/>
  <c r="H76" i="15" s="1"/>
  <c r="G53" i="12"/>
  <c r="J53" i="12"/>
  <c r="H53" i="12"/>
  <c r="J69" i="12"/>
  <c r="E69" i="12"/>
  <c r="H69" i="12"/>
  <c r="I69" i="12"/>
  <c r="H92" i="15" s="1"/>
  <c r="E67" i="12"/>
  <c r="G52" i="12"/>
  <c r="F75" i="15" s="1"/>
  <c r="F52" i="12"/>
  <c r="J52" i="12"/>
  <c r="H52" i="12"/>
  <c r="I52" i="12"/>
  <c r="E52" i="12"/>
  <c r="E71" i="12"/>
  <c r="I94" i="15"/>
  <c r="E68" i="12"/>
  <c r="G68" i="12"/>
  <c r="F65" i="12"/>
  <c r="H65" i="12"/>
  <c r="I65" i="12"/>
  <c r="H88" i="15" s="1"/>
  <c r="J65" i="12"/>
  <c r="E65" i="12"/>
  <c r="G65" i="12"/>
  <c r="I70" i="12"/>
  <c r="F70" i="12"/>
  <c r="G70" i="12"/>
  <c r="F93" i="15" s="1"/>
  <c r="H70" i="12"/>
  <c r="E70" i="12"/>
  <c r="J70" i="12"/>
  <c r="I64" i="12"/>
  <c r="E64" i="12"/>
  <c r="J64" i="12"/>
  <c r="I66" i="12"/>
  <c r="J66" i="12"/>
  <c r="H66" i="12"/>
  <c r="E66" i="12"/>
  <c r="E63" i="12"/>
  <c r="G47" i="6"/>
  <c r="F69" i="15" s="1"/>
  <c r="H8" i="12"/>
  <c r="H10" i="12"/>
  <c r="H7" i="12"/>
  <c r="I16" i="12"/>
  <c r="I9" i="12"/>
  <c r="H14" i="12"/>
  <c r="H17" i="12"/>
  <c r="I13" i="12"/>
  <c r="I6" i="12"/>
  <c r="I17" i="12"/>
  <c r="I7" i="12"/>
  <c r="H9" i="12"/>
  <c r="N77" i="12"/>
  <c r="N61" i="12"/>
  <c r="N55" i="12"/>
  <c r="N75" i="12"/>
  <c r="N60" i="12"/>
  <c r="N59" i="12"/>
  <c r="N72" i="12"/>
  <c r="N58" i="12"/>
  <c r="N57" i="12"/>
  <c r="N56" i="12"/>
  <c r="I15" i="12" l="1"/>
  <c r="I12" i="12"/>
  <c r="H18" i="12"/>
  <c r="I14" i="12"/>
  <c r="O60" i="12"/>
  <c r="P60" i="12" s="1"/>
  <c r="O59" i="12"/>
  <c r="O57" i="12"/>
  <c r="O56" i="12"/>
  <c r="O55" i="12"/>
  <c r="N54" i="12"/>
  <c r="O58" i="12"/>
  <c r="O61" i="12"/>
  <c r="O77" i="12"/>
  <c r="O75" i="12"/>
  <c r="O72" i="12"/>
  <c r="I99" i="15"/>
  <c r="E99" i="15"/>
  <c r="F99" i="15"/>
  <c r="G99" i="15"/>
  <c r="H99" i="15"/>
  <c r="D96" i="15"/>
  <c r="I97" i="15"/>
  <c r="I96" i="15"/>
  <c r="E96" i="15"/>
  <c r="F97" i="15"/>
  <c r="G97" i="15"/>
  <c r="G96" i="15"/>
  <c r="E97" i="15"/>
  <c r="H97" i="15"/>
  <c r="F96" i="15"/>
  <c r="G92" i="15"/>
  <c r="I86" i="15"/>
  <c r="H90" i="15"/>
  <c r="E93" i="15"/>
  <c r="H94" i="15"/>
  <c r="D89" i="15"/>
  <c r="I89" i="15"/>
  <c r="E94" i="15"/>
  <c r="D92" i="15"/>
  <c r="E90" i="15"/>
  <c r="D91" i="15"/>
  <c r="I88" i="15"/>
  <c r="H87" i="15"/>
  <c r="I93" i="15"/>
  <c r="F90" i="15"/>
  <c r="E89" i="15"/>
  <c r="G88" i="15"/>
  <c r="G86" i="15"/>
  <c r="F87" i="15"/>
  <c r="I90" i="15"/>
  <c r="D94" i="15"/>
  <c r="D87" i="15"/>
  <c r="D88" i="15"/>
  <c r="F88" i="15"/>
  <c r="D90" i="15"/>
  <c r="H89" i="15"/>
  <c r="E88" i="15"/>
  <c r="I87" i="15"/>
  <c r="E86" i="15"/>
  <c r="G89" i="15"/>
  <c r="G93" i="15"/>
  <c r="F94" i="15"/>
  <c r="I92" i="15"/>
  <c r="D86" i="15"/>
  <c r="D93" i="15"/>
  <c r="G87" i="15"/>
  <c r="E92" i="15"/>
  <c r="H86" i="15"/>
  <c r="G90" i="15"/>
  <c r="G94" i="15"/>
  <c r="F86" i="15"/>
  <c r="H93" i="15"/>
  <c r="F92" i="15"/>
  <c r="D76" i="15"/>
  <c r="I76" i="15"/>
  <c r="G75" i="15"/>
  <c r="E76" i="15"/>
  <c r="F76" i="15"/>
  <c r="G76" i="15"/>
  <c r="I75" i="15"/>
  <c r="H75" i="15"/>
  <c r="E75" i="15"/>
  <c r="D75" i="15"/>
  <c r="H47" i="6"/>
  <c r="G69" i="15" s="1"/>
  <c r="I8" i="12"/>
  <c r="I48" i="6"/>
  <c r="H70" i="15" s="1"/>
  <c r="I10" i="12"/>
  <c r="H48" i="6"/>
  <c r="G70" i="15" s="1"/>
  <c r="I47" i="6"/>
  <c r="H69" i="15" s="1"/>
  <c r="O5" i="9"/>
  <c r="N5" i="9"/>
  <c r="M5" i="9"/>
  <c r="L5" i="9"/>
  <c r="K5" i="9"/>
  <c r="J5" i="9"/>
  <c r="I5" i="9"/>
  <c r="H5" i="9"/>
  <c r="G5" i="9"/>
  <c r="F5" i="9"/>
  <c r="E5" i="9"/>
  <c r="D5" i="9"/>
  <c r="P45" i="6"/>
  <c r="Q45" i="6"/>
  <c r="R45" i="6"/>
  <c r="S45" i="6"/>
  <c r="T45" i="6"/>
  <c r="O45" i="6"/>
  <c r="P43" i="6"/>
  <c r="P44" i="6" s="1"/>
  <c r="Q43" i="6"/>
  <c r="Q44" i="6" s="1"/>
  <c r="R43" i="6"/>
  <c r="R44" i="6" s="1"/>
  <c r="S43" i="6"/>
  <c r="S44" i="6" s="1"/>
  <c r="T43" i="6"/>
  <c r="T44" i="6" s="1"/>
  <c r="O43" i="6"/>
  <c r="O44" i="6" s="1"/>
  <c r="P40" i="6"/>
  <c r="Q40" i="6"/>
  <c r="R40" i="6"/>
  <c r="S40" i="6"/>
  <c r="T40" i="6"/>
  <c r="P41" i="6"/>
  <c r="Q41" i="6"/>
  <c r="R41" i="6"/>
  <c r="S41" i="6"/>
  <c r="T41" i="6"/>
  <c r="O41" i="6"/>
  <c r="O40" i="6"/>
  <c r="E36" i="6"/>
  <c r="J8" i="12" l="1"/>
  <c r="J16" i="12"/>
  <c r="I11" i="12"/>
  <c r="J7" i="12"/>
  <c r="J15" i="12"/>
  <c r="J14" i="12"/>
  <c r="J17" i="12"/>
  <c r="J6" i="12"/>
  <c r="J12" i="12"/>
  <c r="J18" i="12"/>
  <c r="I18" i="12"/>
  <c r="J13" i="12"/>
  <c r="J10" i="12"/>
  <c r="P72" i="12"/>
  <c r="Q72" i="12" s="1"/>
  <c r="P77" i="12"/>
  <c r="Q77" i="12" s="1"/>
  <c r="P61" i="12"/>
  <c r="P58" i="12"/>
  <c r="P56" i="12"/>
  <c r="P59" i="12"/>
  <c r="P57" i="12"/>
  <c r="O54" i="12"/>
  <c r="P55" i="12"/>
  <c r="P75" i="12"/>
  <c r="F91" i="15"/>
  <c r="J48" i="6"/>
  <c r="I70" i="15" s="1"/>
  <c r="Q60" i="12"/>
  <c r="E16" i="6"/>
  <c r="E42" i="6"/>
  <c r="D64" i="15" s="1"/>
  <c r="E44" i="6"/>
  <c r="D66" i="15" s="1"/>
  <c r="U38" i="6"/>
  <c r="U22" i="6"/>
  <c r="E39" i="6"/>
  <c r="D61" i="15" s="1"/>
  <c r="F36" i="6"/>
  <c r="E137" i="4" l="1"/>
  <c r="E248" i="15" s="1"/>
  <c r="E130" i="4"/>
  <c r="E241" i="15" s="1"/>
  <c r="E139" i="4"/>
  <c r="E250" i="15" s="1"/>
  <c r="E136" i="4"/>
  <c r="E247" i="15" s="1"/>
  <c r="E127" i="4"/>
  <c r="E238" i="15" s="1"/>
  <c r="E125" i="4"/>
  <c r="E236" i="15" s="1"/>
  <c r="E132" i="4"/>
  <c r="E243" i="15" s="1"/>
  <c r="E138" i="4"/>
  <c r="E249" i="15" s="1"/>
  <c r="E148" i="4"/>
  <c r="E259" i="15" s="1"/>
  <c r="E134" i="4"/>
  <c r="E245" i="15" s="1"/>
  <c r="E126" i="4"/>
  <c r="E237" i="15" s="1"/>
  <c r="E131" i="4"/>
  <c r="E242" i="15" s="1"/>
  <c r="E128" i="4"/>
  <c r="E239" i="15" s="1"/>
  <c r="E133" i="4"/>
  <c r="E244" i="15" s="1"/>
  <c r="E149" i="4"/>
  <c r="E260" i="15" s="1"/>
  <c r="E145" i="4"/>
  <c r="E256" i="15" s="1"/>
  <c r="E140" i="4"/>
  <c r="E251" i="15" s="1"/>
  <c r="J11" i="12"/>
  <c r="J9" i="12"/>
  <c r="Q55" i="12"/>
  <c r="P54" i="12"/>
  <c r="Q57" i="12"/>
  <c r="Q56" i="12"/>
  <c r="Q59" i="12"/>
  <c r="Q58" i="12"/>
  <c r="Q61" i="12"/>
  <c r="Q75" i="12"/>
  <c r="G91" i="15"/>
  <c r="R77" i="12"/>
  <c r="R72" i="12"/>
  <c r="R60" i="12"/>
  <c r="G36" i="6"/>
  <c r="G46" i="6"/>
  <c r="F68" i="15" s="1"/>
  <c r="F44" i="6"/>
  <c r="E66" i="15" s="1"/>
  <c r="F42" i="6"/>
  <c r="E64" i="15" s="1"/>
  <c r="F16" i="6"/>
  <c r="F39" i="6"/>
  <c r="E61" i="15" s="1"/>
  <c r="E17" i="6"/>
  <c r="G44" i="6" l="1"/>
  <c r="F66" i="15" s="1"/>
  <c r="F131" i="4"/>
  <c r="F242" i="15" s="1"/>
  <c r="F133" i="4"/>
  <c r="F244" i="15" s="1"/>
  <c r="F138" i="4"/>
  <c r="F249" i="15" s="1"/>
  <c r="F128" i="4"/>
  <c r="F239" i="15" s="1"/>
  <c r="F136" i="4"/>
  <c r="F247" i="15" s="1"/>
  <c r="F134" i="4"/>
  <c r="F245" i="15" s="1"/>
  <c r="F137" i="4"/>
  <c r="F248" i="15" s="1"/>
  <c r="F130" i="4"/>
  <c r="F241" i="15" s="1"/>
  <c r="F145" i="4"/>
  <c r="F256" i="15" s="1"/>
  <c r="F140" i="4"/>
  <c r="F251" i="15" s="1"/>
  <c r="F148" i="4"/>
  <c r="F259" i="15" s="1"/>
  <c r="F132" i="4"/>
  <c r="F243" i="15" s="1"/>
  <c r="F139" i="4"/>
  <c r="F250" i="15" s="1"/>
  <c r="F127" i="4"/>
  <c r="F238" i="15" s="1"/>
  <c r="F149" i="4"/>
  <c r="F260" i="15" s="1"/>
  <c r="F126" i="4"/>
  <c r="F237" i="15" s="1"/>
  <c r="F125" i="4"/>
  <c r="F236" i="15" s="1"/>
  <c r="O55" i="9" a="1"/>
  <c r="O55" i="9" s="1"/>
  <c r="D55" i="9" a="1"/>
  <c r="D55" i="9" s="1"/>
  <c r="G55" i="9" a="1"/>
  <c r="G55" i="9" s="1"/>
  <c r="I55" i="9" a="1"/>
  <c r="I55" i="9" s="1"/>
  <c r="J55" i="9" a="1"/>
  <c r="J55" i="9" s="1"/>
  <c r="M55" i="9" a="1"/>
  <c r="M55" i="9" s="1"/>
  <c r="K55" i="9" a="1"/>
  <c r="K55" i="9" s="1"/>
  <c r="F55" i="9" a="1"/>
  <c r="F55" i="9" s="1"/>
  <c r="N55" i="9" a="1"/>
  <c r="N55" i="9" s="1"/>
  <c r="H55" i="9" a="1"/>
  <c r="H55" i="9" s="1"/>
  <c r="E55" i="9" a="1"/>
  <c r="E55" i="9" s="1"/>
  <c r="L55" i="9" a="1"/>
  <c r="L55" i="9" s="1"/>
  <c r="E281" i="15"/>
  <c r="E323" i="15" s="1"/>
  <c r="AM17" i="22" s="1"/>
  <c r="K62" i="9" a="1"/>
  <c r="K62" i="9" s="1"/>
  <c r="H62" i="9" a="1"/>
  <c r="H62" i="9" s="1"/>
  <c r="E62" i="9" a="1"/>
  <c r="E62" i="9" s="1"/>
  <c r="F62" i="9" a="1"/>
  <c r="F62" i="9" s="1"/>
  <c r="I62" i="9" a="1"/>
  <c r="I62" i="9" s="1"/>
  <c r="G62" i="9" a="1"/>
  <c r="G62" i="9" s="1"/>
  <c r="M62" i="9" a="1"/>
  <c r="M62" i="9" s="1"/>
  <c r="J62" i="9" a="1"/>
  <c r="J62" i="9" s="1"/>
  <c r="D62" i="9" a="1"/>
  <c r="D62" i="9" s="1"/>
  <c r="N62" i="9" a="1"/>
  <c r="N62" i="9" s="1"/>
  <c r="O62" i="9" a="1"/>
  <c r="O62" i="9" s="1"/>
  <c r="L62" i="9" a="1"/>
  <c r="L62" i="9" s="1"/>
  <c r="O75" i="9" a="1"/>
  <c r="O75" i="9" s="1"/>
  <c r="D75" i="9" a="1"/>
  <c r="D75" i="9" s="1"/>
  <c r="I75" i="9" a="1"/>
  <c r="I75" i="9" s="1"/>
  <c r="F75" i="9" a="1"/>
  <c r="F75" i="9" s="1"/>
  <c r="L75" i="9" a="1"/>
  <c r="L75" i="9" s="1"/>
  <c r="G75" i="9" a="1"/>
  <c r="G75" i="9" s="1"/>
  <c r="N75" i="9" a="1"/>
  <c r="N75" i="9" s="1"/>
  <c r="K75" i="9" a="1"/>
  <c r="K75" i="9" s="1"/>
  <c r="E75" i="9" a="1"/>
  <c r="E75" i="9" s="1"/>
  <c r="M75" i="9" a="1"/>
  <c r="M75" i="9" s="1"/>
  <c r="H75" i="9" a="1"/>
  <c r="H75" i="9" s="1"/>
  <c r="J75" i="9" a="1"/>
  <c r="J75" i="9" s="1"/>
  <c r="O63" i="9" a="1"/>
  <c r="O63" i="9" s="1"/>
  <c r="F63" i="9" a="1"/>
  <c r="F63" i="9" s="1"/>
  <c r="K63" i="9" a="1"/>
  <c r="K63" i="9" s="1"/>
  <c r="H63" i="9" a="1"/>
  <c r="H63" i="9" s="1"/>
  <c r="L63" i="9" a="1"/>
  <c r="L63" i="9" s="1"/>
  <c r="I63" i="9" a="1"/>
  <c r="I63" i="9" s="1"/>
  <c r="E63" i="9" a="1"/>
  <c r="E63" i="9" s="1"/>
  <c r="J63" i="9" a="1"/>
  <c r="J63" i="9" s="1"/>
  <c r="M63" i="9" a="1"/>
  <c r="M63" i="9" s="1"/>
  <c r="D63" i="9" a="1"/>
  <c r="D63" i="9" s="1"/>
  <c r="G63" i="9" a="1"/>
  <c r="G63" i="9" s="1"/>
  <c r="N63" i="9" a="1"/>
  <c r="N63" i="9" s="1"/>
  <c r="K66" i="9" a="1"/>
  <c r="K66" i="9" s="1"/>
  <c r="N66" i="9" a="1"/>
  <c r="N66" i="9" s="1"/>
  <c r="F66" i="9" a="1"/>
  <c r="F66" i="9" s="1"/>
  <c r="G66" i="9" a="1"/>
  <c r="G66" i="9" s="1"/>
  <c r="J66" i="9" a="1"/>
  <c r="J66" i="9" s="1"/>
  <c r="M66" i="9" a="1"/>
  <c r="M66" i="9" s="1"/>
  <c r="O66" i="9" a="1"/>
  <c r="O66" i="9" s="1"/>
  <c r="D66" i="9" a="1"/>
  <c r="D66" i="9" s="1"/>
  <c r="H66" i="9" a="1"/>
  <c r="H66" i="9" s="1"/>
  <c r="I66" i="9" a="1"/>
  <c r="I66" i="9" s="1"/>
  <c r="E66" i="9" a="1"/>
  <c r="E66" i="9" s="1"/>
  <c r="L66" i="9" a="1"/>
  <c r="L66" i="9" s="1"/>
  <c r="O64" i="9" a="1"/>
  <c r="O64" i="9" s="1"/>
  <c r="I64" i="9" a="1"/>
  <c r="I64" i="9" s="1"/>
  <c r="N64" i="9" a="1"/>
  <c r="N64" i="9" s="1"/>
  <c r="L64" i="9" a="1"/>
  <c r="L64" i="9" s="1"/>
  <c r="K64" i="9" a="1"/>
  <c r="K64" i="9" s="1"/>
  <c r="D64" i="9" a="1"/>
  <c r="D64" i="9" s="1"/>
  <c r="F64" i="9" a="1"/>
  <c r="F64" i="9" s="1"/>
  <c r="M64" i="9" a="1"/>
  <c r="M64" i="9" s="1"/>
  <c r="H64" i="9" a="1"/>
  <c r="H64" i="9" s="1"/>
  <c r="J64" i="9" a="1"/>
  <c r="J64" i="9" s="1"/>
  <c r="E64" i="9" a="1"/>
  <c r="E64" i="9" s="1"/>
  <c r="G64" i="9" a="1"/>
  <c r="G64" i="9" s="1"/>
  <c r="K78" i="9" a="1"/>
  <c r="K78" i="9" s="1"/>
  <c r="I78" i="9" a="1"/>
  <c r="I78" i="9" s="1"/>
  <c r="E78" i="9" a="1"/>
  <c r="E78" i="9" s="1"/>
  <c r="H78" i="9" a="1"/>
  <c r="H78" i="9" s="1"/>
  <c r="O78" i="9" a="1"/>
  <c r="O78" i="9" s="1"/>
  <c r="N78" i="9" a="1"/>
  <c r="N78" i="9" s="1"/>
  <c r="M78" i="9" a="1"/>
  <c r="M78" i="9" s="1"/>
  <c r="D78" i="9" a="1"/>
  <c r="D78" i="9" s="1"/>
  <c r="F78" i="9" a="1"/>
  <c r="F78" i="9" s="1"/>
  <c r="G78" i="9" a="1"/>
  <c r="G78" i="9" s="1"/>
  <c r="J78" i="9" a="1"/>
  <c r="J78" i="9" s="1"/>
  <c r="L78" i="9" a="1"/>
  <c r="L78" i="9" s="1"/>
  <c r="O68" i="9" a="1"/>
  <c r="O68" i="9" s="1"/>
  <c r="E68" i="9" a="1"/>
  <c r="E68" i="9" s="1"/>
  <c r="L68" i="9" a="1"/>
  <c r="L68" i="9" s="1"/>
  <c r="K68" i="9" a="1"/>
  <c r="K68" i="9" s="1"/>
  <c r="F68" i="9" a="1"/>
  <c r="F68" i="9" s="1"/>
  <c r="I68" i="9" a="1"/>
  <c r="I68" i="9" s="1"/>
  <c r="N68" i="9" a="1"/>
  <c r="N68" i="9" s="1"/>
  <c r="G68" i="9" a="1"/>
  <c r="G68" i="9" s="1"/>
  <c r="J68" i="9" a="1"/>
  <c r="J68" i="9" s="1"/>
  <c r="M68" i="9" a="1"/>
  <c r="M68" i="9" s="1"/>
  <c r="H68" i="9" a="1"/>
  <c r="H68" i="9" s="1"/>
  <c r="D68" i="9" a="1"/>
  <c r="D68" i="9" s="1"/>
  <c r="K70" i="9" a="1"/>
  <c r="K70" i="9" s="1"/>
  <c r="D70" i="9" a="1"/>
  <c r="D70" i="9" s="1"/>
  <c r="F70" i="9" a="1"/>
  <c r="F70" i="9" s="1"/>
  <c r="H70" i="9" a="1"/>
  <c r="H70" i="9" s="1"/>
  <c r="J70" i="9" a="1"/>
  <c r="J70" i="9" s="1"/>
  <c r="M70" i="9" a="1"/>
  <c r="M70" i="9" s="1"/>
  <c r="O70" i="9" a="1"/>
  <c r="O70" i="9" s="1"/>
  <c r="I70" i="9" a="1"/>
  <c r="I70" i="9" s="1"/>
  <c r="G70" i="9" a="1"/>
  <c r="G70" i="9" s="1"/>
  <c r="E70" i="9" a="1"/>
  <c r="E70" i="9" s="1"/>
  <c r="L70" i="9" a="1"/>
  <c r="L70" i="9" s="1"/>
  <c r="N70" i="9" a="1"/>
  <c r="N70" i="9" s="1"/>
  <c r="O60" i="9" a="1"/>
  <c r="O60" i="9" s="1"/>
  <c r="E60" i="9" a="1"/>
  <c r="E60" i="9" s="1"/>
  <c r="G60" i="9" a="1"/>
  <c r="G60" i="9" s="1"/>
  <c r="M60" i="9" a="1"/>
  <c r="M60" i="9" s="1"/>
  <c r="H60" i="9" a="1"/>
  <c r="H60" i="9" s="1"/>
  <c r="J60" i="9" a="1"/>
  <c r="J60" i="9" s="1"/>
  <c r="D60" i="9" a="1"/>
  <c r="D60" i="9" s="1"/>
  <c r="K60" i="9" a="1"/>
  <c r="K60" i="9" s="1"/>
  <c r="N60" i="9" a="1"/>
  <c r="N60" i="9" s="1"/>
  <c r="I60" i="9" a="1"/>
  <c r="I60" i="9" s="1"/>
  <c r="F60" i="9" a="1"/>
  <c r="F60" i="9" s="1"/>
  <c r="L60" i="9" a="1"/>
  <c r="L60" i="9" s="1"/>
  <c r="O79" i="9" a="1"/>
  <c r="O79" i="9" s="1"/>
  <c r="L79" i="9" a="1"/>
  <c r="L79" i="9" s="1"/>
  <c r="N79" i="9" a="1"/>
  <c r="N79" i="9" s="1"/>
  <c r="D79" i="9" a="1"/>
  <c r="D79" i="9" s="1"/>
  <c r="I79" i="9" a="1"/>
  <c r="I79" i="9" s="1"/>
  <c r="J79" i="9" a="1"/>
  <c r="J79" i="9" s="1"/>
  <c r="H79" i="9" a="1"/>
  <c r="H79" i="9" s="1"/>
  <c r="M79" i="9" a="1"/>
  <c r="M79" i="9" s="1"/>
  <c r="F79" i="9" a="1"/>
  <c r="F79" i="9" s="1"/>
  <c r="K79" i="9" a="1"/>
  <c r="K79" i="9" s="1"/>
  <c r="G79" i="9" a="1"/>
  <c r="G79" i="9" s="1"/>
  <c r="E79" i="9" a="1"/>
  <c r="E79" i="9" s="1"/>
  <c r="G57" i="9" a="1"/>
  <c r="G57" i="9" s="1"/>
  <c r="L57" i="9" a="1"/>
  <c r="L57" i="9" s="1"/>
  <c r="J57" i="9" a="1"/>
  <c r="J57" i="9" s="1"/>
  <c r="O57" i="9" a="1"/>
  <c r="O57" i="9" s="1"/>
  <c r="E57" i="9" a="1"/>
  <c r="E57" i="9" s="1"/>
  <c r="F57" i="9" a="1"/>
  <c r="F57" i="9" s="1"/>
  <c r="H57" i="9" a="1"/>
  <c r="H57" i="9" s="1"/>
  <c r="D57" i="9" a="1"/>
  <c r="D57" i="9" s="1"/>
  <c r="N57" i="9" a="1"/>
  <c r="N57" i="9" s="1"/>
  <c r="M57" i="9" a="1"/>
  <c r="M57" i="9" s="1"/>
  <c r="K57" i="9" a="1"/>
  <c r="K57" i="9" s="1"/>
  <c r="I57" i="9" a="1"/>
  <c r="I57" i="9" s="1"/>
  <c r="K58" i="9" a="1"/>
  <c r="K58" i="9" s="1"/>
  <c r="M58" i="9" a="1"/>
  <c r="M58" i="9" s="1"/>
  <c r="O58" i="9" a="1"/>
  <c r="O58" i="9" s="1"/>
  <c r="J58" i="9" a="1"/>
  <c r="J58" i="9" s="1"/>
  <c r="G58" i="9" a="1"/>
  <c r="G58" i="9" s="1"/>
  <c r="H58" i="9" a="1"/>
  <c r="H58" i="9" s="1"/>
  <c r="E58" i="9" a="1"/>
  <c r="E58" i="9" s="1"/>
  <c r="F58" i="9" a="1"/>
  <c r="F58" i="9" s="1"/>
  <c r="I58" i="9" a="1"/>
  <c r="I58" i="9" s="1"/>
  <c r="D58" i="9" a="1"/>
  <c r="D58" i="9" s="1"/>
  <c r="L58" i="9" a="1"/>
  <c r="L58" i="9" s="1"/>
  <c r="N58" i="9" a="1"/>
  <c r="N58" i="9" s="1"/>
  <c r="G69" i="9" a="1"/>
  <c r="G69" i="9" s="1"/>
  <c r="O69" i="9" a="1"/>
  <c r="O69" i="9" s="1"/>
  <c r="L69" i="9" a="1"/>
  <c r="L69" i="9" s="1"/>
  <c r="F69" i="9" a="1"/>
  <c r="F69" i="9" s="1"/>
  <c r="M69" i="9" a="1"/>
  <c r="M69" i="9" s="1"/>
  <c r="E69" i="9" a="1"/>
  <c r="E69" i="9" s="1"/>
  <c r="J69" i="9" a="1"/>
  <c r="J69" i="9" s="1"/>
  <c r="D69" i="9" a="1"/>
  <c r="D69" i="9" s="1"/>
  <c r="H69" i="9" a="1"/>
  <c r="H69" i="9" s="1"/>
  <c r="I69" i="9" a="1"/>
  <c r="I69" i="9" s="1"/>
  <c r="K69" i="9" a="1"/>
  <c r="K69" i="9" s="1"/>
  <c r="N69" i="9" a="1"/>
  <c r="N69" i="9" s="1"/>
  <c r="G61" i="9" a="1"/>
  <c r="G61" i="9" s="1"/>
  <c r="N61" i="9" a="1"/>
  <c r="N61" i="9" s="1"/>
  <c r="H61" i="9" a="1"/>
  <c r="H61" i="9" s="1"/>
  <c r="J61" i="9" a="1"/>
  <c r="J61" i="9" s="1"/>
  <c r="F61" i="9" a="1"/>
  <c r="F61" i="9" s="1"/>
  <c r="I61" i="9" a="1"/>
  <c r="I61" i="9" s="1"/>
  <c r="K61" i="9" a="1"/>
  <c r="K61" i="9" s="1"/>
  <c r="L61" i="9" a="1"/>
  <c r="L61" i="9" s="1"/>
  <c r="D61" i="9" a="1"/>
  <c r="D61" i="9" s="1"/>
  <c r="O61" i="9" a="1"/>
  <c r="O61" i="9" s="1"/>
  <c r="E61" i="9" a="1"/>
  <c r="E61" i="9" s="1"/>
  <c r="M61" i="9" a="1"/>
  <c r="M61" i="9" s="1"/>
  <c r="O56" i="9" a="1"/>
  <c r="O56" i="9" s="1"/>
  <c r="K56" i="9" a="1"/>
  <c r="K56" i="9" s="1"/>
  <c r="M56" i="9" a="1"/>
  <c r="M56" i="9" s="1"/>
  <c r="D56" i="9" a="1"/>
  <c r="D56" i="9" s="1"/>
  <c r="F56" i="9" a="1"/>
  <c r="F56" i="9" s="1"/>
  <c r="H56" i="9" a="1"/>
  <c r="H56" i="9" s="1"/>
  <c r="N56" i="9" a="1"/>
  <c r="N56" i="9" s="1"/>
  <c r="J56" i="9" a="1"/>
  <c r="J56" i="9" s="1"/>
  <c r="L56" i="9" a="1"/>
  <c r="L56" i="9" s="1"/>
  <c r="E56" i="9" a="1"/>
  <c r="E56" i="9" s="1"/>
  <c r="G56" i="9" a="1"/>
  <c r="G56" i="9" s="1"/>
  <c r="I56" i="9" a="1"/>
  <c r="I56" i="9" s="1"/>
  <c r="O67" i="9" a="1"/>
  <c r="O67" i="9" s="1"/>
  <c r="E67" i="9" a="1"/>
  <c r="E67" i="9" s="1"/>
  <c r="J67" i="9" a="1"/>
  <c r="J67" i="9" s="1"/>
  <c r="M67" i="9" a="1"/>
  <c r="M67" i="9" s="1"/>
  <c r="G67" i="9" a="1"/>
  <c r="G67" i="9" s="1"/>
  <c r="K67" i="9" a="1"/>
  <c r="K67" i="9" s="1"/>
  <c r="N67" i="9" a="1"/>
  <c r="N67" i="9" s="1"/>
  <c r="F67" i="9" a="1"/>
  <c r="F67" i="9" s="1"/>
  <c r="H67" i="9" a="1"/>
  <c r="H67" i="9" s="1"/>
  <c r="L67" i="9" a="1"/>
  <c r="L67" i="9" s="1"/>
  <c r="I67" i="9" a="1"/>
  <c r="I67" i="9" s="1"/>
  <c r="D67" i="9" a="1"/>
  <c r="D67" i="9" s="1"/>
  <c r="R56" i="12"/>
  <c r="Q54" i="12"/>
  <c r="R61" i="12"/>
  <c r="R59" i="12"/>
  <c r="R57" i="12"/>
  <c r="R58" i="12"/>
  <c r="R55" i="12"/>
  <c r="R75" i="12"/>
  <c r="H91" i="15"/>
  <c r="G16" i="6"/>
  <c r="G39" i="6"/>
  <c r="F61" i="15" s="1"/>
  <c r="G42" i="6"/>
  <c r="F64" i="15" s="1"/>
  <c r="H46" i="6"/>
  <c r="G68" i="15" s="1"/>
  <c r="H36" i="6"/>
  <c r="G133" i="4" l="1"/>
  <c r="G244" i="15" s="1"/>
  <c r="G126" i="4"/>
  <c r="G237" i="15" s="1"/>
  <c r="G139" i="4"/>
  <c r="G250" i="15" s="1"/>
  <c r="G125" i="4"/>
  <c r="G236" i="15" s="1"/>
  <c r="G134" i="4"/>
  <c r="G245" i="15" s="1"/>
  <c r="G127" i="4"/>
  <c r="G238" i="15" s="1"/>
  <c r="G130" i="4"/>
  <c r="G241" i="15" s="1"/>
  <c r="G145" i="4"/>
  <c r="G256" i="15" s="1"/>
  <c r="G136" i="4"/>
  <c r="G247" i="15" s="1"/>
  <c r="G128" i="4"/>
  <c r="G239" i="15" s="1"/>
  <c r="G149" i="4"/>
  <c r="G260" i="15" s="1"/>
  <c r="G131" i="4"/>
  <c r="G242" i="15" s="1"/>
  <c r="G137" i="4"/>
  <c r="G248" i="15" s="1"/>
  <c r="G148" i="4"/>
  <c r="G259" i="15" s="1"/>
  <c r="G140" i="4"/>
  <c r="G251" i="15" s="1"/>
  <c r="G132" i="4"/>
  <c r="G243" i="15" s="1"/>
  <c r="G138" i="4"/>
  <c r="G249" i="15" s="1"/>
  <c r="F281" i="15"/>
  <c r="F323" i="15" s="1"/>
  <c r="AN17" i="22" s="1"/>
  <c r="R54" i="12"/>
  <c r="I46" i="6"/>
  <c r="H68" i="15" s="1"/>
  <c r="J47" i="6"/>
  <c r="I69" i="15" s="1"/>
  <c r="H44" i="6"/>
  <c r="G66" i="15" s="1"/>
  <c r="H42" i="6"/>
  <c r="G64" i="15" s="1"/>
  <c r="H16" i="6"/>
  <c r="H39" i="6"/>
  <c r="G61" i="15" s="1"/>
  <c r="I36" i="6"/>
  <c r="H140" i="4" l="1"/>
  <c r="H251" i="15" s="1"/>
  <c r="H148" i="4"/>
  <c r="H259" i="15" s="1"/>
  <c r="H128" i="4"/>
  <c r="H239" i="15" s="1"/>
  <c r="H131" i="4"/>
  <c r="H242" i="15" s="1"/>
  <c r="H137" i="4"/>
  <c r="H248" i="15" s="1"/>
  <c r="H133" i="4"/>
  <c r="H244" i="15" s="1"/>
  <c r="H127" i="4"/>
  <c r="H238" i="15" s="1"/>
  <c r="H130" i="4"/>
  <c r="H241" i="15" s="1"/>
  <c r="H125" i="4"/>
  <c r="H236" i="15" s="1"/>
  <c r="H149" i="4"/>
  <c r="H260" i="15" s="1"/>
  <c r="H136" i="4"/>
  <c r="H247" i="15" s="1"/>
  <c r="H138" i="4"/>
  <c r="H249" i="15" s="1"/>
  <c r="H145" i="4"/>
  <c r="H256" i="15" s="1"/>
  <c r="H139" i="4"/>
  <c r="H250" i="15" s="1"/>
  <c r="H132" i="4"/>
  <c r="H243" i="15" s="1"/>
  <c r="H126" i="4"/>
  <c r="H237" i="15" s="1"/>
  <c r="G281" i="15"/>
  <c r="G323" i="15" s="1"/>
  <c r="AO17" i="22" s="1"/>
  <c r="J46" i="6"/>
  <c r="I68" i="15" s="1"/>
  <c r="I44" i="6"/>
  <c r="H66" i="15" s="1"/>
  <c r="I42" i="6"/>
  <c r="H64" i="15" s="1"/>
  <c r="I39" i="6"/>
  <c r="H61" i="15" s="1"/>
  <c r="I16" i="6"/>
  <c r="J36" i="6"/>
  <c r="H281" i="15" l="1"/>
  <c r="H323" i="15" s="1"/>
  <c r="AP17" i="22" s="1"/>
  <c r="I133" i="4"/>
  <c r="I244" i="15" s="1"/>
  <c r="I125" i="4"/>
  <c r="I236" i="15" s="1"/>
  <c r="I149" i="4"/>
  <c r="I260" i="15" s="1"/>
  <c r="I139" i="4"/>
  <c r="I250" i="15" s="1"/>
  <c r="I148" i="4"/>
  <c r="I259" i="15" s="1"/>
  <c r="I130" i="4"/>
  <c r="I241" i="15" s="1"/>
  <c r="I140" i="4"/>
  <c r="I251" i="15" s="1"/>
  <c r="I145" i="4"/>
  <c r="I256" i="15" s="1"/>
  <c r="I126" i="4"/>
  <c r="I237" i="15" s="1"/>
  <c r="I131" i="4"/>
  <c r="I242" i="15" s="1"/>
  <c r="I137" i="4"/>
  <c r="I248" i="15" s="1"/>
  <c r="I127" i="4"/>
  <c r="I238" i="15" s="1"/>
  <c r="I132" i="4"/>
  <c r="I243" i="15" s="1"/>
  <c r="I138" i="4"/>
  <c r="I249" i="15" s="1"/>
  <c r="I128" i="4"/>
  <c r="I239" i="15" s="1"/>
  <c r="J44" i="6"/>
  <c r="I66" i="15" s="1"/>
  <c r="J42" i="6"/>
  <c r="I64" i="15" s="1"/>
  <c r="J39" i="6"/>
  <c r="I61" i="15" s="1"/>
  <c r="J16" i="6"/>
  <c r="J17" i="6" s="1"/>
  <c r="N35" i="6"/>
  <c r="N34" i="6"/>
  <c r="N33" i="6"/>
  <c r="N32" i="6"/>
  <c r="N31" i="6"/>
  <c r="N30" i="6"/>
  <c r="N29" i="6"/>
  <c r="N28" i="6"/>
  <c r="N27" i="6"/>
  <c r="N26" i="6"/>
  <c r="N25" i="6"/>
  <c r="N24" i="6"/>
  <c r="N23" i="6"/>
  <c r="D35" i="6"/>
  <c r="D18" i="12" s="1"/>
  <c r="D34" i="6"/>
  <c r="D17" i="12" s="1"/>
  <c r="D33" i="6"/>
  <c r="D16" i="12" s="1"/>
  <c r="D32" i="6"/>
  <c r="D15" i="12" s="1"/>
  <c r="D31" i="6"/>
  <c r="D14" i="12" s="1"/>
  <c r="D30" i="6"/>
  <c r="D13" i="12" s="1"/>
  <c r="D29" i="6"/>
  <c r="D12" i="12" s="1"/>
  <c r="D28" i="6"/>
  <c r="D11" i="12" s="1"/>
  <c r="D27" i="6"/>
  <c r="D10" i="12" s="1"/>
  <c r="D26" i="6"/>
  <c r="D9" i="12" s="1"/>
  <c r="D25" i="6"/>
  <c r="D8" i="12" s="1"/>
  <c r="D24" i="6"/>
  <c r="D7" i="12" s="1"/>
  <c r="D23" i="6"/>
  <c r="D6" i="12" s="1"/>
  <c r="N13" i="6"/>
  <c r="D13" i="6"/>
  <c r="I25" i="12"/>
  <c r="I60" i="12" s="1"/>
  <c r="I281" i="15" l="1"/>
  <c r="I323" i="15" s="1"/>
  <c r="AQ17" i="22" s="1"/>
  <c r="J25" i="12"/>
  <c r="J60" i="12" s="1"/>
  <c r="E25" i="12"/>
  <c r="E60" i="12" s="1"/>
  <c r="G25" i="12"/>
  <c r="G60" i="12" s="1"/>
  <c r="F25" i="12"/>
  <c r="F60" i="12" s="1"/>
  <c r="H25" i="12"/>
  <c r="H60" i="12" s="1"/>
  <c r="H19" i="12" l="1"/>
  <c r="F19" i="12"/>
  <c r="G19" i="12"/>
  <c r="J19" i="12"/>
  <c r="E19" i="12"/>
  <c r="I19" i="12"/>
  <c r="F17" i="6"/>
  <c r="F18" i="6" s="1"/>
  <c r="Q83" i="12" l="1"/>
  <c r="Q81" i="12"/>
  <c r="Q82" i="12"/>
  <c r="Q80" i="12"/>
  <c r="N81" i="12"/>
  <c r="N83" i="12"/>
  <c r="N80" i="12"/>
  <c r="N82" i="12"/>
  <c r="F55" i="12"/>
  <c r="M83" i="12"/>
  <c r="M81" i="12"/>
  <c r="M82" i="12"/>
  <c r="M80" i="12"/>
  <c r="R81" i="12"/>
  <c r="R82" i="12"/>
  <c r="R83" i="12"/>
  <c r="R80" i="12"/>
  <c r="O81" i="12"/>
  <c r="O83" i="12"/>
  <c r="O82" i="12"/>
  <c r="O80" i="12"/>
  <c r="P81" i="12"/>
  <c r="P82" i="12"/>
  <c r="P83" i="12"/>
  <c r="P80" i="12"/>
  <c r="G62" i="12"/>
  <c r="F85" i="15" s="1"/>
  <c r="O78" i="12"/>
  <c r="O79" i="12"/>
  <c r="I62" i="12"/>
  <c r="H85" i="15" s="1"/>
  <c r="Q79" i="12"/>
  <c r="Q78" i="12"/>
  <c r="E62" i="12"/>
  <c r="D85" i="15" s="1"/>
  <c r="M79" i="12"/>
  <c r="M78" i="12"/>
  <c r="J62" i="12"/>
  <c r="I85" i="15" s="1"/>
  <c r="R78" i="12"/>
  <c r="R79" i="12"/>
  <c r="N79" i="12"/>
  <c r="N78" i="12"/>
  <c r="H62" i="12"/>
  <c r="G85" i="15" s="1"/>
  <c r="P79" i="12"/>
  <c r="P78" i="12"/>
  <c r="F62" i="12"/>
  <c r="E85" i="15" s="1"/>
  <c r="I77" i="12"/>
  <c r="I55" i="12"/>
  <c r="I75" i="12"/>
  <c r="I61" i="12"/>
  <c r="I54" i="12"/>
  <c r="E77" i="12"/>
  <c r="E72" i="12"/>
  <c r="E61" i="12"/>
  <c r="E55" i="12"/>
  <c r="E75" i="12"/>
  <c r="E54" i="12"/>
  <c r="G72" i="12"/>
  <c r="G75" i="12"/>
  <c r="G77" i="12"/>
  <c r="G55" i="12"/>
  <c r="G61" i="12"/>
  <c r="G54" i="12"/>
  <c r="F61" i="12"/>
  <c r="F77" i="12"/>
  <c r="H77" i="12"/>
  <c r="H61" i="12"/>
  <c r="H75" i="12"/>
  <c r="H55" i="12"/>
  <c r="H54" i="12"/>
  <c r="J77" i="12"/>
  <c r="J55" i="12"/>
  <c r="J75" i="12"/>
  <c r="J61" i="12"/>
  <c r="J54" i="12"/>
  <c r="P69" i="12"/>
  <c r="P65" i="12"/>
  <c r="P53" i="12"/>
  <c r="P63" i="12"/>
  <c r="P71" i="12"/>
  <c r="P74" i="12"/>
  <c r="P64" i="12"/>
  <c r="P70" i="12"/>
  <c r="P76" i="12"/>
  <c r="P73" i="12"/>
  <c r="P66" i="12"/>
  <c r="P67" i="12"/>
  <c r="P52" i="12"/>
  <c r="P68" i="12"/>
  <c r="R71" i="12"/>
  <c r="R73" i="12"/>
  <c r="R69" i="12"/>
  <c r="R63" i="12"/>
  <c r="R52" i="12"/>
  <c r="R53" i="12"/>
  <c r="R74" i="12"/>
  <c r="R76" i="12"/>
  <c r="R70" i="12"/>
  <c r="R65" i="12"/>
  <c r="R67" i="12"/>
  <c r="R64" i="12"/>
  <c r="R66" i="12"/>
  <c r="O52" i="12"/>
  <c r="O66" i="12"/>
  <c r="O70" i="12"/>
  <c r="O63" i="12"/>
  <c r="O74" i="12"/>
  <c r="O69" i="12"/>
  <c r="O73" i="12"/>
  <c r="O71" i="12"/>
  <c r="O64" i="12"/>
  <c r="O76" i="12"/>
  <c r="O53" i="12"/>
  <c r="O67" i="12"/>
  <c r="O65" i="12"/>
  <c r="O68" i="12"/>
  <c r="Q73" i="12"/>
  <c r="Q69" i="12"/>
  <c r="Q65" i="12"/>
  <c r="Q53" i="12"/>
  <c r="Q70" i="12"/>
  <c r="Q67" i="12"/>
  <c r="Q52" i="12"/>
  <c r="Q63" i="12"/>
  <c r="Q66" i="12"/>
  <c r="Q64" i="12"/>
  <c r="Q74" i="12"/>
  <c r="Q71" i="12"/>
  <c r="Q76" i="12"/>
  <c r="Q68" i="12"/>
  <c r="M76" i="12"/>
  <c r="M74" i="12"/>
  <c r="M69" i="12"/>
  <c r="M67" i="12"/>
  <c r="M63" i="12"/>
  <c r="M53" i="12"/>
  <c r="M68" i="12"/>
  <c r="M70" i="12"/>
  <c r="M64" i="12"/>
  <c r="M66" i="12"/>
  <c r="M73" i="12"/>
  <c r="M71" i="12"/>
  <c r="M52" i="12"/>
  <c r="M65" i="12"/>
  <c r="N64" i="12"/>
  <c r="N68" i="12"/>
  <c r="N67" i="12"/>
  <c r="N65" i="12"/>
  <c r="N73" i="12"/>
  <c r="N52" i="12"/>
  <c r="N71" i="12"/>
  <c r="N76" i="12"/>
  <c r="N53" i="12"/>
  <c r="N70" i="12"/>
  <c r="N69" i="12"/>
  <c r="N63" i="12"/>
  <c r="N66" i="12"/>
  <c r="N74" i="12"/>
  <c r="G17" i="6"/>
  <c r="G18" i="6" s="1"/>
  <c r="H17" i="6" l="1"/>
  <c r="H18" i="6" s="1"/>
  <c r="I17" i="6" l="1"/>
  <c r="I18" i="6" l="1"/>
  <c r="J18" i="6"/>
  <c r="D1" i="4" l="1"/>
  <c r="D160" i="4" s="1"/>
  <c r="D271" i="15" s="1"/>
  <c r="A6" i="3"/>
  <c r="A7" i="3" s="1"/>
  <c r="A8" i="3" s="1"/>
  <c r="A9" i="3" s="1"/>
  <c r="A10" i="3" s="1"/>
  <c r="A11" i="3" s="1"/>
  <c r="A12" i="3" s="1"/>
  <c r="A13" i="3" s="1"/>
  <c r="A14" i="3" s="1"/>
  <c r="D352" i="15" l="1"/>
  <c r="D290" i="15"/>
  <c r="D282" i="15"/>
  <c r="D324" i="15" s="1"/>
  <c r="AL18" i="22" s="1"/>
  <c r="D119" i="4"/>
  <c r="D161" i="4"/>
  <c r="D272" i="15" s="1"/>
  <c r="B29" i="10" s="1"/>
  <c r="F1" i="26"/>
  <c r="D32" i="4"/>
  <c r="D1" i="15"/>
  <c r="E5" i="12"/>
  <c r="B36" i="10"/>
  <c r="B54" i="10"/>
  <c r="D25" i="4"/>
  <c r="D82" i="4"/>
  <c r="A17" i="3"/>
  <c r="O13" i="6"/>
  <c r="E13" i="6"/>
  <c r="D303" i="15" l="1"/>
  <c r="D292" i="15"/>
  <c r="D285" i="15"/>
  <c r="D327" i="15" s="1"/>
  <c r="AL21" i="22" s="1"/>
  <c r="D349" i="15"/>
  <c r="D302" i="15"/>
  <c r="D226" i="15"/>
  <c r="D300" i="15"/>
  <c r="D184" i="15"/>
  <c r="D221" i="15"/>
  <c r="D60" i="15"/>
  <c r="D43" i="15"/>
  <c r="D309" i="15"/>
  <c r="AL3" i="22" s="1"/>
  <c r="D5" i="15"/>
  <c r="C3" i="22" s="1"/>
  <c r="AC31" i="22" s="1"/>
  <c r="M51" i="12"/>
  <c r="E87" i="12"/>
  <c r="E88" i="12" s="1"/>
  <c r="E51" i="12"/>
  <c r="M87" i="12"/>
  <c r="O22" i="6"/>
  <c r="E22" i="6"/>
  <c r="E1" i="4"/>
  <c r="E160" i="4" s="1"/>
  <c r="E271" i="15" s="1"/>
  <c r="K90" i="9" l="1" a="1"/>
  <c r="K90" i="9" s="1"/>
  <c r="J90" i="9" a="1"/>
  <c r="J90" i="9" s="1"/>
  <c r="I90" i="9" a="1"/>
  <c r="I90" i="9" s="1"/>
  <c r="H90" i="9" a="1"/>
  <c r="H90" i="9" s="1"/>
  <c r="G90" i="9" a="1"/>
  <c r="G90" i="9" s="1"/>
  <c r="F90" i="9" a="1"/>
  <c r="F90" i="9" s="1"/>
  <c r="E90" i="9" a="1"/>
  <c r="E90" i="9" s="1"/>
  <c r="D90" i="9" a="1"/>
  <c r="D90" i="9" s="1"/>
  <c r="O90" i="9" a="1"/>
  <c r="O90" i="9" s="1"/>
  <c r="N90" i="9" a="1"/>
  <c r="N90" i="9" s="1"/>
  <c r="L90" i="9" a="1"/>
  <c r="L90" i="9" s="1"/>
  <c r="M90" i="9" a="1"/>
  <c r="M90" i="9" s="1"/>
  <c r="D354" i="15"/>
  <c r="D359" i="15" s="1"/>
  <c r="E352" i="15"/>
  <c r="E290" i="15"/>
  <c r="E282" i="15"/>
  <c r="E324" i="15" s="1"/>
  <c r="AM18" i="22" s="1"/>
  <c r="E119" i="4"/>
  <c r="E161" i="4"/>
  <c r="E272" i="15" s="1"/>
  <c r="G1" i="26"/>
  <c r="E32" i="4"/>
  <c r="E94" i="12"/>
  <c r="E117" i="12"/>
  <c r="E118" i="12"/>
  <c r="E114" i="12"/>
  <c r="E115" i="12"/>
  <c r="E119" i="12"/>
  <c r="E116" i="12"/>
  <c r="E120" i="12"/>
  <c r="E98" i="12"/>
  <c r="M98" i="12" s="1"/>
  <c r="D195" i="15" s="1"/>
  <c r="E95" i="12"/>
  <c r="E1" i="15"/>
  <c r="F5" i="12"/>
  <c r="D100" i="15"/>
  <c r="D98" i="15"/>
  <c r="D95" i="15"/>
  <c r="D83" i="15"/>
  <c r="D77" i="15"/>
  <c r="D84" i="15"/>
  <c r="D78" i="15"/>
  <c r="E101" i="12"/>
  <c r="M101" i="12" s="1"/>
  <c r="E113" i="12"/>
  <c r="M113" i="12" s="1"/>
  <c r="E89" i="12"/>
  <c r="M89" i="12" s="1"/>
  <c r="E102" i="12"/>
  <c r="M102" i="12" s="1"/>
  <c r="M88" i="12"/>
  <c r="E104" i="12"/>
  <c r="M104" i="12" s="1"/>
  <c r="E108" i="12"/>
  <c r="M108" i="12" s="1"/>
  <c r="E97" i="12"/>
  <c r="M97" i="12" s="1"/>
  <c r="E110" i="12"/>
  <c r="M110" i="12" s="1"/>
  <c r="E99" i="12"/>
  <c r="M99" i="12" s="1"/>
  <c r="E111" i="12"/>
  <c r="M111" i="12" s="1"/>
  <c r="E100" i="12"/>
  <c r="M100" i="12" s="1"/>
  <c r="E112" i="12"/>
  <c r="M112" i="12" s="1"/>
  <c r="E90" i="12"/>
  <c r="M90" i="12" s="1"/>
  <c r="E103" i="12"/>
  <c r="M103" i="12" s="1"/>
  <c r="E91" i="12"/>
  <c r="M91" i="12" s="1"/>
  <c r="E107" i="12"/>
  <c r="M107" i="12" s="1"/>
  <c r="E109" i="12"/>
  <c r="M109" i="12" s="1"/>
  <c r="E92" i="12"/>
  <c r="E105" i="12"/>
  <c r="M105" i="12" s="1"/>
  <c r="E96" i="12"/>
  <c r="M96" i="12" s="1"/>
  <c r="E93" i="12"/>
  <c r="E106" i="12"/>
  <c r="M106" i="12" s="1"/>
  <c r="C54" i="10"/>
  <c r="C36" i="10"/>
  <c r="E25" i="4"/>
  <c r="E82" i="4"/>
  <c r="P13" i="6"/>
  <c r="F13" i="6"/>
  <c r="A18" i="3"/>
  <c r="F1" i="4"/>
  <c r="F160" i="4" s="1"/>
  <c r="F271" i="15" s="1"/>
  <c r="D93" i="9" l="1" a="1"/>
  <c r="D93" i="9" s="1"/>
  <c r="C29" i="10"/>
  <c r="F352" i="15"/>
  <c r="F290" i="15"/>
  <c r="F282" i="15"/>
  <c r="F324" i="15" s="1"/>
  <c r="AN18" i="22" s="1"/>
  <c r="E303" i="15"/>
  <c r="E349" i="15" s="1"/>
  <c r="E292" i="15"/>
  <c r="E285" i="15"/>
  <c r="E327" i="15" s="1"/>
  <c r="AM21" i="22" s="1"/>
  <c r="F119" i="4"/>
  <c r="F161" i="4"/>
  <c r="F272" i="15" s="1"/>
  <c r="D29" i="10" s="1"/>
  <c r="H1" i="26"/>
  <c r="F32" i="4"/>
  <c r="D114" i="15"/>
  <c r="F120" i="12"/>
  <c r="M120" i="12"/>
  <c r="D217" i="15" s="1"/>
  <c r="F116" i="12"/>
  <c r="M116" i="12"/>
  <c r="D213" i="15" s="1"/>
  <c r="F119" i="12"/>
  <c r="M119" i="12"/>
  <c r="D216" i="15" s="1"/>
  <c r="F115" i="12"/>
  <c r="M115" i="12"/>
  <c r="D212" i="15" s="1"/>
  <c r="F114" i="12"/>
  <c r="M114" i="12"/>
  <c r="D211" i="15" s="1"/>
  <c r="F118" i="12"/>
  <c r="M118" i="12"/>
  <c r="D215" i="15" s="1"/>
  <c r="F117" i="12"/>
  <c r="M117" i="12"/>
  <c r="D214" i="15" s="1"/>
  <c r="D112" i="15"/>
  <c r="E302" i="15"/>
  <c r="E354" i="15" s="1"/>
  <c r="E359" i="15" s="1"/>
  <c r="F98" i="12"/>
  <c r="N98" i="12" s="1"/>
  <c r="E195" i="15" s="1"/>
  <c r="E226" i="15"/>
  <c r="E300" i="15"/>
  <c r="E184" i="15"/>
  <c r="E221" i="15"/>
  <c r="E60" i="15"/>
  <c r="E43" i="15"/>
  <c r="F1" i="15"/>
  <c r="G5" i="12"/>
  <c r="F87" i="12"/>
  <c r="N87" i="12"/>
  <c r="F51" i="12"/>
  <c r="N51" i="12"/>
  <c r="E5" i="15"/>
  <c r="D3" i="22" s="1"/>
  <c r="AD31" i="22" s="1"/>
  <c r="E309" i="15"/>
  <c r="AM3" i="22" s="1"/>
  <c r="F89" i="12"/>
  <c r="N89" i="12" s="1"/>
  <c r="D186" i="15"/>
  <c r="F99" i="12"/>
  <c r="N99" i="12" s="1"/>
  <c r="D196" i="15"/>
  <c r="F97" i="12"/>
  <c r="N97" i="12" s="1"/>
  <c r="D194" i="15"/>
  <c r="F103" i="12"/>
  <c r="N103" i="12" s="1"/>
  <c r="D200" i="15"/>
  <c r="F102" i="12"/>
  <c r="N102" i="12" s="1"/>
  <c r="D199" i="15"/>
  <c r="F90" i="12"/>
  <c r="N90" i="12" s="1"/>
  <c r="F112" i="12"/>
  <c r="N112" i="12" s="1"/>
  <c r="D209" i="15"/>
  <c r="F113" i="12"/>
  <c r="N113" i="12" s="1"/>
  <c r="D210" i="15"/>
  <c r="F106" i="12"/>
  <c r="N106" i="12" s="1"/>
  <c r="D203" i="15"/>
  <c r="F100" i="12"/>
  <c r="N100" i="12" s="1"/>
  <c r="D197" i="15"/>
  <c r="F101" i="12"/>
  <c r="N101" i="12" s="1"/>
  <c r="D198" i="15"/>
  <c r="F93" i="12"/>
  <c r="F111" i="12"/>
  <c r="N111" i="12" s="1"/>
  <c r="D208" i="15"/>
  <c r="F96" i="12"/>
  <c r="N96" i="12" s="1"/>
  <c r="D193" i="15"/>
  <c r="F105" i="12"/>
  <c r="N105" i="12" s="1"/>
  <c r="D202" i="15"/>
  <c r="F110" i="12"/>
  <c r="N110" i="12" s="1"/>
  <c r="D207" i="15"/>
  <c r="F92" i="12"/>
  <c r="F109" i="12"/>
  <c r="N109" i="12" s="1"/>
  <c r="D206" i="15"/>
  <c r="F108" i="12"/>
  <c r="N108" i="12" s="1"/>
  <c r="D205" i="15"/>
  <c r="F107" i="12"/>
  <c r="N107" i="12" s="1"/>
  <c r="D204" i="15"/>
  <c r="F95" i="12"/>
  <c r="F94" i="12"/>
  <c r="F104" i="12"/>
  <c r="N104" i="12" s="1"/>
  <c r="F91" i="12"/>
  <c r="N91" i="12" s="1"/>
  <c r="D188" i="15"/>
  <c r="F88" i="12"/>
  <c r="N88" i="12" s="1"/>
  <c r="D185" i="15"/>
  <c r="D54" i="10"/>
  <c r="D36" i="10"/>
  <c r="F25" i="4"/>
  <c r="P22" i="6"/>
  <c r="F22" i="6"/>
  <c r="F82" i="4"/>
  <c r="Q13" i="6"/>
  <c r="G13" i="6"/>
  <c r="A19" i="3"/>
  <c r="G1" i="4"/>
  <c r="G160" i="4" s="1"/>
  <c r="G271" i="15" s="1"/>
  <c r="G352" i="15" l="1"/>
  <c r="G290" i="15"/>
  <c r="G282" i="15"/>
  <c r="G324" i="15" s="1"/>
  <c r="AO18" i="22" s="1"/>
  <c r="F303" i="15"/>
  <c r="F349" i="15" s="1"/>
  <c r="F292" i="15"/>
  <c r="F285" i="15"/>
  <c r="F327" i="15" s="1"/>
  <c r="AN21" i="22" s="1"/>
  <c r="G119" i="4"/>
  <c r="G161" i="4"/>
  <c r="G272" i="15" s="1"/>
  <c r="E29" i="10" s="1"/>
  <c r="I1" i="26"/>
  <c r="G32" i="4"/>
  <c r="G118" i="12"/>
  <c r="N118" i="12"/>
  <c r="E215" i="15" s="1"/>
  <c r="G115" i="12"/>
  <c r="N115" i="12"/>
  <c r="E212" i="15" s="1"/>
  <c r="G119" i="12"/>
  <c r="N119" i="12"/>
  <c r="E216" i="15" s="1"/>
  <c r="G116" i="12"/>
  <c r="N116" i="12"/>
  <c r="E213" i="15" s="1"/>
  <c r="G114" i="12"/>
  <c r="N114" i="12"/>
  <c r="E211" i="15" s="1"/>
  <c r="G117" i="12"/>
  <c r="N117" i="12"/>
  <c r="E214" i="15" s="1"/>
  <c r="G120" i="12"/>
  <c r="N120" i="12"/>
  <c r="E217" i="15" s="1"/>
  <c r="F302" i="15"/>
  <c r="F354" i="15" s="1"/>
  <c r="G98" i="12"/>
  <c r="O98" i="12" s="1"/>
  <c r="F195" i="15" s="1"/>
  <c r="F226" i="15"/>
  <c r="F300" i="15"/>
  <c r="F184" i="15"/>
  <c r="F221" i="15"/>
  <c r="F60" i="15"/>
  <c r="F43" i="15"/>
  <c r="G1" i="15"/>
  <c r="H5" i="12"/>
  <c r="E83" i="15"/>
  <c r="E100" i="15"/>
  <c r="E84" i="15"/>
  <c r="E95" i="15"/>
  <c r="E78" i="15"/>
  <c r="E98" i="15"/>
  <c r="E77" i="15"/>
  <c r="G87" i="12"/>
  <c r="O87" i="12"/>
  <c r="G51" i="12"/>
  <c r="O51" i="12"/>
  <c r="F309" i="15"/>
  <c r="AN3" i="22" s="1"/>
  <c r="F5" i="15"/>
  <c r="E3" i="22" s="1"/>
  <c r="AE31" i="22" s="1"/>
  <c r="G109" i="12"/>
  <c r="O109" i="12" s="1"/>
  <c r="G92" i="12"/>
  <c r="G110" i="12"/>
  <c r="O110" i="12" s="1"/>
  <c r="G95" i="12"/>
  <c r="G105" i="12"/>
  <c r="O105" i="12" s="1"/>
  <c r="E202" i="15"/>
  <c r="G106" i="12"/>
  <c r="O106" i="12" s="1"/>
  <c r="E203" i="15"/>
  <c r="G97" i="12"/>
  <c r="O97" i="12" s="1"/>
  <c r="G90" i="12"/>
  <c r="O90" i="12" s="1"/>
  <c r="G104" i="12"/>
  <c r="O104" i="12" s="1"/>
  <c r="G101" i="12"/>
  <c r="O101" i="12" s="1"/>
  <c r="E198" i="15"/>
  <c r="G94" i="12"/>
  <c r="G100" i="12"/>
  <c r="O100" i="12" s="1"/>
  <c r="E197" i="15"/>
  <c r="G113" i="12"/>
  <c r="O113" i="12" s="1"/>
  <c r="E210" i="15"/>
  <c r="G91" i="12"/>
  <c r="O91" i="12" s="1"/>
  <c r="G93" i="12"/>
  <c r="G102" i="12"/>
  <c r="O102" i="12" s="1"/>
  <c r="E199" i="15"/>
  <c r="G103" i="12"/>
  <c r="O103" i="12" s="1"/>
  <c r="E200" i="15"/>
  <c r="G107" i="12"/>
  <c r="O107" i="12" s="1"/>
  <c r="E204" i="15"/>
  <c r="G96" i="12"/>
  <c r="O96" i="12" s="1"/>
  <c r="G99" i="12"/>
  <c r="O99" i="12" s="1"/>
  <c r="E196" i="15"/>
  <c r="G88" i="12"/>
  <c r="O88" i="12" s="1"/>
  <c r="E185" i="15"/>
  <c r="G108" i="12"/>
  <c r="O108" i="12" s="1"/>
  <c r="G111" i="12"/>
  <c r="O111" i="12" s="1"/>
  <c r="E208" i="15"/>
  <c r="G112" i="12"/>
  <c r="O112" i="12" s="1"/>
  <c r="E209" i="15"/>
  <c r="G89" i="12"/>
  <c r="O89" i="12" s="1"/>
  <c r="E186" i="15"/>
  <c r="E54" i="10"/>
  <c r="E36" i="10"/>
  <c r="G25" i="4"/>
  <c r="Q22" i="6"/>
  <c r="G22" i="6"/>
  <c r="G82" i="4"/>
  <c r="A20" i="3"/>
  <c r="H13" i="6"/>
  <c r="R13" i="6"/>
  <c r="H1" i="4"/>
  <c r="H160" i="4" s="1"/>
  <c r="H271" i="15" s="1"/>
  <c r="H352" i="15" l="1"/>
  <c r="H290" i="15"/>
  <c r="H282" i="15"/>
  <c r="H324" i="15" s="1"/>
  <c r="AP18" i="22" s="1"/>
  <c r="G303" i="15"/>
  <c r="G349" i="15" s="1"/>
  <c r="G292" i="15"/>
  <c r="G285" i="15"/>
  <c r="G327" i="15" s="1"/>
  <c r="AO21" i="22" s="1"/>
  <c r="H119" i="4"/>
  <c r="H161" i="4"/>
  <c r="H272" i="15" s="1"/>
  <c r="F29" i="10" s="1"/>
  <c r="J1" i="26"/>
  <c r="H32" i="4"/>
  <c r="H117" i="12"/>
  <c r="O117" i="12"/>
  <c r="F214" i="15" s="1"/>
  <c r="H114" i="12"/>
  <c r="O114" i="12"/>
  <c r="F211" i="15" s="1"/>
  <c r="H119" i="12"/>
  <c r="O119" i="12"/>
  <c r="F216" i="15" s="1"/>
  <c r="H115" i="12"/>
  <c r="O115" i="12"/>
  <c r="F212" i="15" s="1"/>
  <c r="H116" i="12"/>
  <c r="O116" i="12"/>
  <c r="F213" i="15" s="1"/>
  <c r="H120" i="12"/>
  <c r="O120" i="12"/>
  <c r="F217" i="15" s="1"/>
  <c r="H118" i="12"/>
  <c r="O118" i="12"/>
  <c r="F215" i="15" s="1"/>
  <c r="H98" i="12"/>
  <c r="P98" i="12" s="1"/>
  <c r="G195" i="15" s="1"/>
  <c r="G302" i="15"/>
  <c r="G354" i="15" s="1"/>
  <c r="G226" i="15"/>
  <c r="G300" i="15"/>
  <c r="G184" i="15"/>
  <c r="G221" i="15"/>
  <c r="G60" i="15"/>
  <c r="G43" i="15"/>
  <c r="E206" i="15"/>
  <c r="E205" i="15"/>
  <c r="E187" i="15"/>
  <c r="E194" i="15"/>
  <c r="E193" i="15"/>
  <c r="E188" i="15"/>
  <c r="F83" i="15"/>
  <c r="F100" i="15"/>
  <c r="F95" i="15"/>
  <c r="F78" i="15"/>
  <c r="F84" i="15"/>
  <c r="F98" i="15"/>
  <c r="H1" i="15"/>
  <c r="I5" i="12"/>
  <c r="E207" i="15"/>
  <c r="H87" i="12"/>
  <c r="P87" i="12"/>
  <c r="P51" i="12"/>
  <c r="H51" i="12"/>
  <c r="G5" i="15"/>
  <c r="F3" i="22" s="1"/>
  <c r="AF31" i="22" s="1"/>
  <c r="G309" i="15"/>
  <c r="AO3" i="22" s="1"/>
  <c r="H100" i="12"/>
  <c r="P100" i="12" s="1"/>
  <c r="F197" i="15"/>
  <c r="H103" i="12"/>
  <c r="P103" i="12" s="1"/>
  <c r="F200" i="15"/>
  <c r="H102" i="12"/>
  <c r="P102" i="12" s="1"/>
  <c r="F199" i="15"/>
  <c r="H101" i="12"/>
  <c r="P101" i="12" s="1"/>
  <c r="F198" i="15"/>
  <c r="H88" i="12"/>
  <c r="P88" i="12" s="1"/>
  <c r="F185" i="15"/>
  <c r="H93" i="12"/>
  <c r="H104" i="12"/>
  <c r="P104" i="12" s="1"/>
  <c r="F201" i="15"/>
  <c r="H110" i="12"/>
  <c r="P110" i="12" s="1"/>
  <c r="H112" i="12"/>
  <c r="P112" i="12" s="1"/>
  <c r="F209" i="15"/>
  <c r="H106" i="12"/>
  <c r="P106" i="12" s="1"/>
  <c r="F203" i="15"/>
  <c r="H111" i="12"/>
  <c r="P111" i="12" s="1"/>
  <c r="F208" i="15"/>
  <c r="H94" i="12"/>
  <c r="H108" i="12"/>
  <c r="P108" i="12" s="1"/>
  <c r="H95" i="12"/>
  <c r="H107" i="12"/>
  <c r="P107" i="12" s="1"/>
  <c r="F204" i="15"/>
  <c r="H105" i="12"/>
  <c r="P105" i="12" s="1"/>
  <c r="F202" i="15"/>
  <c r="H99" i="12"/>
  <c r="P99" i="12" s="1"/>
  <c r="F196" i="15"/>
  <c r="H91" i="12"/>
  <c r="P91" i="12" s="1"/>
  <c r="H90" i="12"/>
  <c r="P90" i="12" s="1"/>
  <c r="H92" i="12"/>
  <c r="H89" i="12"/>
  <c r="P89" i="12" s="1"/>
  <c r="F186" i="15"/>
  <c r="H96" i="12"/>
  <c r="P96" i="12" s="1"/>
  <c r="H113" i="12"/>
  <c r="P113" i="12" s="1"/>
  <c r="F210" i="15"/>
  <c r="H97" i="12"/>
  <c r="P97" i="12" s="1"/>
  <c r="H109" i="12"/>
  <c r="P109" i="12" s="1"/>
  <c r="F36" i="10"/>
  <c r="F54" i="10"/>
  <c r="H25" i="4"/>
  <c r="R22" i="6"/>
  <c r="H22" i="6"/>
  <c r="H82" i="4"/>
  <c r="S13" i="6"/>
  <c r="I13" i="6"/>
  <c r="I1" i="4"/>
  <c r="I160" i="4" s="1"/>
  <c r="I271" i="15" s="1"/>
  <c r="A21" i="3"/>
  <c r="I352" i="15" l="1"/>
  <c r="I290" i="15"/>
  <c r="I282" i="15"/>
  <c r="I324" i="15" s="1"/>
  <c r="AQ18" i="22" s="1"/>
  <c r="H303" i="15"/>
  <c r="H349" i="15" s="1"/>
  <c r="H292" i="15"/>
  <c r="H285" i="15"/>
  <c r="H327" i="15" s="1"/>
  <c r="AP21" i="22" s="1"/>
  <c r="I119" i="4"/>
  <c r="I161" i="4"/>
  <c r="I272" i="15" s="1"/>
  <c r="G29" i="10" s="1"/>
  <c r="K1" i="26"/>
  <c r="I32" i="4"/>
  <c r="I120" i="12"/>
  <c r="P120" i="12"/>
  <c r="G217" i="15" s="1"/>
  <c r="I115" i="12"/>
  <c r="P115" i="12"/>
  <c r="G212" i="15" s="1"/>
  <c r="I119" i="12"/>
  <c r="P119" i="12"/>
  <c r="G216" i="15" s="1"/>
  <c r="I116" i="12"/>
  <c r="P116" i="12"/>
  <c r="G213" i="15" s="1"/>
  <c r="I114" i="12"/>
  <c r="P114" i="12"/>
  <c r="G211" i="15" s="1"/>
  <c r="I118" i="12"/>
  <c r="P118" i="12"/>
  <c r="G215" i="15" s="1"/>
  <c r="I117" i="12"/>
  <c r="P117" i="12"/>
  <c r="G214" i="15" s="1"/>
  <c r="F114" i="15"/>
  <c r="I98" i="12"/>
  <c r="Q98" i="12" s="1"/>
  <c r="H195" i="15" s="1"/>
  <c r="H302" i="15"/>
  <c r="H354" i="15" s="1"/>
  <c r="H226" i="15"/>
  <c r="H300" i="15"/>
  <c r="H184" i="15"/>
  <c r="H221" i="15"/>
  <c r="H60" i="15"/>
  <c r="H43" i="15"/>
  <c r="F194" i="15"/>
  <c r="F207" i="15"/>
  <c r="F206" i="15"/>
  <c r="F193" i="15"/>
  <c r="F77" i="15"/>
  <c r="G83" i="15"/>
  <c r="G100" i="15"/>
  <c r="G84" i="15"/>
  <c r="G78" i="15"/>
  <c r="G98" i="15"/>
  <c r="G95" i="15"/>
  <c r="F187" i="15"/>
  <c r="F205" i="15"/>
  <c r="H309" i="15"/>
  <c r="AP3" i="22" s="1"/>
  <c r="H5" i="15"/>
  <c r="G3" i="22" s="1"/>
  <c r="AG31" i="22" s="1"/>
  <c r="I1" i="15"/>
  <c r="J5" i="12"/>
  <c r="Q51" i="12"/>
  <c r="I51" i="12"/>
  <c r="I87" i="12"/>
  <c r="Q87" i="12"/>
  <c r="F188" i="15"/>
  <c r="I96" i="12"/>
  <c r="Q96" i="12" s="1"/>
  <c r="I106" i="12"/>
  <c r="Q106" i="12" s="1"/>
  <c r="G203" i="15"/>
  <c r="I112" i="12"/>
  <c r="Q112" i="12" s="1"/>
  <c r="G209" i="15"/>
  <c r="I102" i="12"/>
  <c r="Q102" i="12" s="1"/>
  <c r="G199" i="15"/>
  <c r="I97" i="12"/>
  <c r="Q97" i="12" s="1"/>
  <c r="I111" i="12"/>
  <c r="Q111" i="12" s="1"/>
  <c r="G208" i="15"/>
  <c r="I89" i="12"/>
  <c r="Q89" i="12" s="1"/>
  <c r="G186" i="15"/>
  <c r="I91" i="12"/>
  <c r="Q91" i="12" s="1"/>
  <c r="I94" i="12"/>
  <c r="I93" i="12"/>
  <c r="I113" i="12"/>
  <c r="Q113" i="12" s="1"/>
  <c r="G210" i="15"/>
  <c r="I99" i="12"/>
  <c r="Q99" i="12" s="1"/>
  <c r="G196" i="15"/>
  <c r="I88" i="12"/>
  <c r="Q88" i="12" s="1"/>
  <c r="G185" i="15"/>
  <c r="I105" i="12"/>
  <c r="Q105" i="12" s="1"/>
  <c r="G202" i="15"/>
  <c r="I101" i="12"/>
  <c r="Q101" i="12" s="1"/>
  <c r="G198" i="15"/>
  <c r="I107" i="12"/>
  <c r="Q107" i="12" s="1"/>
  <c r="G204" i="15"/>
  <c r="I92" i="12"/>
  <c r="I95" i="12"/>
  <c r="I110" i="12"/>
  <c r="Q110" i="12" s="1"/>
  <c r="I103" i="12"/>
  <c r="Q103" i="12" s="1"/>
  <c r="G200" i="15"/>
  <c r="I109" i="12"/>
  <c r="Q109" i="12" s="1"/>
  <c r="I90" i="12"/>
  <c r="Q90" i="12" s="1"/>
  <c r="I108" i="12"/>
  <c r="Q108" i="12" s="1"/>
  <c r="I104" i="12"/>
  <c r="Q104" i="12" s="1"/>
  <c r="G201" i="15"/>
  <c r="I100" i="12"/>
  <c r="Q100" i="12" s="1"/>
  <c r="G197" i="15"/>
  <c r="G54" i="10"/>
  <c r="G36" i="10"/>
  <c r="I25" i="4"/>
  <c r="S22" i="6"/>
  <c r="I22" i="6"/>
  <c r="I82" i="4"/>
  <c r="A22" i="3"/>
  <c r="T13" i="6"/>
  <c r="J13" i="6"/>
  <c r="I303" i="15" l="1"/>
  <c r="I349" i="15" s="1"/>
  <c r="I292" i="15"/>
  <c r="I285" i="15"/>
  <c r="I327" i="15" s="1"/>
  <c r="AQ21" i="22" s="1"/>
  <c r="J116" i="12"/>
  <c r="R116" i="12" s="1"/>
  <c r="I213" i="15" s="1"/>
  <c r="Q116" i="12"/>
  <c r="H213" i="15" s="1"/>
  <c r="J118" i="12"/>
  <c r="R118" i="12" s="1"/>
  <c r="I215" i="15" s="1"/>
  <c r="Q118" i="12"/>
  <c r="H215" i="15" s="1"/>
  <c r="J114" i="12"/>
  <c r="R114" i="12" s="1"/>
  <c r="I211" i="15" s="1"/>
  <c r="Q114" i="12"/>
  <c r="H211" i="15" s="1"/>
  <c r="J119" i="12"/>
  <c r="R119" i="12" s="1"/>
  <c r="I216" i="15" s="1"/>
  <c r="Q119" i="12"/>
  <c r="H216" i="15" s="1"/>
  <c r="Q115" i="12"/>
  <c r="H212" i="15" s="1"/>
  <c r="J115" i="12"/>
  <c r="R115" i="12" s="1"/>
  <c r="I212" i="15" s="1"/>
  <c r="J117" i="12"/>
  <c r="R117" i="12" s="1"/>
  <c r="I214" i="15" s="1"/>
  <c r="Q117" i="12"/>
  <c r="H214" i="15" s="1"/>
  <c r="J120" i="12"/>
  <c r="R120" i="12" s="1"/>
  <c r="I217" i="15" s="1"/>
  <c r="Q120" i="12"/>
  <c r="H217" i="15" s="1"/>
  <c r="F224" i="15"/>
  <c r="F222" i="15"/>
  <c r="F112" i="15"/>
  <c r="G114" i="15"/>
  <c r="J98" i="12"/>
  <c r="R98" i="12" s="1"/>
  <c r="I195" i="15" s="1"/>
  <c r="I302" i="15"/>
  <c r="I354" i="15" s="1"/>
  <c r="I226" i="15"/>
  <c r="I300" i="15"/>
  <c r="I184" i="15"/>
  <c r="I221" i="15"/>
  <c r="I60" i="15"/>
  <c r="I43" i="15"/>
  <c r="G193" i="15"/>
  <c r="G206" i="15"/>
  <c r="G205" i="15"/>
  <c r="G188" i="15"/>
  <c r="R87" i="12"/>
  <c r="J87" i="12"/>
  <c r="J51" i="12"/>
  <c r="R51" i="12"/>
  <c r="I309" i="15"/>
  <c r="AQ3" i="22" s="1"/>
  <c r="I5" i="15"/>
  <c r="H3" i="22" s="1"/>
  <c r="AH31" i="22" s="1"/>
  <c r="G77" i="15"/>
  <c r="G187" i="15"/>
  <c r="G207" i="15"/>
  <c r="G194" i="15"/>
  <c r="H83" i="15"/>
  <c r="H187" i="15"/>
  <c r="H84" i="15"/>
  <c r="H98" i="15"/>
  <c r="H95" i="15"/>
  <c r="H78" i="15"/>
  <c r="H100" i="15"/>
  <c r="J111" i="12"/>
  <c r="H208" i="15"/>
  <c r="J92" i="12"/>
  <c r="J107" i="12"/>
  <c r="H204" i="15"/>
  <c r="J112" i="12"/>
  <c r="H209" i="15"/>
  <c r="J97" i="12"/>
  <c r="R97" i="12" s="1"/>
  <c r="J93" i="12"/>
  <c r="J109" i="12"/>
  <c r="R109" i="12" s="1"/>
  <c r="J104" i="12"/>
  <c r="R104" i="12" s="1"/>
  <c r="H201" i="15"/>
  <c r="J95" i="12"/>
  <c r="J99" i="12"/>
  <c r="H196" i="15"/>
  <c r="J108" i="12"/>
  <c r="R108" i="12" s="1"/>
  <c r="J113" i="12"/>
  <c r="H210" i="15"/>
  <c r="J90" i="12"/>
  <c r="R90" i="12" s="1"/>
  <c r="J102" i="12"/>
  <c r="H199" i="15"/>
  <c r="J101" i="12"/>
  <c r="H198" i="15"/>
  <c r="J94" i="12"/>
  <c r="J103" i="12"/>
  <c r="H200" i="15"/>
  <c r="J105" i="12"/>
  <c r="H202" i="15"/>
  <c r="J91" i="12"/>
  <c r="R91" i="12" s="1"/>
  <c r="J106" i="12"/>
  <c r="H203" i="15"/>
  <c r="J100" i="12"/>
  <c r="H197" i="15"/>
  <c r="J110" i="12"/>
  <c r="R110" i="12" s="1"/>
  <c r="J88" i="12"/>
  <c r="H185" i="15"/>
  <c r="J89" i="12"/>
  <c r="H186" i="15"/>
  <c r="J96" i="12"/>
  <c r="R96" i="12" s="1"/>
  <c r="T22" i="6"/>
  <c r="J22" i="6"/>
  <c r="G224" i="15" l="1"/>
  <c r="G222" i="15"/>
  <c r="G112" i="15"/>
  <c r="H114" i="15"/>
  <c r="R103" i="12"/>
  <c r="I200" i="15" s="1"/>
  <c r="R105" i="12"/>
  <c r="I202" i="15" s="1"/>
  <c r="R88" i="12"/>
  <c r="R113" i="12"/>
  <c r="I210" i="15" s="1"/>
  <c r="R101" i="12"/>
  <c r="I198" i="15" s="1"/>
  <c r="R102" i="12"/>
  <c r="I199" i="15" s="1"/>
  <c r="R100" i="12"/>
  <c r="I197" i="15" s="1"/>
  <c r="R112" i="12"/>
  <c r="I209" i="15" s="1"/>
  <c r="R89" i="12"/>
  <c r="I186" i="15" s="1"/>
  <c r="R107" i="12"/>
  <c r="I204" i="15" s="1"/>
  <c r="R111" i="12"/>
  <c r="I208" i="15" s="1"/>
  <c r="R106" i="12"/>
  <c r="I203" i="15" s="1"/>
  <c r="R99" i="12"/>
  <c r="I196" i="15" s="1"/>
  <c r="H188" i="15"/>
  <c r="H193" i="15"/>
  <c r="H206" i="15"/>
  <c r="H205" i="15"/>
  <c r="H194" i="15"/>
  <c r="H77" i="15"/>
  <c r="H207" i="15"/>
  <c r="H222" i="15" s="1"/>
  <c r="I83" i="15"/>
  <c r="I78" i="15"/>
  <c r="I84" i="15"/>
  <c r="I98" i="15"/>
  <c r="I100" i="15"/>
  <c r="I95" i="15"/>
  <c r="I77" i="15"/>
  <c r="H224" i="15" l="1"/>
  <c r="I185" i="15"/>
  <c r="H112" i="15"/>
  <c r="I194" i="15"/>
  <c r="I206" i="15"/>
  <c r="I187" i="15"/>
  <c r="I205" i="15"/>
  <c r="I207" i="15"/>
  <c r="I188" i="15"/>
  <c r="I193" i="15"/>
  <c r="D187" i="15"/>
  <c r="R68" i="12"/>
  <c r="E91" i="15" l="1"/>
  <c r="E112" i="15" s="1"/>
  <c r="I91" i="15"/>
  <c r="I112" i="15" s="1"/>
  <c r="I114" i="15" l="1"/>
  <c r="E114" i="15"/>
  <c r="D201" i="15"/>
  <c r="E201" i="15"/>
  <c r="I201" i="15"/>
  <c r="I224" i="15" l="1"/>
  <c r="I222" i="15"/>
  <c r="E224" i="15"/>
  <c r="E222" i="15"/>
  <c r="D224" i="15"/>
  <c r="D222" i="15"/>
  <c r="S16" i="6"/>
  <c r="O16" i="6"/>
  <c r="O23" i="6" s="1"/>
  <c r="D44" i="15" s="1"/>
  <c r="P16" i="6"/>
  <c r="P17" i="6" s="1"/>
  <c r="Q16" i="6"/>
  <c r="Q23" i="6" s="1"/>
  <c r="F44" i="15" s="1"/>
  <c r="R16" i="6"/>
  <c r="R23" i="6" s="1"/>
  <c r="G44" i="15" s="1"/>
  <c r="P31" i="6" l="1"/>
  <c r="E52" i="15" s="1"/>
  <c r="Q30" i="6"/>
  <c r="F51" i="15" s="1"/>
  <c r="P30" i="6"/>
  <c r="E51" i="15" s="1"/>
  <c r="Q28" i="6"/>
  <c r="F49" i="15" s="1"/>
  <c r="P27" i="6"/>
  <c r="E48" i="15" s="1"/>
  <c r="P25" i="6"/>
  <c r="E46" i="15" s="1"/>
  <c r="P29" i="6"/>
  <c r="E50" i="15" s="1"/>
  <c r="P26" i="6"/>
  <c r="E47" i="15" s="1"/>
  <c r="P34" i="6"/>
  <c r="E55" i="15" s="1"/>
  <c r="Q24" i="6"/>
  <c r="F45" i="15" s="1"/>
  <c r="P33" i="6"/>
  <c r="E54" i="15" s="1"/>
  <c r="P24" i="6"/>
  <c r="E45" i="15" s="1"/>
  <c r="Q32" i="6"/>
  <c r="F53" i="15" s="1"/>
  <c r="P23" i="6"/>
  <c r="E44" i="15" s="1"/>
  <c r="P32" i="6"/>
  <c r="E53" i="15" s="1"/>
  <c r="O17" i="6"/>
  <c r="P18" i="6" s="1"/>
  <c r="P28" i="6"/>
  <c r="P35" i="6"/>
  <c r="Q34" i="6"/>
  <c r="F55" i="15" s="1"/>
  <c r="Q26" i="6"/>
  <c r="F47" i="15" s="1"/>
  <c r="S23" i="6"/>
  <c r="H44" i="15" s="1"/>
  <c r="S25" i="6"/>
  <c r="H46" i="15" s="1"/>
  <c r="S27" i="6"/>
  <c r="H48" i="15" s="1"/>
  <c r="S29" i="6"/>
  <c r="H50" i="15" s="1"/>
  <c r="S31" i="6"/>
  <c r="H52" i="15" s="1"/>
  <c r="S33" i="6"/>
  <c r="H54" i="15" s="1"/>
  <c r="S35" i="6"/>
  <c r="H56" i="15" s="1"/>
  <c r="S17" i="6"/>
  <c r="S24" i="6"/>
  <c r="H45" i="15" s="1"/>
  <c r="S26" i="6"/>
  <c r="H47" i="15" s="1"/>
  <c r="S28" i="6"/>
  <c r="H49" i="15" s="1"/>
  <c r="S30" i="6"/>
  <c r="H51" i="15" s="1"/>
  <c r="S32" i="6"/>
  <c r="H53" i="15" s="1"/>
  <c r="S34" i="6"/>
  <c r="H55" i="15" s="1"/>
  <c r="R34" i="6"/>
  <c r="G55" i="15" s="1"/>
  <c r="R32" i="6"/>
  <c r="G53" i="15" s="1"/>
  <c r="R30" i="6"/>
  <c r="G51" i="15" s="1"/>
  <c r="R28" i="6"/>
  <c r="G49" i="15" s="1"/>
  <c r="R26" i="6"/>
  <c r="G47" i="15" s="1"/>
  <c r="R24" i="6"/>
  <c r="G45" i="15" s="1"/>
  <c r="O34" i="6"/>
  <c r="D55" i="15" s="1"/>
  <c r="O32" i="6"/>
  <c r="D53" i="15" s="1"/>
  <c r="O30" i="6"/>
  <c r="D51" i="15" s="1"/>
  <c r="O28" i="6"/>
  <c r="D49" i="15" s="1"/>
  <c r="O26" i="6"/>
  <c r="D47" i="15" s="1"/>
  <c r="O24" i="6"/>
  <c r="D45" i="15" s="1"/>
  <c r="R17" i="6"/>
  <c r="R35" i="6"/>
  <c r="G56" i="15" s="1"/>
  <c r="R33" i="6"/>
  <c r="G54" i="15" s="1"/>
  <c r="R31" i="6"/>
  <c r="G52" i="15" s="1"/>
  <c r="R29" i="6"/>
  <c r="R27" i="6"/>
  <c r="G48" i="15" s="1"/>
  <c r="R25" i="6"/>
  <c r="G46" i="15" s="1"/>
  <c r="Q17" i="6"/>
  <c r="Q18" i="6" s="1"/>
  <c r="Q35" i="6"/>
  <c r="F56" i="15" s="1"/>
  <c r="Q33" i="6"/>
  <c r="Q31" i="6"/>
  <c r="F52" i="15" s="1"/>
  <c r="Q29" i="6"/>
  <c r="F50" i="15" s="1"/>
  <c r="Q27" i="6"/>
  <c r="F48" i="15" s="1"/>
  <c r="Q25" i="6"/>
  <c r="F46" i="15" s="1"/>
  <c r="O35" i="6"/>
  <c r="D56" i="15" s="1"/>
  <c r="O33" i="6"/>
  <c r="D54" i="15" s="1"/>
  <c r="O31" i="6"/>
  <c r="D52" i="15" s="1"/>
  <c r="O29" i="6"/>
  <c r="D50" i="15" s="1"/>
  <c r="O27" i="6"/>
  <c r="D48" i="15" s="1"/>
  <c r="O25" i="6"/>
  <c r="D46" i="15" s="1"/>
  <c r="T16" i="6"/>
  <c r="P47" i="6" l="1"/>
  <c r="F31" i="12" s="1"/>
  <c r="F57" i="12" s="1"/>
  <c r="E80" i="15" s="1"/>
  <c r="P36" i="6"/>
  <c r="P42" i="6" s="1"/>
  <c r="E49" i="15"/>
  <c r="R47" i="6"/>
  <c r="H31" i="12" s="1"/>
  <c r="G50" i="15"/>
  <c r="D57" i="15"/>
  <c r="H57" i="15"/>
  <c r="Q48" i="6"/>
  <c r="G34" i="12" s="1"/>
  <c r="G58" i="12" s="1"/>
  <c r="F54" i="15"/>
  <c r="P48" i="6"/>
  <c r="F34" i="12" s="1"/>
  <c r="F58" i="12" s="1"/>
  <c r="E56" i="15"/>
  <c r="R46" i="6"/>
  <c r="H28" i="12" s="1"/>
  <c r="H56" i="12" s="1"/>
  <c r="P46" i="6"/>
  <c r="F28" i="12" s="1"/>
  <c r="F56" i="12" s="1"/>
  <c r="Q46" i="6"/>
  <c r="G28" i="12" s="1"/>
  <c r="G56" i="12" s="1"/>
  <c r="R18" i="6"/>
  <c r="Q47" i="6"/>
  <c r="G31" i="12" s="1"/>
  <c r="G57" i="12" s="1"/>
  <c r="O46" i="6"/>
  <c r="E28" i="12" s="1"/>
  <c r="E56" i="12" s="1"/>
  <c r="O36" i="6"/>
  <c r="T24" i="6"/>
  <c r="I45" i="15" s="1"/>
  <c r="T26" i="6"/>
  <c r="I47" i="15" s="1"/>
  <c r="T28" i="6"/>
  <c r="I49" i="15" s="1"/>
  <c r="T30" i="6"/>
  <c r="I51" i="15" s="1"/>
  <c r="T32" i="6"/>
  <c r="I53" i="15" s="1"/>
  <c r="T34" i="6"/>
  <c r="I55" i="15" s="1"/>
  <c r="T23" i="6"/>
  <c r="I44" i="15" s="1"/>
  <c r="T25" i="6"/>
  <c r="I46" i="15" s="1"/>
  <c r="T27" i="6"/>
  <c r="I48" i="15" s="1"/>
  <c r="T29" i="6"/>
  <c r="I50" i="15" s="1"/>
  <c r="T31" i="6"/>
  <c r="I52" i="15" s="1"/>
  <c r="T33" i="6"/>
  <c r="I54" i="15" s="1"/>
  <c r="T35" i="6"/>
  <c r="I56" i="15" s="1"/>
  <c r="T17" i="6"/>
  <c r="T18" i="6" s="1"/>
  <c r="S48" i="6"/>
  <c r="I34" i="12" s="1"/>
  <c r="S46" i="6"/>
  <c r="I28" i="12" s="1"/>
  <c r="I56" i="12" s="1"/>
  <c r="S36" i="6"/>
  <c r="O48" i="6"/>
  <c r="E34" i="12" s="1"/>
  <c r="E58" i="12" s="1"/>
  <c r="Q36" i="6"/>
  <c r="O47" i="6"/>
  <c r="E31" i="12" s="1"/>
  <c r="E57" i="12" s="1"/>
  <c r="S18" i="6"/>
  <c r="R36" i="6"/>
  <c r="R48" i="6"/>
  <c r="H34" i="12" s="1"/>
  <c r="S47" i="6"/>
  <c r="I31" i="12" s="1"/>
  <c r="P39" i="6" l="1"/>
  <c r="F22" i="12" s="1"/>
  <c r="F59" i="12" s="1"/>
  <c r="D143" i="15" a="1"/>
  <c r="D143" i="15" s="1"/>
  <c r="D154" i="15" a="1"/>
  <c r="D154" i="15" s="1"/>
  <c r="D137" i="15" a="1"/>
  <c r="D137" i="15" s="1"/>
  <c r="D122" i="15" a="1"/>
  <c r="D122" i="15" s="1"/>
  <c r="D149" i="15" a="1"/>
  <c r="D149" i="15" s="1"/>
  <c r="D119" i="15" a="1"/>
  <c r="D119" i="15" s="1"/>
  <c r="D144" i="15" a="1"/>
  <c r="D144" i="15" s="1"/>
  <c r="D139" i="15" a="1"/>
  <c r="D139" i="15" s="1"/>
  <c r="D127" i="15" a="1"/>
  <c r="D127" i="15" s="1"/>
  <c r="D128" i="15" a="1"/>
  <c r="D128" i="15" s="1"/>
  <c r="D135" i="15" a="1"/>
  <c r="D135" i="15" s="1"/>
  <c r="D124" i="15" a="1"/>
  <c r="D124" i="15" s="1"/>
  <c r="D142" i="15" a="1"/>
  <c r="D142" i="15" s="1"/>
  <c r="D125" i="15" a="1"/>
  <c r="D125" i="15" s="1"/>
  <c r="D131" i="15" a="1"/>
  <c r="D131" i="15" s="1"/>
  <c r="D155" i="15" a="1"/>
  <c r="D155" i="15" s="1"/>
  <c r="D136" i="15" a="1"/>
  <c r="D136" i="15" s="1"/>
  <c r="D159" i="15" a="1"/>
  <c r="D159" i="15" s="1"/>
  <c r="D151" i="15" a="1"/>
  <c r="D151" i="15" s="1"/>
  <c r="D161" i="15" a="1"/>
  <c r="D161" i="15" s="1"/>
  <c r="D148" i="15" a="1"/>
  <c r="D148" i="15" s="1"/>
  <c r="D132" i="15" a="1"/>
  <c r="D132" i="15" s="1"/>
  <c r="D145" i="15" a="1"/>
  <c r="D145" i="15" s="1"/>
  <c r="D147" i="15" a="1"/>
  <c r="D147" i="15" s="1"/>
  <c r="D152" i="15" a="1"/>
  <c r="D152" i="15" s="1"/>
  <c r="D160" i="15" a="1"/>
  <c r="D160" i="15" s="1"/>
  <c r="D120" i="15" a="1"/>
  <c r="D120" i="15" s="1"/>
  <c r="D134" i="15" a="1"/>
  <c r="D134" i="15" s="1"/>
  <c r="D140" i="15" a="1"/>
  <c r="D140" i="15" s="1"/>
  <c r="D129" i="15" a="1"/>
  <c r="D129" i="15" s="1"/>
  <c r="D157" i="15" a="1"/>
  <c r="D157" i="15" s="1"/>
  <c r="D133" i="15" a="1"/>
  <c r="D133" i="15" s="1"/>
  <c r="D156" i="15" a="1"/>
  <c r="D156" i="15" s="1"/>
  <c r="D141" i="15" a="1"/>
  <c r="D141" i="15" s="1"/>
  <c r="H124" i="15" a="1"/>
  <c r="H124" i="15" s="1"/>
  <c r="H129" i="15" a="1"/>
  <c r="H129" i="15" s="1"/>
  <c r="H122" i="15" a="1"/>
  <c r="H122" i="15" s="1"/>
  <c r="H161" i="15" a="1"/>
  <c r="H161" i="15" s="1"/>
  <c r="H143" i="15" a="1"/>
  <c r="H143" i="15" s="1"/>
  <c r="H128" i="15" a="1"/>
  <c r="H128" i="15" s="1"/>
  <c r="H135" i="15" a="1"/>
  <c r="H135" i="15" s="1"/>
  <c r="H142" i="15" a="1"/>
  <c r="H142" i="15" s="1"/>
  <c r="H127" i="15" a="1"/>
  <c r="H127" i="15" s="1"/>
  <c r="H132" i="15" a="1"/>
  <c r="H132" i="15" s="1"/>
  <c r="H147" i="15" a="1"/>
  <c r="H147" i="15" s="1"/>
  <c r="H125" i="15" a="1"/>
  <c r="H125" i="15" s="1"/>
  <c r="H136" i="15" a="1"/>
  <c r="H136" i="15" s="1"/>
  <c r="H133" i="15" a="1"/>
  <c r="H133" i="15" s="1"/>
  <c r="H151" i="15" a="1"/>
  <c r="H151" i="15" s="1"/>
  <c r="H131" i="15" a="1"/>
  <c r="H131" i="15" s="1"/>
  <c r="H137" i="15" a="1"/>
  <c r="H137" i="15" s="1"/>
  <c r="H140" i="15" a="1"/>
  <c r="H140" i="15" s="1"/>
  <c r="H160" i="15" a="1"/>
  <c r="H160" i="15" s="1"/>
  <c r="H154" i="15" a="1"/>
  <c r="H154" i="15" s="1"/>
  <c r="H156" i="15" a="1"/>
  <c r="H156" i="15" s="1"/>
  <c r="H120" i="15" a="1"/>
  <c r="H120" i="15" s="1"/>
  <c r="H119" i="15" a="1"/>
  <c r="H119" i="15" s="1"/>
  <c r="H155" i="15" a="1"/>
  <c r="H155" i="15" s="1"/>
  <c r="H159" i="15" a="1"/>
  <c r="H159" i="15" s="1"/>
  <c r="H148" i="15" a="1"/>
  <c r="H148" i="15" s="1"/>
  <c r="H141" i="15" a="1"/>
  <c r="H141" i="15" s="1"/>
  <c r="H157" i="15" a="1"/>
  <c r="H157" i="15" s="1"/>
  <c r="H152" i="15" a="1"/>
  <c r="H152" i="15" s="1"/>
  <c r="H139" i="15" a="1"/>
  <c r="H139" i="15" s="1"/>
  <c r="H149" i="15" a="1"/>
  <c r="H149" i="15" s="1"/>
  <c r="H144" i="15" a="1"/>
  <c r="H144" i="15" s="1"/>
  <c r="H145" i="15" a="1"/>
  <c r="H145" i="15" s="1"/>
  <c r="H134" i="15" a="1"/>
  <c r="H134" i="15" s="1"/>
  <c r="F49" i="10"/>
  <c r="F48" i="10" s="1"/>
  <c r="B49" i="10"/>
  <c r="B48" i="10" s="1"/>
  <c r="F57" i="15"/>
  <c r="N93" i="12"/>
  <c r="E190" i="15" s="1"/>
  <c r="F80" i="15"/>
  <c r="O93" i="12"/>
  <c r="F190" i="15" s="1"/>
  <c r="H7" i="15"/>
  <c r="D80" i="15"/>
  <c r="M93" i="12"/>
  <c r="D190" i="15" s="1"/>
  <c r="E57" i="15"/>
  <c r="Q94" i="12"/>
  <c r="H191" i="15" s="1"/>
  <c r="H81" i="15"/>
  <c r="F79" i="15"/>
  <c r="O92" i="12"/>
  <c r="I57" i="15"/>
  <c r="E79" i="15"/>
  <c r="F85" i="12"/>
  <c r="N92" i="12"/>
  <c r="M94" i="12"/>
  <c r="D191" i="15" s="1"/>
  <c r="D81" i="15"/>
  <c r="G79" i="15"/>
  <c r="P92" i="12"/>
  <c r="D7" i="15"/>
  <c r="Q92" i="12"/>
  <c r="H79" i="15"/>
  <c r="E82" i="15"/>
  <c r="N95" i="12"/>
  <c r="E192" i="15" s="1"/>
  <c r="E81" i="15"/>
  <c r="N94" i="12"/>
  <c r="E191" i="15" s="1"/>
  <c r="P93" i="12"/>
  <c r="G190" i="15" s="1"/>
  <c r="G80" i="15"/>
  <c r="F81" i="15"/>
  <c r="O94" i="12"/>
  <c r="F191" i="15" s="1"/>
  <c r="H80" i="15"/>
  <c r="Q93" i="12"/>
  <c r="H190" i="15" s="1"/>
  <c r="G81" i="15"/>
  <c r="P94" i="12"/>
  <c r="G191" i="15" s="1"/>
  <c r="M92" i="12"/>
  <c r="D79" i="15"/>
  <c r="G57" i="15"/>
  <c r="R39" i="6"/>
  <c r="H22" i="12" s="1"/>
  <c r="H59" i="12" s="1"/>
  <c r="R42" i="6"/>
  <c r="T47" i="6"/>
  <c r="J31" i="12" s="1"/>
  <c r="Q39" i="6"/>
  <c r="G22" i="12" s="1"/>
  <c r="G59" i="12" s="1"/>
  <c r="Q42" i="6"/>
  <c r="T36" i="6"/>
  <c r="T46" i="6"/>
  <c r="J28" i="12" s="1"/>
  <c r="J56" i="12" s="1"/>
  <c r="S39" i="6"/>
  <c r="I22" i="12" s="1"/>
  <c r="I59" i="12" s="1"/>
  <c r="I85" i="12" s="1"/>
  <c r="S42" i="6"/>
  <c r="T48" i="6"/>
  <c r="J34" i="12" s="1"/>
  <c r="O39" i="6"/>
  <c r="E22" i="12" s="1"/>
  <c r="E59" i="12" s="1"/>
  <c r="E85" i="12" s="1"/>
  <c r="O42" i="6"/>
  <c r="M85" i="12" l="1"/>
  <c r="D254" i="15"/>
  <c r="D142" i="4"/>
  <c r="D253" i="15" s="1"/>
  <c r="D124" i="4"/>
  <c r="D235" i="15" s="1"/>
  <c r="D146" i="4"/>
  <c r="D257" i="15" s="1"/>
  <c r="N85" i="12"/>
  <c r="E124" i="4"/>
  <c r="E235" i="15" s="1"/>
  <c r="E146" i="4"/>
  <c r="E257" i="15" s="1"/>
  <c r="E143" i="4"/>
  <c r="E254" i="15" s="1"/>
  <c r="E142" i="4"/>
  <c r="E253" i="15" s="1"/>
  <c r="Q85" i="12"/>
  <c r="H142" i="4"/>
  <c r="H253" i="15" s="1"/>
  <c r="H124" i="4"/>
  <c r="H235" i="15" s="1"/>
  <c r="H146" i="4"/>
  <c r="H257" i="15" s="1"/>
  <c r="H254" i="15"/>
  <c r="D177" i="15"/>
  <c r="D123" i="4" s="1"/>
  <c r="D174" i="15"/>
  <c r="D170" i="15"/>
  <c r="D21" i="15" s="1"/>
  <c r="C19" i="22" s="1"/>
  <c r="H173" i="15"/>
  <c r="H17" i="15" s="1"/>
  <c r="G15" i="22" s="1"/>
  <c r="H130" i="15"/>
  <c r="F144" i="15" a="1"/>
  <c r="F144" i="15" s="1"/>
  <c r="F140" i="15" a="1"/>
  <c r="F140" i="15" s="1"/>
  <c r="F137" i="15" a="1"/>
  <c r="F137" i="15" s="1"/>
  <c r="F133" i="15" a="1"/>
  <c r="F133" i="15" s="1"/>
  <c r="F129" i="15" a="1"/>
  <c r="F129" i="15" s="1"/>
  <c r="F143" i="15" a="1"/>
  <c r="F143" i="15" s="1"/>
  <c r="F135" i="15" a="1"/>
  <c r="F135" i="15" s="1"/>
  <c r="F147" i="15" a="1"/>
  <c r="F147" i="15" s="1"/>
  <c r="F124" i="15" a="1"/>
  <c r="F124" i="15" s="1"/>
  <c r="F120" i="15" a="1"/>
  <c r="F120" i="15" s="1"/>
  <c r="F136" i="15" a="1"/>
  <c r="F136" i="15" s="1"/>
  <c r="F159" i="15" a="1"/>
  <c r="F159" i="15" s="1"/>
  <c r="F151" i="15" a="1"/>
  <c r="F151" i="15" s="1"/>
  <c r="F161" i="15" a="1"/>
  <c r="F161" i="15" s="1"/>
  <c r="F148" i="15" a="1"/>
  <c r="F148" i="15" s="1"/>
  <c r="F122" i="15" a="1"/>
  <c r="F122" i="15" s="1"/>
  <c r="F157" i="15" a="1"/>
  <c r="F157" i="15" s="1"/>
  <c r="F142" i="15" a="1"/>
  <c r="F142" i="15" s="1"/>
  <c r="F141" i="15" a="1"/>
  <c r="F141" i="15" s="1"/>
  <c r="F154" i="15" a="1"/>
  <c r="F154" i="15" s="1"/>
  <c r="F119" i="15" a="1"/>
  <c r="F119" i="15" s="1"/>
  <c r="F149" i="15" a="1"/>
  <c r="F149" i="15" s="1"/>
  <c r="F152" i="15" a="1"/>
  <c r="F152" i="15" s="1"/>
  <c r="F160" i="15" a="1"/>
  <c r="F160" i="15" s="1"/>
  <c r="F139" i="15" a="1"/>
  <c r="F139" i="15" s="1"/>
  <c r="F128" i="15" a="1"/>
  <c r="F128" i="15" s="1"/>
  <c r="F156" i="15" a="1"/>
  <c r="F156" i="15" s="1"/>
  <c r="F125" i="15" a="1"/>
  <c r="F125" i="15" s="1"/>
  <c r="F131" i="15" a="1"/>
  <c r="F131" i="15" s="1"/>
  <c r="F127" i="15" a="1"/>
  <c r="F127" i="15" s="1"/>
  <c r="F132" i="15" a="1"/>
  <c r="F132" i="15" s="1"/>
  <c r="F145" i="15" a="1"/>
  <c r="F145" i="15" s="1"/>
  <c r="F134" i="15" a="1"/>
  <c r="F134" i="15" s="1"/>
  <c r="F155" i="15" a="1"/>
  <c r="F155" i="15" s="1"/>
  <c r="E136" i="15" a="1"/>
  <c r="E136" i="15" s="1"/>
  <c r="E140" i="15" a="1"/>
  <c r="E140" i="15" s="1"/>
  <c r="E122" i="15" a="1"/>
  <c r="E122" i="15" s="1"/>
  <c r="E152" i="15" a="1"/>
  <c r="E152" i="15" s="1"/>
  <c r="E132" i="15" a="1"/>
  <c r="E132" i="15" s="1"/>
  <c r="E161" i="15" a="1"/>
  <c r="E161" i="15" s="1"/>
  <c r="E149" i="15" a="1"/>
  <c r="E149" i="15" s="1"/>
  <c r="E133" i="15" a="1"/>
  <c r="E133" i="15" s="1"/>
  <c r="E151" i="15" a="1"/>
  <c r="E151" i="15" s="1"/>
  <c r="E148" i="15" a="1"/>
  <c r="E148" i="15" s="1"/>
  <c r="E134" i="15" a="1"/>
  <c r="E134" i="15" s="1"/>
  <c r="E127" i="15" a="1"/>
  <c r="E127" i="15" s="1"/>
  <c r="E143" i="15" a="1"/>
  <c r="E143" i="15" s="1"/>
  <c r="E159" i="15" a="1"/>
  <c r="E159" i="15" s="1"/>
  <c r="E155" i="15" a="1"/>
  <c r="E155" i="15" s="1"/>
  <c r="E145" i="15" a="1"/>
  <c r="E145" i="15" s="1"/>
  <c r="E141" i="15" a="1"/>
  <c r="E141" i="15" s="1"/>
  <c r="E144" i="15" a="1"/>
  <c r="E144" i="15" s="1"/>
  <c r="E154" i="15" a="1"/>
  <c r="E154" i="15" s="1"/>
  <c r="E120" i="15" a="1"/>
  <c r="E120" i="15" s="1"/>
  <c r="E142" i="15" a="1"/>
  <c r="E142" i="15" s="1"/>
  <c r="E156" i="15" a="1"/>
  <c r="E156" i="15" s="1"/>
  <c r="E135" i="15" a="1"/>
  <c r="E135" i="15" s="1"/>
  <c r="E124" i="15" a="1"/>
  <c r="E124" i="15" s="1"/>
  <c r="E139" i="15" a="1"/>
  <c r="E139" i="15" s="1"/>
  <c r="E128" i="15" a="1"/>
  <c r="E128" i="15" s="1"/>
  <c r="E119" i="15" a="1"/>
  <c r="E119" i="15" s="1"/>
  <c r="E160" i="15" a="1"/>
  <c r="E160" i="15" s="1"/>
  <c r="E131" i="15" a="1"/>
  <c r="E131" i="15" s="1"/>
  <c r="E129" i="15" a="1"/>
  <c r="E129" i="15" s="1"/>
  <c r="E137" i="15" a="1"/>
  <c r="E137" i="15" s="1"/>
  <c r="E157" i="15" a="1"/>
  <c r="E157" i="15" s="1"/>
  <c r="E125" i="15" a="1"/>
  <c r="E125" i="15" s="1"/>
  <c r="E147" i="15" a="1"/>
  <c r="E147" i="15" s="1"/>
  <c r="G154" i="15" a="1"/>
  <c r="G154" i="15" s="1"/>
  <c r="G122" i="15" a="1"/>
  <c r="G122" i="15" s="1"/>
  <c r="G161" i="15" a="1"/>
  <c r="G161" i="15" s="1"/>
  <c r="G131" i="15" a="1"/>
  <c r="G131" i="15" s="1"/>
  <c r="G129" i="15" a="1"/>
  <c r="G129" i="15" s="1"/>
  <c r="G136" i="15" a="1"/>
  <c r="G136" i="15" s="1"/>
  <c r="G151" i="15" a="1"/>
  <c r="G151" i="15" s="1"/>
  <c r="G124" i="15" a="1"/>
  <c r="G124" i="15" s="1"/>
  <c r="G139" i="15" a="1"/>
  <c r="G139" i="15" s="1"/>
  <c r="G159" i="15" a="1"/>
  <c r="G159" i="15" s="1"/>
  <c r="G128" i="15" a="1"/>
  <c r="G128" i="15" s="1"/>
  <c r="G127" i="15" a="1"/>
  <c r="G127" i="15" s="1"/>
  <c r="G148" i="15" a="1"/>
  <c r="G148" i="15" s="1"/>
  <c r="G152" i="15" a="1"/>
  <c r="G152" i="15" s="1"/>
  <c r="G133" i="15" a="1"/>
  <c r="G133" i="15" s="1"/>
  <c r="G160" i="15" a="1"/>
  <c r="G160" i="15" s="1"/>
  <c r="G142" i="15" a="1"/>
  <c r="G142" i="15" s="1"/>
  <c r="G144" i="15" a="1"/>
  <c r="G144" i="15" s="1"/>
  <c r="G135" i="15" a="1"/>
  <c r="G135" i="15" s="1"/>
  <c r="G134" i="15" a="1"/>
  <c r="G134" i="15" s="1"/>
  <c r="G147" i="15" a="1"/>
  <c r="G147" i="15" s="1"/>
  <c r="G155" i="15" a="1"/>
  <c r="G155" i="15" s="1"/>
  <c r="G119" i="15" a="1"/>
  <c r="G119" i="15" s="1"/>
  <c r="G132" i="15" a="1"/>
  <c r="G132" i="15" s="1"/>
  <c r="G149" i="15" a="1"/>
  <c r="G149" i="15" s="1"/>
  <c r="G120" i="15" a="1"/>
  <c r="G120" i="15" s="1"/>
  <c r="G156" i="15" a="1"/>
  <c r="G156" i="15" s="1"/>
  <c r="G143" i="15" a="1"/>
  <c r="G143" i="15" s="1"/>
  <c r="G140" i="15" a="1"/>
  <c r="G140" i="15" s="1"/>
  <c r="G141" i="15" a="1"/>
  <c r="G141" i="15" s="1"/>
  <c r="G137" i="15" a="1"/>
  <c r="G137" i="15" s="1"/>
  <c r="G145" i="15" a="1"/>
  <c r="G145" i="15" s="1"/>
  <c r="G157" i="15" a="1"/>
  <c r="G157" i="15" s="1"/>
  <c r="G125" i="15" a="1"/>
  <c r="G125" i="15" s="1"/>
  <c r="I133" i="15" a="1"/>
  <c r="I133" i="15" s="1"/>
  <c r="I151" i="15" a="1"/>
  <c r="I151" i="15" s="1"/>
  <c r="I127" i="15" a="1"/>
  <c r="I127" i="15" s="1"/>
  <c r="I161" i="15" a="1"/>
  <c r="I161" i="15" s="1"/>
  <c r="I149" i="15" a="1"/>
  <c r="I149" i="15" s="1"/>
  <c r="I156" i="15" a="1"/>
  <c r="I156" i="15" s="1"/>
  <c r="I145" i="15" a="1"/>
  <c r="I145" i="15" s="1"/>
  <c r="I148" i="15" a="1"/>
  <c r="I148" i="15" s="1"/>
  <c r="I141" i="15" a="1"/>
  <c r="I141" i="15" s="1"/>
  <c r="I129" i="15" a="1"/>
  <c r="I129" i="15" s="1"/>
  <c r="I160" i="15" a="1"/>
  <c r="I160" i="15" s="1"/>
  <c r="I154" i="15" a="1"/>
  <c r="I154" i="15" s="1"/>
  <c r="I142" i="15" a="1"/>
  <c r="I142" i="15" s="1"/>
  <c r="I140" i="15" a="1"/>
  <c r="I140" i="15" s="1"/>
  <c r="I128" i="15" a="1"/>
  <c r="I128" i="15" s="1"/>
  <c r="I120" i="15" a="1"/>
  <c r="I120" i="15" s="1"/>
  <c r="I134" i="15" a="1"/>
  <c r="I134" i="15" s="1"/>
  <c r="I143" i="15" a="1"/>
  <c r="I143" i="15" s="1"/>
  <c r="I136" i="15" a="1"/>
  <c r="I136" i="15" s="1"/>
  <c r="I155" i="15" a="1"/>
  <c r="I155" i="15" s="1"/>
  <c r="I122" i="15" a="1"/>
  <c r="I122" i="15" s="1"/>
  <c r="I135" i="15" a="1"/>
  <c r="I135" i="15" s="1"/>
  <c r="I131" i="15" a="1"/>
  <c r="I131" i="15" s="1"/>
  <c r="I157" i="15" a="1"/>
  <c r="I157" i="15" s="1"/>
  <c r="I152" i="15" a="1"/>
  <c r="I152" i="15" s="1"/>
  <c r="I125" i="15" a="1"/>
  <c r="I125" i="15" s="1"/>
  <c r="I159" i="15" a="1"/>
  <c r="I159" i="15" s="1"/>
  <c r="I119" i="15" a="1"/>
  <c r="I119" i="15" s="1"/>
  <c r="I132" i="15" a="1"/>
  <c r="I132" i="15" s="1"/>
  <c r="I139" i="15" a="1"/>
  <c r="I139" i="15" s="1"/>
  <c r="I137" i="15" a="1"/>
  <c r="I137" i="15" s="1"/>
  <c r="I147" i="15" a="1"/>
  <c r="I147" i="15" s="1"/>
  <c r="I144" i="15" a="1"/>
  <c r="I144" i="15" s="1"/>
  <c r="I124" i="15" a="1"/>
  <c r="I124" i="15" s="1"/>
  <c r="D153" i="15"/>
  <c r="D158" i="15"/>
  <c r="H162" i="15"/>
  <c r="D150" i="15"/>
  <c r="E49" i="10"/>
  <c r="E48" i="10" s="1"/>
  <c r="H158" i="15"/>
  <c r="D130" i="15"/>
  <c r="H150" i="15"/>
  <c r="H146" i="15"/>
  <c r="D138" i="15"/>
  <c r="H153" i="15"/>
  <c r="D146" i="15"/>
  <c r="G49" i="10"/>
  <c r="G48" i="10" s="1"/>
  <c r="D162" i="15"/>
  <c r="H121" i="15"/>
  <c r="H138" i="15"/>
  <c r="F58" i="15"/>
  <c r="C49" i="10"/>
  <c r="C48" i="10" s="1"/>
  <c r="D49" i="10"/>
  <c r="D48" i="10" s="1"/>
  <c r="N121" i="12"/>
  <c r="E113" i="15"/>
  <c r="E108" i="15"/>
  <c r="F7" i="15"/>
  <c r="F310" i="15" s="1"/>
  <c r="AN4" i="22" s="1"/>
  <c r="D178" i="15"/>
  <c r="H178" i="15"/>
  <c r="E58" i="15"/>
  <c r="E7" i="15"/>
  <c r="E313" i="15"/>
  <c r="AM7" i="22" s="1"/>
  <c r="D173" i="15"/>
  <c r="D17" i="15" s="1"/>
  <c r="C15" i="22" s="1"/>
  <c r="G82" i="15"/>
  <c r="P95" i="12"/>
  <c r="G192" i="15" s="1"/>
  <c r="E189" i="15"/>
  <c r="I80" i="15"/>
  <c r="R93" i="12"/>
  <c r="I190" i="15" s="1"/>
  <c r="G7" i="15"/>
  <c r="G58" i="15"/>
  <c r="M95" i="12"/>
  <c r="D192" i="15" s="1"/>
  <c r="D82" i="15"/>
  <c r="D108" i="15" s="1"/>
  <c r="D109" i="15" s="1"/>
  <c r="H58" i="15"/>
  <c r="I7" i="15"/>
  <c r="I58" i="15"/>
  <c r="H180" i="15"/>
  <c r="H319" i="15" s="1"/>
  <c r="AP13" i="22" s="1"/>
  <c r="F189" i="15"/>
  <c r="F82" i="15"/>
  <c r="F113" i="15" s="1"/>
  <c r="O95" i="12"/>
  <c r="F192" i="15" s="1"/>
  <c r="I81" i="15"/>
  <c r="R94" i="12"/>
  <c r="I191" i="15" s="1"/>
  <c r="G85" i="12"/>
  <c r="D180" i="15"/>
  <c r="D319" i="15" s="1"/>
  <c r="AL13" i="22" s="1"/>
  <c r="I79" i="15"/>
  <c r="R92" i="12"/>
  <c r="H189" i="15"/>
  <c r="C5" i="22"/>
  <c r="D310" i="15"/>
  <c r="AL4" i="22" s="1"/>
  <c r="H85" i="12"/>
  <c r="D189" i="15"/>
  <c r="H310" i="15"/>
  <c r="AP4" i="22" s="1"/>
  <c r="G5" i="22"/>
  <c r="H82" i="15"/>
  <c r="Q95" i="12"/>
  <c r="Q121" i="12" s="1"/>
  <c r="G189" i="15"/>
  <c r="H170" i="15"/>
  <c r="H21" i="15" s="1"/>
  <c r="G19" i="22" s="1"/>
  <c r="T42" i="6"/>
  <c r="T39" i="6"/>
  <c r="J22" i="12" s="1"/>
  <c r="J59" i="12" s="1"/>
  <c r="D289" i="15" l="1"/>
  <c r="O72" i="9" a="1"/>
  <c r="O72" i="9" s="1"/>
  <c r="N72" i="9" a="1"/>
  <c r="N72" i="9" s="1"/>
  <c r="L72" i="9" a="1"/>
  <c r="L72" i="9" s="1"/>
  <c r="E72" i="9" a="1"/>
  <c r="E72" i="9" s="1"/>
  <c r="G72" i="9" a="1"/>
  <c r="G72" i="9" s="1"/>
  <c r="K72" i="9" a="1"/>
  <c r="K72" i="9" s="1"/>
  <c r="F72" i="9" a="1"/>
  <c r="F72" i="9" s="1"/>
  <c r="I72" i="9" a="1"/>
  <c r="I72" i="9" s="1"/>
  <c r="J72" i="9" a="1"/>
  <c r="J72" i="9" s="1"/>
  <c r="M72" i="9" a="1"/>
  <c r="M72" i="9" s="1"/>
  <c r="H72" i="9" a="1"/>
  <c r="H72" i="9" s="1"/>
  <c r="D72" i="9" a="1"/>
  <c r="D72" i="9" s="1"/>
  <c r="E289" i="15"/>
  <c r="G73" i="9" a="1"/>
  <c r="G73" i="9" s="1"/>
  <c r="L73" i="9" a="1"/>
  <c r="L73" i="9" s="1"/>
  <c r="I73" i="9" a="1"/>
  <c r="I73" i="9" s="1"/>
  <c r="E73" i="9" a="1"/>
  <c r="E73" i="9" s="1"/>
  <c r="O73" i="9" a="1"/>
  <c r="O73" i="9" s="1"/>
  <c r="H73" i="9" a="1"/>
  <c r="H73" i="9" s="1"/>
  <c r="K73" i="9" a="1"/>
  <c r="K73" i="9" s="1"/>
  <c r="N73" i="9" a="1"/>
  <c r="N73" i="9" s="1"/>
  <c r="F73" i="9" a="1"/>
  <c r="F73" i="9" s="1"/>
  <c r="D73" i="9" a="1"/>
  <c r="D73" i="9" s="1"/>
  <c r="J73" i="9" a="1"/>
  <c r="J73" i="9" s="1"/>
  <c r="M73" i="9" a="1"/>
  <c r="M73" i="9" s="1"/>
  <c r="O76" i="9" a="1"/>
  <c r="O76" i="9" s="1"/>
  <c r="H76" i="9" a="1"/>
  <c r="H76" i="9" s="1"/>
  <c r="J76" i="9" a="1"/>
  <c r="J76" i="9" s="1"/>
  <c r="L76" i="9" a="1"/>
  <c r="L76" i="9" s="1"/>
  <c r="D76" i="9" a="1"/>
  <c r="D76" i="9" s="1"/>
  <c r="E76" i="9" a="1"/>
  <c r="E76" i="9" s="1"/>
  <c r="N76" i="9" a="1"/>
  <c r="N76" i="9" s="1"/>
  <c r="M76" i="9" a="1"/>
  <c r="M76" i="9" s="1"/>
  <c r="K76" i="9" a="1"/>
  <c r="K76" i="9" s="1"/>
  <c r="G76" i="9" a="1"/>
  <c r="G76" i="9" s="1"/>
  <c r="I76" i="9" a="1"/>
  <c r="I76" i="9" s="1"/>
  <c r="F76" i="9" a="1"/>
  <c r="F76" i="9" s="1"/>
  <c r="K54" i="9" a="1"/>
  <c r="K54" i="9" s="1"/>
  <c r="E54" i="9" a="1"/>
  <c r="E54" i="9" s="1"/>
  <c r="J54" i="9" a="1"/>
  <c r="J54" i="9" s="1"/>
  <c r="H54" i="9" a="1"/>
  <c r="H54" i="9" s="1"/>
  <c r="O54" i="9" a="1"/>
  <c r="O54" i="9" s="1"/>
  <c r="I54" i="9" a="1"/>
  <c r="I54" i="9" s="1"/>
  <c r="G54" i="9" a="1"/>
  <c r="G54" i="9" s="1"/>
  <c r="M54" i="9" a="1"/>
  <c r="M54" i="9" s="1"/>
  <c r="N54" i="9" a="1"/>
  <c r="N54" i="9" s="1"/>
  <c r="F54" i="9" a="1"/>
  <c r="F54" i="9" s="1"/>
  <c r="D54" i="9" a="1"/>
  <c r="D54" i="9" s="1"/>
  <c r="L54" i="9" a="1"/>
  <c r="L54" i="9" s="1"/>
  <c r="O85" i="12"/>
  <c r="F142" i="4"/>
  <c r="F253" i="15" s="1"/>
  <c r="F124" i="4"/>
  <c r="F235" i="15" s="1"/>
  <c r="F146" i="4"/>
  <c r="F257" i="15" s="1"/>
  <c r="F254" i="15"/>
  <c r="H289" i="15"/>
  <c r="P85" i="12"/>
  <c r="G142" i="4"/>
  <c r="G253" i="15" s="1"/>
  <c r="G124" i="4"/>
  <c r="G235" i="15" s="1"/>
  <c r="G254" i="15"/>
  <c r="G146" i="4"/>
  <c r="G257" i="15" s="1"/>
  <c r="D218" i="15"/>
  <c r="D162" i="4" s="1"/>
  <c r="F178" i="15"/>
  <c r="F317" i="15" s="1"/>
  <c r="AN11" i="22" s="1"/>
  <c r="D122" i="4"/>
  <c r="D233" i="15" s="1"/>
  <c r="D234" i="15"/>
  <c r="D316" i="15"/>
  <c r="AL10" i="22" s="1"/>
  <c r="M18" i="9" a="1"/>
  <c r="M18" i="9" s="1"/>
  <c r="L18" i="9" a="1"/>
  <c r="L18" i="9" s="1"/>
  <c r="K18" i="9" a="1"/>
  <c r="K18" i="9" s="1"/>
  <c r="N18" i="9" a="1"/>
  <c r="N18" i="9" s="1"/>
  <c r="J18" i="9" a="1"/>
  <c r="J18" i="9" s="1"/>
  <c r="I18" i="9" a="1"/>
  <c r="I18" i="9" s="1"/>
  <c r="H18" i="9" a="1"/>
  <c r="H18" i="9" s="1"/>
  <c r="G18" i="9" a="1"/>
  <c r="G18" i="9" s="1"/>
  <c r="F18" i="9" a="1"/>
  <c r="F18" i="9" s="1"/>
  <c r="E18" i="9" a="1"/>
  <c r="E18" i="9" s="1"/>
  <c r="D18" i="9" a="1"/>
  <c r="D18" i="9" s="1"/>
  <c r="O18" i="9" a="1"/>
  <c r="O18" i="9" s="1"/>
  <c r="L25" i="9" a="1"/>
  <c r="L25" i="9" s="1"/>
  <c r="I25" i="9" a="1"/>
  <c r="I25" i="9" s="1"/>
  <c r="H25" i="9" a="1"/>
  <c r="H25" i="9" s="1"/>
  <c r="G25" i="9" a="1"/>
  <c r="G25" i="9" s="1"/>
  <c r="K25" i="9" a="1"/>
  <c r="K25" i="9" s="1"/>
  <c r="F25" i="9" a="1"/>
  <c r="F25" i="9" s="1"/>
  <c r="M25" i="9" a="1"/>
  <c r="M25" i="9" s="1"/>
  <c r="J25" i="9" a="1"/>
  <c r="J25" i="9" s="1"/>
  <c r="E25" i="9" a="1"/>
  <c r="E25" i="9" s="1"/>
  <c r="D25" i="9" a="1"/>
  <c r="D25" i="9" s="1"/>
  <c r="N25" i="9" a="1"/>
  <c r="N25" i="9" s="1"/>
  <c r="O25" i="9" a="1"/>
  <c r="O25" i="9" s="1"/>
  <c r="F40" i="9" a="1"/>
  <c r="F40" i="9" s="1"/>
  <c r="E40" i="9" a="1"/>
  <c r="E40" i="9" s="1"/>
  <c r="H40" i="9" a="1"/>
  <c r="H40" i="9" s="1"/>
  <c r="O40" i="9" a="1"/>
  <c r="O40" i="9" s="1"/>
  <c r="N40" i="9" a="1"/>
  <c r="N40" i="9" s="1"/>
  <c r="M40" i="9" a="1"/>
  <c r="M40" i="9" s="1"/>
  <c r="L40" i="9" a="1"/>
  <c r="L40" i="9" s="1"/>
  <c r="K40" i="9" a="1"/>
  <c r="K40" i="9" s="1"/>
  <c r="D40" i="9" a="1"/>
  <c r="D40" i="9" s="1"/>
  <c r="J40" i="9" a="1"/>
  <c r="J40" i="9" s="1"/>
  <c r="G40" i="9" a="1"/>
  <c r="G40" i="9" s="1"/>
  <c r="I40" i="9" a="1"/>
  <c r="I40" i="9" s="1"/>
  <c r="D27" i="9" a="1"/>
  <c r="D27" i="9" s="1"/>
  <c r="O27" i="9" a="1"/>
  <c r="O27" i="9" s="1"/>
  <c r="N27" i="9" a="1"/>
  <c r="N27" i="9" s="1"/>
  <c r="M27" i="9" a="1"/>
  <c r="M27" i="9" s="1"/>
  <c r="F27" i="9" a="1"/>
  <c r="F27" i="9" s="1"/>
  <c r="L27" i="9" a="1"/>
  <c r="L27" i="9" s="1"/>
  <c r="K27" i="9" a="1"/>
  <c r="K27" i="9" s="1"/>
  <c r="J27" i="9" a="1"/>
  <c r="J27" i="9" s="1"/>
  <c r="I27" i="9" a="1"/>
  <c r="I27" i="9" s="1"/>
  <c r="H27" i="9" a="1"/>
  <c r="H27" i="9" s="1"/>
  <c r="E27" i="9" a="1"/>
  <c r="E27" i="9" s="1"/>
  <c r="G27" i="9" a="1"/>
  <c r="G27" i="9" s="1"/>
  <c r="O39" i="9" a="1"/>
  <c r="O39" i="9" s="1"/>
  <c r="N39" i="9" a="1"/>
  <c r="N39" i="9" s="1"/>
  <c r="M39" i="9" a="1"/>
  <c r="M39" i="9" s="1"/>
  <c r="L39" i="9" a="1"/>
  <c r="L39" i="9" s="1"/>
  <c r="K39" i="9" a="1"/>
  <c r="K39" i="9" s="1"/>
  <c r="J39" i="9" a="1"/>
  <c r="J39" i="9" s="1"/>
  <c r="I39" i="9" a="1"/>
  <c r="I39" i="9" s="1"/>
  <c r="H39" i="9" a="1"/>
  <c r="H39" i="9" s="1"/>
  <c r="G39" i="9" a="1"/>
  <c r="G39" i="9" s="1"/>
  <c r="F39" i="9" a="1"/>
  <c r="F39" i="9" s="1"/>
  <c r="E39" i="9" a="1"/>
  <c r="E39" i="9" s="1"/>
  <c r="D39" i="9" a="1"/>
  <c r="D39" i="9" s="1"/>
  <c r="F44" i="9" a="1"/>
  <c r="F44" i="9" s="1"/>
  <c r="E44" i="9" a="1"/>
  <c r="E44" i="9" s="1"/>
  <c r="D44" i="9" a="1"/>
  <c r="D44" i="9" s="1"/>
  <c r="O44" i="9" a="1"/>
  <c r="O44" i="9" s="1"/>
  <c r="N44" i="9" a="1"/>
  <c r="N44" i="9" s="1"/>
  <c r="M44" i="9" a="1"/>
  <c r="M44" i="9" s="1"/>
  <c r="H44" i="9" a="1"/>
  <c r="H44" i="9" s="1"/>
  <c r="G44" i="9" a="1"/>
  <c r="G44" i="9" s="1"/>
  <c r="L44" i="9" a="1"/>
  <c r="L44" i="9" s="1"/>
  <c r="K44" i="9" a="1"/>
  <c r="K44" i="9" s="1"/>
  <c r="J44" i="9" a="1"/>
  <c r="J44" i="9" s="1"/>
  <c r="I44" i="9" a="1"/>
  <c r="I44" i="9" s="1"/>
  <c r="E48" i="9" a="1"/>
  <c r="E48" i="9" s="1"/>
  <c r="D48" i="9" a="1"/>
  <c r="D48" i="9" s="1"/>
  <c r="O48" i="9" a="1"/>
  <c r="O48" i="9" s="1"/>
  <c r="N48" i="9" a="1"/>
  <c r="N48" i="9" s="1"/>
  <c r="F48" i="9" a="1"/>
  <c r="F48" i="9" s="1"/>
  <c r="M48" i="9" a="1"/>
  <c r="M48" i="9" s="1"/>
  <c r="L48" i="9" a="1"/>
  <c r="L48" i="9" s="1"/>
  <c r="K48" i="9" a="1"/>
  <c r="K48" i="9" s="1"/>
  <c r="J48" i="9" a="1"/>
  <c r="J48" i="9" s="1"/>
  <c r="I48" i="9" a="1"/>
  <c r="I48" i="9" s="1"/>
  <c r="H48" i="9" a="1"/>
  <c r="H48" i="9" s="1"/>
  <c r="G48" i="9" a="1"/>
  <c r="G48" i="9" s="1"/>
  <c r="O30" i="9" a="1"/>
  <c r="O30" i="9" s="1"/>
  <c r="N30" i="9" a="1"/>
  <c r="N30" i="9" s="1"/>
  <c r="L30" i="9" a="1"/>
  <c r="L30" i="9" s="1"/>
  <c r="K30" i="9" a="1"/>
  <c r="K30" i="9" s="1"/>
  <c r="J30" i="9" a="1"/>
  <c r="J30" i="9" s="1"/>
  <c r="I30" i="9" a="1"/>
  <c r="I30" i="9" s="1"/>
  <c r="H30" i="9" a="1"/>
  <c r="H30" i="9" s="1"/>
  <c r="M30" i="9" a="1"/>
  <c r="M30" i="9" s="1"/>
  <c r="G30" i="9" a="1"/>
  <c r="G30" i="9" s="1"/>
  <c r="F30" i="9" a="1"/>
  <c r="F30" i="9" s="1"/>
  <c r="E30" i="9" a="1"/>
  <c r="E30" i="9" s="1"/>
  <c r="D30" i="9" a="1"/>
  <c r="D30" i="9" s="1"/>
  <c r="J33" i="9" a="1"/>
  <c r="J33" i="9" s="1"/>
  <c r="I33" i="9" a="1"/>
  <c r="I33" i="9" s="1"/>
  <c r="G33" i="9" a="1"/>
  <c r="G33" i="9" s="1"/>
  <c r="F33" i="9" a="1"/>
  <c r="F33" i="9" s="1"/>
  <c r="E33" i="9" a="1"/>
  <c r="E33" i="9" s="1"/>
  <c r="H33" i="9" a="1"/>
  <c r="H33" i="9" s="1"/>
  <c r="D33" i="9" a="1"/>
  <c r="D33" i="9" s="1"/>
  <c r="K33" i="9" a="1"/>
  <c r="K33" i="9" s="1"/>
  <c r="L33" i="9" a="1"/>
  <c r="L33" i="9" s="1"/>
  <c r="O33" i="9" a="1"/>
  <c r="O33" i="9" s="1"/>
  <c r="N33" i="9" a="1"/>
  <c r="N33" i="9" s="1"/>
  <c r="M33" i="9" a="1"/>
  <c r="M33" i="9" s="1"/>
  <c r="H24" i="9" a="1"/>
  <c r="H24" i="9" s="1"/>
  <c r="E24" i="9" a="1"/>
  <c r="E24" i="9" s="1"/>
  <c r="D24" i="9" a="1"/>
  <c r="D24" i="9" s="1"/>
  <c r="I24" i="9" a="1"/>
  <c r="I24" i="9" s="1"/>
  <c r="O24" i="9" a="1"/>
  <c r="O24" i="9" s="1"/>
  <c r="F24" i="9" a="1"/>
  <c r="F24" i="9" s="1"/>
  <c r="N24" i="9" a="1"/>
  <c r="N24" i="9" s="1"/>
  <c r="M24" i="9" a="1"/>
  <c r="M24" i="9" s="1"/>
  <c r="L24" i="9" a="1"/>
  <c r="L24" i="9" s="1"/>
  <c r="G24" i="9" a="1"/>
  <c r="G24" i="9" s="1"/>
  <c r="K24" i="9" a="1"/>
  <c r="K24" i="9" s="1"/>
  <c r="J24" i="9" a="1"/>
  <c r="J24" i="9" s="1"/>
  <c r="J41" i="9" a="1"/>
  <c r="J41" i="9" s="1"/>
  <c r="I41" i="9" a="1"/>
  <c r="I41" i="9" s="1"/>
  <c r="H41" i="9" a="1"/>
  <c r="H41" i="9" s="1"/>
  <c r="G41" i="9" a="1"/>
  <c r="G41" i="9" s="1"/>
  <c r="F41" i="9" a="1"/>
  <c r="F41" i="9" s="1"/>
  <c r="E41" i="9" a="1"/>
  <c r="E41" i="9" s="1"/>
  <c r="D41" i="9" a="1"/>
  <c r="D41" i="9" s="1"/>
  <c r="K41" i="9" a="1"/>
  <c r="K41" i="9" s="1"/>
  <c r="O41" i="9" a="1"/>
  <c r="O41" i="9" s="1"/>
  <c r="N41" i="9" a="1"/>
  <c r="N41" i="9" s="1"/>
  <c r="L41" i="9" a="1"/>
  <c r="L41" i="9" s="1"/>
  <c r="M41" i="9" a="1"/>
  <c r="M41" i="9" s="1"/>
  <c r="N42" i="9" a="1"/>
  <c r="N42" i="9" s="1"/>
  <c r="M42" i="9" a="1"/>
  <c r="M42" i="9" s="1"/>
  <c r="K42" i="9" a="1"/>
  <c r="K42" i="9" s="1"/>
  <c r="J42" i="9" a="1"/>
  <c r="J42" i="9" s="1"/>
  <c r="I42" i="9" a="1"/>
  <c r="I42" i="9" s="1"/>
  <c r="H42" i="9" a="1"/>
  <c r="H42" i="9" s="1"/>
  <c r="G42" i="9" a="1"/>
  <c r="G42" i="9" s="1"/>
  <c r="F42" i="9" a="1"/>
  <c r="F42" i="9" s="1"/>
  <c r="E42" i="9" a="1"/>
  <c r="E42" i="9" s="1"/>
  <c r="L42" i="9" a="1"/>
  <c r="L42" i="9" s="1"/>
  <c r="D42" i="9" a="1"/>
  <c r="D42" i="9" s="1"/>
  <c r="O42" i="9" a="1"/>
  <c r="O42" i="9" s="1"/>
  <c r="H16" i="9" a="1"/>
  <c r="H16" i="9" s="1"/>
  <c r="E16" i="9" a="1"/>
  <c r="E16" i="9" s="1"/>
  <c r="D16" i="9" a="1"/>
  <c r="D16" i="9" s="1"/>
  <c r="J16" i="9" a="1"/>
  <c r="J16" i="9" s="1"/>
  <c r="I16" i="9" a="1"/>
  <c r="I16" i="9" s="1"/>
  <c r="K16" i="9" a="1"/>
  <c r="K16" i="9" s="1"/>
  <c r="F16" i="9" a="1"/>
  <c r="F16" i="9" s="1"/>
  <c r="O16" i="9" a="1"/>
  <c r="O16" i="9" s="1"/>
  <c r="G16" i="9" a="1"/>
  <c r="G16" i="9" s="1"/>
  <c r="N16" i="9" a="1"/>
  <c r="N16" i="9" s="1"/>
  <c r="M16" i="9" a="1"/>
  <c r="M16" i="9" s="1"/>
  <c r="L16" i="9" a="1"/>
  <c r="L16" i="9" s="1"/>
  <c r="J37" i="9" a="1"/>
  <c r="J37" i="9" s="1"/>
  <c r="I37" i="9" a="1"/>
  <c r="I37" i="9" s="1"/>
  <c r="G37" i="9" a="1"/>
  <c r="G37" i="9" s="1"/>
  <c r="F37" i="9" a="1"/>
  <c r="F37" i="9" s="1"/>
  <c r="E37" i="9" a="1"/>
  <c r="E37" i="9" s="1"/>
  <c r="D37" i="9" a="1"/>
  <c r="D37" i="9" s="1"/>
  <c r="K37" i="9" a="1"/>
  <c r="K37" i="9" s="1"/>
  <c r="L37" i="9" a="1"/>
  <c r="L37" i="9" s="1"/>
  <c r="O37" i="9" a="1"/>
  <c r="O37" i="9" s="1"/>
  <c r="N37" i="9" a="1"/>
  <c r="N37" i="9" s="1"/>
  <c r="M37" i="9" a="1"/>
  <c r="M37" i="9" s="1"/>
  <c r="H37" i="9" a="1"/>
  <c r="H37" i="9" s="1"/>
  <c r="O35" i="9" a="1"/>
  <c r="O35" i="9" s="1"/>
  <c r="N35" i="9" a="1"/>
  <c r="N35" i="9" s="1"/>
  <c r="M35" i="9" a="1"/>
  <c r="M35" i="9" s="1"/>
  <c r="L35" i="9" a="1"/>
  <c r="L35" i="9" s="1"/>
  <c r="K35" i="9" a="1"/>
  <c r="K35" i="9" s="1"/>
  <c r="J35" i="9" a="1"/>
  <c r="J35" i="9" s="1"/>
  <c r="I35" i="9" a="1"/>
  <c r="I35" i="9" s="1"/>
  <c r="H35" i="9" a="1"/>
  <c r="H35" i="9" s="1"/>
  <c r="G35" i="9" a="1"/>
  <c r="G35" i="9" s="1"/>
  <c r="F35" i="9" a="1"/>
  <c r="F35" i="9" s="1"/>
  <c r="E35" i="9" a="1"/>
  <c r="E35" i="9" s="1"/>
  <c r="D35" i="9" a="1"/>
  <c r="D35" i="9" s="1"/>
  <c r="O31" i="9" a="1"/>
  <c r="O31" i="9" s="1"/>
  <c r="N31" i="9" a="1"/>
  <c r="N31" i="9" s="1"/>
  <c r="M31" i="9" a="1"/>
  <c r="M31" i="9" s="1"/>
  <c r="L31" i="9" a="1"/>
  <c r="L31" i="9" s="1"/>
  <c r="K31" i="9" a="1"/>
  <c r="K31" i="9" s="1"/>
  <c r="J31" i="9" a="1"/>
  <c r="J31" i="9" s="1"/>
  <c r="I31" i="9" a="1"/>
  <c r="I31" i="9" s="1"/>
  <c r="H31" i="9" a="1"/>
  <c r="H31" i="9" s="1"/>
  <c r="D31" i="9" a="1"/>
  <c r="D31" i="9" s="1"/>
  <c r="G31" i="9" a="1"/>
  <c r="G31" i="9" s="1"/>
  <c r="E31" i="9" a="1"/>
  <c r="E31" i="9" s="1"/>
  <c r="F31" i="9" a="1"/>
  <c r="F31" i="9" s="1"/>
  <c r="D19" i="9" a="1"/>
  <c r="D19" i="9" s="1"/>
  <c r="O19" i="9" a="1"/>
  <c r="O19" i="9" s="1"/>
  <c r="N19" i="9" a="1"/>
  <c r="N19" i="9" s="1"/>
  <c r="M19" i="9" a="1"/>
  <c r="M19" i="9" s="1"/>
  <c r="G19" i="9" a="1"/>
  <c r="G19" i="9" s="1"/>
  <c r="L19" i="9" a="1"/>
  <c r="L19" i="9" s="1"/>
  <c r="F19" i="9" a="1"/>
  <c r="F19" i="9" s="1"/>
  <c r="K19" i="9" a="1"/>
  <c r="K19" i="9" s="1"/>
  <c r="J19" i="9" a="1"/>
  <c r="J19" i="9" s="1"/>
  <c r="E19" i="9" a="1"/>
  <c r="E19" i="9" s="1"/>
  <c r="I19" i="9" a="1"/>
  <c r="I19" i="9" s="1"/>
  <c r="H19" i="9" a="1"/>
  <c r="H19" i="9" s="1"/>
  <c r="F32" i="9" a="1"/>
  <c r="F32" i="9" s="1"/>
  <c r="E32" i="9" a="1"/>
  <c r="E32" i="9" s="1"/>
  <c r="O32" i="9" a="1"/>
  <c r="O32" i="9" s="1"/>
  <c r="N32" i="9" a="1"/>
  <c r="N32" i="9" s="1"/>
  <c r="M32" i="9" a="1"/>
  <c r="M32" i="9" s="1"/>
  <c r="H32" i="9" a="1"/>
  <c r="H32" i="9" s="1"/>
  <c r="L32" i="9" a="1"/>
  <c r="L32" i="9" s="1"/>
  <c r="K32" i="9" a="1"/>
  <c r="K32" i="9" s="1"/>
  <c r="J32" i="9" a="1"/>
  <c r="J32" i="9" s="1"/>
  <c r="G32" i="9" a="1"/>
  <c r="G32" i="9" s="1"/>
  <c r="D32" i="9" a="1"/>
  <c r="D32" i="9" s="1"/>
  <c r="I32" i="9" a="1"/>
  <c r="I32" i="9" s="1"/>
  <c r="G28" i="9" a="1"/>
  <c r="G28" i="9" s="1"/>
  <c r="F28" i="9" a="1"/>
  <c r="F28" i="9" s="1"/>
  <c r="E28" i="9" a="1"/>
  <c r="E28" i="9" s="1"/>
  <c r="D28" i="9" a="1"/>
  <c r="D28" i="9" s="1"/>
  <c r="O28" i="9" a="1"/>
  <c r="O28" i="9" s="1"/>
  <c r="N28" i="9" a="1"/>
  <c r="N28" i="9" s="1"/>
  <c r="H28" i="9" a="1"/>
  <c r="H28" i="9" s="1"/>
  <c r="M28" i="9" a="1"/>
  <c r="M28" i="9" s="1"/>
  <c r="I28" i="9" a="1"/>
  <c r="I28" i="9" s="1"/>
  <c r="L28" i="9" a="1"/>
  <c r="L28" i="9" s="1"/>
  <c r="K28" i="9" a="1"/>
  <c r="K28" i="9" s="1"/>
  <c r="J28" i="9" a="1"/>
  <c r="J28" i="9" s="1"/>
  <c r="J45" i="9" a="1"/>
  <c r="J45" i="9" s="1"/>
  <c r="I45" i="9" a="1"/>
  <c r="I45" i="9" s="1"/>
  <c r="H45" i="9" a="1"/>
  <c r="H45" i="9" s="1"/>
  <c r="G45" i="9" a="1"/>
  <c r="G45" i="9" s="1"/>
  <c r="F45" i="9" a="1"/>
  <c r="F45" i="9" s="1"/>
  <c r="E45" i="9" a="1"/>
  <c r="E45" i="9" s="1"/>
  <c r="D45" i="9" a="1"/>
  <c r="D45" i="9" s="1"/>
  <c r="K45" i="9" a="1"/>
  <c r="K45" i="9" s="1"/>
  <c r="O45" i="9" a="1"/>
  <c r="O45" i="9" s="1"/>
  <c r="N45" i="9" a="1"/>
  <c r="N45" i="9" s="1"/>
  <c r="M45" i="9" a="1"/>
  <c r="M45" i="9" s="1"/>
  <c r="L45" i="9" a="1"/>
  <c r="L45" i="9" s="1"/>
  <c r="F36" i="9" a="1"/>
  <c r="F36" i="9" s="1"/>
  <c r="E36" i="9" a="1"/>
  <c r="E36" i="9" s="1"/>
  <c r="O36" i="9" a="1"/>
  <c r="O36" i="9" s="1"/>
  <c r="N36" i="9" a="1"/>
  <c r="N36" i="9" s="1"/>
  <c r="G36" i="9" a="1"/>
  <c r="G36" i="9" s="1"/>
  <c r="M36" i="9" a="1"/>
  <c r="M36" i="9" s="1"/>
  <c r="L36" i="9" a="1"/>
  <c r="L36" i="9" s="1"/>
  <c r="H36" i="9" a="1"/>
  <c r="H36" i="9" s="1"/>
  <c r="D36" i="9" a="1"/>
  <c r="D36" i="9" s="1"/>
  <c r="K36" i="9" a="1"/>
  <c r="K36" i="9" s="1"/>
  <c r="J36" i="9" a="1"/>
  <c r="J36" i="9" s="1"/>
  <c r="I36" i="9" a="1"/>
  <c r="I36" i="9" s="1"/>
  <c r="K29" i="9" a="1"/>
  <c r="K29" i="9" s="1"/>
  <c r="J29" i="9" a="1"/>
  <c r="J29" i="9" s="1"/>
  <c r="I29" i="9" a="1"/>
  <c r="I29" i="9" s="1"/>
  <c r="H29" i="9" a="1"/>
  <c r="H29" i="9" s="1"/>
  <c r="G29" i="9" a="1"/>
  <c r="G29" i="9" s="1"/>
  <c r="F29" i="9" a="1"/>
  <c r="F29" i="9" s="1"/>
  <c r="M29" i="9" a="1"/>
  <c r="M29" i="9" s="1"/>
  <c r="E29" i="9" a="1"/>
  <c r="E29" i="9" s="1"/>
  <c r="D29" i="9" a="1"/>
  <c r="D29" i="9" s="1"/>
  <c r="L29" i="9" a="1"/>
  <c r="L29" i="9" s="1"/>
  <c r="O29" i="9" a="1"/>
  <c r="O29" i="9" s="1"/>
  <c r="N29" i="9" a="1"/>
  <c r="N29" i="9" s="1"/>
  <c r="O43" i="9" a="1"/>
  <c r="O43" i="9" s="1"/>
  <c r="N43" i="9" a="1"/>
  <c r="N43" i="9" s="1"/>
  <c r="M43" i="9" a="1"/>
  <c r="M43" i="9" s="1"/>
  <c r="L43" i="9" a="1"/>
  <c r="L43" i="9" s="1"/>
  <c r="K43" i="9" a="1"/>
  <c r="K43" i="9" s="1"/>
  <c r="J43" i="9" a="1"/>
  <c r="J43" i="9" s="1"/>
  <c r="I43" i="9" a="1"/>
  <c r="I43" i="9" s="1"/>
  <c r="H43" i="9" a="1"/>
  <c r="H43" i="9" s="1"/>
  <c r="G43" i="9" a="1"/>
  <c r="G43" i="9" s="1"/>
  <c r="D43" i="9" a="1"/>
  <c r="D43" i="9" s="1"/>
  <c r="F43" i="9" a="1"/>
  <c r="F43" i="9" s="1"/>
  <c r="E43" i="9" a="1"/>
  <c r="E43" i="9" s="1"/>
  <c r="M22" i="9" a="1"/>
  <c r="M22" i="9" s="1"/>
  <c r="L22" i="9" a="1"/>
  <c r="L22" i="9" s="1"/>
  <c r="K22" i="9" a="1"/>
  <c r="K22" i="9" s="1"/>
  <c r="J22" i="9" a="1"/>
  <c r="J22" i="9" s="1"/>
  <c r="O22" i="9" a="1"/>
  <c r="O22" i="9" s="1"/>
  <c r="I22" i="9" a="1"/>
  <c r="I22" i="9" s="1"/>
  <c r="G22" i="9" a="1"/>
  <c r="G22" i="9" s="1"/>
  <c r="H22" i="9" a="1"/>
  <c r="H22" i="9" s="1"/>
  <c r="F22" i="9" a="1"/>
  <c r="F22" i="9" s="1"/>
  <c r="E22" i="9" a="1"/>
  <c r="E22" i="9" s="1"/>
  <c r="N22" i="9" a="1"/>
  <c r="N22" i="9" s="1"/>
  <c r="D22" i="9" a="1"/>
  <c r="D22" i="9" s="1"/>
  <c r="M46" i="9" a="1"/>
  <c r="M46" i="9" s="1"/>
  <c r="L46" i="9" a="1"/>
  <c r="L46" i="9" s="1"/>
  <c r="K46" i="9" a="1"/>
  <c r="K46" i="9" s="1"/>
  <c r="J46" i="9" a="1"/>
  <c r="J46" i="9" s="1"/>
  <c r="I46" i="9" a="1"/>
  <c r="I46" i="9" s="1"/>
  <c r="H46" i="9" a="1"/>
  <c r="H46" i="9" s="1"/>
  <c r="G46" i="9" a="1"/>
  <c r="G46" i="9" s="1"/>
  <c r="F46" i="9" a="1"/>
  <c r="F46" i="9" s="1"/>
  <c r="E46" i="9" a="1"/>
  <c r="E46" i="9" s="1"/>
  <c r="D46" i="9" a="1"/>
  <c r="D46" i="9" s="1"/>
  <c r="O46" i="9" a="1"/>
  <c r="O46" i="9" s="1"/>
  <c r="N46" i="9" a="1"/>
  <c r="N46" i="9" s="1"/>
  <c r="D23" i="9" a="1"/>
  <c r="D23" i="9" s="1"/>
  <c r="O23" i="9" a="1"/>
  <c r="O23" i="9" s="1"/>
  <c r="F23" i="9" a="1"/>
  <c r="F23" i="9" s="1"/>
  <c r="N23" i="9" a="1"/>
  <c r="N23" i="9" s="1"/>
  <c r="M23" i="9" a="1"/>
  <c r="M23" i="9" s="1"/>
  <c r="L23" i="9" a="1"/>
  <c r="L23" i="9" s="1"/>
  <c r="E23" i="9" a="1"/>
  <c r="E23" i="9" s="1"/>
  <c r="K23" i="9" a="1"/>
  <c r="K23" i="9" s="1"/>
  <c r="J23" i="9" a="1"/>
  <c r="J23" i="9" s="1"/>
  <c r="I23" i="9" a="1"/>
  <c r="I23" i="9" s="1"/>
  <c r="H23" i="9" a="1"/>
  <c r="H23" i="9" s="1"/>
  <c r="G23" i="9" a="1"/>
  <c r="G23" i="9" s="1"/>
  <c r="N34" i="9" a="1"/>
  <c r="N34" i="9" s="1"/>
  <c r="M34" i="9" a="1"/>
  <c r="M34" i="9" s="1"/>
  <c r="K34" i="9" a="1"/>
  <c r="K34" i="9" s="1"/>
  <c r="J34" i="9" a="1"/>
  <c r="J34" i="9" s="1"/>
  <c r="L34" i="9" a="1"/>
  <c r="L34" i="9" s="1"/>
  <c r="I34" i="9" a="1"/>
  <c r="I34" i="9" s="1"/>
  <c r="H34" i="9" a="1"/>
  <c r="H34" i="9" s="1"/>
  <c r="G34" i="9" a="1"/>
  <c r="G34" i="9" s="1"/>
  <c r="F34" i="9" a="1"/>
  <c r="F34" i="9" s="1"/>
  <c r="E34" i="9" a="1"/>
  <c r="E34" i="9" s="1"/>
  <c r="D34" i="9" a="1"/>
  <c r="D34" i="9" s="1"/>
  <c r="O34" i="9" a="1"/>
  <c r="O34" i="9" s="1"/>
  <c r="O47" i="9" a="1"/>
  <c r="O47" i="9" s="1"/>
  <c r="N47" i="9" a="1"/>
  <c r="N47" i="9" s="1"/>
  <c r="M47" i="9" a="1"/>
  <c r="M47" i="9" s="1"/>
  <c r="L47" i="9" a="1"/>
  <c r="L47" i="9" s="1"/>
  <c r="K47" i="9" a="1"/>
  <c r="K47" i="9" s="1"/>
  <c r="J47" i="9" a="1"/>
  <c r="J47" i="9" s="1"/>
  <c r="I47" i="9" a="1"/>
  <c r="I47" i="9" s="1"/>
  <c r="H47" i="9" a="1"/>
  <c r="H47" i="9" s="1"/>
  <c r="G47" i="9" a="1"/>
  <c r="G47" i="9" s="1"/>
  <c r="F47" i="9" a="1"/>
  <c r="F47" i="9" s="1"/>
  <c r="E47" i="9" a="1"/>
  <c r="E47" i="9" s="1"/>
  <c r="D47" i="9" a="1"/>
  <c r="D47" i="9" s="1"/>
  <c r="H20" i="9" a="1"/>
  <c r="H20" i="9" s="1"/>
  <c r="E20" i="9" a="1"/>
  <c r="E20" i="9" s="1"/>
  <c r="D20" i="9" a="1"/>
  <c r="D20" i="9" s="1"/>
  <c r="J20" i="9" a="1"/>
  <c r="J20" i="9" s="1"/>
  <c r="O20" i="9" a="1"/>
  <c r="O20" i="9" s="1"/>
  <c r="N20" i="9" a="1"/>
  <c r="N20" i="9" s="1"/>
  <c r="M20" i="9" a="1"/>
  <c r="M20" i="9" s="1"/>
  <c r="G20" i="9" a="1"/>
  <c r="G20" i="9" s="1"/>
  <c r="L20" i="9" a="1"/>
  <c r="L20" i="9" s="1"/>
  <c r="K20" i="9" a="1"/>
  <c r="K20" i="9" s="1"/>
  <c r="I20" i="9" a="1"/>
  <c r="I20" i="9" s="1"/>
  <c r="F20" i="9" a="1"/>
  <c r="F20" i="9" s="1"/>
  <c r="O26" i="9" a="1"/>
  <c r="O26" i="9" s="1"/>
  <c r="M26" i="9" a="1"/>
  <c r="M26" i="9" s="1"/>
  <c r="L26" i="9" a="1"/>
  <c r="L26" i="9" s="1"/>
  <c r="K26" i="9" a="1"/>
  <c r="K26" i="9" s="1"/>
  <c r="J26" i="9" a="1"/>
  <c r="J26" i="9" s="1"/>
  <c r="I26" i="9" a="1"/>
  <c r="I26" i="9" s="1"/>
  <c r="H26" i="9" a="1"/>
  <c r="H26" i="9" s="1"/>
  <c r="G26" i="9" a="1"/>
  <c r="G26" i="9" s="1"/>
  <c r="F26" i="9" a="1"/>
  <c r="F26" i="9" s="1"/>
  <c r="E26" i="9" a="1"/>
  <c r="E26" i="9" s="1"/>
  <c r="D26" i="9" a="1"/>
  <c r="D26" i="9" s="1"/>
  <c r="N26" i="9" a="1"/>
  <c r="N26" i="9" s="1"/>
  <c r="L21" i="9" a="1"/>
  <c r="L21" i="9" s="1"/>
  <c r="I21" i="9" a="1"/>
  <c r="I21" i="9" s="1"/>
  <c r="H21" i="9" a="1"/>
  <c r="H21" i="9" s="1"/>
  <c r="G21" i="9" a="1"/>
  <c r="G21" i="9" s="1"/>
  <c r="F21" i="9" a="1"/>
  <c r="F21" i="9" s="1"/>
  <c r="M21" i="9" a="1"/>
  <c r="M21" i="9" s="1"/>
  <c r="E21" i="9" a="1"/>
  <c r="E21" i="9" s="1"/>
  <c r="D21" i="9" a="1"/>
  <c r="D21" i="9" s="1"/>
  <c r="K21" i="9" a="1"/>
  <c r="K21" i="9" s="1"/>
  <c r="O21" i="9" a="1"/>
  <c r="O21" i="9" s="1"/>
  <c r="N21" i="9" a="1"/>
  <c r="N21" i="9" s="1"/>
  <c r="J21" i="9" a="1"/>
  <c r="J21" i="9" s="1"/>
  <c r="N38" i="9" a="1"/>
  <c r="N38" i="9" s="1"/>
  <c r="M38" i="9" a="1"/>
  <c r="M38" i="9" s="1"/>
  <c r="K38" i="9" a="1"/>
  <c r="K38" i="9" s="1"/>
  <c r="J38" i="9" a="1"/>
  <c r="J38" i="9" s="1"/>
  <c r="I38" i="9" a="1"/>
  <c r="I38" i="9" s="1"/>
  <c r="O38" i="9" a="1"/>
  <c r="O38" i="9" s="1"/>
  <c r="H38" i="9" a="1"/>
  <c r="H38" i="9" s="1"/>
  <c r="L38" i="9" a="1"/>
  <c r="L38" i="9" s="1"/>
  <c r="G38" i="9" a="1"/>
  <c r="G38" i="9" s="1"/>
  <c r="F38" i="9" a="1"/>
  <c r="F38" i="9" s="1"/>
  <c r="E38" i="9" a="1"/>
  <c r="E38" i="9" s="1"/>
  <c r="D38" i="9" a="1"/>
  <c r="D38" i="9" s="1"/>
  <c r="H317" i="15"/>
  <c r="AP11" i="22" s="1"/>
  <c r="D317" i="15"/>
  <c r="AL11" i="22" s="1"/>
  <c r="I173" i="15"/>
  <c r="I17" i="15" s="1"/>
  <c r="H15" i="22" s="1"/>
  <c r="E170" i="15"/>
  <c r="E21" i="15" s="1"/>
  <c r="D19" i="22" s="1"/>
  <c r="G173" i="15"/>
  <c r="G17" i="15" s="1"/>
  <c r="F15" i="22" s="1"/>
  <c r="E173" i="15"/>
  <c r="E17" i="15" s="1"/>
  <c r="D15" i="22" s="1"/>
  <c r="F173" i="15"/>
  <c r="F17" i="15" s="1"/>
  <c r="E15" i="22" s="1"/>
  <c r="I158" i="15"/>
  <c r="G153" i="15"/>
  <c r="G121" i="15"/>
  <c r="E138" i="15"/>
  <c r="I150" i="15"/>
  <c r="E158" i="15"/>
  <c r="G150" i="15"/>
  <c r="I146" i="15"/>
  <c r="G162" i="15"/>
  <c r="G158" i="15"/>
  <c r="G138" i="15"/>
  <c r="F150" i="15"/>
  <c r="E150" i="15"/>
  <c r="I130" i="15"/>
  <c r="G146" i="15"/>
  <c r="I138" i="15"/>
  <c r="F158" i="15"/>
  <c r="F130" i="15"/>
  <c r="F146" i="15"/>
  <c r="E162" i="15"/>
  <c r="G130" i="15"/>
  <c r="F153" i="15"/>
  <c r="E153" i="15"/>
  <c r="I121" i="15"/>
  <c r="E130" i="15"/>
  <c r="F121" i="15"/>
  <c r="F138" i="15"/>
  <c r="I153" i="15"/>
  <c r="I162" i="15"/>
  <c r="F162" i="15"/>
  <c r="E146" i="15"/>
  <c r="E121" i="15"/>
  <c r="F108" i="15"/>
  <c r="O121" i="12"/>
  <c r="D223" i="15"/>
  <c r="D227" i="15"/>
  <c r="D163" i="4" s="1"/>
  <c r="D113" i="15"/>
  <c r="M121" i="12"/>
  <c r="P121" i="12"/>
  <c r="E227" i="15"/>
  <c r="E163" i="4" s="1"/>
  <c r="E218" i="15"/>
  <c r="E162" i="4" s="1"/>
  <c r="E223" i="15"/>
  <c r="G227" i="15"/>
  <c r="G163" i="4" s="1"/>
  <c r="G218" i="15"/>
  <c r="G162" i="4" s="1"/>
  <c r="G223" i="15"/>
  <c r="F227" i="15"/>
  <c r="F163" i="4" s="1"/>
  <c r="F223" i="15"/>
  <c r="F218" i="15"/>
  <c r="F162" i="4" s="1"/>
  <c r="F170" i="15"/>
  <c r="F21" i="15" s="1"/>
  <c r="E19" i="22" s="1"/>
  <c r="E5" i="22"/>
  <c r="F180" i="15"/>
  <c r="F319" i="15" s="1"/>
  <c r="AN13" i="22" s="1"/>
  <c r="H108" i="15"/>
  <c r="H113" i="15"/>
  <c r="G108" i="15"/>
  <c r="G113" i="15"/>
  <c r="G313" i="15"/>
  <c r="AO7" i="22" s="1"/>
  <c r="G178" i="15"/>
  <c r="H192" i="15"/>
  <c r="H227" i="15" s="1"/>
  <c r="H163" i="4" s="1"/>
  <c r="F313" i="15"/>
  <c r="AN7" i="22" s="1"/>
  <c r="R95" i="12"/>
  <c r="I192" i="15" s="1"/>
  <c r="I82" i="15"/>
  <c r="I113" i="15" s="1"/>
  <c r="J85" i="12"/>
  <c r="D313" i="15"/>
  <c r="AL7" i="22" s="1"/>
  <c r="E109" i="15"/>
  <c r="G310" i="15"/>
  <c r="AO4" i="22" s="1"/>
  <c r="F5" i="22"/>
  <c r="I189" i="15"/>
  <c r="E8" i="15"/>
  <c r="D6" i="22" s="1"/>
  <c r="E311" i="15"/>
  <c r="AM5" i="22" s="1"/>
  <c r="G180" i="15"/>
  <c r="G319" i="15" s="1"/>
  <c r="AO13" i="22" s="1"/>
  <c r="I310" i="15"/>
  <c r="AQ4" i="22" s="1"/>
  <c r="H5" i="22"/>
  <c r="E9" i="15"/>
  <c r="D7" i="22" s="1"/>
  <c r="D5" i="22"/>
  <c r="E310" i="15"/>
  <c r="AM4" i="22" s="1"/>
  <c r="E180" i="15"/>
  <c r="E319" i="15" s="1"/>
  <c r="AM13" i="22" s="1"/>
  <c r="I178" i="15"/>
  <c r="E178" i="15"/>
  <c r="I180" i="15"/>
  <c r="I319" i="15" s="1"/>
  <c r="AQ13" i="22" s="1"/>
  <c r="I170" i="15"/>
  <c r="I21" i="15" s="1"/>
  <c r="H19" i="22" s="1"/>
  <c r="G170" i="15"/>
  <c r="G21" i="15" s="1"/>
  <c r="F19" i="22" s="1"/>
  <c r="H313" i="15"/>
  <c r="AP7" i="22" s="1"/>
  <c r="G289" i="15" l="1"/>
  <c r="F289" i="15"/>
  <c r="R85" i="12"/>
  <c r="I143" i="4"/>
  <c r="I254" i="15" s="1"/>
  <c r="I142" i="4"/>
  <c r="I253" i="15" s="1"/>
  <c r="I124" i="4"/>
  <c r="I235" i="15" s="1"/>
  <c r="I146" i="4"/>
  <c r="I257" i="15" s="1"/>
  <c r="D283" i="15"/>
  <c r="D288" i="15"/>
  <c r="P39" i="9"/>
  <c r="P38" i="9"/>
  <c r="P30" i="9"/>
  <c r="P42" i="9"/>
  <c r="P41" i="9"/>
  <c r="P24" i="9"/>
  <c r="P44" i="9"/>
  <c r="P23" i="9"/>
  <c r="P31" i="9"/>
  <c r="P28" i="9"/>
  <c r="P36" i="9"/>
  <c r="P26" i="9"/>
  <c r="P32" i="9"/>
  <c r="P33" i="9"/>
  <c r="P25" i="9"/>
  <c r="P29" i="9"/>
  <c r="P27" i="9"/>
  <c r="P35" i="9"/>
  <c r="P34" i="9"/>
  <c r="P43" i="9"/>
  <c r="P37" i="9"/>
  <c r="P40" i="9"/>
  <c r="I317" i="15"/>
  <c r="AQ11" i="22" s="1"/>
  <c r="E317" i="15"/>
  <c r="AM11" i="22" s="1"/>
  <c r="G317" i="15"/>
  <c r="AO11" i="22" s="1"/>
  <c r="D274" i="15"/>
  <c r="D294" i="15" s="1"/>
  <c r="G9" i="15"/>
  <c r="F7" i="22" s="1"/>
  <c r="H9" i="15"/>
  <c r="G7" i="22" s="1"/>
  <c r="H223" i="15"/>
  <c r="H218" i="15"/>
  <c r="H162" i="4" s="1"/>
  <c r="H311" i="15"/>
  <c r="AP5" i="22" s="1"/>
  <c r="R121" i="12"/>
  <c r="H8" i="15"/>
  <c r="G6" i="22" s="1"/>
  <c r="I223" i="15"/>
  <c r="I227" i="15"/>
  <c r="I163" i="4" s="1"/>
  <c r="I218" i="15"/>
  <c r="I162" i="4" s="1"/>
  <c r="I108" i="15"/>
  <c r="G109" i="15"/>
  <c r="G8" i="15"/>
  <c r="F6" i="22" s="1"/>
  <c r="G311" i="15"/>
  <c r="AO5" i="22" s="1"/>
  <c r="H109" i="15"/>
  <c r="I313" i="15"/>
  <c r="AQ7" i="22" s="1"/>
  <c r="F219" i="15"/>
  <c r="G219" i="15"/>
  <c r="F228" i="15"/>
  <c r="G228" i="15"/>
  <c r="F311" i="15"/>
  <c r="AN5" i="22" s="1"/>
  <c r="F8" i="15"/>
  <c r="E6" i="22" s="1"/>
  <c r="F109" i="15"/>
  <c r="F9" i="15"/>
  <c r="E7" i="22" s="1"/>
  <c r="E219" i="15"/>
  <c r="D311" i="15"/>
  <c r="AL5" i="22" s="1"/>
  <c r="D8" i="15"/>
  <c r="C6" i="22" s="1"/>
  <c r="D9" i="15"/>
  <c r="C7" i="22" s="1"/>
  <c r="E312" i="15"/>
  <c r="AM6" i="22" s="1"/>
  <c r="E228" i="15"/>
  <c r="D273" i="15"/>
  <c r="I289" i="15" l="1"/>
  <c r="D26" i="15"/>
  <c r="D325" i="15"/>
  <c r="AL19" i="22" s="1"/>
  <c r="D293" i="15"/>
  <c r="D280" i="15"/>
  <c r="D275" i="15"/>
  <c r="G273" i="15"/>
  <c r="F273" i="15"/>
  <c r="G274" i="15"/>
  <c r="G294" i="15" s="1"/>
  <c r="F274" i="15"/>
  <c r="F294" i="15" s="1"/>
  <c r="H312" i="15"/>
  <c r="AP6" i="22" s="1"/>
  <c r="G312" i="15"/>
  <c r="AO6" i="22" s="1"/>
  <c r="E274" i="15"/>
  <c r="F312" i="15"/>
  <c r="AN6" i="22" s="1"/>
  <c r="H219" i="15"/>
  <c r="I228" i="15"/>
  <c r="I219" i="15"/>
  <c r="H228" i="15"/>
  <c r="D312" i="15"/>
  <c r="AL6" i="22" s="1"/>
  <c r="E273" i="15"/>
  <c r="I8" i="15"/>
  <c r="H6" i="22" s="1"/>
  <c r="I109" i="15"/>
  <c r="I311" i="15"/>
  <c r="AQ5" i="22" s="1"/>
  <c r="I9" i="15"/>
  <c r="H7" i="22" s="1"/>
  <c r="D91" i="9" l="1" a="1"/>
  <c r="D91" i="9" s="1"/>
  <c r="E91" i="9" a="1"/>
  <c r="E91" i="9" s="1"/>
  <c r="F91" i="9" a="1"/>
  <c r="F91" i="9" s="1"/>
  <c r="G91" i="9" a="1"/>
  <c r="G91" i="9" s="1"/>
  <c r="H91" i="9" a="1"/>
  <c r="H91" i="9" s="1"/>
  <c r="I91" i="9" a="1"/>
  <c r="I91" i="9" s="1"/>
  <c r="J91" i="9" a="1"/>
  <c r="J91" i="9" s="1"/>
  <c r="K91" i="9" a="1"/>
  <c r="K91" i="9" s="1"/>
  <c r="L91" i="9" a="1"/>
  <c r="L91" i="9" s="1"/>
  <c r="M91" i="9" a="1"/>
  <c r="M91" i="9" s="1"/>
  <c r="N91" i="9" a="1"/>
  <c r="N91" i="9" s="1"/>
  <c r="O91" i="9" a="1"/>
  <c r="O91" i="9" s="1"/>
  <c r="E294" i="15"/>
  <c r="E92" i="9" a="1"/>
  <c r="E92" i="9" s="1"/>
  <c r="F92" i="9" a="1"/>
  <c r="F92" i="9" s="1"/>
  <c r="G92" i="9" a="1"/>
  <c r="G92" i="9" s="1"/>
  <c r="H92" i="9" a="1"/>
  <c r="H92" i="9" s="1"/>
  <c r="I92" i="9" a="1"/>
  <c r="I92" i="9" s="1"/>
  <c r="J92" i="9" a="1"/>
  <c r="J92" i="9" s="1"/>
  <c r="K92" i="9" a="1"/>
  <c r="K92" i="9" s="1"/>
  <c r="L92" i="9" a="1"/>
  <c r="L92" i="9" s="1"/>
  <c r="M92" i="9" a="1"/>
  <c r="M92" i="9" s="1"/>
  <c r="N92" i="9" a="1"/>
  <c r="N92" i="9" s="1"/>
  <c r="O92" i="9" a="1"/>
  <c r="O92" i="9" s="1"/>
  <c r="D92" i="9" a="1"/>
  <c r="D92" i="9" s="1"/>
  <c r="D25" i="15"/>
  <c r="D322" i="15"/>
  <c r="AL16" i="22" s="1"/>
  <c r="E293" i="15"/>
  <c r="E280" i="15"/>
  <c r="E322" i="15" s="1"/>
  <c r="AM16" i="22" s="1"/>
  <c r="F293" i="15"/>
  <c r="F280" i="15"/>
  <c r="F322" i="15" s="1"/>
  <c r="AN16" i="22" s="1"/>
  <c r="G293" i="15"/>
  <c r="G280" i="15"/>
  <c r="G322" i="15" s="1"/>
  <c r="AO16" i="22" s="1"/>
  <c r="D276" i="15"/>
  <c r="D23" i="15"/>
  <c r="B28" i="10" s="1"/>
  <c r="I274" i="15"/>
  <c r="I294" i="15" s="1"/>
  <c r="H273" i="15"/>
  <c r="I273" i="15"/>
  <c r="H274" i="15"/>
  <c r="H294" i="15" s="1"/>
  <c r="I312" i="15"/>
  <c r="AQ6" i="22" s="1"/>
  <c r="P92" i="9" l="1"/>
  <c r="E25" i="15"/>
  <c r="D23" i="22" s="1"/>
  <c r="P91" i="9"/>
  <c r="H293" i="15"/>
  <c r="H280" i="15"/>
  <c r="H322" i="15" s="1"/>
  <c r="AP16" i="22" s="1"/>
  <c r="I293" i="15"/>
  <c r="I280" i="15"/>
  <c r="I322" i="15" s="1"/>
  <c r="AQ16" i="22" s="1"/>
  <c r="E121" i="12" l="1"/>
  <c r="F121" i="12"/>
  <c r="G121" i="12"/>
  <c r="H121" i="12"/>
  <c r="I121" i="12"/>
  <c r="J121" i="12"/>
  <c r="L93" i="9" l="1" a="1"/>
  <c r="L93" i="9" s="1"/>
  <c r="J93" i="9" l="1" a="1"/>
  <c r="J93" i="9" s="1"/>
  <c r="K93" i="9" a="1"/>
  <c r="K93" i="9" s="1"/>
  <c r="I93" i="9" a="1"/>
  <c r="I93" i="9" s="1"/>
  <c r="O93" i="9" a="1"/>
  <c r="O93" i="9" s="1"/>
  <c r="G93" i="9" a="1"/>
  <c r="G93" i="9" s="1"/>
  <c r="N93" i="9" a="1"/>
  <c r="N93" i="9" s="1"/>
  <c r="F93" i="9" a="1"/>
  <c r="F93" i="9" s="1"/>
  <c r="H93" i="9" a="1"/>
  <c r="H93" i="9" s="1"/>
  <c r="M93" i="9" a="1"/>
  <c r="M93" i="9" s="1"/>
  <c r="E93" i="9" a="1"/>
  <c r="E93" i="9" s="1"/>
  <c r="P86" i="9" l="1"/>
  <c r="P93" i="9"/>
  <c r="P90" i="9"/>
  <c r="P70" i="9"/>
  <c r="P57" i="9"/>
  <c r="P67" i="9"/>
  <c r="P54" i="9"/>
  <c r="P80" i="9"/>
  <c r="P74" i="9"/>
  <c r="P77" i="9"/>
  <c r="P64" i="9"/>
  <c r="P58" i="9"/>
  <c r="P61" i="9"/>
  <c r="P46" i="9"/>
  <c r="P20" i="9"/>
  <c r="P71" i="9"/>
  <c r="P81" i="9"/>
  <c r="P68" i="9"/>
  <c r="P55" i="9"/>
  <c r="P65" i="9"/>
  <c r="P18" i="9"/>
  <c r="P47" i="9"/>
  <c r="P87" i="9"/>
  <c r="P75" i="9"/>
  <c r="P62" i="9"/>
  <c r="P88" i="9"/>
  <c r="P76" i="9"/>
  <c r="P59" i="9"/>
  <c r="P45" i="9"/>
  <c r="P72" i="9"/>
  <c r="P21" i="9"/>
  <c r="P69" i="9"/>
  <c r="P56" i="9"/>
  <c r="P85" i="9"/>
  <c r="P82" i="9"/>
  <c r="P19" i="9"/>
  <c r="P78" i="9"/>
  <c r="P66" i="9"/>
  <c r="P16" i="9"/>
  <c r="P79" i="9"/>
  <c r="P48" i="9"/>
  <c r="P60" i="9"/>
  <c r="P63" i="9"/>
  <c r="P84" i="9"/>
  <c r="P89" i="9"/>
  <c r="P22" i="9"/>
  <c r="P73" i="9"/>
  <c r="P83" i="9"/>
  <c r="D179" i="15"/>
  <c r="E179" i="15"/>
  <c r="E318" i="15" s="1"/>
  <c r="AM12" i="22" s="1"/>
  <c r="F179" i="15"/>
  <c r="F318" i="15" s="1"/>
  <c r="AN12" i="22" s="1"/>
  <c r="G179" i="15"/>
  <c r="H179" i="15"/>
  <c r="H318" i="15" s="1"/>
  <c r="AP12" i="22" s="1"/>
  <c r="I179" i="15"/>
  <c r="I318" i="15" s="1"/>
  <c r="AQ12" i="22" s="1"/>
  <c r="G318" i="15" l="1"/>
  <c r="AO12" i="22" s="1"/>
  <c r="D318" i="15"/>
  <c r="AL12" i="22" s="1"/>
  <c r="D320" i="15" l="1"/>
  <c r="AL14" i="22" s="1"/>
  <c r="D121" i="15"/>
  <c r="I123" i="15" l="1" a="1"/>
  <c r="I123" i="15" s="1"/>
  <c r="I177" i="15" s="1"/>
  <c r="I123" i="4" s="1"/>
  <c r="I122" i="4" l="1"/>
  <c r="I233" i="15" s="1"/>
  <c r="I234" i="15"/>
  <c r="I316" i="15"/>
  <c r="AQ10" i="22" s="1"/>
  <c r="I126" i="15"/>
  <c r="I164" i="15" s="1"/>
  <c r="I16" i="15" s="1"/>
  <c r="G34" i="10" s="1"/>
  <c r="I169" i="15"/>
  <c r="I20" i="15" l="1"/>
  <c r="H18" i="22" s="1"/>
  <c r="I288" i="15"/>
  <c r="I283" i="15"/>
  <c r="I325" i="15" s="1"/>
  <c r="AQ19" i="22" s="1"/>
  <c r="I275" i="15"/>
  <c r="I320" i="15"/>
  <c r="AQ14" i="22" s="1"/>
  <c r="I19" i="15"/>
  <c r="H17" i="22" s="1"/>
  <c r="H14" i="22"/>
  <c r="E123" i="15" a="1"/>
  <c r="E123" i="15" s="1"/>
  <c r="F123" i="15" a="1"/>
  <c r="F123" i="15" s="1"/>
  <c r="F177" i="15" s="1"/>
  <c r="F123" i="4" s="1"/>
  <c r="G123" i="15" a="1"/>
  <c r="G123" i="15" s="1"/>
  <c r="G177" i="15" s="1"/>
  <c r="G123" i="4" s="1"/>
  <c r="H123" i="15" a="1"/>
  <c r="H123" i="15" s="1"/>
  <c r="H177" i="15" s="1"/>
  <c r="H123" i="4" s="1"/>
  <c r="I296" i="15" l="1"/>
  <c r="I23" i="15"/>
  <c r="H122" i="4"/>
  <c r="H233" i="15" s="1"/>
  <c r="H234" i="15"/>
  <c r="F122" i="4"/>
  <c r="F233" i="15" s="1"/>
  <c r="F234" i="15"/>
  <c r="G122" i="4"/>
  <c r="G233" i="15" s="1"/>
  <c r="G234" i="15"/>
  <c r="E177" i="15"/>
  <c r="L17" i="9" a="1"/>
  <c r="L17" i="9" s="1"/>
  <c r="L95" i="9" s="1"/>
  <c r="I17" i="9" a="1"/>
  <c r="I17" i="9" s="1"/>
  <c r="I95" i="9" s="1"/>
  <c r="H17" i="9" a="1"/>
  <c r="H17" i="9" s="1"/>
  <c r="H95" i="9" s="1"/>
  <c r="G17" i="9" a="1"/>
  <c r="G17" i="9" s="1"/>
  <c r="G95" i="9" s="1"/>
  <c r="F17" i="9" a="1"/>
  <c r="F17" i="9" s="1"/>
  <c r="F95" i="9" s="1"/>
  <c r="E17" i="9" a="1"/>
  <c r="E17" i="9" s="1"/>
  <c r="E95" i="9" s="1"/>
  <c r="D17" i="9" a="1"/>
  <c r="D17" i="9" s="1"/>
  <c r="J17" i="9" a="1"/>
  <c r="J17" i="9" s="1"/>
  <c r="J95" i="9" s="1"/>
  <c r="N17" i="9" a="1"/>
  <c r="N17" i="9" s="1"/>
  <c r="N95" i="9" s="1"/>
  <c r="K17" i="9" a="1"/>
  <c r="K17" i="9" s="1"/>
  <c r="K95" i="9" s="1"/>
  <c r="M17" i="9" a="1"/>
  <c r="M17" i="9" s="1"/>
  <c r="M95" i="9" s="1"/>
  <c r="O17" i="9" a="1"/>
  <c r="O17" i="9" s="1"/>
  <c r="O95" i="9" s="1"/>
  <c r="H316" i="15"/>
  <c r="AP10" i="22" s="1"/>
  <c r="F316" i="15"/>
  <c r="AN10" i="22" s="1"/>
  <c r="G316" i="15"/>
  <c r="AO10" i="22" s="1"/>
  <c r="H126" i="15"/>
  <c r="H164" i="15" s="1"/>
  <c r="H169" i="15"/>
  <c r="G126" i="15"/>
  <c r="G164" i="15" s="1"/>
  <c r="G16" i="15" s="1"/>
  <c r="E34" i="10" s="1"/>
  <c r="G169" i="15"/>
  <c r="F126" i="15"/>
  <c r="F164" i="15" s="1"/>
  <c r="F169" i="15"/>
  <c r="E126" i="15"/>
  <c r="E164" i="15" s="1"/>
  <c r="E16" i="15" s="1"/>
  <c r="C34" i="10" s="1"/>
  <c r="E169" i="15"/>
  <c r="I28" i="15" l="1"/>
  <c r="G28" i="10"/>
  <c r="H20" i="15"/>
  <c r="G18" i="22" s="1"/>
  <c r="G20" i="15"/>
  <c r="F18" i="22" s="1"/>
  <c r="F288" i="15"/>
  <c r="G288" i="15"/>
  <c r="H283" i="15"/>
  <c r="H325" i="15" s="1"/>
  <c r="AP19" i="22" s="1"/>
  <c r="H288" i="15"/>
  <c r="F283" i="15"/>
  <c r="F325" i="15" s="1"/>
  <c r="AN19" i="22" s="1"/>
  <c r="G283" i="15"/>
  <c r="G325" i="15" s="1"/>
  <c r="AO19" i="22" s="1"/>
  <c r="G275" i="15"/>
  <c r="F275" i="15"/>
  <c r="H275" i="15"/>
  <c r="E123" i="4"/>
  <c r="E234" i="15" s="1"/>
  <c r="E122" i="4"/>
  <c r="E233" i="15" s="1"/>
  <c r="E316" i="15"/>
  <c r="AM10" i="22" s="1"/>
  <c r="P17" i="9"/>
  <c r="P95" i="9" s="1"/>
  <c r="D95" i="9"/>
  <c r="F165" i="15"/>
  <c r="H165" i="15"/>
  <c r="G165" i="15"/>
  <c r="F16" i="15"/>
  <c r="D34" i="10" s="1"/>
  <c r="G320" i="15"/>
  <c r="AO14" i="22" s="1"/>
  <c r="F320" i="15"/>
  <c r="AN14" i="22" s="1"/>
  <c r="H16" i="15"/>
  <c r="G14" i="22" s="1"/>
  <c r="I165" i="15"/>
  <c r="H320" i="15"/>
  <c r="AP14" i="22" s="1"/>
  <c r="E30" i="15"/>
  <c r="D28" i="22" s="1"/>
  <c r="E20" i="15"/>
  <c r="D18" i="22" s="1"/>
  <c r="E29" i="15"/>
  <c r="D27" i="22" s="1"/>
  <c r="F20" i="15"/>
  <c r="E18" i="22" s="1"/>
  <c r="F14" i="22"/>
  <c r="G19" i="15"/>
  <c r="F17" i="22" s="1"/>
  <c r="E19" i="15"/>
  <c r="D17" i="22" s="1"/>
  <c r="D14" i="22"/>
  <c r="E174" i="15"/>
  <c r="E18" i="15" s="1"/>
  <c r="D16" i="22" s="1"/>
  <c r="F174" i="15"/>
  <c r="F18" i="15" s="1"/>
  <c r="E16" i="22" s="1"/>
  <c r="G174" i="15"/>
  <c r="G18" i="15" s="1"/>
  <c r="F16" i="22" s="1"/>
  <c r="H174" i="15"/>
  <c r="H18" i="15" s="1"/>
  <c r="G16" i="22" s="1"/>
  <c r="I174" i="15"/>
  <c r="I18" i="15" s="1"/>
  <c r="H16" i="22" s="1"/>
  <c r="E14" i="22" l="1"/>
  <c r="F19" i="15"/>
  <c r="E17" i="22" s="1"/>
  <c r="H53" i="9" a="1"/>
  <c r="H53" i="9" s="1"/>
  <c r="G53" i="9" a="1"/>
  <c r="G53" i="9" s="1"/>
  <c r="F53" i="9" a="1"/>
  <c r="F53" i="9" s="1"/>
  <c r="E53" i="9" a="1"/>
  <c r="E53" i="9" s="1"/>
  <c r="D53" i="9" a="1"/>
  <c r="D53" i="9" s="1"/>
  <c r="L53" i="9" a="1"/>
  <c r="L53" i="9" s="1"/>
  <c r="O53" i="9" a="1"/>
  <c r="O53" i="9" s="1"/>
  <c r="N53" i="9" a="1"/>
  <c r="N53" i="9" s="1"/>
  <c r="M53" i="9" a="1"/>
  <c r="M53" i="9" s="1"/>
  <c r="K53" i="9" a="1"/>
  <c r="K53" i="9" s="1"/>
  <c r="J53" i="9" a="1"/>
  <c r="J53" i="9" s="1"/>
  <c r="I53" i="9" a="1"/>
  <c r="I53" i="9" s="1"/>
  <c r="D52" i="9" a="1"/>
  <c r="D52" i="9" s="1"/>
  <c r="O52" i="9" a="1"/>
  <c r="O52" i="9" s="1"/>
  <c r="N52" i="9" a="1"/>
  <c r="N52" i="9" s="1"/>
  <c r="M52" i="9" a="1"/>
  <c r="M52" i="9" s="1"/>
  <c r="L52" i="9" a="1"/>
  <c r="L52" i="9" s="1"/>
  <c r="K52" i="9" a="1"/>
  <c r="K52" i="9" s="1"/>
  <c r="J52" i="9" a="1"/>
  <c r="J52" i="9" s="1"/>
  <c r="I52" i="9" a="1"/>
  <c r="I52" i="9" s="1"/>
  <c r="G52" i="9" a="1"/>
  <c r="G52" i="9" s="1"/>
  <c r="H52" i="9" a="1"/>
  <c r="H52" i="9" s="1"/>
  <c r="F52" i="9" a="1"/>
  <c r="F52" i="9" s="1"/>
  <c r="E52" i="9" a="1"/>
  <c r="E52" i="9" s="1"/>
  <c r="H296" i="15"/>
  <c r="H23" i="15"/>
  <c r="F296" i="15"/>
  <c r="F23" i="15"/>
  <c r="G296" i="15"/>
  <c r="G23" i="15"/>
  <c r="E283" i="15"/>
  <c r="E325" i="15" s="1"/>
  <c r="AM19" i="22" s="1"/>
  <c r="E288" i="15"/>
  <c r="E275" i="15"/>
  <c r="E23" i="15" s="1"/>
  <c r="H276" i="15"/>
  <c r="I276" i="15"/>
  <c r="E320" i="15"/>
  <c r="AM14" i="22" s="1"/>
  <c r="G276" i="15"/>
  <c r="H19" i="15"/>
  <c r="G17" i="22" s="1"/>
  <c r="F34" i="10"/>
  <c r="F28" i="15" l="1"/>
  <c r="D28" i="10"/>
  <c r="H28" i="15"/>
  <c r="F28" i="10"/>
  <c r="G28" i="15"/>
  <c r="E28" i="10"/>
  <c r="E28" i="15"/>
  <c r="C28" i="10"/>
  <c r="P53" i="9"/>
  <c r="P52" i="9"/>
  <c r="F276" i="15"/>
  <c r="E276" i="15"/>
  <c r="E296" i="15"/>
  <c r="P51" i="9"/>
  <c r="F359" i="15"/>
  <c r="F25" i="15"/>
  <c r="E23" i="22" s="1"/>
  <c r="F29" i="15"/>
  <c r="E27" i="22" s="1"/>
  <c r="F30" i="15" l="1"/>
  <c r="E28" i="22" s="1"/>
  <c r="G29" i="15"/>
  <c r="F27" i="22" s="1"/>
  <c r="G25" i="15"/>
  <c r="F23" i="22" s="1"/>
  <c r="G359" i="15"/>
  <c r="I25" i="15" l="1"/>
  <c r="H23" i="22" s="1"/>
  <c r="H29" i="15"/>
  <c r="G27" i="22" s="1"/>
  <c r="G30" i="15"/>
  <c r="F28" i="22" s="1"/>
  <c r="I359" i="15"/>
  <c r="H359" i="15"/>
  <c r="I29" i="15" l="1"/>
  <c r="H27" i="22" s="1"/>
  <c r="H25" i="15"/>
  <c r="G23" i="22" s="1"/>
  <c r="H30" i="15"/>
  <c r="G28" i="22" s="1"/>
  <c r="I30" i="15"/>
  <c r="H28" i="22" s="1"/>
  <c r="D126" i="15"/>
  <c r="D164" i="15" s="1"/>
  <c r="D296" i="15" s="1"/>
  <c r="D169" i="15"/>
  <c r="D18" i="15"/>
  <c r="C16" i="22" s="1"/>
  <c r="D20" i="15" l="1"/>
  <c r="C18" i="22" s="1"/>
  <c r="D28" i="15"/>
  <c r="E165" i="15"/>
  <c r="D16" i="15"/>
  <c r="B34" i="10" s="1"/>
  <c r="D165" i="15"/>
  <c r="D30" i="15"/>
  <c r="C28" i="22" s="1"/>
  <c r="C14" i="22" l="1"/>
  <c r="D19" i="15"/>
  <c r="C17" i="22" s="1"/>
  <c r="D13" i="15" l="1"/>
  <c r="C11" i="22" s="1"/>
  <c r="C26" i="22"/>
  <c r="C24" i="22"/>
  <c r="D31" i="15"/>
  <c r="C29" i="22" s="1"/>
  <c r="L96" i="9"/>
  <c r="L97" i="9" s="1"/>
  <c r="E96" i="9"/>
  <c r="E97" i="9" s="1"/>
  <c r="M96" i="9"/>
  <c r="M97" i="9" s="1"/>
  <c r="F96" i="9"/>
  <c r="F97" i="9" s="1"/>
  <c r="N96" i="9"/>
  <c r="N97" i="9" s="1"/>
  <c r="G96" i="9"/>
  <c r="G97" i="9" s="1"/>
  <c r="O96" i="9"/>
  <c r="O97" i="9" s="1"/>
  <c r="H96" i="9"/>
  <c r="H97" i="9" s="1"/>
  <c r="I96" i="9"/>
  <c r="I97" i="9" s="1"/>
  <c r="J96" i="9"/>
  <c r="J97" i="9" s="1"/>
  <c r="K96" i="9"/>
  <c r="K97" i="9" s="1"/>
  <c r="E26" i="15" l="1"/>
  <c r="D24" i="22" s="1"/>
  <c r="E31" i="15"/>
  <c r="D29" i="22" s="1"/>
  <c r="P50" i="9"/>
  <c r="P96" i="9" s="1"/>
  <c r="P97" i="9" s="1"/>
  <c r="D96" i="9"/>
  <c r="D97" i="9" s="1"/>
  <c r="D11" i="15"/>
  <c r="D301" i="15"/>
  <c r="D304" i="15" s="1"/>
  <c r="D332" i="15" s="1"/>
  <c r="AL26" i="22" s="1"/>
  <c r="D12" i="15"/>
  <c r="D328" i="15"/>
  <c r="AL22" i="22" s="1"/>
  <c r="C21" i="22"/>
  <c r="D24" i="15"/>
  <c r="C22" i="22" s="1"/>
  <c r="E13" i="15"/>
  <c r="D11" i="22" s="1"/>
  <c r="D26" i="22"/>
  <c r="F31" i="15" l="1"/>
  <c r="E29" i="22" s="1"/>
  <c r="F26" i="15"/>
  <c r="E24" i="22" s="1"/>
  <c r="D21" i="22"/>
  <c r="E24" i="15"/>
  <c r="D22" i="22" s="1"/>
  <c r="D341" i="15"/>
  <c r="D329" i="15"/>
  <c r="AL23" i="22" s="1"/>
  <c r="B43" i="10"/>
  <c r="C10" i="22"/>
  <c r="B33" i="10"/>
  <c r="D14" i="15"/>
  <c r="C12" i="22" s="1"/>
  <c r="B41" i="10"/>
  <c r="B40" i="10"/>
  <c r="C9" i="22"/>
  <c r="E11" i="15"/>
  <c r="E301" i="15"/>
  <c r="E304" i="15" s="1"/>
  <c r="E12" i="15"/>
  <c r="C41" i="10" s="1"/>
  <c r="E26" i="22"/>
  <c r="F13" i="15"/>
  <c r="E11" i="22" s="1"/>
  <c r="E328" i="15"/>
  <c r="AM22" i="22" s="1"/>
  <c r="E332" i="15" l="1"/>
  <c r="AM26" i="22" s="1"/>
  <c r="E305" i="15"/>
  <c r="C43" i="10"/>
  <c r="D333" i="15"/>
  <c r="D335" i="15" s="1"/>
  <c r="D348" i="15"/>
  <c r="D353" i="15" s="1"/>
  <c r="K296" i="15"/>
  <c r="F26" i="22"/>
  <c r="G13" i="15"/>
  <c r="F11" i="22" s="1"/>
  <c r="G26" i="15"/>
  <c r="F24" i="22" s="1"/>
  <c r="G31" i="15"/>
  <c r="F29" i="22" s="1"/>
  <c r="B44" i="10"/>
  <c r="F24" i="15"/>
  <c r="E22" i="22" s="1"/>
  <c r="E21" i="22"/>
  <c r="F11" i="15"/>
  <c r="F301" i="15"/>
  <c r="F304" i="15" s="1"/>
  <c r="F12" i="15"/>
  <c r="D10" i="22"/>
  <c r="C33" i="10"/>
  <c r="E14" i="15"/>
  <c r="D12" i="22" s="1"/>
  <c r="C40" i="10"/>
  <c r="D9" i="22"/>
  <c r="E341" i="15"/>
  <c r="E329" i="15"/>
  <c r="AM23" i="22" s="1"/>
  <c r="F328" i="15"/>
  <c r="AN22" i="22" s="1"/>
  <c r="AL27" i="22" l="1"/>
  <c r="C44" i="10"/>
  <c r="E10" i="22"/>
  <c r="D33" i="10"/>
  <c r="F14" i="15"/>
  <c r="E12" i="22" s="1"/>
  <c r="F21" i="22"/>
  <c r="G24" i="15"/>
  <c r="F22" i="22" s="1"/>
  <c r="G11" i="15"/>
  <c r="G301" i="15"/>
  <c r="G304" i="15" s="1"/>
  <c r="G12" i="15"/>
  <c r="F332" i="15"/>
  <c r="AN26" i="22" s="1"/>
  <c r="F305" i="15"/>
  <c r="D43" i="10"/>
  <c r="I13" i="15"/>
  <c r="H11" i="22" s="1"/>
  <c r="H26" i="22"/>
  <c r="H13" i="15"/>
  <c r="G11" i="22" s="1"/>
  <c r="G26" i="22"/>
  <c r="D355" i="15"/>
  <c r="D38" i="15" s="1"/>
  <c r="C36" i="22" s="1"/>
  <c r="AC34" i="22" s="1"/>
  <c r="D360" i="15"/>
  <c r="D361" i="15" s="1"/>
  <c r="F341" i="15"/>
  <c r="F329" i="15"/>
  <c r="AN23" i="22" s="1"/>
  <c r="G328" i="15"/>
  <c r="AO22" i="22" s="1"/>
  <c r="D41" i="10"/>
  <c r="I31" i="15"/>
  <c r="H29" i="22" s="1"/>
  <c r="I26" i="15"/>
  <c r="H24" i="22" s="1"/>
  <c r="D37" i="4"/>
  <c r="D342" i="15"/>
  <c r="F5" i="26"/>
  <c r="E331" i="15"/>
  <c r="AM25" i="22" s="1"/>
  <c r="AL29" i="22"/>
  <c r="D343" i="15"/>
  <c r="AC33" i="22" s="1"/>
  <c r="D40" i="10"/>
  <c r="E9" i="22"/>
  <c r="H26" i="15"/>
  <c r="G24" i="22" s="1"/>
  <c r="H31" i="15"/>
  <c r="G29" i="22" s="1"/>
  <c r="E348" i="15"/>
  <c r="E353" i="15" s="1"/>
  <c r="D34" i="15" l="1"/>
  <c r="D44" i="10"/>
  <c r="H328" i="15"/>
  <c r="AP22" i="22" s="1"/>
  <c r="H21" i="22"/>
  <c r="I24" i="15"/>
  <c r="H22" i="22" s="1"/>
  <c r="D344" i="15"/>
  <c r="D37" i="15"/>
  <c r="C35" i="22" s="1"/>
  <c r="B27" i="10"/>
  <c r="F10" i="26"/>
  <c r="G21" i="22"/>
  <c r="H24" i="15"/>
  <c r="G22" i="22" s="1"/>
  <c r="D39" i="15"/>
  <c r="C37" i="22" s="1"/>
  <c r="AC35" i="22" s="1"/>
  <c r="D33" i="15"/>
  <c r="C31" i="22" s="1"/>
  <c r="AC32" i="22" s="1"/>
  <c r="B32" i="10"/>
  <c r="B38" i="10"/>
  <c r="F10" i="22"/>
  <c r="E33" i="10"/>
  <c r="G14" i="15"/>
  <c r="F12" i="22" s="1"/>
  <c r="E41" i="10"/>
  <c r="E333" i="15"/>
  <c r="AM27" i="22" s="1"/>
  <c r="B4" i="9"/>
  <c r="D9" i="9" s="1"/>
  <c r="E343" i="15"/>
  <c r="AD33" i="22" s="1"/>
  <c r="D36" i="15"/>
  <c r="C34" i="22" s="1"/>
  <c r="I12" i="15"/>
  <c r="I11" i="15"/>
  <c r="I301" i="15"/>
  <c r="I304" i="15" s="1"/>
  <c r="F348" i="15"/>
  <c r="F353" i="15" s="1"/>
  <c r="E40" i="10"/>
  <c r="F9" i="22"/>
  <c r="I328" i="15"/>
  <c r="AQ22" i="22" s="1"/>
  <c r="G341" i="15"/>
  <c r="G329" i="15"/>
  <c r="AO23" i="22" s="1"/>
  <c r="G332" i="15"/>
  <c r="AO26" i="22" s="1"/>
  <c r="G305" i="15"/>
  <c r="E43" i="10"/>
  <c r="E355" i="15"/>
  <c r="E38" i="15" s="1"/>
  <c r="D36" i="22" s="1"/>
  <c r="AD34" i="22" s="1"/>
  <c r="E360" i="15"/>
  <c r="E361" i="15" s="1"/>
  <c r="E39" i="15" s="1"/>
  <c r="D37" i="22" s="1"/>
  <c r="AD35" i="22" s="1"/>
  <c r="H11" i="15"/>
  <c r="H301" i="15"/>
  <c r="H304" i="15" s="1"/>
  <c r="H12" i="15"/>
  <c r="E34" i="15" l="1"/>
  <c r="K304" i="15"/>
  <c r="E44" i="10"/>
  <c r="E344" i="15"/>
  <c r="G41" i="10"/>
  <c r="E342" i="15"/>
  <c r="G5" i="26"/>
  <c r="F331" i="15"/>
  <c r="AN25" i="22" s="1"/>
  <c r="E335" i="15"/>
  <c r="AM29" i="22" s="1"/>
  <c r="F355" i="15"/>
  <c r="F38" i="15" s="1"/>
  <c r="E36" i="22" s="1"/>
  <c r="AE34" i="22" s="1"/>
  <c r="F360" i="15"/>
  <c r="F361" i="15" s="1"/>
  <c r="F40" i="10"/>
  <c r="G9" i="22"/>
  <c r="H341" i="15"/>
  <c r="H329" i="15"/>
  <c r="AP23" i="22" s="1"/>
  <c r="I341" i="15"/>
  <c r="I329" i="15"/>
  <c r="AQ23" i="22" s="1"/>
  <c r="G10" i="22"/>
  <c r="F33" i="10"/>
  <c r="H14" i="15"/>
  <c r="G12" i="22" s="1"/>
  <c r="H332" i="15"/>
  <c r="AP26" i="22" s="1"/>
  <c r="H305" i="15"/>
  <c r="F43" i="10"/>
  <c r="F44" i="10" s="1"/>
  <c r="G40" i="10"/>
  <c r="H9" i="22"/>
  <c r="E37" i="15"/>
  <c r="D35" i="22" s="1"/>
  <c r="F16" i="26"/>
  <c r="B30" i="10" s="1"/>
  <c r="B42" i="10" s="1"/>
  <c r="B25" i="10"/>
  <c r="B37" i="10" s="1"/>
  <c r="C32" i="22"/>
  <c r="D35" i="15"/>
  <c r="C33" i="22" s="1"/>
  <c r="I332" i="15"/>
  <c r="AQ26" i="22" s="1"/>
  <c r="I305" i="15"/>
  <c r="G43" i="10"/>
  <c r="H10" i="22"/>
  <c r="G33" i="10"/>
  <c r="I14" i="15"/>
  <c r="H12" i="22" s="1"/>
  <c r="G348" i="15"/>
  <c r="G353" i="15" s="1"/>
  <c r="P9" i="9"/>
  <c r="P11" i="9" s="1"/>
  <c r="D11" i="9"/>
  <c r="D13" i="9" s="1"/>
  <c r="F41" i="10"/>
  <c r="F39" i="15" l="1"/>
  <c r="E37" i="22" s="1"/>
  <c r="AE35" i="22" s="1"/>
  <c r="G44" i="10"/>
  <c r="I348" i="15"/>
  <c r="I353" i="15" s="1"/>
  <c r="E33" i="15"/>
  <c r="D31" i="22" s="1"/>
  <c r="AD32" i="22" s="1"/>
  <c r="C32" i="10"/>
  <c r="C38" i="10"/>
  <c r="D32" i="22"/>
  <c r="E35" i="15"/>
  <c r="D33" i="22" s="1"/>
  <c r="E9" i="9"/>
  <c r="E11" i="9" s="1"/>
  <c r="E13" i="9" s="1"/>
  <c r="F333" i="15"/>
  <c r="AN27" i="22" s="1"/>
  <c r="H348" i="15"/>
  <c r="H353" i="15" s="1"/>
  <c r="C27" i="10"/>
  <c r="G10" i="26"/>
  <c r="G360" i="15"/>
  <c r="G361" i="15" s="1"/>
  <c r="G39" i="15" s="1"/>
  <c r="F37" i="22" s="1"/>
  <c r="AF35" i="22" s="1"/>
  <c r="G355" i="15"/>
  <c r="G38" i="15" s="1"/>
  <c r="F36" i="22" s="1"/>
  <c r="AF34" i="22" s="1"/>
  <c r="F343" i="15"/>
  <c r="E36" i="15"/>
  <c r="D34" i="22" s="1"/>
  <c r="F34" i="15" l="1"/>
  <c r="AE33" i="22"/>
  <c r="F344" i="15"/>
  <c r="F342" i="15"/>
  <c r="F335" i="15"/>
  <c r="AN29" i="22" s="1"/>
  <c r="H5" i="26"/>
  <c r="G331" i="15"/>
  <c r="AO25" i="22" s="1"/>
  <c r="F9" i="9"/>
  <c r="F11" i="9" s="1"/>
  <c r="F13" i="9" s="1"/>
  <c r="F37" i="15"/>
  <c r="E35" i="22" s="1"/>
  <c r="I360" i="15"/>
  <c r="I361" i="15" s="1"/>
  <c r="I39" i="15" s="1"/>
  <c r="H37" i="22" s="1"/>
  <c r="AH35" i="22" s="1"/>
  <c r="I355" i="15"/>
  <c r="I38" i="15" s="1"/>
  <c r="H36" i="22" s="1"/>
  <c r="AH34" i="22" s="1"/>
  <c r="G16" i="26"/>
  <c r="C30" i="10" s="1"/>
  <c r="C42" i="10" s="1"/>
  <c r="C25" i="10"/>
  <c r="C37" i="10" s="1"/>
  <c r="H360" i="15"/>
  <c r="H361" i="15" s="1"/>
  <c r="H39" i="15" s="1"/>
  <c r="G37" i="22" s="1"/>
  <c r="AG35" i="22" s="1"/>
  <c r="H355" i="15"/>
  <c r="H38" i="15" s="1"/>
  <c r="G36" i="22" s="1"/>
  <c r="AG34" i="22" s="1"/>
  <c r="I362" i="15" l="1"/>
  <c r="I363" i="15" s="1"/>
  <c r="G9" i="9"/>
  <c r="G11" i="9" s="1"/>
  <c r="G13" i="9" s="1"/>
  <c r="D38" i="10"/>
  <c r="F33" i="15"/>
  <c r="E31" i="22" s="1"/>
  <c r="AE32" i="22" s="1"/>
  <c r="D32" i="10"/>
  <c r="E32" i="22"/>
  <c r="F35" i="15"/>
  <c r="E33" i="22" s="1"/>
  <c r="G333" i="15"/>
  <c r="AO27" i="22" s="1"/>
  <c r="H10" i="26"/>
  <c r="D27" i="10"/>
  <c r="G343" i="15"/>
  <c r="F36" i="15"/>
  <c r="E34" i="22" s="1"/>
  <c r="G34" i="15" l="1"/>
  <c r="AF33" i="22"/>
  <c r="G344" i="15"/>
  <c r="G37" i="15"/>
  <c r="F35" i="22" s="1"/>
  <c r="H331" i="15"/>
  <c r="AP25" i="22" s="1"/>
  <c r="G342" i="15"/>
  <c r="G335" i="15"/>
  <c r="AO29" i="22" s="1"/>
  <c r="I5" i="26"/>
  <c r="H9" i="9"/>
  <c r="H11" i="9" s="1"/>
  <c r="H13" i="9" s="1"/>
  <c r="H16" i="26"/>
  <c r="D30" i="10" s="1"/>
  <c r="D42" i="10" s="1"/>
  <c r="D25" i="10"/>
  <c r="D37" i="10" s="1"/>
  <c r="I9" i="9" l="1"/>
  <c r="I11" i="9" s="1"/>
  <c r="I13" i="9" s="1"/>
  <c r="H343" i="15"/>
  <c r="G36" i="15"/>
  <c r="F34" i="22" s="1"/>
  <c r="I10" i="26"/>
  <c r="E27" i="10"/>
  <c r="E38" i="10"/>
  <c r="G33" i="15"/>
  <c r="F31" i="22" s="1"/>
  <c r="AF32" i="22" s="1"/>
  <c r="E32" i="10"/>
  <c r="H333" i="15"/>
  <c r="AP27" i="22" s="1"/>
  <c r="G35" i="15"/>
  <c r="F33" i="22" s="1"/>
  <c r="F32" i="22"/>
  <c r="H34" i="15" l="1"/>
  <c r="AG33" i="22"/>
  <c r="H344" i="15"/>
  <c r="H335" i="15"/>
  <c r="AP29" i="22" s="1"/>
  <c r="I331" i="15"/>
  <c r="AQ25" i="22" s="1"/>
  <c r="H342" i="15"/>
  <c r="J5" i="26"/>
  <c r="I16" i="26"/>
  <c r="E30" i="10" s="1"/>
  <c r="E42" i="10" s="1"/>
  <c r="E25" i="10"/>
  <c r="E37" i="10" s="1"/>
  <c r="H37" i="15"/>
  <c r="G35" i="22" s="1"/>
  <c r="J9" i="9"/>
  <c r="J11" i="9" s="1"/>
  <c r="J13" i="9" s="1"/>
  <c r="I343" i="15" l="1"/>
  <c r="AH33" i="22" s="1"/>
  <c r="H36" i="15"/>
  <c r="G34" i="22" s="1"/>
  <c r="K9" i="9"/>
  <c r="K11" i="9" s="1"/>
  <c r="K13" i="9" s="1"/>
  <c r="H35" i="15"/>
  <c r="G33" i="22" s="1"/>
  <c r="G32" i="22"/>
  <c r="J10" i="26"/>
  <c r="F27" i="10"/>
  <c r="I333" i="15"/>
  <c r="AQ27" i="22" s="1"/>
  <c r="F32" i="10"/>
  <c r="F38" i="10"/>
  <c r="H33" i="15"/>
  <c r="G31" i="22" s="1"/>
  <c r="AG32" i="22" s="1"/>
  <c r="I344" i="15" l="1"/>
  <c r="I345" i="15" s="1"/>
  <c r="I34" i="15"/>
  <c r="I335" i="15"/>
  <c r="AQ29" i="22" s="1"/>
  <c r="I342" i="15"/>
  <c r="I36" i="15" s="1"/>
  <c r="H34" i="22" s="1"/>
  <c r="K5" i="26"/>
  <c r="J16" i="26"/>
  <c r="F30" i="10" s="1"/>
  <c r="F42" i="10" s="1"/>
  <c r="F25" i="10"/>
  <c r="F37" i="10" s="1"/>
  <c r="L9" i="9"/>
  <c r="L11" i="9" s="1"/>
  <c r="L13" i="9" s="1"/>
  <c r="I37" i="15"/>
  <c r="H35" i="22" s="1"/>
  <c r="I35" i="15" l="1"/>
  <c r="H33" i="22" s="1"/>
  <c r="H32" i="22"/>
  <c r="M9" i="9"/>
  <c r="M11" i="9" s="1"/>
  <c r="M13" i="9" s="1"/>
  <c r="K10" i="26"/>
  <c r="G27" i="10"/>
  <c r="G32" i="10"/>
  <c r="G38" i="10"/>
  <c r="I33" i="15"/>
  <c r="H31" i="22" s="1"/>
  <c r="AH32" i="22" s="1"/>
  <c r="K16" i="26" l="1"/>
  <c r="G30" i="10" s="1"/>
  <c r="G42" i="10" s="1"/>
  <c r="G25" i="10"/>
  <c r="G37" i="10" s="1"/>
  <c r="N9" i="9"/>
  <c r="N11" i="9" s="1"/>
  <c r="N13" i="9" s="1"/>
  <c r="O9" i="9" l="1"/>
  <c r="O11" i="9" s="1"/>
  <c r="O13" i="9" s="1"/>
  <c r="C23" i="22"/>
  <c r="D29" i="15"/>
  <c r="C27"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tc={0432481C-F046-E44B-9597-90EFA7587E45}</author>
    <author>tc={1CE3773E-9583-394E-9E77-301B8A4361F5}</author>
    <author>tc={9E3AA367-F328-FD41-8497-6A7419BAA230}</author>
    <author>tc={3ED20AD8-B031-F046-8E30-50BED88F06D2}</author>
    <author>tc={EC9678F1-2BD5-444D-AB2A-8D6B749DE6B5}</author>
    <author>tc={BB3A4127-5A57-FF47-8924-D3DF45959D57}</author>
    <author>tc={D861D7CB-BC2E-7341-8015-554D83D585A8}</author>
    <author>tc={87F8BB1B-F941-264D-AB4F-8B13FBDADB2D}</author>
    <author>tc={2BD5AA7A-29C9-1744-BCE2-4FF0F1E86F62}</author>
    <author>tc={DA6A59C6-B281-364D-81E9-0DA625B0EBB6}</author>
    <author>Jason Nowlin</author>
  </authors>
  <commentList>
    <comment ref="D41" authorId="0" shapeId="0" xr:uid="{0432481C-F046-E44B-9597-90EFA7587E45}">
      <text>
        <t>[Threaded comment]
Your version of Excel allows you to read this threaded comment; however, any edits to it will get removed if the file is opened in a newer version of Excel. Learn more: https://go.microsoft.com/fwlink/?linkid=870924
Comment:
    Jared said $12,259; Travis says $12,000; OSPI for SIA says $11,449</t>
      </text>
    </comment>
    <comment ref="D42" authorId="1" shapeId="0" xr:uid="{1CE3773E-9583-394E-9E77-301B8A4361F5}">
      <text>
        <t>[Threaded comment]
Your version of Excel allows you to read this threaded comment; however, any edits to it will get removed if the file is opened in a newer version of Excel. Learn more: https://go.microsoft.com/fwlink/?linkid=870924
Comment:
    Jared's model said $1,464
Reply:
    Travis tool $4,500</t>
      </text>
    </comment>
    <comment ref="D45" authorId="2" shapeId="0" xr:uid="{9E3AA367-F328-FD41-8497-6A7419BAA230}">
      <text>
        <t>[Threaded comment]
Your version of Excel allows you to read this threaded comment; however, any edits to it will get removed if the file is opened in a newer version of Excel. Learn more: https://go.microsoft.com/fwlink/?linkid=870924
Comment:
    Travis says $13,556</t>
      </text>
    </comment>
    <comment ref="D46" authorId="3" shapeId="0" xr:uid="{3ED20AD8-B031-F046-8E30-50BED88F06D2}">
      <text>
        <t>[Threaded comment]
Your version of Excel allows you to read this threaded comment; however, any edits to it will get removed if the file is opened in a newer version of Excel. Learn more: https://go.microsoft.com/fwlink/?linkid=870924
Comment:
    Travis tool says $374; OSPI LAP calculator for SIA says $370; budget example from SIA says $311</t>
      </text>
    </comment>
    <comment ref="D47" authorId="4" shapeId="0" xr:uid="{EC9678F1-2BD5-444D-AB2A-8D6B749DE6B5}">
      <text>
        <t>[Threaded comment]
Your version of Excel allows you to read this threaded comment; however, any edits to it will get removed if the file is opened in a newer version of Excel. Learn more: https://go.microsoft.com/fwlink/?linkid=870924
Comment:
    Travis tool says $128; OSPI SIA budget example says $140</t>
      </text>
    </comment>
    <comment ref="D48" authorId="5" shapeId="0" xr:uid="{BB3A4127-5A57-FF47-8924-D3DF45959D57}">
      <text>
        <t>[Threaded comment]
Your version of Excel allows you to read this threaded comment; however, any edits to it will get removed if the file is opened in a newer version of Excel. Learn more: https://go.microsoft.com/fwlink/?linkid=870924
Comment:
    Travis tool says $29; OSPI SIA Budget Example says $31</t>
      </text>
    </comment>
    <comment ref="D50" authorId="6" shapeId="0" xr:uid="{D861D7CB-BC2E-7341-8015-554D83D585A8}">
      <text>
        <t>[Threaded comment]
Your version of Excel allows you to read this threaded comment; however, any edits to it will get removed if the file is opened in a newer version of Excel. Learn more: https://go.microsoft.com/fwlink/?linkid=870924
Comment:
    OSPI SIA Budget Example said $608</t>
      </text>
    </comment>
    <comment ref="D54" authorId="7" shapeId="0" xr:uid="{87F8BB1B-F941-264D-AB4F-8B13FBDADB2D}">
      <text>
        <t>[Threaded comment]
Your version of Excel allows you to read this threaded comment; however, any edits to it will get removed if the file is opened in a newer version of Excel. Learn more: https://go.microsoft.com/fwlink/?linkid=870924
Comment:
    Travis tool says $528 per pupil??</t>
      </text>
    </comment>
    <comment ref="D57" authorId="8" shapeId="0" xr:uid="{2BD5AA7A-29C9-1744-BCE2-4FF0F1E86F62}">
      <text>
        <t>[Threaded comment]
Your version of Excel allows you to read this threaded comment; however, any edits to it will get removed if the file is opened in a newer version of Excel. Learn more: https://go.microsoft.com/fwlink/?linkid=870924
Comment:
    Travis tool says $47,040</t>
      </text>
    </comment>
    <comment ref="E57" authorId="9" shapeId="0" xr:uid="{DA6A59C6-B281-364D-81E9-0DA625B0EBB6}">
      <text>
        <t>[Threaded comment]
Your version of Excel allows you to read this threaded comment; however, any edits to it will get removed if the file is opened in a newer version of Excel. Learn more: https://go.microsoft.com/fwlink/?linkid=870924
Comment:
    Travis tool says $47,040</t>
      </text>
    </comment>
    <comment ref="D161" authorId="10" shapeId="0" xr:uid="{DA25BC1F-A951-4BBD-9F75-6DD17C63107A}">
      <text>
        <r>
          <rPr>
            <b/>
            <sz val="9"/>
            <color rgb="FF000000"/>
            <rFont val="Tahoma"/>
            <family val="2"/>
          </rPr>
          <t xml:space="preserve">Guide: </t>
        </r>
        <r>
          <rPr>
            <sz val="9"/>
            <color rgb="FF000000"/>
            <rFont val="Tahoma"/>
            <family val="2"/>
          </rPr>
          <t>Manually link Depreciation Expense to imported data or link to the calculated Depreciation Expense in the DEBT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Jason Nowlin</author>
    <author>tc={D8C797AD-97F4-4AD9-B980-BED46558333E}</author>
    <author>tc={F6AC5C23-1C86-4E67-8A0D-DA1CCC6F53D0}</author>
  </authors>
  <commentList>
    <comment ref="E5" authorId="0" shapeId="0" xr:uid="{1BB14C9D-1AE2-4560-BFE6-9771C627D763}">
      <text>
        <r>
          <rPr>
            <sz val="9"/>
            <color rgb="FF000000"/>
            <rFont val="Tahoma"/>
            <family val="2"/>
          </rPr>
          <t xml:space="preserve">Y0 Establish Need:
</t>
        </r>
        <r>
          <rPr>
            <sz val="9"/>
            <color rgb="FF000000"/>
            <rFont val="Tahoma"/>
            <family val="2"/>
          </rPr>
          <t xml:space="preserve">- Academic Need
</t>
        </r>
        <r>
          <rPr>
            <sz val="9"/>
            <color rgb="FF000000"/>
            <rFont val="Tahoma"/>
            <family val="2"/>
          </rPr>
          <t xml:space="preserve">- Programmatic Need
</t>
        </r>
        <r>
          <rPr>
            <sz val="9"/>
            <color rgb="FF000000"/>
            <rFont val="Tahoma"/>
            <family val="2"/>
          </rPr>
          <t>- Capacity Need</t>
        </r>
      </text>
    </comment>
    <comment ref="B31" authorId="1" shapeId="0" xr:uid="{D8C797AD-97F4-4AD9-B980-BED46558333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Collaboration Note:
Connecting the attrition rate to the grade level table makes data entry more complex for schools. Recommend leaving the input here, but disconnected from the table. Then, we can provide guidance on connecting it to the table once they have set a planned enrollment scenario</t>
      </text>
    </comment>
    <comment ref="D43" authorId="2" shapeId="0" xr:uid="{F6AC5C23-1C86-4E67-8A0D-DA1CCC6F53D0}">
      <text>
        <t>[Threaded comment]
Your version of Excel allows you to read this threaded comment; however, any edits to it will get removed if the file is opened in a newer version of Excel. Learn more: https://go.microsoft.com/fwlink/?linkid=870924
Comment:
    Definition &amp; Thresholds: Schools are classified by poverty level based on the percentage of students eligible: low (≤25%), mid-low (25.1–50%), mid-high (50.1–75%), and high-poverty (&gt;75%).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Jason Nowlin</author>
  </authors>
  <commentList>
    <comment ref="D51" authorId="0" shapeId="0" xr:uid="{4D7E01B3-7272-4323-942D-F8218A65C6C6}">
      <text>
        <r>
          <rPr>
            <sz val="9"/>
            <color rgb="FF000000"/>
            <rFont val="Tahoma"/>
            <family val="2"/>
          </rPr>
          <t>When actual staffing rosters are available, update each column using a SUMIFS formula connecting to the ROSTER tab</t>
        </r>
      </text>
    </comment>
    <comment ref="L87" authorId="0" shapeId="0" xr:uid="{D3DD3F27-35BE-4C33-AD28-E0CF1272B022}">
      <text>
        <r>
          <rPr>
            <sz val="9"/>
            <color indexed="81"/>
            <rFont val="Tahoma"/>
            <family val="2"/>
          </rPr>
          <t>When actual staffing rosters are available, update each column using a SUMIFS formula connecting to the ROSTER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hrubyda</author>
  </authors>
  <commentList>
    <comment ref="B6" authorId="0" shapeId="0" xr:uid="{C8F73857-BA86-4EDC-8EB2-817878A56EB2}">
      <text>
        <r>
          <rPr>
            <sz val="10"/>
            <color indexed="81"/>
            <rFont val="Calibri"/>
            <family val="2"/>
            <scheme val="minor"/>
          </rPr>
          <t>State, Federal or other grants due to the school.</t>
        </r>
      </text>
    </comment>
    <comment ref="B25" authorId="0" shapeId="0" xr:uid="{2B832FA3-1398-4C03-8CF3-D4865A403B09}">
      <text>
        <r>
          <rPr>
            <sz val="10"/>
            <color indexed="81"/>
            <rFont val="Calibri"/>
            <family val="2"/>
            <scheme val="minor"/>
          </rPr>
          <t>Land, Building, Loan(s) related</t>
        </r>
      </text>
    </comment>
    <comment ref="B26" authorId="0" shapeId="0" xr:uid="{AD17E4CE-DCDD-4428-A8CF-CFFB41871A1D}">
      <text>
        <r>
          <rPr>
            <sz val="10"/>
            <color indexed="81"/>
            <rFont val="Calibri"/>
            <family val="2"/>
            <scheme val="minor"/>
          </rPr>
          <t xml:space="preserve">Capital Leases, Advanced Billing, Due to Affiliate/CMO, </t>
        </r>
        <r>
          <rPr>
            <sz val="8"/>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<sst xmlns="http://schemas.openxmlformats.org/spreadsheetml/2006/main" count="2679" uniqueCount="1568">
  <si>
    <t>School Name:</t>
  </si>
  <si>
    <t>School Fiscal Contact Name:</t>
  </si>
  <si>
    <t>School Fiscal Contact Email:</t>
  </si>
  <si>
    <t>xxxxx@xxxxx.xxx</t>
  </si>
  <si>
    <t>School Fiscal Contact Phone:</t>
  </si>
  <si>
    <t>School Audit Firm Name:</t>
  </si>
  <si>
    <t>School Audit Contact Name:</t>
  </si>
  <si>
    <t>School Audit Contact Email:</t>
  </si>
  <si>
    <t>School Audit Contact Phone:</t>
  </si>
  <si>
    <t>555.555.5555 ext. 456</t>
  </si>
  <si>
    <t>in service of quality authorizing in the State of Washington</t>
  </si>
  <si>
    <t>Expense Drivers - DO NOT CHANGE</t>
  </si>
  <si>
    <t>Year Keys - DO NOT CHANGE</t>
  </si>
  <si>
    <t>Direct</t>
  </si>
  <si>
    <t>K</t>
  </si>
  <si>
    <t>Per Pupil</t>
  </si>
  <si>
    <t>Closed</t>
  </si>
  <si>
    <t>Flat</t>
  </si>
  <si>
    <t>Revenue Drivers - DO NOT CHANGE</t>
  </si>
  <si>
    <t>Per Pupil - SPED</t>
  </si>
  <si>
    <t>Position Driver - DO NOT CHANGE</t>
  </si>
  <si>
    <t>Fixed</t>
  </si>
  <si>
    <t>INPUTS</t>
  </si>
  <si>
    <t>Enrollment Total</t>
  </si>
  <si>
    <t>REVENUE</t>
  </si>
  <si>
    <t>Description</t>
  </si>
  <si>
    <t>Driver</t>
  </si>
  <si>
    <t>REPORTS</t>
  </si>
  <si>
    <t>ENROLLMENT</t>
  </si>
  <si>
    <t>P&amp;L</t>
  </si>
  <si>
    <t>[First and Last Name]</t>
  </si>
  <si>
    <t>[Audit Firm Name]</t>
  </si>
  <si>
    <t>NOTES</t>
  </si>
  <si>
    <t>Beginning Fiscal Year (Year 0):</t>
  </si>
  <si>
    <t>Active Time Horizon - DO NOT CHANGE</t>
  </si>
  <si>
    <t>Grade Levels - DO NOT CHANGE</t>
  </si>
  <si>
    <t>ENROLLMENT LINK</t>
  </si>
  <si>
    <t>Sensitivity Analysis</t>
  </si>
  <si>
    <t>Enrollment Sensitivity Testing - DO NOT CHANGE</t>
  </si>
  <si>
    <t>Personnel Services Costs</t>
  </si>
  <si>
    <t>Repairs &amp; Maintenance</t>
  </si>
  <si>
    <t>Insurance</t>
  </si>
  <si>
    <t>Utilities</t>
  </si>
  <si>
    <t>Staff Development</t>
  </si>
  <si>
    <t>Technology</t>
  </si>
  <si>
    <t>Office Expense</t>
  </si>
  <si>
    <t>CONSOLIDATED ENROLLMENT by SCHOOL</t>
  </si>
  <si>
    <t>Grade Level</t>
  </si>
  <si>
    <t>Planned Enrollment</t>
  </si>
  <si>
    <t>Sensitivity Analysis % of Planned Enrollment</t>
  </si>
  <si>
    <r>
      <t xml:space="preserve">Washington apportionment is based on </t>
    </r>
    <r>
      <rPr>
        <i/>
        <sz val="11"/>
        <color theme="1"/>
        <rFont val="Calibri"/>
        <family val="2"/>
        <scheme val="minor"/>
      </rPr>
      <t>average annual full time equivalent</t>
    </r>
    <r>
      <rPr>
        <sz val="11"/>
        <color theme="1"/>
        <rFont val="Calibri"/>
        <family val="2"/>
        <scheme val="minor"/>
      </rPr>
      <t xml:space="preserve"> (AAFTE) enrollment, not headcount.</t>
    </r>
  </si>
  <si>
    <t>Expenses</t>
  </si>
  <si>
    <t>Total Cash Outflows</t>
  </si>
  <si>
    <t>ACTUAL (ACT) or FORECAST (FCAST)</t>
  </si>
  <si>
    <t xml:space="preserve"> </t>
  </si>
  <si>
    <t>FCAST</t>
  </si>
  <si>
    <t>Jul MTD</t>
  </si>
  <si>
    <t>Aug MTD</t>
  </si>
  <si>
    <t>Sep MTD</t>
  </si>
  <si>
    <t>Oct MTD</t>
  </si>
  <si>
    <t>Nov MTD</t>
  </si>
  <si>
    <t>Dec MTD</t>
  </si>
  <si>
    <t>Jan MTD</t>
  </si>
  <si>
    <t>Feb MTD</t>
  </si>
  <si>
    <t>Mar MTD</t>
  </si>
  <si>
    <t>Apr MTD</t>
  </si>
  <si>
    <t>May MTD</t>
  </si>
  <si>
    <t>Jun MTD</t>
  </si>
  <si>
    <t>Current Ratio</t>
  </si>
  <si>
    <t>Unrestricted Days of Cash</t>
  </si>
  <si>
    <t>Debt Default</t>
  </si>
  <si>
    <t>Debt-to-Asset Ratio</t>
  </si>
  <si>
    <t>Annual Financial Audit</t>
  </si>
  <si>
    <t>Financial Reporting and Compliance</t>
  </si>
  <si>
    <t>Financial Oversight</t>
  </si>
  <si>
    <t>Near-Term</t>
  </si>
  <si>
    <t>Sustainability</t>
  </si>
  <si>
    <t>Financial Management</t>
  </si>
  <si>
    <t>Year-over-Year Change</t>
  </si>
  <si>
    <t>Student Needs Populations</t>
  </si>
  <si>
    <t>SPED Enrollment</t>
  </si>
  <si>
    <t>Funded SPED Enrollment</t>
  </si>
  <si>
    <t>SPED % of Enrollment</t>
  </si>
  <si>
    <t>FRPL Enrollment</t>
  </si>
  <si>
    <t>FRPL % of Enrollment</t>
  </si>
  <si>
    <t>English Learner Enrollment</t>
  </si>
  <si>
    <t>EL % of Enrollment</t>
  </si>
  <si>
    <t>Measure</t>
  </si>
  <si>
    <t>ENROLLMENT INPUTS</t>
  </si>
  <si>
    <t>YEAR ONE CASH FLOW FORECAST</t>
  </si>
  <si>
    <t>INPUT DRIVERS &amp; DROPDOWN REFERENCES</t>
  </si>
  <si>
    <t>Minimum DCOH</t>
  </si>
  <si>
    <t>Total</t>
  </si>
  <si>
    <t>Cash on Hand (Beginning)</t>
  </si>
  <si>
    <t>Cash on Hand (Ending)</t>
  </si>
  <si>
    <t>Monthly Net Change in Cash on Hand</t>
  </si>
  <si>
    <t>Cash Receipts</t>
  </si>
  <si>
    <t>Cash Outflows</t>
  </si>
  <si>
    <t>Total Cash Receipts</t>
  </si>
  <si>
    <t>Days of Cash on Hand</t>
  </si>
  <si>
    <t>LINK to CSC Financial Performance Framework</t>
  </si>
  <si>
    <t>ENROLLMENT = Annual Full-Time Equivalent (AAFTE) Enrollment</t>
  </si>
  <si>
    <t>Indicator</t>
  </si>
  <si>
    <t>Tests longer-term financial sustainability measures and is designed to depict a school’s financial position and viability over time</t>
  </si>
  <si>
    <t>Tests the school’s management and oversight of its finances, and provides a more qualitative look at performance, irrespective of the near-term and long-term calculations</t>
  </si>
  <si>
    <t>Tests a school’s near-term financial health and is designed to depict the school’s financial position and viability in the upcoming year</t>
  </si>
  <si>
    <t>Metric (Formula)</t>
  </si>
  <si>
    <t>No default</t>
  </si>
  <si>
    <t>N/A</t>
  </si>
  <si>
    <t>&lt;0.90</t>
  </si>
  <si>
    <t>Meets indicators</t>
  </si>
  <si>
    <t>≥95% (low risk)</t>
  </si>
  <si>
    <t>Aggregated 3-Year Total Margin (Rolling)</t>
  </si>
  <si>
    <t>Total Margin (Annual)</t>
  </si>
  <si>
    <t>Enrollment Variance</t>
  </si>
  <si>
    <t>Cash Flow (Annual)</t>
  </si>
  <si>
    <t>3-Year Cash Flow (Rolling)</t>
  </si>
  <si>
    <t>≥1.0</t>
  </si>
  <si>
    <t>≥1.1</t>
  </si>
  <si>
    <t>≥60 days</t>
  </si>
  <si>
    <t>&gt;0</t>
  </si>
  <si>
    <t>≥30 days</t>
  </si>
  <si>
    <t>Current Assets ÷ Current Liabilities</t>
  </si>
  <si>
    <t>Unrestricted Cash ÷ ((Total Expenses − Depreciation) / 365)</t>
  </si>
  <si>
    <t>Not in default of either loan covenant(s) or debt service</t>
  </si>
  <si>
    <t>Net Income ÷ Total Revenue</t>
  </si>
  <si>
    <t>≥0</t>
  </si>
  <si>
    <t>(3-Year Total Net Income) ÷ (3-Year Total Revenue)</t>
  </si>
  <si>
    <t>Total Liabilities ÷ Total Assets</t>
  </si>
  <si>
    <t>(Year T Ending Unrestricted Cash) - (Year-(T-1) Ending Unrestricted Cash)</t>
  </si>
  <si>
    <t>(Year T Ending Unrestricted Cash) - (Year-(T-3) Ending Unrestricted Cash)</t>
  </si>
  <si>
    <t>Qualitative (Audit Opinion/Findings/Going Concern)</t>
  </si>
  <si>
    <t>Qualitative (Timely &amp; Complete Submissions; Required Controls)</t>
  </si>
  <si>
    <t>Qualitative (Board Budgeting &amp; Monitoring Practices)</t>
  </si>
  <si>
    <t>Actual Enrollment ÷ Projected Enrollment</t>
  </si>
  <si>
    <t>Note: Ratings above implement CSC targets for quantitative measures; qualitative measures require reviewer judgement and documentation</t>
  </si>
  <si>
    <t>Input line item</t>
  </si>
  <si>
    <t>Year 1</t>
  </si>
  <si>
    <t>Year 2</t>
  </si>
  <si>
    <t>Year 3</t>
  </si>
  <si>
    <t>Year 4</t>
  </si>
  <si>
    <t>Year 5</t>
  </si>
  <si>
    <t>Year 0</t>
  </si>
  <si>
    <t>Current Assets ($)</t>
  </si>
  <si>
    <t>Current Liabilities ($)</t>
  </si>
  <si>
    <t>Unrestricted Cash ($)</t>
  </si>
  <si>
    <t>Total Expenses ($)</t>
  </si>
  <si>
    <t>Depreciation Expense ($)</t>
  </si>
  <si>
    <t>Total Assets ($)</t>
  </si>
  <si>
    <t>Total Liabilities ($)</t>
  </si>
  <si>
    <t>Total Cash (End of Year) ($)</t>
  </si>
  <si>
    <t>Stage 2 Target
(Years 3+)</t>
  </si>
  <si>
    <t>Stage 1 Target
(Years 1-2)</t>
  </si>
  <si>
    <t>Total Revenue ($)</t>
  </si>
  <si>
    <t>Net Income / (Loss) ($)</t>
  </si>
  <si>
    <t>LINK to CSC Annual Compliance Calendar 2025-26</t>
  </si>
  <si>
    <t>Fundraising Variance</t>
  </si>
  <si>
    <t>&lt;40% through Dec.
&lt;90% through Jun.</t>
  </si>
  <si>
    <t>Criteria</t>
  </si>
  <si>
    <t>RED</t>
  </si>
  <si>
    <t>YELLOW</t>
  </si>
  <si>
    <t>GREEN</t>
  </si>
  <si>
    <t>TARGET</t>
  </si>
  <si>
    <t>Meet annual fundraising goal</t>
  </si>
  <si>
    <t>Control Spending to Budget</t>
  </si>
  <si>
    <t>Forecast &gt; +/- 5% of Annual Budget</t>
  </si>
  <si>
    <t>Forecast Between +/- 2% &amp; +/- 5%</t>
  </si>
  <si>
    <t>Forecast Within +/- 2% of Budget</t>
  </si>
  <si>
    <t>Revenues</t>
  </si>
  <si>
    <t>Non-Revenues</t>
  </si>
  <si>
    <t>Non-Expenses</t>
  </si>
  <si>
    <t>Year 1 Starting Cash</t>
  </si>
  <si>
    <t>Staff Headcount</t>
  </si>
  <si>
    <t>Student: Staff Ratios</t>
  </si>
  <si>
    <t>ACTIVE DRIVERS</t>
  </si>
  <si>
    <t>Total Staff</t>
  </si>
  <si>
    <t>Average Salary</t>
  </si>
  <si>
    <t>Total Salary</t>
  </si>
  <si>
    <t>Average Salaries</t>
  </si>
  <si>
    <t>Total Salaries</t>
  </si>
  <si>
    <t>ENROLLMENT by GRADE</t>
  </si>
  <si>
    <t>STAFFING</t>
  </si>
  <si>
    <t>SECTION 1: ACTIVE ENROLLMENT SCENARIO</t>
  </si>
  <si>
    <t>Chief Executive Officer (CEO)/Executive Director</t>
  </si>
  <si>
    <t>Assistant/Vice Principal</t>
  </si>
  <si>
    <t>Principal/Head of School</t>
  </si>
  <si>
    <t>Instructional Coach/Curriculum Specialist</t>
  </si>
  <si>
    <t>Classroom Teacher - Elementary</t>
  </si>
  <si>
    <t>Classroom Teacher - Middle School</t>
  </si>
  <si>
    <t>Classroom Teacher - High School</t>
  </si>
  <si>
    <t>Special Education (SPED) Teacher</t>
  </si>
  <si>
    <t>English Learner (EL) Specialist</t>
  </si>
  <si>
    <t>Intervention Specialist (Reading/Math)</t>
  </si>
  <si>
    <t>School Counselor</t>
  </si>
  <si>
    <t>School Psychologist</t>
  </si>
  <si>
    <t>Registrar/Enrollment Manager</t>
  </si>
  <si>
    <t>Chief Operations Officer (COO)/Ops. Manager</t>
  </si>
  <si>
    <t>CFO/Finance Manager/Business Manager</t>
  </si>
  <si>
    <t>Administrative Assistant/Office Manager</t>
  </si>
  <si>
    <t>Human Resources Specialist</t>
  </si>
  <si>
    <t>IT Coordinator/Instructional Technologist</t>
  </si>
  <si>
    <t>Facilities Manager</t>
  </si>
  <si>
    <t>Custodian/Facilities Maintenance</t>
  </si>
  <si>
    <t>Security/Safety Coordinator</t>
  </si>
  <si>
    <t>Nutrition Program Manager/Lead</t>
  </si>
  <si>
    <t>Food Service Staff (Cooks/Servers)</t>
  </si>
  <si>
    <t>Transportation Coordinator</t>
  </si>
  <si>
    <t>Substitute Teacher Pool</t>
  </si>
  <si>
    <t>Per Pupil - EL</t>
  </si>
  <si>
    <t>SECTION 1: CHARTER SCHOOL COMISSION FINANCIAL PERFORMANCE DASHBOARD</t>
  </si>
  <si>
    <t>PER PUPIL REVENUE GROWTH RATES</t>
  </si>
  <si>
    <t>Average Cash on Hand</t>
  </si>
  <si>
    <t>Interest earned on cash balances</t>
  </si>
  <si>
    <t>Base Year Tracker - DO NOT CHANGE</t>
  </si>
  <si>
    <t>LINK to OSPI Financial Reporting</t>
  </si>
  <si>
    <t>OSPI Financial Reporting - Employee Salary and Benefit Distribution by Category</t>
  </si>
  <si>
    <t>Washington Wage Data</t>
  </si>
  <si>
    <t>Benefits %</t>
  </si>
  <si>
    <t>POSITION TYPES, DRIVERS, ANNUAL SALARY COLA, &amp; BENEFITS as % of SALARY</t>
  </si>
  <si>
    <t>Per Pupil - MS</t>
  </si>
  <si>
    <t>Per Pupil - HS</t>
  </si>
  <si>
    <t>Per Pupil - Elem</t>
  </si>
  <si>
    <t xml:space="preserve"> Avg Salary</t>
  </si>
  <si>
    <t>Bureau of Labor Statistics</t>
  </si>
  <si>
    <t>LINK to Washington Wage Data</t>
  </si>
  <si>
    <t>LINK to Bureau of Labor Statistics</t>
  </si>
  <si>
    <t>Median of executive education leadership roles; comparable to mid-larger district execs</t>
  </si>
  <si>
    <t>Salary.com / OSPI administrator data</t>
  </si>
  <si>
    <t>~75–85% of principal comps</t>
  </si>
  <si>
    <t>BLS Instructional Coordinators in WA</t>
  </si>
  <si>
    <t>OSPI teacher salary averages</t>
  </si>
  <si>
    <t>Slight lift for content specialization</t>
  </si>
  <si>
    <t>Reflects content exp &amp; credential expectations</t>
  </si>
  <si>
    <t>SPED teacher premium vs general teacher</t>
  </si>
  <si>
    <t>BLS ESL / specialist teacher proxy</t>
  </si>
  <si>
    <t>Comparable to teacher pay</t>
  </si>
  <si>
    <t>BLS school counselor occupation</t>
  </si>
  <si>
    <t>BLS WA psychologist wage</t>
  </si>
  <si>
    <t>Office / school admin support wage</t>
  </si>
  <si>
    <t>BLS operations managers</t>
  </si>
  <si>
    <t>BLS financial managers</t>
  </si>
  <si>
    <t>BLS office admin support</t>
  </si>
  <si>
    <t>BLS HR specialist</t>
  </si>
  <si>
    <t>BLS IT support specialist</t>
  </si>
  <si>
    <t>BLS facilities manager</t>
  </si>
  <si>
    <t>BLS custodial maintenance</t>
  </si>
  <si>
    <t xml:space="preserve">Protective services occupational group in WA </t>
  </si>
  <si>
    <t>Food service leadership proxy</t>
  </si>
  <si>
    <t>BLS food prep &amp; service wage</t>
  </si>
  <si>
    <t>Midpoint admin / transport lead</t>
  </si>
  <si>
    <t>Based on substitute daily rates * utilization</t>
  </si>
  <si>
    <t>Elementary Enrollment</t>
  </si>
  <si>
    <t>Middle School Enrollment</t>
  </si>
  <si>
    <t>High School Enrollment</t>
  </si>
  <si>
    <t>Enrollment &amp; Staffing</t>
  </si>
  <si>
    <t>Enrollment</t>
  </si>
  <si>
    <t>Students / FTE</t>
  </si>
  <si>
    <t>Bottomline Metrics</t>
  </si>
  <si>
    <t>Operating Margin</t>
  </si>
  <si>
    <t>Surplus/Deficit on Total Revenue</t>
  </si>
  <si>
    <t>Surplus/Deficit on Recurring Revenue</t>
  </si>
  <si>
    <t>Surplus/Deficit per Pupil on Total Revenue</t>
  </si>
  <si>
    <t>Revenue Metrics</t>
  </si>
  <si>
    <t>Total Revenue</t>
  </si>
  <si>
    <t>Total Revenue per Pupil</t>
  </si>
  <si>
    <t>Recurring Revenue per Pupil</t>
  </si>
  <si>
    <t>Non-Recurring Revenue per Student</t>
  </si>
  <si>
    <t>Expense Metrics</t>
  </si>
  <si>
    <t>Total Expenses</t>
  </si>
  <si>
    <t>Total Expense per Pupil</t>
  </si>
  <si>
    <t>Personnel Expense per Pupil (Total Comp.)</t>
  </si>
  <si>
    <t>Non-Personnel Expense per Pupil</t>
  </si>
  <si>
    <t>Sustainability Percentages</t>
  </si>
  <si>
    <t>Recurring Revenue as % of Total Expenses</t>
  </si>
  <si>
    <t>Total Compensation as % of Recurring Revenue</t>
  </si>
  <si>
    <t>Facilities Expense as % of Recurring Revenue</t>
  </si>
  <si>
    <t>All Other Expenses as % of Recurring Revenue</t>
  </si>
  <si>
    <t>Cash and Debt Management</t>
  </si>
  <si>
    <t>DCOH</t>
  </si>
  <si>
    <t>Total Philanthropy Assumed for 60 DCOH</t>
  </si>
  <si>
    <t>Assumed Philanthropy Received Per Pupil</t>
  </si>
  <si>
    <t>DCOH w/Assumed Philanthropy</t>
  </si>
  <si>
    <t>Additional Philanthropy required for 60 DCOH</t>
  </si>
  <si>
    <t>DSCR</t>
  </si>
  <si>
    <t>Total Enrollment</t>
  </si>
  <si>
    <t>% Change YoY</t>
  </si>
  <si>
    <t>Total Recurring Revenue</t>
  </si>
  <si>
    <t>Total Non-Recurring Revenue</t>
  </si>
  <si>
    <t>Personnel</t>
  </si>
  <si>
    <t>Taxes &amp; Benefits</t>
  </si>
  <si>
    <t>Total Taxes and Benefits</t>
  </si>
  <si>
    <t>Change in Net Assets</t>
  </si>
  <si>
    <t>Cash Conversion</t>
  </si>
  <si>
    <t>Less: Principal Payments</t>
  </si>
  <si>
    <t>Add: Depreciation, Amortization</t>
  </si>
  <si>
    <t>Change in Cash</t>
  </si>
  <si>
    <t>SUMMARY</t>
  </si>
  <si>
    <t>Student: Teacher Ratio</t>
  </si>
  <si>
    <t>TOTAL REVENUE</t>
  </si>
  <si>
    <t>EXPENDITURES</t>
  </si>
  <si>
    <t>TOTAL EXPENDITURES</t>
  </si>
  <si>
    <t>FUND BALANCE</t>
  </si>
  <si>
    <t>Beginning Cash Balance</t>
  </si>
  <si>
    <t>ENDING CASH BALANCE</t>
  </si>
  <si>
    <t>Days of Cash on Hand (DCOH)</t>
  </si>
  <si>
    <t>Philanthropy Needed - Cash Goal Seek</t>
  </si>
  <si>
    <t>Days of Cash on Hand Goal</t>
  </si>
  <si>
    <t>Required Cash Balance</t>
  </si>
  <si>
    <t>Assumed Cash Balance</t>
  </si>
  <si>
    <t>Annual Philanthropy Gap</t>
  </si>
  <si>
    <t>Cumulative Philanthropy Gap</t>
  </si>
  <si>
    <t>Cumulative Philanthropy Gap Per New Pupil</t>
  </si>
  <si>
    <t>Debt Service Coverage Ratio</t>
  </si>
  <si>
    <t>Add: Contingency Expense</t>
  </si>
  <si>
    <t>Add: Lease Expense</t>
  </si>
  <si>
    <t>Debt Service: Interest Expense</t>
  </si>
  <si>
    <t>Earnings Before Interest, Depreciation, and Amortization (EBIDA)</t>
  </si>
  <si>
    <t>Total Lease Expense and Debt Service</t>
  </si>
  <si>
    <t>DSCR Goal</t>
  </si>
  <si>
    <t>Required EBIDA</t>
  </si>
  <si>
    <t>Assumed EBIDA</t>
  </si>
  <si>
    <t>WA Charter School - Draft P&amp;L (Operating Statement)</t>
  </si>
  <si>
    <t>Non-Recurring</t>
  </si>
  <si>
    <t>Recurring</t>
  </si>
  <si>
    <t>Total Operating Revenue</t>
  </si>
  <si>
    <t>Total Non-Operating Revenue</t>
  </si>
  <si>
    <t>Enrollment: Total Staff Ratio</t>
  </si>
  <si>
    <t>PRIMARY INPUTS</t>
  </si>
  <si>
    <t>Telephone</t>
  </si>
  <si>
    <t>Field Trips</t>
  </si>
  <si>
    <t>Principal</t>
  </si>
  <si>
    <t>Initial Transaction</t>
  </si>
  <si>
    <t>Par Amount</t>
  </si>
  <si>
    <t>Model Time Horizon</t>
  </si>
  <si>
    <t>Sources:</t>
  </si>
  <si>
    <t>Uses:</t>
  </si>
  <si>
    <t>Rate (Annual ➜ Monthly)</t>
  </si>
  <si>
    <t>Amortization (Years ➜ Months)</t>
  </si>
  <si>
    <t>Closing Date</t>
  </si>
  <si>
    <t>Maturity Date</t>
  </si>
  <si>
    <t>Balance at Maturity</t>
  </si>
  <si>
    <t>Est. Cost of Issuance</t>
  </si>
  <si>
    <t>First Interest Payment Date</t>
  </si>
  <si>
    <t>Contingency</t>
  </si>
  <si>
    <t>First Principal Payment Date</t>
  </si>
  <si>
    <t>Total Sources</t>
  </si>
  <si>
    <t>Total Uses</t>
  </si>
  <si>
    <t>FY</t>
  </si>
  <si>
    <t>Year End</t>
  </si>
  <si>
    <t>Interest</t>
  </si>
  <si>
    <t>Total Pmt</t>
  </si>
  <si>
    <t>Beg Bal</t>
  </si>
  <si>
    <t>End Bal</t>
  </si>
  <si>
    <t>Term</t>
  </si>
  <si>
    <t>Amortization</t>
  </si>
  <si>
    <t>Month</t>
  </si>
  <si>
    <t>Date</t>
  </si>
  <si>
    <t>Total Financing</t>
  </si>
  <si>
    <t>Project Cost</t>
  </si>
  <si>
    <t>Years</t>
  </si>
  <si>
    <t>Depreciation Summary</t>
  </si>
  <si>
    <t>Depreciable Term</t>
  </si>
  <si>
    <t>Capitalized Borrowing:</t>
  </si>
  <si>
    <t>Modeled Borrowing</t>
  </si>
  <si>
    <t>ENROLLMENT TABLES</t>
  </si>
  <si>
    <t>SPECIAL EDUCATION ENROLLMENT</t>
  </si>
  <si>
    <t>ENGLISH LEARNER ENROLLMENT</t>
  </si>
  <si>
    <t>ELEMENTARY ENROLLMENT</t>
  </si>
  <si>
    <t>MIDDLE SCHOOL ENROLLMENT</t>
  </si>
  <si>
    <t>HIGH SCHOOL ENROLLMENT</t>
  </si>
  <si>
    <t>SECTION 2: FINANCIAL PERFORMANCE DASHBOARD</t>
  </si>
  <si>
    <t>SECTION 1: REVENUE</t>
  </si>
  <si>
    <t>NON-PERSONNEL EXPENSES</t>
  </si>
  <si>
    <t>Instructional</t>
  </si>
  <si>
    <t>Non-Instructional</t>
  </si>
  <si>
    <t>Inflation</t>
  </si>
  <si>
    <t>Per FTE</t>
  </si>
  <si>
    <t>Direct Input</t>
  </si>
  <si>
    <t>Interest Expense</t>
  </si>
  <si>
    <t>Full-Time Employment (FTE) Count</t>
  </si>
  <si>
    <t>Instructional Aides/Paraeducators</t>
  </si>
  <si>
    <t>OSPI paraeducators data</t>
  </si>
  <si>
    <t>Expense Classifications - DO NOT CHANGE</t>
  </si>
  <si>
    <t>Facilities</t>
  </si>
  <si>
    <t>Operating</t>
  </si>
  <si>
    <t>Administrative</t>
  </si>
  <si>
    <t>Non-Operating</t>
  </si>
  <si>
    <t>DEBT</t>
  </si>
  <si>
    <t>Revenue Classification #1 - DO NOT CHANGE</t>
  </si>
  <si>
    <t>State &amp; Local</t>
  </si>
  <si>
    <t>Federal</t>
  </si>
  <si>
    <t>Private</t>
  </si>
  <si>
    <t>Source</t>
  </si>
  <si>
    <t>Recurring?</t>
  </si>
  <si>
    <t>Revenue Classification #2 - DO NOT CHANGE - for Recurring?</t>
  </si>
  <si>
    <t>Operating?</t>
  </si>
  <si>
    <t>Revenue Classification #3 - DO NOT CHANGE - for Operating?</t>
  </si>
  <si>
    <t>Position Classification</t>
  </si>
  <si>
    <t>Expense Classification</t>
  </si>
  <si>
    <t>Position Description</t>
  </si>
  <si>
    <t>Position Driver</t>
  </si>
  <si>
    <t>Mixed - Public &amp; Private</t>
  </si>
  <si>
    <t>Mixed - State &amp; Federal</t>
  </si>
  <si>
    <t>REVENUES</t>
  </si>
  <si>
    <t>Total State &amp; Local Revenue</t>
  </si>
  <si>
    <t>Total Federal Revenue</t>
  </si>
  <si>
    <t>Total Private Revenue</t>
  </si>
  <si>
    <t>Enrollment by Grade</t>
  </si>
  <si>
    <t>REVENUE SUSTAINABILITY</t>
  </si>
  <si>
    <t>REVENUE from OPERATIONS</t>
  </si>
  <si>
    <t>REVENUE SOURCES</t>
  </si>
  <si>
    <t>Total Mixed Revenue</t>
  </si>
  <si>
    <t>SECTION 1: DASHBOARD</t>
  </si>
  <si>
    <t>SECTION 2: ENROLLMENT SUMMARY</t>
  </si>
  <si>
    <t>SECTION 3: FULL-TIME EMPLOYMENT SUMMARY</t>
  </si>
  <si>
    <t>SECTION 4: REVENUE</t>
  </si>
  <si>
    <t>Personnel Taxes &amp; Benefits Costs</t>
  </si>
  <si>
    <t>Total Personnel Services Costs</t>
  </si>
  <si>
    <t>Benefits % of Salary</t>
  </si>
  <si>
    <t>&lt;-- Approximate total taxes &amp; benefits as % of salary by position type</t>
  </si>
  <si>
    <t>Position Type</t>
  </si>
  <si>
    <t>*Staffing Tab*</t>
  </si>
  <si>
    <t>*Staff Table Above*</t>
  </si>
  <si>
    <t>EXPENSES by CLASSIFICATION</t>
  </si>
  <si>
    <t>SECTION 6: CASH CONVERSION</t>
  </si>
  <si>
    <t>Accrual Change in Net Assets</t>
  </si>
  <si>
    <t>Total Full-Time Employees</t>
  </si>
  <si>
    <t>SECTION 7: P&amp;L SUMMARY</t>
  </si>
  <si>
    <t>SECTION 8: CASH &amp; DEBT MANAGEMENT</t>
  </si>
  <si>
    <t>Philanthropy Needed - DSCR Goal Seek</t>
  </si>
  <si>
    <t>Additional Philanthropy required for 1.2x DSCR</t>
  </si>
  <si>
    <t>Year 0 - Year 5 Cumulative Change in Net Assets</t>
  </si>
  <si>
    <t>Annual Depreciation:</t>
  </si>
  <si>
    <t>Distribution</t>
  </si>
  <si>
    <t>Year 0 - Year 5 Cumulative Change in Cash</t>
  </si>
  <si>
    <t>SECTION 3: STAFFING by HEADCOUNT, STUDENT RATIO, AVERAGE SALARY, &amp; TOTAL SALARIES</t>
  </si>
  <si>
    <t>Total Full-Time Employment</t>
  </si>
  <si>
    <t>SECTION 5: EXPENSE &amp; CHANGE IN NET ASSETS</t>
  </si>
  <si>
    <t>% of Recurring Revenue</t>
  </si>
  <si>
    <t>12-Month Smoothing</t>
  </si>
  <si>
    <t>10-Month Academic Calendar</t>
  </si>
  <si>
    <t>Quarterly Smoothing</t>
  </si>
  <si>
    <t>25% at the each Quarterly End</t>
  </si>
  <si>
    <t>Expense Reimbursement</t>
  </si>
  <si>
    <t>Two-Installment (front-loaded)</t>
  </si>
  <si>
    <t>Two-Installment (back-loaded)</t>
  </si>
  <si>
    <t>50% at Year Start, 50% at Mid-Year</t>
  </si>
  <si>
    <t>50% at Mid-Year, 50% at Year End</t>
  </si>
  <si>
    <t>Direct Monthly Input</t>
  </si>
  <si>
    <t>Heterogenous Distribution - Manual Entry</t>
  </si>
  <si>
    <t>Even Distribution September-June</t>
  </si>
  <si>
    <t>Cash Distribution - DO NOT CHANGE</t>
  </si>
  <si>
    <t>Even Distribution July-June</t>
  </si>
  <si>
    <t>100% in Selected Month</t>
  </si>
  <si>
    <t>Principal Payments</t>
  </si>
  <si>
    <t>75% Even Distribution September-May, 25% at Year End</t>
  </si>
  <si>
    <t>Year Start Lump Sum</t>
  </si>
  <si>
    <t>MODEL STRUCTURE &amp; FLOW of INFORMATION</t>
  </si>
  <si>
    <t>KEY DECISIONS this MODEL SUPPORTS</t>
  </si>
  <si>
    <t>LONG-RANGE FINANCIAL PROJECTION TEMPLATE</t>
  </si>
  <si>
    <t>Washington State Charter School Commission | MODEL GUIDE</t>
  </si>
  <si>
    <t>The Long-Range Projection (LRP) Model is a multi-year financial planning tool designed to help Washington State charter schools and their authorizer:</t>
  </si>
  <si>
    <t xml:space="preserve"> → Understand long-term financial sustainability across a 5-year projection horizon</t>
  </si>
  <si>
    <t xml:space="preserve"> → Evaluate how enrollment growth, grade-span expansion, and staffing decisions affect fiscal health</t>
  </si>
  <si>
    <t xml:space="preserve"> → Estimate state revenues under WA apportionment formulas (BEA, Special Education, LAP, TBIP)</t>
  </si>
  <si>
    <t xml:space="preserve"> → Assess facility financing scenarios and debt affordability</t>
  </si>
  <si>
    <t xml:space="preserve"> → Identify key financial risks, cash flow vulnerabilities, and trade-offs</t>
  </si>
  <si>
    <t xml:space="preserve"> → Support Board-level strategic decision making and authorizer financial review</t>
  </si>
  <si>
    <t>This model is not a budget. It is a scenario planning tool that shows what must be true for a charter school to remain financially stable over time.</t>
  </si>
  <si>
    <t>WA-Specific Context: Washington charter schools receive state apportionment from OSPI based on AAFTE enrollment, not headcount.</t>
  </si>
  <si>
    <t>Unlike school districts, charter schools cannot levy local property taxes and do not receive dedicated facilities funding from the state.</t>
  </si>
  <si>
    <t>This model reflects those structural constraints throughout</t>
  </si>
  <si>
    <t>PURPOSE OF THIS MODEL</t>
  </si>
  <si>
    <t>HOW TO USE THIS MODEL</t>
  </si>
  <si>
    <t>STEP 1</t>
  </si>
  <si>
    <t>Enter School Information</t>
  </si>
  <si>
    <t>Go to the INPUTS tab. Enter school name, city, zip, district number, grade span, fiscal contact, and beginning fiscal year. This information populates headers across the model.</t>
  </si>
  <si>
    <t>STEP 2</t>
  </si>
  <si>
    <t>STEP 3</t>
  </si>
  <si>
    <t>STEP 4</t>
  </si>
  <si>
    <t>Enter Planned Enrollment</t>
  </si>
  <si>
    <t>Go to the ENROLLMENT tab. Enter AAFTE enrollment by grade level and year for your Planned scenario. WA apportionment is based on Annual Average Full-Time Equivalent (AAFTE), not headcount. Set your Sensitivity scenario percentage in INPUTS (default: 90% of planned).</t>
  </si>
  <si>
    <t>STEP 5</t>
  </si>
  <si>
    <t>STEP 6</t>
  </si>
  <si>
    <t>STEP 7</t>
  </si>
  <si>
    <t>STEP 8</t>
  </si>
  <si>
    <t>Set the Active Enrollment Scenario</t>
  </si>
  <si>
    <t>Return to INPUTS and select which enrollment scenario to model: Planned or Sensitivity. All revenue, staffing, and financial projections will update automatically based on your selection.</t>
  </si>
  <si>
    <t>Go to the DEBT tab. Enter facility borrowing scenarios including par amount, interest rate, term, and closing date. The model calculates annual debt service and integrates it into the P&amp;L and Cash projections.</t>
  </si>
  <si>
    <t>Review the P&amp;L tab for multi-year operating projections. Review the Cash tab for monthly cash flow, disbursement timing, and days of cash on hand.</t>
  </si>
  <si>
    <t>The REPORTS tab provides high-level dashboards, per-pupil metrics, financial health indicators, and visuals for Board presentation and authorizer financial review.</t>
  </si>
  <si>
    <t>Review and Adjust Revenue Assumptions</t>
  </si>
  <si>
    <t>Review and Adjust Staffing</t>
  </si>
  <si>
    <t>Go to Section 3 in the INPUTS tab. Position types and benefits %s have been pre-loaded, adjust to match your school's staffing plan. Go to the STAFFING tab. Review FTE ratios and average salary assumptions by position type. Adjust to match your school's staffing plan. Salary benchmarks are pre-loaded from OSPI and BLS Washington data.</t>
  </si>
  <si>
    <t>Enter Financing Assumptions (if applicable)</t>
  </si>
  <si>
    <t>Review Financial Results</t>
  </si>
  <si>
    <t>Review Summary Reports</t>
  </si>
  <si>
    <t>TAB COLOR</t>
  </si>
  <si>
    <t>YELLOW INPUT TABS</t>
  </si>
  <si>
    <t>BLUE PROFIT AND LOSS TAB</t>
  </si>
  <si>
    <t>Primary inputs: school info, revenue per-pupil rates, growth rates, expense inflation, beginning cash balance, and enrollment scenario selection.</t>
  </si>
  <si>
    <t>AAFTE enrollment by grade level and year. Two parallel scenarios: Planned projection and Sensitivity analysis (% of planned).</t>
  </si>
  <si>
    <t>Staffing ratios, FTE counts by position type, and average salary assumptions. Pre-loaded with WA wage benchmarks from OSPI and BLS.</t>
  </si>
  <si>
    <t>Facility financing inputs: par amount, interest rate, amortization term, closing date. Produces annual debt service schedule.</t>
  </si>
  <si>
    <t>State &amp; Local revenue calculations. Estimates per-pupil revenue for General Apportionment (BEA), Special Education, LAP, TBIP, and other categoricals based on enrollment and rate assumptions.</t>
  </si>
  <si>
    <t>Multi-year Profit &amp; Loss (Operating Statement). Summarizes total revenue, total expenditures, operating surplus/deficit, and per-pupil metrics across the 5-year horizon.</t>
  </si>
  <si>
    <t>GREEN OUPUT TAB</t>
  </si>
  <si>
    <t>Cash</t>
  </si>
  <si>
    <t>Monthly cash flow forecast for Year 1, applying OSPI's actual apportionment disbursement schedule. Tracks beginning/ending cash, days of cash on hand, and flags low-balance months.</t>
  </si>
  <si>
    <t>School profile · BEA rate · COLA % · SpEd % · FRPL % · EL %</t>
  </si>
  <si>
    <t>Grade-by-grade AAFTE · Total enrollment · Sensitivity scenario</t>
  </si>
  <si>
    <t>FTE by position · Avg salary · Student-to-staff ratios</t>
  </si>
  <si>
    <t>Loan amount · Rate · Term · Annual principal &amp; interest</t>
  </si>
  <si>
    <t>Rev. by source · Per-pupil rates · Student population weights</t>
  </si>
  <si>
    <t>Operating margin · Surplus/deficit · Revenue per pupil</t>
  </si>
  <si>
    <t>Monthly receipts by revenue line · Ending cash · DCOH</t>
  </si>
  <si>
    <t>KEY INPUTS/OUTPUTS</t>
  </si>
  <si>
    <t>CELL COLOR</t>
  </si>
  <si>
    <t>User Input Cell</t>
  </si>
  <si>
    <t>Enter or modify values in yellow cells. These are the primary interactive fields.</t>
  </si>
  <si>
    <t>Non-Input Cell</t>
  </si>
  <si>
    <t>Cells contain formulas or references that update automatically based on inputs</t>
  </si>
  <si>
    <t>Enrollment &amp; Growth</t>
  </si>
  <si>
    <t>→  What enrollment level is required for the school to reach financial breakeven?</t>
  </si>
  <si>
    <t>→  How does delayed grade-span expansion affect per-pupil revenue and staffing ratios?</t>
  </si>
  <si>
    <t>→  What is the financial impact if actual AAFTE enrollment falls 10% below projections?</t>
  </si>
  <si>
    <t>Revenue Sustainability</t>
  </si>
  <si>
    <t>→  What COLA-adjusted BEA growth is needed to maintain current operating margins?</t>
  </si>
  <si>
    <t>→  How do changes in FRPL %, SPED %, or EL % affect categorical revenue?</t>
  </si>
  <si>
    <t>Staffing &amp; Operations</t>
  </si>
  <si>
    <t>→  What staffing levels (FTE ratios) are sustainable at projected enrollment?</t>
  </si>
  <si>
    <t>→  What is the per-pupil cost of adding a leadership position or specialist role?</t>
  </si>
  <si>
    <t>→  At what enrollment does the school reach an efficient student-to-staff ratio?</t>
  </si>
  <si>
    <t>Facilities &amp; Debt</t>
  </si>
  <si>
    <t>→  What is the maximum annual debt service this school can sustain given projected revenues?</t>
  </si>
  <si>
    <t>→  What facility cost burden (as % of total budget) results from a given financing scenario?</t>
  </si>
  <si>
    <t>→  How does borrowing affect operating margin, cash position, and financial health ratios?</t>
  </si>
  <si>
    <t>Cash Flow &amp; Liquidity</t>
  </si>
  <si>
    <t>→  In which months does the school face cash flow risk given OSPI's disbursement schedule?</t>
  </si>
  <si>
    <t>→  What is the minimum cash reserve (days of cash on hand) needed to cover thin months?</t>
  </si>
  <si>
    <t>OrganizationName</t>
  </si>
  <si>
    <t>CCDDD</t>
  </si>
  <si>
    <t>Correct Enrollment for LAP</t>
  </si>
  <si>
    <t>Enrollment Used for LAP in September</t>
  </si>
  <si>
    <t>Reduction in FTE for October Apportionment</t>
  </si>
  <si>
    <t>Aberdeen School District</t>
  </si>
  <si>
    <t>14005</t>
  </si>
  <si>
    <t>Adna School District</t>
  </si>
  <si>
    <t>21226</t>
  </si>
  <si>
    <t>Almira School District</t>
  </si>
  <si>
    <t>22017</t>
  </si>
  <si>
    <t>Anacortes School District</t>
  </si>
  <si>
    <t>29103</t>
  </si>
  <si>
    <t>Arlington School District</t>
  </si>
  <si>
    <t>31016</t>
  </si>
  <si>
    <t>Asotin-Anatone School District</t>
  </si>
  <si>
    <t>02420</t>
  </si>
  <si>
    <t>Auburn School District</t>
  </si>
  <si>
    <t>17408</t>
  </si>
  <si>
    <t>Bainbridge Island School District</t>
  </si>
  <si>
    <t>18303</t>
  </si>
  <si>
    <t>Battle Ground School District</t>
  </si>
  <si>
    <t>06119</t>
  </si>
  <si>
    <t>Bellevue School District</t>
  </si>
  <si>
    <t>17405</t>
  </si>
  <si>
    <t>Bellingham School District</t>
  </si>
  <si>
    <t>37501</t>
  </si>
  <si>
    <t>Bethel School District</t>
  </si>
  <si>
    <t>27403</t>
  </si>
  <si>
    <t>Blaine School District</t>
  </si>
  <si>
    <t>37503</t>
  </si>
  <si>
    <t>Boistfort School District</t>
  </si>
  <si>
    <t>21234</t>
  </si>
  <si>
    <t>Bremerton School District</t>
  </si>
  <si>
    <t>18100</t>
  </si>
  <si>
    <t>Brewster School District</t>
  </si>
  <si>
    <t>24111</t>
  </si>
  <si>
    <t>Bridgeport School District</t>
  </si>
  <si>
    <t>09075</t>
  </si>
  <si>
    <t>Burlington-Edison School District</t>
  </si>
  <si>
    <t>29100</t>
  </si>
  <si>
    <t>Camas School District</t>
  </si>
  <si>
    <t>06117</t>
  </si>
  <si>
    <t>Cape Flattery School District</t>
  </si>
  <si>
    <t>05401</t>
  </si>
  <si>
    <t>Carbonado School District</t>
  </si>
  <si>
    <t>27019</t>
  </si>
  <si>
    <t>Cascade School District</t>
  </si>
  <si>
    <t>04228</t>
  </si>
  <si>
    <t>CASHMERE SCHOOL DISTRICT</t>
  </si>
  <si>
    <t>04222</t>
  </si>
  <si>
    <t>Castle Rock School District</t>
  </si>
  <si>
    <t>08401</t>
  </si>
  <si>
    <t>Catalyst Public Schools</t>
  </si>
  <si>
    <t>18901</t>
  </si>
  <si>
    <t>Central Kitsap School District</t>
  </si>
  <si>
    <t>18401</t>
  </si>
  <si>
    <t>Central Valley School District</t>
  </si>
  <si>
    <t>32356</t>
  </si>
  <si>
    <t>Centralia School District</t>
  </si>
  <si>
    <t>21401</t>
  </si>
  <si>
    <t>Chehalis School District</t>
  </si>
  <si>
    <t>21302</t>
  </si>
  <si>
    <t>Chewelah School District</t>
  </si>
  <si>
    <t>33036</t>
  </si>
  <si>
    <t>Chief Leschi Tribal Compact</t>
  </si>
  <si>
    <t>27901</t>
  </si>
  <si>
    <t>Chimacum School District</t>
  </si>
  <si>
    <t>16049</t>
  </si>
  <si>
    <t>Clarkston School District</t>
  </si>
  <si>
    <t>02250</t>
  </si>
  <si>
    <t>Cle Elum-Roslyn School District</t>
  </si>
  <si>
    <t>19404</t>
  </si>
  <si>
    <t>Clover Park School District</t>
  </si>
  <si>
    <t>27400</t>
  </si>
  <si>
    <t>College Place School District</t>
  </si>
  <si>
    <t>36250</t>
  </si>
  <si>
    <t>Columbia (Stevens) School District</t>
  </si>
  <si>
    <t>33206</t>
  </si>
  <si>
    <t>Columbia (Walla Walla) School District</t>
  </si>
  <si>
    <t>36400</t>
  </si>
  <si>
    <t>Colville School District</t>
  </si>
  <si>
    <t>33115</t>
  </si>
  <si>
    <t>Conway School District</t>
  </si>
  <si>
    <t>29317</t>
  </si>
  <si>
    <t>Cosmopolis School District</t>
  </si>
  <si>
    <t>14099</t>
  </si>
  <si>
    <t>Coulee-Hartline School District</t>
  </si>
  <si>
    <t>13151</t>
  </si>
  <si>
    <t>Coupeville School District</t>
  </si>
  <si>
    <t>15204</t>
  </si>
  <si>
    <t>Crescent School District</t>
  </si>
  <si>
    <t>05313</t>
  </si>
  <si>
    <t>Creston School District</t>
  </si>
  <si>
    <t>22073</t>
  </si>
  <si>
    <t>Curlew School District</t>
  </si>
  <si>
    <t>10050</t>
  </si>
  <si>
    <t>Cusick School District</t>
  </si>
  <si>
    <t>26059</t>
  </si>
  <si>
    <t>Darrington School District</t>
  </si>
  <si>
    <t>31330</t>
  </si>
  <si>
    <t>Davenport School District</t>
  </si>
  <si>
    <t>22207</t>
  </si>
  <si>
    <t>Dayton School District</t>
  </si>
  <si>
    <t>07002</t>
  </si>
  <si>
    <t>Deer Park School District</t>
  </si>
  <si>
    <t>32414</t>
  </si>
  <si>
    <t>East Valley School District (Spokane)</t>
  </si>
  <si>
    <t>32361</t>
  </si>
  <si>
    <t>East Valley School District (Yakima)</t>
  </si>
  <si>
    <t>39090</t>
  </si>
  <si>
    <t>Eastmont School District</t>
  </si>
  <si>
    <t>09206</t>
  </si>
  <si>
    <t>Easton School District</t>
  </si>
  <si>
    <t>19028</t>
  </si>
  <si>
    <t>Eatonville School District</t>
  </si>
  <si>
    <t>27404</t>
  </si>
  <si>
    <t>Edmonds School District</t>
  </si>
  <si>
    <t>31015</t>
  </si>
  <si>
    <t>Ellensburg School District</t>
  </si>
  <si>
    <t>19401</t>
  </si>
  <si>
    <t>Elma School District</t>
  </si>
  <si>
    <t>14068</t>
  </si>
  <si>
    <t>Endicott School District</t>
  </si>
  <si>
    <t>38308</t>
  </si>
  <si>
    <t>Entiat School District</t>
  </si>
  <si>
    <t>04127</t>
  </si>
  <si>
    <t>Enumclaw School District</t>
  </si>
  <si>
    <t>17216</t>
  </si>
  <si>
    <t>Ephrata School District</t>
  </si>
  <si>
    <t>13165</t>
  </si>
  <si>
    <t>Evaline School District</t>
  </si>
  <si>
    <t>21036</t>
  </si>
  <si>
    <t>Evergreen School District (Clark)</t>
  </si>
  <si>
    <t>06114</t>
  </si>
  <si>
    <t>Evergreen School District (Stevens)</t>
  </si>
  <si>
    <t>33205</t>
  </si>
  <si>
    <t>Federal Way School District</t>
  </si>
  <si>
    <t>17210</t>
  </si>
  <si>
    <t>Ferndale School District</t>
  </si>
  <si>
    <t>37502</t>
  </si>
  <si>
    <t>Fife School District</t>
  </si>
  <si>
    <t>27417</t>
  </si>
  <si>
    <t>Finley School District</t>
  </si>
  <si>
    <t>03053</t>
  </si>
  <si>
    <t>Franklin Pierce School District</t>
  </si>
  <si>
    <t>27402</t>
  </si>
  <si>
    <t>Freeman School District</t>
  </si>
  <si>
    <t>32358</t>
  </si>
  <si>
    <t>Glenwood School District</t>
  </si>
  <si>
    <t>20401</t>
  </si>
  <si>
    <t>Goldendale School District</t>
  </si>
  <si>
    <t>20404</t>
  </si>
  <si>
    <t>Grand Coulee Dam School District</t>
  </si>
  <si>
    <t>13301</t>
  </si>
  <si>
    <t>Grandview School District</t>
  </si>
  <si>
    <t>39200</t>
  </si>
  <si>
    <t>Granger School District</t>
  </si>
  <si>
    <t>39204</t>
  </si>
  <si>
    <t>Granite Falls School District</t>
  </si>
  <si>
    <t>31332</t>
  </si>
  <si>
    <t>Grapeview School District</t>
  </si>
  <si>
    <t>23054</t>
  </si>
  <si>
    <t>Great Northern School District</t>
  </si>
  <si>
    <t>32312</t>
  </si>
  <si>
    <t>Green Mountain School District</t>
  </si>
  <si>
    <t>06103</t>
  </si>
  <si>
    <t>Griffin School District</t>
  </si>
  <si>
    <t>34324</t>
  </si>
  <si>
    <t>Highland School District</t>
  </si>
  <si>
    <t>39203</t>
  </si>
  <si>
    <t>Highline School District</t>
  </si>
  <si>
    <t>17401</t>
  </si>
  <si>
    <t>Hockinson School District</t>
  </si>
  <si>
    <t>06098</t>
  </si>
  <si>
    <t>Impact | Black River Elementary</t>
  </si>
  <si>
    <t>17919</t>
  </si>
  <si>
    <t>Impact | Commencement Bay Elementary</t>
  </si>
  <si>
    <t>27902</t>
  </si>
  <si>
    <t>Impact | Puget Sound Elementary</t>
  </si>
  <si>
    <t>17911</t>
  </si>
  <si>
    <t>Impact | Salish Sea Elementary</t>
  </si>
  <si>
    <t>17916</t>
  </si>
  <si>
    <t>Inchelium School District</t>
  </si>
  <si>
    <t>10070</t>
  </si>
  <si>
    <t>Index School District</t>
  </si>
  <si>
    <t>31063</t>
  </si>
  <si>
    <t>Issaquah School District</t>
  </si>
  <si>
    <t>17411</t>
  </si>
  <si>
    <t>Kalama School District</t>
  </si>
  <si>
    <t>08402</t>
  </si>
  <si>
    <t>Keller School District</t>
  </si>
  <si>
    <t>10003</t>
  </si>
  <si>
    <t>Kelso School District</t>
  </si>
  <si>
    <t>08458</t>
  </si>
  <si>
    <t>Kennewick School District</t>
  </si>
  <si>
    <t>03017</t>
  </si>
  <si>
    <t>Kent School District</t>
  </si>
  <si>
    <t>17415</t>
  </si>
  <si>
    <t>Kettle Falls School District</t>
  </si>
  <si>
    <t>33212</t>
  </si>
  <si>
    <t>Kiona-Benton City School District</t>
  </si>
  <si>
    <t>03052</t>
  </si>
  <si>
    <t>Kittitas School District</t>
  </si>
  <si>
    <t>19403</t>
  </si>
  <si>
    <t>Klickitat School District</t>
  </si>
  <si>
    <t>20402</t>
  </si>
  <si>
    <t>La Center School District</t>
  </si>
  <si>
    <t>06101</t>
  </si>
  <si>
    <t>La Conner School District</t>
  </si>
  <si>
    <t>29311</t>
  </si>
  <si>
    <t>LaCrosse School District</t>
  </si>
  <si>
    <t>38126</t>
  </si>
  <si>
    <t>Lake Chelan School District</t>
  </si>
  <si>
    <t>04129</t>
  </si>
  <si>
    <t>Lake Quinault School District</t>
  </si>
  <si>
    <t>14097</t>
  </si>
  <si>
    <t>Lake Stevens School District</t>
  </si>
  <si>
    <t>31004</t>
  </si>
  <si>
    <t>Lake Washington School District</t>
  </si>
  <si>
    <t>17414</t>
  </si>
  <si>
    <t>Lakewood School District</t>
  </si>
  <si>
    <t>31306</t>
  </si>
  <si>
    <t>Liberty School District</t>
  </si>
  <si>
    <t>32362</t>
  </si>
  <si>
    <t>Lind School District</t>
  </si>
  <si>
    <t>01158</t>
  </si>
  <si>
    <t>Longview School District</t>
  </si>
  <si>
    <t>08122</t>
  </si>
  <si>
    <t>Loon Lake School District</t>
  </si>
  <si>
    <t>33183</t>
  </si>
  <si>
    <t>Lopez School District</t>
  </si>
  <si>
    <t>28144</t>
  </si>
  <si>
    <t>Lummi Tribal Agency</t>
  </si>
  <si>
    <t>37903</t>
  </si>
  <si>
    <t>Lyle School District</t>
  </si>
  <si>
    <t>20406</t>
  </si>
  <si>
    <t>Lynden School District</t>
  </si>
  <si>
    <t>37504</t>
  </si>
  <si>
    <t>Mabton School District</t>
  </si>
  <si>
    <t>39120</t>
  </si>
  <si>
    <t>Manson School District</t>
  </si>
  <si>
    <t>04019</t>
  </si>
  <si>
    <t>Mary M Knight School District</t>
  </si>
  <si>
    <t>23311</t>
  </si>
  <si>
    <t>Marysville School District</t>
  </si>
  <si>
    <t>31025</t>
  </si>
  <si>
    <t>McCleary School District</t>
  </si>
  <si>
    <t>14065</t>
  </si>
  <si>
    <t>Medical Lake School District</t>
  </si>
  <si>
    <t>32326</t>
  </si>
  <si>
    <t>Meridian School District</t>
  </si>
  <si>
    <t>37505</t>
  </si>
  <si>
    <t>Methow Valley School District</t>
  </si>
  <si>
    <t>24350</t>
  </si>
  <si>
    <t>Mill A School District</t>
  </si>
  <si>
    <t>30031</t>
  </si>
  <si>
    <t>Monroe School District</t>
  </si>
  <si>
    <t>31103</t>
  </si>
  <si>
    <t>Montesano School District</t>
  </si>
  <si>
    <t>14066</t>
  </si>
  <si>
    <t>Morton School District</t>
  </si>
  <si>
    <t>21214</t>
  </si>
  <si>
    <t>Moses Lake School District</t>
  </si>
  <si>
    <t>13161</t>
  </si>
  <si>
    <t>Mossyrock School District</t>
  </si>
  <si>
    <t>21206</t>
  </si>
  <si>
    <t>Mount Adams School District</t>
  </si>
  <si>
    <t>39209</t>
  </si>
  <si>
    <t>Mount Baker School District</t>
  </si>
  <si>
    <t>37507</t>
  </si>
  <si>
    <t>Mount Pleasant School District</t>
  </si>
  <si>
    <t>30029</t>
  </si>
  <si>
    <t>Mount Vernon School District</t>
  </si>
  <si>
    <t>29320</t>
  </si>
  <si>
    <t>Muckleshoot Indian Tribe</t>
  </si>
  <si>
    <t>17903</t>
  </si>
  <si>
    <t>Mukilteo School District</t>
  </si>
  <si>
    <t>31006</t>
  </si>
  <si>
    <t>Naches Valley School District</t>
  </si>
  <si>
    <t>39003</t>
  </si>
  <si>
    <t>Napavine School District</t>
  </si>
  <si>
    <t>21014</t>
  </si>
  <si>
    <t>Naselle-Grays River Valley School District</t>
  </si>
  <si>
    <t>25155</t>
  </si>
  <si>
    <t xml:space="preserve">Nespelem School District  </t>
  </si>
  <si>
    <t>24014</t>
  </si>
  <si>
    <t>Newport School District</t>
  </si>
  <si>
    <t>26056</t>
  </si>
  <si>
    <t>Nine Mile Falls School District</t>
  </si>
  <si>
    <t>32325</t>
  </si>
  <si>
    <t>North Beach School District</t>
  </si>
  <si>
    <t>14064</t>
  </si>
  <si>
    <t>North Franklin School District</t>
  </si>
  <si>
    <t>11051</t>
  </si>
  <si>
    <t>North River School District</t>
  </si>
  <si>
    <t>25200</t>
  </si>
  <si>
    <t>North Thurston Public Schools</t>
  </si>
  <si>
    <t>34003</t>
  </si>
  <si>
    <t>Northport School District</t>
  </si>
  <si>
    <t>33211</t>
  </si>
  <si>
    <t>Northshore School District</t>
  </si>
  <si>
    <t>17417</t>
  </si>
  <si>
    <t>Oak Harbor School District</t>
  </si>
  <si>
    <t>15201</t>
  </si>
  <si>
    <t>Oakesdale School District</t>
  </si>
  <si>
    <t>38324</t>
  </si>
  <si>
    <t>Oakville School District</t>
  </si>
  <si>
    <t>14400</t>
  </si>
  <si>
    <t>Ocosta School District</t>
  </si>
  <si>
    <t>14172</t>
  </si>
  <si>
    <t>Okanogan School District</t>
  </si>
  <si>
    <t>24105</t>
  </si>
  <si>
    <t>Olympia School District</t>
  </si>
  <si>
    <t>34111</t>
  </si>
  <si>
    <t>Omak School District</t>
  </si>
  <si>
    <t>24019</t>
  </si>
  <si>
    <t>Onion Creek School District</t>
  </si>
  <si>
    <t>33030</t>
  </si>
  <si>
    <t>Orcas Island School District</t>
  </si>
  <si>
    <t>28137</t>
  </si>
  <si>
    <t>Orient School District</t>
  </si>
  <si>
    <t>10065</t>
  </si>
  <si>
    <t>Orondo School District</t>
  </si>
  <si>
    <t>09013</t>
  </si>
  <si>
    <t>Oroville School District</t>
  </si>
  <si>
    <t>24410</t>
  </si>
  <si>
    <t>Orting School District</t>
  </si>
  <si>
    <t>27344</t>
  </si>
  <si>
    <t>Othello School District</t>
  </si>
  <si>
    <t>01147</t>
  </si>
  <si>
    <t>Palisades School District</t>
  </si>
  <si>
    <t>09102</t>
  </si>
  <si>
    <t>Palouse School District</t>
  </si>
  <si>
    <t>38301</t>
  </si>
  <si>
    <t>Paschal Sherman Indian School</t>
  </si>
  <si>
    <t>24915</t>
  </si>
  <si>
    <t>Pasco School District</t>
  </si>
  <si>
    <t>11001</t>
  </si>
  <si>
    <t>Pateros School District</t>
  </si>
  <si>
    <t>24122</t>
  </si>
  <si>
    <t>Paterson School District</t>
  </si>
  <si>
    <t>03050</t>
  </si>
  <si>
    <t>Pe Ell School District</t>
  </si>
  <si>
    <t>21301</t>
  </si>
  <si>
    <t>Peninsula School District</t>
  </si>
  <si>
    <t>27401</t>
  </si>
  <si>
    <t>Pioneer School District</t>
  </si>
  <si>
    <t>23402</t>
  </si>
  <si>
    <t>Pomeroy School District</t>
  </si>
  <si>
    <t>12110</t>
  </si>
  <si>
    <t>Port Angeles School District</t>
  </si>
  <si>
    <t>05121</t>
  </si>
  <si>
    <t>Port Townsend School District</t>
  </si>
  <si>
    <t>16050</t>
  </si>
  <si>
    <t>Prosser School District</t>
  </si>
  <si>
    <t>03116</t>
  </si>
  <si>
    <t>Pullman School District</t>
  </si>
  <si>
    <t>38267</t>
  </si>
  <si>
    <t>Puyallup School District</t>
  </si>
  <si>
    <t>27003</t>
  </si>
  <si>
    <t>Quilcene School District</t>
  </si>
  <si>
    <t>16048</t>
  </si>
  <si>
    <t>Quileute Tribal School District</t>
  </si>
  <si>
    <t>05903</t>
  </si>
  <si>
    <t>Quillayute Valley School District</t>
  </si>
  <si>
    <t>05402</t>
  </si>
  <si>
    <t>Quincy School District</t>
  </si>
  <si>
    <t>13144</t>
  </si>
  <si>
    <t>Rainier School District</t>
  </si>
  <si>
    <t>34307</t>
  </si>
  <si>
    <t>Raymond School District</t>
  </si>
  <si>
    <t>25116</t>
  </si>
  <si>
    <t>Renton School District</t>
  </si>
  <si>
    <t>17403</t>
  </si>
  <si>
    <t>Republic School District</t>
  </si>
  <si>
    <t>10309</t>
  </si>
  <si>
    <t>Richland School District</t>
  </si>
  <si>
    <t>03400</t>
  </si>
  <si>
    <t>Ridgefield School District</t>
  </si>
  <si>
    <t>06122</t>
  </si>
  <si>
    <t>Ritzville School District</t>
  </si>
  <si>
    <t>01160</t>
  </si>
  <si>
    <t>Riverside School District</t>
  </si>
  <si>
    <t>32416</t>
  </si>
  <si>
    <t>Riverview School District</t>
  </si>
  <si>
    <t>17407</t>
  </si>
  <si>
    <t>Rochester School District</t>
  </si>
  <si>
    <t>34401</t>
  </si>
  <si>
    <t>San Juan Island School District</t>
  </si>
  <si>
    <t>28149</t>
  </si>
  <si>
    <t>Satsop School District</t>
  </si>
  <si>
    <t>14104</t>
  </si>
  <si>
    <t>Seattle Public Schools</t>
  </si>
  <si>
    <t>17001</t>
  </si>
  <si>
    <t>Sedro-Woolley School District</t>
  </si>
  <si>
    <t>29101</t>
  </si>
  <si>
    <t>Selah School District</t>
  </si>
  <si>
    <t>39119</t>
  </si>
  <si>
    <t>Selkirk School District</t>
  </si>
  <si>
    <t>26070</t>
  </si>
  <si>
    <t>Sequim School District</t>
  </si>
  <si>
    <t>05323</t>
  </si>
  <si>
    <t>Shelton School District</t>
  </si>
  <si>
    <t>23309</t>
  </si>
  <si>
    <t>Shoreline School District</t>
  </si>
  <si>
    <t>17412</t>
  </si>
  <si>
    <t>Skamania School District</t>
  </si>
  <si>
    <t>30002</t>
  </si>
  <si>
    <t>Skykomish School District</t>
  </si>
  <si>
    <t>17404</t>
  </si>
  <si>
    <t>Snohomish School District</t>
  </si>
  <si>
    <t>31201</t>
  </si>
  <si>
    <t>Snoqualmie Valley School District</t>
  </si>
  <si>
    <t>17410</t>
  </si>
  <si>
    <t>Soap Lake School District</t>
  </si>
  <si>
    <t>13156</t>
  </si>
  <si>
    <t>South Bend School District</t>
  </si>
  <si>
    <t>25118</t>
  </si>
  <si>
    <t>South Kitsap School District</t>
  </si>
  <si>
    <t>18402</t>
  </si>
  <si>
    <t>South Whidbey School District</t>
  </si>
  <si>
    <t>15206</t>
  </si>
  <si>
    <t>Southside School District</t>
  </si>
  <si>
    <t>23042</t>
  </si>
  <si>
    <t>Spokane International Academy</t>
  </si>
  <si>
    <t>32901</t>
  </si>
  <si>
    <t>Spokane School District</t>
  </si>
  <si>
    <t>32081</t>
  </si>
  <si>
    <t>Sprague School District</t>
  </si>
  <si>
    <t>22008</t>
  </si>
  <si>
    <t>St. John School District</t>
  </si>
  <si>
    <t>38322</t>
  </si>
  <si>
    <t>Stanwood-Camano School District</t>
  </si>
  <si>
    <t>31401</t>
  </si>
  <si>
    <t>Starbuck School District</t>
  </si>
  <si>
    <t>07035</t>
  </si>
  <si>
    <t>Steilacoom Hist. School District</t>
  </si>
  <si>
    <t>27001</t>
  </si>
  <si>
    <t>Stevenson-Carson School District</t>
  </si>
  <si>
    <t>30303</t>
  </si>
  <si>
    <t>Sultan School District</t>
  </si>
  <si>
    <t>31311</t>
  </si>
  <si>
    <t>Summit Valley School District</t>
  </si>
  <si>
    <t>33202</t>
  </si>
  <si>
    <t>Sumner-Bonney Lake School District</t>
  </si>
  <si>
    <t>27320</t>
  </si>
  <si>
    <t>Sunnyside School District</t>
  </si>
  <si>
    <t>39201</t>
  </si>
  <si>
    <t>Tacoma School District</t>
  </si>
  <si>
    <t>27010</t>
  </si>
  <si>
    <t>Tahoma School District</t>
  </si>
  <si>
    <t>17409</t>
  </si>
  <si>
    <t>Tekoa School District</t>
  </si>
  <si>
    <t>38265</t>
  </si>
  <si>
    <t>Thorp School District</t>
  </si>
  <si>
    <t>19400</t>
  </si>
  <si>
    <t>Toledo School District</t>
  </si>
  <si>
    <t>21237</t>
  </si>
  <si>
    <t>Toppenish School District</t>
  </si>
  <si>
    <t>39202</t>
  </si>
  <si>
    <t>Touchet School District</t>
  </si>
  <si>
    <t>36300</t>
  </si>
  <si>
    <t>Toutle Lake School District</t>
  </si>
  <si>
    <t>08130</t>
  </si>
  <si>
    <t>Trout Lake School District</t>
  </si>
  <si>
    <t>20400</t>
  </si>
  <si>
    <t>Tukwila School District</t>
  </si>
  <si>
    <t>17406</t>
  </si>
  <si>
    <t>Tumwater School District</t>
  </si>
  <si>
    <t>34033</t>
  </si>
  <si>
    <t>Union Gap School District</t>
  </si>
  <si>
    <t>39002</t>
  </si>
  <si>
    <t>Valley School District</t>
  </si>
  <si>
    <t>33070</t>
  </si>
  <si>
    <t>Vancouver School District</t>
  </si>
  <si>
    <t>06037</t>
  </si>
  <si>
    <t>Vashon Island School District</t>
  </si>
  <si>
    <t>17402</t>
  </si>
  <si>
    <t>WA HE LUT Indian School Agency</t>
  </si>
  <si>
    <t>34901</t>
  </si>
  <si>
    <t>Wahkiakum School District</t>
  </si>
  <si>
    <t>35200</t>
  </si>
  <si>
    <t>Wahluke School District</t>
  </si>
  <si>
    <t>13073</t>
  </si>
  <si>
    <t>Waitsburg School District</t>
  </si>
  <si>
    <t>36401</t>
  </si>
  <si>
    <t>Walla Walla Public Schools</t>
  </si>
  <si>
    <t>36140</t>
  </si>
  <si>
    <t>Wapato School District</t>
  </si>
  <si>
    <t>39207</t>
  </si>
  <si>
    <t>Washougal School District</t>
  </si>
  <si>
    <t>06112</t>
  </si>
  <si>
    <t>Washtucna School District</t>
  </si>
  <si>
    <t>01109</t>
  </si>
  <si>
    <t>Waterville School District</t>
  </si>
  <si>
    <t>09209</t>
  </si>
  <si>
    <t>Wellpinit School District</t>
  </si>
  <si>
    <t>33049</t>
  </si>
  <si>
    <t>Wenatchee School District</t>
  </si>
  <si>
    <t>04246</t>
  </si>
  <si>
    <t>West Valley School District (Spokane)</t>
  </si>
  <si>
    <t>32363</t>
  </si>
  <si>
    <t>West Valley School District (Yakima)</t>
  </si>
  <si>
    <t>39208</t>
  </si>
  <si>
    <t>White River School District</t>
  </si>
  <si>
    <t>27416</t>
  </si>
  <si>
    <t>White Salmon Valley School District</t>
  </si>
  <si>
    <t>20405</t>
  </si>
  <si>
    <t>Wilbur School District</t>
  </si>
  <si>
    <t>22200</t>
  </si>
  <si>
    <t>Willapa Valley School District</t>
  </si>
  <si>
    <t>25160</t>
  </si>
  <si>
    <t>Wilson Creek School District</t>
  </si>
  <si>
    <t>13167</t>
  </si>
  <si>
    <t>Winlock School District</t>
  </si>
  <si>
    <t>21232</t>
  </si>
  <si>
    <t>Wishkah Valley School District</t>
  </si>
  <si>
    <t>14117</t>
  </si>
  <si>
    <t>Wishram School District</t>
  </si>
  <si>
    <t>20094</t>
  </si>
  <si>
    <t>Woodland School District</t>
  </si>
  <si>
    <t>08404</t>
  </si>
  <si>
    <t>Yakima School District</t>
  </si>
  <si>
    <t>39007</t>
  </si>
  <si>
    <t>Yelm School District</t>
  </si>
  <si>
    <t>34002</t>
  </si>
  <si>
    <t>Zillah School District</t>
  </si>
  <si>
    <t>39205</t>
  </si>
  <si>
    <t>Sept</t>
  </si>
  <si>
    <t>Oct</t>
  </si>
  <si>
    <t>Nov</t>
  </si>
  <si>
    <t>Dec</t>
  </si>
  <si>
    <t>Jan</t>
  </si>
  <si>
    <t>Feb</t>
  </si>
  <si>
    <t>Mar</t>
  </si>
  <si>
    <t>Apr</t>
  </si>
  <si>
    <t>May</t>
  </si>
  <si>
    <t>Jun</t>
  </si>
  <si>
    <t>Jul</t>
  </si>
  <si>
    <t>Aug</t>
  </si>
  <si>
    <t>OSPILegacyCode</t>
  </si>
  <si>
    <t>Z246
SpEd BEA Rate</t>
  </si>
  <si>
    <t>01122</t>
  </si>
  <si>
    <t>Benge School District</t>
  </si>
  <si>
    <t>04069</t>
  </si>
  <si>
    <t>Stehekin School District</t>
  </si>
  <si>
    <t>04801</t>
  </si>
  <si>
    <t>North Central Educational Service District 171</t>
  </si>
  <si>
    <t>04901</t>
  </si>
  <si>
    <t>Pinnacles Prep</t>
  </si>
  <si>
    <t>04951</t>
  </si>
  <si>
    <t>Wenatchee Vally College</t>
  </si>
  <si>
    <t>05940</t>
  </si>
  <si>
    <t>Peninsula College</t>
  </si>
  <si>
    <t>06701</t>
  </si>
  <si>
    <t>ESA 112</t>
  </si>
  <si>
    <t>06801</t>
  </si>
  <si>
    <t>Educational Service District 112</t>
  </si>
  <si>
    <t>06901</t>
  </si>
  <si>
    <t>Rooted School Vancouver</t>
  </si>
  <si>
    <t>06927</t>
  </si>
  <si>
    <t>Clark College</t>
  </si>
  <si>
    <t>08937</t>
  </si>
  <si>
    <t>Lower Columbia College</t>
  </si>
  <si>
    <t>09207</t>
  </si>
  <si>
    <t>Mansfield School District</t>
  </si>
  <si>
    <t>11054</t>
  </si>
  <si>
    <t>Star School District No. 054</t>
  </si>
  <si>
    <t>11056</t>
  </si>
  <si>
    <t>Kahlotus School District</t>
  </si>
  <si>
    <t>11801</t>
  </si>
  <si>
    <t>Educational Service District 123</t>
  </si>
  <si>
    <t>11928</t>
  </si>
  <si>
    <t>Columbia Basin College</t>
  </si>
  <si>
    <t>13146</t>
  </si>
  <si>
    <t>Warden School District</t>
  </si>
  <si>
    <t>13160</t>
  </si>
  <si>
    <t>Royal School District</t>
  </si>
  <si>
    <t>13925</t>
  </si>
  <si>
    <t>Big Bend Community College</t>
  </si>
  <si>
    <t>14028</t>
  </si>
  <si>
    <t>Hoquiam School District</t>
  </si>
  <si>
    <t>14077</t>
  </si>
  <si>
    <t>Taholah School District</t>
  </si>
  <si>
    <t>14934</t>
  </si>
  <si>
    <t>Grays Harbor College</t>
  </si>
  <si>
    <t>16020</t>
  </si>
  <si>
    <t>Queets-Clearwater School District</t>
  </si>
  <si>
    <t>16046</t>
  </si>
  <si>
    <t>Brinnon School District</t>
  </si>
  <si>
    <t>17400</t>
  </si>
  <si>
    <t>Mercer Island School District</t>
  </si>
  <si>
    <t>17801</t>
  </si>
  <si>
    <t>Puget Sound Educational Service District 121</t>
  </si>
  <si>
    <t>17902</t>
  </si>
  <si>
    <t>Summit Public School: Sierra</t>
  </si>
  <si>
    <t>17904</t>
  </si>
  <si>
    <t>University of Washington (17904)</t>
  </si>
  <si>
    <t>17905</t>
  </si>
  <si>
    <t>Summit Public School: Atlas</t>
  </si>
  <si>
    <t>17908</t>
  </si>
  <si>
    <t>Rainier Prep Charter School District</t>
  </si>
  <si>
    <t>17910</t>
  </si>
  <si>
    <t xml:space="preserve">Rainier Valley Leadership Academy </t>
  </si>
  <si>
    <t>17917</t>
  </si>
  <si>
    <t>Why Not You Academy (formerly Cascade: Midway charter)</t>
  </si>
  <si>
    <t>17918</t>
  </si>
  <si>
    <t>University of Washington Early Entrance Program</t>
  </si>
  <si>
    <t>17924</t>
  </si>
  <si>
    <t>Bellevue Community College</t>
  </si>
  <si>
    <t>17935</t>
  </si>
  <si>
    <t>Green River College</t>
  </si>
  <si>
    <t>17936</t>
  </si>
  <si>
    <t>Highline College</t>
  </si>
  <si>
    <t>17937</t>
  </si>
  <si>
    <t>Lake Washington Institute of Technology</t>
  </si>
  <si>
    <t>17938</t>
  </si>
  <si>
    <t>North Seattle Community College</t>
  </si>
  <si>
    <t>17941</t>
  </si>
  <si>
    <t>Renton Technical College</t>
  </si>
  <si>
    <t>17942</t>
  </si>
  <si>
    <t xml:space="preserve">Seattle Central Community College </t>
  </si>
  <si>
    <t>17943</t>
  </si>
  <si>
    <t>Shoreline Community College</t>
  </si>
  <si>
    <t>17946</t>
  </si>
  <si>
    <t>South Seattle Community College (CC Dist #6)</t>
  </si>
  <si>
    <t>18400</t>
  </si>
  <si>
    <t>North Kitsap School District</t>
  </si>
  <si>
    <t>18801</t>
  </si>
  <si>
    <t>Olympic Educational Service District 114</t>
  </si>
  <si>
    <t>18902</t>
  </si>
  <si>
    <t>Suquamish Tribal Education Department</t>
  </si>
  <si>
    <t>18939</t>
  </si>
  <si>
    <t>Olympic College</t>
  </si>
  <si>
    <t>19007</t>
  </si>
  <si>
    <t>Damman School District</t>
  </si>
  <si>
    <t>19901</t>
  </si>
  <si>
    <t>Central Washington University</t>
  </si>
  <si>
    <t>20203</t>
  </si>
  <si>
    <t>Bickleton School District</t>
  </si>
  <si>
    <t>20215</t>
  </si>
  <si>
    <t>Centerville School District</t>
  </si>
  <si>
    <t>20403</t>
  </si>
  <si>
    <t>Roosevelt School District</t>
  </si>
  <si>
    <t>21018</t>
  </si>
  <si>
    <t>Vader School District</t>
  </si>
  <si>
    <t>21300</t>
  </si>
  <si>
    <t>Onalaska School District</t>
  </si>
  <si>
    <t>21303</t>
  </si>
  <si>
    <t>White Pass School District</t>
  </si>
  <si>
    <t>21926</t>
  </si>
  <si>
    <t>Centralia College</t>
  </si>
  <si>
    <t>22009</t>
  </si>
  <si>
    <t>Reardan-Edwall School District</t>
  </si>
  <si>
    <t>22105</t>
  </si>
  <si>
    <t>Odessa School District</t>
  </si>
  <si>
    <t>22204</t>
  </si>
  <si>
    <t>Harrington School District</t>
  </si>
  <si>
    <t>23403</t>
  </si>
  <si>
    <t>North Mason School District</t>
  </si>
  <si>
    <t>23404</t>
  </si>
  <si>
    <t>Hood Canal School District</t>
  </si>
  <si>
    <t>24404</t>
  </si>
  <si>
    <t>Tonasket School District</t>
  </si>
  <si>
    <t>25101</t>
  </si>
  <si>
    <t>Ocean Beach School District</t>
  </si>
  <si>
    <t>27083</t>
  </si>
  <si>
    <t>University Place School District</t>
  </si>
  <si>
    <t>27343</t>
  </si>
  <si>
    <t>Dieringer School District</t>
  </si>
  <si>
    <t>27931</t>
  </si>
  <si>
    <t>Bates Technical College</t>
  </si>
  <si>
    <t>27932</t>
  </si>
  <si>
    <t>Clover Park Technical College</t>
  </si>
  <si>
    <t>27941</t>
  </si>
  <si>
    <t>Pierce College</t>
  </si>
  <si>
    <t>27949</t>
  </si>
  <si>
    <t>Tacoma Community College</t>
  </si>
  <si>
    <t>28010</t>
  </si>
  <si>
    <t>Shaw Island School District</t>
  </si>
  <si>
    <t>Lopez Island School District</t>
  </si>
  <si>
    <t>29011</t>
  </si>
  <si>
    <t>Concrete School District</t>
  </si>
  <si>
    <t>29801</t>
  </si>
  <si>
    <t>Northwest Educational Service District 189</t>
  </si>
  <si>
    <t>29944</t>
  </si>
  <si>
    <t>Skagit Valley College</t>
  </si>
  <si>
    <t>31002</t>
  </si>
  <si>
    <t>Everett School District</t>
  </si>
  <si>
    <t>31932</t>
  </si>
  <si>
    <t>Edmonds Community College</t>
  </si>
  <si>
    <t>31933</t>
  </si>
  <si>
    <t>Everett Community College</t>
  </si>
  <si>
    <t>32123</t>
  </si>
  <si>
    <t>Orchard Prairie School District</t>
  </si>
  <si>
    <t>32354</t>
  </si>
  <si>
    <t>Mead School District</t>
  </si>
  <si>
    <t>32360</t>
  </si>
  <si>
    <t>Cheney School District</t>
  </si>
  <si>
    <t>32801</t>
  </si>
  <si>
    <t>Educational Service District 101</t>
  </si>
  <si>
    <t>32902</t>
  </si>
  <si>
    <t>Eastern Washington University</t>
  </si>
  <si>
    <t>32903</t>
  </si>
  <si>
    <t>Lumen Public School</t>
  </si>
  <si>
    <t>32907</t>
  </si>
  <si>
    <t xml:space="preserve">Innovation Spokane Charter School District </t>
  </si>
  <si>
    <t>32911</t>
  </si>
  <si>
    <t>Spokane Public Schools Charter Authorizer</t>
  </si>
  <si>
    <t>32931</t>
  </si>
  <si>
    <t>Community Colleges of Spokane</t>
  </si>
  <si>
    <t>32948</t>
  </si>
  <si>
    <t>Spokane Falls Community College</t>
  </si>
  <si>
    <t>33207</t>
  </si>
  <si>
    <t>Mary Walker School District</t>
  </si>
  <si>
    <t>34402</t>
  </si>
  <si>
    <t>Tenino School District</t>
  </si>
  <si>
    <t>34801</t>
  </si>
  <si>
    <t>Capital Region ESD 113</t>
  </si>
  <si>
    <t>34903</t>
  </si>
  <si>
    <t>Evergreen State College</t>
  </si>
  <si>
    <t>34945</t>
  </si>
  <si>
    <t>Puget Sound Community College</t>
  </si>
  <si>
    <t>34950</t>
  </si>
  <si>
    <t>Washington State Charter School Commission</t>
  </si>
  <si>
    <t>34970</t>
  </si>
  <si>
    <t>DSHS</t>
  </si>
  <si>
    <t>34973</t>
  </si>
  <si>
    <t>Department of Corrections</t>
  </si>
  <si>
    <t>34974</t>
  </si>
  <si>
    <t>Office of the Governor (Sch for Blind)</t>
  </si>
  <si>
    <t>34975</t>
  </si>
  <si>
    <t>Washington Center for Deaf and Hard of Hearing Youth</t>
  </si>
  <si>
    <t>34977</t>
  </si>
  <si>
    <t>Department of Health</t>
  </si>
  <si>
    <t>34978</t>
  </si>
  <si>
    <t>Department of Children Youth and Families</t>
  </si>
  <si>
    <t>34979</t>
  </si>
  <si>
    <t>Washington Military Department</t>
  </si>
  <si>
    <t>36101</t>
  </si>
  <si>
    <t>Dixie School District</t>
  </si>
  <si>
    <t>36402</t>
  </si>
  <si>
    <t>Prescott School District</t>
  </si>
  <si>
    <t>36950</t>
  </si>
  <si>
    <t>Walla Walla Community College</t>
  </si>
  <si>
    <t>37506</t>
  </si>
  <si>
    <t>Nooksack Valley School District</t>
  </si>
  <si>
    <t>37901</t>
  </si>
  <si>
    <t>Bellingham Technical College</t>
  </si>
  <si>
    <t>37902</t>
  </si>
  <si>
    <t>Whatcom Intergenerational High School</t>
  </si>
  <si>
    <t>37906</t>
  </si>
  <si>
    <t>Western Washington University</t>
  </si>
  <si>
    <t>37952</t>
  </si>
  <si>
    <t>Whatcom Community College</t>
  </si>
  <si>
    <t>38264</t>
  </si>
  <si>
    <t>Lamont School District</t>
  </si>
  <si>
    <t>38300</t>
  </si>
  <si>
    <t>Colfax School District</t>
  </si>
  <si>
    <t>38302</t>
  </si>
  <si>
    <t>Garfield School District</t>
  </si>
  <si>
    <t>38304</t>
  </si>
  <si>
    <t>Steptoe School District</t>
  </si>
  <si>
    <t>38306</t>
  </si>
  <si>
    <t>Colton School District</t>
  </si>
  <si>
    <t>38320</t>
  </si>
  <si>
    <t>Rosalia School District</t>
  </si>
  <si>
    <t>38905</t>
  </si>
  <si>
    <t>Washington State University</t>
  </si>
  <si>
    <t>39801</t>
  </si>
  <si>
    <t>Educational Service District 105</t>
  </si>
  <si>
    <t>39901</t>
  </si>
  <si>
    <t>Yakama Nation Tribal Compact</t>
  </si>
  <si>
    <t>39953</t>
  </si>
  <si>
    <t>Yakima Valley Community College</t>
  </si>
  <si>
    <t>00000</t>
  </si>
  <si>
    <t>STATE TOTAL AVERAGE</t>
  </si>
  <si>
    <t>PURPLE CASH TAB</t>
  </si>
  <si>
    <t>OSPI State Apportionment</t>
  </si>
  <si>
    <t>As of March 2026</t>
  </si>
  <si>
    <t>Philanthropy required for DCOH Goal</t>
  </si>
  <si>
    <t>Debt Service Coverage Ratio (DSCR)</t>
  </si>
  <si>
    <t>Philanthropy required for DSCR Goal</t>
  </si>
  <si>
    <t>DCOH Goal</t>
  </si>
  <si>
    <t>DASHBOARD</t>
  </si>
  <si>
    <t>Dashboards · Health ratios</t>
  </si>
  <si>
    <t>Trend charts · Per-pupil views · Cash and debt management</t>
  </si>
  <si>
    <t>High-level financial dashboard and key financial health ratios. Designed for Board presentations and WSCSC authorizer review.</t>
  </si>
  <si>
    <t>High-level financial summaries, 5-year trend charts, and cash metrics. Designed for Board presentations and WSCSC authorizer review.</t>
  </si>
  <si>
    <t>REQUIRES "ITERATIVE CALCULATIONS" TO BE ENABLED</t>
  </si>
  <si>
    <t>Guidance to research local average salaries</t>
  </si>
  <si>
    <t>Annual Cohort Attrition</t>
  </si>
  <si>
    <t>SECTION 2: AVERAGE SALARIES DATA         ----------------&gt;</t>
  </si>
  <si>
    <t>Planned</t>
  </si>
  <si>
    <t>Enrollment Data Tool</t>
  </si>
  <si>
    <t>*Data Tool Guidance*</t>
  </si>
  <si>
    <t>*Attrition Guidance*</t>
  </si>
  <si>
    <t>Average Salaries Research Notes</t>
  </si>
  <si>
    <t>Manual Evaluation - Dropdown</t>
  </si>
  <si>
    <t>Actual Enrollment</t>
  </si>
  <si>
    <t>Manual Input - Actual Enrollment Below</t>
  </si>
  <si>
    <t>Position Title/Description</t>
  </si>
  <si>
    <t>Original Budget</t>
  </si>
  <si>
    <t>Current Budget</t>
  </si>
  <si>
    <t>Annual Salary</t>
  </si>
  <si>
    <t>FTE</t>
  </si>
  <si>
    <t>1000 - LOCAL TAXES</t>
  </si>
  <si>
    <t>1100 - Local Property Tax</t>
  </si>
  <si>
    <t>1900 - Other Local Taxes</t>
  </si>
  <si>
    <t>2000 - LOCAL SUPPORT - NON-TAX</t>
  </si>
  <si>
    <t xml:space="preserve">2200 - Sale Of Goods, Supplies, &amp; Services - Unassigned </t>
  </si>
  <si>
    <t xml:space="preserve">2500 - Gifts Grants, and Donations (Local)   </t>
  </si>
  <si>
    <t>3000 - STATE REVENUE - GENERAL PURPOSE</t>
  </si>
  <si>
    <t xml:space="preserve">3121 - Special Education - General Apportionment  </t>
  </si>
  <si>
    <t>4000 - STATE REVENUE - SPECIAL PURPOSE</t>
  </si>
  <si>
    <t xml:space="preserve">4121 - Special Education - State   </t>
  </si>
  <si>
    <t xml:space="preserve">4174 - Highly Capable      </t>
  </si>
  <si>
    <t xml:space="preserve">4198 - School Food Service      </t>
  </si>
  <si>
    <t>4199 - Transportation - Operations</t>
  </si>
  <si>
    <t>5000 - FEDERAL REVENUE - GENERAL PURPOSE</t>
  </si>
  <si>
    <t xml:space="preserve">5200 - General Purpose Direct Fed. Grants - Unassigned  </t>
  </si>
  <si>
    <t>Title I</t>
  </si>
  <si>
    <t>Title II</t>
  </si>
  <si>
    <t>Title III</t>
  </si>
  <si>
    <t>IDEA Funding</t>
  </si>
  <si>
    <t>CSP</t>
  </si>
  <si>
    <t>6000 - FEDERAL REVENUE - SPECIAL PURPOSE</t>
  </si>
  <si>
    <t xml:space="preserve">6100 - Special Purpose - OSPI Unassigned    </t>
  </si>
  <si>
    <t xml:space="preserve">6198 - School Food Services     </t>
  </si>
  <si>
    <t>7000 - OTHER SCHOOL DISTRICTS</t>
  </si>
  <si>
    <t xml:space="preserve">7100 - Program Participation, Unassigned </t>
  </si>
  <si>
    <t>8000 - OTHER ENTITIES</t>
  </si>
  <si>
    <t xml:space="preserve">8100 - Governmental Entities      </t>
  </si>
  <si>
    <t xml:space="preserve">8200 - Private Foundations  </t>
  </si>
  <si>
    <t xml:space="preserve">8500 - Educational Service Districts   </t>
  </si>
  <si>
    <t>9000 - OTHER FINANCING SOURCES</t>
  </si>
  <si>
    <t xml:space="preserve">9500 - Long-Term Financing      </t>
  </si>
  <si>
    <t>9900 - Transfers</t>
  </si>
  <si>
    <t>ASSETS</t>
  </si>
  <si>
    <t>CURRENT ASSETS</t>
  </si>
  <si>
    <t xml:space="preserve">Cash and cash equivalents </t>
  </si>
  <si>
    <t>Grants and contracts receivable</t>
  </si>
  <si>
    <t>Accounts receivables</t>
  </si>
  <si>
    <t>Prepaid Expenses</t>
  </si>
  <si>
    <t>Contributions and other receivables</t>
  </si>
  <si>
    <t>TOTAL CURRENT ASSETS</t>
  </si>
  <si>
    <t>PROPERTY, BUILDING AND EQUIPMENT, net</t>
  </si>
  <si>
    <t>OTHER ASSETS</t>
  </si>
  <si>
    <t>TOTAL ASSETS</t>
  </si>
  <si>
    <t>LIABILITIES AND NET ASSETS</t>
  </si>
  <si>
    <t>CURRENT LIABILITIES</t>
  </si>
  <si>
    <t>Accounts payable and accrued expenses</t>
  </si>
  <si>
    <t>Accrued payroll and benefits</t>
  </si>
  <si>
    <t>Dreferred Revenue</t>
  </si>
  <si>
    <t>Current maturities of long-term debt</t>
  </si>
  <si>
    <t>Short Term Debt - Bonds, Notes Payable</t>
  </si>
  <si>
    <t xml:space="preserve">Other </t>
  </si>
  <si>
    <t>TOTAL CURRENT LIABILITIES</t>
  </si>
  <si>
    <t>LONG-TERM DEBT and NOTES PAYABLE, net current maturities</t>
  </si>
  <si>
    <t>TOTAL LIABILITIES</t>
  </si>
  <si>
    <t>NET ASSETS</t>
  </si>
  <si>
    <t>Unrestricted</t>
  </si>
  <si>
    <t>Temporarily restricted</t>
  </si>
  <si>
    <t>TOTAL NET ASSETS</t>
  </si>
  <si>
    <t>TOTAL LIABILITIES AND NET ASSETS</t>
  </si>
  <si>
    <t>Balance Sheet</t>
  </si>
  <si>
    <t>GUIDE: Use this tab to map actual staff roster data into the Financial Projection Template</t>
  </si>
  <si>
    <t>WA Charter School - BUDGETED STAFF ROSTER TEMPLATE</t>
  </si>
  <si>
    <t>Step 1)</t>
  </si>
  <si>
    <t>Step 2)</t>
  </si>
  <si>
    <t>MAP TO MODEL CATEGORIES</t>
  </si>
  <si>
    <t>Step 3)</t>
  </si>
  <si>
    <t>WRITE SUMIFS IN *STAFFING* TAB</t>
  </si>
  <si>
    <t>Step 4)</t>
  </si>
  <si>
    <t>UPDATE PERIODICALLY</t>
  </si>
  <si>
    <t>IMPORT STAFF DATA</t>
  </si>
  <si>
    <t>Position Category
(Map Position Titles/Descriptions 
to Model Categories)</t>
  </si>
  <si>
    <t>Manual Input - Update as Available</t>
  </si>
  <si>
    <t>Y1 FY Cash</t>
  </si>
  <si>
    <t>Personnel Costs</t>
  </si>
  <si>
    <t>Nurse</t>
  </si>
  <si>
    <t>Librarian</t>
  </si>
  <si>
    <t xml:space="preserve">Accounting / Audit </t>
  </si>
  <si>
    <t>Legal</t>
  </si>
  <si>
    <t>Oversight Fee (3%)</t>
  </si>
  <si>
    <t>Nurse Services</t>
  </si>
  <si>
    <t>Special Ed Services</t>
  </si>
  <si>
    <t>Board Expenses</t>
  </si>
  <si>
    <t>Special Ed Supplies &amp; Materials</t>
  </si>
  <si>
    <t>Student Testing &amp; Assessment</t>
  </si>
  <si>
    <t>Staff Recruitment</t>
  </si>
  <si>
    <t>Fundraising</t>
  </si>
  <si>
    <t>Janitorial Services</t>
  </si>
  <si>
    <t>Security Services</t>
  </si>
  <si>
    <t>DEPRECIATION &amp; AMORTIZATION</t>
  </si>
  <si>
    <t>Expense Detail</t>
  </si>
  <si>
    <t>Expense Category</t>
  </si>
  <si>
    <t>SECTION 2: EXPENSES</t>
  </si>
  <si>
    <t>EXPENSES by CATEGORY</t>
  </si>
  <si>
    <t>% of State Revenue</t>
  </si>
  <si>
    <t>3100 - Basic Education Apportionment (BEA)</t>
  </si>
  <si>
    <t>4155 - Learning Assistance Program (LAP)</t>
  </si>
  <si>
    <t>4165 - Transitional Bilingual (TBIP)</t>
  </si>
  <si>
    <t>Non-Personnel Expense Growth Rates</t>
  </si>
  <si>
    <t>2xxx</t>
  </si>
  <si>
    <t>3xxx</t>
  </si>
  <si>
    <t>4xxx</t>
  </si>
  <si>
    <t>6xxx</t>
  </si>
  <si>
    <t>5xxx</t>
  </si>
  <si>
    <t>7xxx</t>
  </si>
  <si>
    <t>8xxx</t>
  </si>
  <si>
    <t>9xxx</t>
  </si>
  <si>
    <t>1100</t>
  </si>
  <si>
    <t>1900</t>
  </si>
  <si>
    <t>2200</t>
  </si>
  <si>
    <t>2500</t>
  </si>
  <si>
    <t>3100</t>
  </si>
  <si>
    <t>3121</t>
  </si>
  <si>
    <t>4121</t>
  </si>
  <si>
    <t>4155</t>
  </si>
  <si>
    <t>4165</t>
  </si>
  <si>
    <t>4174</t>
  </si>
  <si>
    <t>4198</t>
  </si>
  <si>
    <t>4199</t>
  </si>
  <si>
    <t>5200</t>
  </si>
  <si>
    <t>6100</t>
  </si>
  <si>
    <t>6198</t>
  </si>
  <si>
    <t>7100</t>
  </si>
  <si>
    <t>8100</t>
  </si>
  <si>
    <t>8200</t>
  </si>
  <si>
    <t>8500</t>
  </si>
  <si>
    <t>9500</t>
  </si>
  <si>
    <t>9900</t>
  </si>
  <si>
    <t>IDEA</t>
  </si>
  <si>
    <t>2300 - Investment Earnings</t>
  </si>
  <si>
    <t>2300</t>
  </si>
  <si>
    <t>State Revenue</t>
  </si>
  <si>
    <t>Federal Revenue</t>
  </si>
  <si>
    <t>Local / Other</t>
  </si>
  <si>
    <t>Mixed</t>
  </si>
  <si>
    <t>Other / Mixed</t>
  </si>
  <si>
    <t>Year 0 Beginning Cash Balance</t>
  </si>
  <si>
    <t>Contracted Services</t>
  </si>
  <si>
    <t>Management Company Fee</t>
  </si>
  <si>
    <t>Payroll Services</t>
  </si>
  <si>
    <t>Titlement Services</t>
  </si>
  <si>
    <t>ALL OTHER Contracted Services</t>
  </si>
  <si>
    <t>School Operations</t>
  </si>
  <si>
    <t>Classroom/Teaching Supplies &amp; Materials</t>
  </si>
  <si>
    <t>Textbooks/Workbooks</t>
  </si>
  <si>
    <t>Supplies &amp; Materials Other</t>
  </si>
  <si>
    <t>Transportation (Student)</t>
  </si>
  <si>
    <t>Student Services Other</t>
  </si>
  <si>
    <t>Student Recruitment/Marketing</t>
  </si>
  <si>
    <t>School Meals/Lunch</t>
  </si>
  <si>
    <t>Extra Curricular</t>
  </si>
  <si>
    <t>Misc. Operating Expenses</t>
  </si>
  <si>
    <t>Facility Operations &amp; Maintenance</t>
  </si>
  <si>
    <t>Building and Land Rent/Lease</t>
  </si>
  <si>
    <t>ALL OTHER Facilities Operations &amp; Maintenance</t>
  </si>
  <si>
    <t>ALL OTHER School Operations</t>
  </si>
  <si>
    <t>RESERVES/CONTINGENCY</t>
  </si>
  <si>
    <t>School Operations Equipment/Furniture</t>
  </si>
  <si>
    <t>Facility Operations &amp; Maintenance Equipment/Furniture</t>
  </si>
  <si>
    <t>Depreciation &amp; Amortization</t>
  </si>
  <si>
    <t>Closing Year</t>
  </si>
  <si>
    <t>Annual financial audit and bookkeeping services. Typically fixed vendor contract; escalates with CPI.</t>
  </si>
  <si>
    <t>Charter contract review, employment matters, SPED due process, policy updates.</t>
  </si>
  <si>
    <t>Authorizer oversight fee; typically 3% of state apportionment revenue. Confirm rate in charter contract.</t>
  </si>
  <si>
    <t>CMO/EMO fee if applicable. Enter 0 if school is independently operated.</t>
  </si>
  <si>
    <t>Payroll processing vendor fees. Scales with headcount.</t>
  </si>
  <si>
    <t>Contracted school nurse if not a direct employee. Enter $0 if nurse is on payroll.</t>
  </si>
  <si>
    <t>Contracted SLP, OT, PT, behavioral services, 1:1 aides via agency, IEP compliance. Scales with SPED enrollment.</t>
  </si>
  <si>
    <t>Contracted services funded through Title I or other federal grants. Enter per-pupil equivalent.</t>
  </si>
  <si>
    <t>School-specific contracted service. Describe in notes.</t>
  </si>
  <si>
    <t>Governance training, retreats, board recruitment, board software, D&amp;O insurance.</t>
  </si>
  <si>
    <t>Instructional materials, paper, manipulatives, science supplies, classroom consumables.</t>
  </si>
  <si>
    <t>SpEd-specific supplies, adaptive materials, IEP documentation resources.</t>
  </si>
  <si>
    <t>Annual consumable workbooks and physical texts. Includes adoption/replacement cycles.</t>
  </si>
  <si>
    <t>Office supplies, admin materials, postage, printing not captured above.</t>
  </si>
  <si>
    <t>Classroom furniture, lab equipment, office fixtures. Use for non-capitalized purchases.</t>
  </si>
  <si>
    <t>Staff phones, landlines, communications systems.</t>
  </si>
  <si>
    <t>Devices, instructional software, SIS, administrative systems, IT infrastructure, managed services.</t>
  </si>
  <si>
    <t>Benchmark testing platforms, diagnostic tools, progress monitoring subscriptions.</t>
  </si>
  <si>
    <t>Transportation, entry fees, program costs for off-site student learning.</t>
  </si>
  <si>
    <t>Bus contracts, mileage reimbursement, special education transport.</t>
  </si>
  <si>
    <t>Counseling supports, student activities, clubs, assemblies, uniforms net of fees.</t>
  </si>
  <si>
    <t>Copier leases, printing, postage, bank fees, miscellaneous administrative overhead.</t>
  </si>
  <si>
    <t>Teacher PD, leadership training, coaching, conferences, licensure renewal.</t>
  </si>
  <si>
    <t>Job postings, recruiter fees, signing bonuses, background checks, career fairs.</t>
  </si>
  <si>
    <t>Enrollment outreach, advertising, events, enrollment software, community engagement.</t>
  </si>
  <si>
    <t>Contracted food service vendor management fees and food costs. Scales with enrollment. Food costs, disposables, serving supplies, kitchen operating expenses.</t>
  </si>
  <si>
    <t>Staff travel, lodging, conference registration. Separate from student field trips.</t>
  </si>
  <si>
    <t>Fundraising event costs. Non-operating since it supports non-recurring revenue.</t>
  </si>
  <si>
    <t>Athletics, clubs, arts programs, student activities beyond core instruction.</t>
  </si>
  <si>
    <t>Regulatory fees, permits, compliance filings, one-time items. Review annually.</t>
  </si>
  <si>
    <t>Property, general liability, umbrella. Typically fixed annual premium — does not scale with enrollment.</t>
  </si>
  <si>
    <t>Contracted cleaning services. Enter $0 if covered by custodial staff on payroll.</t>
  </si>
  <si>
    <t>Base rent and ground lease per executed lease agreement. Update when lease terms change.</t>
  </si>
  <si>
    <t>HVAC, plumbing, grounds, equipment servicing. Per-pupil captures facility intensity at scale.</t>
  </si>
  <si>
    <t>Facility-specific equipment. Distinct from instructional equipment above.</t>
  </si>
  <si>
    <t>Electric, gas, water/sewer, waste removal. Inflation driver captures rate escalation independent of enrollment.</t>
  </si>
  <si>
    <t>Contracted security, monitoring systems, access control.</t>
  </si>
  <si>
    <t>School-specific facility cost. Describe in notes.</t>
  </si>
  <si>
    <t>Budget reserve for unplanned expenditures. CSC expects applicants to demonstrate adequate reserve planning.</t>
  </si>
  <si>
    <t>Depreciation of capitalized FF&amp;E and leasehold improvements. Pulled from DEBT tab; no manual entry required.</t>
  </si>
  <si>
    <r>
      <rPr>
        <b/>
        <i/>
        <sz val="11"/>
        <color theme="1"/>
        <rFont val="Calibri"/>
        <family val="2"/>
        <scheme val="minor"/>
      </rPr>
      <t>Average salary estimates are preloaded from three authoritative sources</t>
    </r>
    <r>
      <rPr>
        <i/>
        <sz val="11"/>
        <color theme="1"/>
        <rFont val="Calibri"/>
        <family val="2"/>
        <scheme val="minor"/>
      </rPr>
      <t xml:space="preserve">: OSPI Financial Reporting (Washington-specific district salary data by role), the Bureau of Labor Statistics Occupational Employment Survey for Washington State, and Salary.com benchmarks for education-sector roles. 
</t>
    </r>
    <r>
      <rPr>
        <b/>
        <i/>
        <sz val="11"/>
        <color theme="1"/>
        <rFont val="Calibri"/>
        <family val="2"/>
        <scheme val="minor"/>
      </rPr>
      <t>Update these estimates based on your school's specific market, geography, and compensation philosophy</t>
    </r>
    <r>
      <rPr>
        <i/>
        <sz val="11"/>
        <color theme="1"/>
        <rFont val="Calibri"/>
        <family val="2"/>
        <scheme val="minor"/>
      </rPr>
      <t>. Spokane and Eastern WA salaries typically run 10–20% below Seattle metro rates. For roles not yet filled, use the midpoint of your intended hiring range.</t>
    </r>
  </si>
  <si>
    <t>Enrollment demand reflects the market need your school intends to serve. Support your projections with evidence of unmet demand, such as waitlist data, community surveys, feeder school demographics, sibling priority pools, or population growth trends in your catchment area. CSC expects applicants to demonstrate that projected enrollment is achievable rather than merely aspirational.</t>
  </si>
  <si>
    <t>Enrollment Demand Guidance</t>
  </si>
  <si>
    <t>Budget Variance - Total Expense</t>
  </si>
  <si>
    <t>Revenue Variance - State</t>
  </si>
  <si>
    <t>&lt;95% of projected</t>
  </si>
  <si>
    <t>95–98% of projected</t>
  </si>
  <si>
    <t>≥98% of projected</t>
  </si>
  <si>
    <t>Actual state rev vs. projected</t>
  </si>
  <si>
    <t>Cedar Grove Public Schools</t>
  </si>
  <si>
    <t>Melissa Pettey</t>
  </si>
  <si>
    <t>Go to the REVENUE section of the INPUTS tab. Confirm per-pupil rate assumptions for General Apportionment (BEA), Special Education, LAP, TBIP, and other state categoricals. Update annual COLA growth rates in INPUTS. Adjust student needs percentages (SPED %, FRPL %, EL %) to match your population in ENROLLMENT</t>
  </si>
  <si>
    <t>REVENUE (now a section in INPUTS)</t>
  </si>
  <si>
    <t>Manager of Student Support</t>
  </si>
  <si>
    <t>College &amp; Athletics Director</t>
  </si>
  <si>
    <t>Manager of College Success</t>
  </si>
  <si>
    <t>Coordinator of College Success</t>
  </si>
  <si>
    <t>Rates</t>
  </si>
  <si>
    <t>petteymelissa1@gmail.com</t>
  </si>
  <si>
    <t>(509) 953-2320</t>
  </si>
  <si>
    <t>Stipends/Bonuses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</si>
</sst>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 &quot;Days&quot;"/>
    <numFmt numFmtId="165" formatCode="&quot;FY&quot;#"/>
    <numFmt numFmtId="166" formatCode="_(&quot;$&quot;* #,##0_);_(&quot;$&quot;* \(#,##0\);_(&quot;$&quot;* &quot;-&quot;??_);_(@_)"/>
    <numFmt numFmtId="167" formatCode="_(* #,##0_);_(* \(#,##0\);_(* &quot;-&quot;??_);_(@_)"/>
    <numFmt numFmtId="168" formatCode="0.0\X"/>
    <numFmt numFmtId="169" formatCode="0.0"/>
    <numFmt numFmtId="170" formatCode="0.0\x"/>
    <numFmt numFmtId="171" formatCode="_(* #,##0.0_);_(* \(#,##0.0\);_(* &quot;-&quot;??_);_(@_)"/>
    <numFmt numFmtId="172" formatCode="_(* #,##0%_);\(0%\);_(* \-??_);_(@_)"/>
    <numFmt numFmtId="173" formatCode="&quot;$&quot;0.0,,&quot; M&quot;;\(&quot;$&quot;0.0,,&quot; M&quot;\)"/>
    <numFmt numFmtId="174" formatCode="&quot;$&quot;0.00,,&quot; M&quot;;\(&quot;$&quot;0.00,,&quot; M&quot;\)"/>
    <numFmt numFmtId="175" formatCode="0_);\(0\)"/>
    <numFmt numFmtId="176" formatCode="0.0%"/>
    <numFmt numFmtId="177" formatCode="\$#,##0.00;&quot;($&quot;#,##0.00\);\-"/>
  </numFmts>
  <fonts count="92">
    <font>
      <sz val="11"/>
      <color theme="1"/>
      <name val="Calibri"/>
      <family val="2"/>
      <scheme val="minor"/>
    </font>
    <font>
      <sz val="10"/>
      <color theme="1"/>
      <name val="Aptos Narrow"/>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font>
    <font>
      <u/>
      <sz val="11"/>
      <color theme="10"/>
      <name val="Calibri"/>
      <family val="2"/>
      <scheme val="minor"/>
    </font>
    <font>
      <sz val="10"/>
      <name val="Arial"/>
      <family val="2"/>
    </font>
    <font>
      <b/>
      <sz val="14"/>
      <name val="Calibri"/>
      <family val="2"/>
      <scheme val="minor"/>
    </font>
    <font>
      <sz val="11"/>
      <name val="Calibri"/>
      <family val="2"/>
      <scheme val="minor"/>
    </font>
    <font>
      <b/>
      <sz val="11"/>
      <name val="Calibri"/>
      <family val="2"/>
      <scheme val="minor"/>
    </font>
    <font>
      <u/>
      <sz val="10"/>
      <color indexed="12"/>
      <name val="Arial"/>
      <family val="2"/>
    </font>
    <font>
      <sz val="8"/>
      <name val="Calibri"/>
      <family val="2"/>
      <scheme val="minor"/>
    </font>
    <font>
      <b/>
      <sz val="12"/>
      <name val="Calibri"/>
      <family val="2"/>
      <scheme val="minor"/>
    </font>
    <font>
      <i/>
      <sz val="12"/>
      <name val="Calibri"/>
      <family val="2"/>
      <scheme val="minor"/>
    </font>
    <font>
      <i/>
      <sz val="11"/>
      <name val="Calibri"/>
      <family val="2"/>
      <scheme val="minor"/>
    </font>
    <font>
      <i/>
      <sz val="12"/>
      <color theme="0" tint="-0.499984740745262"/>
      <name val="Calibri"/>
      <family val="2"/>
      <scheme val="minor"/>
    </font>
    <font>
      <sz val="12"/>
      <color rgb="FF0000FF"/>
      <name val="Calibri"/>
      <family val="2"/>
      <scheme val="minor"/>
    </font>
    <font>
      <sz val="10"/>
      <name val="MS Sans Serif"/>
      <family val="2"/>
    </font>
    <font>
      <b/>
      <sz val="11"/>
      <color rgb="FF000000"/>
      <name val="Calibri"/>
      <family val="2"/>
      <scheme val="minor"/>
    </font>
    <font>
      <sz val="12"/>
      <color rgb="FF000000"/>
      <name val="Calibri"/>
      <family val="2"/>
    </font>
    <font>
      <b/>
      <i/>
      <sz val="11"/>
      <color theme="1"/>
      <name val="Calibri"/>
      <family val="2"/>
      <scheme val="minor"/>
    </font>
    <font>
      <i/>
      <sz val="11"/>
      <color theme="1"/>
      <name val="Calibri"/>
      <family val="2"/>
      <scheme val="minor"/>
    </font>
    <font>
      <b/>
      <sz val="14"/>
      <color theme="0"/>
      <name val="Calibri"/>
      <family val="2"/>
      <scheme val="minor"/>
    </font>
    <font>
      <sz val="14"/>
      <color theme="1"/>
      <name val="Calibri"/>
      <family val="2"/>
      <scheme val="minor"/>
    </font>
    <font>
      <b/>
      <sz val="14"/>
      <color theme="1"/>
      <name val="Calibri"/>
      <family val="2"/>
      <scheme val="minor"/>
    </font>
    <font>
      <b/>
      <u/>
      <sz val="11"/>
      <color theme="1"/>
      <name val="Calibri"/>
      <family val="2"/>
      <scheme val="minor"/>
    </font>
    <font>
      <b/>
      <i/>
      <sz val="14"/>
      <color theme="0"/>
      <name val="Calibri"/>
      <family val="2"/>
      <scheme val="minor"/>
    </font>
    <font>
      <b/>
      <i/>
      <sz val="11"/>
      <color theme="1"/>
      <name val="Calibri"/>
      <family val="2"/>
    </font>
    <font>
      <sz val="11"/>
      <color rgb="FF000000"/>
      <name val="Calibri"/>
      <family val="2"/>
      <scheme val="minor"/>
    </font>
    <font>
      <b/>
      <sz val="11"/>
      <color theme="1"/>
      <name val="Calibri"/>
      <family val="2"/>
    </font>
    <font>
      <b/>
      <i/>
      <sz val="12"/>
      <name val="Calibri"/>
      <family val="2"/>
      <scheme val="minor"/>
    </font>
    <font>
      <sz val="10"/>
      <color rgb="FF000000"/>
      <name val="Calibri"/>
      <family val="2"/>
      <scheme val="minor"/>
    </font>
    <font>
      <b/>
      <sz val="13.5"/>
      <color theme="1"/>
      <name val="Calibri"/>
      <family val="2"/>
      <scheme val="minor"/>
    </font>
    <font>
      <b/>
      <sz val="11"/>
      <color rgb="FFFF0000"/>
      <name val="Calibri"/>
      <family val="2"/>
      <scheme val="minor"/>
    </font>
    <font>
      <sz val="10"/>
      <color rgb="FF3F3F76"/>
      <name val="Aptos Narrow"/>
      <family val="2"/>
    </font>
    <font>
      <sz val="10"/>
      <color rgb="FF000000"/>
      <name val="Arial"/>
      <family val="2"/>
    </font>
    <font>
      <b/>
      <sz val="12"/>
      <color theme="0"/>
      <name val="Calibri"/>
      <family val="2"/>
      <scheme val="minor"/>
    </font>
    <font>
      <b/>
      <sz val="18"/>
      <color theme="0"/>
      <name val="Calibri"/>
      <family val="2"/>
      <scheme val="minor"/>
    </font>
    <font>
      <b/>
      <sz val="20"/>
      <color theme="0"/>
      <name val="Calibri"/>
      <family val="2"/>
      <scheme val="minor"/>
    </font>
    <font>
      <b/>
      <sz val="20"/>
      <color indexed="9"/>
      <name val="Calibri"/>
      <family val="2"/>
      <scheme val="minor"/>
    </font>
    <font>
      <b/>
      <sz val="20"/>
      <name val="Calibri"/>
      <family val="2"/>
      <scheme val="minor"/>
    </font>
    <font>
      <b/>
      <u/>
      <sz val="20"/>
      <color theme="10"/>
      <name val="Calibri"/>
      <family val="2"/>
      <scheme val="minor"/>
    </font>
    <font>
      <b/>
      <sz val="10"/>
      <name val="Calibri"/>
      <family val="2"/>
      <scheme val="minor"/>
    </font>
    <font>
      <i/>
      <sz val="12"/>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
      <b/>
      <i/>
      <sz val="11"/>
      <color theme="10"/>
      <name val="Calibri"/>
      <family val="2"/>
      <scheme val="minor"/>
    </font>
    <font>
      <b/>
      <i/>
      <sz val="12"/>
      <color theme="1"/>
      <name val="Calibri"/>
      <family val="2"/>
      <scheme val="minor"/>
    </font>
    <font>
      <sz val="12"/>
      <color theme="1"/>
      <name val="Calibri"/>
      <family val="2"/>
    </font>
    <font>
      <sz val="12"/>
      <color rgb="FFFF0000"/>
      <name val="Calibri"/>
      <family val="2"/>
      <scheme val="minor"/>
    </font>
    <font>
      <b/>
      <i/>
      <sz val="12"/>
      <color theme="0"/>
      <name val="Calibri"/>
      <family val="2"/>
      <scheme val="minor"/>
    </font>
    <font>
      <sz val="12"/>
      <name val="Calibri"/>
      <family val="2"/>
      <scheme val="minor"/>
    </font>
    <font>
      <b/>
      <sz val="11"/>
      <color theme="10"/>
      <name val="Calibri"/>
      <family val="2"/>
      <scheme val="minor"/>
    </font>
    <font>
      <sz val="10"/>
      <color indexed="81"/>
      <name val="Calibri"/>
      <family val="2"/>
      <scheme val="minor"/>
    </font>
    <font>
      <b/>
      <sz val="11"/>
      <color rgb="FF000000"/>
      <name val="Calibri"/>
      <family val="2"/>
    </font>
    <font>
      <sz val="11"/>
      <color rgb="FF000000"/>
      <name val="Calibri"/>
      <family val="2"/>
    </font>
    <font>
      <sz val="11"/>
      <color rgb="FF0000FF"/>
      <name val="Calibri"/>
      <family val="2"/>
      <scheme val="minor"/>
    </font>
    <font>
      <sz val="12"/>
      <color indexed="8"/>
      <name val="Calibri"/>
      <family val="2"/>
      <scheme val="minor"/>
    </font>
    <font>
      <b/>
      <sz val="12"/>
      <color indexed="8"/>
      <name val="Calibri"/>
      <family val="2"/>
      <scheme val="minor"/>
    </font>
    <font>
      <b/>
      <sz val="12"/>
      <color rgb="FF0000FF"/>
      <name val="Calibri"/>
      <family val="2"/>
      <scheme val="minor"/>
    </font>
    <font>
      <b/>
      <sz val="11"/>
      <color rgb="FFFFFFFF"/>
      <name val="Calibri"/>
      <family val="2"/>
      <scheme val="minor"/>
    </font>
    <font>
      <b/>
      <i/>
      <sz val="11"/>
      <color rgb="FFFFFFFF"/>
      <name val="Calibri"/>
      <family val="2"/>
      <scheme val="minor"/>
    </font>
    <font>
      <b/>
      <sz val="11"/>
      <color rgb="FF0000FF"/>
      <name val="Calibri"/>
      <family val="2"/>
      <scheme val="minor"/>
    </font>
    <font>
      <b/>
      <sz val="20"/>
      <color theme="10"/>
      <name val="Calibri"/>
      <family val="2"/>
      <scheme val="minor"/>
    </font>
    <font>
      <i/>
      <sz val="14"/>
      <color theme="1"/>
      <name val="Calibri"/>
      <family val="2"/>
      <scheme val="minor"/>
    </font>
    <font>
      <sz val="14"/>
      <color theme="0"/>
      <name val="Calibri"/>
      <family val="2"/>
      <scheme val="minor"/>
    </font>
    <font>
      <i/>
      <sz val="11"/>
      <color indexed="8"/>
      <name val="Calibri"/>
      <family val="2"/>
      <scheme val="minor"/>
    </font>
    <font>
      <b/>
      <i/>
      <sz val="14"/>
      <color theme="1"/>
      <name val="Calibri"/>
      <family val="2"/>
      <scheme val="minor"/>
    </font>
    <font>
      <sz val="11"/>
      <color theme="8" tint="0.59999389629810485"/>
      <name val="Calibri"/>
      <family val="2"/>
    </font>
    <font>
      <b/>
      <sz val="11"/>
      <name val="Calibri"/>
      <family val="2"/>
    </font>
    <font>
      <b/>
      <sz val="11"/>
      <color rgb="FF9C5700"/>
      <name val="Calibri"/>
      <family val="2"/>
      <scheme val="minor"/>
    </font>
    <font>
      <sz val="9"/>
      <color theme="1"/>
      <name val="Calibri"/>
      <family val="2"/>
      <scheme val="minor"/>
    </font>
    <font>
      <b/>
      <i/>
      <sz val="10"/>
      <color theme="1"/>
      <name val="Calibri"/>
      <family val="2"/>
      <scheme val="minor"/>
    </font>
    <font>
      <sz val="10"/>
      <color theme="1"/>
      <name val="Calibri"/>
      <family val="2"/>
      <scheme val="minor"/>
    </font>
    <font>
      <sz val="10"/>
      <name val="Calibri"/>
      <family val="2"/>
      <scheme val="minor"/>
    </font>
    <font>
      <b/>
      <sz val="10"/>
      <color rgb="FF000000"/>
      <name val="Calibri"/>
      <family val="2"/>
    </font>
    <font>
      <sz val="10"/>
      <color rgb="FF000000"/>
      <name val="Calibri"/>
      <family val="2"/>
    </font>
    <font>
      <b/>
      <i/>
      <sz val="20"/>
      <color theme="0"/>
      <name val="Calibri"/>
      <family val="2"/>
      <scheme val="minor"/>
    </font>
    <font>
      <sz val="9"/>
      <color indexed="81"/>
      <name val="Tahoma"/>
      <family val="2"/>
    </font>
    <font>
      <sz val="11"/>
      <name val="Arial"/>
      <family val="2"/>
    </font>
    <font>
      <b/>
      <u/>
      <sz val="11"/>
      <name val="Calibri"/>
      <family val="2"/>
      <scheme val="minor"/>
    </font>
    <font>
      <u val="singleAccounting"/>
      <sz val="11"/>
      <name val="Calibri"/>
      <family val="2"/>
      <scheme val="minor"/>
    </font>
    <font>
      <sz val="8"/>
      <color indexed="81"/>
      <name val="Tahoma"/>
      <family val="2"/>
    </font>
    <font>
      <sz val="9"/>
      <color rgb="FF000000"/>
      <name val="Tahoma"/>
      <family val="2"/>
    </font>
    <font>
      <b/>
      <sz val="9"/>
      <color rgb="FF000000"/>
      <name val="Tahoma"/>
      <family val="2"/>
    </font>
    <font>
      <sz val="9"/>
      <color rgb="FF0000FF"/>
      <name val="Arial"/>
      <family val="2"/>
    </font>
    <font>
      <sz val="11"/>
      <color rgb="FFFF0000"/>
      <name val="Calibri"/>
      <family val="2"/>
      <scheme val="minor"/>
    </font>
    <font>
      <sz val="9"/>
      <color rgb="FFFF0000"/>
      <name val="Arial"/>
      <family val="2"/>
    </font>
    <font>
      <i/>
      <sz val="11"/>
      <color rgb="FFFF0000"/>
      <name val="Calibri"/>
      <family val="2"/>
      <scheme val="minor"/>
    </font>
  </fonts>
  <fills count="52">
    <fill>
      <patternFill patternType="none"/>
    </fill>
    <fill>
      <patternFill patternType="gray125"/>
    </fill>
    <fill>
      <patternFill patternType="solid">
        <fgColor indexed="6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3"/>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theme="2"/>
        <bgColor indexed="64"/>
      </patternFill>
    </fill>
    <fill>
      <patternFill patternType="solid">
        <fgColor theme="9"/>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8"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rgb="FF000000"/>
      </patternFill>
    </fill>
    <fill>
      <patternFill patternType="solid">
        <fgColor theme="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rgb="FFCCCCCC"/>
        <bgColor rgb="FFCCCCCC"/>
      </patternFill>
    </fill>
    <fill>
      <patternFill patternType="solid">
        <fgColor theme="8" tint="0.39997558519241921"/>
        <bgColor indexed="64"/>
      </patternFill>
    </fill>
    <fill>
      <patternFill patternType="solid">
        <fgColor rgb="FFA4C2F4"/>
        <bgColor indexed="64"/>
      </patternFill>
    </fill>
    <fill>
      <patternFill patternType="solid">
        <fgColor rgb="FFFFFFFF"/>
        <bgColor indexed="64"/>
      </patternFill>
    </fill>
    <fill>
      <patternFill patternType="solid">
        <fgColor rgb="FFCCCCCC"/>
        <bgColor indexed="64"/>
      </patternFill>
    </fill>
    <fill>
      <patternFill patternType="solid">
        <fgColor rgb="FFFFD966"/>
        <bgColor indexed="64"/>
      </patternFill>
    </fill>
    <fill>
      <patternFill patternType="solid">
        <fgColor rgb="FF073763"/>
        <bgColor indexed="64"/>
      </patternFill>
    </fill>
    <fill>
      <patternFill patternType="solid">
        <fgColor rgb="FFFFE1CC"/>
        <bgColor indexed="64"/>
      </patternFill>
    </fill>
    <fill>
      <patternFill patternType="solid">
        <fgColor rgb="FFD9D9D9"/>
        <bgColor indexed="64"/>
      </patternFill>
    </fill>
    <fill>
      <patternFill patternType="solid">
        <fgColor rgb="FFFFC599"/>
        <bgColor indexed="64"/>
      </patternFill>
    </fill>
    <fill>
      <patternFill patternType="solid">
        <fgColor rgb="FFBFBFBF"/>
        <bgColor indexed="64"/>
      </patternFill>
    </fill>
    <fill>
      <patternFill patternType="solid">
        <fgColor rgb="FFCC99FF"/>
        <bgColor indexed="64"/>
      </patternFill>
    </fill>
    <fill>
      <patternFill patternType="solid">
        <fgColor rgb="FF7030A0"/>
        <bgColor indexed="64"/>
      </patternFill>
    </fill>
    <fill>
      <patternFill patternType="solid">
        <fgColor rgb="FFCEA0F4"/>
        <bgColor indexed="64"/>
      </patternFill>
    </fill>
    <fill>
      <patternFill patternType="solid">
        <fgColor rgb="FFFFE699"/>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2F2F2"/>
        <bgColor rgb="FFFFFFFF"/>
      </patternFill>
    </fill>
    <fill>
      <patternFill patternType="solid">
        <fgColor rgb="FFFFFFFF"/>
        <bgColor rgb="FFF2F2F2"/>
      </patternFill>
    </fill>
    <fill>
      <patternFill patternType="solid">
        <fgColor rgb="FFBFBFBF"/>
        <bgColor rgb="FF000000"/>
      </patternFill>
    </fill>
  </fills>
  <borders count="75">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right style="medium">
        <color indexed="64"/>
      </right>
      <top/>
      <bottom style="thin">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25">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8" fillId="0" borderId="0"/>
    <xf numFmtId="0" fontId="12" fillId="0" borderId="0" applyNumberFormat="0" applyFill="0" applyBorder="0" applyAlignment="0" applyProtection="0">
      <alignment vertical="top"/>
      <protection locked="0"/>
    </xf>
    <xf numFmtId="0" fontId="19" fillId="0" borderId="0"/>
    <xf numFmtId="0" fontId="21" fillId="0" borderId="0"/>
    <xf numFmtId="43" fontId="2" fillId="0" borderId="0" applyFont="0" applyFill="0" applyBorder="0" applyAlignment="0" applyProtection="0"/>
    <xf numFmtId="0" fontId="33" fillId="0" borderId="0"/>
    <xf numFmtId="0" fontId="1" fillId="0" borderId="0"/>
    <xf numFmtId="0" fontId="37" fillId="0" borderId="0"/>
    <xf numFmtId="44" fontId="1" fillId="0" borderId="0"/>
    <xf numFmtId="43" fontId="1" fillId="0" borderId="0"/>
    <xf numFmtId="9" fontId="1" fillId="0" borderId="0"/>
    <xf numFmtId="0" fontId="36" fillId="19" borderId="17"/>
    <xf numFmtId="0" fontId="37" fillId="0" borderId="0"/>
    <xf numFmtId="43" fontId="8" fillId="0" borderId="0" applyFont="0" applyFill="0" applyBorder="0" applyAlignment="0" applyProtection="0"/>
    <xf numFmtId="9" fontId="8"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xf numFmtId="0" fontId="8" fillId="0" borderId="0"/>
    <xf numFmtId="0" fontId="82" fillId="0" borderId="0"/>
    <xf numFmtId="0" fontId="46" fillId="0" borderId="0"/>
  </cellStyleXfs>
  <cellXfs count="932">
    <xf numFmtId="0" fontId="0" fillId="0" borderId="0" xfId="0"/>
    <xf numFmtId="0" fontId="2" fillId="0" borderId="0" xfId="0" applyFont="1"/>
    <xf numFmtId="0" fontId="16" fillId="4" borderId="0" xfId="0" applyFont="1" applyFill="1"/>
    <xf numFmtId="0" fontId="4" fillId="4" borderId="0" xfId="0" applyFont="1" applyFill="1"/>
    <xf numFmtId="0" fontId="2" fillId="4" borderId="0" xfId="0" applyFont="1" applyFill="1"/>
    <xf numFmtId="0" fontId="4" fillId="0" borderId="0" xfId="0" applyFont="1"/>
    <xf numFmtId="164" fontId="17" fillId="4" borderId="0" xfId="0" applyNumberFormat="1" applyFont="1" applyFill="1"/>
    <xf numFmtId="0" fontId="0" fillId="4" borderId="0" xfId="0" applyFill="1"/>
    <xf numFmtId="37" fontId="18" fillId="5" borderId="5" xfId="1" applyNumberFormat="1" applyFont="1" applyFill="1" applyBorder="1" applyAlignment="1">
      <alignment horizontal="left"/>
    </xf>
    <xf numFmtId="37" fontId="18" fillId="5" borderId="6" xfId="1" applyNumberFormat="1" applyFont="1" applyFill="1" applyBorder="1" applyAlignment="1">
      <alignment horizontal="left"/>
    </xf>
    <xf numFmtId="1" fontId="4" fillId="7" borderId="2" xfId="0" applyNumberFormat="1" applyFont="1" applyFill="1" applyBorder="1" applyAlignment="1">
      <alignment horizontal="center"/>
    </xf>
    <xf numFmtId="0" fontId="3" fillId="6" borderId="11" xfId="7" applyFont="1" applyFill="1" applyBorder="1" applyAlignment="1">
      <alignment horizontal="centerContinuous"/>
    </xf>
    <xf numFmtId="0" fontId="3" fillId="6" borderId="3" xfId="7" applyFont="1" applyFill="1" applyBorder="1" applyAlignment="1">
      <alignment horizontal="centerContinuous"/>
    </xf>
    <xf numFmtId="0" fontId="25" fillId="0" borderId="0" xfId="0" applyFont="1"/>
    <xf numFmtId="0" fontId="26" fillId="12" borderId="9" xfId="0" applyFont="1" applyFill="1" applyBorder="1"/>
    <xf numFmtId="0" fontId="26" fillId="14" borderId="9" xfId="0" applyFont="1" applyFill="1" applyBorder="1"/>
    <xf numFmtId="0" fontId="25" fillId="3" borderId="8" xfId="0" applyFont="1" applyFill="1" applyBorder="1"/>
    <xf numFmtId="0" fontId="25" fillId="3" borderId="1" xfId="0" applyFont="1" applyFill="1" applyBorder="1"/>
    <xf numFmtId="0" fontId="25" fillId="3" borderId="14" xfId="0" applyFont="1" applyFill="1" applyBorder="1"/>
    <xf numFmtId="1" fontId="11" fillId="7" borderId="2" xfId="0" applyNumberFormat="1" applyFont="1" applyFill="1" applyBorder="1" applyAlignment="1">
      <alignment horizontal="center" vertical="center"/>
    </xf>
    <xf numFmtId="165" fontId="18" fillId="5" borderId="5" xfId="1" applyNumberFormat="1" applyFont="1" applyFill="1" applyBorder="1" applyAlignment="1">
      <alignment horizontal="left"/>
    </xf>
    <xf numFmtId="0" fontId="0" fillId="0" borderId="0" xfId="0" applyAlignment="1">
      <alignment horizontal="center"/>
    </xf>
    <xf numFmtId="0" fontId="11" fillId="3" borderId="3" xfId="5" applyFont="1" applyFill="1" applyBorder="1" applyAlignment="1" applyProtection="1">
      <alignment horizontal="center" vertical="top"/>
      <protection locked="0"/>
    </xf>
    <xf numFmtId="165" fontId="4" fillId="3" borderId="3" xfId="5" applyNumberFormat="1" applyFont="1" applyFill="1" applyBorder="1" applyAlignment="1" applyProtection="1">
      <alignment horizontal="center" vertical="top"/>
      <protection locked="0"/>
    </xf>
    <xf numFmtId="37" fontId="18" fillId="5" borderId="5" xfId="1" applyNumberFormat="1" applyFont="1" applyFill="1" applyBorder="1" applyAlignment="1">
      <alignment horizontal="center"/>
    </xf>
    <xf numFmtId="1" fontId="4" fillId="3" borderId="2" xfId="0" applyNumberFormat="1" applyFont="1" applyFill="1" applyBorder="1" applyAlignment="1">
      <alignment horizontal="center"/>
    </xf>
    <xf numFmtId="9" fontId="4" fillId="3" borderId="2" xfId="3" applyFont="1" applyFill="1" applyBorder="1" applyAlignment="1">
      <alignment horizontal="center"/>
    </xf>
    <xf numFmtId="9" fontId="18" fillId="5" borderId="6" xfId="3" applyFont="1" applyFill="1" applyBorder="1" applyAlignment="1">
      <alignment horizontal="center"/>
    </xf>
    <xf numFmtId="0" fontId="6" fillId="0" borderId="0" xfId="0" applyFont="1"/>
    <xf numFmtId="164" fontId="14" fillId="3" borderId="2" xfId="0" applyNumberFormat="1" applyFont="1" applyFill="1" applyBorder="1" applyAlignment="1">
      <alignment wrapText="1"/>
    </xf>
    <xf numFmtId="164" fontId="32" fillId="3" borderId="2" xfId="0" applyNumberFormat="1" applyFont="1" applyFill="1" applyBorder="1" applyAlignment="1">
      <alignment horizontal="center" wrapText="1"/>
    </xf>
    <xf numFmtId="0" fontId="11" fillId="2" borderId="2" xfId="5" applyFont="1" applyFill="1" applyBorder="1" applyAlignment="1">
      <alignment vertical="top"/>
    </xf>
    <xf numFmtId="0" fontId="11" fillId="2" borderId="15" xfId="5" applyFont="1" applyFill="1" applyBorder="1" applyAlignment="1">
      <alignment vertical="top"/>
    </xf>
    <xf numFmtId="0" fontId="11" fillId="2" borderId="16" xfId="5" applyFont="1" applyFill="1" applyBorder="1" applyAlignment="1">
      <alignment vertical="top"/>
    </xf>
    <xf numFmtId="0" fontId="11" fillId="2" borderId="13" xfId="5" applyFont="1" applyFill="1" applyBorder="1" applyAlignment="1">
      <alignment vertical="top"/>
    </xf>
    <xf numFmtId="0" fontId="4" fillId="3" borderId="8" xfId="5" applyFont="1" applyFill="1" applyBorder="1" applyAlignment="1" applyProtection="1">
      <alignment horizontal="left" vertical="top"/>
      <protection locked="0"/>
    </xf>
    <xf numFmtId="0" fontId="27" fillId="3" borderId="1" xfId="6" applyFont="1" applyFill="1" applyBorder="1" applyAlignment="1" applyProtection="1">
      <alignment horizontal="left" vertical="top"/>
      <protection locked="0"/>
    </xf>
    <xf numFmtId="0" fontId="4" fillId="3" borderId="14" xfId="5" applyFont="1" applyFill="1" applyBorder="1" applyAlignment="1" applyProtection="1">
      <alignment horizontal="left" vertical="top"/>
      <protection locked="0"/>
    </xf>
    <xf numFmtId="0" fontId="4" fillId="3" borderId="1" xfId="5" applyFont="1" applyFill="1" applyBorder="1" applyAlignment="1" applyProtection="1">
      <alignment horizontal="left" vertical="top"/>
      <protection locked="0"/>
    </xf>
    <xf numFmtId="0" fontId="0" fillId="0" borderId="2" xfId="0" applyBorder="1"/>
    <xf numFmtId="0" fontId="41" fillId="6" borderId="10" xfId="0" applyFont="1" applyFill="1" applyBorder="1"/>
    <xf numFmtId="0" fontId="41" fillId="6" borderId="3" xfId="0" applyFont="1" applyFill="1" applyBorder="1"/>
    <xf numFmtId="0" fontId="41" fillId="6" borderId="10" xfId="0" applyFont="1" applyFill="1" applyBorder="1" applyAlignment="1">
      <alignment horizontal="center"/>
    </xf>
    <xf numFmtId="0" fontId="41" fillId="6" borderId="9" xfId="0" applyFont="1" applyFill="1" applyBorder="1" applyAlignment="1">
      <alignment horizontal="left"/>
    </xf>
    <xf numFmtId="0" fontId="40" fillId="6" borderId="10" xfId="0" applyFont="1" applyFill="1" applyBorder="1" applyAlignment="1">
      <alignment horizontal="right"/>
    </xf>
    <xf numFmtId="0" fontId="41" fillId="6" borderId="9" xfId="0" applyFont="1" applyFill="1" applyBorder="1" applyAlignment="1">
      <alignment horizontal="left" vertical="center"/>
    </xf>
    <xf numFmtId="0" fontId="41" fillId="6" borderId="10" xfId="0" applyFont="1" applyFill="1" applyBorder="1" applyAlignment="1">
      <alignment vertical="center"/>
    </xf>
    <xf numFmtId="0" fontId="40" fillId="6" borderId="10" xfId="0" applyFont="1" applyFill="1" applyBorder="1" applyAlignment="1">
      <alignment horizontal="right" vertical="center"/>
    </xf>
    <xf numFmtId="0" fontId="0" fillId="0" borderId="0" xfId="0" applyAlignment="1">
      <alignment vertical="center"/>
    </xf>
    <xf numFmtId="9" fontId="20" fillId="23" borderId="9" xfId="3" applyFont="1" applyFill="1" applyBorder="1" applyAlignment="1">
      <alignment horizontal="center" vertical="center"/>
    </xf>
    <xf numFmtId="167" fontId="29" fillId="8" borderId="9" xfId="1" applyNumberFormat="1" applyFont="1" applyFill="1" applyBorder="1" applyAlignment="1">
      <alignment vertical="center"/>
    </xf>
    <xf numFmtId="167" fontId="29" fillId="8" borderId="10" xfId="1" applyNumberFormat="1" applyFont="1" applyFill="1" applyBorder="1" applyAlignment="1">
      <alignment vertical="center"/>
    </xf>
    <xf numFmtId="167" fontId="29" fillId="8" borderId="3" xfId="1" applyNumberFormat="1" applyFont="1" applyFill="1" applyBorder="1" applyAlignment="1">
      <alignment vertical="center"/>
    </xf>
    <xf numFmtId="0" fontId="25" fillId="0" borderId="0" xfId="0" applyFont="1" applyAlignment="1">
      <alignment vertical="center"/>
    </xf>
    <xf numFmtId="37" fontId="4" fillId="0" borderId="2" xfId="0" applyNumberFormat="1" applyFont="1" applyBorder="1" applyAlignment="1">
      <alignment horizontal="left" vertical="center"/>
    </xf>
    <xf numFmtId="167" fontId="4" fillId="7" borderId="2" xfId="1" applyNumberFormat="1" applyFont="1" applyFill="1" applyBorder="1" applyAlignment="1">
      <alignment vertical="center"/>
    </xf>
    <xf numFmtId="167" fontId="11" fillId="7" borderId="2" xfId="1" applyNumberFormat="1" applyFont="1" applyFill="1" applyBorder="1" applyAlignment="1">
      <alignment vertical="center"/>
    </xf>
    <xf numFmtId="9" fontId="4" fillId="18" borderId="0" xfId="3" applyFont="1" applyFill="1" applyBorder="1" applyAlignment="1">
      <alignment vertical="center"/>
    </xf>
    <xf numFmtId="0" fontId="0" fillId="9" borderId="9" xfId="0" applyFill="1" applyBorder="1" applyAlignment="1">
      <alignment vertical="center"/>
    </xf>
    <xf numFmtId="0" fontId="3" fillId="9" borderId="10" xfId="0" applyFont="1" applyFill="1" applyBorder="1" applyAlignment="1">
      <alignment vertical="center"/>
    </xf>
    <xf numFmtId="0" fontId="0" fillId="9" borderId="10" xfId="0" applyFill="1" applyBorder="1" applyAlignment="1">
      <alignment vertical="center"/>
    </xf>
    <xf numFmtId="0" fontId="23" fillId="0" borderId="0" xfId="0" applyFont="1" applyAlignment="1">
      <alignment vertical="center"/>
    </xf>
    <xf numFmtId="0" fontId="3" fillId="10" borderId="2" xfId="8" applyFont="1" applyFill="1" applyBorder="1" applyAlignment="1">
      <alignment horizontal="centerContinuous" vertical="center"/>
    </xf>
    <xf numFmtId="1" fontId="11" fillId="3" borderId="2" xfId="1" applyNumberFormat="1" applyFont="1" applyFill="1" applyBorder="1" applyAlignment="1">
      <alignment vertical="center"/>
    </xf>
    <xf numFmtId="167" fontId="10" fillId="7" borderId="13" xfId="1" applyNumberFormat="1" applyFont="1" applyFill="1" applyBorder="1" applyAlignment="1">
      <alignment vertical="center"/>
    </xf>
    <xf numFmtId="1" fontId="11" fillId="7" borderId="2" xfId="1" applyNumberFormat="1" applyFont="1" applyFill="1" applyBorder="1" applyAlignment="1">
      <alignment vertical="center"/>
    </xf>
    <xf numFmtId="9" fontId="11" fillId="3" borderId="2" xfId="3" applyFont="1" applyFill="1" applyBorder="1" applyAlignment="1">
      <alignment horizontal="center" vertical="center"/>
    </xf>
    <xf numFmtId="9" fontId="11" fillId="7" borderId="2" xfId="3" applyFont="1" applyFill="1" applyBorder="1" applyAlignment="1">
      <alignment horizontal="center" vertical="center"/>
    </xf>
    <xf numFmtId="0" fontId="9" fillId="8" borderId="2" xfId="0" applyFont="1" applyFill="1" applyBorder="1" applyAlignment="1">
      <alignment horizontal="center" vertical="center"/>
    </xf>
    <xf numFmtId="0" fontId="41" fillId="6" borderId="11" xfId="0" applyFont="1" applyFill="1" applyBorder="1" applyAlignment="1">
      <alignment vertical="center"/>
    </xf>
    <xf numFmtId="0" fontId="38" fillId="6" borderId="2" xfId="0" applyFont="1" applyFill="1" applyBorder="1" applyAlignment="1">
      <alignment horizontal="left" vertical="center"/>
    </xf>
    <xf numFmtId="0" fontId="38" fillId="6" borderId="5" xfId="0" applyFont="1" applyFill="1" applyBorder="1" applyAlignment="1">
      <alignment horizontal="center" vertical="center"/>
    </xf>
    <xf numFmtId="0" fontId="3" fillId="6" borderId="9" xfId="8" applyFont="1" applyFill="1" applyBorder="1" applyAlignment="1">
      <alignment horizontal="centerContinuous" vertical="center"/>
    </xf>
    <xf numFmtId="37" fontId="5" fillId="6" borderId="10" xfId="8" applyNumberFormat="1" applyFont="1" applyFill="1" applyBorder="1" applyAlignment="1">
      <alignment horizontal="centerContinuous" vertical="center"/>
    </xf>
    <xf numFmtId="0" fontId="3" fillId="6" borderId="9" xfId="8" applyFont="1" applyFill="1" applyBorder="1" applyAlignment="1">
      <alignment vertical="center"/>
    </xf>
    <xf numFmtId="1" fontId="3" fillId="6" borderId="10" xfId="8" applyNumberFormat="1" applyFont="1" applyFill="1" applyBorder="1" applyAlignment="1">
      <alignment horizontal="center" vertical="center"/>
    </xf>
    <xf numFmtId="1" fontId="44" fillId="7" borderId="9" xfId="8" applyNumberFormat="1" applyFont="1" applyFill="1" applyBorder="1" applyAlignment="1">
      <alignment horizontal="centerContinuous" vertical="center"/>
    </xf>
    <xf numFmtId="1" fontId="11" fillId="7" borderId="10" xfId="8" applyNumberFormat="1" applyFont="1" applyFill="1" applyBorder="1" applyAlignment="1">
      <alignment horizontal="center" vertical="center"/>
    </xf>
    <xf numFmtId="0" fontId="26" fillId="13" borderId="2" xfId="0" applyFont="1" applyFill="1" applyBorder="1" applyAlignment="1">
      <alignment horizontal="center" vertical="center"/>
    </xf>
    <xf numFmtId="0" fontId="26" fillId="16" borderId="2" xfId="0" applyFont="1" applyFill="1" applyBorder="1" applyAlignment="1">
      <alignment horizontal="center" vertical="center"/>
    </xf>
    <xf numFmtId="0" fontId="26" fillId="22" borderId="2" xfId="0" applyFont="1" applyFill="1" applyBorder="1" applyAlignment="1">
      <alignment horizontal="center" vertical="center"/>
    </xf>
    <xf numFmtId="1" fontId="9" fillId="7" borderId="9" xfId="8" applyNumberFormat="1" applyFont="1" applyFill="1" applyBorder="1" applyAlignment="1">
      <alignment horizontal="centerContinuous" vertical="center"/>
    </xf>
    <xf numFmtId="1" fontId="9" fillId="7" borderId="10" xfId="8" applyNumberFormat="1" applyFont="1" applyFill="1" applyBorder="1" applyAlignment="1">
      <alignment horizontal="center" vertical="center"/>
    </xf>
    <xf numFmtId="0" fontId="47" fillId="0" borderId="13" xfId="0" applyFont="1" applyBorder="1" applyAlignment="1">
      <alignment horizontal="left" vertical="center"/>
    </xf>
    <xf numFmtId="0" fontId="47" fillId="0" borderId="2" xfId="0" applyFont="1" applyBorder="1" applyAlignment="1">
      <alignment horizontal="left" vertical="center"/>
    </xf>
    <xf numFmtId="1" fontId="9" fillId="7" borderId="3" xfId="8" applyNumberFormat="1" applyFont="1" applyFill="1" applyBorder="1" applyAlignment="1">
      <alignment horizontal="center" vertical="center"/>
    </xf>
    <xf numFmtId="0" fontId="41" fillId="6" borderId="3" xfId="0" applyFont="1" applyFill="1" applyBorder="1" applyAlignment="1">
      <alignment vertical="center"/>
    </xf>
    <xf numFmtId="0" fontId="42" fillId="8" borderId="9" xfId="0" applyFont="1" applyFill="1" applyBorder="1" applyAlignment="1">
      <alignment horizontal="left" vertical="center"/>
    </xf>
    <xf numFmtId="0" fontId="42" fillId="8" borderId="10" xfId="0" applyFont="1" applyFill="1" applyBorder="1" applyAlignment="1">
      <alignment vertical="center"/>
    </xf>
    <xf numFmtId="0" fontId="43" fillId="8" borderId="10" xfId="4" applyFont="1" applyFill="1" applyBorder="1" applyAlignment="1">
      <alignment vertical="center"/>
    </xf>
    <xf numFmtId="0" fontId="42" fillId="8" borderId="3" xfId="0" applyFont="1" applyFill="1" applyBorder="1" applyAlignment="1">
      <alignment vertical="center"/>
    </xf>
    <xf numFmtId="0" fontId="46" fillId="13" borderId="9" xfId="0" applyFont="1" applyFill="1" applyBorder="1" applyAlignment="1">
      <alignment vertical="center"/>
    </xf>
    <xf numFmtId="0" fontId="46" fillId="0" borderId="10" xfId="0" applyFont="1" applyBorder="1" applyAlignment="1">
      <alignment vertical="center"/>
    </xf>
    <xf numFmtId="0" fontId="46" fillId="0" borderId="3" xfId="0" applyFont="1" applyBorder="1" applyAlignment="1">
      <alignment vertical="center"/>
    </xf>
    <xf numFmtId="0" fontId="46" fillId="16" borderId="9" xfId="0" applyFont="1" applyFill="1" applyBorder="1" applyAlignment="1">
      <alignment vertical="center"/>
    </xf>
    <xf numFmtId="0" fontId="4" fillId="0" borderId="0" xfId="0" applyFont="1" applyAlignment="1">
      <alignment horizontal="center" vertical="center"/>
    </xf>
    <xf numFmtId="0" fontId="46" fillId="22" borderId="9" xfId="0" applyFont="1" applyFill="1" applyBorder="1" applyAlignment="1">
      <alignment vertical="center"/>
    </xf>
    <xf numFmtId="0" fontId="46" fillId="7" borderId="2" xfId="0" applyFont="1" applyFill="1" applyBorder="1" applyAlignment="1">
      <alignment vertical="center"/>
    </xf>
    <xf numFmtId="0" fontId="14" fillId="26" borderId="2" xfId="0" applyFont="1" applyFill="1" applyBorder="1" applyAlignment="1">
      <alignment vertical="center"/>
    </xf>
    <xf numFmtId="0" fontId="45" fillId="0" borderId="11" xfId="0" applyFont="1" applyBorder="1" applyAlignment="1">
      <alignment vertical="center"/>
    </xf>
    <xf numFmtId="0" fontId="26" fillId="0" borderId="2" xfId="0" applyFont="1" applyBorder="1" applyAlignment="1">
      <alignment horizontal="center" vertical="center"/>
    </xf>
    <xf numFmtId="1" fontId="9" fillId="27" borderId="9" xfId="8" applyNumberFormat="1" applyFont="1" applyFill="1" applyBorder="1" applyAlignment="1">
      <alignment horizontal="centerContinuous" vertical="center"/>
    </xf>
    <xf numFmtId="1" fontId="9" fillId="28" borderId="9" xfId="8" applyNumberFormat="1" applyFont="1" applyFill="1" applyBorder="1" applyAlignment="1">
      <alignment horizontal="centerContinuous" vertical="center"/>
    </xf>
    <xf numFmtId="1" fontId="9" fillId="5" borderId="2" xfId="8" applyNumberFormat="1" applyFont="1" applyFill="1" applyBorder="1" applyAlignment="1">
      <alignment horizontal="centerContinuous" vertical="center"/>
    </xf>
    <xf numFmtId="0" fontId="0" fillId="0" borderId="2" xfId="0" applyBorder="1" applyAlignment="1">
      <alignment vertical="center"/>
    </xf>
    <xf numFmtId="0" fontId="0" fillId="25" borderId="2" xfId="0" applyFill="1" applyBorder="1" applyAlignment="1">
      <alignment horizontal="center" vertical="center" wrapText="1"/>
    </xf>
    <xf numFmtId="0" fontId="0" fillId="26" borderId="2" xfId="0" applyFill="1" applyBorder="1" applyAlignment="1">
      <alignment horizontal="center" vertical="center" wrapText="1"/>
    </xf>
    <xf numFmtId="0" fontId="0" fillId="21" borderId="2" xfId="0" applyFill="1" applyBorder="1" applyAlignment="1">
      <alignment horizontal="center" vertical="center" wrapText="1"/>
    </xf>
    <xf numFmtId="0" fontId="14" fillId="8" borderId="2" xfId="0" applyFont="1" applyFill="1" applyBorder="1" applyAlignment="1">
      <alignment horizontal="center" vertical="center"/>
    </xf>
    <xf numFmtId="0" fontId="14" fillId="8" borderId="2" xfId="17" applyFont="1" applyFill="1" applyBorder="1" applyAlignment="1">
      <alignment horizontal="left" vertical="center"/>
    </xf>
    <xf numFmtId="0" fontId="32" fillId="8" borderId="10" xfId="0" applyFont="1" applyFill="1" applyBorder="1" applyAlignment="1">
      <alignment vertical="center"/>
    </xf>
    <xf numFmtId="0" fontId="32" fillId="8" borderId="3" xfId="0" applyFont="1" applyFill="1" applyBorder="1" applyAlignment="1">
      <alignment vertical="center"/>
    </xf>
    <xf numFmtId="1" fontId="14" fillId="3" borderId="2" xfId="0" applyNumberFormat="1" applyFont="1" applyFill="1" applyBorder="1" applyAlignment="1">
      <alignment horizontal="center" vertical="center"/>
    </xf>
    <xf numFmtId="0" fontId="50" fillId="3" borderId="2" xfId="0" applyFont="1" applyFill="1" applyBorder="1" applyAlignment="1">
      <alignment horizontal="center" vertical="center"/>
    </xf>
    <xf numFmtId="0" fontId="52" fillId="0" borderId="2" xfId="0" applyFont="1" applyBorder="1" applyAlignment="1">
      <alignment horizontal="center" vertical="center"/>
    </xf>
    <xf numFmtId="0" fontId="50" fillId="0" borderId="18" xfId="0" applyFont="1" applyBorder="1" applyAlignment="1">
      <alignment horizontal="center" vertical="center"/>
    </xf>
    <xf numFmtId="0" fontId="50" fillId="0" borderId="19" xfId="0" applyFont="1" applyBorder="1" applyAlignment="1">
      <alignment horizontal="center" vertical="center"/>
    </xf>
    <xf numFmtId="0" fontId="50" fillId="0" borderId="20" xfId="0" applyFont="1" applyBorder="1" applyAlignment="1">
      <alignment vertical="center"/>
    </xf>
    <xf numFmtId="166" fontId="50" fillId="8" borderId="10" xfId="2" applyNumberFormat="1" applyFont="1" applyFill="1" applyBorder="1" applyAlignment="1">
      <alignment vertical="center"/>
    </xf>
    <xf numFmtId="166" fontId="48" fillId="0" borderId="20" xfId="2" applyNumberFormat="1" applyFont="1" applyBorder="1" applyAlignment="1">
      <alignment vertical="center"/>
    </xf>
    <xf numFmtId="166" fontId="52" fillId="0" borderId="0" xfId="2" applyNumberFormat="1" applyFont="1" applyBorder="1" applyAlignment="1">
      <alignment horizontal="center" vertical="center"/>
    </xf>
    <xf numFmtId="166" fontId="52" fillId="0" borderId="20" xfId="2" applyNumberFormat="1" applyFont="1" applyBorder="1" applyAlignment="1">
      <alignment vertical="center"/>
    </xf>
    <xf numFmtId="166" fontId="53" fillId="6" borderId="10" xfId="2" applyNumberFormat="1" applyFont="1" applyFill="1" applyBorder="1" applyAlignment="1">
      <alignment horizontal="center" vertical="center"/>
    </xf>
    <xf numFmtId="166" fontId="48" fillId="0" borderId="21" xfId="2" applyNumberFormat="1" applyFont="1" applyBorder="1" applyAlignment="1">
      <alignment vertical="center"/>
    </xf>
    <xf numFmtId="164" fontId="50" fillId="8" borderId="10" xfId="2" applyNumberFormat="1" applyFont="1" applyFill="1" applyBorder="1" applyAlignment="1">
      <alignment vertical="center"/>
    </xf>
    <xf numFmtId="164" fontId="50" fillId="8" borderId="3" xfId="2" applyNumberFormat="1" applyFont="1" applyFill="1" applyBorder="1" applyAlignment="1">
      <alignment vertical="center"/>
    </xf>
    <xf numFmtId="166" fontId="48" fillId="0" borderId="0" xfId="2" applyNumberFormat="1" applyFont="1" applyBorder="1" applyAlignment="1">
      <alignment vertical="center"/>
    </xf>
    <xf numFmtId="166" fontId="50" fillId="8" borderId="24" xfId="2" applyNumberFormat="1" applyFont="1" applyFill="1" applyBorder="1" applyAlignment="1">
      <alignment vertical="center"/>
    </xf>
    <xf numFmtId="166" fontId="50" fillId="8" borderId="25" xfId="2" applyNumberFormat="1" applyFont="1" applyFill="1" applyBorder="1" applyAlignment="1">
      <alignment vertical="center"/>
    </xf>
    <xf numFmtId="166" fontId="48" fillId="21" borderId="20" xfId="2" applyNumberFormat="1" applyFont="1" applyFill="1" applyBorder="1" applyAlignment="1">
      <alignment vertical="center"/>
    </xf>
    <xf numFmtId="166" fontId="48" fillId="25" borderId="20" xfId="2" applyNumberFormat="1" applyFont="1" applyFill="1" applyBorder="1" applyAlignment="1">
      <alignment vertical="center"/>
    </xf>
    <xf numFmtId="0" fontId="38" fillId="6" borderId="26" xfId="0" applyFont="1" applyFill="1" applyBorder="1" applyAlignment="1">
      <alignment horizontal="center" vertical="center"/>
    </xf>
    <xf numFmtId="0" fontId="38" fillId="6" borderId="27" xfId="0" applyFont="1" applyFill="1" applyBorder="1" applyAlignment="1">
      <alignment horizontal="right" vertical="center"/>
    </xf>
    <xf numFmtId="166" fontId="45" fillId="13" borderId="32" xfId="2" applyNumberFormat="1" applyFont="1" applyFill="1" applyBorder="1" applyAlignment="1">
      <alignment horizontal="center" vertical="center"/>
    </xf>
    <xf numFmtId="166" fontId="45" fillId="13" borderId="33" xfId="2" applyNumberFormat="1" applyFont="1" applyFill="1" applyBorder="1" applyAlignment="1">
      <alignment horizontal="center" vertical="center"/>
    </xf>
    <xf numFmtId="166" fontId="48" fillId="13" borderId="5" xfId="2" applyNumberFormat="1" applyFont="1" applyFill="1" applyBorder="1" applyAlignment="1">
      <alignment vertical="center"/>
    </xf>
    <xf numFmtId="0" fontId="38" fillId="6" borderId="28" xfId="0" applyFont="1" applyFill="1" applyBorder="1" applyAlignment="1">
      <alignment horizontal="center" vertical="center"/>
    </xf>
    <xf numFmtId="0" fontId="38" fillId="6" borderId="29" xfId="0" applyFont="1" applyFill="1" applyBorder="1" applyAlignment="1">
      <alignment horizontal="right" vertical="center"/>
    </xf>
    <xf numFmtId="166" fontId="46" fillId="22" borderId="34" xfId="2" applyNumberFormat="1" applyFont="1" applyFill="1" applyBorder="1" applyAlignment="1">
      <alignment vertical="center"/>
    </xf>
    <xf numFmtId="166" fontId="46" fillId="22" borderId="35" xfId="2" applyNumberFormat="1" applyFont="1" applyFill="1" applyBorder="1" applyAlignment="1">
      <alignment vertical="center"/>
    </xf>
    <xf numFmtId="166" fontId="48" fillId="22" borderId="22" xfId="2" applyNumberFormat="1" applyFont="1" applyFill="1" applyBorder="1" applyAlignment="1">
      <alignment vertical="center"/>
    </xf>
    <xf numFmtId="0" fontId="38" fillId="6" borderId="31" xfId="0" applyFont="1" applyFill="1" applyBorder="1" applyAlignment="1">
      <alignment horizontal="center" vertical="center"/>
    </xf>
    <xf numFmtId="0" fontId="38" fillId="6" borderId="25" xfId="0" applyFont="1" applyFill="1" applyBorder="1" applyAlignment="1">
      <alignment horizontal="right" vertical="center"/>
    </xf>
    <xf numFmtId="166" fontId="48" fillId="0" borderId="6" xfId="2" applyNumberFormat="1" applyFont="1" applyBorder="1" applyAlignment="1">
      <alignment vertical="center"/>
    </xf>
    <xf numFmtId="166" fontId="48" fillId="0" borderId="30" xfId="2" applyNumberFormat="1" applyFont="1" applyBorder="1" applyAlignment="1">
      <alignment vertical="center"/>
    </xf>
    <xf numFmtId="166" fontId="48" fillId="0" borderId="23" xfId="2" applyNumberFormat="1" applyFont="1" applyBorder="1" applyAlignment="1">
      <alignment vertical="center"/>
    </xf>
    <xf numFmtId="166" fontId="48" fillId="0" borderId="5" xfId="2" applyNumberFormat="1" applyFont="1" applyBorder="1" applyAlignment="1">
      <alignment vertical="center"/>
    </xf>
    <xf numFmtId="166" fontId="48" fillId="25" borderId="2" xfId="2" applyNumberFormat="1" applyFont="1" applyFill="1" applyBorder="1" applyAlignment="1">
      <alignment vertical="center"/>
    </xf>
    <xf numFmtId="166" fontId="48" fillId="27" borderId="2" xfId="2" applyNumberFormat="1" applyFont="1" applyFill="1" applyBorder="1" applyAlignment="1">
      <alignment vertical="center"/>
    </xf>
    <xf numFmtId="166" fontId="48" fillId="25" borderId="22" xfId="2" applyNumberFormat="1" applyFont="1" applyFill="1" applyBorder="1" applyAlignment="1">
      <alignment vertical="center"/>
    </xf>
    <xf numFmtId="0" fontId="3" fillId="6" borderId="9" xfId="0" applyFont="1" applyFill="1" applyBorder="1" applyAlignment="1">
      <alignment horizontal="center"/>
    </xf>
    <xf numFmtId="0" fontId="3" fillId="6" borderId="10" xfId="0" applyFont="1" applyFill="1" applyBorder="1" applyAlignment="1">
      <alignment horizontal="center"/>
    </xf>
    <xf numFmtId="37" fontId="2" fillId="0" borderId="2" xfId="9" applyNumberFormat="1" applyFont="1" applyBorder="1" applyAlignment="1">
      <alignment horizontal="left"/>
    </xf>
    <xf numFmtId="37" fontId="4" fillId="0" borderId="2" xfId="9" applyNumberFormat="1" applyFont="1" applyBorder="1" applyAlignment="1">
      <alignment horizontal="left"/>
    </xf>
    <xf numFmtId="1" fontId="11" fillId="0" borderId="2" xfId="7" applyNumberFormat="1" applyFont="1" applyBorder="1" applyAlignment="1">
      <alignment horizontal="center"/>
    </xf>
    <xf numFmtId="0" fontId="4" fillId="13" borderId="9" xfId="0" applyFont="1" applyFill="1" applyBorder="1" applyAlignment="1">
      <alignment horizontal="centerContinuous"/>
    </xf>
    <xf numFmtId="0" fontId="0" fillId="13" borderId="10" xfId="0" applyFill="1" applyBorder="1" applyAlignment="1">
      <alignment horizontal="centerContinuous"/>
    </xf>
    <xf numFmtId="0" fontId="0" fillId="13" borderId="3" xfId="0" applyFill="1" applyBorder="1" applyAlignment="1">
      <alignment horizontal="centerContinuous"/>
    </xf>
    <xf numFmtId="0" fontId="3" fillId="6" borderId="3" xfId="0" applyFont="1" applyFill="1" applyBorder="1" applyAlignment="1">
      <alignment horizontal="center"/>
    </xf>
    <xf numFmtId="0" fontId="22" fillId="29" borderId="2" xfId="0" applyFont="1" applyFill="1" applyBorder="1" applyAlignment="1">
      <alignment horizontal="center"/>
    </xf>
    <xf numFmtId="169" fontId="4" fillId="3" borderId="2" xfId="0" applyNumberFormat="1" applyFont="1" applyFill="1" applyBorder="1" applyAlignment="1">
      <alignment horizontal="center"/>
    </xf>
    <xf numFmtId="169" fontId="4" fillId="0" borderId="0" xfId="18" applyNumberFormat="1" applyFont="1" applyFill="1" applyBorder="1" applyAlignment="1">
      <alignment horizontal="center"/>
    </xf>
    <xf numFmtId="166" fontId="11" fillId="0" borderId="0" xfId="2" applyNumberFormat="1" applyFont="1" applyFill="1" applyBorder="1"/>
    <xf numFmtId="1" fontId="3" fillId="6" borderId="10" xfId="0" applyNumberFormat="1" applyFont="1" applyFill="1" applyBorder="1" applyAlignment="1">
      <alignment horizontal="center"/>
    </xf>
    <xf numFmtId="37" fontId="4" fillId="13" borderId="2" xfId="0" applyNumberFormat="1" applyFont="1" applyFill="1" applyBorder="1" applyAlignment="1">
      <alignment horizontal="center"/>
    </xf>
    <xf numFmtId="0" fontId="3" fillId="6" borderId="2" xfId="0" applyFont="1" applyFill="1" applyBorder="1" applyAlignment="1">
      <alignment horizontal="center"/>
    </xf>
    <xf numFmtId="170" fontId="4" fillId="0" borderId="0" xfId="18" applyNumberFormat="1" applyFont="1" applyFill="1" applyBorder="1" applyAlignment="1">
      <alignment horizontal="center"/>
    </xf>
    <xf numFmtId="0" fontId="3" fillId="6" borderId="11" xfId="0" applyFont="1" applyFill="1" applyBorder="1" applyAlignment="1">
      <alignment horizontal="center"/>
    </xf>
    <xf numFmtId="0" fontId="3" fillId="6" borderId="8" xfId="0" applyFont="1" applyFill="1" applyBorder="1" applyAlignment="1">
      <alignment horizontal="center"/>
    </xf>
    <xf numFmtId="0" fontId="3" fillId="6" borderId="7" xfId="0" applyFont="1" applyFill="1" applyBorder="1"/>
    <xf numFmtId="0" fontId="3" fillId="6" borderId="9" xfId="0" applyFont="1" applyFill="1" applyBorder="1"/>
    <xf numFmtId="166" fontId="11" fillId="7" borderId="2" xfId="2" applyNumberFormat="1" applyFont="1" applyFill="1" applyBorder="1"/>
    <xf numFmtId="0" fontId="23" fillId="0" borderId="2" xfId="0" applyFont="1" applyBorder="1" applyAlignment="1">
      <alignment horizontal="center" vertical="center" wrapText="1"/>
    </xf>
    <xf numFmtId="0" fontId="20" fillId="8" borderId="9" xfId="8" applyFont="1" applyFill="1" applyBorder="1" applyAlignment="1">
      <alignment vertical="center"/>
    </xf>
    <xf numFmtId="0" fontId="31" fillId="8" borderId="3" xfId="0" applyFont="1" applyFill="1" applyBorder="1" applyAlignment="1">
      <alignment vertical="center"/>
    </xf>
    <xf numFmtId="0" fontId="4" fillId="21" borderId="13" xfId="10" applyFont="1" applyFill="1" applyBorder="1" applyAlignment="1">
      <alignment horizontal="left"/>
    </xf>
    <xf numFmtId="166" fontId="4" fillId="3" borderId="2" xfId="2" applyNumberFormat="1" applyFont="1" applyFill="1" applyBorder="1" applyAlignment="1">
      <alignment horizontal="center"/>
    </xf>
    <xf numFmtId="166" fontId="4" fillId="7" borderId="2" xfId="2" applyNumberFormat="1" applyFont="1" applyFill="1" applyBorder="1" applyAlignment="1">
      <alignment horizontal="center"/>
    </xf>
    <xf numFmtId="1" fontId="42" fillId="8" borderId="2" xfId="0" applyNumberFormat="1" applyFont="1" applyFill="1" applyBorder="1" applyAlignment="1">
      <alignment horizontal="center" vertical="center"/>
    </xf>
    <xf numFmtId="0" fontId="4" fillId="8" borderId="2" xfId="0" applyFont="1" applyFill="1" applyBorder="1" applyAlignment="1">
      <alignment horizontal="center"/>
    </xf>
    <xf numFmtId="1" fontId="11" fillId="8" borderId="2" xfId="0" applyNumberFormat="1" applyFont="1" applyFill="1" applyBorder="1" applyAlignment="1">
      <alignment horizontal="center" vertical="center"/>
    </xf>
    <xf numFmtId="0" fontId="11" fillId="7" borderId="2" xfId="3" applyNumberFormat="1" applyFont="1" applyFill="1" applyBorder="1" applyAlignment="1">
      <alignment horizontal="left"/>
    </xf>
    <xf numFmtId="0" fontId="0" fillId="0" borderId="7" xfId="0" applyBorder="1"/>
    <xf numFmtId="0" fontId="0" fillId="0" borderId="4" xfId="0" applyBorder="1"/>
    <xf numFmtId="0" fontId="4" fillId="0" borderId="4" xfId="0" applyFont="1" applyBorder="1" applyAlignment="1">
      <alignment horizontal="left"/>
    </xf>
    <xf numFmtId="1" fontId="11" fillId="8" borderId="9" xfId="0" applyNumberFormat="1" applyFont="1" applyFill="1" applyBorder="1" applyAlignment="1">
      <alignment horizontal="center" vertical="center"/>
    </xf>
    <xf numFmtId="9" fontId="4" fillId="3" borderId="9" xfId="3" applyFont="1" applyFill="1" applyBorder="1" applyAlignment="1">
      <alignment horizontal="center"/>
    </xf>
    <xf numFmtId="9" fontId="4" fillId="3" borderId="36" xfId="3" applyFont="1" applyFill="1" applyBorder="1" applyAlignment="1">
      <alignment horizontal="center"/>
    </xf>
    <xf numFmtId="9" fontId="4" fillId="3" borderId="37" xfId="3" applyFont="1" applyFill="1" applyBorder="1" applyAlignment="1">
      <alignment horizontal="center"/>
    </xf>
    <xf numFmtId="0" fontId="4" fillId="0" borderId="4" xfId="0" applyFont="1" applyBorder="1" applyAlignment="1">
      <alignment vertical="center"/>
    </xf>
    <xf numFmtId="0" fontId="3" fillId="6" borderId="7" xfId="0" applyFont="1" applyFill="1" applyBorder="1" applyAlignment="1">
      <alignment horizontal="center"/>
    </xf>
    <xf numFmtId="0" fontId="55" fillId="0" borderId="4" xfId="4" applyFont="1" applyBorder="1" applyAlignment="1">
      <alignment vertical="center"/>
    </xf>
    <xf numFmtId="0" fontId="4" fillId="21" borderId="2" xfId="10" applyFont="1" applyFill="1" applyBorder="1" applyAlignment="1">
      <alignment horizontal="left"/>
    </xf>
    <xf numFmtId="0" fontId="4" fillId="30" borderId="13" xfId="10" applyFont="1" applyFill="1" applyBorder="1" applyAlignment="1">
      <alignment horizontal="left"/>
    </xf>
    <xf numFmtId="0" fontId="4" fillId="25" borderId="13" xfId="10" applyFont="1" applyFill="1" applyBorder="1" applyAlignment="1">
      <alignment horizontal="left"/>
    </xf>
    <xf numFmtId="170" fontId="4" fillId="3" borderId="2" xfId="0" applyNumberFormat="1" applyFont="1" applyFill="1" applyBorder="1" applyAlignment="1">
      <alignment horizontal="center"/>
    </xf>
    <xf numFmtId="0" fontId="11" fillId="30" borderId="9" xfId="0" applyFont="1" applyFill="1" applyBorder="1"/>
    <xf numFmtId="1" fontId="4" fillId="8" borderId="9" xfId="0" applyNumberFormat="1" applyFont="1" applyFill="1" applyBorder="1" applyAlignment="1">
      <alignment horizontal="center"/>
    </xf>
    <xf numFmtId="1" fontId="4" fillId="8" borderId="10" xfId="0" applyNumberFormat="1" applyFont="1" applyFill="1" applyBorder="1" applyAlignment="1">
      <alignment horizontal="center"/>
    </xf>
    <xf numFmtId="0" fontId="57" fillId="32" borderId="9" xfId="0" applyFont="1" applyFill="1" applyBorder="1" applyAlignment="1">
      <alignment horizontal="left"/>
    </xf>
    <xf numFmtId="167" fontId="57" fillId="32" borderId="10" xfId="1" applyNumberFormat="1" applyFont="1" applyFill="1" applyBorder="1" applyAlignment="1">
      <alignment horizontal="center"/>
    </xf>
    <xf numFmtId="167" fontId="57" fillId="32" borderId="3" xfId="1" applyNumberFormat="1" applyFont="1" applyFill="1" applyBorder="1" applyAlignment="1">
      <alignment horizontal="center"/>
    </xf>
    <xf numFmtId="171" fontId="10" fillId="0" borderId="4" xfId="1" applyNumberFormat="1" applyFont="1" applyFill="1" applyBorder="1" applyAlignment="1"/>
    <xf numFmtId="1" fontId="58" fillId="0" borderId="2" xfId="2" applyNumberFormat="1" applyFont="1" applyFill="1" applyBorder="1" applyAlignment="1">
      <alignment horizontal="center"/>
    </xf>
    <xf numFmtId="171" fontId="10" fillId="30" borderId="4" xfId="1" applyNumberFormat="1" applyFont="1" applyFill="1" applyBorder="1" applyAlignment="1"/>
    <xf numFmtId="171" fontId="58" fillId="30" borderId="2" xfId="3" applyNumberFormat="1" applyFont="1" applyFill="1" applyBorder="1" applyAlignment="1">
      <alignment horizontal="center"/>
    </xf>
    <xf numFmtId="170" fontId="58" fillId="0" borderId="2" xfId="2" applyNumberFormat="1" applyFont="1" applyFill="1" applyBorder="1" applyAlignment="1">
      <alignment horizontal="center"/>
    </xf>
    <xf numFmtId="171" fontId="10" fillId="0" borderId="4" xfId="1" applyNumberFormat="1" applyFont="1" applyFill="1" applyBorder="1" applyAlignment="1">
      <alignment horizontal="left"/>
    </xf>
    <xf numFmtId="9" fontId="0" fillId="0" borderId="13" xfId="3" applyFont="1" applyBorder="1" applyAlignment="1">
      <alignment horizontal="left" indent="5"/>
    </xf>
    <xf numFmtId="171" fontId="10" fillId="30" borderId="4" xfId="1" applyNumberFormat="1" applyFont="1" applyFill="1" applyBorder="1" applyAlignment="1">
      <alignment horizontal="left"/>
    </xf>
    <xf numFmtId="166" fontId="58" fillId="30" borderId="2" xfId="20" applyNumberFormat="1" applyFont="1" applyFill="1" applyBorder="1" applyAlignment="1">
      <alignment horizontal="center"/>
    </xf>
    <xf numFmtId="166" fontId="0" fillId="0" borderId="2" xfId="0" applyNumberFormat="1" applyBorder="1"/>
    <xf numFmtId="171" fontId="11" fillId="30" borderId="4" xfId="1" applyNumberFormat="1" applyFont="1" applyFill="1" applyBorder="1" applyAlignment="1"/>
    <xf numFmtId="166" fontId="4" fillId="30" borderId="2" xfId="0" applyNumberFormat="1" applyFont="1" applyFill="1" applyBorder="1"/>
    <xf numFmtId="166" fontId="58" fillId="0" borderId="2" xfId="20" applyNumberFormat="1" applyFont="1" applyFill="1" applyBorder="1" applyAlignment="1">
      <alignment horizontal="center"/>
    </xf>
    <xf numFmtId="166" fontId="0" fillId="30" borderId="2" xfId="0" applyNumberFormat="1" applyFill="1" applyBorder="1"/>
    <xf numFmtId="166" fontId="57" fillId="0" borderId="2" xfId="20" applyNumberFormat="1" applyFont="1" applyFill="1" applyBorder="1" applyAlignment="1">
      <alignment horizontal="center"/>
    </xf>
    <xf numFmtId="171" fontId="11" fillId="0" borderId="4" xfId="1" applyNumberFormat="1" applyFont="1" applyFill="1" applyBorder="1" applyAlignment="1"/>
    <xf numFmtId="166" fontId="57" fillId="30" borderId="2" xfId="20" applyNumberFormat="1" applyFont="1" applyFill="1" applyBorder="1" applyAlignment="1">
      <alignment horizontal="center"/>
    </xf>
    <xf numFmtId="172" fontId="58" fillId="0" borderId="2" xfId="21" applyNumberFormat="1" applyFont="1" applyBorder="1" applyAlignment="1">
      <alignment horizontal="center"/>
    </xf>
    <xf numFmtId="172" fontId="58" fillId="30" borderId="2" xfId="21" applyNumberFormat="1" applyFont="1" applyFill="1" applyBorder="1" applyAlignment="1">
      <alignment horizontal="center"/>
    </xf>
    <xf numFmtId="0" fontId="57" fillId="32" borderId="7" xfId="0" applyFont="1" applyFill="1" applyBorder="1" applyAlignment="1">
      <alignment horizontal="left"/>
    </xf>
    <xf numFmtId="171" fontId="10" fillId="4" borderId="9" xfId="1" applyNumberFormat="1" applyFont="1" applyFill="1" applyBorder="1" applyAlignment="1">
      <alignment horizontal="left" indent="1"/>
    </xf>
    <xf numFmtId="1" fontId="58" fillId="0" borderId="15" xfId="21" applyNumberFormat="1" applyFont="1" applyBorder="1" applyAlignment="1">
      <alignment horizontal="center"/>
    </xf>
    <xf numFmtId="171" fontId="10" fillId="21" borderId="9" xfId="1" applyNumberFormat="1" applyFont="1" applyFill="1" applyBorder="1" applyAlignment="1">
      <alignment horizontal="left" indent="1"/>
    </xf>
    <xf numFmtId="166" fontId="58" fillId="21" borderId="3" xfId="20" applyNumberFormat="1" applyFont="1" applyFill="1" applyBorder="1" applyAlignment="1">
      <alignment horizontal="center"/>
    </xf>
    <xf numFmtId="1" fontId="58" fillId="21" borderId="2" xfId="21" applyNumberFormat="1" applyFont="1" applyFill="1" applyBorder="1" applyAlignment="1">
      <alignment horizontal="center"/>
    </xf>
    <xf numFmtId="171" fontId="10" fillId="30" borderId="9" xfId="1" applyNumberFormat="1" applyFont="1" applyFill="1" applyBorder="1" applyAlignment="1">
      <alignment horizontal="left" indent="1"/>
    </xf>
    <xf numFmtId="166" fontId="58" fillId="30" borderId="13" xfId="2" applyNumberFormat="1" applyFont="1" applyFill="1" applyBorder="1" applyAlignment="1">
      <alignment horizontal="right"/>
    </xf>
    <xf numFmtId="171" fontId="10" fillId="30" borderId="12" xfId="1" applyNumberFormat="1" applyFont="1" applyFill="1" applyBorder="1" applyAlignment="1">
      <alignment horizontal="left" indent="1"/>
    </xf>
    <xf numFmtId="166" fontId="58" fillId="30" borderId="2" xfId="2" applyNumberFormat="1" applyFont="1" applyFill="1" applyBorder="1" applyAlignment="1">
      <alignment horizontal="right"/>
    </xf>
    <xf numFmtId="0" fontId="4" fillId="0" borderId="2" xfId="0" applyFont="1" applyBorder="1" applyAlignment="1">
      <alignment horizontal="center"/>
    </xf>
    <xf numFmtId="0" fontId="4" fillId="0" borderId="11" xfId="0" applyFont="1" applyBorder="1"/>
    <xf numFmtId="1" fontId="4" fillId="0" borderId="11" xfId="0" applyNumberFormat="1" applyFont="1" applyBorder="1"/>
    <xf numFmtId="0" fontId="4" fillId="0" borderId="2" xfId="0" applyFont="1" applyBorder="1" applyAlignment="1">
      <alignment horizontal="right"/>
    </xf>
    <xf numFmtId="0" fontId="22" fillId="7" borderId="2" xfId="0" applyFont="1" applyFill="1" applyBorder="1" applyAlignment="1">
      <alignment horizontal="center"/>
    </xf>
    <xf numFmtId="0" fontId="2" fillId="0" borderId="2" xfId="10" applyFont="1" applyBorder="1"/>
    <xf numFmtId="0" fontId="4" fillId="8" borderId="2" xfId="0" applyFont="1" applyFill="1" applyBorder="1" applyAlignment="1">
      <alignment horizontal="centerContinuous"/>
    </xf>
    <xf numFmtId="166" fontId="4" fillId="8" borderId="2" xfId="2" applyNumberFormat="1" applyFont="1" applyFill="1" applyBorder="1" applyAlignment="1">
      <alignment horizontal="center"/>
    </xf>
    <xf numFmtId="0" fontId="3" fillId="6" borderId="2" xfId="7" applyFont="1" applyFill="1" applyBorder="1" applyAlignment="1">
      <alignment horizontal="centerContinuous"/>
    </xf>
    <xf numFmtId="0" fontId="48" fillId="33" borderId="2" xfId="0" applyFont="1" applyFill="1" applyBorder="1" applyAlignment="1">
      <alignment horizontal="center" wrapText="1"/>
    </xf>
    <xf numFmtId="0" fontId="46" fillId="33" borderId="2" xfId="0" applyFont="1" applyFill="1" applyBorder="1" applyAlignment="1">
      <alignment wrapText="1"/>
    </xf>
    <xf numFmtId="0" fontId="46" fillId="34" borderId="2" xfId="0" applyFont="1" applyFill="1" applyBorder="1" applyAlignment="1">
      <alignment vertical="center" wrapText="1"/>
    </xf>
    <xf numFmtId="0" fontId="45" fillId="34" borderId="2" xfId="0" applyFont="1" applyFill="1" applyBorder="1" applyAlignment="1">
      <alignment vertical="center" wrapText="1"/>
    </xf>
    <xf numFmtId="166" fontId="46" fillId="34" borderId="2" xfId="2" applyNumberFormat="1" applyFont="1" applyFill="1" applyBorder="1" applyAlignment="1">
      <alignment vertical="center" wrapText="1"/>
    </xf>
    <xf numFmtId="0" fontId="48" fillId="35" borderId="2" xfId="0" applyFont="1" applyFill="1" applyBorder="1" applyAlignment="1">
      <alignment vertical="center" wrapText="1"/>
    </xf>
    <xf numFmtId="166" fontId="48" fillId="35" borderId="2" xfId="2" applyNumberFormat="1" applyFont="1" applyFill="1" applyBorder="1" applyAlignment="1">
      <alignment horizontal="right" vertical="center" wrapText="1"/>
    </xf>
    <xf numFmtId="37" fontId="48" fillId="31" borderId="31" xfId="8" applyNumberFormat="1" applyFont="1" applyFill="1" applyBorder="1" applyAlignment="1">
      <alignment horizontal="center"/>
    </xf>
    <xf numFmtId="1" fontId="48" fillId="31" borderId="24" xfId="8" applyNumberFormat="1" applyFont="1" applyFill="1" applyBorder="1" applyAlignment="1">
      <alignment horizontal="center"/>
    </xf>
    <xf numFmtId="1" fontId="48" fillId="31" borderId="25" xfId="8" applyNumberFormat="1" applyFont="1" applyFill="1" applyBorder="1" applyAlignment="1">
      <alignment horizontal="center"/>
    </xf>
    <xf numFmtId="0" fontId="48" fillId="4" borderId="26" xfId="0" applyFont="1" applyFill="1" applyBorder="1"/>
    <xf numFmtId="167" fontId="48" fillId="4" borderId="27" xfId="1" applyNumberFormat="1" applyFont="1" applyFill="1" applyBorder="1" applyAlignment="1">
      <alignment horizontal="right"/>
    </xf>
    <xf numFmtId="167" fontId="48" fillId="4" borderId="38" xfId="1" applyNumberFormat="1" applyFont="1" applyFill="1" applyBorder="1" applyAlignment="1">
      <alignment horizontal="right"/>
    </xf>
    <xf numFmtId="0" fontId="48" fillId="4" borderId="39" xfId="0" applyFont="1" applyFill="1" applyBorder="1"/>
    <xf numFmtId="167" fontId="48" fillId="4" borderId="0" xfId="1" applyNumberFormat="1" applyFont="1" applyFill="1" applyBorder="1" applyAlignment="1">
      <alignment horizontal="right"/>
    </xf>
    <xf numFmtId="167" fontId="48" fillId="4" borderId="40" xfId="1" applyNumberFormat="1" applyFont="1" applyFill="1" applyBorder="1" applyAlignment="1">
      <alignment horizontal="right"/>
    </xf>
    <xf numFmtId="170" fontId="48" fillId="4" borderId="0" xfId="1" applyNumberFormat="1" applyFont="1" applyFill="1" applyBorder="1" applyAlignment="1">
      <alignment horizontal="right"/>
    </xf>
    <xf numFmtId="170" fontId="48" fillId="4" borderId="40" xfId="1" applyNumberFormat="1" applyFont="1" applyFill="1" applyBorder="1" applyAlignment="1">
      <alignment horizontal="right"/>
    </xf>
    <xf numFmtId="0" fontId="48" fillId="4" borderId="28" xfId="0" applyFont="1" applyFill="1" applyBorder="1"/>
    <xf numFmtId="170" fontId="48" fillId="4" borderId="29" xfId="1" applyNumberFormat="1" applyFont="1" applyFill="1" applyBorder="1" applyAlignment="1">
      <alignment horizontal="right"/>
    </xf>
    <xf numFmtId="170" fontId="48" fillId="4" borderId="41" xfId="1" applyNumberFormat="1" applyFont="1" applyFill="1" applyBorder="1" applyAlignment="1">
      <alignment horizontal="right"/>
    </xf>
    <xf numFmtId="0" fontId="14" fillId="30" borderId="39" xfId="0" applyFont="1" applyFill="1" applyBorder="1" applyAlignment="1">
      <alignment vertical="center"/>
    </xf>
    <xf numFmtId="0" fontId="54" fillId="30" borderId="40" xfId="22" applyFont="1" applyFill="1" applyBorder="1" applyAlignment="1">
      <alignment vertical="top"/>
    </xf>
    <xf numFmtId="0" fontId="14" fillId="4" borderId="26" xfId="22" applyFont="1" applyFill="1" applyBorder="1" applyAlignment="1">
      <alignment vertical="top"/>
    </xf>
    <xf numFmtId="0" fontId="54" fillId="4" borderId="27" xfId="22" applyFont="1" applyFill="1" applyBorder="1" applyAlignment="1">
      <alignment vertical="top"/>
    </xf>
    <xf numFmtId="0" fontId="54" fillId="4" borderId="38" xfId="22" applyFont="1" applyFill="1" applyBorder="1" applyAlignment="1">
      <alignment vertical="top"/>
    </xf>
    <xf numFmtId="49" fontId="60" fillId="13" borderId="39" xfId="22" applyNumberFormat="1" applyFont="1" applyFill="1" applyBorder="1" applyAlignment="1">
      <alignment horizontal="left" vertical="top"/>
    </xf>
    <xf numFmtId="173" fontId="46" fillId="13" borderId="0" xfId="2" applyNumberFormat="1" applyFont="1" applyFill="1" applyBorder="1"/>
    <xf numFmtId="173" fontId="46" fillId="13" borderId="40" xfId="2" applyNumberFormat="1" applyFont="1" applyFill="1" applyBorder="1"/>
    <xf numFmtId="49" fontId="14" fillId="5" borderId="31" xfId="22" applyNumberFormat="1" applyFont="1" applyFill="1" applyBorder="1" applyAlignment="1">
      <alignment horizontal="left" vertical="top"/>
    </xf>
    <xf numFmtId="174" fontId="48" fillId="5" borderId="24" xfId="2" applyNumberFormat="1" applyFont="1" applyFill="1" applyBorder="1" applyAlignment="1">
      <alignment horizontal="right"/>
    </xf>
    <xf numFmtId="174" fontId="48" fillId="5" borderId="25" xfId="2" applyNumberFormat="1" applyFont="1" applyFill="1" applyBorder="1" applyAlignment="1">
      <alignment horizontal="right"/>
    </xf>
    <xf numFmtId="49" fontId="61" fillId="4" borderId="26" xfId="22" applyNumberFormat="1" applyFont="1" applyFill="1" applyBorder="1" applyAlignment="1">
      <alignment horizontal="left" vertical="top"/>
    </xf>
    <xf numFmtId="49" fontId="60" fillId="25" borderId="39" xfId="22" applyNumberFormat="1" applyFont="1" applyFill="1" applyBorder="1" applyAlignment="1">
      <alignment horizontal="left" vertical="top"/>
    </xf>
    <xf numFmtId="173" fontId="46" fillId="25" borderId="0" xfId="2" applyNumberFormat="1" applyFont="1" applyFill="1" applyBorder="1"/>
    <xf numFmtId="173" fontId="46" fillId="25" borderId="40" xfId="2" applyNumberFormat="1" applyFont="1" applyFill="1" applyBorder="1"/>
    <xf numFmtId="49" fontId="54" fillId="25" borderId="39" xfId="22" applyNumberFormat="1" applyFont="1" applyFill="1" applyBorder="1" applyAlignment="1">
      <alignment horizontal="left" vertical="top"/>
    </xf>
    <xf numFmtId="0" fontId="48" fillId="22" borderId="31" xfId="0" applyFont="1" applyFill="1" applyBorder="1"/>
    <xf numFmtId="174" fontId="48" fillId="22" borderId="24" xfId="2" applyNumberFormat="1" applyFont="1" applyFill="1" applyBorder="1" applyAlignment="1">
      <alignment horizontal="right"/>
    </xf>
    <xf numFmtId="174" fontId="48" fillId="22" borderId="25" xfId="2" applyNumberFormat="1" applyFont="1" applyFill="1" applyBorder="1" applyAlignment="1">
      <alignment horizontal="right"/>
    </xf>
    <xf numFmtId="49" fontId="14" fillId="8" borderId="42" xfId="22" applyNumberFormat="1" applyFont="1" applyFill="1" applyBorder="1" applyAlignment="1">
      <alignment horizontal="left" vertical="top"/>
    </xf>
    <xf numFmtId="0" fontId="14" fillId="4" borderId="39" xfId="22" applyFont="1" applyFill="1" applyBorder="1" applyAlignment="1">
      <alignment vertical="top"/>
    </xf>
    <xf numFmtId="0" fontId="46" fillId="4" borderId="40" xfId="0" applyFont="1" applyFill="1" applyBorder="1"/>
    <xf numFmtId="41" fontId="54" fillId="4" borderId="39" xfId="22" applyNumberFormat="1" applyFont="1" applyFill="1" applyBorder="1" applyAlignment="1">
      <alignment vertical="top"/>
    </xf>
    <xf numFmtId="173" fontId="46" fillId="4" borderId="0" xfId="2" applyNumberFormat="1" applyFont="1" applyFill="1" applyBorder="1"/>
    <xf numFmtId="173" fontId="46" fillId="4" borderId="40" xfId="2" applyNumberFormat="1" applyFont="1" applyFill="1" applyBorder="1"/>
    <xf numFmtId="41" fontId="54" fillId="4" borderId="45" xfId="22" applyNumberFormat="1" applyFont="1" applyFill="1" applyBorder="1" applyAlignment="1">
      <alignment vertical="top"/>
    </xf>
    <xf numFmtId="173" fontId="46" fillId="4" borderId="18" xfId="2" applyNumberFormat="1" applyFont="1" applyFill="1" applyBorder="1"/>
    <xf numFmtId="173" fontId="46" fillId="4" borderId="46" xfId="2" applyNumberFormat="1" applyFont="1" applyFill="1" applyBorder="1"/>
    <xf numFmtId="41" fontId="14" fillId="8" borderId="47" xfId="22" applyNumberFormat="1" applyFont="1" applyFill="1" applyBorder="1" applyAlignment="1">
      <alignment vertical="top"/>
    </xf>
    <xf numFmtId="173" fontId="14" fillId="8" borderId="48" xfId="22" applyNumberFormat="1" applyFont="1" applyFill="1" applyBorder="1" applyAlignment="1">
      <alignment vertical="top"/>
    </xf>
    <xf numFmtId="173" fontId="14" fillId="8" borderId="49" xfId="22" applyNumberFormat="1" applyFont="1" applyFill="1" applyBorder="1" applyAlignment="1">
      <alignment vertical="top"/>
    </xf>
    <xf numFmtId="0" fontId="48" fillId="5" borderId="31" xfId="0" applyFont="1" applyFill="1" applyBorder="1"/>
    <xf numFmtId="175" fontId="48" fillId="5" borderId="24" xfId="2" applyNumberFormat="1" applyFont="1" applyFill="1" applyBorder="1" applyAlignment="1">
      <alignment horizontal="center" vertical="center" wrapText="1"/>
    </xf>
    <xf numFmtId="175" fontId="48" fillId="5" borderId="25" xfId="2" applyNumberFormat="1" applyFont="1" applyFill="1" applyBorder="1" applyAlignment="1">
      <alignment horizontal="center" vertical="center" wrapText="1"/>
    </xf>
    <xf numFmtId="1" fontId="0" fillId="0" borderId="0" xfId="0" applyNumberFormat="1"/>
    <xf numFmtId="0" fontId="48" fillId="33" borderId="9" xfId="0" applyFont="1" applyFill="1" applyBorder="1" applyAlignment="1">
      <alignment horizontal="center" wrapText="1"/>
    </xf>
    <xf numFmtId="0" fontId="46" fillId="33" borderId="10" xfId="0" applyFont="1" applyFill="1" applyBorder="1" applyAlignment="1">
      <alignment wrapText="1"/>
    </xf>
    <xf numFmtId="0" fontId="46" fillId="33" borderId="3" xfId="0" applyFont="1" applyFill="1" applyBorder="1" applyAlignment="1">
      <alignment wrapText="1"/>
    </xf>
    <xf numFmtId="0" fontId="48" fillId="0" borderId="13" xfId="0" applyFont="1" applyBorder="1" applyAlignment="1">
      <alignment wrapText="1"/>
    </xf>
    <xf numFmtId="0" fontId="62" fillId="36" borderId="13" xfId="0" applyFont="1" applyFill="1" applyBorder="1" applyAlignment="1">
      <alignment horizontal="center" wrapText="1"/>
    </xf>
    <xf numFmtId="0" fontId="48" fillId="0" borderId="2" xfId="0" applyFont="1" applyBorder="1" applyAlignment="1">
      <alignment wrapText="1"/>
    </xf>
    <xf numFmtId="166" fontId="46" fillId="35" borderId="2" xfId="2" applyNumberFormat="1" applyFont="1" applyFill="1" applyBorder="1" applyAlignment="1">
      <alignment vertical="center" wrapText="1"/>
    </xf>
    <xf numFmtId="0" fontId="46" fillId="0" borderId="2" xfId="0" applyFont="1" applyBorder="1" applyAlignment="1">
      <alignment wrapText="1"/>
    </xf>
    <xf numFmtId="170" fontId="48" fillId="35" borderId="2" xfId="0" applyNumberFormat="1" applyFont="1" applyFill="1" applyBorder="1" applyAlignment="1">
      <alignment horizontal="center" vertical="center" wrapText="1"/>
    </xf>
    <xf numFmtId="0" fontId="0" fillId="0" borderId="12" xfId="0" applyBorder="1"/>
    <xf numFmtId="0" fontId="4" fillId="7" borderId="2" xfId="0" applyFont="1" applyFill="1" applyBorder="1" applyAlignment="1">
      <alignment horizontal="center"/>
    </xf>
    <xf numFmtId="0" fontId="41" fillId="6" borderId="10" xfId="0" applyFont="1" applyFill="1" applyBorder="1" applyAlignment="1">
      <alignment horizontal="center" vertical="center"/>
    </xf>
    <xf numFmtId="1" fontId="11" fillId="7" borderId="2" xfId="1" applyNumberFormat="1" applyFont="1" applyFill="1" applyBorder="1" applyAlignment="1">
      <alignment horizontal="right"/>
    </xf>
    <xf numFmtId="166" fontId="4" fillId="7" borderId="2" xfId="2" applyNumberFormat="1" applyFont="1" applyFill="1" applyBorder="1"/>
    <xf numFmtId="166" fontId="48" fillId="0" borderId="2" xfId="2" applyNumberFormat="1" applyFont="1" applyBorder="1" applyAlignment="1">
      <alignment wrapText="1"/>
    </xf>
    <xf numFmtId="166" fontId="48" fillId="35" borderId="2" xfId="2" applyNumberFormat="1" applyFont="1" applyFill="1" applyBorder="1" applyAlignment="1">
      <alignment vertical="center" wrapText="1"/>
    </xf>
    <xf numFmtId="166" fontId="48" fillId="0" borderId="2" xfId="2" applyNumberFormat="1" applyFont="1" applyBorder="1" applyAlignment="1">
      <alignment vertical="center" wrapText="1"/>
    </xf>
    <xf numFmtId="166" fontId="46" fillId="0" borderId="2" xfId="2" applyNumberFormat="1" applyFont="1" applyBorder="1" applyAlignment="1">
      <alignment vertical="center" wrapText="1"/>
    </xf>
    <xf numFmtId="1" fontId="11" fillId="8" borderId="22" xfId="0" applyNumberFormat="1" applyFont="1" applyFill="1" applyBorder="1" applyAlignment="1">
      <alignment horizontal="center" vertical="center"/>
    </xf>
    <xf numFmtId="9" fontId="4" fillId="3" borderId="19" xfId="3" applyFont="1" applyFill="1" applyBorder="1" applyAlignment="1">
      <alignment horizontal="center"/>
    </xf>
    <xf numFmtId="0" fontId="63" fillId="37" borderId="7" xfId="0" applyFont="1" applyFill="1" applyBorder="1" applyAlignment="1">
      <alignment vertical="center"/>
    </xf>
    <xf numFmtId="0" fontId="63" fillId="37" borderId="11" xfId="0" applyFont="1" applyFill="1" applyBorder="1" applyAlignment="1">
      <alignment vertical="center"/>
    </xf>
    <xf numFmtId="0" fontId="64" fillId="37" borderId="12" xfId="0" applyFont="1" applyFill="1" applyBorder="1" applyAlignment="1">
      <alignment vertical="center"/>
    </xf>
    <xf numFmtId="0" fontId="64" fillId="37" borderId="18" xfId="0" applyFont="1" applyFill="1" applyBorder="1" applyAlignment="1">
      <alignment vertical="center"/>
    </xf>
    <xf numFmtId="0" fontId="0" fillId="0" borderId="50" xfId="0" applyBorder="1" applyAlignment="1">
      <alignment vertical="center" wrapText="1"/>
    </xf>
    <xf numFmtId="0" fontId="0" fillId="37" borderId="22" xfId="0" applyFill="1" applyBorder="1" applyAlignment="1">
      <alignment vertical="center" wrapText="1"/>
    </xf>
    <xf numFmtId="0" fontId="0" fillId="37" borderId="20" xfId="0" applyFill="1" applyBorder="1" applyAlignment="1">
      <alignment vertical="center" wrapText="1"/>
    </xf>
    <xf numFmtId="0" fontId="0" fillId="0" borderId="54" xfId="0" applyBorder="1" applyAlignment="1">
      <alignment vertical="center" wrapText="1"/>
    </xf>
    <xf numFmtId="0" fontId="0" fillId="0" borderId="55" xfId="0" applyBorder="1" applyAlignment="1">
      <alignment vertical="center" wrapText="1"/>
    </xf>
    <xf numFmtId="6" fontId="4" fillId="39" borderId="55" xfId="0" applyNumberFormat="1" applyFont="1" applyFill="1" applyBorder="1" applyAlignment="1">
      <alignment horizontal="right" vertical="center" wrapText="1"/>
    </xf>
    <xf numFmtId="0" fontId="4" fillId="40" borderId="39" xfId="0" applyFont="1" applyFill="1" applyBorder="1" applyAlignment="1">
      <alignment vertical="center" wrapText="1"/>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10" fontId="4" fillId="39" borderId="55" xfId="0" applyNumberFormat="1" applyFont="1" applyFill="1" applyBorder="1" applyAlignment="1">
      <alignment horizontal="center" vertical="center" wrapText="1"/>
    </xf>
    <xf numFmtId="0" fontId="0" fillId="0" borderId="26" xfId="0" applyBorder="1" applyAlignment="1">
      <alignment vertical="center" wrapText="1"/>
    </xf>
    <xf numFmtId="6" fontId="0" fillId="0" borderId="27" xfId="0" applyNumberFormat="1" applyBorder="1" applyAlignment="1">
      <alignment horizontal="right" vertical="center" wrapText="1"/>
    </xf>
    <xf numFmtId="0" fontId="4" fillId="39" borderId="55" xfId="0" applyFont="1" applyFill="1" applyBorder="1" applyAlignment="1">
      <alignment horizontal="center" vertical="center" wrapText="1"/>
    </xf>
    <xf numFmtId="0" fontId="0" fillId="0" borderId="39" xfId="0" applyBorder="1" applyAlignment="1">
      <alignment vertical="center" wrapText="1"/>
    </xf>
    <xf numFmtId="0" fontId="4" fillId="0" borderId="28" xfId="0" applyFont="1" applyBorder="1" applyAlignment="1">
      <alignment vertical="center" wrapText="1"/>
    </xf>
    <xf numFmtId="0" fontId="4" fillId="0" borderId="29" xfId="0" applyFont="1" applyBorder="1" applyAlignment="1">
      <alignment horizontal="center" vertical="center" wrapText="1"/>
    </xf>
    <xf numFmtId="0" fontId="4" fillId="0" borderId="41" xfId="0" applyFont="1" applyBorder="1" applyAlignment="1">
      <alignment horizontal="center" vertical="center" wrapText="1"/>
    </xf>
    <xf numFmtId="0" fontId="0" fillId="0" borderId="39" xfId="0" applyBorder="1" applyAlignment="1">
      <alignment vertical="center"/>
    </xf>
    <xf numFmtId="0" fontId="4" fillId="0" borderId="31" xfId="0" applyFont="1" applyBorder="1" applyAlignment="1">
      <alignment vertical="center" wrapText="1"/>
    </xf>
    <xf numFmtId="6" fontId="4" fillId="0" borderId="24" xfId="0" applyNumberFormat="1" applyFont="1" applyBorder="1" applyAlignment="1">
      <alignment horizontal="right" vertical="center" wrapText="1"/>
    </xf>
    <xf numFmtId="9" fontId="0" fillId="0" borderId="25" xfId="0" applyNumberFormat="1" applyBorder="1" applyAlignment="1">
      <alignment horizontal="center" vertical="center" wrapText="1"/>
    </xf>
    <xf numFmtId="14" fontId="4" fillId="39" borderId="5" xfId="0" applyNumberFormat="1" applyFont="1" applyFill="1" applyBorder="1" applyAlignment="1">
      <alignment horizontal="center" vertical="center" wrapText="1"/>
    </xf>
    <xf numFmtId="6" fontId="4" fillId="39" borderId="5" xfId="0" applyNumberFormat="1" applyFont="1" applyFill="1" applyBorder="1" applyAlignment="1">
      <alignment horizontal="right" vertical="center" wrapText="1"/>
    </xf>
    <xf numFmtId="0" fontId="4" fillId="0" borderId="5" xfId="0" applyFont="1" applyBorder="1" applyAlignment="1">
      <alignment horizontal="center" vertical="center" wrapText="1"/>
    </xf>
    <xf numFmtId="0" fontId="4" fillId="0" borderId="54" xfId="0" applyFont="1" applyBorder="1" applyAlignment="1">
      <alignment horizontal="center" vertical="center" wrapText="1"/>
    </xf>
    <xf numFmtId="0" fontId="0" fillId="21" borderId="55" xfId="0" applyFill="1" applyBorder="1" applyAlignment="1">
      <alignment horizontal="center" vertical="center" wrapText="1"/>
    </xf>
    <xf numFmtId="14" fontId="65" fillId="21" borderId="55" xfId="0" applyNumberFormat="1" applyFont="1" applyFill="1" applyBorder="1" applyAlignment="1">
      <alignment horizontal="center" vertical="center" wrapText="1"/>
    </xf>
    <xf numFmtId="6" fontId="0" fillId="21" borderId="55" xfId="0" applyNumberFormat="1" applyFill="1" applyBorder="1" applyAlignment="1">
      <alignment horizontal="right" vertical="center" wrapText="1"/>
    </xf>
    <xf numFmtId="0" fontId="0" fillId="0" borderId="55" xfId="0" applyBorder="1" applyAlignment="1">
      <alignment horizontal="center" vertical="center" wrapText="1"/>
    </xf>
    <xf numFmtId="14" fontId="65" fillId="0" borderId="55" xfId="0" applyNumberFormat="1" applyFont="1" applyBorder="1" applyAlignment="1">
      <alignment horizontal="center" vertical="center" wrapText="1"/>
    </xf>
    <xf numFmtId="6" fontId="0" fillId="0" borderId="55" xfId="0" applyNumberFormat="1" applyBorder="1" applyAlignment="1">
      <alignment horizontal="right" vertical="center" wrapText="1"/>
    </xf>
    <xf numFmtId="166" fontId="0" fillId="0" borderId="55" xfId="0" applyNumberFormat="1" applyBorder="1" applyAlignment="1">
      <alignment horizontal="right" vertical="center" wrapText="1"/>
    </xf>
    <xf numFmtId="0" fontId="0" fillId="37" borderId="21" xfId="0" applyFill="1" applyBorder="1" applyAlignment="1">
      <alignment vertical="center" wrapText="1"/>
    </xf>
    <xf numFmtId="14" fontId="4" fillId="3" borderId="5" xfId="0" applyNumberFormat="1" applyFont="1" applyFill="1" applyBorder="1" applyAlignment="1">
      <alignment horizontal="center" vertical="center" wrapText="1"/>
    </xf>
    <xf numFmtId="0" fontId="4" fillId="21" borderId="2" xfId="10" applyFont="1" applyFill="1" applyBorder="1" applyAlignment="1">
      <alignment horizontal="centerContinuous"/>
    </xf>
    <xf numFmtId="0" fontId="4" fillId="30" borderId="13" xfId="10" applyFont="1" applyFill="1" applyBorder="1" applyAlignment="1">
      <alignment horizontal="centerContinuous"/>
    </xf>
    <xf numFmtId="0" fontId="4" fillId="25" borderId="13" xfId="10" applyFont="1" applyFill="1" applyBorder="1" applyAlignment="1">
      <alignment horizontal="centerContinuous"/>
    </xf>
    <xf numFmtId="167" fontId="11" fillId="7" borderId="2" xfId="1" applyNumberFormat="1" applyFont="1" applyFill="1" applyBorder="1" applyAlignment="1">
      <alignment horizontal="center" vertical="center"/>
    </xf>
    <xf numFmtId="1" fontId="11" fillId="7" borderId="2" xfId="0" applyNumberFormat="1" applyFont="1" applyFill="1" applyBorder="1" applyAlignment="1">
      <alignment horizontal="right" vertical="center"/>
    </xf>
    <xf numFmtId="1" fontId="11" fillId="3" borderId="2" xfId="0" applyNumberFormat="1" applyFont="1" applyFill="1" applyBorder="1" applyAlignment="1">
      <alignment horizontal="right" vertical="center"/>
    </xf>
    <xf numFmtId="0" fontId="66" fillId="8" borderId="10" xfId="4" applyFont="1" applyFill="1" applyBorder="1" applyAlignment="1">
      <alignment vertical="center"/>
    </xf>
    <xf numFmtId="166" fontId="10" fillId="3" borderId="2" xfId="2" applyNumberFormat="1" applyFont="1" applyFill="1" applyBorder="1" applyAlignment="1">
      <alignment horizontal="center"/>
    </xf>
    <xf numFmtId="1" fontId="58" fillId="0" borderId="2" xfId="21" applyNumberFormat="1" applyFont="1" applyBorder="1" applyAlignment="1">
      <alignment horizontal="center"/>
    </xf>
    <xf numFmtId="166" fontId="58" fillId="21" borderId="2" xfId="20" applyNumberFormat="1" applyFont="1" applyFill="1" applyBorder="1" applyAlignment="1">
      <alignment horizontal="center"/>
    </xf>
    <xf numFmtId="0" fontId="4" fillId="25" borderId="13" xfId="10" applyFont="1" applyFill="1" applyBorder="1" applyAlignment="1">
      <alignment horizontal="center"/>
    </xf>
    <xf numFmtId="0" fontId="4" fillId="0" borderId="13" xfId="10" applyFont="1" applyBorder="1" applyAlignment="1">
      <alignment horizontal="left"/>
    </xf>
    <xf numFmtId="0" fontId="4" fillId="8" borderId="9" xfId="0" applyFont="1" applyFill="1" applyBorder="1" applyAlignment="1">
      <alignment horizontal="center"/>
    </xf>
    <xf numFmtId="9" fontId="4" fillId="7" borderId="2" xfId="0" applyNumberFormat="1" applyFont="1" applyFill="1" applyBorder="1" applyAlignment="1">
      <alignment horizontal="center"/>
    </xf>
    <xf numFmtId="166" fontId="4" fillId="7" borderId="13" xfId="2" applyNumberFormat="1" applyFont="1" applyFill="1" applyBorder="1"/>
    <xf numFmtId="0" fontId="4" fillId="8" borderId="10" xfId="0" applyFont="1" applyFill="1" applyBorder="1" applyAlignment="1">
      <alignment horizontal="center"/>
    </xf>
    <xf numFmtId="0" fontId="4" fillId="8" borderId="3" xfId="0" applyFont="1" applyFill="1" applyBorder="1" applyAlignment="1">
      <alignment horizontal="center"/>
    </xf>
    <xf numFmtId="1" fontId="4" fillId="7" borderId="2" xfId="2" applyNumberFormat="1" applyFont="1" applyFill="1" applyBorder="1" applyAlignment="1">
      <alignment horizontal="center"/>
    </xf>
    <xf numFmtId="1" fontId="4" fillId="7" borderId="13" xfId="1" applyNumberFormat="1" applyFont="1" applyFill="1" applyBorder="1" applyAlignment="1">
      <alignment horizontal="center"/>
    </xf>
    <xf numFmtId="1" fontId="4" fillId="7" borderId="2" xfId="1" applyNumberFormat="1" applyFont="1" applyFill="1" applyBorder="1" applyAlignment="1">
      <alignment horizontal="center"/>
    </xf>
    <xf numFmtId="1" fontId="23" fillId="0" borderId="2" xfId="10" applyNumberFormat="1" applyFont="1" applyBorder="1" applyAlignment="1">
      <alignment horizontal="center"/>
    </xf>
    <xf numFmtId="1" fontId="4" fillId="8" borderId="2" xfId="2" applyNumberFormat="1" applyFont="1" applyFill="1" applyBorder="1" applyAlignment="1">
      <alignment horizontal="center"/>
    </xf>
    <xf numFmtId="0" fontId="3" fillId="6" borderId="9" xfId="8" applyFont="1" applyFill="1" applyBorder="1" applyAlignment="1">
      <alignment horizontal="center" vertical="center"/>
    </xf>
    <xf numFmtId="0" fontId="4" fillId="0" borderId="2" xfId="0" applyFont="1" applyBorder="1" applyAlignment="1">
      <alignment horizontal="centerContinuous"/>
    </xf>
    <xf numFmtId="164" fontId="14" fillId="3" borderId="2" xfId="0" applyNumberFormat="1" applyFont="1" applyFill="1" applyBorder="1"/>
    <xf numFmtId="0" fontId="4" fillId="8" borderId="60" xfId="0" applyFont="1" applyFill="1" applyBorder="1" applyAlignment="1">
      <alignment horizontal="centerContinuous"/>
    </xf>
    <xf numFmtId="0" fontId="4" fillId="8" borderId="32" xfId="0" applyFont="1" applyFill="1" applyBorder="1" applyAlignment="1">
      <alignment horizontal="centerContinuous"/>
    </xf>
    <xf numFmtId="0" fontId="4" fillId="8" borderId="61" xfId="0" applyFont="1" applyFill="1" applyBorder="1" applyAlignment="1">
      <alignment horizontal="center"/>
    </xf>
    <xf numFmtId="0" fontId="4" fillId="8" borderId="58" xfId="0" applyFont="1" applyFill="1" applyBorder="1" applyAlignment="1">
      <alignment horizontal="center"/>
    </xf>
    <xf numFmtId="0" fontId="4" fillId="8" borderId="59" xfId="0" applyFont="1" applyFill="1" applyBorder="1" applyAlignment="1">
      <alignment horizontal="center"/>
    </xf>
    <xf numFmtId="0" fontId="4" fillId="0" borderId="62" xfId="0" applyFont="1" applyBorder="1" applyAlignment="1">
      <alignment horizontal="centerContinuous"/>
    </xf>
    <xf numFmtId="166" fontId="4" fillId="7" borderId="63" xfId="2" applyNumberFormat="1" applyFont="1" applyFill="1" applyBorder="1" applyAlignment="1">
      <alignment horizontal="center"/>
    </xf>
    <xf numFmtId="49" fontId="0" fillId="0" borderId="39" xfId="0" applyNumberFormat="1" applyBorder="1"/>
    <xf numFmtId="0" fontId="0" fillId="0" borderId="40" xfId="0" applyBorder="1"/>
    <xf numFmtId="0" fontId="4" fillId="8" borderId="62" xfId="0" applyFont="1" applyFill="1" applyBorder="1" applyAlignment="1">
      <alignment horizontal="centerContinuous"/>
    </xf>
    <xf numFmtId="0" fontId="4" fillId="8" borderId="64" xfId="0" applyFont="1" applyFill="1" applyBorder="1" applyAlignment="1">
      <alignment horizontal="center"/>
    </xf>
    <xf numFmtId="0" fontId="0" fillId="0" borderId="39" xfId="0" applyBorder="1"/>
    <xf numFmtId="0" fontId="4" fillId="0" borderId="65" xfId="0" applyFont="1" applyBorder="1" applyAlignment="1">
      <alignment horizontal="centerContinuous"/>
    </xf>
    <xf numFmtId="0" fontId="4" fillId="0" borderId="34" xfId="0" applyFont="1" applyBorder="1" applyAlignment="1">
      <alignment horizontal="centerContinuous"/>
    </xf>
    <xf numFmtId="166" fontId="4" fillId="7" borderId="34" xfId="2" applyNumberFormat="1" applyFont="1" applyFill="1" applyBorder="1" applyAlignment="1">
      <alignment horizontal="center"/>
    </xf>
    <xf numFmtId="166" fontId="4" fillId="7" borderId="35" xfId="2" applyNumberFormat="1" applyFont="1" applyFill="1" applyBorder="1" applyAlignment="1">
      <alignment horizontal="center"/>
    </xf>
    <xf numFmtId="0" fontId="42" fillId="8" borderId="9" xfId="0" applyFont="1" applyFill="1" applyBorder="1" applyAlignment="1">
      <alignment horizontal="centerContinuous" vertical="center"/>
    </xf>
    <xf numFmtId="0" fontId="42" fillId="8" borderId="3" xfId="0" applyFont="1" applyFill="1" applyBorder="1" applyAlignment="1">
      <alignment horizontal="centerContinuous" vertical="center"/>
    </xf>
    <xf numFmtId="0" fontId="4" fillId="7" borderId="3" xfId="0" applyFont="1" applyFill="1" applyBorder="1" applyAlignment="1">
      <alignment horizontal="center" vertical="center"/>
    </xf>
    <xf numFmtId="0" fontId="4" fillId="3" borderId="3" xfId="0" applyFont="1" applyFill="1" applyBorder="1" applyAlignment="1">
      <alignment horizontal="center" vertical="center"/>
    </xf>
    <xf numFmtId="0" fontId="4" fillId="25" borderId="2" xfId="10" applyFont="1" applyFill="1" applyBorder="1" applyAlignment="1">
      <alignment horizontal="center"/>
    </xf>
    <xf numFmtId="37" fontId="4" fillId="42" borderId="62" xfId="0" applyNumberFormat="1" applyFont="1" applyFill="1" applyBorder="1" applyAlignment="1">
      <alignment horizontal="centerContinuous"/>
    </xf>
    <xf numFmtId="0" fontId="4" fillId="42" borderId="2" xfId="0" applyFont="1" applyFill="1" applyBorder="1" applyAlignment="1">
      <alignment horizontal="centerContinuous"/>
    </xf>
    <xf numFmtId="174" fontId="14" fillId="8" borderId="43" xfId="2" applyNumberFormat="1" applyFont="1" applyFill="1" applyBorder="1" applyAlignment="1">
      <alignment horizontal="right" vertical="top"/>
    </xf>
    <xf numFmtId="174" fontId="14" fillId="8" borderId="44" xfId="2" applyNumberFormat="1" applyFont="1" applyFill="1" applyBorder="1" applyAlignment="1">
      <alignment horizontal="right" vertical="top"/>
    </xf>
    <xf numFmtId="170" fontId="2" fillId="0" borderId="2" xfId="1" applyNumberFormat="1" applyFont="1" applyFill="1" applyBorder="1" applyAlignment="1">
      <alignment horizontal="center"/>
    </xf>
    <xf numFmtId="1" fontId="4" fillId="8" borderId="3" xfId="0" applyNumberFormat="1" applyFont="1" applyFill="1" applyBorder="1" applyAlignment="1">
      <alignment horizontal="center"/>
    </xf>
    <xf numFmtId="0" fontId="4" fillId="40" borderId="31" xfId="0" applyFont="1" applyFill="1" applyBorder="1" applyAlignment="1">
      <alignment horizontal="left" vertical="center"/>
    </xf>
    <xf numFmtId="0" fontId="0" fillId="40" borderId="25" xfId="0" applyFill="1" applyBorder="1" applyAlignment="1">
      <alignment vertical="center" wrapText="1"/>
    </xf>
    <xf numFmtId="9" fontId="4" fillId="0" borderId="24" xfId="0" applyNumberFormat="1" applyFont="1" applyBorder="1" applyAlignment="1">
      <alignment horizontal="center" vertical="center" wrapText="1"/>
    </xf>
    <xf numFmtId="0" fontId="4" fillId="0" borderId="24" xfId="0" applyFont="1" applyBorder="1" applyAlignment="1">
      <alignment vertical="center" wrapText="1"/>
    </xf>
    <xf numFmtId="0" fontId="0" fillId="41" borderId="22" xfId="0" applyFill="1" applyBorder="1" applyAlignment="1">
      <alignment vertical="center" wrapText="1"/>
    </xf>
    <xf numFmtId="0" fontId="0" fillId="41" borderId="20" xfId="0" applyFill="1" applyBorder="1" applyAlignment="1">
      <alignment vertical="center" wrapText="1"/>
    </xf>
    <xf numFmtId="0" fontId="0" fillId="41" borderId="21" xfId="0" applyFill="1" applyBorder="1" applyAlignment="1">
      <alignment vertical="center" wrapText="1"/>
    </xf>
    <xf numFmtId="0" fontId="4" fillId="40" borderId="31" xfId="0" applyFont="1" applyFill="1" applyBorder="1" applyAlignment="1">
      <alignment vertical="center" wrapText="1"/>
    </xf>
    <xf numFmtId="0" fontId="0" fillId="40" borderId="24" xfId="0" applyFill="1" applyBorder="1" applyAlignment="1">
      <alignment vertical="center" wrapText="1"/>
    </xf>
    <xf numFmtId="9" fontId="4" fillId="0" borderId="5" xfId="0" applyNumberFormat="1" applyFont="1" applyBorder="1" applyAlignment="1">
      <alignment horizontal="center" vertical="center" wrapText="1"/>
    </xf>
    <xf numFmtId="9" fontId="4" fillId="0" borderId="27" xfId="0" applyNumberFormat="1" applyFont="1" applyBorder="1" applyAlignment="1">
      <alignment horizontal="center" vertical="center" wrapText="1"/>
    </xf>
    <xf numFmtId="166" fontId="48" fillId="21" borderId="9" xfId="2" applyNumberFormat="1" applyFont="1" applyFill="1" applyBorder="1" applyAlignment="1">
      <alignment vertical="center"/>
    </xf>
    <xf numFmtId="166" fontId="48" fillId="5" borderId="9" xfId="2" applyNumberFormat="1" applyFont="1" applyFill="1" applyBorder="1" applyAlignment="1">
      <alignment vertical="center"/>
    </xf>
    <xf numFmtId="0" fontId="46" fillId="3" borderId="5" xfId="0" applyFont="1" applyFill="1" applyBorder="1" applyAlignment="1">
      <alignment vertical="center"/>
    </xf>
    <xf numFmtId="0" fontId="22" fillId="8" borderId="2" xfId="0" applyFont="1" applyFill="1" applyBorder="1" applyAlignment="1">
      <alignment horizontal="left"/>
    </xf>
    <xf numFmtId="166" fontId="45" fillId="21" borderId="13" xfId="2" applyNumberFormat="1" applyFont="1" applyFill="1" applyBorder="1" applyAlignment="1">
      <alignment horizontal="center" vertical="center"/>
    </xf>
    <xf numFmtId="173" fontId="48" fillId="3" borderId="2" xfId="2" applyNumberFormat="1" applyFont="1" applyFill="1" applyBorder="1"/>
    <xf numFmtId="0" fontId="3" fillId="6" borderId="3" xfId="7" applyFont="1" applyFill="1" applyBorder="1" applyAlignment="1">
      <alignment horizontal="right"/>
    </xf>
    <xf numFmtId="168" fontId="62" fillId="36" borderId="13" xfId="0" applyNumberFormat="1" applyFont="1" applyFill="1" applyBorder="1" applyAlignment="1">
      <alignment horizontal="center" wrapText="1"/>
    </xf>
    <xf numFmtId="0" fontId="50" fillId="0" borderId="2" xfId="0" applyFont="1" applyBorder="1" applyAlignment="1">
      <alignment horizontal="center" vertical="center"/>
    </xf>
    <xf numFmtId="9" fontId="0" fillId="0" borderId="0" xfId="3" applyFont="1" applyAlignment="1">
      <alignment horizontal="center"/>
    </xf>
    <xf numFmtId="166" fontId="45" fillId="21" borderId="12" xfId="2" applyNumberFormat="1" applyFont="1" applyFill="1" applyBorder="1" applyAlignment="1">
      <alignment horizontal="center" vertical="center"/>
    </xf>
    <xf numFmtId="166" fontId="45" fillId="25" borderId="13" xfId="2" applyNumberFormat="1" applyFont="1" applyFill="1" applyBorder="1" applyAlignment="1">
      <alignment horizontal="center" vertical="center"/>
    </xf>
    <xf numFmtId="166" fontId="45" fillId="27" borderId="13" xfId="2" applyNumberFormat="1" applyFont="1" applyFill="1" applyBorder="1" applyAlignment="1">
      <alignment horizontal="center" vertical="center"/>
    </xf>
    <xf numFmtId="176" fontId="4" fillId="3" borderId="2" xfId="3" applyNumberFormat="1" applyFont="1" applyFill="1" applyBorder="1" applyAlignment="1">
      <alignment horizontal="center"/>
    </xf>
    <xf numFmtId="0" fontId="24" fillId="6" borderId="9" xfId="7" applyFont="1" applyFill="1" applyBorder="1" applyAlignment="1">
      <alignment horizontal="centerContinuous"/>
    </xf>
    <xf numFmtId="0" fontId="24" fillId="6" borderId="10" xfId="7" applyFont="1" applyFill="1" applyBorder="1" applyAlignment="1">
      <alignment horizontal="centerContinuous"/>
    </xf>
    <xf numFmtId="0" fontId="24" fillId="6" borderId="3" xfId="7" applyFont="1" applyFill="1" applyBorder="1" applyAlignment="1">
      <alignment horizontal="centerContinuous"/>
    </xf>
    <xf numFmtId="0" fontId="25" fillId="14" borderId="10" xfId="0" applyFont="1" applyFill="1" applyBorder="1"/>
    <xf numFmtId="0" fontId="25" fillId="14" borderId="3" xfId="0" applyFont="1" applyFill="1" applyBorder="1"/>
    <xf numFmtId="0" fontId="25" fillId="12" borderId="11" xfId="0" applyFont="1" applyFill="1" applyBorder="1"/>
    <xf numFmtId="0" fontId="25" fillId="12" borderId="8" xfId="0" applyFont="1" applyFill="1" applyBorder="1"/>
    <xf numFmtId="0" fontId="40" fillId="6" borderId="7" xfId="0" applyFont="1" applyFill="1" applyBorder="1" applyAlignment="1">
      <alignment horizontal="left"/>
    </xf>
    <xf numFmtId="0" fontId="40" fillId="6" borderId="11" xfId="0" applyFont="1" applyFill="1" applyBorder="1"/>
    <xf numFmtId="0" fontId="28" fillId="6" borderId="4" xfId="8" applyFont="1" applyFill="1" applyBorder="1" applyAlignment="1">
      <alignment horizontal="left"/>
    </xf>
    <xf numFmtId="0" fontId="28" fillId="6" borderId="12" xfId="8" applyFont="1" applyFill="1" applyBorder="1" applyAlignment="1">
      <alignment horizontal="left"/>
    </xf>
    <xf numFmtId="0" fontId="28" fillId="6" borderId="18" xfId="8" applyFont="1" applyFill="1" applyBorder="1" applyAlignment="1">
      <alignment horizontal="left"/>
    </xf>
    <xf numFmtId="0" fontId="24" fillId="6" borderId="9" xfId="7" applyFont="1" applyFill="1" applyBorder="1" applyAlignment="1">
      <alignment horizontal="left"/>
    </xf>
    <xf numFmtId="0" fontId="0" fillId="0" borderId="2" xfId="10" applyFont="1" applyBorder="1"/>
    <xf numFmtId="0" fontId="69" fillId="34" borderId="2" xfId="0" applyFont="1" applyFill="1" applyBorder="1" applyAlignment="1">
      <alignment vertical="center" wrapText="1"/>
    </xf>
    <xf numFmtId="0" fontId="23" fillId="34" borderId="2" xfId="0" applyFont="1" applyFill="1" applyBorder="1" applyAlignment="1">
      <alignment vertical="center" wrapText="1"/>
    </xf>
    <xf numFmtId="0" fontId="9" fillId="3" borderId="7" xfId="4" applyFont="1" applyFill="1" applyBorder="1"/>
    <xf numFmtId="0" fontId="9" fillId="3" borderId="4" xfId="4" applyFont="1" applyFill="1" applyBorder="1"/>
    <xf numFmtId="0" fontId="9" fillId="3" borderId="12" xfId="4" applyFont="1" applyFill="1" applyBorder="1"/>
    <xf numFmtId="0" fontId="24" fillId="15" borderId="9" xfId="0" applyFont="1" applyFill="1" applyBorder="1"/>
    <xf numFmtId="0" fontId="68" fillId="15" borderId="11" xfId="0" applyFont="1" applyFill="1" applyBorder="1"/>
    <xf numFmtId="0" fontId="68" fillId="15" borderId="8" xfId="0" applyFont="1" applyFill="1" applyBorder="1"/>
    <xf numFmtId="0" fontId="68" fillId="6" borderId="8" xfId="0" applyFont="1" applyFill="1" applyBorder="1" applyAlignment="1">
      <alignment wrapText="1"/>
    </xf>
    <xf numFmtId="0" fontId="24" fillId="6" borderId="7" xfId="4" applyFont="1" applyFill="1" applyBorder="1" applyAlignment="1">
      <alignment vertical="center"/>
    </xf>
    <xf numFmtId="0" fontId="25" fillId="44" borderId="14" xfId="0" applyFont="1" applyFill="1" applyBorder="1" applyAlignment="1">
      <alignment wrapText="1"/>
    </xf>
    <xf numFmtId="0" fontId="9" fillId="44" borderId="12" xfId="4" applyFont="1" applyFill="1" applyBorder="1" applyAlignment="1">
      <alignment vertical="center"/>
    </xf>
    <xf numFmtId="0" fontId="24" fillId="43" borderId="9" xfId="0" applyFont="1" applyFill="1" applyBorder="1"/>
    <xf numFmtId="0" fontId="68" fillId="43" borderId="10" xfId="0" applyFont="1" applyFill="1" applyBorder="1"/>
    <xf numFmtId="0" fontId="68" fillId="43" borderId="3" xfId="0" applyFont="1" applyFill="1" applyBorder="1"/>
    <xf numFmtId="0" fontId="9" fillId="3" borderId="2" xfId="4" applyFont="1" applyFill="1" applyBorder="1"/>
    <xf numFmtId="166" fontId="10" fillId="7" borderId="2" xfId="2" applyNumberFormat="1" applyFont="1" applyFill="1" applyBorder="1" applyAlignment="1">
      <alignment horizontal="center"/>
    </xf>
    <xf numFmtId="0" fontId="9" fillId="7" borderId="2" xfId="4" applyFont="1" applyFill="1" applyBorder="1"/>
    <xf numFmtId="0" fontId="0" fillId="0" borderId="0" xfId="0" applyAlignment="1">
      <alignment vertical="top"/>
    </xf>
    <xf numFmtId="0" fontId="0" fillId="0" borderId="1" xfId="0" applyBorder="1"/>
    <xf numFmtId="43" fontId="0" fillId="0" borderId="1" xfId="1" applyFont="1" applyBorder="1"/>
    <xf numFmtId="43" fontId="0" fillId="0" borderId="0" xfId="1" applyFont="1"/>
    <xf numFmtId="1" fontId="71" fillId="0" borderId="0" xfId="0" applyNumberFormat="1" applyFont="1"/>
    <xf numFmtId="1" fontId="71" fillId="0" borderId="0" xfId="1" applyNumberFormat="1" applyFont="1"/>
    <xf numFmtId="43" fontId="71" fillId="0" borderId="0" xfId="1" applyFont="1"/>
    <xf numFmtId="43" fontId="6" fillId="0" borderId="0" xfId="1" applyFont="1"/>
    <xf numFmtId="0" fontId="11" fillId="0" borderId="0" xfId="0" applyFont="1" applyAlignment="1">
      <alignment wrapText="1"/>
    </xf>
    <xf numFmtId="0" fontId="4" fillId="21" borderId="2" xfId="0" applyFont="1" applyFill="1" applyBorder="1" applyAlignment="1">
      <alignment horizontal="center" vertical="center"/>
    </xf>
    <xf numFmtId="43" fontId="4" fillId="21" borderId="2" xfId="1" applyFont="1" applyFill="1" applyBorder="1" applyAlignment="1">
      <alignment horizontal="center" vertical="center" wrapText="1"/>
    </xf>
    <xf numFmtId="43" fontId="73" fillId="20" borderId="2" xfId="1" applyFont="1" applyFill="1" applyBorder="1" applyAlignment="1">
      <alignment horizontal="center" vertical="center" wrapText="1"/>
    </xf>
    <xf numFmtId="43" fontId="35" fillId="25" borderId="2" xfId="1" applyFont="1" applyFill="1" applyBorder="1" applyAlignment="1">
      <alignment horizontal="center" vertical="center" wrapText="1"/>
    </xf>
    <xf numFmtId="43" fontId="0" fillId="0" borderId="2" xfId="1" applyFont="1" applyBorder="1"/>
    <xf numFmtId="43" fontId="2" fillId="0" borderId="2" xfId="1" applyFont="1" applyFill="1" applyBorder="1"/>
    <xf numFmtId="0" fontId="72" fillId="0" borderId="2" xfId="0" applyFont="1" applyBorder="1" applyAlignment="1">
      <alignment wrapText="1"/>
    </xf>
    <xf numFmtId="43" fontId="72" fillId="0" borderId="2" xfId="1" applyFont="1" applyBorder="1" applyAlignment="1">
      <alignment wrapText="1"/>
    </xf>
    <xf numFmtId="0" fontId="6" fillId="0" borderId="2" xfId="0" applyFont="1" applyBorder="1"/>
    <xf numFmtId="43" fontId="6" fillId="0" borderId="2" xfId="1" applyFont="1" applyBorder="1"/>
    <xf numFmtId="43" fontId="31" fillId="0" borderId="2" xfId="1" applyFont="1" applyBorder="1"/>
    <xf numFmtId="0" fontId="31" fillId="0" borderId="2" xfId="0" quotePrefix="1" applyFont="1" applyBorder="1"/>
    <xf numFmtId="0" fontId="31" fillId="0" borderId="2" xfId="0" applyFont="1" applyBorder="1"/>
    <xf numFmtId="0" fontId="46" fillId="7" borderId="5" xfId="0" applyFont="1" applyFill="1" applyBorder="1" applyAlignment="1">
      <alignment vertical="center"/>
    </xf>
    <xf numFmtId="0" fontId="9" fillId="13" borderId="7" xfId="4" applyFont="1" applyFill="1" applyBorder="1" applyAlignment="1">
      <alignment vertical="center"/>
    </xf>
    <xf numFmtId="0" fontId="9" fillId="13" borderId="12" xfId="4" applyFont="1" applyFill="1" applyBorder="1" applyAlignment="1">
      <alignment vertical="center"/>
    </xf>
    <xf numFmtId="0" fontId="25" fillId="13" borderId="8" xfId="0" applyFont="1" applyFill="1" applyBorder="1" applyAlignment="1">
      <alignment vertical="center" wrapText="1"/>
    </xf>
    <xf numFmtId="0" fontId="25" fillId="13" borderId="14" xfId="0" applyFont="1" applyFill="1" applyBorder="1" applyAlignment="1">
      <alignment vertical="center" wrapText="1"/>
    </xf>
    <xf numFmtId="0" fontId="47" fillId="0" borderId="9" xfId="0" applyFont="1" applyBorder="1" applyAlignment="1">
      <alignment horizontal="left" vertical="center"/>
    </xf>
    <xf numFmtId="166" fontId="48" fillId="0" borderId="6" xfId="2" applyNumberFormat="1" applyFont="1" applyFill="1" applyBorder="1" applyAlignment="1">
      <alignment vertical="center"/>
    </xf>
    <xf numFmtId="166" fontId="48" fillId="0" borderId="30" xfId="2" applyNumberFormat="1" applyFont="1" applyFill="1" applyBorder="1" applyAlignment="1">
      <alignment vertical="center"/>
    </xf>
    <xf numFmtId="166" fontId="48" fillId="0" borderId="66" xfId="2" applyNumberFormat="1" applyFont="1" applyFill="1" applyBorder="1" applyAlignment="1">
      <alignment vertical="center"/>
    </xf>
    <xf numFmtId="0" fontId="80" fillId="6" borderId="11" xfId="0" applyFont="1" applyFill="1" applyBorder="1" applyAlignment="1">
      <alignment horizontal="right"/>
    </xf>
    <xf numFmtId="174" fontId="79" fillId="30" borderId="2" xfId="2" applyNumberFormat="1" applyFont="1" applyFill="1" applyBorder="1" applyAlignment="1">
      <alignment horizontal="right"/>
    </xf>
    <xf numFmtId="170" fontId="76" fillId="0" borderId="2" xfId="1" applyNumberFormat="1" applyFont="1" applyFill="1" applyBorder="1" applyAlignment="1">
      <alignment horizontal="center"/>
    </xf>
    <xf numFmtId="1" fontId="79" fillId="0" borderId="2" xfId="2" applyNumberFormat="1" applyFont="1" applyFill="1" applyBorder="1" applyAlignment="1">
      <alignment horizontal="center"/>
    </xf>
    <xf numFmtId="170" fontId="76" fillId="30" borderId="2" xfId="1" applyNumberFormat="1" applyFont="1" applyFill="1" applyBorder="1" applyAlignment="1">
      <alignment horizontal="center"/>
    </xf>
    <xf numFmtId="0" fontId="78" fillId="32" borderId="2" xfId="0" applyFont="1" applyFill="1" applyBorder="1" applyAlignment="1">
      <alignment horizontal="left"/>
    </xf>
    <xf numFmtId="1" fontId="78" fillId="32" borderId="2" xfId="1" applyNumberFormat="1" applyFont="1" applyFill="1" applyBorder="1" applyAlignment="1">
      <alignment horizontal="center"/>
    </xf>
    <xf numFmtId="171" fontId="77" fillId="30" borderId="2" xfId="1" applyNumberFormat="1" applyFont="1" applyFill="1" applyBorder="1" applyAlignment="1">
      <alignment horizontal="left" indent="1"/>
    </xf>
    <xf numFmtId="171" fontId="77" fillId="0" borderId="2" xfId="1" applyNumberFormat="1" applyFont="1" applyFill="1" applyBorder="1" applyAlignment="1">
      <alignment horizontal="left" indent="1"/>
    </xf>
    <xf numFmtId="1" fontId="76" fillId="0" borderId="2" xfId="1" applyNumberFormat="1" applyFont="1" applyFill="1" applyBorder="1" applyAlignment="1">
      <alignment horizontal="center"/>
    </xf>
    <xf numFmtId="171" fontId="77" fillId="0" borderId="2" xfId="1" applyNumberFormat="1" applyFont="1" applyFill="1" applyBorder="1" applyAlignment="1">
      <alignment horizontal="left"/>
    </xf>
    <xf numFmtId="171" fontId="77" fillId="30" borderId="2" xfId="1" applyNumberFormat="1" applyFont="1" applyFill="1" applyBorder="1" applyAlignment="1">
      <alignment horizontal="left"/>
    </xf>
    <xf numFmtId="166" fontId="14" fillId="45" borderId="2" xfId="2" applyNumberFormat="1" applyFont="1" applyFill="1" applyBorder="1" applyAlignment="1">
      <alignment horizontal="right" vertical="center"/>
    </xf>
    <xf numFmtId="9" fontId="48" fillId="7" borderId="2" xfId="3" applyFont="1" applyFill="1" applyBorder="1" applyAlignment="1">
      <alignment horizontal="center" vertical="center"/>
    </xf>
    <xf numFmtId="166" fontId="46" fillId="21" borderId="13" xfId="2" applyNumberFormat="1" applyFont="1" applyFill="1" applyBorder="1" applyAlignment="1">
      <alignment vertical="center"/>
    </xf>
    <xf numFmtId="166" fontId="46" fillId="25" borderId="13" xfId="2" applyNumberFormat="1" applyFont="1" applyFill="1" applyBorder="1" applyAlignment="1">
      <alignment vertical="center"/>
    </xf>
    <xf numFmtId="164" fontId="46" fillId="42" borderId="2" xfId="0" applyNumberFormat="1" applyFont="1" applyFill="1" applyBorder="1" applyAlignment="1">
      <alignment horizontal="center" vertical="center"/>
    </xf>
    <xf numFmtId="0" fontId="4" fillId="3" borderId="13" xfId="10" applyFont="1" applyFill="1" applyBorder="1" applyAlignment="1">
      <alignment horizontal="centerContinuous"/>
    </xf>
    <xf numFmtId="0" fontId="4" fillId="0" borderId="13" xfId="10" applyFont="1" applyBorder="1" applyAlignment="1">
      <alignment horizontal="centerContinuous"/>
    </xf>
    <xf numFmtId="0" fontId="0" fillId="7" borderId="0" xfId="0" applyFill="1"/>
    <xf numFmtId="0" fontId="25" fillId="7" borderId="0" xfId="0" applyFont="1" applyFill="1"/>
    <xf numFmtId="0" fontId="6" fillId="7" borderId="0" xfId="0" applyFont="1" applyFill="1"/>
    <xf numFmtId="0" fontId="23" fillId="7" borderId="0" xfId="0" applyFont="1" applyFill="1"/>
    <xf numFmtId="167" fontId="6" fillId="7" borderId="0" xfId="1" applyNumberFormat="1" applyFont="1" applyFill="1"/>
    <xf numFmtId="167" fontId="31" fillId="7" borderId="0" xfId="1" applyNumberFormat="1" applyFont="1" applyFill="1"/>
    <xf numFmtId="0" fontId="0" fillId="7" borderId="0" xfId="0" applyFill="1" applyAlignment="1">
      <alignment vertical="center"/>
    </xf>
    <xf numFmtId="0" fontId="10" fillId="7" borderId="0" xfId="0" applyFont="1" applyFill="1"/>
    <xf numFmtId="0" fontId="0" fillId="7" borderId="0" xfId="0" applyFill="1" applyAlignment="1">
      <alignment horizontal="center"/>
    </xf>
    <xf numFmtId="0" fontId="42" fillId="7" borderId="0" xfId="0" applyFont="1" applyFill="1" applyAlignment="1">
      <alignment vertical="center"/>
    </xf>
    <xf numFmtId="0" fontId="40" fillId="7" borderId="0" xfId="0" applyFont="1" applyFill="1"/>
    <xf numFmtId="0" fontId="28" fillId="7" borderId="0" xfId="8" applyFont="1" applyFill="1" applyAlignment="1">
      <alignment horizontal="left"/>
    </xf>
    <xf numFmtId="0" fontId="3" fillId="6" borderId="2" xfId="0" applyFont="1" applyFill="1" applyBorder="1" applyAlignment="1">
      <alignment horizontal="centerContinuous"/>
    </xf>
    <xf numFmtId="0" fontId="0" fillId="7" borderId="0" xfId="0" applyFill="1" applyAlignment="1">
      <alignment vertical="center" wrapText="1"/>
    </xf>
    <xf numFmtId="0" fontId="0" fillId="7" borderId="7" xfId="0" applyFill="1" applyBorder="1"/>
    <xf numFmtId="0" fontId="0" fillId="7" borderId="11" xfId="0" applyFill="1" applyBorder="1"/>
    <xf numFmtId="0" fontId="2" fillId="7" borderId="0" xfId="0" applyFont="1" applyFill="1"/>
    <xf numFmtId="0" fontId="0" fillId="7" borderId="4" xfId="0" applyFill="1" applyBorder="1"/>
    <xf numFmtId="0" fontId="0" fillId="7" borderId="12" xfId="0" applyFill="1" applyBorder="1"/>
    <xf numFmtId="0" fontId="0" fillId="7" borderId="18" xfId="0" applyFill="1" applyBorder="1"/>
    <xf numFmtId="171" fontId="0" fillId="7" borderId="0" xfId="1" applyNumberFormat="1" applyFont="1" applyFill="1"/>
    <xf numFmtId="170" fontId="22" fillId="7" borderId="0" xfId="0" applyNumberFormat="1" applyFont="1" applyFill="1"/>
    <xf numFmtId="166" fontId="0" fillId="7" borderId="0" xfId="2" applyNumberFormat="1" applyFont="1" applyFill="1"/>
    <xf numFmtId="0" fontId="6" fillId="7" borderId="0" xfId="0" applyFont="1" applyFill="1" applyAlignment="1">
      <alignment vertical="center"/>
    </xf>
    <xf numFmtId="0" fontId="51" fillId="7" borderId="0" xfId="0" applyFont="1" applyFill="1" applyAlignment="1">
      <alignment vertical="center"/>
    </xf>
    <xf numFmtId="0" fontId="46" fillId="7" borderId="0" xfId="0" applyFont="1" applyFill="1"/>
    <xf numFmtId="0" fontId="46" fillId="7" borderId="0" xfId="0" applyFont="1" applyFill="1" applyAlignment="1">
      <alignment horizontal="center" vertical="center"/>
    </xf>
    <xf numFmtId="0" fontId="46" fillId="7" borderId="0" xfId="0" applyFont="1" applyFill="1" applyAlignment="1">
      <alignment vertical="center"/>
    </xf>
    <xf numFmtId="0" fontId="2" fillId="7" borderId="0" xfId="0" applyFont="1" applyFill="1" applyAlignment="1">
      <alignment horizontal="center" vertical="center"/>
    </xf>
    <xf numFmtId="0" fontId="2" fillId="7" borderId="0" xfId="0" applyFont="1" applyFill="1" applyAlignment="1">
      <alignment vertical="center"/>
    </xf>
    <xf numFmtId="0" fontId="74" fillId="7" borderId="0" xfId="0" applyFont="1" applyFill="1"/>
    <xf numFmtId="0" fontId="76" fillId="7" borderId="0" xfId="0" applyFont="1" applyFill="1"/>
    <xf numFmtId="0" fontId="25" fillId="7" borderId="0" xfId="0" applyFont="1" applyFill="1" applyAlignment="1">
      <alignment vertical="center"/>
    </xf>
    <xf numFmtId="0" fontId="48" fillId="3" borderId="2" xfId="0" applyFont="1" applyFill="1" applyBorder="1" applyAlignment="1">
      <alignment horizontal="center" vertical="center"/>
    </xf>
    <xf numFmtId="1" fontId="11" fillId="3" borderId="2" xfId="8" applyNumberFormat="1" applyFont="1" applyFill="1" applyBorder="1" applyAlignment="1">
      <alignment horizontal="center" vertical="center"/>
    </xf>
    <xf numFmtId="1" fontId="14" fillId="7" borderId="9" xfId="8" applyNumberFormat="1" applyFont="1" applyFill="1" applyBorder="1" applyAlignment="1">
      <alignment horizontal="left" vertical="center"/>
    </xf>
    <xf numFmtId="166" fontId="6" fillId="0" borderId="2" xfId="2" applyNumberFormat="1" applyFont="1" applyBorder="1"/>
    <xf numFmtId="166" fontId="31" fillId="0" borderId="2" xfId="2" applyNumberFormat="1" applyFont="1" applyBorder="1"/>
    <xf numFmtId="43" fontId="10" fillId="3" borderId="2" xfId="23" applyNumberFormat="1" applyFont="1" applyFill="1" applyBorder="1" applyAlignment="1" applyProtection="1">
      <alignment horizontal="center" vertical="top" wrapText="1"/>
      <protection locked="0"/>
    </xf>
    <xf numFmtId="43" fontId="31" fillId="0" borderId="0" xfId="1" applyFont="1" applyAlignment="1">
      <alignment horizontal="center"/>
    </xf>
    <xf numFmtId="0" fontId="31" fillId="0" borderId="0" xfId="0" applyFont="1" applyAlignment="1">
      <alignment horizontal="center"/>
    </xf>
    <xf numFmtId="166" fontId="10" fillId="3" borderId="2" xfId="2" applyNumberFormat="1" applyFont="1" applyFill="1" applyBorder="1" applyAlignment="1" applyProtection="1">
      <alignment vertical="top"/>
      <protection locked="0"/>
    </xf>
    <xf numFmtId="0" fontId="11" fillId="7" borderId="2" xfId="23" applyFont="1" applyFill="1" applyBorder="1" applyAlignment="1">
      <alignment horizontal="left" vertical="top" wrapText="1"/>
    </xf>
    <xf numFmtId="42" fontId="11" fillId="7" borderId="2" xfId="23" applyNumberFormat="1" applyFont="1" applyFill="1" applyBorder="1" applyAlignment="1">
      <alignment horizontal="center" vertical="top" wrapText="1"/>
    </xf>
    <xf numFmtId="43" fontId="11" fillId="7" borderId="2" xfId="23" applyNumberFormat="1" applyFont="1" applyFill="1" applyBorder="1" applyAlignment="1" applyProtection="1">
      <alignment horizontal="center" vertical="top" wrapText="1"/>
      <protection hidden="1"/>
    </xf>
    <xf numFmtId="166" fontId="11" fillId="7" borderId="2" xfId="2" applyNumberFormat="1" applyFont="1" applyFill="1" applyBorder="1" applyAlignment="1" applyProtection="1">
      <alignment horizontal="center" vertical="top" wrapText="1"/>
      <protection hidden="1"/>
    </xf>
    <xf numFmtId="0" fontId="16" fillId="3" borderId="2" xfId="23" applyFont="1" applyFill="1" applyBorder="1" applyAlignment="1" applyProtection="1">
      <alignment horizontal="left" vertical="top" wrapText="1"/>
      <protection locked="0"/>
    </xf>
    <xf numFmtId="0" fontId="45" fillId="3" borderId="2" xfId="24" applyFont="1" applyFill="1" applyBorder="1" applyAlignment="1" applyProtection="1">
      <alignment vertical="top" wrapText="1"/>
      <protection locked="0"/>
    </xf>
    <xf numFmtId="166" fontId="10" fillId="7" borderId="2" xfId="2" applyNumberFormat="1" applyFont="1" applyFill="1" applyBorder="1" applyAlignment="1" applyProtection="1">
      <alignment vertical="top"/>
      <protection hidden="1"/>
    </xf>
    <xf numFmtId="0" fontId="10" fillId="7" borderId="0" xfId="5" applyFont="1" applyFill="1"/>
    <xf numFmtId="0" fontId="11" fillId="7" borderId="0" xfId="5" applyFont="1" applyFill="1" applyAlignment="1">
      <alignment wrapText="1"/>
    </xf>
    <xf numFmtId="41" fontId="10" fillId="7" borderId="0" xfId="5" applyNumberFormat="1" applyFont="1" applyFill="1" applyAlignment="1">
      <alignment wrapText="1"/>
    </xf>
    <xf numFmtId="42" fontId="10" fillId="46" borderId="2" xfId="5" applyNumberFormat="1" applyFont="1" applyFill="1" applyBorder="1" applyAlignment="1" applyProtection="1">
      <alignment vertical="center" wrapText="1"/>
      <protection locked="0"/>
    </xf>
    <xf numFmtId="41" fontId="10" fillId="46" borderId="2" xfId="5" applyNumberFormat="1" applyFont="1" applyFill="1" applyBorder="1" applyAlignment="1" applyProtection="1">
      <alignment vertical="center"/>
      <protection locked="0"/>
    </xf>
    <xf numFmtId="41" fontId="10" fillId="46" borderId="2" xfId="5" applyNumberFormat="1" applyFont="1" applyFill="1" applyBorder="1" applyAlignment="1" applyProtection="1">
      <alignment vertical="center" wrapText="1"/>
      <protection locked="0"/>
    </xf>
    <xf numFmtId="41" fontId="11" fillId="2" borderId="43" xfId="5" applyNumberFormat="1" applyFont="1" applyFill="1" applyBorder="1" applyAlignment="1">
      <alignment vertical="center"/>
    </xf>
    <xf numFmtId="41" fontId="10" fillId="7" borderId="0" xfId="5" applyNumberFormat="1" applyFont="1" applyFill="1" applyAlignment="1">
      <alignment vertical="center" wrapText="1"/>
    </xf>
    <xf numFmtId="42" fontId="46" fillId="42" borderId="13" xfId="0" applyNumberFormat="1" applyFont="1" applyFill="1" applyBorder="1" applyAlignment="1">
      <alignment vertical="center"/>
    </xf>
    <xf numFmtId="41" fontId="46" fillId="42" borderId="13" xfId="0" applyNumberFormat="1" applyFont="1" applyFill="1" applyBorder="1" applyAlignment="1">
      <alignment vertical="center"/>
    </xf>
    <xf numFmtId="41" fontId="46" fillId="12" borderId="13" xfId="0" applyNumberFormat="1" applyFont="1" applyFill="1" applyBorder="1" applyAlignment="1">
      <alignment vertical="center"/>
    </xf>
    <xf numFmtId="41" fontId="46" fillId="24" borderId="13" xfId="0" applyNumberFormat="1" applyFont="1" applyFill="1" applyBorder="1" applyAlignment="1">
      <alignment vertical="center"/>
    </xf>
    <xf numFmtId="0" fontId="46" fillId="7" borderId="2" xfId="0" applyFont="1" applyFill="1" applyBorder="1" applyAlignment="1">
      <alignment horizontal="center" vertical="center"/>
    </xf>
    <xf numFmtId="0" fontId="65" fillId="3" borderId="5" xfId="0" applyFont="1" applyFill="1" applyBorder="1" applyAlignment="1">
      <alignment horizontal="center" vertical="center" wrapText="1"/>
    </xf>
    <xf numFmtId="6" fontId="65" fillId="3" borderId="21" xfId="0" applyNumberFormat="1" applyFont="1" applyFill="1" applyBorder="1" applyAlignment="1">
      <alignment horizontal="right" vertical="center" wrapText="1"/>
    </xf>
    <xf numFmtId="176" fontId="65" fillId="3" borderId="5" xfId="3" applyNumberFormat="1" applyFont="1" applyFill="1" applyBorder="1" applyAlignment="1">
      <alignment horizontal="center" vertical="center" wrapText="1"/>
    </xf>
    <xf numFmtId="0" fontId="41" fillId="6" borderId="3" xfId="0" applyFont="1" applyFill="1" applyBorder="1" applyAlignment="1">
      <alignment horizontal="center" vertical="center"/>
    </xf>
    <xf numFmtId="0" fontId="4" fillId="7" borderId="7" xfId="0" applyFont="1" applyFill="1" applyBorder="1"/>
    <xf numFmtId="0" fontId="0" fillId="7" borderId="8" xfId="0" applyFill="1" applyBorder="1"/>
    <xf numFmtId="0" fontId="4" fillId="7" borderId="4" xfId="0" applyFont="1" applyFill="1" applyBorder="1"/>
    <xf numFmtId="0" fontId="0" fillId="7" borderId="1" xfId="0" applyFill="1" applyBorder="1"/>
    <xf numFmtId="0" fontId="4" fillId="7" borderId="12" xfId="0" applyFont="1" applyFill="1" applyBorder="1"/>
    <xf numFmtId="0" fontId="0" fillId="7" borderId="14" xfId="0" applyFill="1" applyBorder="1"/>
    <xf numFmtId="0" fontId="10" fillId="13" borderId="2" xfId="23" applyFont="1" applyFill="1" applyBorder="1" applyAlignment="1" applyProtection="1">
      <alignment horizontal="left" vertical="top" wrapText="1"/>
      <protection locked="0"/>
    </xf>
    <xf numFmtId="166" fontId="10" fillId="13" borderId="2" xfId="2" applyNumberFormat="1" applyFont="1" applyFill="1" applyBorder="1" applyAlignment="1" applyProtection="1">
      <alignment vertical="top"/>
      <protection locked="0"/>
    </xf>
    <xf numFmtId="43" fontId="10" fillId="13" borderId="2" xfId="23" applyNumberFormat="1" applyFont="1" applyFill="1" applyBorder="1" applyAlignment="1" applyProtection="1">
      <alignment horizontal="center" vertical="top" wrapText="1"/>
      <protection locked="0"/>
    </xf>
    <xf numFmtId="0" fontId="4" fillId="13" borderId="3" xfId="0" applyFont="1" applyFill="1" applyBorder="1" applyAlignment="1">
      <alignment horizontal="centerContinuous"/>
    </xf>
    <xf numFmtId="49" fontId="4" fillId="7" borderId="0" xfId="0" applyNumberFormat="1" applyFont="1" applyFill="1" applyAlignment="1">
      <alignment horizontal="right"/>
    </xf>
    <xf numFmtId="0" fontId="4" fillId="16" borderId="9" xfId="0" applyFont="1" applyFill="1" applyBorder="1" applyAlignment="1">
      <alignment horizontal="centerContinuous"/>
    </xf>
    <xf numFmtId="0" fontId="4" fillId="16" borderId="3" xfId="0" applyFont="1" applyFill="1" applyBorder="1" applyAlignment="1">
      <alignment horizontal="centerContinuous"/>
    </xf>
    <xf numFmtId="0" fontId="10" fillId="16" borderId="2" xfId="23" applyFont="1" applyFill="1" applyBorder="1" applyAlignment="1" applyProtection="1">
      <alignment horizontal="left" vertical="top" wrapText="1"/>
      <protection locked="0"/>
    </xf>
    <xf numFmtId="0" fontId="4" fillId="3" borderId="9" xfId="0" applyFont="1" applyFill="1" applyBorder="1" applyAlignment="1">
      <alignment horizontal="centerContinuous"/>
    </xf>
    <xf numFmtId="0" fontId="4" fillId="3" borderId="3" xfId="0" applyFont="1" applyFill="1" applyBorder="1" applyAlignment="1">
      <alignment horizontal="centerContinuous"/>
    </xf>
    <xf numFmtId="0" fontId="4" fillId="22" borderId="9" xfId="0" applyFont="1" applyFill="1" applyBorder="1" applyAlignment="1">
      <alignment horizontal="centerContinuous"/>
    </xf>
    <xf numFmtId="0" fontId="4" fillId="22" borderId="3" xfId="0" applyFont="1" applyFill="1" applyBorder="1" applyAlignment="1">
      <alignment horizontal="centerContinuous"/>
    </xf>
    <xf numFmtId="0" fontId="0" fillId="0" borderId="18" xfId="0" applyBorder="1"/>
    <xf numFmtId="0" fontId="0" fillId="0" borderId="14" xfId="0" applyBorder="1"/>
    <xf numFmtId="0" fontId="10" fillId="16" borderId="2" xfId="23" applyFont="1" applyFill="1" applyBorder="1" applyAlignment="1" applyProtection="1">
      <alignment horizontal="left" vertical="top"/>
      <protection locked="0"/>
    </xf>
    <xf numFmtId="0" fontId="40" fillId="6" borderId="8" xfId="0" applyFont="1" applyFill="1" applyBorder="1"/>
    <xf numFmtId="0" fontId="28" fillId="6" borderId="0" xfId="8" applyFont="1" applyFill="1" applyAlignment="1">
      <alignment horizontal="left"/>
    </xf>
    <xf numFmtId="0" fontId="28" fillId="6" borderId="1" xfId="8" applyFont="1" applyFill="1" applyBorder="1" applyAlignment="1">
      <alignment horizontal="left"/>
    </xf>
    <xf numFmtId="0" fontId="28" fillId="6" borderId="14" xfId="8" applyFont="1" applyFill="1" applyBorder="1" applyAlignment="1">
      <alignment horizontal="left"/>
    </xf>
    <xf numFmtId="0" fontId="15" fillId="2" borderId="0" xfId="5" applyFont="1" applyFill="1" applyAlignment="1">
      <alignment horizontal="center" vertical="top"/>
    </xf>
    <xf numFmtId="0" fontId="67" fillId="0" borderId="0" xfId="0" applyFont="1" applyAlignment="1">
      <alignment vertical="top"/>
    </xf>
    <xf numFmtId="0" fontId="25" fillId="0" borderId="0" xfId="0" applyFont="1" applyAlignment="1">
      <alignment vertical="top" wrapText="1"/>
    </xf>
    <xf numFmtId="0" fontId="0" fillId="0" borderId="0" xfId="0" applyAlignment="1">
      <alignment vertical="top" wrapText="1"/>
    </xf>
    <xf numFmtId="0" fontId="25" fillId="0" borderId="4" xfId="0" applyFont="1" applyBorder="1" applyAlignment="1">
      <alignment vertical="center"/>
    </xf>
    <xf numFmtId="0" fontId="70" fillId="0" borderId="0" xfId="0" applyFont="1" applyAlignment="1">
      <alignment vertical="top"/>
    </xf>
    <xf numFmtId="0" fontId="67" fillId="0" borderId="0" xfId="0" applyFont="1" applyAlignment="1">
      <alignment vertical="center"/>
    </xf>
    <xf numFmtId="0" fontId="67" fillId="0" borderId="0" xfId="0" applyFont="1"/>
    <xf numFmtId="0" fontId="25" fillId="0" borderId="4" xfId="0" applyFont="1" applyBorder="1"/>
    <xf numFmtId="0" fontId="25" fillId="0" borderId="4" xfId="0" applyFont="1" applyBorder="1" applyAlignment="1">
      <alignment vertical="center" wrapText="1"/>
    </xf>
    <xf numFmtId="0" fontId="25" fillId="0" borderId="0" xfId="0" applyFont="1" applyAlignment="1">
      <alignment vertical="center" wrapText="1"/>
    </xf>
    <xf numFmtId="0" fontId="40" fillId="6" borderId="9" xfId="0" applyFont="1" applyFill="1" applyBorder="1" applyAlignment="1">
      <alignment horizontal="left"/>
    </xf>
    <xf numFmtId="0" fontId="40" fillId="6" borderId="11" xfId="0" applyFont="1" applyFill="1" applyBorder="1" applyAlignment="1">
      <alignment horizontal="center"/>
    </xf>
    <xf numFmtId="0" fontId="41" fillId="6" borderId="11" xfId="0" applyFont="1" applyFill="1" applyBorder="1"/>
    <xf numFmtId="0" fontId="35" fillId="0" borderId="0" xfId="0" applyFont="1" applyAlignment="1">
      <alignment horizontal="center"/>
    </xf>
    <xf numFmtId="0" fontId="4" fillId="0" borderId="0" xfId="0" applyFont="1" applyAlignment="1">
      <alignment horizontal="center"/>
    </xf>
    <xf numFmtId="0" fontId="0" fillId="0" borderId="0" xfId="0" applyAlignment="1">
      <alignment horizontal="left"/>
    </xf>
    <xf numFmtId="0" fontId="3" fillId="6" borderId="0" xfId="4" applyFont="1" applyFill="1" applyBorder="1" applyAlignment="1">
      <alignment horizontal="center"/>
    </xf>
    <xf numFmtId="0" fontId="23" fillId="0" borderId="0" xfId="0" applyFont="1"/>
    <xf numFmtId="0" fontId="34" fillId="0" borderId="4" xfId="0" applyFont="1" applyBorder="1" applyAlignment="1">
      <alignment vertical="center"/>
    </xf>
    <xf numFmtId="0" fontId="0" fillId="6" borderId="0" xfId="0" applyFill="1" applyAlignment="1">
      <alignment vertical="center"/>
    </xf>
    <xf numFmtId="0" fontId="4" fillId="0" borderId="0" xfId="0" applyFont="1" applyAlignment="1">
      <alignment vertical="center"/>
    </xf>
    <xf numFmtId="0" fontId="0" fillId="0" borderId="4" xfId="0" applyBorder="1" applyAlignment="1">
      <alignment vertical="center"/>
    </xf>
    <xf numFmtId="0" fontId="25" fillId="6" borderId="0" xfId="0" applyFont="1" applyFill="1" applyAlignment="1">
      <alignment vertical="center"/>
    </xf>
    <xf numFmtId="0" fontId="25" fillId="0" borderId="1" xfId="0" applyFont="1" applyBorder="1"/>
    <xf numFmtId="0" fontId="2" fillId="0" borderId="0" xfId="0" applyFont="1" applyAlignment="1">
      <alignment horizontal="center" vertical="center"/>
    </xf>
    <xf numFmtId="0" fontId="2" fillId="6" borderId="0" xfId="0" applyFont="1" applyFill="1" applyAlignment="1">
      <alignment horizontal="center" vertical="center"/>
    </xf>
    <xf numFmtId="0" fontId="2" fillId="0" borderId="0" xfId="0" applyFont="1" applyAlignment="1">
      <alignment vertical="center"/>
    </xf>
    <xf numFmtId="1" fontId="0" fillId="0" borderId="0" xfId="0" applyNumberFormat="1" applyAlignment="1">
      <alignment vertical="center"/>
    </xf>
    <xf numFmtId="1" fontId="0" fillId="6" borderId="0" xfId="0" applyNumberFormat="1" applyFill="1" applyAlignment="1">
      <alignment vertical="center"/>
    </xf>
    <xf numFmtId="0" fontId="22" fillId="18" borderId="0" xfId="0" applyFont="1" applyFill="1" applyAlignment="1">
      <alignment horizontal="right" vertical="center"/>
    </xf>
    <xf numFmtId="0" fontId="0" fillId="18" borderId="0" xfId="0" applyFill="1" applyAlignment="1">
      <alignment vertical="center"/>
    </xf>
    <xf numFmtId="0" fontId="23" fillId="0" borderId="0" xfId="0" applyFont="1" applyAlignment="1" applyProtection="1">
      <alignment horizontal="right" vertical="center"/>
      <protection locked="0"/>
    </xf>
    <xf numFmtId="0" fontId="6" fillId="0" borderId="0" xfId="0" applyFont="1" applyAlignment="1">
      <alignment vertical="center"/>
    </xf>
    <xf numFmtId="0" fontId="6" fillId="0" borderId="1" xfId="0" applyFont="1" applyBorder="1"/>
    <xf numFmtId="0" fontId="23" fillId="0" borderId="4" xfId="0" applyFont="1" applyBorder="1" applyAlignment="1">
      <alignment vertical="center"/>
    </xf>
    <xf numFmtId="0" fontId="30" fillId="0" borderId="0" xfId="8" applyFont="1" applyAlignment="1">
      <alignment vertical="center"/>
    </xf>
    <xf numFmtId="0" fontId="23" fillId="0" borderId="0" xfId="0" applyFont="1" applyAlignment="1">
      <alignment horizontal="left" vertical="center"/>
    </xf>
    <xf numFmtId="166" fontId="23" fillId="0" borderId="0" xfId="2" applyNumberFormat="1" applyFont="1" applyBorder="1" applyAlignment="1">
      <alignment vertical="center"/>
    </xf>
    <xf numFmtId="0" fontId="23" fillId="6" borderId="0" xfId="0" applyFont="1" applyFill="1" applyAlignment="1">
      <alignment vertical="center"/>
    </xf>
    <xf numFmtId="0" fontId="23" fillId="0" borderId="1" xfId="0" applyFont="1" applyBorder="1"/>
    <xf numFmtId="0" fontId="30" fillId="0" borderId="4" xfId="8" applyFont="1" applyBorder="1" applyAlignment="1">
      <alignment vertical="center"/>
    </xf>
    <xf numFmtId="0" fontId="30" fillId="6" borderId="0" xfId="8" applyFont="1" applyFill="1" applyAlignment="1">
      <alignment vertical="center"/>
    </xf>
    <xf numFmtId="167" fontId="10" fillId="0" borderId="4" xfId="1" applyNumberFormat="1" applyFont="1" applyBorder="1" applyAlignment="1">
      <alignment vertical="center"/>
    </xf>
    <xf numFmtId="167" fontId="6" fillId="0" borderId="0" xfId="1" applyNumberFormat="1" applyFont="1" applyBorder="1"/>
    <xf numFmtId="167" fontId="10" fillId="0" borderId="0" xfId="1" applyNumberFormat="1" applyFont="1" applyBorder="1" applyAlignment="1">
      <alignment vertical="center"/>
    </xf>
    <xf numFmtId="167" fontId="10" fillId="6" borderId="0" xfId="1" applyNumberFormat="1" applyFont="1" applyFill="1" applyBorder="1" applyAlignment="1">
      <alignment vertical="center"/>
    </xf>
    <xf numFmtId="167" fontId="6" fillId="0" borderId="0" xfId="1" applyNumberFormat="1" applyFont="1" applyBorder="1" applyAlignment="1">
      <alignment vertical="center"/>
    </xf>
    <xf numFmtId="167" fontId="6" fillId="0" borderId="1" xfId="1" applyNumberFormat="1" applyFont="1" applyBorder="1"/>
    <xf numFmtId="167" fontId="6" fillId="0" borderId="0" xfId="1" applyNumberFormat="1" applyFont="1" applyBorder="1" applyAlignment="1">
      <alignment horizontal="left" vertical="center"/>
    </xf>
    <xf numFmtId="167" fontId="55" fillId="20" borderId="0" xfId="4" applyNumberFormat="1" applyFont="1" applyFill="1" applyBorder="1" applyAlignment="1">
      <alignment horizontal="center" vertical="center"/>
    </xf>
    <xf numFmtId="0" fontId="23" fillId="20" borderId="0" xfId="0" applyFont="1" applyFill="1" applyAlignment="1">
      <alignment horizontal="center" vertical="center"/>
    </xf>
    <xf numFmtId="167" fontId="11" fillId="0" borderId="4" xfId="1" applyNumberFormat="1" applyFont="1" applyBorder="1" applyAlignment="1">
      <alignment vertical="center"/>
    </xf>
    <xf numFmtId="167" fontId="11" fillId="0" borderId="0" xfId="1" applyNumberFormat="1" applyFont="1" applyBorder="1" applyAlignment="1">
      <alignment vertical="center"/>
    </xf>
    <xf numFmtId="167" fontId="11" fillId="6" borderId="0" xfId="1" applyNumberFormat="1" applyFont="1" applyFill="1" applyBorder="1" applyAlignment="1">
      <alignment vertical="center"/>
    </xf>
    <xf numFmtId="167" fontId="31" fillId="0" borderId="0" xfId="1" applyNumberFormat="1" applyFont="1" applyBorder="1" applyAlignment="1">
      <alignment vertical="center"/>
    </xf>
    <xf numFmtId="167" fontId="31" fillId="0" borderId="0" xfId="1" applyNumberFormat="1" applyFont="1" applyBorder="1"/>
    <xf numFmtId="167" fontId="31" fillId="0" borderId="1" xfId="1" applyNumberFormat="1" applyFont="1" applyBorder="1"/>
    <xf numFmtId="0" fontId="0" fillId="0" borderId="12" xfId="0" applyBorder="1" applyAlignment="1">
      <alignment vertical="center"/>
    </xf>
    <xf numFmtId="0" fontId="0" fillId="0" borderId="18" xfId="0" applyBorder="1" applyAlignment="1">
      <alignment vertical="center"/>
    </xf>
    <xf numFmtId="0" fontId="0" fillId="6" borderId="18" xfId="0" applyFill="1" applyBorder="1" applyAlignment="1">
      <alignment vertical="center"/>
    </xf>
    <xf numFmtId="166" fontId="22" fillId="11" borderId="0" xfId="2" applyNumberFormat="1" applyFont="1" applyFill="1" applyBorder="1" applyAlignment="1">
      <alignment horizontal="right"/>
    </xf>
    <xf numFmtId="9" fontId="22" fillId="11" borderId="0" xfId="2" applyNumberFormat="1" applyFont="1" applyFill="1" applyBorder="1"/>
    <xf numFmtId="0" fontId="41" fillId="6" borderId="7" xfId="0" applyFont="1" applyFill="1" applyBorder="1" applyAlignment="1">
      <alignment horizontal="left" vertical="center"/>
    </xf>
    <xf numFmtId="0" fontId="41" fillId="6" borderId="11" xfId="0" applyFont="1" applyFill="1" applyBorder="1" applyAlignment="1">
      <alignment horizontal="center" vertical="center"/>
    </xf>
    <xf numFmtId="0" fontId="41" fillId="6" borderId="8" xfId="0" applyFont="1" applyFill="1" applyBorder="1" applyAlignment="1">
      <alignment vertical="center"/>
    </xf>
    <xf numFmtId="0" fontId="10" fillId="2" borderId="11" xfId="5" applyFont="1" applyFill="1" applyBorder="1"/>
    <xf numFmtId="41" fontId="11" fillId="0" borderId="11" xfId="5" applyNumberFormat="1" applyFont="1" applyBorder="1" applyAlignment="1">
      <alignment horizontal="center"/>
    </xf>
    <xf numFmtId="41" fontId="11" fillId="2" borderId="11" xfId="5" applyNumberFormat="1" applyFont="1" applyFill="1" applyBorder="1"/>
    <xf numFmtId="41" fontId="11" fillId="2" borderId="11" xfId="5" applyNumberFormat="1" applyFont="1" applyFill="1" applyBorder="1" applyAlignment="1">
      <alignment horizontal="center" vertical="center"/>
    </xf>
    <xf numFmtId="0" fontId="0" fillId="0" borderId="11" xfId="0" applyBorder="1"/>
    <xf numFmtId="0" fontId="0" fillId="0" borderId="8" xfId="0" applyBorder="1"/>
    <xf numFmtId="0" fontId="83" fillId="2" borderId="0" xfId="5" applyFont="1" applyFill="1" applyAlignment="1">
      <alignment horizontal="center" wrapText="1"/>
    </xf>
    <xf numFmtId="0" fontId="11" fillId="0" borderId="0" xfId="5" applyFont="1" applyAlignment="1">
      <alignment horizontal="center" wrapText="1"/>
    </xf>
    <xf numFmtId="0" fontId="11" fillId="2" borderId="0" xfId="5" applyFont="1" applyFill="1" applyAlignment="1">
      <alignment horizontal="center" wrapText="1"/>
    </xf>
    <xf numFmtId="0" fontId="11" fillId="2" borderId="0" xfId="5" applyFont="1" applyFill="1" applyAlignment="1">
      <alignment horizontal="center" vertical="center" wrapText="1"/>
    </xf>
    <xf numFmtId="0" fontId="83" fillId="2" borderId="0" xfId="5" applyFont="1" applyFill="1" applyAlignment="1">
      <alignment horizontal="left"/>
    </xf>
    <xf numFmtId="41" fontId="11" fillId="0" borderId="0" xfId="5" applyNumberFormat="1" applyFont="1" applyAlignment="1">
      <alignment wrapText="1"/>
    </xf>
    <xf numFmtId="41" fontId="11" fillId="2" borderId="0" xfId="5" applyNumberFormat="1" applyFont="1" applyFill="1" applyAlignment="1">
      <alignment wrapText="1"/>
    </xf>
    <xf numFmtId="41" fontId="10" fillId="2" borderId="0" xfId="5" applyNumberFormat="1" applyFont="1" applyFill="1" applyAlignment="1">
      <alignment vertical="center" wrapText="1"/>
    </xf>
    <xf numFmtId="0" fontId="10" fillId="2" borderId="0" xfId="5" applyFont="1" applyFill="1" applyAlignment="1">
      <alignment horizontal="left" indent="2"/>
    </xf>
    <xf numFmtId="0" fontId="10" fillId="2" borderId="0" xfId="5" applyFont="1" applyFill="1" applyAlignment="1">
      <alignment wrapText="1"/>
    </xf>
    <xf numFmtId="42" fontId="10" fillId="0" borderId="0" xfId="5" applyNumberFormat="1" applyFont="1" applyAlignment="1" applyProtection="1">
      <alignment wrapText="1"/>
      <protection locked="0"/>
    </xf>
    <xf numFmtId="42" fontId="10" fillId="2" borderId="0" xfId="5" applyNumberFormat="1" applyFont="1" applyFill="1" applyAlignment="1">
      <alignment wrapText="1"/>
    </xf>
    <xf numFmtId="41" fontId="10" fillId="0" borderId="0" xfId="5" applyNumberFormat="1" applyFont="1" applyProtection="1">
      <protection locked="0"/>
    </xf>
    <xf numFmtId="41" fontId="10" fillId="2" borderId="0" xfId="5" applyNumberFormat="1" applyFont="1" applyFill="1"/>
    <xf numFmtId="41" fontId="10" fillId="0" borderId="0" xfId="5" applyNumberFormat="1" applyFont="1" applyAlignment="1" applyProtection="1">
      <alignment wrapText="1"/>
      <protection locked="0"/>
    </xf>
    <xf numFmtId="41" fontId="10" fillId="2" borderId="0" xfId="5" applyNumberFormat="1" applyFont="1" applyFill="1" applyAlignment="1">
      <alignment wrapText="1"/>
    </xf>
    <xf numFmtId="41" fontId="84" fillId="0" borderId="0" xfId="5" applyNumberFormat="1" applyFont="1" applyAlignment="1" applyProtection="1">
      <alignment wrapText="1"/>
      <protection locked="0"/>
    </xf>
    <xf numFmtId="0" fontId="11" fillId="2" borderId="0" xfId="5" applyFont="1" applyFill="1" applyAlignment="1">
      <alignment horizontal="left" indent="20"/>
    </xf>
    <xf numFmtId="0" fontId="11" fillId="2" borderId="0" xfId="5" applyFont="1" applyFill="1" applyAlignment="1">
      <alignment horizontal="left" wrapText="1"/>
    </xf>
    <xf numFmtId="41" fontId="10" fillId="0" borderId="0" xfId="5" applyNumberFormat="1" applyFont="1" applyAlignment="1">
      <alignment wrapText="1"/>
    </xf>
    <xf numFmtId="0" fontId="10" fillId="2" borderId="0" xfId="5" applyFont="1" applyFill="1"/>
    <xf numFmtId="0" fontId="10" fillId="0" borderId="0" xfId="5" applyFont="1"/>
    <xf numFmtId="0" fontId="10" fillId="2" borderId="0" xfId="5" applyFont="1" applyFill="1" applyAlignment="1">
      <alignment vertical="center"/>
    </xf>
    <xf numFmtId="0" fontId="83" fillId="2" borderId="0" xfId="5" applyFont="1" applyFill="1"/>
    <xf numFmtId="6" fontId="10" fillId="46" borderId="0" xfId="5" applyNumberFormat="1" applyFont="1" applyFill="1" applyAlignment="1" applyProtection="1">
      <alignment vertical="center" wrapText="1"/>
      <protection locked="0"/>
    </xf>
    <xf numFmtId="6" fontId="10" fillId="46" borderId="0" xfId="5" applyNumberFormat="1" applyFont="1" applyFill="1" applyAlignment="1" applyProtection="1">
      <alignment horizontal="center" vertical="center" wrapText="1"/>
      <protection locked="0"/>
    </xf>
    <xf numFmtId="41" fontId="84" fillId="46" borderId="0" xfId="5" applyNumberFormat="1" applyFont="1" applyFill="1" applyAlignment="1" applyProtection="1">
      <alignment vertical="center" wrapText="1"/>
      <protection locked="0"/>
    </xf>
    <xf numFmtId="0" fontId="11" fillId="2" borderId="0" xfId="5" applyFont="1" applyFill="1" applyAlignment="1">
      <alignment horizontal="left"/>
    </xf>
    <xf numFmtId="41" fontId="11" fillId="0" borderId="0" xfId="5" applyNumberFormat="1" applyFont="1"/>
    <xf numFmtId="0" fontId="11" fillId="2" borderId="0" xfId="5" applyFont="1" applyFill="1" applyAlignment="1">
      <alignment wrapText="1"/>
    </xf>
    <xf numFmtId="42" fontId="10" fillId="46" borderId="0" xfId="5" applyNumberFormat="1" applyFont="1" applyFill="1" applyAlignment="1" applyProtection="1">
      <alignment vertical="center" wrapText="1"/>
      <protection locked="0"/>
    </xf>
    <xf numFmtId="41" fontId="10" fillId="46" borderId="0" xfId="5" applyNumberFormat="1" applyFont="1" applyFill="1" applyAlignment="1" applyProtection="1">
      <alignment vertical="center" wrapText="1"/>
      <protection locked="0"/>
    </xf>
    <xf numFmtId="41" fontId="84" fillId="0" borderId="0" xfId="5" applyNumberFormat="1" applyFont="1" applyAlignment="1">
      <alignment wrapText="1"/>
    </xf>
    <xf numFmtId="41" fontId="84" fillId="2" borderId="0" xfId="5" applyNumberFormat="1" applyFont="1" applyFill="1" applyAlignment="1">
      <alignment vertical="center" wrapText="1"/>
    </xf>
    <xf numFmtId="0" fontId="11" fillId="2" borderId="18" xfId="5" applyFont="1" applyFill="1" applyBorder="1" applyAlignment="1">
      <alignment horizontal="left" indent="20"/>
    </xf>
    <xf numFmtId="0" fontId="11" fillId="2" borderId="18" xfId="5" applyFont="1" applyFill="1" applyBorder="1" applyAlignment="1">
      <alignment horizontal="left" wrapText="1"/>
    </xf>
    <xf numFmtId="41" fontId="11" fillId="0" borderId="18" xfId="5" applyNumberFormat="1" applyFont="1" applyBorder="1" applyAlignment="1">
      <alignment wrapText="1"/>
    </xf>
    <xf numFmtId="41" fontId="10" fillId="2" borderId="18" xfId="5" applyNumberFormat="1" applyFont="1" applyFill="1" applyBorder="1" applyAlignment="1">
      <alignment wrapText="1"/>
    </xf>
    <xf numFmtId="41" fontId="11" fillId="2" borderId="18" xfId="5" applyNumberFormat="1" applyFont="1" applyFill="1" applyBorder="1" applyAlignment="1">
      <alignment vertical="center" wrapText="1"/>
    </xf>
    <xf numFmtId="0" fontId="74" fillId="0" borderId="11" xfId="0" applyFont="1" applyBorder="1"/>
    <xf numFmtId="0" fontId="76" fillId="0" borderId="11" xfId="0" applyFont="1" applyBorder="1"/>
    <xf numFmtId="0" fontId="75" fillId="0" borderId="11" xfId="0" applyFont="1" applyBorder="1"/>
    <xf numFmtId="0" fontId="76" fillId="0" borderId="4" xfId="0" applyFont="1" applyBorder="1"/>
    <xf numFmtId="0" fontId="76" fillId="0" borderId="0" xfId="0" applyFont="1"/>
    <xf numFmtId="0" fontId="76" fillId="0" borderId="1" xfId="0" applyFont="1" applyBorder="1"/>
    <xf numFmtId="0" fontId="54" fillId="30" borderId="0" xfId="22" applyFont="1" applyFill="1" applyAlignment="1">
      <alignment vertical="top"/>
    </xf>
    <xf numFmtId="0" fontId="46" fillId="4" borderId="0" xfId="0" applyFont="1" applyFill="1"/>
    <xf numFmtId="0" fontId="74" fillId="0" borderId="18" xfId="0" applyFont="1" applyBorder="1"/>
    <xf numFmtId="0" fontId="46" fillId="0" borderId="4" xfId="0" applyFont="1" applyBorder="1" applyAlignment="1">
      <alignment vertical="center"/>
    </xf>
    <xf numFmtId="0" fontId="46" fillId="0" borderId="0" xfId="0" applyFont="1" applyAlignment="1">
      <alignment vertical="center"/>
    </xf>
    <xf numFmtId="0" fontId="50" fillId="0" borderId="0" xfId="0" applyFont="1" applyAlignment="1">
      <alignment vertical="center"/>
    </xf>
    <xf numFmtId="0" fontId="50" fillId="0" borderId="1" xfId="0" applyFont="1" applyBorder="1" applyAlignment="1">
      <alignment vertical="center"/>
    </xf>
    <xf numFmtId="0" fontId="46" fillId="0" borderId="4" xfId="0" applyFont="1" applyBorder="1" applyAlignment="1">
      <alignment horizontal="left"/>
    </xf>
    <xf numFmtId="0" fontId="46" fillId="0" borderId="4" xfId="0" applyFont="1" applyBorder="1" applyAlignment="1">
      <alignment horizontal="left" vertical="center"/>
    </xf>
    <xf numFmtId="0" fontId="46" fillId="0" borderId="1" xfId="0" applyFont="1" applyBorder="1" applyAlignment="1">
      <alignment vertical="center"/>
    </xf>
    <xf numFmtId="0" fontId="45" fillId="0" borderId="0" xfId="0" applyFont="1" applyAlignment="1">
      <alignment horizontal="center" vertical="center"/>
    </xf>
    <xf numFmtId="0" fontId="46" fillId="0" borderId="4" xfId="0" applyFont="1" applyBorder="1"/>
    <xf numFmtId="0" fontId="46" fillId="0" borderId="4" xfId="0" applyFont="1" applyBorder="1" applyAlignment="1">
      <alignment horizontal="center" vertical="center"/>
    </xf>
    <xf numFmtId="0" fontId="48" fillId="0" borderId="4" xfId="0" applyFont="1" applyBorder="1" applyAlignment="1">
      <alignment horizontal="center" vertical="center"/>
    </xf>
    <xf numFmtId="1" fontId="46" fillId="0" borderId="4" xfId="0" applyNumberFormat="1" applyFont="1" applyBorder="1"/>
    <xf numFmtId="0" fontId="48" fillId="0" borderId="0" xfId="0" applyFont="1" applyAlignment="1">
      <alignment vertical="center"/>
    </xf>
    <xf numFmtId="0" fontId="46" fillId="0" borderId="12" xfId="0" applyFont="1" applyBorder="1" applyAlignment="1">
      <alignment horizontal="center" vertical="center"/>
    </xf>
    <xf numFmtId="0" fontId="46" fillId="0" borderId="18" xfId="0" applyFont="1" applyBorder="1" applyAlignment="1">
      <alignment vertical="center"/>
    </xf>
    <xf numFmtId="0" fontId="46" fillId="0" borderId="14" xfId="0" applyFont="1" applyBorder="1" applyAlignment="1">
      <alignment vertical="center"/>
    </xf>
    <xf numFmtId="171" fontId="0" fillId="0" borderId="0" xfId="1" applyNumberFormat="1" applyFont="1" applyBorder="1"/>
    <xf numFmtId="171" fontId="0" fillId="0" borderId="4" xfId="1" applyNumberFormat="1" applyFont="1" applyBorder="1"/>
    <xf numFmtId="171" fontId="0" fillId="0" borderId="1" xfId="1" applyNumberFormat="1" applyFont="1" applyBorder="1"/>
    <xf numFmtId="170" fontId="22" fillId="0" borderId="4" xfId="0" applyNumberFormat="1" applyFont="1" applyBorder="1"/>
    <xf numFmtId="170" fontId="22" fillId="0" borderId="0" xfId="0" applyNumberFormat="1" applyFont="1"/>
    <xf numFmtId="170" fontId="22" fillId="0" borderId="1" xfId="0" applyNumberFormat="1" applyFont="1" applyBorder="1"/>
    <xf numFmtId="0" fontId="59" fillId="0" borderId="0" xfId="0" applyFont="1"/>
    <xf numFmtId="0" fontId="2" fillId="0" borderId="4" xfId="0" applyFont="1" applyBorder="1"/>
    <xf numFmtId="0" fontId="2" fillId="0" borderId="1" xfId="0" applyFont="1" applyBorder="1"/>
    <xf numFmtId="166" fontId="0" fillId="0" borderId="0" xfId="2" applyNumberFormat="1" applyFont="1" applyBorder="1"/>
    <xf numFmtId="166" fontId="0" fillId="0" borderId="1" xfId="2" applyNumberFormat="1" applyFont="1" applyBorder="1"/>
    <xf numFmtId="166" fontId="0" fillId="0" borderId="4" xfId="2" applyNumberFormat="1" applyFont="1" applyBorder="1"/>
    <xf numFmtId="166" fontId="2" fillId="0" borderId="0" xfId="2" applyNumberFormat="1" applyFont="1" applyBorder="1"/>
    <xf numFmtId="0" fontId="4" fillId="0" borderId="4" xfId="0" applyFont="1" applyBorder="1"/>
    <xf numFmtId="0" fontId="46" fillId="0" borderId="0" xfId="0" applyFont="1"/>
    <xf numFmtId="0" fontId="2" fillId="0" borderId="18" xfId="0" applyFont="1" applyBorder="1"/>
    <xf numFmtId="0" fontId="63" fillId="37" borderId="8" xfId="0" applyFont="1" applyFill="1" applyBorder="1" applyAlignment="1">
      <alignment vertical="center"/>
    </xf>
    <xf numFmtId="0" fontId="64" fillId="37" borderId="14" xfId="0" applyFont="1" applyFill="1" applyBorder="1" applyAlignment="1">
      <alignment vertical="center"/>
    </xf>
    <xf numFmtId="0" fontId="0" fillId="0" borderId="0" xfId="0" applyAlignment="1">
      <alignment vertical="center" wrapText="1"/>
    </xf>
    <xf numFmtId="0" fontId="0" fillId="0" borderId="1" xfId="0" applyBorder="1" applyAlignment="1">
      <alignment vertical="center" wrapText="1"/>
    </xf>
    <xf numFmtId="0" fontId="0" fillId="37" borderId="0" xfId="0" applyFill="1" applyAlignment="1">
      <alignment vertical="center" wrapText="1"/>
    </xf>
    <xf numFmtId="0" fontId="0" fillId="37" borderId="69" xfId="0" applyFill="1" applyBorder="1" applyAlignment="1">
      <alignment vertical="center" wrapText="1"/>
    </xf>
    <xf numFmtId="0" fontId="0" fillId="0" borderId="4" xfId="0" applyBorder="1" applyAlignment="1">
      <alignment vertical="center" wrapText="1"/>
    </xf>
    <xf numFmtId="0" fontId="0" fillId="37" borderId="70" xfId="0" applyFill="1" applyBorder="1" applyAlignment="1">
      <alignment vertical="center" wrapText="1"/>
    </xf>
    <xf numFmtId="0" fontId="4" fillId="0" borderId="0" xfId="0" applyFont="1" applyAlignment="1">
      <alignment vertical="center" wrapText="1"/>
    </xf>
    <xf numFmtId="0" fontId="0" fillId="40" borderId="0" xfId="0" applyFill="1" applyAlignment="1">
      <alignment vertical="center" wrapText="1"/>
    </xf>
    <xf numFmtId="0" fontId="4" fillId="0" borderId="0" xfId="0" applyFont="1" applyAlignment="1">
      <alignment horizontal="center" vertical="center" wrapText="1"/>
    </xf>
    <xf numFmtId="6" fontId="0" fillId="0" borderId="0" xfId="0" applyNumberFormat="1" applyAlignment="1">
      <alignment horizontal="right" vertical="center" wrapText="1"/>
    </xf>
    <xf numFmtId="9" fontId="4" fillId="0" borderId="0" xfId="0" applyNumberFormat="1" applyFont="1" applyAlignment="1">
      <alignment horizontal="center" vertical="center" wrapText="1"/>
    </xf>
    <xf numFmtId="6" fontId="65" fillId="0" borderId="0" xfId="0" applyNumberFormat="1" applyFont="1" applyAlignment="1">
      <alignment horizontal="right" vertical="center" wrapText="1"/>
    </xf>
    <xf numFmtId="0" fontId="0" fillId="0" borderId="0" xfId="0" applyAlignment="1">
      <alignment horizontal="center" vertical="center" wrapText="1"/>
    </xf>
    <xf numFmtId="6" fontId="23" fillId="0" borderId="0" xfId="0" applyNumberFormat="1" applyFont="1" applyAlignment="1">
      <alignment horizontal="left" vertical="center"/>
    </xf>
    <xf numFmtId="6" fontId="4" fillId="0" borderId="0" xfId="0" applyNumberFormat="1" applyFont="1" applyAlignment="1">
      <alignment vertical="center" wrapText="1"/>
    </xf>
    <xf numFmtId="0" fontId="0" fillId="37" borderId="71" xfId="0" applyFill="1" applyBorder="1" applyAlignment="1">
      <alignment vertical="center" wrapText="1"/>
    </xf>
    <xf numFmtId="0" fontId="0" fillId="0" borderId="12" xfId="0" applyBorder="1" applyAlignment="1">
      <alignment vertical="center" wrapText="1"/>
    </xf>
    <xf numFmtId="0" fontId="0" fillId="0" borderId="18" xfId="0" applyBorder="1" applyAlignment="1">
      <alignment vertical="center" wrapText="1"/>
    </xf>
    <xf numFmtId="0" fontId="0" fillId="0" borderId="14" xfId="0" applyBorder="1" applyAlignment="1">
      <alignment vertical="center" wrapText="1"/>
    </xf>
    <xf numFmtId="0" fontId="64" fillId="37" borderId="0" xfId="0" applyFont="1" applyFill="1" applyAlignment="1">
      <alignment vertical="center"/>
    </xf>
    <xf numFmtId="6" fontId="0" fillId="0" borderId="4" xfId="0" applyNumberFormat="1" applyBorder="1" applyAlignment="1">
      <alignment horizontal="right" vertical="center" wrapText="1"/>
    </xf>
    <xf numFmtId="0" fontId="0" fillId="0" borderId="0" xfId="0" applyAlignment="1">
      <alignment horizontal="center" vertical="center"/>
    </xf>
    <xf numFmtId="0" fontId="23" fillId="3" borderId="0" xfId="0" applyFont="1" applyFill="1"/>
    <xf numFmtId="0" fontId="22" fillId="3" borderId="0" xfId="0" applyFont="1" applyFill="1" applyAlignment="1">
      <alignment horizontal="left"/>
    </xf>
    <xf numFmtId="0" fontId="4" fillId="0" borderId="0" xfId="0" applyFont="1" applyAlignment="1">
      <alignment horizontal="left"/>
    </xf>
    <xf numFmtId="0" fontId="4" fillId="0" borderId="1" xfId="0" applyFont="1" applyBorder="1" applyAlignment="1">
      <alignment horizontal="left"/>
    </xf>
    <xf numFmtId="37" fontId="4" fillId="0" borderId="0" xfId="0" applyNumberFormat="1" applyFont="1" applyAlignment="1">
      <alignment horizontal="left" vertical="center"/>
    </xf>
    <xf numFmtId="0" fontId="0" fillId="0" borderId="4" xfId="0" applyBorder="1" applyAlignment="1">
      <alignment horizontal="center"/>
    </xf>
    <xf numFmtId="0" fontId="4" fillId="0" borderId="4" xfId="0" applyFont="1" applyBorder="1" applyAlignment="1">
      <alignment horizontal="center"/>
    </xf>
    <xf numFmtId="1" fontId="4" fillId="0" borderId="0" xfId="0" applyNumberFormat="1" applyFont="1" applyAlignment="1">
      <alignment horizontal="center"/>
    </xf>
    <xf numFmtId="10" fontId="2" fillId="0" borderId="1" xfId="19" applyNumberFormat="1" applyFont="1" applyBorder="1"/>
    <xf numFmtId="44" fontId="0" fillId="0" borderId="0" xfId="0" applyNumberFormat="1"/>
    <xf numFmtId="170" fontId="0" fillId="0" borderId="4" xfId="0" applyNumberFormat="1" applyBorder="1"/>
    <xf numFmtId="0" fontId="49" fillId="0" borderId="0" xfId="4" applyFont="1" applyBorder="1" applyAlignment="1">
      <alignment horizontal="left" vertical="center"/>
    </xf>
    <xf numFmtId="0" fontId="7" fillId="0" borderId="4" xfId="4" applyBorder="1"/>
    <xf numFmtId="170" fontId="7" fillId="0" borderId="4" xfId="4" applyNumberFormat="1" applyBorder="1"/>
    <xf numFmtId="166" fontId="4" fillId="0" borderId="0" xfId="2" applyNumberFormat="1" applyFont="1" applyBorder="1"/>
    <xf numFmtId="0" fontId="11" fillId="0" borderId="0" xfId="0" applyFont="1"/>
    <xf numFmtId="0" fontId="0" fillId="0" borderId="18" xfId="0" applyBorder="1" applyAlignment="1">
      <alignment horizontal="center"/>
    </xf>
    <xf numFmtId="0" fontId="4" fillId="0" borderId="18" xfId="0" applyFont="1" applyBorder="1"/>
    <xf numFmtId="0" fontId="0" fillId="0" borderId="1" xfId="0" applyBorder="1" applyAlignment="1">
      <alignment vertical="center"/>
    </xf>
    <xf numFmtId="0" fontId="25" fillId="0" borderId="1" xfId="0" applyFont="1" applyBorder="1" applyAlignment="1">
      <alignment vertical="center"/>
    </xf>
    <xf numFmtId="0" fontId="38" fillId="10" borderId="4" xfId="0" applyFont="1" applyFill="1" applyBorder="1" applyAlignment="1">
      <alignment vertical="center"/>
    </xf>
    <xf numFmtId="0" fontId="30" fillId="0" borderId="4" xfId="0" applyFont="1" applyBorder="1" applyAlignment="1">
      <alignment horizontal="left" vertical="center"/>
    </xf>
    <xf numFmtId="0" fontId="30" fillId="0" borderId="0" xfId="0" applyFont="1" applyAlignment="1">
      <alignment horizontal="left" vertical="center"/>
    </xf>
    <xf numFmtId="0" fontId="30" fillId="0" borderId="0" xfId="0" applyFont="1" applyAlignment="1">
      <alignment horizontal="center" vertical="center"/>
    </xf>
    <xf numFmtId="0" fontId="22" fillId="3" borderId="0" xfId="0" applyFont="1" applyFill="1" applyAlignment="1">
      <alignment vertical="center"/>
    </xf>
    <xf numFmtId="0" fontId="45" fillId="0" borderId="7" xfId="0" applyFont="1" applyBorder="1" applyAlignment="1">
      <alignment vertical="center"/>
    </xf>
    <xf numFmtId="0" fontId="45" fillId="0" borderId="0" xfId="0" applyFont="1" applyAlignment="1">
      <alignment vertical="center"/>
    </xf>
    <xf numFmtId="0" fontId="0" fillId="0" borderId="14" xfId="0" applyBorder="1" applyAlignment="1">
      <alignment vertical="center"/>
    </xf>
    <xf numFmtId="0" fontId="26" fillId="18" borderId="9" xfId="0" applyFont="1" applyFill="1" applyBorder="1" applyAlignment="1">
      <alignment vertical="center"/>
    </xf>
    <xf numFmtId="0" fontId="25" fillId="18" borderId="10" xfId="0" applyFont="1" applyFill="1" applyBorder="1" applyAlignment="1">
      <alignment vertical="center"/>
    </xf>
    <xf numFmtId="0" fontId="25" fillId="18" borderId="3" xfId="0" applyFont="1" applyFill="1" applyBorder="1" applyAlignment="1">
      <alignment vertical="center"/>
    </xf>
    <xf numFmtId="10" fontId="0" fillId="0" borderId="0" xfId="0" applyNumberFormat="1"/>
    <xf numFmtId="0" fontId="32" fillId="47" borderId="2" xfId="0" applyFont="1" applyFill="1" applyBorder="1" applyAlignment="1">
      <alignment horizontal="center" vertical="center"/>
    </xf>
    <xf numFmtId="176" fontId="11" fillId="47" borderId="2" xfId="3" applyNumberFormat="1" applyFont="1" applyFill="1" applyBorder="1" applyAlignment="1">
      <alignment horizontal="center"/>
    </xf>
    <xf numFmtId="0" fontId="4" fillId="0" borderId="39" xfId="0" applyFont="1" applyBorder="1" applyAlignment="1">
      <alignment vertical="center"/>
    </xf>
    <xf numFmtId="6" fontId="4" fillId="0" borderId="40" xfId="0" applyNumberFormat="1" applyFont="1" applyBorder="1" applyAlignment="1">
      <alignment horizontal="right" vertical="center" wrapText="1"/>
    </xf>
    <xf numFmtId="6" fontId="4" fillId="0" borderId="41" xfId="0" applyNumberFormat="1" applyFont="1" applyBorder="1" applyAlignment="1">
      <alignment horizontal="right" vertical="center" wrapText="1"/>
    </xf>
    <xf numFmtId="0" fontId="4" fillId="0" borderId="0" xfId="0" applyFont="1" applyAlignment="1">
      <alignment horizontal="centerContinuous"/>
    </xf>
    <xf numFmtId="166" fontId="4" fillId="0" borderId="0" xfId="2" applyNumberFormat="1" applyFont="1" applyFill="1" applyBorder="1" applyAlignment="1">
      <alignment horizontal="center"/>
    </xf>
    <xf numFmtId="0" fontId="4" fillId="30" borderId="2" xfId="0" applyFont="1" applyFill="1" applyBorder="1" applyAlignment="1">
      <alignment horizontal="centerContinuous"/>
    </xf>
    <xf numFmtId="0" fontId="4" fillId="26" borderId="2" xfId="0" applyFont="1" applyFill="1" applyBorder="1" applyAlignment="1">
      <alignment horizontal="centerContinuous"/>
    </xf>
    <xf numFmtId="0" fontId="4" fillId="21" borderId="2" xfId="0" applyFont="1" applyFill="1" applyBorder="1" applyAlignment="1">
      <alignment horizontal="centerContinuous"/>
    </xf>
    <xf numFmtId="0" fontId="4" fillId="25" borderId="2" xfId="0" applyFont="1" applyFill="1" applyBorder="1" applyAlignment="1">
      <alignment horizontal="centerContinuous"/>
    </xf>
    <xf numFmtId="0" fontId="4" fillId="8" borderId="26" xfId="0" applyFont="1" applyFill="1" applyBorder="1" applyAlignment="1">
      <alignment horizontal="centerContinuous"/>
    </xf>
    <xf numFmtId="0" fontId="4" fillId="8" borderId="27" xfId="0" applyFont="1" applyFill="1" applyBorder="1" applyAlignment="1">
      <alignment horizontal="centerContinuous"/>
    </xf>
    <xf numFmtId="0" fontId="4" fillId="8" borderId="27" xfId="0" applyFont="1" applyFill="1" applyBorder="1" applyAlignment="1">
      <alignment horizontal="center"/>
    </xf>
    <xf numFmtId="0" fontId="4" fillId="8" borderId="38" xfId="0" applyFont="1" applyFill="1" applyBorder="1" applyAlignment="1">
      <alignment horizontal="center"/>
    </xf>
    <xf numFmtId="0" fontId="4" fillId="30" borderId="62" xfId="0" applyFont="1" applyFill="1" applyBorder="1" applyAlignment="1">
      <alignment horizontal="centerContinuous"/>
    </xf>
    <xf numFmtId="0" fontId="4" fillId="26" borderId="62" xfId="0" applyFont="1" applyFill="1" applyBorder="1" applyAlignment="1">
      <alignment horizontal="centerContinuous"/>
    </xf>
    <xf numFmtId="0" fontId="4" fillId="21" borderId="62" xfId="0" applyFont="1" applyFill="1" applyBorder="1" applyAlignment="1">
      <alignment horizontal="centerContinuous"/>
    </xf>
    <xf numFmtId="0" fontId="4" fillId="25" borderId="62" xfId="0" applyFont="1" applyFill="1" applyBorder="1" applyAlignment="1">
      <alignment horizontal="centerContinuous"/>
    </xf>
    <xf numFmtId="0" fontId="4" fillId="0" borderId="39" xfId="0" applyFont="1" applyBorder="1" applyAlignment="1">
      <alignment horizontal="centerContinuous"/>
    </xf>
    <xf numFmtId="166" fontId="4" fillId="0" borderId="40" xfId="2" applyNumberFormat="1" applyFont="1" applyFill="1" applyBorder="1" applyAlignment="1">
      <alignment horizontal="center"/>
    </xf>
    <xf numFmtId="0" fontId="4" fillId="8" borderId="72" xfId="0" applyFont="1" applyFill="1" applyBorder="1" applyAlignment="1">
      <alignment horizontal="centerContinuous"/>
    </xf>
    <xf numFmtId="0" fontId="4" fillId="8" borderId="10" xfId="0" applyFont="1" applyFill="1" applyBorder="1" applyAlignment="1">
      <alignment horizontal="centerContinuous"/>
    </xf>
    <xf numFmtId="0" fontId="4" fillId="3" borderId="2" xfId="0" applyFont="1" applyFill="1" applyBorder="1" applyAlignment="1">
      <alignment horizontal="center"/>
    </xf>
    <xf numFmtId="167" fontId="6" fillId="0" borderId="0" xfId="1" applyNumberFormat="1" applyFont="1" applyBorder="1" applyAlignment="1">
      <alignment wrapText="1"/>
    </xf>
    <xf numFmtId="164" fontId="48" fillId="21" borderId="2" xfId="0" applyNumberFormat="1" applyFont="1" applyFill="1" applyBorder="1" applyAlignment="1">
      <alignment horizontal="center" vertical="center"/>
    </xf>
    <xf numFmtId="9" fontId="48" fillId="21" borderId="2" xfId="3" applyFont="1" applyFill="1" applyBorder="1" applyAlignment="1">
      <alignment horizontal="center" vertical="center"/>
    </xf>
    <xf numFmtId="168" fontId="48" fillId="21" borderId="2" xfId="0" applyNumberFormat="1" applyFont="1" applyFill="1" applyBorder="1" applyAlignment="1">
      <alignment horizontal="center" vertical="center"/>
    </xf>
    <xf numFmtId="166" fontId="48" fillId="21" borderId="2" xfId="2" applyNumberFormat="1" applyFont="1" applyFill="1" applyBorder="1" applyAlignment="1">
      <alignment horizontal="center" vertical="center"/>
    </xf>
    <xf numFmtId="49" fontId="4" fillId="0" borderId="13" xfId="10" applyNumberFormat="1" applyFont="1" applyBorder="1" applyAlignment="1">
      <alignment horizontal="center"/>
    </xf>
    <xf numFmtId="49" fontId="4" fillId="0" borderId="2" xfId="10" applyNumberFormat="1" applyFont="1" applyBorder="1" applyAlignment="1">
      <alignment horizontal="center"/>
    </xf>
    <xf numFmtId="0" fontId="4" fillId="8" borderId="2" xfId="0" applyFont="1" applyFill="1" applyBorder="1" applyAlignment="1">
      <alignment horizontal="left"/>
    </xf>
    <xf numFmtId="1" fontId="23" fillId="8" borderId="2" xfId="10" applyNumberFormat="1" applyFont="1" applyFill="1" applyBorder="1" applyAlignment="1">
      <alignment horizontal="center"/>
    </xf>
    <xf numFmtId="166" fontId="11" fillId="8" borderId="2" xfId="2" applyNumberFormat="1" applyFont="1" applyFill="1" applyBorder="1"/>
    <xf numFmtId="0" fontId="4" fillId="3" borderId="2" xfId="0" applyFont="1" applyFill="1" applyBorder="1" applyAlignment="1">
      <alignment horizontal="center" vertical="center"/>
    </xf>
    <xf numFmtId="166" fontId="45" fillId="25" borderId="12" xfId="2" applyNumberFormat="1" applyFont="1" applyFill="1" applyBorder="1" applyAlignment="1">
      <alignment horizontal="center" vertical="center"/>
    </xf>
    <xf numFmtId="166" fontId="45" fillId="27" borderId="12" xfId="2" applyNumberFormat="1" applyFont="1" applyFill="1" applyBorder="1" applyAlignment="1">
      <alignment horizontal="center" vertical="center"/>
    </xf>
    <xf numFmtId="166" fontId="50" fillId="8" borderId="38" xfId="2" applyNumberFormat="1" applyFont="1" applyFill="1" applyBorder="1" applyAlignment="1">
      <alignment vertical="center"/>
    </xf>
    <xf numFmtId="0" fontId="23" fillId="18" borderId="13" xfId="10" applyFont="1" applyFill="1" applyBorder="1" applyAlignment="1">
      <alignment horizontal="left"/>
    </xf>
    <xf numFmtId="0" fontId="23" fillId="18" borderId="2" xfId="10" applyFont="1" applyFill="1" applyBorder="1" applyAlignment="1">
      <alignment horizontal="left"/>
    </xf>
    <xf numFmtId="37" fontId="60" fillId="25" borderId="39" xfId="22" applyNumberFormat="1" applyFont="1" applyFill="1" applyBorder="1" applyAlignment="1">
      <alignment horizontal="left" vertical="top"/>
    </xf>
    <xf numFmtId="166" fontId="48" fillId="27" borderId="21" xfId="2" applyNumberFormat="1" applyFont="1" applyFill="1" applyBorder="1" applyAlignment="1">
      <alignment vertical="center"/>
    </xf>
    <xf numFmtId="166" fontId="45" fillId="25" borderId="14" xfId="2" applyNumberFormat="1" applyFont="1" applyFill="1" applyBorder="1" applyAlignment="1">
      <alignment horizontal="center" vertical="center"/>
    </xf>
    <xf numFmtId="166" fontId="45" fillId="27" borderId="14" xfId="2" applyNumberFormat="1" applyFont="1" applyFill="1" applyBorder="1" applyAlignment="1">
      <alignment horizontal="center" vertical="center"/>
    </xf>
    <xf numFmtId="0" fontId="46" fillId="0" borderId="22" xfId="0" applyFont="1" applyBorder="1" applyAlignment="1">
      <alignment vertical="center"/>
    </xf>
    <xf numFmtId="0" fontId="46" fillId="0" borderId="20" xfId="0" applyFont="1" applyBorder="1" applyAlignment="1">
      <alignment vertical="center"/>
    </xf>
    <xf numFmtId="0" fontId="46" fillId="0" borderId="21" xfId="0" applyFont="1" applyBorder="1" applyAlignment="1">
      <alignment vertical="center"/>
    </xf>
    <xf numFmtId="0" fontId="7" fillId="3" borderId="1" xfId="4" applyFill="1" applyBorder="1" applyAlignment="1" applyProtection="1">
      <alignment horizontal="left" vertical="top"/>
      <protection locked="0"/>
    </xf>
    <xf numFmtId="0" fontId="9" fillId="48" borderId="4" xfId="4" applyFont="1" applyFill="1" applyBorder="1" applyAlignment="1">
      <alignment vertical="center"/>
    </xf>
    <xf numFmtId="0" fontId="25" fillId="48" borderId="1" xfId="0" applyFont="1" applyFill="1" applyBorder="1" applyAlignment="1">
      <alignment wrapText="1"/>
    </xf>
    <xf numFmtId="177" fontId="88" fillId="50" borderId="73" xfId="0" applyNumberFormat="1" applyFont="1" applyFill="1" applyBorder="1" applyAlignment="1">
      <alignment horizontal="right" vertical="center"/>
    </xf>
    <xf numFmtId="177" fontId="88" fillId="49" borderId="74" xfId="0" applyNumberFormat="1" applyFont="1" applyFill="1" applyBorder="1" applyAlignment="1">
      <alignment horizontal="right" vertical="center"/>
    </xf>
    <xf numFmtId="177" fontId="88" fillId="50" borderId="74" xfId="0" applyNumberFormat="1" applyFont="1" applyFill="1" applyBorder="1" applyAlignment="1">
      <alignment horizontal="right" vertical="center"/>
    </xf>
    <xf numFmtId="0" fontId="30" fillId="0" borderId="0" xfId="0" applyFont="1"/>
    <xf numFmtId="0" fontId="30" fillId="51" borderId="0" xfId="0" applyFont="1" applyFill="1"/>
    <xf numFmtId="177" fontId="88" fillId="49" borderId="73" xfId="0" applyNumberFormat="1" applyFont="1" applyFill="1" applyBorder="1" applyAlignment="1">
      <alignment horizontal="right" vertical="center"/>
    </xf>
    <xf numFmtId="169" fontId="4" fillId="45" borderId="2" xfId="0" applyNumberFormat="1" applyFont="1" applyFill="1" applyBorder="1" applyAlignment="1">
      <alignment horizontal="center"/>
    </xf>
    <xf numFmtId="166" fontId="89" fillId="3" borderId="2" xfId="2" applyNumberFormat="1" applyFont="1" applyFill="1" applyBorder="1" applyAlignment="1">
      <alignment horizontal="center"/>
    </xf>
    <xf numFmtId="0" fontId="67" fillId="0" borderId="0" xfId="0" applyFont="1" applyAlignment="1">
      <alignment horizontal="left" vertical="center" wrapText="1"/>
    </xf>
    <xf numFmtId="1" fontId="39" fillId="17" borderId="2" xfId="8" applyNumberFormat="1" applyFont="1" applyFill="1" applyBorder="1" applyAlignment="1">
      <alignment horizontal="center" vertical="center"/>
    </xf>
    <xf numFmtId="1" fontId="39" fillId="24" borderId="2" xfId="8" applyNumberFormat="1" applyFont="1" applyFill="1" applyBorder="1" applyAlignment="1">
      <alignment horizontal="center" vertical="center"/>
    </xf>
    <xf numFmtId="0" fontId="23" fillId="0" borderId="7"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0" xfId="0" applyFont="1" applyAlignment="1">
      <alignment horizontal="center" vertical="center" wrapText="1"/>
    </xf>
    <xf numFmtId="0" fontId="23" fillId="0" borderId="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7" xfId="0" applyFont="1" applyBorder="1" applyAlignment="1">
      <alignment horizontal="left" vertical="center" wrapText="1"/>
    </xf>
    <xf numFmtId="0" fontId="23" fillId="0" borderId="11" xfId="0" applyFont="1" applyBorder="1" applyAlignment="1">
      <alignment horizontal="left" vertical="center" wrapText="1"/>
    </xf>
    <xf numFmtId="0" fontId="23" fillId="0" borderId="8" xfId="0" applyFont="1" applyBorder="1" applyAlignment="1">
      <alignment horizontal="left" vertical="center" wrapText="1"/>
    </xf>
    <xf numFmtId="0" fontId="23" fillId="0" borderId="4" xfId="0" applyFont="1" applyBorder="1" applyAlignment="1">
      <alignment horizontal="left" vertical="center" wrapText="1"/>
    </xf>
    <xf numFmtId="0" fontId="23" fillId="0" borderId="0" xfId="0" applyFont="1" applyAlignment="1">
      <alignment horizontal="left" vertical="center" wrapText="1"/>
    </xf>
    <xf numFmtId="0" fontId="23" fillId="0" borderId="1" xfId="0" applyFont="1" applyBorder="1" applyAlignment="1">
      <alignment horizontal="left" vertical="center" wrapText="1"/>
    </xf>
    <xf numFmtId="0" fontId="23" fillId="0" borderId="12" xfId="0" applyFont="1" applyBorder="1" applyAlignment="1">
      <alignment horizontal="left" vertical="center" wrapText="1"/>
    </xf>
    <xf numFmtId="0" fontId="23" fillId="0" borderId="18" xfId="0" applyFont="1" applyBorder="1" applyAlignment="1">
      <alignment horizontal="left" vertical="center" wrapText="1"/>
    </xf>
    <xf numFmtId="0" fontId="23" fillId="0" borderId="14" xfId="0" applyFont="1" applyBorder="1" applyAlignment="1">
      <alignment horizontal="left" vertical="center" wrapText="1"/>
    </xf>
    <xf numFmtId="0" fontId="4" fillId="38" borderId="51" xfId="0" applyFont="1" applyFill="1" applyBorder="1" applyAlignment="1">
      <alignment horizontal="center" vertical="center" wrapText="1"/>
    </xf>
    <xf numFmtId="0" fontId="4" fillId="38" borderId="52" xfId="0" applyFont="1" applyFill="1" applyBorder="1" applyAlignment="1">
      <alignment horizontal="center" vertical="center" wrapText="1"/>
    </xf>
    <xf numFmtId="0" fontId="4" fillId="38" borderId="53" xfId="0" applyFont="1" applyFill="1" applyBorder="1" applyAlignment="1">
      <alignment horizontal="center" vertical="center" wrapText="1"/>
    </xf>
    <xf numFmtId="0" fontId="4" fillId="38" borderId="56" xfId="0" applyFont="1" applyFill="1" applyBorder="1" applyAlignment="1">
      <alignment horizontal="center" vertical="center" wrapText="1"/>
    </xf>
    <xf numFmtId="0" fontId="4" fillId="38" borderId="57" xfId="0" applyFont="1" applyFill="1" applyBorder="1" applyAlignment="1">
      <alignment horizontal="center" vertical="center" wrapText="1"/>
    </xf>
    <xf numFmtId="0" fontId="4" fillId="38" borderId="27" xfId="0" applyFont="1" applyFill="1" applyBorder="1" applyAlignment="1">
      <alignment horizontal="center" vertical="center" wrapText="1"/>
    </xf>
    <xf numFmtId="0" fontId="4" fillId="38" borderId="38" xfId="0" applyFont="1" applyFill="1" applyBorder="1" applyAlignment="1">
      <alignment horizontal="center" vertical="center" wrapText="1"/>
    </xf>
    <xf numFmtId="0" fontId="4" fillId="38" borderId="31" xfId="0" applyFont="1" applyFill="1" applyBorder="1" applyAlignment="1">
      <alignment horizontal="center" vertical="center" wrapText="1"/>
    </xf>
    <xf numFmtId="0" fontId="4" fillId="38" borderId="24" xfId="0" applyFont="1" applyFill="1" applyBorder="1" applyAlignment="1">
      <alignment horizontal="center" vertical="center" wrapText="1"/>
    </xf>
    <xf numFmtId="0" fontId="4" fillId="38" borderId="25" xfId="0" applyFont="1" applyFill="1" applyBorder="1" applyAlignment="1">
      <alignment horizontal="center" vertical="center" wrapText="1"/>
    </xf>
    <xf numFmtId="0" fontId="4" fillId="21" borderId="9" xfId="0" applyFont="1" applyFill="1" applyBorder="1" applyAlignment="1">
      <alignment horizontal="center" vertical="center" wrapText="1"/>
    </xf>
    <xf numFmtId="0" fontId="4" fillId="21" borderId="3" xfId="0" applyFont="1" applyFill="1" applyBorder="1" applyAlignment="1">
      <alignment horizontal="center" vertical="center" wrapText="1"/>
    </xf>
    <xf numFmtId="0" fontId="45" fillId="0" borderId="4" xfId="0" applyFont="1" applyBorder="1" applyAlignment="1">
      <alignment horizontal="left" vertical="center" wrapText="1"/>
    </xf>
    <xf numFmtId="0" fontId="45" fillId="0" borderId="0" xfId="0" applyFont="1" applyAlignment="1">
      <alignment horizontal="left"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47" fillId="0" borderId="2" xfId="0" applyFont="1" applyBorder="1" applyAlignment="1">
      <alignment horizontal="center" vertical="center"/>
    </xf>
    <xf numFmtId="0" fontId="14" fillId="2" borderId="15" xfId="23" applyFont="1" applyFill="1" applyBorder="1" applyAlignment="1">
      <alignment horizontal="center" vertical="center" wrapText="1"/>
    </xf>
    <xf numFmtId="0" fontId="14" fillId="2" borderId="16" xfId="23" applyFont="1" applyFill="1" applyBorder="1" applyAlignment="1">
      <alignment horizontal="center" vertical="center" wrapText="1"/>
    </xf>
    <xf numFmtId="0" fontId="14" fillId="2" borderId="67" xfId="23" applyFont="1" applyFill="1" applyBorder="1" applyAlignment="1">
      <alignment horizontal="center" vertical="center" wrapText="1"/>
    </xf>
    <xf numFmtId="0" fontId="11" fillId="0" borderId="7" xfId="23" applyFont="1" applyBorder="1" applyAlignment="1">
      <alignment horizontal="center" vertical="center" wrapText="1"/>
    </xf>
    <xf numFmtId="0" fontId="11" fillId="0" borderId="11" xfId="23" applyFont="1" applyBorder="1" applyAlignment="1">
      <alignment horizontal="center" vertical="center" wrapText="1"/>
    </xf>
    <xf numFmtId="0" fontId="11" fillId="0" borderId="8" xfId="23" applyFont="1" applyBorder="1" applyAlignment="1">
      <alignment horizontal="center" vertical="center" wrapText="1"/>
    </xf>
    <xf numFmtId="0" fontId="11" fillId="0" borderId="12" xfId="23" applyFont="1" applyBorder="1" applyAlignment="1">
      <alignment horizontal="center" vertical="center" wrapText="1"/>
    </xf>
    <xf numFmtId="0" fontId="11" fillId="0" borderId="18" xfId="23" applyFont="1" applyBorder="1" applyAlignment="1">
      <alignment horizontal="center" vertical="center" wrapText="1"/>
    </xf>
    <xf numFmtId="0" fontId="11" fillId="0" borderId="14" xfId="23" applyFont="1" applyBorder="1" applyAlignment="1">
      <alignment horizontal="center" vertical="center" wrapText="1"/>
    </xf>
    <xf numFmtId="0" fontId="11" fillId="0" borderId="4" xfId="23" applyFont="1" applyBorder="1" applyAlignment="1">
      <alignment horizontal="center" vertical="center" wrapText="1"/>
    </xf>
    <xf numFmtId="0" fontId="11" fillId="0" borderId="0" xfId="23" applyFont="1" applyAlignment="1">
      <alignment horizontal="center" vertical="center" wrapText="1"/>
    </xf>
    <xf numFmtId="0" fontId="11" fillId="0" borderId="1" xfId="23" applyFont="1" applyBorder="1" applyAlignment="1">
      <alignment horizontal="center" vertical="center" wrapText="1"/>
    </xf>
    <xf numFmtId="0" fontId="11" fillId="2" borderId="15" xfId="23" applyFont="1" applyFill="1" applyBorder="1" applyAlignment="1">
      <alignment horizontal="center" vertical="center" wrapText="1"/>
    </xf>
    <xf numFmtId="0" fontId="11" fillId="2" borderId="16" xfId="23" applyFont="1" applyFill="1" applyBorder="1" applyAlignment="1">
      <alignment horizontal="center" vertical="center" wrapText="1"/>
    </xf>
    <xf numFmtId="0" fontId="11" fillId="2" borderId="67" xfId="23" applyFont="1" applyFill="1" applyBorder="1" applyAlignment="1">
      <alignment horizontal="center" vertical="center" wrapText="1"/>
    </xf>
    <xf numFmtId="0" fontId="11" fillId="0" borderId="2" xfId="23" applyFont="1" applyBorder="1" applyAlignment="1">
      <alignment horizontal="center" vertical="center" wrapText="1"/>
    </xf>
    <xf numFmtId="0" fontId="11" fillId="0" borderId="68" xfId="23" applyFont="1" applyBorder="1" applyAlignment="1">
      <alignment horizontal="center" vertical="center" wrapText="1"/>
    </xf>
    <xf numFmtId="166" fontId="2" fillId="3" borderId="2" xfId="2" applyNumberFormat="1" applyFont="1" applyFill="1" applyBorder="1" applyAlignment="1">
      <alignment horizontal="center"/>
    </xf>
    <xf numFmtId="177" fontId="90" fillId="50" borderId="74" xfId="0" applyNumberFormat="1" applyFont="1" applyFill="1" applyBorder="1" applyAlignment="1">
      <alignment horizontal="right" vertical="center"/>
    </xf>
    <xf numFmtId="0" fontId="91" fillId="18" borderId="13" xfId="10" applyFont="1" applyFill="1" applyBorder="1" applyAlignment="1">
      <alignment horizontal="left"/>
    </xf>
    <xf numFmtId="177" fontId="90" fillId="49" borderId="74" xfId="0" applyNumberFormat="1" applyFont="1" applyFill="1" applyBorder="1" applyAlignment="1">
      <alignment horizontal="right" vertical="center"/>
    </xf>
    <xf numFmtId="177" fontId="90" fillId="49" borderId="73" xfId="0" applyNumberFormat="1" applyFont="1" applyFill="1" applyBorder="1" applyAlignment="1">
      <alignment horizontal="right" vertical="center"/>
    </xf>
  </cellXfs>
  <cellStyles count="25">
    <cellStyle name="Comma" xfId="1" builtinId="3"/>
    <cellStyle name="Comma 10" xfId="9" xr:uid="{70307FCD-8B84-492E-B9B9-28B5BD148AE8}"/>
    <cellStyle name="Comma 2" xfId="14" xr:uid="{EAD1A4FC-1740-475B-827D-307D95D123E4}"/>
    <cellStyle name="Comma 2 3" xfId="18" xr:uid="{C47A9727-E943-4B82-8E2A-FC7C7198DF91}"/>
    <cellStyle name="Currency" xfId="2" builtinId="4"/>
    <cellStyle name="Currency 2" xfId="13" xr:uid="{EA7516CD-E9B4-45AA-B7F0-A46F8D836C4C}"/>
    <cellStyle name="Currency 2 2" xfId="20" xr:uid="{4D7702CA-4108-4B8B-AAF4-C0E69F0BF35C}"/>
    <cellStyle name="Hyperlink" xfId="4" builtinId="8"/>
    <cellStyle name="Hyperlink 2" xfId="6" xr:uid="{48EB0CB6-217A-4373-82FA-E19745EAFC13}"/>
    <cellStyle name="Input 2" xfId="16" xr:uid="{D1C218BD-9EED-45DF-A086-CFE6448DFDB0}"/>
    <cellStyle name="Normal" xfId="0" builtinId="0"/>
    <cellStyle name="Normal 2" xfId="5" xr:uid="{F2A5168D-999C-48C7-ADD8-E93CC98466B1}"/>
    <cellStyle name="Normal 2 2 2" xfId="8" xr:uid="{AEECC167-50FE-487B-81FE-E6254040062C}"/>
    <cellStyle name="Normal 2 2 2 2" xfId="7" xr:uid="{5EF287BE-0FE9-465E-9C4A-34A6A33C6926}"/>
    <cellStyle name="Normal 2 3" xfId="22" xr:uid="{394704FC-1BE5-469B-88D3-63FE18A57E43}"/>
    <cellStyle name="Normal 2 4" xfId="17" xr:uid="{C884B853-1FA4-4C0D-9AFD-F0922DA15201}"/>
    <cellStyle name="Normal 2 5" xfId="10" xr:uid="{425515AD-21D0-4857-8C18-987BD8B7929E}"/>
    <cellStyle name="Normal 3" xfId="11" xr:uid="{8CF4A021-F88C-44BC-B0A1-EA0800CE4FD8}"/>
    <cellStyle name="Normal 3 5" xfId="24" xr:uid="{BAE3A800-483D-491D-89B8-E333490F012C}"/>
    <cellStyle name="Normal 4" xfId="12" xr:uid="{E5F9B546-EA91-4955-B500-541212F6C91A}"/>
    <cellStyle name="Normal 8 2" xfId="23" xr:uid="{A1FAC81C-45BD-41B4-AE53-6332912E95FB}"/>
    <cellStyle name="Percent" xfId="3" builtinId="5"/>
    <cellStyle name="Percent 2" xfId="15" xr:uid="{65D69CE8-9BAD-4874-A284-ADCEE4DE9E76}"/>
    <cellStyle name="Percent 2 2" xfId="19" xr:uid="{70F62A34-6D70-49FE-B22B-C042B3D377D8}"/>
    <cellStyle name="Percent 4" xfId="21" xr:uid="{09401EE9-A96A-4BD0-A09A-5BF3B63EB1EF}"/>
  </cellStyles>
  <dxfs count="28">
    <dxf>
      <font>
        <b/>
        <i val="0"/>
        <color rgb="FFFF0000"/>
      </font>
      <fill>
        <patternFill>
          <bgColor theme="5" tint="0.79998168889431442"/>
        </patternFill>
      </fill>
    </dxf>
    <dxf>
      <font>
        <b/>
        <i val="0"/>
        <color rgb="FFFF0000"/>
      </font>
      <fill>
        <patternFill>
          <bgColor theme="5" tint="0.79998168889431442"/>
        </patternFill>
      </fill>
    </dxf>
    <dxf>
      <fill>
        <patternFill>
          <bgColor theme="9" tint="0.59996337778862885"/>
        </patternFill>
      </fill>
    </dxf>
    <dxf>
      <fill>
        <patternFill>
          <bgColor theme="7" tint="0.59996337778862885"/>
        </patternFill>
      </fill>
    </dxf>
    <dxf>
      <fill>
        <patternFill>
          <bgColor theme="5" tint="0.59996337778862885"/>
        </patternFill>
      </fill>
    </dxf>
    <dxf>
      <font>
        <b/>
        <i val="0"/>
        <color rgb="FFFF0000"/>
      </font>
      <fill>
        <patternFill>
          <bgColor theme="5" tint="0.79998168889431442"/>
        </patternFill>
      </fill>
    </dxf>
    <dxf>
      <fill>
        <patternFill>
          <bgColor theme="9" tint="0.59996337778862885"/>
        </patternFill>
      </fill>
    </dxf>
    <dxf>
      <fill>
        <patternFill>
          <bgColor theme="7" tint="0.59996337778862885"/>
        </patternFill>
      </fill>
    </dxf>
    <dxf>
      <fill>
        <patternFill>
          <bgColor theme="5" tint="0.59996337778862885"/>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ill>
        <patternFill>
          <bgColor theme="5" tint="0.79998168889431442"/>
        </patternFill>
      </fill>
    </dxf>
    <dxf>
      <fill>
        <patternFill>
          <bgColor theme="9" tint="0.79998168889431442"/>
        </patternFill>
      </fill>
    </dxf>
    <dxf>
      <font>
        <b/>
        <i val="0"/>
        <color theme="8"/>
      </font>
      <fill>
        <patternFill>
          <bgColor theme="7" tint="0.59996337778862885"/>
        </patternFill>
      </fill>
    </dxf>
    <dxf>
      <font>
        <color rgb="FF0000CC"/>
      </font>
      <fill>
        <patternFill>
          <bgColor theme="7" tint="0.59996337778862885"/>
        </patternFill>
      </fill>
    </dxf>
    <dxf>
      <font>
        <color rgb="FF0000CC"/>
      </font>
      <fill>
        <patternFill>
          <bgColor theme="7" tint="0.59996337778862885"/>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7" tint="0.79998168889431442"/>
        </patternFill>
      </fill>
    </dxf>
    <dxf>
      <fill>
        <patternFill>
          <bgColor theme="3" tint="0.79998168889431442"/>
        </patternFill>
      </fill>
    </dxf>
    <dxf>
      <fill>
        <patternFill>
          <bgColor rgb="FFCC99FF"/>
        </patternFill>
      </fill>
    </dxf>
    <dxf>
      <font>
        <color rgb="FF0000CC"/>
      </font>
      <fill>
        <patternFill>
          <bgColor theme="7" tint="0.59996337778862885"/>
        </patternFill>
      </fill>
    </dxf>
    <dxf>
      <fill>
        <patternFill>
          <bgColor theme="0" tint="-0.24994659260841701"/>
        </patternFill>
      </fill>
    </dxf>
    <dxf>
      <fill>
        <patternFill>
          <bgColor theme="0" tint="-0.24994659260841701"/>
        </patternFill>
      </fill>
    </dxf>
    <dxf>
      <numFmt numFmtId="13" formatCode="0%"/>
      <fill>
        <patternFill>
          <bgColor theme="7" tint="0.59996337778862885"/>
        </patternFill>
      </fill>
    </dxf>
    <dxf>
      <fill>
        <patternFill>
          <bgColor theme="0" tint="-0.24994659260841701"/>
        </patternFill>
      </fill>
    </dxf>
  </dxfs>
  <tableStyles count="0" defaultTableStyle="TableStyleMedium2" defaultPivotStyle="PivotStyleLight16"/>
  <colors>
    <mruColors>
      <color rgb="FFFFE6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a:t>Enrollment and Net Income</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REPORTS!$B$5</c:f>
              <c:strCache>
                <c:ptCount val="1"/>
                <c:pt idx="0">
                  <c:v> Enrollment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REPORTS!$C$3:$H$3</c15:sqref>
                  </c15:fullRef>
                </c:ext>
              </c:extLst>
              <c:f>REPORTS!$D$3:$H$3</c:f>
              <c:numCache>
                <c:formatCode>0</c:formatCode>
                <c:ptCount val="5"/>
                <c:pt idx="0">
                  <c:v>2028</c:v>
                </c:pt>
                <c:pt idx="1">
                  <c:v>2029</c:v>
                </c:pt>
                <c:pt idx="2">
                  <c:v>2030</c:v>
                </c:pt>
                <c:pt idx="3">
                  <c:v>2031</c:v>
                </c:pt>
                <c:pt idx="4">
                  <c:v>2032</c:v>
                </c:pt>
              </c:numCache>
            </c:numRef>
          </c:cat>
          <c:val>
            <c:numRef>
              <c:extLst>
                <c:ext xmlns:c15="http://schemas.microsoft.com/office/drawing/2012/chart" uri="{02D57815-91ED-43cb-92C2-25804820EDAC}">
                  <c15:fullRef>
                    <c15:sqref>REPORTS!$C$5:$H$5</c15:sqref>
                  </c15:fullRef>
                </c:ext>
              </c:extLst>
              <c:f>REPORTS!$D$5:$H$5</c:f>
              <c:numCache>
                <c:formatCode>0</c:formatCode>
                <c:ptCount val="5"/>
                <c:pt idx="0">
                  <c:v>240</c:v>
                </c:pt>
                <c:pt idx="1">
                  <c:v>480</c:v>
                </c:pt>
                <c:pt idx="2">
                  <c:v>690</c:v>
                </c:pt>
                <c:pt idx="3">
                  <c:v>780</c:v>
                </c:pt>
                <c:pt idx="4">
                  <c:v>780</c:v>
                </c:pt>
              </c:numCache>
            </c:numRef>
          </c:val>
          <c:extLst>
            <c:ext xmlns:c16="http://schemas.microsoft.com/office/drawing/2014/chart" uri="{C3380CC4-5D6E-409C-BE32-E72D297353CC}">
              <c16:uniqueId val="{00000000-9458-4105-8C0C-027F106DDF68}"/>
            </c:ext>
          </c:extLst>
        </c:ser>
        <c:dLbls>
          <c:showLegendKey val="0"/>
          <c:showVal val="0"/>
          <c:showCatName val="0"/>
          <c:showSerName val="0"/>
          <c:showPercent val="0"/>
          <c:showBubbleSize val="0"/>
        </c:dLbls>
        <c:gapWidth val="150"/>
        <c:axId val="1221740703"/>
        <c:axId val="1221739263"/>
      </c:barChart>
      <c:lineChart>
        <c:grouping val="standard"/>
        <c:varyColors val="0"/>
        <c:ser>
          <c:idx val="1"/>
          <c:order val="1"/>
          <c:tx>
            <c:strRef>
              <c:f>REPORTS!$B$10</c:f>
              <c:strCache>
                <c:ptCount val="1"/>
                <c:pt idx="0">
                  <c:v> Surplus/Deficit on Total Revenue </c:v>
                </c:pt>
              </c:strCache>
            </c:strRef>
          </c:tx>
          <c:spPr>
            <a:ln w="28575" cap="rnd">
              <a:solidFill>
                <a:schemeClr val="accent2"/>
              </a:solidFill>
              <a:round/>
            </a:ln>
            <a:effectLst/>
          </c:spPr>
          <c:marker>
            <c:symbol val="none"/>
          </c:marker>
          <c:dLbls>
            <c:numFmt formatCode="&quot;$&quot;0.00,,&quot; M&quot;;\(&quot;$&quot;0.00,,&quot; 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REPORTS!$C$3:$H$3</c15:sqref>
                  </c15:fullRef>
                </c:ext>
              </c:extLst>
              <c:f>REPORTS!$D$3:$H$3</c:f>
              <c:numCache>
                <c:formatCode>0</c:formatCode>
                <c:ptCount val="5"/>
                <c:pt idx="0">
                  <c:v>2028</c:v>
                </c:pt>
                <c:pt idx="1">
                  <c:v>2029</c:v>
                </c:pt>
                <c:pt idx="2">
                  <c:v>2030</c:v>
                </c:pt>
                <c:pt idx="3">
                  <c:v>2031</c:v>
                </c:pt>
                <c:pt idx="4">
                  <c:v>2032</c:v>
                </c:pt>
              </c:numCache>
            </c:numRef>
          </c:cat>
          <c:val>
            <c:numRef>
              <c:extLst>
                <c:ext xmlns:c15="http://schemas.microsoft.com/office/drawing/2012/chart" uri="{02D57815-91ED-43cb-92C2-25804820EDAC}">
                  <c15:fullRef>
                    <c15:sqref>REPORTS!$C$10:$H$10</c15:sqref>
                  </c15:fullRef>
                </c:ext>
              </c:extLst>
              <c:f>REPORTS!$D$10:$H$10</c:f>
              <c:numCache>
                <c:formatCode>_("$"* #,##0_);_("$"* \(#,##0\);_("$"* "-"??_);_(@_)</c:formatCode>
                <c:ptCount val="5"/>
                <c:pt idx="0">
                  <c:v>45975.524742577225</c:v>
                </c:pt>
                <c:pt idx="1">
                  <c:v>817917.60040949658</c:v>
                </c:pt>
                <c:pt idx="2">
                  <c:v>1462166.8119840734</c:v>
                </c:pt>
                <c:pt idx="3">
                  <c:v>1564760.7758226208</c:v>
                </c:pt>
                <c:pt idx="4">
                  <c:v>1881269.8710383102</c:v>
                </c:pt>
              </c:numCache>
            </c:numRef>
          </c:val>
          <c:smooth val="0"/>
          <c:extLst>
            <c:ext xmlns:c16="http://schemas.microsoft.com/office/drawing/2014/chart" uri="{C3380CC4-5D6E-409C-BE32-E72D297353CC}">
              <c16:uniqueId val="{00000001-9458-4105-8C0C-027F106DDF68}"/>
            </c:ext>
          </c:extLst>
        </c:ser>
        <c:dLbls>
          <c:showLegendKey val="0"/>
          <c:showVal val="0"/>
          <c:showCatName val="0"/>
          <c:showSerName val="0"/>
          <c:showPercent val="0"/>
          <c:showBubbleSize val="0"/>
        </c:dLbls>
        <c:marker val="1"/>
        <c:smooth val="0"/>
        <c:axId val="1034176895"/>
        <c:axId val="763099535"/>
      </c:lineChart>
      <c:catAx>
        <c:axId val="103417689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63099535"/>
        <c:crosses val="autoZero"/>
        <c:auto val="1"/>
        <c:lblAlgn val="ctr"/>
        <c:lblOffset val="100"/>
        <c:noMultiLvlLbl val="0"/>
      </c:catAx>
      <c:valAx>
        <c:axId val="763099535"/>
        <c:scaling>
          <c:orientation val="minMax"/>
        </c:scaling>
        <c:delete val="0"/>
        <c:axPos val="l"/>
        <c:numFmt formatCode="&quot;$&quot;0.0,,&quot; M&quot;;\(&quot;$&quot;0.0,,&quot; M&quot;\)" sourceLinked="0"/>
        <c:majorTickMark val="none"/>
        <c:minorTickMark val="none"/>
        <c:tickLblPos val="none"/>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4176895"/>
        <c:crosses val="autoZero"/>
        <c:crossBetween val="between"/>
      </c:valAx>
      <c:valAx>
        <c:axId val="1221739263"/>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21740703"/>
        <c:crosses val="max"/>
        <c:crossBetween val="between"/>
      </c:valAx>
      <c:catAx>
        <c:axId val="1221740703"/>
        <c:scaling>
          <c:orientation val="minMax"/>
        </c:scaling>
        <c:delete val="1"/>
        <c:axPos val="b"/>
        <c:numFmt formatCode="0" sourceLinked="1"/>
        <c:majorTickMark val="out"/>
        <c:minorTickMark val="none"/>
        <c:tickLblPos val="nextTo"/>
        <c:crossAx val="12217392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r>
              <a:rPr lang="en-US"/>
              <a:t>Expense Categories as Percentages of Recurring Revenue</a:t>
            </a:r>
          </a:p>
        </c:rich>
      </c:tx>
      <c:overlay val="0"/>
      <c:spPr>
        <a:noFill/>
        <a:ln>
          <a:noFill/>
        </a:ln>
        <a:effectLst/>
      </c:spPr>
      <c:txPr>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REPORTS!$B$27</c:f>
              <c:strCache>
                <c:ptCount val="1"/>
                <c:pt idx="0">
                  <c:v> Total Compensation as % of Recurring Revenue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REPORTS!$C$3:$H$3</c15:sqref>
                  </c15:fullRef>
                </c:ext>
              </c:extLst>
              <c:f>REPORTS!$D$3:$H$3</c:f>
              <c:numCache>
                <c:formatCode>0</c:formatCode>
                <c:ptCount val="5"/>
                <c:pt idx="0">
                  <c:v>2028</c:v>
                </c:pt>
                <c:pt idx="1">
                  <c:v>2029</c:v>
                </c:pt>
                <c:pt idx="2">
                  <c:v>2030</c:v>
                </c:pt>
                <c:pt idx="3">
                  <c:v>2031</c:v>
                </c:pt>
                <c:pt idx="4">
                  <c:v>2032</c:v>
                </c:pt>
              </c:numCache>
            </c:numRef>
          </c:cat>
          <c:val>
            <c:numRef>
              <c:extLst>
                <c:ext xmlns:c15="http://schemas.microsoft.com/office/drawing/2012/chart" uri="{02D57815-91ED-43cb-92C2-25804820EDAC}">
                  <c15:fullRef>
                    <c15:sqref>REPORTS!$C$27:$H$27</c15:sqref>
                  </c15:fullRef>
                </c:ext>
              </c:extLst>
              <c:f>REPORTS!$D$27:$H$27</c:f>
              <c:numCache>
                <c:formatCode>_(* #,##0%_);\(0%\);_(* \-??_);_(@_)</c:formatCode>
                <c:ptCount val="5"/>
                <c:pt idx="0">
                  <c:v>0.57457332185361576</c:v>
                </c:pt>
                <c:pt idx="1">
                  <c:v>0.53286366633878945</c:v>
                </c:pt>
                <c:pt idx="2">
                  <c:v>0.53764153095379807</c:v>
                </c:pt>
                <c:pt idx="3">
                  <c:v>0.55945109337747234</c:v>
                </c:pt>
                <c:pt idx="4">
                  <c:v>0.56294368365072445</c:v>
                </c:pt>
              </c:numCache>
            </c:numRef>
          </c:val>
          <c:extLst>
            <c:ext xmlns:c16="http://schemas.microsoft.com/office/drawing/2014/chart" uri="{C3380CC4-5D6E-409C-BE32-E72D297353CC}">
              <c16:uniqueId val="{00000000-CB87-4AEC-B99B-E312044D3657}"/>
            </c:ext>
          </c:extLst>
        </c:ser>
        <c:ser>
          <c:idx val="1"/>
          <c:order val="1"/>
          <c:tx>
            <c:strRef>
              <c:f>REPORTS!$B$28</c:f>
              <c:strCache>
                <c:ptCount val="1"/>
                <c:pt idx="0">
                  <c:v> Facilities Expense as % of Recurring Revenue </c:v>
                </c:pt>
              </c:strCache>
            </c:strRef>
          </c:tx>
          <c:spPr>
            <a:solidFill>
              <a:schemeClr val="accent2"/>
            </a:solidFill>
            <a:ln>
              <a:noFill/>
            </a:ln>
            <a:effectLst/>
          </c:spPr>
          <c:invertIfNegative val="0"/>
          <c:cat>
            <c:numRef>
              <c:extLst>
                <c:ext xmlns:c15="http://schemas.microsoft.com/office/drawing/2012/chart" uri="{02D57815-91ED-43cb-92C2-25804820EDAC}">
                  <c15:fullRef>
                    <c15:sqref>REPORTS!$C$3:$H$3</c15:sqref>
                  </c15:fullRef>
                </c:ext>
              </c:extLst>
              <c:f>REPORTS!$D$3:$H$3</c:f>
              <c:numCache>
                <c:formatCode>0</c:formatCode>
                <c:ptCount val="5"/>
                <c:pt idx="0">
                  <c:v>2028</c:v>
                </c:pt>
                <c:pt idx="1">
                  <c:v>2029</c:v>
                </c:pt>
                <c:pt idx="2">
                  <c:v>2030</c:v>
                </c:pt>
                <c:pt idx="3">
                  <c:v>2031</c:v>
                </c:pt>
                <c:pt idx="4">
                  <c:v>2032</c:v>
                </c:pt>
              </c:numCache>
            </c:numRef>
          </c:cat>
          <c:val>
            <c:numRef>
              <c:extLst>
                <c:ext xmlns:c15="http://schemas.microsoft.com/office/drawing/2012/chart" uri="{02D57815-91ED-43cb-92C2-25804820EDAC}">
                  <c15:fullRef>
                    <c15:sqref>REPORTS!$C$28:$H$28</c15:sqref>
                  </c15:fullRef>
                </c:ext>
              </c:extLst>
              <c:f>REPORTS!$D$28:$H$28</c:f>
              <c:numCache>
                <c:formatCode>_(* #,##0%_);\(0%\);_(* \-??_);_(@_)</c:formatCode>
                <c:ptCount val="5"/>
                <c:pt idx="0">
                  <c:v>8.5179696151747947E-2</c:v>
                </c:pt>
                <c:pt idx="1">
                  <c:v>5.5568152231021087E-2</c:v>
                </c:pt>
                <c:pt idx="2">
                  <c:v>3.8477822210775808E-2</c:v>
                </c:pt>
                <c:pt idx="3">
                  <c:v>3.3415761246766082E-2</c:v>
                </c:pt>
                <c:pt idx="4">
                  <c:v>3.2645021443766575E-2</c:v>
                </c:pt>
              </c:numCache>
            </c:numRef>
          </c:val>
          <c:extLst>
            <c:ext xmlns:c16="http://schemas.microsoft.com/office/drawing/2014/chart" uri="{C3380CC4-5D6E-409C-BE32-E72D297353CC}">
              <c16:uniqueId val="{00000001-CB87-4AEC-B99B-E312044D3657}"/>
            </c:ext>
          </c:extLst>
        </c:ser>
        <c:ser>
          <c:idx val="2"/>
          <c:order val="2"/>
          <c:tx>
            <c:strRef>
              <c:f>REPORTS!$B$29</c:f>
              <c:strCache>
                <c:ptCount val="1"/>
                <c:pt idx="0">
                  <c:v> All Other Expenses as % of Recurring Revenue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REPORTS!$C$3:$H$3</c15:sqref>
                  </c15:fullRef>
                </c:ext>
              </c:extLst>
              <c:f>REPORTS!$D$3:$H$3</c:f>
              <c:numCache>
                <c:formatCode>0</c:formatCode>
                <c:ptCount val="5"/>
                <c:pt idx="0">
                  <c:v>2028</c:v>
                </c:pt>
                <c:pt idx="1">
                  <c:v>2029</c:v>
                </c:pt>
                <c:pt idx="2">
                  <c:v>2030</c:v>
                </c:pt>
                <c:pt idx="3">
                  <c:v>2031</c:v>
                </c:pt>
                <c:pt idx="4">
                  <c:v>2032</c:v>
                </c:pt>
              </c:numCache>
            </c:numRef>
          </c:cat>
          <c:val>
            <c:numRef>
              <c:extLst>
                <c:ext xmlns:c15="http://schemas.microsoft.com/office/drawing/2012/chart" uri="{02D57815-91ED-43cb-92C2-25804820EDAC}">
                  <c15:fullRef>
                    <c15:sqref>REPORTS!$C$29:$H$29</c15:sqref>
                  </c15:fullRef>
                </c:ext>
              </c:extLst>
              <c:f>REPORTS!$D$29:$H$29</c:f>
              <c:numCache>
                <c:formatCode>_(* #,##0%_);\(0%\);_(* \-??_);_(@_)</c:formatCode>
                <c:ptCount val="5"/>
                <c:pt idx="0">
                  <c:v>0.39328062811604431</c:v>
                </c:pt>
                <c:pt idx="1">
                  <c:v>0.35546735479728497</c:v>
                </c:pt>
                <c:pt idx="2">
                  <c:v>0.33671174240894053</c:v>
                </c:pt>
                <c:pt idx="3">
                  <c:v>0.32474923871072581</c:v>
                </c:pt>
                <c:pt idx="4">
                  <c:v>0.30378636537641013</c:v>
                </c:pt>
              </c:numCache>
            </c:numRef>
          </c:val>
          <c:extLst>
            <c:ext xmlns:c16="http://schemas.microsoft.com/office/drawing/2014/chart" uri="{C3380CC4-5D6E-409C-BE32-E72D297353CC}">
              <c16:uniqueId val="{00000002-CB87-4AEC-B99B-E312044D3657}"/>
            </c:ext>
          </c:extLst>
        </c:ser>
        <c:dLbls>
          <c:showLegendKey val="0"/>
          <c:showVal val="0"/>
          <c:showCatName val="0"/>
          <c:showSerName val="0"/>
          <c:showPercent val="0"/>
          <c:showBubbleSize val="0"/>
        </c:dLbls>
        <c:gapWidth val="150"/>
        <c:overlap val="100"/>
        <c:axId val="1034176895"/>
        <c:axId val="763099535"/>
      </c:barChart>
      <c:lineChart>
        <c:grouping val="standard"/>
        <c:varyColors val="0"/>
        <c:ser>
          <c:idx val="3"/>
          <c:order val="3"/>
          <c:tx>
            <c:strRef>
              <c:f>REPORTS!$B$26</c:f>
              <c:strCache>
                <c:ptCount val="1"/>
                <c:pt idx="0">
                  <c:v> Recurring Revenue as % of Total Expenses </c:v>
                </c:pt>
              </c:strCache>
            </c:strRef>
          </c:tx>
          <c:spPr>
            <a:ln w="25400" cap="rnd">
              <a:noFill/>
              <a:round/>
            </a:ln>
            <a:effectLst/>
          </c:spPr>
          <c:marker>
            <c:symbol val="dash"/>
            <c:size val="20"/>
            <c:spPr>
              <a:solidFill>
                <a:schemeClr val="accent4"/>
              </a:solidFill>
              <a:ln w="9525">
                <a:noFill/>
              </a:ln>
              <a:effectLst/>
            </c:spPr>
          </c:marker>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2028</c:v>
              </c:pt>
              <c:pt idx="1">
                <c:v>2029</c:v>
              </c:pt>
              <c:pt idx="2">
                <c:v>2030</c:v>
              </c:pt>
              <c:pt idx="3">
                <c:v>2031</c:v>
              </c:pt>
              <c:pt idx="4">
                <c:v>2032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REPORTS!$C$26:$H$26</c15:sqref>
                  </c15:fullRef>
                </c:ext>
              </c:extLst>
              <c:f>REPORTS!$D$26:$H$26</c:f>
              <c:numCache>
                <c:formatCode>_(* #,##0%_);\(0%\);_(* \-??_);_(@_)</c:formatCode>
                <c:ptCount val="5"/>
                <c:pt idx="0">
                  <c:v>0.94963727292404709</c:v>
                </c:pt>
                <c:pt idx="1">
                  <c:v>1.0594351899184111</c:v>
                </c:pt>
                <c:pt idx="2">
                  <c:v>1.0954929174183303</c:v>
                </c:pt>
                <c:pt idx="3">
                  <c:v>1.0897803637745949</c:v>
                </c:pt>
                <c:pt idx="4">
                  <c:v>1.1118831651364462</c:v>
                </c:pt>
              </c:numCache>
            </c:numRef>
          </c:val>
          <c:smooth val="0"/>
          <c:extLst>
            <c:ext xmlns:c16="http://schemas.microsoft.com/office/drawing/2014/chart" uri="{C3380CC4-5D6E-409C-BE32-E72D297353CC}">
              <c16:uniqueId val="{00000003-CB87-4AEC-B99B-E312044D3657}"/>
            </c:ext>
          </c:extLst>
        </c:ser>
        <c:dLbls>
          <c:showLegendKey val="0"/>
          <c:showVal val="0"/>
          <c:showCatName val="0"/>
          <c:showSerName val="0"/>
          <c:showPercent val="0"/>
          <c:showBubbleSize val="0"/>
        </c:dLbls>
        <c:marker val="1"/>
        <c:smooth val="0"/>
        <c:axId val="1034176895"/>
        <c:axId val="763099535"/>
      </c:lineChart>
      <c:catAx>
        <c:axId val="103417689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63099535"/>
        <c:crosses val="autoZero"/>
        <c:auto val="1"/>
        <c:lblAlgn val="ctr"/>
        <c:lblOffset val="100"/>
        <c:noMultiLvlLbl val="0"/>
      </c:catAx>
      <c:valAx>
        <c:axId val="763099535"/>
        <c:scaling>
          <c:orientation val="minMax"/>
        </c:scaling>
        <c:delete val="0"/>
        <c:axPos val="l"/>
        <c:numFmt formatCode="&quot;$&quot;0.0,,&quot; M&quot;;\(&quot;$&quot;0.0,,&quot; M&quot;\)" sourceLinked="0"/>
        <c:majorTickMark val="none"/>
        <c:minorTickMark val="none"/>
        <c:tickLblPos val="none"/>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3417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a:t>Days of Cash on Hand &amp; Philanthropy</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1"/>
          <c:tx>
            <c:strRef>
              <c:f>REPORTS!$AB$33</c:f>
              <c:strCache>
                <c:ptCount val="1"/>
                <c:pt idx="0">
                  <c:v> Philanthropy required for DCOH Goal </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REPORTS!$C$3:$H$3</c:f>
              <c:numCache>
                <c:formatCode>0</c:formatCode>
                <c:ptCount val="6"/>
                <c:pt idx="0">
                  <c:v>2027</c:v>
                </c:pt>
                <c:pt idx="1">
                  <c:v>2028</c:v>
                </c:pt>
                <c:pt idx="2">
                  <c:v>2029</c:v>
                </c:pt>
                <c:pt idx="3">
                  <c:v>2030</c:v>
                </c:pt>
                <c:pt idx="4">
                  <c:v>2031</c:v>
                </c:pt>
                <c:pt idx="5">
                  <c:v>2032</c:v>
                </c:pt>
              </c:numCache>
            </c:numRef>
          </c:cat>
          <c:val>
            <c:numRef>
              <c:f>REPORTS!$AC$33:$AH$33</c:f>
              <c:numCache>
                <c:formatCode>"$"0.00,," M";\("$"0.00,," M"\)</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D08-48F4-ADB2-481506DD49D4}"/>
            </c:ext>
          </c:extLst>
        </c:ser>
        <c:dLbls>
          <c:showLegendKey val="0"/>
          <c:showVal val="0"/>
          <c:showCatName val="0"/>
          <c:showSerName val="0"/>
          <c:showPercent val="0"/>
          <c:showBubbleSize val="0"/>
        </c:dLbls>
        <c:gapWidth val="150"/>
        <c:axId val="1034176895"/>
        <c:axId val="763099535"/>
      </c:barChart>
      <c:lineChart>
        <c:grouping val="standard"/>
        <c:varyColors val="0"/>
        <c:ser>
          <c:idx val="0"/>
          <c:order val="0"/>
          <c:tx>
            <c:strRef>
              <c:f>REPORTS!$AB$32</c:f>
              <c:strCache>
                <c:ptCount val="1"/>
                <c:pt idx="0">
                  <c:v> Days of Cash on Hand (DCOH) </c:v>
                </c:pt>
              </c:strCache>
            </c:strRef>
          </c:tx>
          <c:spPr>
            <a:ln w="28575" cap="rnd">
              <a:noFill/>
              <a:round/>
            </a:ln>
            <a:effectLst/>
          </c:spPr>
          <c:marker>
            <c:symbol val="diamond"/>
            <c:size val="10"/>
            <c:spPr>
              <a:solidFill>
                <a:schemeClr val="tx2"/>
              </a:solidFill>
              <a:ln w="9525">
                <a:noFill/>
              </a:ln>
              <a:effectLst/>
            </c:spPr>
          </c:marker>
          <c:dLbls>
            <c:spPr>
              <a:solidFill>
                <a:schemeClr val="tx2"/>
              </a:solid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REPORTS!$C$3:$H$3</c:f>
              <c:numCache>
                <c:formatCode>0</c:formatCode>
                <c:ptCount val="6"/>
                <c:pt idx="0">
                  <c:v>2027</c:v>
                </c:pt>
                <c:pt idx="1">
                  <c:v>2028</c:v>
                </c:pt>
                <c:pt idx="2">
                  <c:v>2029</c:v>
                </c:pt>
                <c:pt idx="3">
                  <c:v>2030</c:v>
                </c:pt>
                <c:pt idx="4">
                  <c:v>2031</c:v>
                </c:pt>
                <c:pt idx="5">
                  <c:v>2032</c:v>
                </c:pt>
              </c:numCache>
            </c:numRef>
          </c:cat>
          <c:val>
            <c:numRef>
              <c:f>REPORTS!$AC$32:$AH$32</c:f>
              <c:numCache>
                <c:formatCode>0</c:formatCode>
                <c:ptCount val="6"/>
                <c:pt idx="0">
                  <c:v>91.98206945158833</c:v>
                </c:pt>
                <c:pt idx="1">
                  <c:v>102.63111840833139</c:v>
                </c:pt>
                <c:pt idx="2">
                  <c:v>97.426325933926208</c:v>
                </c:pt>
                <c:pt idx="3">
                  <c:v>116.52469496054194</c:v>
                </c:pt>
                <c:pt idx="4">
                  <c:v>143.71481658080637</c:v>
                </c:pt>
                <c:pt idx="5">
                  <c:v>194.50006770157015</c:v>
                </c:pt>
              </c:numCache>
            </c:numRef>
          </c:val>
          <c:smooth val="0"/>
          <c:extLst>
            <c:ext xmlns:c16="http://schemas.microsoft.com/office/drawing/2014/chart" uri="{C3380CC4-5D6E-409C-BE32-E72D297353CC}">
              <c16:uniqueId val="{00000001-6D08-48F4-ADB2-481506DD49D4}"/>
            </c:ext>
          </c:extLst>
        </c:ser>
        <c:ser>
          <c:idx val="2"/>
          <c:order val="2"/>
          <c:tx>
            <c:strRef>
              <c:f>REPORTS!$AB$36</c:f>
              <c:strCache>
                <c:ptCount val="1"/>
                <c:pt idx="0">
                  <c:v> DCOH Goal </c:v>
                </c:pt>
              </c:strCache>
            </c:strRef>
          </c:tx>
          <c:spPr>
            <a:ln w="25400" cap="rnd">
              <a:noFill/>
              <a:round/>
            </a:ln>
            <a:effectLst/>
          </c:spPr>
          <c:marker>
            <c:symbol val="dash"/>
            <c:size val="10"/>
            <c:spPr>
              <a:solidFill>
                <a:schemeClr val="accent2"/>
              </a:solidFill>
              <a:ln w="19050">
                <a:solidFill>
                  <a:schemeClr val="accent2"/>
                </a:solidFill>
              </a:ln>
              <a:effectLst/>
            </c:spPr>
          </c:marker>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REPORTS!$AC$36:$AH$36</c:f>
              <c:numCache>
                <c:formatCode>0</c:formatCode>
                <c:ptCount val="6"/>
                <c:pt idx="0">
                  <c:v>0</c:v>
                </c:pt>
                <c:pt idx="1">
                  <c:v>30</c:v>
                </c:pt>
                <c:pt idx="2">
                  <c:v>30</c:v>
                </c:pt>
                <c:pt idx="3">
                  <c:v>60</c:v>
                </c:pt>
                <c:pt idx="4">
                  <c:v>60</c:v>
                </c:pt>
                <c:pt idx="5">
                  <c:v>60</c:v>
                </c:pt>
              </c:numCache>
            </c:numRef>
          </c:val>
          <c:smooth val="0"/>
          <c:extLst>
            <c:ext xmlns:c16="http://schemas.microsoft.com/office/drawing/2014/chart" uri="{C3380CC4-5D6E-409C-BE32-E72D297353CC}">
              <c16:uniqueId val="{00000002-6D08-48F4-ADB2-481506DD49D4}"/>
            </c:ext>
          </c:extLst>
        </c:ser>
        <c:dLbls>
          <c:showLegendKey val="0"/>
          <c:showVal val="0"/>
          <c:showCatName val="0"/>
          <c:showSerName val="0"/>
          <c:showPercent val="0"/>
          <c:showBubbleSize val="0"/>
        </c:dLbls>
        <c:marker val="1"/>
        <c:smooth val="0"/>
        <c:axId val="941745583"/>
        <c:axId val="941744623"/>
      </c:lineChart>
      <c:catAx>
        <c:axId val="103417689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63099535"/>
        <c:crosses val="autoZero"/>
        <c:auto val="1"/>
        <c:lblAlgn val="ctr"/>
        <c:lblOffset val="100"/>
        <c:noMultiLvlLbl val="0"/>
      </c:catAx>
      <c:valAx>
        <c:axId val="763099535"/>
        <c:scaling>
          <c:orientation val="minMax"/>
        </c:scaling>
        <c:delete val="0"/>
        <c:axPos val="l"/>
        <c:numFmt formatCode="&quot;$&quot;0.0,,&quot; M&quot;;\(&quot;$&quot;0.0,,&quot; M&quot;\)" sourceLinked="0"/>
        <c:majorTickMark val="none"/>
        <c:minorTickMark val="none"/>
        <c:tickLblPos val="none"/>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4176895"/>
        <c:crosses val="autoZero"/>
        <c:crossBetween val="between"/>
      </c:valAx>
      <c:valAx>
        <c:axId val="941744623"/>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41745583"/>
        <c:crosses val="max"/>
        <c:crossBetween val="between"/>
      </c:valAx>
      <c:catAx>
        <c:axId val="941745583"/>
        <c:scaling>
          <c:orientation val="minMax"/>
        </c:scaling>
        <c:delete val="1"/>
        <c:axPos val="b"/>
        <c:numFmt formatCode="0" sourceLinked="1"/>
        <c:majorTickMark val="out"/>
        <c:minorTickMark val="none"/>
        <c:tickLblPos val="nextTo"/>
        <c:crossAx val="9417446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a:t>Debt Service Coverate Ratio &amp; Philanthropy</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1"/>
          <c:tx>
            <c:strRef>
              <c:f>REPORTS!$AB$35</c:f>
              <c:strCache>
                <c:ptCount val="1"/>
                <c:pt idx="0">
                  <c:v> Philanthropy required for DSCR Goal </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REPORTS!$C$3:$H$3</c:f>
              <c:numCache>
                <c:formatCode>0</c:formatCode>
                <c:ptCount val="6"/>
                <c:pt idx="0">
                  <c:v>2027</c:v>
                </c:pt>
                <c:pt idx="1">
                  <c:v>2028</c:v>
                </c:pt>
                <c:pt idx="2">
                  <c:v>2029</c:v>
                </c:pt>
                <c:pt idx="3">
                  <c:v>2030</c:v>
                </c:pt>
                <c:pt idx="4">
                  <c:v>2031</c:v>
                </c:pt>
                <c:pt idx="5">
                  <c:v>2032</c:v>
                </c:pt>
              </c:numCache>
            </c:numRef>
          </c:cat>
          <c:val>
            <c:numRef>
              <c:f>REPORTS!$AC$35:$AH$35</c:f>
              <c:numCache>
                <c:formatCode>"$"0.00,," M";\("$"0.00,," M"\)</c:formatCode>
                <c:ptCount val="6"/>
                <c:pt idx="0">
                  <c:v>22380</c:v>
                </c:pt>
                <c:pt idx="1">
                  <c:v>0</c:v>
                </c:pt>
                <c:pt idx="2">
                  <c:v>0</c:v>
                </c:pt>
                <c:pt idx="3">
                  <c:v>0</c:v>
                </c:pt>
                <c:pt idx="4">
                  <c:v>0</c:v>
                </c:pt>
                <c:pt idx="5">
                  <c:v>0</c:v>
                </c:pt>
              </c:numCache>
            </c:numRef>
          </c:val>
          <c:extLst>
            <c:ext xmlns:c16="http://schemas.microsoft.com/office/drawing/2014/chart" uri="{C3380CC4-5D6E-409C-BE32-E72D297353CC}">
              <c16:uniqueId val="{00000000-BDDB-4DF0-836C-48516B2DCEC1}"/>
            </c:ext>
          </c:extLst>
        </c:ser>
        <c:dLbls>
          <c:showLegendKey val="0"/>
          <c:showVal val="0"/>
          <c:showCatName val="0"/>
          <c:showSerName val="0"/>
          <c:showPercent val="0"/>
          <c:showBubbleSize val="0"/>
        </c:dLbls>
        <c:gapWidth val="150"/>
        <c:axId val="1143854031"/>
        <c:axId val="1143851631"/>
      </c:barChart>
      <c:lineChart>
        <c:grouping val="standard"/>
        <c:varyColors val="0"/>
        <c:ser>
          <c:idx val="0"/>
          <c:order val="0"/>
          <c:tx>
            <c:strRef>
              <c:f>REPORTS!$AB$34</c:f>
              <c:strCache>
                <c:ptCount val="1"/>
                <c:pt idx="0">
                  <c:v> Debt Service Coverage Ratio (DSCR) </c:v>
                </c:pt>
              </c:strCache>
            </c:strRef>
          </c:tx>
          <c:spPr>
            <a:ln w="28575" cap="rnd">
              <a:noFill/>
              <a:round/>
            </a:ln>
            <a:effectLst/>
          </c:spPr>
          <c:marker>
            <c:symbol val="triangle"/>
            <c:size val="10"/>
            <c:spPr>
              <a:solidFill>
                <a:schemeClr val="tx2"/>
              </a:solidFill>
              <a:ln w="9525">
                <a:noFill/>
              </a:ln>
              <a:effectLst/>
            </c:spPr>
          </c:marker>
          <c:dLbls>
            <c:spPr>
              <a:solidFill>
                <a:schemeClr val="tx2"/>
              </a:solid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REPORTS!$C$3:$H$3</c:f>
              <c:numCache>
                <c:formatCode>0</c:formatCode>
                <c:ptCount val="6"/>
                <c:pt idx="0">
                  <c:v>2027</c:v>
                </c:pt>
                <c:pt idx="1">
                  <c:v>2028</c:v>
                </c:pt>
                <c:pt idx="2">
                  <c:v>2029</c:v>
                </c:pt>
                <c:pt idx="3">
                  <c:v>2030</c:v>
                </c:pt>
                <c:pt idx="4">
                  <c:v>2031</c:v>
                </c:pt>
                <c:pt idx="5">
                  <c:v>2032</c:v>
                </c:pt>
              </c:numCache>
            </c:numRef>
          </c:cat>
          <c:val>
            <c:numRef>
              <c:f>REPORTS!$AC$34:$AH$34</c:f>
              <c:numCache>
                <c:formatCode>0.0\x</c:formatCode>
                <c:ptCount val="6"/>
                <c:pt idx="0">
                  <c:v>0</c:v>
                </c:pt>
                <c:pt idx="1">
                  <c:v>1.9294205000938967</c:v>
                </c:pt>
                <c:pt idx="2">
                  <c:v>3.4593614248178843</c:v>
                </c:pt>
                <c:pt idx="3">
                  <c:v>4.8893801673419119</c:v>
                </c:pt>
                <c:pt idx="4">
                  <c:v>5.1879887202846957</c:v>
                </c:pt>
                <c:pt idx="5">
                  <c:v>5.9811924548749138</c:v>
                </c:pt>
              </c:numCache>
            </c:numRef>
          </c:val>
          <c:smooth val="0"/>
          <c:extLst>
            <c:ext xmlns:c16="http://schemas.microsoft.com/office/drawing/2014/chart" uri="{C3380CC4-5D6E-409C-BE32-E72D297353CC}">
              <c16:uniqueId val="{00000001-BDDB-4DF0-836C-48516B2DCEC1}"/>
            </c:ext>
          </c:extLst>
        </c:ser>
        <c:ser>
          <c:idx val="2"/>
          <c:order val="2"/>
          <c:tx>
            <c:strRef>
              <c:f>REPORTS!$AB$37</c:f>
              <c:strCache>
                <c:ptCount val="1"/>
                <c:pt idx="0">
                  <c:v> DSCR Goal </c:v>
                </c:pt>
              </c:strCache>
            </c:strRef>
          </c:tx>
          <c:spPr>
            <a:ln w="25400" cap="rnd">
              <a:noFill/>
              <a:round/>
            </a:ln>
            <a:effectLst/>
          </c:spPr>
          <c:marker>
            <c:symbol val="dash"/>
            <c:size val="10"/>
            <c:spPr>
              <a:solidFill>
                <a:schemeClr val="accent3"/>
              </a:solidFill>
              <a:ln w="19050">
                <a:solidFill>
                  <a:schemeClr val="accent2"/>
                </a:solidFill>
              </a:ln>
              <a:effectLst/>
            </c:spPr>
          </c:marker>
          <c:val>
            <c:numRef>
              <c:f>REPORTS!$AC$37:$AH$37</c:f>
              <c:numCache>
                <c:formatCode>0.0\x</c:formatCode>
                <c:ptCount val="6"/>
                <c:pt idx="0">
                  <c:v>1.2</c:v>
                </c:pt>
                <c:pt idx="1">
                  <c:v>1.2</c:v>
                </c:pt>
                <c:pt idx="2">
                  <c:v>1.2</c:v>
                </c:pt>
                <c:pt idx="3">
                  <c:v>1.2</c:v>
                </c:pt>
                <c:pt idx="4">
                  <c:v>1.2</c:v>
                </c:pt>
                <c:pt idx="5">
                  <c:v>1.2</c:v>
                </c:pt>
              </c:numCache>
            </c:numRef>
          </c:val>
          <c:smooth val="0"/>
          <c:extLst>
            <c:ext xmlns:c16="http://schemas.microsoft.com/office/drawing/2014/chart" uri="{C3380CC4-5D6E-409C-BE32-E72D297353CC}">
              <c16:uniqueId val="{00000002-BDDB-4DF0-836C-48516B2DCEC1}"/>
            </c:ext>
          </c:extLst>
        </c:ser>
        <c:dLbls>
          <c:showLegendKey val="0"/>
          <c:showVal val="0"/>
          <c:showCatName val="0"/>
          <c:showSerName val="0"/>
          <c:showPercent val="0"/>
          <c:showBubbleSize val="0"/>
        </c:dLbls>
        <c:marker val="1"/>
        <c:smooth val="0"/>
        <c:axId val="1034176895"/>
        <c:axId val="763099535"/>
      </c:lineChart>
      <c:catAx>
        <c:axId val="103417689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63099535"/>
        <c:crosses val="autoZero"/>
        <c:auto val="1"/>
        <c:lblAlgn val="ctr"/>
        <c:lblOffset val="100"/>
        <c:noMultiLvlLbl val="0"/>
      </c:catAx>
      <c:valAx>
        <c:axId val="763099535"/>
        <c:scaling>
          <c:orientation val="minMax"/>
        </c:scaling>
        <c:delete val="0"/>
        <c:axPos val="l"/>
        <c:numFmt formatCode="&quot;$&quot;0.0,,&quot; M&quot;;\(&quot;$&quot;0.0,,&quot; M&quot;\)" sourceLinked="0"/>
        <c:majorTickMark val="none"/>
        <c:minorTickMark val="none"/>
        <c:tickLblPos val="none"/>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34176895"/>
        <c:crosses val="autoZero"/>
        <c:crossBetween val="between"/>
      </c:valAx>
      <c:valAx>
        <c:axId val="1143851631"/>
        <c:scaling>
          <c:orientation val="minMax"/>
        </c:scaling>
        <c:delete val="0"/>
        <c:axPos val="r"/>
        <c:numFmt formatCode="&quot;$&quot;0.00,,&quot; M&quot;;\(&quot;$&quot;0.00,,&quot; M&quot;\)" sourceLinked="1"/>
        <c:majorTickMark val="out"/>
        <c:minorTickMark val="none"/>
        <c:tickLblPos val="none"/>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43854031"/>
        <c:crosses val="max"/>
        <c:crossBetween val="between"/>
      </c:valAx>
      <c:catAx>
        <c:axId val="1143854031"/>
        <c:scaling>
          <c:orientation val="minMax"/>
        </c:scaling>
        <c:delete val="1"/>
        <c:axPos val="b"/>
        <c:numFmt formatCode="0" sourceLinked="1"/>
        <c:majorTickMark val="out"/>
        <c:minorTickMark val="none"/>
        <c:tickLblPos val="nextTo"/>
        <c:crossAx val="11438516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5044E517-4144-456F-BADD-D45115AED1DA}">
    <Anchor>
      <Comment id="{D8C797AD-97F4-4AD9-B980-BED46558333E}"/>
    </Anchor>
    <History>
      <Event time="2026-03-12T18:16:21.93" id="{6C90F201-87DC-48B4-BC2C-A371B1AD8F58}">
        <Attribution userId="S::jnowlin@aftonpartners.com::3db18002-4709-412a-bdcb-8fb83cb95040" userName="Jason Nowlin" userProvider="AD"/>
        <Anchor>
          <Comment id="{D8C797AD-97F4-4AD9-B980-BED46558333E}"/>
        </Anchor>
        <Create/>
      </Event>
      <Event time="2026-03-12T18:16:21.93" id="{86320081-3B2E-4046-AB0E-A33D433593F6}">
        <Attribution userId="S::jnowlin@aftonpartners.com::3db18002-4709-412a-bdcb-8fb83cb95040" userName="Jason Nowlin" userProvider="AD"/>
        <Anchor>
          <Comment id="{D8C797AD-97F4-4AD9-B980-BED46558333E}"/>
        </Anchor>
        <Assign userId="S::jnowlin@aftonpartners.com::3db18002-4709-412a-bdcb-8fb83cb95040" userName="Jason Nowlin" userProvider="AD"/>
      </Event>
      <Event time="2026-03-12T18:16:21.93" id="{52F80826-659F-4BC4-A910-A06BAFDA5247}">
        <Attribution userId="S::jnowlin@aftonpartners.com::3db18002-4709-412a-bdcb-8fb83cb95040" userName="Jason Nowlin" userProvider="AD"/>
        <Anchor>
          <Comment id="{D8C797AD-97F4-4AD9-B980-BED46558333E}"/>
        </Anchor>
        <SetTitle title="@Jason Nowlin "/>
      </Event>
    </History>
  </Task>
</Task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682144</xdr:colOff>
      <xdr:row>18</xdr:row>
      <xdr:rowOff>105834</xdr:rowOff>
    </xdr:from>
    <xdr:to>
      <xdr:col>10</xdr:col>
      <xdr:colOff>127000</xdr:colOff>
      <xdr:row>48</xdr:row>
      <xdr:rowOff>101600</xdr:rowOff>
    </xdr:to>
    <xdr:sp macro="" textlink="">
      <xdr:nvSpPr>
        <xdr:cNvPr id="2" name="Rectangle 1">
          <a:extLst>
            <a:ext uri="{FF2B5EF4-FFF2-40B4-BE49-F238E27FC236}">
              <a16:creationId xmlns:a16="http://schemas.microsoft.com/office/drawing/2014/main" id="{4E223100-28DC-4247-8857-FFA786D28450}"/>
            </a:ext>
          </a:extLst>
        </xdr:cNvPr>
        <xdr:cNvSpPr/>
      </xdr:nvSpPr>
      <xdr:spPr>
        <a:xfrm>
          <a:off x="682144" y="3242734"/>
          <a:ext cx="7617306" cy="5520266"/>
        </a:xfrm>
        <a:prstGeom prst="rect">
          <a:avLst/>
        </a:prstGeom>
        <a:noFill/>
        <a:ln w="571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811389</xdr:colOff>
      <xdr:row>14</xdr:row>
      <xdr:rowOff>169338</xdr:rowOff>
    </xdr:from>
    <xdr:to>
      <xdr:col>1</xdr:col>
      <xdr:colOff>739229</xdr:colOff>
      <xdr:row>18</xdr:row>
      <xdr:rowOff>54335</xdr:rowOff>
    </xdr:to>
    <xdr:sp macro="" textlink="">
      <xdr:nvSpPr>
        <xdr:cNvPr id="3" name="Arrow: Right 2">
          <a:extLst>
            <a:ext uri="{FF2B5EF4-FFF2-40B4-BE49-F238E27FC236}">
              <a16:creationId xmlns:a16="http://schemas.microsoft.com/office/drawing/2014/main" id="{19CA81FC-B93C-486C-A53D-95028035A034}"/>
            </a:ext>
          </a:extLst>
        </xdr:cNvPr>
        <xdr:cNvSpPr/>
      </xdr:nvSpPr>
      <xdr:spPr>
        <a:xfrm rot="5400000">
          <a:off x="853977" y="2095250"/>
          <a:ext cx="661108" cy="74628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225778</xdr:colOff>
      <xdr:row>8</xdr:row>
      <xdr:rowOff>98778</xdr:rowOff>
    </xdr:from>
    <xdr:to>
      <xdr:col>1</xdr:col>
      <xdr:colOff>1432278</xdr:colOff>
      <xdr:row>14</xdr:row>
      <xdr:rowOff>134506</xdr:rowOff>
    </xdr:to>
    <xdr:sp macro="" textlink="">
      <xdr:nvSpPr>
        <xdr:cNvPr id="4" name="Rectangle 3">
          <a:extLst>
            <a:ext uri="{FF2B5EF4-FFF2-40B4-BE49-F238E27FC236}">
              <a16:creationId xmlns:a16="http://schemas.microsoft.com/office/drawing/2014/main" id="{DD354DEE-EBA7-49CA-A3E7-6057B2AEA39A}"/>
            </a:ext>
          </a:extLst>
        </xdr:cNvPr>
        <xdr:cNvSpPr/>
      </xdr:nvSpPr>
      <xdr:spPr>
        <a:xfrm>
          <a:off x="225778" y="839611"/>
          <a:ext cx="2024944" cy="126339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Enter the</a:t>
          </a:r>
          <a:r>
            <a:rPr lang="en-US" sz="1800" b="1" baseline="0"/>
            <a:t> planned enrollment scenario by grade and year</a:t>
          </a:r>
          <a:endParaRPr lang="en-US" sz="1800" b="1"/>
        </a:p>
      </xdr:txBody>
    </xdr:sp>
    <xdr:clientData/>
  </xdr:twoCellAnchor>
  <xdr:twoCellAnchor>
    <xdr:from>
      <xdr:col>22</xdr:col>
      <xdr:colOff>285749</xdr:colOff>
      <xdr:row>14</xdr:row>
      <xdr:rowOff>66675</xdr:rowOff>
    </xdr:from>
    <xdr:to>
      <xdr:col>26</xdr:col>
      <xdr:colOff>542924</xdr:colOff>
      <xdr:row>18</xdr:row>
      <xdr:rowOff>133350</xdr:rowOff>
    </xdr:to>
    <xdr:sp macro="" textlink="">
      <xdr:nvSpPr>
        <xdr:cNvPr id="5" name="Rectangle 4">
          <a:extLst>
            <a:ext uri="{FF2B5EF4-FFF2-40B4-BE49-F238E27FC236}">
              <a16:creationId xmlns:a16="http://schemas.microsoft.com/office/drawing/2014/main" id="{B7675239-2676-44B8-A3CC-0FBAD54E4E49}"/>
            </a:ext>
          </a:extLst>
        </xdr:cNvPr>
        <xdr:cNvSpPr/>
      </xdr:nvSpPr>
      <xdr:spPr>
        <a:xfrm>
          <a:off x="15106649" y="3000375"/>
          <a:ext cx="2695575" cy="84772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lt1"/>
              </a:solidFill>
              <a:effectLst/>
              <a:latin typeface="+mn-lt"/>
              <a:ea typeface="+mn-ea"/>
              <a:cs typeface="+mn-cs"/>
            </a:rPr>
            <a:t>Enter</a:t>
          </a:r>
          <a:r>
            <a:rPr lang="en-US" sz="1800" b="1" baseline="0">
              <a:solidFill>
                <a:schemeClr val="lt1"/>
              </a:solidFill>
              <a:effectLst/>
              <a:latin typeface="+mn-lt"/>
              <a:ea typeface="+mn-ea"/>
              <a:cs typeface="+mn-cs"/>
            </a:rPr>
            <a:t> the sensitivty scenario by year directly</a:t>
          </a:r>
          <a:endParaRPr lang="en-US" sz="3200" b="1"/>
        </a:p>
      </xdr:txBody>
    </xdr:sp>
    <xdr:clientData/>
  </xdr:twoCellAnchor>
  <xdr:twoCellAnchor>
    <xdr:from>
      <xdr:col>22</xdr:col>
      <xdr:colOff>298449</xdr:colOff>
      <xdr:row>7</xdr:row>
      <xdr:rowOff>76200</xdr:rowOff>
    </xdr:from>
    <xdr:to>
      <xdr:col>26</xdr:col>
      <xdr:colOff>523874</xdr:colOff>
      <xdr:row>13</xdr:row>
      <xdr:rowOff>123825</xdr:rowOff>
    </xdr:to>
    <xdr:sp macro="" textlink="">
      <xdr:nvSpPr>
        <xdr:cNvPr id="6" name="Rectangle 5">
          <a:extLst>
            <a:ext uri="{FF2B5EF4-FFF2-40B4-BE49-F238E27FC236}">
              <a16:creationId xmlns:a16="http://schemas.microsoft.com/office/drawing/2014/main" id="{989F590F-59FA-44A2-A7BD-2959B2B4EFE9}"/>
            </a:ext>
          </a:extLst>
        </xdr:cNvPr>
        <xdr:cNvSpPr/>
      </xdr:nvSpPr>
      <xdr:spPr>
        <a:xfrm>
          <a:off x="15119349" y="1609725"/>
          <a:ext cx="2663825" cy="124777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Enter</a:t>
          </a:r>
          <a:r>
            <a:rPr lang="en-US" sz="1800" b="1" baseline="0"/>
            <a:t> the sensitivty scenario by year as a % of the Planned Enrollment </a:t>
          </a:r>
        </a:p>
        <a:p>
          <a:pPr algn="ctr"/>
          <a:r>
            <a:rPr lang="en-US" sz="1800" b="1" baseline="0"/>
            <a:t>OR</a:t>
          </a:r>
          <a:endParaRPr lang="en-US" sz="1800" b="1"/>
        </a:p>
      </xdr:txBody>
    </xdr:sp>
    <xdr:clientData/>
  </xdr:twoCellAnchor>
  <xdr:twoCellAnchor>
    <xdr:from>
      <xdr:col>20</xdr:col>
      <xdr:colOff>126999</xdr:colOff>
      <xdr:row>8</xdr:row>
      <xdr:rowOff>88899</xdr:rowOff>
    </xdr:from>
    <xdr:to>
      <xdr:col>22</xdr:col>
      <xdr:colOff>86880</xdr:colOff>
      <xdr:row>11</xdr:row>
      <xdr:rowOff>144030</xdr:rowOff>
    </xdr:to>
    <xdr:sp macro="" textlink="">
      <xdr:nvSpPr>
        <xdr:cNvPr id="7" name="Arrow: Right 6">
          <a:extLst>
            <a:ext uri="{FF2B5EF4-FFF2-40B4-BE49-F238E27FC236}">
              <a16:creationId xmlns:a16="http://schemas.microsoft.com/office/drawing/2014/main" id="{B1BEAF08-FF2F-43ED-9C73-3E134253F7FA}"/>
            </a:ext>
          </a:extLst>
        </xdr:cNvPr>
        <xdr:cNvSpPr/>
      </xdr:nvSpPr>
      <xdr:spPr>
        <a:xfrm rot="10800000">
          <a:off x="13398499" y="825499"/>
          <a:ext cx="823481" cy="664731"/>
        </a:xfrm>
        <a:prstGeom prst="rightArrow">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156104</xdr:colOff>
      <xdr:row>14</xdr:row>
      <xdr:rowOff>4762</xdr:rowOff>
    </xdr:from>
    <xdr:to>
      <xdr:col>22</xdr:col>
      <xdr:colOff>115985</xdr:colOff>
      <xdr:row>17</xdr:row>
      <xdr:rowOff>72593</xdr:rowOff>
    </xdr:to>
    <xdr:sp macro="" textlink="">
      <xdr:nvSpPr>
        <xdr:cNvPr id="8" name="Arrow: Right 7">
          <a:extLst>
            <a:ext uri="{FF2B5EF4-FFF2-40B4-BE49-F238E27FC236}">
              <a16:creationId xmlns:a16="http://schemas.microsoft.com/office/drawing/2014/main" id="{B63596F3-65BC-4364-B186-E6F036011372}"/>
            </a:ext>
          </a:extLst>
        </xdr:cNvPr>
        <xdr:cNvSpPr/>
      </xdr:nvSpPr>
      <xdr:spPr>
        <a:xfrm rot="10800000">
          <a:off x="13988521" y="1983845"/>
          <a:ext cx="1452131" cy="665790"/>
        </a:xfrm>
        <a:prstGeom prst="rightArrow">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105832</xdr:colOff>
      <xdr:row>22</xdr:row>
      <xdr:rowOff>74084</xdr:rowOff>
    </xdr:from>
    <xdr:to>
      <xdr:col>27</xdr:col>
      <xdr:colOff>486833</xdr:colOff>
      <xdr:row>36</xdr:row>
      <xdr:rowOff>74083</xdr:rowOff>
    </xdr:to>
    <xdr:sp macro="" textlink="">
      <xdr:nvSpPr>
        <xdr:cNvPr id="9" name="Rectangle 8">
          <a:extLst>
            <a:ext uri="{FF2B5EF4-FFF2-40B4-BE49-F238E27FC236}">
              <a16:creationId xmlns:a16="http://schemas.microsoft.com/office/drawing/2014/main" id="{5C3BA2D5-F8D6-48E0-A24E-1884843D7EA3}"/>
            </a:ext>
          </a:extLst>
        </xdr:cNvPr>
        <xdr:cNvSpPr/>
      </xdr:nvSpPr>
      <xdr:spPr>
        <a:xfrm>
          <a:off x="13536082" y="3968751"/>
          <a:ext cx="4868334" cy="266699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t>Scenario Planning: Enrollment Sensitivity Analysis</a:t>
          </a:r>
        </a:p>
        <a:p>
          <a:endParaRPr lang="en-US" sz="1200"/>
        </a:p>
        <a:p>
          <a:r>
            <a:rPr lang="en-US" sz="1200"/>
            <a:t>This section applies a downside scenario</a:t>
          </a:r>
          <a:r>
            <a:rPr lang="en-US" sz="1200" baseline="0"/>
            <a:t> </a:t>
          </a:r>
          <a:r>
            <a:rPr lang="en-US" sz="1200"/>
            <a:t>to planned enrollment across all grade levels, producing an alternative scenario that flows through revenue, staffing, and cash projections.</a:t>
          </a:r>
        </a:p>
        <a:p>
          <a:endParaRPr lang="en-US" sz="1200"/>
        </a:p>
        <a:p>
          <a:r>
            <a:rPr lang="en-US" sz="1200"/>
            <a:t>Adjust to test different shortfall assumptions. </a:t>
          </a:r>
        </a:p>
        <a:p>
          <a:endParaRPr lang="en-US" sz="1200"/>
        </a:p>
        <a:p>
          <a:r>
            <a:rPr lang="en-US" sz="1200" b="1"/>
            <a:t>For CSC submissions</a:t>
          </a:r>
          <a:r>
            <a:rPr lang="en-US" sz="1200"/>
            <a:t>: describe the operational steps the school would take if planned enrollment is not achieved e.g., hiring freezes, deferred expenditures, or reserve drawdown. The Commission expects applicants to demonstrate awareness of enrollment risk and a credible contingency plan.</a:t>
          </a:r>
        </a:p>
      </xdr:txBody>
    </xdr:sp>
    <xdr:clientData/>
  </xdr:twoCellAnchor>
  <xdr:twoCellAnchor>
    <xdr:from>
      <xdr:col>13</xdr:col>
      <xdr:colOff>57149</xdr:colOff>
      <xdr:row>1</xdr:row>
      <xdr:rowOff>95249</xdr:rowOff>
    </xdr:from>
    <xdr:to>
      <xdr:col>22</xdr:col>
      <xdr:colOff>400049</xdr:colOff>
      <xdr:row>7</xdr:row>
      <xdr:rowOff>0</xdr:rowOff>
    </xdr:to>
    <xdr:sp macro="" textlink="">
      <xdr:nvSpPr>
        <xdr:cNvPr id="10" name="Rectangle 9">
          <a:extLst>
            <a:ext uri="{FF2B5EF4-FFF2-40B4-BE49-F238E27FC236}">
              <a16:creationId xmlns:a16="http://schemas.microsoft.com/office/drawing/2014/main" id="{C92678D7-D49A-4BF2-AC92-E91847108923}"/>
            </a:ext>
          </a:extLst>
        </xdr:cNvPr>
        <xdr:cNvSpPr/>
      </xdr:nvSpPr>
      <xdr:spPr>
        <a:xfrm>
          <a:off x="8582024" y="428624"/>
          <a:ext cx="6638925" cy="1104901"/>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t>Through December</a:t>
          </a:r>
          <a:r>
            <a:rPr lang="en-US" sz="1200" b="0"/>
            <a:t>, schools are funded based on </a:t>
          </a:r>
          <a:r>
            <a:rPr lang="en-US" sz="1200" b="1"/>
            <a:t>budgeted enrollment </a:t>
          </a:r>
          <a:r>
            <a:rPr lang="en-US" sz="1200" b="0"/>
            <a:t>submitted on the F-195/F-203. OSPI conducts a P-223 </a:t>
          </a:r>
          <a:r>
            <a:rPr lang="en-US" sz="1200" b="1"/>
            <a:t>true-up in January </a:t>
          </a:r>
          <a:r>
            <a:rPr lang="en-US" sz="1200" b="0"/>
            <a:t>based on </a:t>
          </a:r>
          <a:r>
            <a:rPr lang="en-US" sz="1200" b="1"/>
            <a:t>actual October enrollment</a:t>
          </a:r>
          <a:r>
            <a:rPr lang="en-US" sz="1200" b="0"/>
            <a:t> counts. </a:t>
          </a:r>
        </a:p>
        <a:p>
          <a:endParaRPr lang="en-US" sz="1200" b="0"/>
        </a:p>
        <a:p>
          <a:r>
            <a:rPr lang="en-US" sz="1200" b="0"/>
            <a:t>Schools that are under-enrolled relative to budget will see reduced apportionment payments in subsequent months, a significant cash flow risk that the sensitivity section helps quantify.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55562</xdr:colOff>
      <xdr:row>2</xdr:row>
      <xdr:rowOff>4534</xdr:rowOff>
    </xdr:from>
    <xdr:to>
      <xdr:col>24</xdr:col>
      <xdr:colOff>397782</xdr:colOff>
      <xdr:row>19</xdr:row>
      <xdr:rowOff>40253</xdr:rowOff>
    </xdr:to>
    <xdr:graphicFrame macro="">
      <xdr:nvGraphicFramePr>
        <xdr:cNvPr id="2" name="Chart 1">
          <a:extLst>
            <a:ext uri="{FF2B5EF4-FFF2-40B4-BE49-F238E27FC236}">
              <a16:creationId xmlns:a16="http://schemas.microsoft.com/office/drawing/2014/main" id="{6818152E-FDCF-4E2C-B04B-ABCF4FFA9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53977</xdr:colOff>
      <xdr:row>19</xdr:row>
      <xdr:rowOff>99786</xdr:rowOff>
    </xdr:from>
    <xdr:to>
      <xdr:col>24</xdr:col>
      <xdr:colOff>397632</xdr:colOff>
      <xdr:row>37</xdr:row>
      <xdr:rowOff>35720</xdr:rowOff>
    </xdr:to>
    <xdr:graphicFrame macro="">
      <xdr:nvGraphicFramePr>
        <xdr:cNvPr id="3" name="Chart 2">
          <a:extLst>
            <a:ext uri="{FF2B5EF4-FFF2-40B4-BE49-F238E27FC236}">
              <a16:creationId xmlns:a16="http://schemas.microsoft.com/office/drawing/2014/main" id="{9066C07E-48CC-4FF6-9CAB-A1F3EB4B2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365276</xdr:colOff>
      <xdr:row>1</xdr:row>
      <xdr:rowOff>180975</xdr:rowOff>
    </xdr:from>
    <xdr:to>
      <xdr:col>34</xdr:col>
      <xdr:colOff>3779</xdr:colOff>
      <xdr:row>15</xdr:row>
      <xdr:rowOff>90714</xdr:rowOff>
    </xdr:to>
    <xdr:graphicFrame macro="">
      <xdr:nvGraphicFramePr>
        <xdr:cNvPr id="4" name="Chart 9">
          <a:extLst>
            <a:ext uri="{FF2B5EF4-FFF2-40B4-BE49-F238E27FC236}">
              <a16:creationId xmlns:a16="http://schemas.microsoft.com/office/drawing/2014/main" id="{849627C2-52C3-4814-A9A0-5E0B22F8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350537</xdr:colOff>
      <xdr:row>15</xdr:row>
      <xdr:rowOff>163286</xdr:rowOff>
    </xdr:from>
    <xdr:to>
      <xdr:col>33</xdr:col>
      <xdr:colOff>698500</xdr:colOff>
      <xdr:row>29</xdr:row>
      <xdr:rowOff>15726</xdr:rowOff>
    </xdr:to>
    <xdr:graphicFrame macro="">
      <xdr:nvGraphicFramePr>
        <xdr:cNvPr id="5" name="Chart 10">
          <a:extLst>
            <a:ext uri="{FF2B5EF4-FFF2-40B4-BE49-F238E27FC236}">
              <a16:creationId xmlns:a16="http://schemas.microsoft.com/office/drawing/2014/main" id="{A4DBA9DF-7485-4E98-956F-5C83B6FB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etorg2084881.sharepoint.com/sites/CharterSchoolGrowthFundCSGF/Shared%20Documents/Voices/LRP/3.02.26%20Voices%20LRP%20V18%20DRAFT.xlsx" TargetMode="External"/><Relationship Id="rId1" Type="http://schemas.openxmlformats.org/officeDocument/2006/relationships/externalLinkPath" Target="https://netorg2084881.sharepoint.com/sites/CharterSchoolGrowthFundCSGF/Shared%20Documents/Voices/LRP/3.02.26%20Voices%20LRP%20V18%20DRAF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ortcut-targets-by-id/1nRtIi-bJ0kFmuvZRoda_4pZBH_UQgGry/Digital%20Pioneers/Monthly%20Financials/FY26/05-November25/DPA%20-%20FRT26%20DC%20-%20Nov25%20-%20v3.xlsm" TargetMode="External"/><Relationship Id="rId1" Type="http://schemas.openxmlformats.org/officeDocument/2006/relationships/externalLinkPath" Target="https://netorg2084881.sharepoint.com/sites/DigitalPioneerAcademyDPA/Shared%20Documents/General/2%20-%20Budget%20-%20Current%20year%20budget,%20current%20year%20actuals,%20multi-year%20forecasting/DPA%20-%20FRT26%20DC%20-%20Nov25%20-%20v3.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netorg2084881.sharepoint.com/sites/ExcellentSchoolsWA352/Shared%20Documents/General/WA%20Authorizer%20Financial%20Projection%20Template/Annual%20Budget%20Template.xlsx" TargetMode="External"/><Relationship Id="rId1" Type="http://schemas.openxmlformats.org/officeDocument/2006/relationships/externalLinkPath" Target="https://netorg2084881.sharepoint.com/sites/ExcellentSchoolsWA352/Shared%20Documents/General/WA%20Authorizer%20Financial%20Projection%20Template/Annual%20Budge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Export"/>
      <sheetName val="DCOH Sensitivity"/>
      <sheetName val="Sensitivity Consolidated"/>
      <sheetName val="GUIDE"/>
      <sheetName val="ENROLLMENT"/>
      <sheetName val="INPUTS"/>
      <sheetName val="REFI"/>
      <sheetName val="STAFFING"/>
      <sheetName val="Consolidated PL"/>
      <sheetName val="CMO"/>
      <sheetName val="Flagship"/>
      <sheetName val="Morgan Hill"/>
      <sheetName val="Mt. Pleasant"/>
      <sheetName val="WCC"/>
      <sheetName val="Stockton"/>
      <sheetName val="Nido LLC"/>
      <sheetName val="REPORTS_new"/>
      <sheetName val="REPORTS_org"/>
      <sheetName val="REPORTS_schools"/>
      <sheetName val="DATA&gt;&gt;"/>
      <sheetName val="FY27 Roster"/>
      <sheetName val="FY26 MYP-Multisite"/>
      <sheetName val="FY25 MYP-Multisite"/>
      <sheetName val="FY25 Balance Sheet"/>
      <sheetName val="P1D 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rror"/>
      <sheetName val="FAR"/>
      <sheetName val="KPIs"/>
      <sheetName val="Dashboard"/>
      <sheetName val="IS"/>
      <sheetName val="IS-IND"/>
      <sheetName val="Sheet1"/>
      <sheetName val="Forecast"/>
      <sheetName val="BS"/>
      <sheetName val="Accounts"/>
      <sheetName val="PPF"/>
      <sheetName val="PrevForecast"/>
      <sheetName val="Data"/>
      <sheetName val="DataBS"/>
      <sheetName val="Setup"/>
      <sheetName val="Payroll"/>
      <sheetName val="Payroll JE"/>
      <sheetName val="FAC"/>
      <sheetName val="AR"/>
      <sheetName val="iIS"/>
      <sheetName val="iBS"/>
      <sheetName val="Transaction Input"/>
      <sheetName val="is1"/>
      <sheetName val="iBudget"/>
      <sheetName val="iBudgetNextYear"/>
      <sheetName val="bs1"/>
      <sheetName val="is2"/>
      <sheetName val="bs2"/>
      <sheetName val="is3"/>
      <sheetName val="bs3"/>
      <sheetName val="ForecastPivot"/>
      <sheetName val="BSPivot"/>
      <sheetName val="ISPivot"/>
      <sheetName val="COAHints"/>
      <sheetName val="GraphData"/>
      <sheetName val="Controls"/>
      <sheetName val="icons"/>
      <sheetName val="Timer"/>
      <sheetName val="QC"/>
    </sheetNames>
    <sheetDataSet>
      <sheetData sheetId="0" refreshError="1"/>
      <sheetData sheetId="1" refreshError="1"/>
      <sheetData sheetId="2" refreshError="1"/>
      <sheetData sheetId="3">
        <row r="67">
          <cell r="G67">
            <v>875543.61457080767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ow r="6">
          <cell r="D6" t="str">
            <v>Digital Pioneers Academy</v>
          </cell>
        </row>
        <row r="9">
          <cell r="X9" t="str">
            <v>As of November 30, 2025</v>
          </cell>
        </row>
        <row r="12">
          <cell r="X12">
            <v>45991</v>
          </cell>
        </row>
        <row r="13">
          <cell r="D13">
            <v>45839</v>
          </cell>
        </row>
      </sheetData>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Guidance ---&gt;"/>
      <sheetName val="Template Instructions"/>
      <sheetName val="Template Instructions_5 YR"/>
      <sheetName val="Budget &amp; Quarterly Report ---&gt;"/>
      <sheetName val="General ---&gt;"/>
      <sheetName val="School Info"/>
      <sheetName val="Enrollment ---&gt;"/>
      <sheetName val="Enrollment"/>
      <sheetName val="5 YR Enrollment"/>
      <sheetName val="Enrollment "/>
      <sheetName val="Personnel ---&gt;"/>
      <sheetName val="Personnel"/>
      <sheetName val="5 YR Personnel"/>
      <sheetName val="Budget vs. Actual ---&gt;"/>
      <sheetName val="Yearly Budget"/>
      <sheetName val="5 YR Budget"/>
      <sheetName val="Quarterly Report"/>
      <sheetName val="Balance Sheet"/>
      <sheetName val="Cash Flow ---&gt;"/>
      <sheetName val="Cash Flow (2nd Year)"/>
      <sheetName val="Monthly Report"/>
      <sheetName val="General Info"/>
    </sheetNames>
    <sheetDataSet>
      <sheetData sheetId="0"/>
      <sheetData sheetId="1"/>
      <sheetData sheetId="2"/>
      <sheetData sheetId="3"/>
      <sheetData sheetId="4"/>
      <sheetData sheetId="5">
        <row r="3">
          <cell r="C3" t="str">
            <v>Enter School Name Here</v>
          </cell>
        </row>
        <row r="9">
          <cell r="D9" t="str">
            <v>2025-26</v>
          </cell>
        </row>
      </sheetData>
      <sheetData sheetId="6"/>
      <sheetData sheetId="7">
        <row r="26">
          <cell r="D26">
            <v>0</v>
          </cell>
          <cell r="I26">
            <v>0</v>
          </cell>
          <cell r="J26">
            <v>0</v>
          </cell>
          <cell r="L26">
            <v>0</v>
          </cell>
          <cell r="M26">
            <v>0</v>
          </cell>
          <cell r="N26">
            <v>0</v>
          </cell>
          <cell r="O26">
            <v>0</v>
          </cell>
        </row>
      </sheetData>
      <sheetData sheetId="8">
        <row r="7">
          <cell r="C7" t="str">
            <v>ENROLLMENT</v>
          </cell>
          <cell r="D7" t="str">
            <v>2026-27</v>
          </cell>
          <cell r="E7" t="str">
            <v>2027-28</v>
          </cell>
          <cell r="F7" t="str">
            <v>2028-29</v>
          </cell>
          <cell r="G7" t="str">
            <v>2029-30</v>
          </cell>
          <cell r="H7" t="str">
            <v>2030-31</v>
          </cell>
          <cell r="I7" t="str">
            <v>2031-32</v>
          </cell>
          <cell r="J7" t="str">
            <v>2032-33</v>
          </cell>
          <cell r="K7" t="str">
            <v>2033-34</v>
          </cell>
          <cell r="L7" t="str">
            <v>2034-35</v>
          </cell>
          <cell r="M7" t="str">
            <v>2035-36</v>
          </cell>
        </row>
        <row r="8">
          <cell r="C8" t="str">
            <v>Kindergarten</v>
          </cell>
          <cell r="D8">
            <v>0</v>
          </cell>
          <cell r="E8">
            <v>0</v>
          </cell>
          <cell r="F8">
            <v>0</v>
          </cell>
          <cell r="G8">
            <v>0</v>
          </cell>
          <cell r="H8">
            <v>0</v>
          </cell>
          <cell r="I8">
            <v>0</v>
          </cell>
          <cell r="J8">
            <v>0</v>
          </cell>
          <cell r="K8">
            <v>0</v>
          </cell>
          <cell r="L8">
            <v>0</v>
          </cell>
          <cell r="M8">
            <v>0</v>
          </cell>
        </row>
        <row r="9">
          <cell r="C9" t="str">
            <v>1st Grade</v>
          </cell>
          <cell r="D9">
            <v>0</v>
          </cell>
          <cell r="E9">
            <v>0</v>
          </cell>
          <cell r="F9">
            <v>0</v>
          </cell>
          <cell r="G9">
            <v>0</v>
          </cell>
          <cell r="H9">
            <v>0</v>
          </cell>
          <cell r="I9">
            <v>0</v>
          </cell>
          <cell r="J9">
            <v>0</v>
          </cell>
          <cell r="K9">
            <v>0</v>
          </cell>
          <cell r="L9">
            <v>0</v>
          </cell>
          <cell r="M9">
            <v>0</v>
          </cell>
        </row>
        <row r="10">
          <cell r="C10" t="str">
            <v>2nd Grade</v>
          </cell>
          <cell r="D10">
            <v>0</v>
          </cell>
          <cell r="E10">
            <v>0</v>
          </cell>
          <cell r="F10">
            <v>0</v>
          </cell>
          <cell r="G10">
            <v>0</v>
          </cell>
          <cell r="H10">
            <v>0</v>
          </cell>
          <cell r="I10">
            <v>0</v>
          </cell>
          <cell r="J10">
            <v>0</v>
          </cell>
          <cell r="K10">
            <v>0</v>
          </cell>
          <cell r="L10">
            <v>0</v>
          </cell>
          <cell r="M10">
            <v>0</v>
          </cell>
        </row>
        <row r="11">
          <cell r="C11" t="str">
            <v>3rd Grade</v>
          </cell>
          <cell r="D11">
            <v>0</v>
          </cell>
          <cell r="E11">
            <v>0</v>
          </cell>
          <cell r="F11">
            <v>0</v>
          </cell>
          <cell r="G11">
            <v>0</v>
          </cell>
          <cell r="H11">
            <v>0</v>
          </cell>
          <cell r="I11">
            <v>0</v>
          </cell>
          <cell r="J11">
            <v>0</v>
          </cell>
          <cell r="K11">
            <v>0</v>
          </cell>
          <cell r="L11">
            <v>0</v>
          </cell>
          <cell r="M11">
            <v>0</v>
          </cell>
        </row>
        <row r="12">
          <cell r="C12" t="str">
            <v>4th Grade</v>
          </cell>
          <cell r="D12">
            <v>0</v>
          </cell>
          <cell r="E12">
            <v>0</v>
          </cell>
          <cell r="F12">
            <v>0</v>
          </cell>
          <cell r="G12">
            <v>0</v>
          </cell>
          <cell r="H12">
            <v>0</v>
          </cell>
          <cell r="I12">
            <v>0</v>
          </cell>
          <cell r="J12">
            <v>0</v>
          </cell>
          <cell r="K12">
            <v>0</v>
          </cell>
          <cell r="L12">
            <v>0</v>
          </cell>
          <cell r="M12">
            <v>0</v>
          </cell>
        </row>
        <row r="13">
          <cell r="C13" t="str">
            <v>5th Grade</v>
          </cell>
          <cell r="D13">
            <v>0</v>
          </cell>
          <cell r="E13">
            <v>0</v>
          </cell>
          <cell r="F13">
            <v>0</v>
          </cell>
          <cell r="G13">
            <v>0</v>
          </cell>
          <cell r="H13">
            <v>0</v>
          </cell>
          <cell r="I13">
            <v>0</v>
          </cell>
          <cell r="J13">
            <v>0</v>
          </cell>
          <cell r="K13">
            <v>0</v>
          </cell>
          <cell r="L13">
            <v>0</v>
          </cell>
          <cell r="M13">
            <v>0</v>
          </cell>
        </row>
        <row r="14">
          <cell r="C14" t="str">
            <v>6th Grade</v>
          </cell>
          <cell r="D14">
            <v>0</v>
          </cell>
          <cell r="E14">
            <v>0</v>
          </cell>
          <cell r="F14">
            <v>0</v>
          </cell>
          <cell r="G14">
            <v>0</v>
          </cell>
          <cell r="H14">
            <v>0</v>
          </cell>
          <cell r="I14">
            <v>0</v>
          </cell>
          <cell r="J14">
            <v>0</v>
          </cell>
          <cell r="K14">
            <v>0</v>
          </cell>
          <cell r="L14">
            <v>0</v>
          </cell>
          <cell r="M14">
            <v>0</v>
          </cell>
        </row>
        <row r="15">
          <cell r="C15" t="str">
            <v>7th Grade</v>
          </cell>
          <cell r="D15">
            <v>0</v>
          </cell>
          <cell r="E15">
            <v>0</v>
          </cell>
          <cell r="F15">
            <v>0</v>
          </cell>
          <cell r="G15">
            <v>0</v>
          </cell>
          <cell r="H15">
            <v>0</v>
          </cell>
          <cell r="I15">
            <v>0</v>
          </cell>
          <cell r="J15">
            <v>0</v>
          </cell>
          <cell r="K15">
            <v>0</v>
          </cell>
          <cell r="L15">
            <v>0</v>
          </cell>
          <cell r="M15">
            <v>0</v>
          </cell>
        </row>
        <row r="16">
          <cell r="C16" t="str">
            <v>8th Grade</v>
          </cell>
          <cell r="D16">
            <v>0</v>
          </cell>
          <cell r="E16">
            <v>0</v>
          </cell>
          <cell r="F16">
            <v>0</v>
          </cell>
          <cell r="G16">
            <v>0</v>
          </cell>
          <cell r="H16">
            <v>0</v>
          </cell>
          <cell r="I16">
            <v>0</v>
          </cell>
          <cell r="J16">
            <v>0</v>
          </cell>
          <cell r="K16">
            <v>0</v>
          </cell>
          <cell r="L16">
            <v>0</v>
          </cell>
          <cell r="M16">
            <v>0</v>
          </cell>
        </row>
        <row r="17">
          <cell r="C17" t="str">
            <v>9th Grade</v>
          </cell>
          <cell r="D17">
            <v>0</v>
          </cell>
          <cell r="E17">
            <v>0</v>
          </cell>
          <cell r="F17">
            <v>0</v>
          </cell>
          <cell r="G17">
            <v>0</v>
          </cell>
          <cell r="H17">
            <v>0</v>
          </cell>
          <cell r="I17">
            <v>0</v>
          </cell>
          <cell r="J17">
            <v>0</v>
          </cell>
          <cell r="K17">
            <v>0</v>
          </cell>
          <cell r="L17">
            <v>0</v>
          </cell>
          <cell r="M17">
            <v>0</v>
          </cell>
        </row>
        <row r="18">
          <cell r="C18" t="str">
            <v>10th Grade</v>
          </cell>
          <cell r="D18">
            <v>0</v>
          </cell>
          <cell r="E18">
            <v>0</v>
          </cell>
          <cell r="F18">
            <v>0</v>
          </cell>
          <cell r="G18">
            <v>0</v>
          </cell>
          <cell r="H18">
            <v>0</v>
          </cell>
          <cell r="I18">
            <v>0</v>
          </cell>
          <cell r="J18">
            <v>0</v>
          </cell>
          <cell r="K18">
            <v>0</v>
          </cell>
          <cell r="L18">
            <v>0</v>
          </cell>
          <cell r="M18">
            <v>0</v>
          </cell>
        </row>
        <row r="19">
          <cell r="C19" t="str">
            <v>11th Grade</v>
          </cell>
          <cell r="D19">
            <v>0</v>
          </cell>
          <cell r="E19">
            <v>0</v>
          </cell>
          <cell r="F19">
            <v>0</v>
          </cell>
          <cell r="G19">
            <v>0</v>
          </cell>
          <cell r="H19">
            <v>0</v>
          </cell>
          <cell r="I19">
            <v>0</v>
          </cell>
          <cell r="J19">
            <v>0</v>
          </cell>
          <cell r="K19">
            <v>0</v>
          </cell>
          <cell r="L19">
            <v>0</v>
          </cell>
          <cell r="M19">
            <v>0</v>
          </cell>
        </row>
        <row r="20">
          <cell r="C20" t="str">
            <v>12th Grade</v>
          </cell>
          <cell r="D20">
            <v>0</v>
          </cell>
          <cell r="E20">
            <v>0</v>
          </cell>
          <cell r="F20">
            <v>0</v>
          </cell>
          <cell r="G20">
            <v>0</v>
          </cell>
          <cell r="H20">
            <v>0</v>
          </cell>
          <cell r="I20">
            <v>0</v>
          </cell>
          <cell r="J20">
            <v>0</v>
          </cell>
          <cell r="K20">
            <v>0</v>
          </cell>
          <cell r="L20">
            <v>0</v>
          </cell>
          <cell r="M20">
            <v>0</v>
          </cell>
        </row>
        <row r="22">
          <cell r="C22" t="str">
            <v>Total Elementary Enrollment</v>
          </cell>
          <cell r="D22">
            <v>0</v>
          </cell>
          <cell r="E22">
            <v>0</v>
          </cell>
          <cell r="F22">
            <v>0</v>
          </cell>
          <cell r="G22">
            <v>0</v>
          </cell>
          <cell r="H22">
            <v>0</v>
          </cell>
          <cell r="I22">
            <v>0</v>
          </cell>
          <cell r="J22">
            <v>0</v>
          </cell>
          <cell r="K22">
            <v>0</v>
          </cell>
          <cell r="L22">
            <v>0</v>
          </cell>
          <cell r="M22">
            <v>0</v>
          </cell>
        </row>
        <row r="23">
          <cell r="C23" t="str">
            <v>Total Middle School Enrollment</v>
          </cell>
          <cell r="D23">
            <v>0</v>
          </cell>
          <cell r="E23">
            <v>0</v>
          </cell>
          <cell r="F23">
            <v>0</v>
          </cell>
          <cell r="G23">
            <v>0</v>
          </cell>
          <cell r="H23">
            <v>0</v>
          </cell>
          <cell r="I23">
            <v>0</v>
          </cell>
          <cell r="J23">
            <v>0</v>
          </cell>
          <cell r="K23">
            <v>0</v>
          </cell>
          <cell r="L23">
            <v>0</v>
          </cell>
          <cell r="M23">
            <v>0</v>
          </cell>
        </row>
        <row r="24">
          <cell r="C24" t="str">
            <v>Total High School Enrollment</v>
          </cell>
          <cell r="D24">
            <v>0</v>
          </cell>
          <cell r="E24">
            <v>0</v>
          </cell>
          <cell r="F24">
            <v>0</v>
          </cell>
          <cell r="G24">
            <v>0</v>
          </cell>
          <cell r="H24">
            <v>0</v>
          </cell>
          <cell r="I24">
            <v>0</v>
          </cell>
          <cell r="J24">
            <v>0</v>
          </cell>
          <cell r="K24">
            <v>0</v>
          </cell>
          <cell r="L24">
            <v>0</v>
          </cell>
          <cell r="M24">
            <v>0</v>
          </cell>
        </row>
        <row r="25">
          <cell r="C25" t="str">
            <v>Total Enrollment</v>
          </cell>
          <cell r="D25">
            <v>0</v>
          </cell>
          <cell r="E25">
            <v>0</v>
          </cell>
          <cell r="F25">
            <v>0</v>
          </cell>
          <cell r="G25">
            <v>0</v>
          </cell>
          <cell r="H25">
            <v>0</v>
          </cell>
          <cell r="I25">
            <v>0</v>
          </cell>
          <cell r="J25">
            <v>0</v>
          </cell>
          <cell r="K25">
            <v>0</v>
          </cell>
          <cell r="L25">
            <v>0</v>
          </cell>
          <cell r="M25">
            <v>0</v>
          </cell>
        </row>
        <row r="26">
          <cell r="C26" t="str">
            <v>Change in Net Enrollment from Prior Year</v>
          </cell>
          <cell r="D26">
            <v>0</v>
          </cell>
          <cell r="E26">
            <v>0</v>
          </cell>
          <cell r="F26">
            <v>0</v>
          </cell>
          <cell r="G26">
            <v>0</v>
          </cell>
          <cell r="H26">
            <v>0</v>
          </cell>
          <cell r="I26">
            <v>0</v>
          </cell>
          <cell r="J26">
            <v>0</v>
          </cell>
          <cell r="K26">
            <v>0</v>
          </cell>
          <cell r="L26">
            <v>0</v>
          </cell>
          <cell r="M26">
            <v>0</v>
          </cell>
        </row>
        <row r="28">
          <cell r="C28" t="str">
            <v>STUDENT POPULATION</v>
          </cell>
        </row>
        <row r="29">
          <cell r="C29" t="str">
            <v>Average Daily Membership %</v>
          </cell>
          <cell r="D29">
            <v>0</v>
          </cell>
          <cell r="E29">
            <v>0</v>
          </cell>
          <cell r="F29">
            <v>0</v>
          </cell>
          <cell r="G29">
            <v>0</v>
          </cell>
          <cell r="H29">
            <v>0</v>
          </cell>
          <cell r="I29">
            <v>0</v>
          </cell>
          <cell r="J29">
            <v>0</v>
          </cell>
          <cell r="K29">
            <v>0</v>
          </cell>
          <cell r="L29">
            <v>0</v>
          </cell>
          <cell r="M29">
            <v>0</v>
          </cell>
        </row>
        <row r="30">
          <cell r="C30" t="str">
            <v>Average Daily Membership (ADM)</v>
          </cell>
          <cell r="D30">
            <v>0</v>
          </cell>
          <cell r="E30">
            <v>0</v>
          </cell>
          <cell r="F30">
            <v>0</v>
          </cell>
          <cell r="G30">
            <v>0</v>
          </cell>
          <cell r="H30">
            <v>0</v>
          </cell>
          <cell r="I30">
            <v>0</v>
          </cell>
          <cell r="J30">
            <v>0</v>
          </cell>
          <cell r="K30">
            <v>0</v>
          </cell>
          <cell r="L30">
            <v>0</v>
          </cell>
          <cell r="M30">
            <v>0</v>
          </cell>
        </row>
        <row r="32">
          <cell r="C32" t="str">
            <v>Average Daily Attendance %</v>
          </cell>
          <cell r="D32">
            <v>0</v>
          </cell>
          <cell r="E32">
            <v>0</v>
          </cell>
          <cell r="F32">
            <v>0</v>
          </cell>
          <cell r="G32">
            <v>0</v>
          </cell>
          <cell r="H32">
            <v>0</v>
          </cell>
          <cell r="I32">
            <v>0</v>
          </cell>
          <cell r="J32">
            <v>0</v>
          </cell>
          <cell r="K32">
            <v>0</v>
          </cell>
          <cell r="L32">
            <v>0</v>
          </cell>
          <cell r="M32">
            <v>0</v>
          </cell>
        </row>
        <row r="33">
          <cell r="C33" t="str">
            <v>Average Daily Attendance (ADA)</v>
          </cell>
          <cell r="D33">
            <v>0</v>
          </cell>
          <cell r="E33">
            <v>0</v>
          </cell>
          <cell r="F33">
            <v>0</v>
          </cell>
          <cell r="G33">
            <v>0</v>
          </cell>
          <cell r="H33">
            <v>0</v>
          </cell>
          <cell r="I33">
            <v>0</v>
          </cell>
          <cell r="J33">
            <v>0</v>
          </cell>
          <cell r="K33">
            <v>0</v>
          </cell>
          <cell r="L33">
            <v>0</v>
          </cell>
          <cell r="M33">
            <v>0</v>
          </cell>
        </row>
        <row r="35">
          <cell r="C35" t="str">
            <v>Special Education Students %</v>
          </cell>
          <cell r="D35">
            <v>0</v>
          </cell>
          <cell r="E35">
            <v>0</v>
          </cell>
          <cell r="F35">
            <v>0</v>
          </cell>
          <cell r="G35">
            <v>0</v>
          </cell>
          <cell r="H35">
            <v>0</v>
          </cell>
          <cell r="I35">
            <v>0</v>
          </cell>
          <cell r="J35">
            <v>0</v>
          </cell>
          <cell r="K35">
            <v>0</v>
          </cell>
          <cell r="L35">
            <v>0</v>
          </cell>
          <cell r="M35">
            <v>0</v>
          </cell>
        </row>
        <row r="36">
          <cell r="C36" t="str">
            <v>Special Education Student Count (SPED)</v>
          </cell>
          <cell r="D36">
            <v>0</v>
          </cell>
          <cell r="E36">
            <v>0</v>
          </cell>
          <cell r="F36">
            <v>0</v>
          </cell>
          <cell r="G36">
            <v>0</v>
          </cell>
          <cell r="H36">
            <v>0</v>
          </cell>
          <cell r="I36">
            <v>0</v>
          </cell>
          <cell r="J36">
            <v>0</v>
          </cell>
          <cell r="K36">
            <v>0</v>
          </cell>
          <cell r="L36">
            <v>0</v>
          </cell>
          <cell r="M36">
            <v>0</v>
          </cell>
        </row>
        <row r="38">
          <cell r="C38" t="str">
            <v>English Language Learner %</v>
          </cell>
          <cell r="D38">
            <v>0.8</v>
          </cell>
          <cell r="E38">
            <v>0.8</v>
          </cell>
          <cell r="F38">
            <v>0.8</v>
          </cell>
          <cell r="G38">
            <v>0.8</v>
          </cell>
          <cell r="H38">
            <v>0.8</v>
          </cell>
          <cell r="I38">
            <v>0</v>
          </cell>
          <cell r="J38">
            <v>0</v>
          </cell>
          <cell r="K38">
            <v>0</v>
          </cell>
          <cell r="L38">
            <v>0</v>
          </cell>
          <cell r="M38">
            <v>0</v>
          </cell>
        </row>
        <row r="39">
          <cell r="C39" t="str">
            <v>English Language Learner Count (ELL)</v>
          </cell>
          <cell r="D39">
            <v>0</v>
          </cell>
          <cell r="E39">
            <v>0</v>
          </cell>
          <cell r="F39">
            <v>0</v>
          </cell>
          <cell r="G39">
            <v>0</v>
          </cell>
          <cell r="H39">
            <v>0</v>
          </cell>
          <cell r="I39">
            <v>0</v>
          </cell>
          <cell r="J39">
            <v>0</v>
          </cell>
          <cell r="K39">
            <v>0</v>
          </cell>
          <cell r="L39">
            <v>0</v>
          </cell>
          <cell r="M39">
            <v>0</v>
          </cell>
        </row>
        <row r="41">
          <cell r="C41" t="str">
            <v>% Student Qualifying for Free Lunch</v>
          </cell>
          <cell r="D41">
            <v>0</v>
          </cell>
          <cell r="E41">
            <v>0</v>
          </cell>
          <cell r="F41">
            <v>0</v>
          </cell>
          <cell r="G41">
            <v>0</v>
          </cell>
          <cell r="H41">
            <v>0</v>
          </cell>
          <cell r="I41">
            <v>0</v>
          </cell>
          <cell r="J41">
            <v>0</v>
          </cell>
          <cell r="K41">
            <v>0</v>
          </cell>
          <cell r="L41">
            <v>0</v>
          </cell>
          <cell r="M41">
            <v>0</v>
          </cell>
        </row>
        <row r="42">
          <cell r="C42" t="str">
            <v>Student Count Qualifying for Free Lunch</v>
          </cell>
          <cell r="D42">
            <v>0</v>
          </cell>
          <cell r="E42">
            <v>0</v>
          </cell>
          <cell r="F42">
            <v>0</v>
          </cell>
          <cell r="G42">
            <v>0</v>
          </cell>
          <cell r="H42">
            <v>0</v>
          </cell>
          <cell r="I42">
            <v>0</v>
          </cell>
          <cell r="J42">
            <v>0</v>
          </cell>
          <cell r="K42">
            <v>0</v>
          </cell>
          <cell r="L42">
            <v>0</v>
          </cell>
          <cell r="M42">
            <v>0</v>
          </cell>
        </row>
        <row r="44">
          <cell r="C44" t="str">
            <v>% Student Qualifying for Reduced Lunch</v>
          </cell>
          <cell r="D44">
            <v>0</v>
          </cell>
          <cell r="E44">
            <v>0</v>
          </cell>
          <cell r="F44">
            <v>0</v>
          </cell>
          <cell r="G44">
            <v>0</v>
          </cell>
          <cell r="H44">
            <v>0</v>
          </cell>
          <cell r="I44">
            <v>0</v>
          </cell>
          <cell r="J44">
            <v>0</v>
          </cell>
          <cell r="K44">
            <v>0</v>
          </cell>
          <cell r="L44">
            <v>0</v>
          </cell>
          <cell r="M44">
            <v>0</v>
          </cell>
        </row>
        <row r="45">
          <cell r="C45" t="str">
            <v>Student Count Qualifying for Reduced Lunch</v>
          </cell>
          <cell r="D45">
            <v>0</v>
          </cell>
          <cell r="E45">
            <v>0</v>
          </cell>
          <cell r="F45">
            <v>0</v>
          </cell>
          <cell r="G45">
            <v>0</v>
          </cell>
          <cell r="H45">
            <v>0</v>
          </cell>
          <cell r="I45">
            <v>0</v>
          </cell>
          <cell r="J45">
            <v>0</v>
          </cell>
          <cell r="K45">
            <v>0</v>
          </cell>
          <cell r="L45">
            <v>0</v>
          </cell>
          <cell r="M45">
            <v>0</v>
          </cell>
        </row>
        <row r="47">
          <cell r="C47" t="str">
            <v>Free and Reduced Lunch Student %</v>
          </cell>
          <cell r="D47">
            <v>0</v>
          </cell>
          <cell r="E47">
            <v>0</v>
          </cell>
          <cell r="F47">
            <v>0</v>
          </cell>
          <cell r="G47">
            <v>0</v>
          </cell>
          <cell r="H47">
            <v>0</v>
          </cell>
          <cell r="I47">
            <v>0</v>
          </cell>
          <cell r="J47">
            <v>0</v>
          </cell>
          <cell r="K47">
            <v>0</v>
          </cell>
          <cell r="L47">
            <v>0</v>
          </cell>
          <cell r="M47">
            <v>0</v>
          </cell>
        </row>
        <row r="48">
          <cell r="C48" t="str">
            <v>Student Count Qualifying for Free or Reduced Lunch</v>
          </cell>
          <cell r="D48">
            <v>0</v>
          </cell>
          <cell r="E48">
            <v>0</v>
          </cell>
          <cell r="F48">
            <v>0</v>
          </cell>
          <cell r="G48">
            <v>0</v>
          </cell>
          <cell r="H48">
            <v>0</v>
          </cell>
          <cell r="I48">
            <v>0</v>
          </cell>
          <cell r="J48">
            <v>0</v>
          </cell>
          <cell r="K48">
            <v>0</v>
          </cell>
          <cell r="L48">
            <v>0</v>
          </cell>
          <cell r="M48">
            <v>0</v>
          </cell>
        </row>
        <row r="50">
          <cell r="C50" t="str">
            <v>Learning Assistance Program</v>
          </cell>
          <cell r="D50">
            <v>0</v>
          </cell>
          <cell r="E50">
            <v>0</v>
          </cell>
          <cell r="F50">
            <v>0</v>
          </cell>
          <cell r="G50">
            <v>0</v>
          </cell>
          <cell r="H50">
            <v>0</v>
          </cell>
          <cell r="I50">
            <v>0</v>
          </cell>
          <cell r="J50">
            <v>0</v>
          </cell>
          <cell r="K50">
            <v>0</v>
          </cell>
          <cell r="L50">
            <v>0</v>
          </cell>
          <cell r="M50">
            <v>0</v>
          </cell>
        </row>
        <row r="51">
          <cell r="C51" t="str">
            <v>Learning Assistance Program Count</v>
          </cell>
          <cell r="D51">
            <v>0</v>
          </cell>
          <cell r="E51">
            <v>0</v>
          </cell>
          <cell r="F51">
            <v>0</v>
          </cell>
          <cell r="G51">
            <v>0</v>
          </cell>
          <cell r="H51">
            <v>0</v>
          </cell>
          <cell r="I51">
            <v>0</v>
          </cell>
          <cell r="J51">
            <v>0</v>
          </cell>
          <cell r="K51">
            <v>0</v>
          </cell>
          <cell r="L51">
            <v>0</v>
          </cell>
          <cell r="M51">
            <v>0</v>
          </cell>
        </row>
        <row r="53">
          <cell r="C53" t="str">
            <v>Transitional Bilingual</v>
          </cell>
          <cell r="D53">
            <v>0</v>
          </cell>
          <cell r="E53">
            <v>0</v>
          </cell>
          <cell r="F53">
            <v>0</v>
          </cell>
          <cell r="G53">
            <v>0</v>
          </cell>
          <cell r="H53">
            <v>0</v>
          </cell>
          <cell r="I53">
            <v>0</v>
          </cell>
          <cell r="J53">
            <v>0</v>
          </cell>
          <cell r="K53">
            <v>0</v>
          </cell>
          <cell r="L53">
            <v>0</v>
          </cell>
          <cell r="M53">
            <v>0</v>
          </cell>
        </row>
        <row r="54">
          <cell r="C54" t="str">
            <v>Transitional Bilingual Count</v>
          </cell>
          <cell r="D54">
            <v>0</v>
          </cell>
          <cell r="E54">
            <v>0</v>
          </cell>
          <cell r="F54">
            <v>0</v>
          </cell>
          <cell r="G54">
            <v>0</v>
          </cell>
          <cell r="H54">
            <v>0</v>
          </cell>
          <cell r="I54">
            <v>0</v>
          </cell>
          <cell r="J54">
            <v>0</v>
          </cell>
          <cell r="K54">
            <v>0</v>
          </cell>
          <cell r="L54">
            <v>0</v>
          </cell>
          <cell r="M54">
            <v>0</v>
          </cell>
        </row>
        <row r="56">
          <cell r="C56" t="str">
            <v>Highly Capable</v>
          </cell>
          <cell r="D56">
            <v>0</v>
          </cell>
          <cell r="E56">
            <v>0</v>
          </cell>
          <cell r="F56">
            <v>0</v>
          </cell>
          <cell r="G56">
            <v>0</v>
          </cell>
          <cell r="H56">
            <v>0</v>
          </cell>
          <cell r="I56">
            <v>0</v>
          </cell>
          <cell r="J56">
            <v>0</v>
          </cell>
          <cell r="K56">
            <v>0</v>
          </cell>
          <cell r="L56">
            <v>0</v>
          </cell>
          <cell r="M56">
            <v>0</v>
          </cell>
        </row>
        <row r="57">
          <cell r="C57" t="str">
            <v>Highly Capable Count</v>
          </cell>
          <cell r="D57">
            <v>0</v>
          </cell>
          <cell r="E57">
            <v>0</v>
          </cell>
          <cell r="F57">
            <v>0</v>
          </cell>
          <cell r="G57">
            <v>0</v>
          </cell>
          <cell r="H57">
            <v>0</v>
          </cell>
          <cell r="I57">
            <v>0</v>
          </cell>
          <cell r="J57">
            <v>0</v>
          </cell>
          <cell r="K57">
            <v>0</v>
          </cell>
          <cell r="L57">
            <v>0</v>
          </cell>
          <cell r="M57">
            <v>0</v>
          </cell>
        </row>
        <row r="59">
          <cell r="C59" t="str">
            <v>Student Transportation</v>
          </cell>
          <cell r="D59">
            <v>0</v>
          </cell>
          <cell r="E59">
            <v>0</v>
          </cell>
          <cell r="F59">
            <v>0</v>
          </cell>
          <cell r="G59">
            <v>0</v>
          </cell>
          <cell r="H59">
            <v>0</v>
          </cell>
          <cell r="I59">
            <v>0</v>
          </cell>
          <cell r="J59">
            <v>0</v>
          </cell>
          <cell r="K59">
            <v>0</v>
          </cell>
          <cell r="L59">
            <v>0</v>
          </cell>
          <cell r="M59">
            <v>0</v>
          </cell>
        </row>
        <row r="60">
          <cell r="C60" t="str">
            <v>Student Transportation Count</v>
          </cell>
          <cell r="D60">
            <v>0</v>
          </cell>
          <cell r="E60">
            <v>0</v>
          </cell>
          <cell r="F60">
            <v>0</v>
          </cell>
          <cell r="G60">
            <v>0</v>
          </cell>
          <cell r="H60">
            <v>0</v>
          </cell>
          <cell r="I60">
            <v>0</v>
          </cell>
          <cell r="J60">
            <v>0</v>
          </cell>
          <cell r="K60">
            <v>0</v>
          </cell>
          <cell r="L60">
            <v>0</v>
          </cell>
          <cell r="M60">
            <v>0</v>
          </cell>
        </row>
      </sheetData>
      <sheetData sheetId="9">
        <row r="25">
          <cell r="D25">
            <v>0</v>
          </cell>
          <cell r="F25">
            <v>0</v>
          </cell>
          <cell r="G25">
            <v>0</v>
          </cell>
          <cell r="I25">
            <v>0</v>
          </cell>
          <cell r="J25">
            <v>0</v>
          </cell>
          <cell r="K25">
            <v>0</v>
          </cell>
          <cell r="L25">
            <v>0</v>
          </cell>
          <cell r="M25">
            <v>0</v>
          </cell>
          <cell r="N25">
            <v>0</v>
          </cell>
          <cell r="O25">
            <v>0</v>
          </cell>
          <cell r="P25">
            <v>0</v>
          </cell>
          <cell r="Q25">
            <v>0</v>
          </cell>
          <cell r="R25">
            <v>0</v>
          </cell>
          <cell r="S25">
            <v>0</v>
          </cell>
          <cell r="T25">
            <v>0</v>
          </cell>
        </row>
      </sheetData>
      <sheetData sheetId="10"/>
      <sheetData sheetId="11"/>
      <sheetData sheetId="12"/>
      <sheetData sheetId="13"/>
      <sheetData sheetId="14"/>
      <sheetData sheetId="15"/>
      <sheetData sheetId="16"/>
      <sheetData sheetId="17"/>
      <sheetData sheetId="18"/>
      <sheetData sheetId="19"/>
      <sheetData sheetId="20"/>
      <sheetData sheetId="21">
        <row r="2">
          <cell r="B2" t="str">
            <v>Executive Management</v>
          </cell>
        </row>
        <row r="3">
          <cell r="B3" t="str">
            <v>Instructional Management</v>
          </cell>
        </row>
        <row r="4">
          <cell r="B4" t="str">
            <v>Deans, Directors &amp; Coordinators</v>
          </cell>
        </row>
        <row r="5">
          <cell r="B5" t="str">
            <v>CFO / Director of Finance</v>
          </cell>
        </row>
        <row r="6">
          <cell r="B6" t="str">
            <v>Operation / Business Manager</v>
          </cell>
        </row>
        <row r="7">
          <cell r="B7" t="str">
            <v>Administrative Staff</v>
          </cell>
        </row>
        <row r="8">
          <cell r="B8" t="str">
            <v>Other - Administrative</v>
          </cell>
        </row>
        <row r="9">
          <cell r="B9" t="str">
            <v>Teachers - Regular</v>
          </cell>
        </row>
        <row r="10">
          <cell r="B10" t="str">
            <v>Teachers - SPED</v>
          </cell>
        </row>
        <row r="11">
          <cell r="B11" t="str">
            <v>Substitute Teachers</v>
          </cell>
        </row>
        <row r="12">
          <cell r="B12" t="str">
            <v>Teaching Assistants</v>
          </cell>
        </row>
        <row r="13">
          <cell r="B13" t="str">
            <v>Specialty Teachers</v>
          </cell>
        </row>
        <row r="14">
          <cell r="B14" t="str">
            <v>Aides</v>
          </cell>
        </row>
        <row r="15">
          <cell r="B15" t="str">
            <v>Therapists &amp; Counselors</v>
          </cell>
        </row>
        <row r="16">
          <cell r="B16" t="str">
            <v xml:space="preserve">Other - Instructional </v>
          </cell>
        </row>
        <row r="17">
          <cell r="B17" t="str">
            <v>Nurse</v>
          </cell>
        </row>
        <row r="18">
          <cell r="B18" t="str">
            <v>Librarian</v>
          </cell>
        </row>
        <row r="19">
          <cell r="B19" t="str">
            <v>Custodian</v>
          </cell>
        </row>
        <row r="20">
          <cell r="B20" t="str">
            <v>Security</v>
          </cell>
        </row>
        <row r="21">
          <cell r="B21" t="str">
            <v xml:space="preserve">Other - Non-Instructional </v>
          </cell>
        </row>
      </sheetData>
    </sheetDataSet>
  </externalBook>
</externalLink>
</file>

<file path=xl/persons/person.xml><?xml version="1.0" encoding="utf-8"?>
<personList xmlns="http://schemas.microsoft.com/office/spreadsheetml/2018/threadedcomments" xmlns:x="http://schemas.openxmlformats.org/spreadsheetml/2006/main">
  <person displayName="ashleywiegner6@gmail.com" id="{CAB69245-0095-924F-A9F0-E56B84B5FF75}" userId="8981be4354825801" providerId="Windows Live"/>
  <person displayName="Jason Nowlin" id="{38C5C017-C1B9-4374-B368-834B45EF8A46}" userId="S::jnowlin@aftonpartners.com::3db18002-4709-412a-bdcb-8fb83cb9504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1" dT="2026-05-05T16:40:57.77" personId="{CAB69245-0095-924F-A9F0-E56B84B5FF75}" id="{0432481C-F046-E44B-9597-90EFA7587E45}">
    <text>Jared said $12,259; Travis says $12,000; OSPI for SIA says $11,449</text>
  </threadedComment>
  <threadedComment ref="D42" dT="2026-05-05T16:40:30.73" personId="{CAB69245-0095-924F-A9F0-E56B84B5FF75}" id="{1CE3773E-9583-394E-9E77-301B8A4361F5}">
    <text>Jared's model said $1,464</text>
  </threadedComment>
  <threadedComment ref="D42" dT="2026-05-12T05:13:46.24" personId="{CAB69245-0095-924F-A9F0-E56B84B5FF75}" id="{9DC82BEC-5E34-DC49-BCDD-03954BDCB3CD}" parentId="{1CE3773E-9583-394E-9E77-301B8A4361F5}">
    <text>Travis tool $4,500</text>
  </threadedComment>
  <threadedComment ref="D45" dT="2026-05-12T04:59:42.53" personId="{CAB69245-0095-924F-A9F0-E56B84B5FF75}" id="{9E3AA367-F328-FD41-8497-6A7419BAA230}">
    <text>Travis says $13,556</text>
  </threadedComment>
  <threadedComment ref="D46" dT="2026-05-12T04:58:20.02" personId="{CAB69245-0095-924F-A9F0-E56B84B5FF75}" id="{3ED20AD8-B031-F046-8E30-50BED88F06D2}">
    <text>Travis tool says $374; OSPI LAP calculator for SIA says $370; budget example from SIA says $311</text>
  </threadedComment>
  <threadedComment ref="D47" dT="2026-05-12T05:11:34.75" personId="{CAB69245-0095-924F-A9F0-E56B84B5FF75}" id="{EC9678F1-2BD5-444D-AB2A-8D6B749DE6B5}">
    <text>Travis tool says $128; OSPI SIA budget example says $140</text>
  </threadedComment>
  <threadedComment ref="D48" dT="2026-05-12T05:12:24.03" personId="{CAB69245-0095-924F-A9F0-E56B84B5FF75}" id="{BB3A4127-5A57-FF47-8924-D3DF45959D57}">
    <text>Travis tool says $29; OSPI SIA Budget Example says $31</text>
  </threadedComment>
  <threadedComment ref="D50" dT="2026-05-13T22:15:05.74" personId="{CAB69245-0095-924F-A9F0-E56B84B5FF75}" id="{D861D7CB-BC2E-7341-8015-554D83D585A8}">
    <text>OSPI SIA Budget Example said $608</text>
  </threadedComment>
  <threadedComment ref="D54" dT="2026-05-12T05:02:13.89" personId="{CAB69245-0095-924F-A9F0-E56B84B5FF75}" id="{87F8BB1B-F941-264D-AB4F-8B13FBDADB2D}">
    <text>Travis tool says $528 per pupil??</text>
  </threadedComment>
  <threadedComment ref="D57" dT="2026-05-12T05:04:51.51" personId="{CAB69245-0095-924F-A9F0-E56B84B5FF75}" id="{2BD5AA7A-29C9-1744-BCE2-4FF0F1E86F62}">
    <text>Travis tool says $47,040</text>
  </threadedComment>
  <threadedComment ref="E57" dT="2026-05-12T05:04:51.51" personId="{CAB69245-0095-924F-A9F0-E56B84B5FF75}" id="{DA6A59C6-B281-364D-81E9-0DA625B0EBB6}">
    <text>Travis tool says $47,040</text>
  </threadedComment>
</ThreadedComments>
</file>

<file path=xl/threadedComments/threadedComment2.xml><?xml version="1.0" encoding="utf-8"?>
<ThreadedComments xmlns="http://schemas.microsoft.com/office/spreadsheetml/2018/threadedcomments" xmlns:x="http://schemas.openxmlformats.org/spreadsheetml/2006/main">
  <threadedComment ref="B31" dT="2026-03-12T18:16:21.94" personId="{38C5C017-C1B9-4374-B368-834B45EF8A46}" id="{D8C797AD-97F4-4AD9-B980-BED46558333E}">
    <text>Collaboration Note:
Connecting the attrition rate to the grade level table makes data entry more complex for schools. Recommend leaving the input here, but disconnected from the table. Then, we can provide guidance on connecting it to the table once they have set a planned enrollment scenario</text>
  </threadedComment>
  <threadedComment ref="D43" dT="2026-02-02T22:30:49.65" personId="{38C5C017-C1B9-4374-B368-834B45EF8A46}" id="{F6AC5C23-1C86-4E67-8A0D-DA1CCC6F53D0}">
    <text>Definition &amp; Thresholds: Schools are classified by poverty level based on the percentage of students eligible: low (≤25%), mid-low (25.1–50%), mid-high (50.1–75%), and high-poverty (&gt;75%).</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F6FE1EB-396D-454F-8970-EC03947EF8F0}">
  <we:reference id="29673e3c-d826-4f00-92ee-162334a52b1a" version="1.0.0.8" store="EXCatalog" storeType="EXCatalog"/>
  <we:alternateReferences>
    <we:reference id="WA200009404"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petteymelissa1@gmail.com" TargetMode="External"/><Relationship Id="rId1" Type="http://schemas.openxmlformats.org/officeDocument/2006/relationships/hyperlink" Target="mailto:xxxxx@xxxxx.xxx"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9/04/relationships/documenttask" Target="../documenttasks/documenttask1.xml"/><Relationship Id="rId2" Type="http://schemas.openxmlformats.org/officeDocument/2006/relationships/printerSettings" Target="../printerSettings/printerSettings3.bin"/><Relationship Id="rId1" Type="http://schemas.openxmlformats.org/officeDocument/2006/relationships/hyperlink" Target="https://www.educationdatacollective.com/"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fiscal.wa.gov/K12/K12Salaries?utm" TargetMode="External"/><Relationship Id="rId2" Type="http://schemas.openxmlformats.org/officeDocument/2006/relationships/hyperlink" Target="https://www.bls.gov/oes/2023/may/oes_wa.htm" TargetMode="External"/><Relationship Id="rId1" Type="http://schemas.openxmlformats.org/officeDocument/2006/relationships/hyperlink" Target="https://ospi.k12.wa.us/policy-funding/school-apportionment/school-publications/financial-reporting-summary?utm"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charterschool.wa.gov/documents/CSC.Financial-Performance-Framework_08.08.24_Final.pdf" TargetMode="External"/><Relationship Id="rId1" Type="http://schemas.openxmlformats.org/officeDocument/2006/relationships/hyperlink" Target="https://charterschool.app.box.com/s/aq9rum6r9xf2gy23q7xeneej9gszbiuq"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E0D7-B338-4CD6-B583-38453FE31B06}">
  <sheetPr codeName="Sheet1">
    <tabColor theme="1"/>
  </sheetPr>
  <dimension ref="A1:AA78"/>
  <sheetViews>
    <sheetView showGridLines="0" topLeftCell="A15" zoomScale="80" zoomScaleNormal="80" workbookViewId="0">
      <selection activeCell="C32" sqref="C32:D32"/>
    </sheetView>
  </sheetViews>
  <sheetFormatPr baseColWidth="10" defaultColWidth="8.6640625" defaultRowHeight="15"/>
  <cols>
    <col min="1" max="2" width="6.6640625" style="513" customWidth="1"/>
    <col min="3" max="3" width="41.1640625" style="513" bestFit="1" customWidth="1"/>
    <col min="4" max="4" width="175.6640625" style="513" customWidth="1"/>
    <col min="5" max="73" width="10.1640625" style="513" customWidth="1"/>
    <col min="74" max="16384" width="8.6640625" style="513"/>
  </cols>
  <sheetData>
    <row r="1" spans="1:27" ht="26">
      <c r="A1" s="438" t="s">
        <v>459</v>
      </c>
      <c r="B1" s="439"/>
      <c r="C1" s="439"/>
      <c r="D1" s="439"/>
      <c r="E1" s="494" t="s">
        <v>1330</v>
      </c>
      <c r="F1" s="439"/>
      <c r="G1" s="439"/>
      <c r="H1" s="439"/>
      <c r="I1" s="439"/>
      <c r="J1" s="439"/>
      <c r="K1" s="439"/>
      <c r="L1" s="439"/>
      <c r="M1" s="600"/>
      <c r="N1" s="523"/>
      <c r="O1" s="523"/>
      <c r="P1" s="523"/>
      <c r="Q1" s="523"/>
      <c r="R1" s="523"/>
      <c r="S1" s="523"/>
      <c r="T1" s="523"/>
      <c r="U1" s="523"/>
      <c r="V1" s="523"/>
      <c r="W1" s="523"/>
      <c r="X1" s="523"/>
      <c r="Y1" s="523"/>
      <c r="Z1" s="523"/>
      <c r="AA1" s="523"/>
    </row>
    <row r="2" spans="1:27" ht="16" customHeight="1">
      <c r="A2" s="440" t="s">
        <v>460</v>
      </c>
      <c r="B2" s="601"/>
      <c r="C2" s="601"/>
      <c r="D2" s="601"/>
      <c r="E2" s="601"/>
      <c r="F2" s="601"/>
      <c r="G2" s="601"/>
      <c r="H2" s="601"/>
      <c r="I2" s="601"/>
      <c r="J2" s="601"/>
      <c r="K2" s="601"/>
      <c r="L2" s="601"/>
      <c r="M2" s="602"/>
      <c r="N2" s="524"/>
      <c r="O2" s="524"/>
      <c r="P2" s="524"/>
      <c r="Q2" s="524"/>
      <c r="R2" s="524"/>
      <c r="S2" s="524"/>
      <c r="T2" s="524"/>
      <c r="U2" s="524"/>
      <c r="V2" s="524"/>
      <c r="W2" s="524"/>
      <c r="X2" s="524"/>
      <c r="Y2" s="524"/>
      <c r="Z2" s="524"/>
      <c r="AA2" s="524"/>
    </row>
    <row r="3" spans="1:27" ht="16" customHeight="1">
      <c r="A3" s="441" t="s">
        <v>10</v>
      </c>
      <c r="B3" s="442"/>
      <c r="C3" s="442"/>
      <c r="D3" s="442"/>
      <c r="E3" s="442"/>
      <c r="F3" s="442"/>
      <c r="G3" s="442"/>
      <c r="H3" s="442"/>
      <c r="I3" s="442"/>
      <c r="J3" s="442"/>
      <c r="K3" s="442"/>
      <c r="L3" s="442"/>
      <c r="M3" s="603"/>
      <c r="N3" s="524"/>
      <c r="O3" s="524"/>
      <c r="P3" s="524"/>
      <c r="Q3" s="524"/>
      <c r="R3" s="524"/>
      <c r="S3" s="524"/>
      <c r="T3" s="524"/>
      <c r="U3" s="524"/>
      <c r="V3" s="524"/>
      <c r="W3" s="524"/>
      <c r="X3" s="524"/>
      <c r="Y3" s="524"/>
      <c r="Z3" s="524"/>
      <c r="AA3" s="524"/>
    </row>
    <row r="4" spans="1:27" ht="16" customHeight="1">
      <c r="A4" s="183"/>
      <c r="B4"/>
      <c r="C4"/>
      <c r="D4" s="604"/>
      <c r="E4"/>
      <c r="F4"/>
      <c r="G4"/>
      <c r="H4"/>
      <c r="I4"/>
      <c r="J4"/>
      <c r="K4"/>
      <c r="L4"/>
      <c r="M4" s="464"/>
    </row>
    <row r="5" spans="1:27" ht="19">
      <c r="A5" s="443" t="s">
        <v>472</v>
      </c>
      <c r="B5" s="432"/>
      <c r="C5" s="432"/>
      <c r="D5" s="433"/>
      <c r="E5" s="605"/>
      <c r="F5" s="606"/>
      <c r="G5" s="607"/>
      <c r="H5"/>
      <c r="I5"/>
      <c r="J5"/>
      <c r="K5"/>
      <c r="L5"/>
      <c r="M5" s="464"/>
    </row>
    <row r="6" spans="1:27" ht="18.5" customHeight="1">
      <c r="A6" s="808" t="s">
        <v>461</v>
      </c>
      <c r="B6" s="809"/>
      <c r="C6" s="809"/>
      <c r="D6" s="810"/>
      <c r="E6" s="605"/>
      <c r="F6" s="13"/>
      <c r="G6" s="13"/>
      <c r="H6"/>
      <c r="I6"/>
      <c r="J6"/>
      <c r="K6"/>
      <c r="L6"/>
      <c r="M6" s="464"/>
    </row>
    <row r="7" spans="1:27" ht="19">
      <c r="A7" s="183"/>
      <c r="B7" s="53" t="s">
        <v>462</v>
      </c>
      <c r="C7" s="53"/>
      <c r="D7" s="53"/>
      <c r="E7" s="605"/>
      <c r="F7" s="13"/>
      <c r="G7" s="13"/>
      <c r="H7"/>
      <c r="I7"/>
      <c r="J7"/>
      <c r="K7"/>
      <c r="L7"/>
      <c r="M7" s="464"/>
    </row>
    <row r="8" spans="1:27" ht="19">
      <c r="A8" s="183"/>
      <c r="B8" s="53" t="s">
        <v>463</v>
      </c>
      <c r="C8" s="53"/>
      <c r="D8" s="53"/>
      <c r="E8" s="605"/>
      <c r="F8" s="13"/>
      <c r="G8" s="13"/>
      <c r="H8"/>
      <c r="I8"/>
      <c r="J8"/>
      <c r="K8"/>
      <c r="L8"/>
      <c r="M8" s="464"/>
    </row>
    <row r="9" spans="1:27" ht="19">
      <c r="A9" s="183"/>
      <c r="B9" s="53" t="s">
        <v>464</v>
      </c>
      <c r="C9" s="53"/>
      <c r="D9" s="53"/>
      <c r="E9" s="605"/>
      <c r="F9" s="13"/>
      <c r="G9" s="13"/>
      <c r="H9"/>
      <c r="I9"/>
      <c r="J9"/>
      <c r="K9"/>
      <c r="L9"/>
      <c r="M9" s="464"/>
    </row>
    <row r="10" spans="1:27" ht="19">
      <c r="A10" s="183"/>
      <c r="B10" s="53" t="s">
        <v>465</v>
      </c>
      <c r="C10" s="53"/>
      <c r="D10" s="53"/>
      <c r="E10" s="605"/>
      <c r="F10" s="13"/>
      <c r="G10" s="13"/>
      <c r="H10"/>
      <c r="I10"/>
      <c r="J10"/>
      <c r="K10"/>
      <c r="L10"/>
      <c r="M10" s="464"/>
    </row>
    <row r="11" spans="1:27" ht="19">
      <c r="A11" s="183"/>
      <c r="B11" s="53" t="s">
        <v>466</v>
      </c>
      <c r="C11" s="53"/>
      <c r="D11" s="53"/>
      <c r="E11" s="605"/>
      <c r="F11" s="13"/>
      <c r="G11" s="13"/>
      <c r="H11"/>
      <c r="I11"/>
      <c r="J11"/>
      <c r="K11"/>
      <c r="L11"/>
      <c r="M11" s="464"/>
    </row>
    <row r="12" spans="1:27" ht="19">
      <c r="A12" s="183"/>
      <c r="B12" s="53" t="s">
        <v>467</v>
      </c>
      <c r="C12" s="53"/>
      <c r="D12" s="53"/>
      <c r="E12" s="605"/>
      <c r="F12" s="13"/>
      <c r="G12" s="13"/>
      <c r="H12"/>
      <c r="I12"/>
      <c r="J12"/>
      <c r="K12"/>
      <c r="L12"/>
      <c r="M12" s="464"/>
    </row>
    <row r="13" spans="1:27" ht="19">
      <c r="A13" s="608"/>
      <c r="B13" s="53"/>
      <c r="C13" s="53"/>
      <c r="D13" s="53"/>
      <c r="E13" s="605"/>
      <c r="F13" s="13"/>
      <c r="G13" s="13"/>
      <c r="H13"/>
      <c r="I13"/>
      <c r="J13"/>
      <c r="K13"/>
      <c r="L13"/>
      <c r="M13" s="464"/>
    </row>
    <row r="14" spans="1:27" ht="19">
      <c r="A14" s="808" t="s">
        <v>468</v>
      </c>
      <c r="B14" s="809"/>
      <c r="C14" s="809"/>
      <c r="D14" s="810"/>
      <c r="E14" s="605"/>
      <c r="F14" s="13"/>
      <c r="G14" s="13"/>
      <c r="H14"/>
      <c r="I14"/>
      <c r="J14"/>
      <c r="K14"/>
      <c r="L14"/>
      <c r="M14" s="464"/>
    </row>
    <row r="15" spans="1:27" ht="19">
      <c r="A15" s="608"/>
      <c r="B15" s="53"/>
      <c r="C15" s="53"/>
      <c r="D15" s="53"/>
      <c r="E15" s="605"/>
      <c r="F15" s="13"/>
      <c r="G15" s="13"/>
      <c r="H15"/>
      <c r="I15"/>
      <c r="J15"/>
      <c r="K15"/>
      <c r="L15"/>
      <c r="M15" s="464"/>
    </row>
    <row r="16" spans="1:27" ht="19">
      <c r="A16" s="808" t="s">
        <v>469</v>
      </c>
      <c r="B16" s="809"/>
      <c r="C16" s="809"/>
      <c r="D16" s="810"/>
      <c r="E16" s="605"/>
      <c r="F16" s="13"/>
      <c r="G16" s="13"/>
      <c r="H16"/>
      <c r="I16"/>
      <c r="J16"/>
      <c r="K16"/>
      <c r="L16"/>
      <c r="M16" s="464"/>
    </row>
    <row r="17" spans="1:13" ht="19">
      <c r="A17" s="608" t="s">
        <v>470</v>
      </c>
      <c r="B17" s="53"/>
      <c r="C17" s="53"/>
      <c r="D17" s="53"/>
      <c r="E17" s="605"/>
      <c r="F17" s="13"/>
      <c r="G17" s="13"/>
      <c r="H17"/>
      <c r="I17"/>
      <c r="J17"/>
      <c r="K17"/>
      <c r="L17"/>
      <c r="M17" s="464"/>
    </row>
    <row r="18" spans="1:13" ht="19">
      <c r="A18" s="608" t="s">
        <v>471</v>
      </c>
      <c r="B18" s="53"/>
      <c r="C18" s="53"/>
      <c r="D18" s="53"/>
      <c r="E18" s="605"/>
      <c r="F18" s="13"/>
      <c r="G18" s="13"/>
      <c r="H18"/>
      <c r="I18"/>
      <c r="J18"/>
      <c r="K18"/>
      <c r="L18"/>
      <c r="M18" s="464"/>
    </row>
    <row r="19" spans="1:13" ht="19">
      <c r="A19" s="608"/>
      <c r="B19" s="53"/>
      <c r="C19" s="53"/>
      <c r="D19" s="53"/>
      <c r="E19" s="605"/>
      <c r="F19" s="13"/>
      <c r="G19" s="13"/>
      <c r="H19"/>
      <c r="I19"/>
      <c r="J19"/>
      <c r="K19"/>
      <c r="L19"/>
      <c r="M19" s="464"/>
    </row>
    <row r="20" spans="1:13" ht="19">
      <c r="A20" s="443" t="s">
        <v>473</v>
      </c>
      <c r="B20" s="432"/>
      <c r="C20" s="432"/>
      <c r="D20" s="433"/>
      <c r="E20" s="605"/>
      <c r="F20" s="606"/>
      <c r="G20" s="607"/>
      <c r="H20"/>
      <c r="I20"/>
      <c r="J20"/>
      <c r="K20"/>
      <c r="L20"/>
      <c r="M20" s="464"/>
    </row>
    <row r="21" spans="1:13" ht="19">
      <c r="A21" s="808" t="s">
        <v>474</v>
      </c>
      <c r="B21" s="809"/>
      <c r="C21" s="809" t="s">
        <v>475</v>
      </c>
      <c r="D21" s="810"/>
      <c r="E21" s="605"/>
      <c r="F21" s="13"/>
      <c r="G21" s="13"/>
      <c r="H21"/>
      <c r="I21"/>
      <c r="J21"/>
      <c r="K21"/>
      <c r="L21"/>
      <c r="M21" s="464"/>
    </row>
    <row r="22" spans="1:13" ht="19">
      <c r="A22" s="608"/>
      <c r="B22" s="53"/>
      <c r="C22" s="870" t="s">
        <v>476</v>
      </c>
      <c r="D22" s="870"/>
      <c r="E22" s="605"/>
      <c r="F22" s="13"/>
      <c r="G22" s="13"/>
      <c r="H22"/>
      <c r="I22"/>
      <c r="J22"/>
      <c r="K22"/>
      <c r="L22"/>
      <c r="M22" s="464"/>
    </row>
    <row r="23" spans="1:13" ht="19">
      <c r="A23" s="808" t="s">
        <v>477</v>
      </c>
      <c r="B23" s="809"/>
      <c r="C23" s="809" t="s">
        <v>480</v>
      </c>
      <c r="D23" s="810"/>
      <c r="E23" s="605"/>
      <c r="F23" s="13"/>
      <c r="G23" s="13"/>
      <c r="H23"/>
      <c r="I23"/>
      <c r="J23"/>
      <c r="K23"/>
      <c r="L23"/>
      <c r="M23" s="464"/>
    </row>
    <row r="24" spans="1:13" ht="37" customHeight="1">
      <c r="A24" s="608"/>
      <c r="B24" s="53"/>
      <c r="C24" s="870" t="s">
        <v>481</v>
      </c>
      <c r="D24" s="870"/>
      <c r="E24" s="605"/>
      <c r="F24" s="13"/>
      <c r="G24" s="13"/>
      <c r="H24"/>
      <c r="I24"/>
      <c r="J24"/>
      <c r="K24"/>
      <c r="L24"/>
      <c r="M24" s="464"/>
    </row>
    <row r="25" spans="1:13" ht="19">
      <c r="A25" s="808" t="s">
        <v>478</v>
      </c>
      <c r="B25" s="809"/>
      <c r="C25" s="809" t="s">
        <v>486</v>
      </c>
      <c r="D25" s="810"/>
      <c r="E25" s="605"/>
      <c r="F25" s="13"/>
      <c r="G25" s="13"/>
      <c r="H25"/>
      <c r="I25"/>
      <c r="J25"/>
      <c r="K25"/>
      <c r="L25"/>
      <c r="M25" s="464"/>
    </row>
    <row r="26" spans="1:13" ht="19">
      <c r="A26" s="608"/>
      <c r="B26" s="53"/>
      <c r="C26" s="870" t="s">
        <v>487</v>
      </c>
      <c r="D26" s="870"/>
      <c r="E26" s="605"/>
      <c r="F26" s="13"/>
      <c r="G26" s="13"/>
      <c r="H26"/>
      <c r="I26"/>
      <c r="J26"/>
      <c r="K26"/>
      <c r="L26"/>
      <c r="M26" s="464"/>
    </row>
    <row r="27" spans="1:13" ht="19">
      <c r="A27" s="808" t="s">
        <v>479</v>
      </c>
      <c r="B27" s="809"/>
      <c r="C27" s="809" t="s">
        <v>491</v>
      </c>
      <c r="D27" s="810"/>
      <c r="E27" s="605"/>
      <c r="F27" s="13"/>
      <c r="G27" s="13"/>
      <c r="H27"/>
      <c r="I27"/>
      <c r="J27"/>
      <c r="K27"/>
      <c r="L27"/>
      <c r="M27" s="464"/>
    </row>
    <row r="28" spans="1:13" ht="37" customHeight="1">
      <c r="A28" s="608"/>
      <c r="B28" s="53"/>
      <c r="C28" s="870" t="s">
        <v>1558</v>
      </c>
      <c r="D28" s="870"/>
      <c r="E28" s="605"/>
      <c r="F28" s="13"/>
      <c r="G28" s="13"/>
      <c r="H28"/>
      <c r="I28"/>
      <c r="J28"/>
      <c r="K28"/>
      <c r="L28"/>
      <c r="M28" s="464"/>
    </row>
    <row r="29" spans="1:13" ht="19">
      <c r="A29" s="808" t="s">
        <v>482</v>
      </c>
      <c r="B29" s="809"/>
      <c r="C29" s="809" t="s">
        <v>492</v>
      </c>
      <c r="D29" s="810"/>
      <c r="E29" s="605"/>
      <c r="F29" s="13"/>
      <c r="G29" s="13"/>
      <c r="H29"/>
      <c r="I29"/>
      <c r="J29"/>
      <c r="K29"/>
      <c r="L29"/>
      <c r="M29" s="464"/>
    </row>
    <row r="30" spans="1:13" ht="37" customHeight="1">
      <c r="A30" s="608"/>
      <c r="B30" s="53"/>
      <c r="C30" s="870" t="s">
        <v>493</v>
      </c>
      <c r="D30" s="870"/>
      <c r="E30" s="605"/>
      <c r="F30" s="13"/>
      <c r="G30" s="13"/>
      <c r="H30"/>
      <c r="I30"/>
      <c r="J30"/>
      <c r="K30"/>
      <c r="L30"/>
      <c r="M30" s="464"/>
    </row>
    <row r="31" spans="1:13" ht="19">
      <c r="A31" s="808" t="s">
        <v>483</v>
      </c>
      <c r="B31" s="809"/>
      <c r="C31" s="809" t="s">
        <v>494</v>
      </c>
      <c r="D31" s="810"/>
      <c r="E31" s="605"/>
      <c r="F31" s="13"/>
      <c r="G31" s="13"/>
      <c r="H31"/>
      <c r="I31"/>
      <c r="J31"/>
      <c r="K31"/>
      <c r="L31"/>
      <c r="M31" s="464"/>
    </row>
    <row r="32" spans="1:13" ht="19">
      <c r="A32" s="608"/>
      <c r="B32" s="53"/>
      <c r="C32" s="870" t="s">
        <v>488</v>
      </c>
      <c r="D32" s="870"/>
      <c r="E32" s="605"/>
      <c r="F32" s="13"/>
      <c r="G32" s="13"/>
      <c r="H32"/>
      <c r="I32"/>
      <c r="J32"/>
      <c r="K32"/>
      <c r="L32"/>
      <c r="M32" s="464"/>
    </row>
    <row r="33" spans="1:13" ht="19">
      <c r="A33" s="808" t="s">
        <v>484</v>
      </c>
      <c r="B33" s="809"/>
      <c r="C33" s="809" t="s">
        <v>495</v>
      </c>
      <c r="D33" s="810"/>
      <c r="E33" s="605"/>
      <c r="F33" s="13"/>
      <c r="G33" s="13"/>
      <c r="H33"/>
      <c r="I33"/>
      <c r="J33"/>
      <c r="K33"/>
      <c r="L33"/>
      <c r="M33" s="464"/>
    </row>
    <row r="34" spans="1:13" ht="19">
      <c r="A34" s="608"/>
      <c r="B34" s="53"/>
      <c r="C34" s="870" t="s">
        <v>489</v>
      </c>
      <c r="D34" s="870"/>
      <c r="E34" s="605"/>
      <c r="F34" s="13"/>
      <c r="G34" s="13"/>
      <c r="H34"/>
      <c r="I34"/>
      <c r="J34"/>
      <c r="K34"/>
      <c r="L34"/>
      <c r="M34" s="464"/>
    </row>
    <row r="35" spans="1:13" ht="19">
      <c r="A35" s="808" t="s">
        <v>485</v>
      </c>
      <c r="B35" s="809"/>
      <c r="C35" s="809" t="s">
        <v>496</v>
      </c>
      <c r="D35" s="810"/>
      <c r="E35" s="605"/>
      <c r="F35" s="13"/>
      <c r="G35" s="13"/>
      <c r="H35"/>
      <c r="I35"/>
      <c r="J35"/>
      <c r="K35"/>
      <c r="L35"/>
      <c r="M35" s="464"/>
    </row>
    <row r="36" spans="1:13" ht="19">
      <c r="A36" s="608"/>
      <c r="B36" s="53"/>
      <c r="C36" s="870" t="s">
        <v>490</v>
      </c>
      <c r="D36" s="870"/>
      <c r="E36" s="605"/>
      <c r="F36" s="13"/>
      <c r="G36" s="13"/>
      <c r="H36"/>
      <c r="I36"/>
      <c r="J36"/>
      <c r="K36"/>
      <c r="L36"/>
      <c r="M36" s="464"/>
    </row>
    <row r="37" spans="1:13">
      <c r="A37" s="183"/>
      <c r="B37"/>
      <c r="C37"/>
      <c r="D37"/>
      <c r="E37"/>
      <c r="F37"/>
      <c r="G37"/>
      <c r="H37"/>
      <c r="I37"/>
      <c r="J37"/>
      <c r="K37"/>
      <c r="L37"/>
      <c r="M37" s="464"/>
    </row>
    <row r="38" spans="1:13" ht="19">
      <c r="A38" s="443" t="s">
        <v>457</v>
      </c>
      <c r="B38" s="432"/>
      <c r="C38" s="432"/>
      <c r="D38" s="433"/>
      <c r="E38" s="605"/>
      <c r="F38" s="606"/>
      <c r="G38" s="607"/>
      <c r="H38"/>
      <c r="I38"/>
      <c r="J38"/>
      <c r="K38"/>
      <c r="L38"/>
      <c r="M38" s="464"/>
    </row>
    <row r="39" spans="1:13" ht="19">
      <c r="A39" s="808" t="s">
        <v>497</v>
      </c>
      <c r="B39" s="809"/>
      <c r="C39" s="809"/>
      <c r="D39" s="810"/>
      <c r="E39" s="605"/>
      <c r="F39" s="13"/>
      <c r="G39" s="13"/>
      <c r="H39"/>
      <c r="I39"/>
      <c r="J39"/>
      <c r="K39"/>
      <c r="L39"/>
      <c r="M39" s="464"/>
    </row>
    <row r="40" spans="1:13" ht="19">
      <c r="A40" s="183"/>
      <c r="B40" s="15" t="s">
        <v>498</v>
      </c>
      <c r="C40" s="434"/>
      <c r="D40" s="435"/>
      <c r="E40" s="609" t="s">
        <v>516</v>
      </c>
      <c r="F40" s="13"/>
      <c r="G40" s="13"/>
      <c r="H40"/>
      <c r="I40"/>
      <c r="J40"/>
      <c r="K40"/>
      <c r="L40"/>
      <c r="M40" s="464"/>
    </row>
    <row r="41" spans="1:13" ht="19">
      <c r="A41" s="608"/>
      <c r="B41" s="53"/>
      <c r="C41" s="447" t="s">
        <v>22</v>
      </c>
      <c r="D41" s="16" t="s">
        <v>500</v>
      </c>
      <c r="E41" s="610" t="s">
        <v>509</v>
      </c>
      <c r="F41" s="13"/>
      <c r="G41" s="13"/>
      <c r="H41"/>
      <c r="I41"/>
      <c r="J41"/>
      <c r="K41"/>
      <c r="L41"/>
      <c r="M41" s="464"/>
    </row>
    <row r="42" spans="1:13" ht="19">
      <c r="A42" s="608"/>
      <c r="B42" s="53"/>
      <c r="C42" s="448" t="s">
        <v>28</v>
      </c>
      <c r="D42" s="17" t="s">
        <v>501</v>
      </c>
      <c r="E42" s="610" t="s">
        <v>510</v>
      </c>
      <c r="F42" s="13"/>
      <c r="G42" s="13"/>
      <c r="H42"/>
      <c r="I42"/>
      <c r="J42"/>
      <c r="K42"/>
      <c r="L42"/>
      <c r="M42" s="464"/>
    </row>
    <row r="43" spans="1:13" ht="40">
      <c r="A43" s="608"/>
      <c r="B43" s="53"/>
      <c r="C43" s="860" t="s">
        <v>1559</v>
      </c>
      <c r="D43" s="861" t="s">
        <v>504</v>
      </c>
      <c r="E43" s="610" t="s">
        <v>513</v>
      </c>
      <c r="F43" s="13"/>
      <c r="G43" s="13"/>
      <c r="H43"/>
      <c r="I43"/>
      <c r="J43"/>
      <c r="K43"/>
      <c r="L43"/>
      <c r="M43" s="464"/>
    </row>
    <row r="44" spans="1:13" ht="19">
      <c r="A44" s="608"/>
      <c r="B44" s="53"/>
      <c r="C44" s="448" t="s">
        <v>181</v>
      </c>
      <c r="D44" s="17" t="s">
        <v>502</v>
      </c>
      <c r="E44" s="610" t="s">
        <v>511</v>
      </c>
      <c r="F44" s="13"/>
      <c r="G44" s="13"/>
      <c r="H44"/>
      <c r="I44"/>
      <c r="J44"/>
      <c r="K44"/>
      <c r="L44"/>
      <c r="M44" s="464"/>
    </row>
    <row r="45" spans="1:13" ht="19">
      <c r="A45" s="608"/>
      <c r="B45" s="53"/>
      <c r="C45" s="449" t="s">
        <v>387</v>
      </c>
      <c r="D45" s="18" t="s">
        <v>503</v>
      </c>
      <c r="E45" s="610" t="s">
        <v>512</v>
      </c>
      <c r="F45" s="13"/>
      <c r="G45" s="13"/>
      <c r="H45"/>
      <c r="I45"/>
      <c r="J45"/>
      <c r="K45"/>
      <c r="L45"/>
      <c r="M45" s="464"/>
    </row>
    <row r="46" spans="1:13" ht="19">
      <c r="A46" s="608"/>
      <c r="B46" s="450" t="s">
        <v>499</v>
      </c>
      <c r="C46" s="451"/>
      <c r="D46" s="452"/>
      <c r="E46" s="611"/>
      <c r="F46" s="13"/>
      <c r="G46" s="13"/>
      <c r="H46"/>
      <c r="I46"/>
      <c r="J46"/>
      <c r="K46"/>
      <c r="L46"/>
      <c r="M46" s="464"/>
    </row>
    <row r="47" spans="1:13" ht="20">
      <c r="A47" s="608"/>
      <c r="B47" s="13"/>
      <c r="C47" s="454" t="s">
        <v>29</v>
      </c>
      <c r="D47" s="453" t="s">
        <v>505</v>
      </c>
      <c r="E47" s="610" t="s">
        <v>514</v>
      </c>
      <c r="F47" s="13"/>
      <c r="G47" s="13"/>
      <c r="H47"/>
      <c r="I47"/>
      <c r="J47"/>
      <c r="K47"/>
      <c r="L47"/>
      <c r="M47" s="464"/>
    </row>
    <row r="48" spans="1:13" ht="19">
      <c r="A48" s="608"/>
      <c r="B48" s="457" t="s">
        <v>1318</v>
      </c>
      <c r="C48" s="458"/>
      <c r="D48" s="459"/>
      <c r="E48"/>
      <c r="F48" s="13"/>
      <c r="G48" s="13"/>
      <c r="H48"/>
      <c r="I48"/>
      <c r="J48"/>
      <c r="K48"/>
      <c r="L48"/>
      <c r="M48" s="464"/>
    </row>
    <row r="49" spans="1:13" ht="40">
      <c r="A49" s="608"/>
      <c r="B49" s="13"/>
      <c r="C49" s="456" t="s">
        <v>507</v>
      </c>
      <c r="D49" s="455" t="s">
        <v>508</v>
      </c>
      <c r="E49" s="610" t="s">
        <v>515</v>
      </c>
      <c r="F49" s="13"/>
      <c r="G49" s="13"/>
      <c r="H49"/>
      <c r="I49"/>
      <c r="J49"/>
      <c r="K49"/>
      <c r="L49"/>
      <c r="M49" s="464"/>
    </row>
    <row r="50" spans="1:13" ht="19">
      <c r="A50" s="608"/>
      <c r="B50" s="14" t="s">
        <v>506</v>
      </c>
      <c r="C50" s="436"/>
      <c r="D50" s="437"/>
      <c r="E50"/>
      <c r="F50" s="13"/>
      <c r="G50" s="13"/>
      <c r="H50"/>
      <c r="I50"/>
      <c r="J50"/>
      <c r="K50"/>
      <c r="L50"/>
      <c r="M50" s="464"/>
    </row>
    <row r="51" spans="1:13" ht="37" customHeight="1">
      <c r="A51" s="612"/>
      <c r="B51" s="13"/>
      <c r="C51" s="486" t="s">
        <v>27</v>
      </c>
      <c r="D51" s="488" t="s">
        <v>1329</v>
      </c>
      <c r="E51" s="610" t="s">
        <v>1327</v>
      </c>
      <c r="F51" s="13"/>
      <c r="G51" s="13"/>
      <c r="H51"/>
      <c r="I51"/>
      <c r="J51"/>
      <c r="K51"/>
      <c r="L51"/>
      <c r="M51" s="464"/>
    </row>
    <row r="52" spans="1:13" ht="20">
      <c r="A52" s="612"/>
      <c r="B52" s="13"/>
      <c r="C52" s="487" t="s">
        <v>1325</v>
      </c>
      <c r="D52" s="489" t="s">
        <v>1328</v>
      </c>
      <c r="E52" s="610" t="s">
        <v>1326</v>
      </c>
      <c r="F52" s="13"/>
      <c r="G52" s="13"/>
      <c r="H52"/>
      <c r="I52"/>
      <c r="J52"/>
      <c r="K52"/>
      <c r="L52"/>
      <c r="M52" s="464"/>
    </row>
    <row r="53" spans="1:13" ht="19">
      <c r="A53" s="808" t="s">
        <v>517</v>
      </c>
      <c r="B53" s="809"/>
      <c r="C53" s="809"/>
      <c r="D53" s="810"/>
      <c r="E53" s="605"/>
      <c r="F53" s="13"/>
      <c r="G53" s="13"/>
      <c r="H53"/>
      <c r="I53"/>
      <c r="J53"/>
      <c r="K53"/>
      <c r="L53"/>
      <c r="M53" s="464"/>
    </row>
    <row r="54" spans="1:13" ht="19">
      <c r="A54" s="612"/>
      <c r="B54"/>
      <c r="C54" s="460" t="s">
        <v>518</v>
      </c>
      <c r="D54" s="460" t="s">
        <v>519</v>
      </c>
      <c r="E54" s="605"/>
      <c r="F54" s="13"/>
      <c r="G54" s="13"/>
      <c r="H54"/>
      <c r="I54"/>
      <c r="J54"/>
      <c r="K54"/>
      <c r="L54"/>
      <c r="M54" s="464"/>
    </row>
    <row r="55" spans="1:13" ht="19">
      <c r="A55" s="612"/>
      <c r="B55"/>
      <c r="C55" s="462" t="s">
        <v>520</v>
      </c>
      <c r="D55" s="462" t="s">
        <v>521</v>
      </c>
      <c r="E55" s="605"/>
      <c r="F55" s="13"/>
      <c r="G55" s="13"/>
      <c r="H55"/>
      <c r="I55"/>
      <c r="J55"/>
      <c r="K55"/>
      <c r="L55"/>
      <c r="M55" s="464"/>
    </row>
    <row r="56" spans="1:13" ht="19">
      <c r="A56" s="612"/>
      <c r="B56" s="13"/>
      <c r="C56" s="13"/>
      <c r="D56" s="13"/>
      <c r="E56" s="605"/>
      <c r="F56" s="13"/>
      <c r="G56" s="13"/>
      <c r="H56"/>
      <c r="I56"/>
      <c r="J56"/>
      <c r="K56"/>
      <c r="L56"/>
      <c r="M56" s="464"/>
    </row>
    <row r="57" spans="1:13" ht="19">
      <c r="A57" s="443" t="s">
        <v>458</v>
      </c>
      <c r="B57" s="432"/>
      <c r="C57" s="432"/>
      <c r="D57" s="433"/>
      <c r="E57" s="605"/>
      <c r="F57" s="13"/>
      <c r="G57" s="13"/>
      <c r="H57"/>
      <c r="I57"/>
      <c r="J57"/>
      <c r="K57"/>
      <c r="L57"/>
      <c r="M57" s="464"/>
    </row>
    <row r="58" spans="1:13" ht="19">
      <c r="A58" s="808" t="s">
        <v>522</v>
      </c>
      <c r="B58" s="809"/>
      <c r="C58" s="809"/>
      <c r="D58" s="810"/>
      <c r="E58" s="605"/>
      <c r="F58" s="13"/>
      <c r="G58" s="13"/>
      <c r="H58"/>
      <c r="I58"/>
      <c r="J58"/>
      <c r="K58"/>
      <c r="L58"/>
      <c r="M58" s="464"/>
    </row>
    <row r="59" spans="1:13" ht="19">
      <c r="A59" s="183"/>
      <c r="B59" s="53" t="s">
        <v>523</v>
      </c>
      <c r="C59" s="53"/>
      <c r="D59" s="53"/>
      <c r="E59" s="605"/>
      <c r="F59" s="13"/>
      <c r="G59" s="13"/>
      <c r="H59"/>
      <c r="I59"/>
      <c r="J59"/>
      <c r="K59"/>
      <c r="L59"/>
      <c r="M59" s="464"/>
    </row>
    <row r="60" spans="1:13" ht="19">
      <c r="A60" s="183"/>
      <c r="B60" s="53" t="s">
        <v>524</v>
      </c>
      <c r="C60" s="53"/>
      <c r="D60" s="53"/>
      <c r="E60" s="605"/>
      <c r="F60" s="13"/>
      <c r="G60" s="13"/>
      <c r="H60"/>
      <c r="I60"/>
      <c r="J60"/>
      <c r="K60"/>
      <c r="L60"/>
      <c r="M60" s="464"/>
    </row>
    <row r="61" spans="1:13" ht="19">
      <c r="A61" s="183"/>
      <c r="B61" s="53" t="s">
        <v>525</v>
      </c>
      <c r="C61" s="53"/>
      <c r="D61" s="53"/>
      <c r="E61" s="605"/>
      <c r="F61" s="13"/>
      <c r="G61" s="13"/>
      <c r="H61"/>
      <c r="I61"/>
      <c r="J61"/>
      <c r="K61"/>
      <c r="L61"/>
      <c r="M61" s="464"/>
    </row>
    <row r="62" spans="1:13" ht="19">
      <c r="A62" s="808" t="s">
        <v>526</v>
      </c>
      <c r="B62" s="809"/>
      <c r="C62" s="809"/>
      <c r="D62" s="810"/>
      <c r="E62" s="605"/>
      <c r="F62" s="13"/>
      <c r="G62" s="13"/>
      <c r="H62"/>
      <c r="I62"/>
      <c r="J62"/>
      <c r="K62"/>
      <c r="L62"/>
      <c r="M62" s="464"/>
    </row>
    <row r="63" spans="1:13" ht="19">
      <c r="A63" s="183"/>
      <c r="B63" s="53" t="s">
        <v>527</v>
      </c>
      <c r="C63" s="53"/>
      <c r="D63" s="53"/>
      <c r="E63" s="605"/>
      <c r="F63" s="13"/>
      <c r="G63" s="13"/>
      <c r="H63"/>
      <c r="I63"/>
      <c r="J63"/>
      <c r="K63"/>
      <c r="L63"/>
      <c r="M63" s="464"/>
    </row>
    <row r="64" spans="1:13" ht="19">
      <c r="A64" s="183"/>
      <c r="B64" s="53" t="s">
        <v>528</v>
      </c>
      <c r="C64" s="53"/>
      <c r="D64" s="53"/>
      <c r="E64" s="605"/>
      <c r="F64" s="13"/>
      <c r="G64" s="13"/>
      <c r="H64"/>
      <c r="I64"/>
      <c r="J64"/>
      <c r="K64"/>
      <c r="L64"/>
      <c r="M64" s="464"/>
    </row>
    <row r="65" spans="1:13" ht="19">
      <c r="A65" s="808" t="s">
        <v>529</v>
      </c>
      <c r="B65" s="809"/>
      <c r="C65" s="809"/>
      <c r="D65" s="810"/>
      <c r="E65" s="605"/>
      <c r="F65" s="13"/>
      <c r="G65" s="13"/>
      <c r="H65"/>
      <c r="I65"/>
      <c r="J65"/>
      <c r="K65"/>
      <c r="L65"/>
      <c r="M65" s="464"/>
    </row>
    <row r="66" spans="1:13" ht="19">
      <c r="A66" s="183"/>
      <c r="B66" s="53" t="s">
        <v>530</v>
      </c>
      <c r="C66" s="53"/>
      <c r="D66" s="53"/>
      <c r="E66" s="605"/>
      <c r="F66" s="13"/>
      <c r="G66" s="13"/>
      <c r="H66"/>
      <c r="I66"/>
      <c r="J66"/>
      <c r="K66"/>
      <c r="L66"/>
      <c r="M66" s="464"/>
    </row>
    <row r="67" spans="1:13" ht="19">
      <c r="A67" s="183"/>
      <c r="B67" s="53" t="s">
        <v>531</v>
      </c>
      <c r="C67" s="53"/>
      <c r="D67" s="53"/>
      <c r="E67" s="605"/>
      <c r="F67" s="13"/>
      <c r="G67" s="13"/>
      <c r="H67"/>
      <c r="I67"/>
      <c r="J67"/>
      <c r="K67"/>
      <c r="L67"/>
      <c r="M67" s="464"/>
    </row>
    <row r="68" spans="1:13" ht="19">
      <c r="A68" s="183"/>
      <c r="B68" s="53" t="s">
        <v>532</v>
      </c>
      <c r="C68" s="53"/>
      <c r="D68" s="53"/>
      <c r="E68" s="605"/>
      <c r="F68" s="13"/>
      <c r="G68" s="13"/>
      <c r="H68"/>
      <c r="I68"/>
      <c r="J68"/>
      <c r="K68"/>
      <c r="L68"/>
      <c r="M68" s="464"/>
    </row>
    <row r="69" spans="1:13" ht="19">
      <c r="A69" s="808" t="s">
        <v>533</v>
      </c>
      <c r="B69" s="809"/>
      <c r="C69" s="809"/>
      <c r="D69" s="810"/>
      <c r="E69" s="605"/>
      <c r="F69" s="13"/>
      <c r="G69" s="13"/>
      <c r="H69"/>
      <c r="I69"/>
      <c r="J69"/>
      <c r="K69"/>
      <c r="L69"/>
      <c r="M69" s="464"/>
    </row>
    <row r="70" spans="1:13" ht="19">
      <c r="A70" s="183"/>
      <c r="B70" s="53" t="s">
        <v>534</v>
      </c>
      <c r="C70" s="53"/>
      <c r="D70" s="53"/>
      <c r="E70" s="605"/>
      <c r="F70" s="13"/>
      <c r="G70" s="13"/>
      <c r="H70"/>
      <c r="I70"/>
      <c r="J70"/>
      <c r="K70"/>
      <c r="L70"/>
      <c r="M70" s="464"/>
    </row>
    <row r="71" spans="1:13" ht="19">
      <c r="A71" s="183"/>
      <c r="B71" s="53" t="s">
        <v>535</v>
      </c>
      <c r="C71" s="53"/>
      <c r="D71" s="53"/>
      <c r="E71" s="605"/>
      <c r="F71" s="13"/>
      <c r="G71" s="13"/>
      <c r="H71"/>
      <c r="I71"/>
      <c r="J71"/>
      <c r="K71"/>
      <c r="L71"/>
      <c r="M71" s="464"/>
    </row>
    <row r="72" spans="1:13" ht="19">
      <c r="A72" s="183"/>
      <c r="B72" s="53" t="s">
        <v>536</v>
      </c>
      <c r="C72" s="53"/>
      <c r="D72" s="53"/>
      <c r="E72" s="605"/>
      <c r="F72" s="13"/>
      <c r="G72" s="13"/>
      <c r="H72"/>
      <c r="I72"/>
      <c r="J72"/>
      <c r="K72"/>
      <c r="L72"/>
      <c r="M72" s="464"/>
    </row>
    <row r="73" spans="1:13" ht="19">
      <c r="A73" s="808" t="s">
        <v>537</v>
      </c>
      <c r="B73" s="809"/>
      <c r="C73" s="809"/>
      <c r="D73" s="810"/>
      <c r="E73" s="605"/>
      <c r="F73" s="13"/>
      <c r="G73" s="13"/>
      <c r="H73"/>
      <c r="I73"/>
      <c r="J73"/>
      <c r="K73"/>
      <c r="L73"/>
      <c r="M73" s="464"/>
    </row>
    <row r="74" spans="1:13" ht="19">
      <c r="A74" s="183"/>
      <c r="B74" s="53" t="s">
        <v>538</v>
      </c>
      <c r="C74" s="53"/>
      <c r="D74" s="53"/>
      <c r="E74" s="605"/>
      <c r="F74" s="13"/>
      <c r="G74" s="13"/>
      <c r="H74"/>
      <c r="I74"/>
      <c r="J74"/>
      <c r="K74"/>
      <c r="L74"/>
      <c r="M74" s="464"/>
    </row>
    <row r="75" spans="1:13" ht="19">
      <c r="A75" s="183"/>
      <c r="B75" s="53" t="s">
        <v>539</v>
      </c>
      <c r="C75" s="53"/>
      <c r="D75" s="53"/>
      <c r="E75" s="605"/>
      <c r="F75" s="13"/>
      <c r="G75" s="13"/>
      <c r="H75"/>
      <c r="I75"/>
      <c r="J75"/>
      <c r="K75"/>
      <c r="L75"/>
      <c r="M75" s="464"/>
    </row>
    <row r="76" spans="1:13" ht="19">
      <c r="A76" s="613"/>
      <c r="B76" s="614"/>
      <c r="C76" s="614"/>
      <c r="D76" s="614"/>
      <c r="E76" s="605"/>
      <c r="F76" s="13"/>
      <c r="G76" s="13"/>
      <c r="H76"/>
      <c r="I76"/>
      <c r="J76"/>
      <c r="K76"/>
      <c r="L76"/>
      <c r="M76" s="464"/>
    </row>
    <row r="77" spans="1:13" ht="19">
      <c r="A77" s="431"/>
      <c r="B77" s="432"/>
      <c r="C77" s="432"/>
      <c r="D77" s="433"/>
      <c r="E77" s="605"/>
      <c r="F77" s="13"/>
      <c r="G77" s="13"/>
      <c r="H77"/>
      <c r="I77"/>
      <c r="J77"/>
      <c r="K77"/>
      <c r="L77"/>
      <c r="M77" s="464"/>
    </row>
    <row r="78" spans="1:13">
      <c r="A78" s="305"/>
      <c r="B78" s="597"/>
      <c r="C78" s="597"/>
      <c r="D78" s="597"/>
      <c r="E78" s="597"/>
      <c r="F78" s="597"/>
      <c r="G78" s="597"/>
      <c r="H78" s="597"/>
      <c r="I78" s="597"/>
      <c r="J78" s="597"/>
      <c r="K78" s="597"/>
      <c r="L78" s="597"/>
      <c r="M78" s="598"/>
    </row>
  </sheetData>
  <mergeCells count="8">
    <mergeCell ref="C36:D36"/>
    <mergeCell ref="C24:D24"/>
    <mergeCell ref="C26:D26"/>
    <mergeCell ref="C22:D22"/>
    <mergeCell ref="C28:D28"/>
    <mergeCell ref="C30:D30"/>
    <mergeCell ref="C32:D32"/>
    <mergeCell ref="C34:D34"/>
  </mergeCells>
  <hyperlinks>
    <hyperlink ref="C52" location="REPORTS!A1" display="REPORTS" xr:uid="{830BF7A3-2A4A-4CFF-A1C8-343DAD20E1BA}"/>
    <hyperlink ref="C42" location="INPUTS!A1" display="INPUTS" xr:uid="{A6659075-3C73-49AE-80FC-E2AB15E4C6F2}"/>
    <hyperlink ref="C45" location="STAFF!A1" display="STAFF" xr:uid="{80A3A1D2-5994-4C1B-8CED-A6042F2A66C1}"/>
    <hyperlink ref="C41" location="ENROLLMENT!A1" display="ENROLLMENT" xr:uid="{192F0B50-54BE-4FD7-8400-FE47AFC27FF2}"/>
    <hyperlink ref="C54" location="ENROLLMENT!A1" display="ENROLLMENT" xr:uid="{2F263BD7-0CD8-49C3-8DFD-F175D308443A}"/>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9942-120B-44D6-A22B-0A745DDA84CC}">
  <sheetPr codeName="Sheet2">
    <tabColor theme="7" tint="0.59999389629810485"/>
  </sheetPr>
  <dimension ref="A1:V178"/>
  <sheetViews>
    <sheetView showGridLines="0" tabSelected="1" topLeftCell="B81" zoomScale="120" zoomScaleNormal="120" workbookViewId="0">
      <selection activeCell="J142" sqref="J142"/>
    </sheetView>
  </sheetViews>
  <sheetFormatPr baseColWidth="10" defaultColWidth="8.6640625" defaultRowHeight="15"/>
  <cols>
    <col min="1" max="1" width="48.5" style="513" bestFit="1" customWidth="1"/>
    <col min="2" max="2" width="53.6640625" style="521" customWidth="1"/>
    <col min="3" max="3" width="22.6640625" style="513" customWidth="1"/>
    <col min="4" max="9" width="13.83203125" style="513" customWidth="1"/>
    <col min="10" max="10" width="15.83203125" style="513" customWidth="1"/>
    <col min="11" max="11" width="26.5" style="513" customWidth="1"/>
    <col min="12" max="12" width="32.83203125" style="513" customWidth="1"/>
    <col min="13" max="32" width="15.83203125" style="513" customWidth="1"/>
    <col min="33" max="41" width="14" style="513" customWidth="1"/>
    <col min="42" max="47" width="15.5" style="513" customWidth="1"/>
    <col min="48" max="48" width="12.83203125" style="513" customWidth="1"/>
    <col min="49" max="49" width="37.83203125" style="513" bestFit="1" customWidth="1"/>
    <col min="50" max="50" width="24.5" style="513" customWidth="1"/>
    <col min="51" max="56" width="15.5" style="513" customWidth="1"/>
    <col min="57" max="16384" width="8.6640625" style="513"/>
  </cols>
  <sheetData>
    <row r="1" spans="1:18" ht="26">
      <c r="A1" s="615" t="s">
        <v>327</v>
      </c>
      <c r="B1" s="42"/>
      <c r="C1" s="44"/>
      <c r="D1" s="178">
        <f>C4</f>
        <v>2027</v>
      </c>
      <c r="E1" s="178">
        <f>D1+1</f>
        <v>2028</v>
      </c>
      <c r="F1" s="178">
        <f t="shared" ref="F1:I1" si="0">E1+1</f>
        <v>2029</v>
      </c>
      <c r="G1" s="178">
        <f t="shared" si="0"/>
        <v>2030</v>
      </c>
      <c r="H1" s="178">
        <f t="shared" si="0"/>
        <v>2031</v>
      </c>
      <c r="I1" s="178">
        <f t="shared" si="0"/>
        <v>2032</v>
      </c>
      <c r="J1" s="616" t="s">
        <v>32</v>
      </c>
      <c r="K1" s="617"/>
      <c r="L1" s="617"/>
      <c r="M1" s="617"/>
      <c r="N1" s="617"/>
      <c r="O1" s="617"/>
      <c r="P1" s="40"/>
      <c r="Q1" s="40"/>
      <c r="R1" s="41"/>
    </row>
    <row r="2" spans="1:18" ht="16" customHeight="1">
      <c r="A2" s="183"/>
      <c r="B2" s="21"/>
      <c r="C2"/>
      <c r="D2" s="618"/>
      <c r="E2" s="618"/>
      <c r="F2" s="618"/>
      <c r="G2" s="618"/>
      <c r="H2" s="618"/>
      <c r="I2" s="618"/>
      <c r="J2"/>
      <c r="K2"/>
      <c r="L2"/>
      <c r="M2"/>
      <c r="N2"/>
      <c r="O2"/>
      <c r="P2"/>
      <c r="Q2"/>
      <c r="R2" s="464"/>
    </row>
    <row r="3" spans="1:18" ht="16" customHeight="1">
      <c r="A3" s="183"/>
      <c r="B3" s="31" t="s">
        <v>0</v>
      </c>
      <c r="C3" s="22" t="s">
        <v>1556</v>
      </c>
      <c r="D3"/>
      <c r="E3"/>
      <c r="F3"/>
      <c r="G3"/>
      <c r="H3"/>
      <c r="I3"/>
      <c r="J3"/>
      <c r="K3"/>
      <c r="L3"/>
      <c r="M3"/>
      <c r="N3"/>
      <c r="O3"/>
      <c r="P3"/>
      <c r="Q3"/>
      <c r="R3" s="464"/>
    </row>
    <row r="4" spans="1:18" ht="16" customHeight="1">
      <c r="A4" s="183"/>
      <c r="B4" s="31" t="s">
        <v>33</v>
      </c>
      <c r="C4" s="23">
        <v>2027</v>
      </c>
      <c r="D4"/>
      <c r="E4"/>
      <c r="F4"/>
      <c r="G4"/>
      <c r="H4"/>
      <c r="I4"/>
      <c r="J4"/>
      <c r="K4"/>
      <c r="L4"/>
      <c r="M4"/>
      <c r="N4"/>
      <c r="O4"/>
      <c r="P4"/>
      <c r="Q4"/>
      <c r="R4" s="464"/>
    </row>
    <row r="5" spans="1:18" ht="16" customHeight="1">
      <c r="A5" s="183"/>
      <c r="B5" s="5"/>
      <c r="C5" s="21"/>
      <c r="D5"/>
      <c r="E5"/>
      <c r="F5"/>
      <c r="G5"/>
      <c r="H5"/>
      <c r="I5"/>
      <c r="J5"/>
      <c r="K5"/>
      <c r="L5"/>
      <c r="M5"/>
      <c r="N5"/>
      <c r="O5"/>
      <c r="P5"/>
      <c r="Q5"/>
      <c r="R5" s="464"/>
    </row>
    <row r="6" spans="1:18" ht="16" customHeight="1">
      <c r="A6" s="183"/>
      <c r="B6" s="32" t="s">
        <v>1</v>
      </c>
      <c r="C6" s="35" t="s">
        <v>1557</v>
      </c>
      <c r="D6"/>
      <c r="E6"/>
      <c r="F6"/>
      <c r="G6"/>
      <c r="H6"/>
      <c r="I6"/>
      <c r="J6"/>
      <c r="K6"/>
      <c r="L6"/>
      <c r="M6"/>
      <c r="N6"/>
      <c r="O6"/>
      <c r="P6"/>
      <c r="Q6"/>
      <c r="R6" s="464"/>
    </row>
    <row r="7" spans="1:18" ht="16" customHeight="1">
      <c r="A7" s="183"/>
      <c r="B7" s="33" t="s">
        <v>2</v>
      </c>
      <c r="C7" s="859" t="s">
        <v>1565</v>
      </c>
      <c r="D7"/>
      <c r="E7"/>
      <c r="F7"/>
      <c r="G7"/>
      <c r="H7"/>
      <c r="I7"/>
      <c r="J7"/>
      <c r="K7"/>
      <c r="L7"/>
      <c r="M7"/>
      <c r="N7"/>
      <c r="O7"/>
      <c r="P7"/>
      <c r="Q7"/>
      <c r="R7" s="464"/>
    </row>
    <row r="8" spans="1:18" ht="16" customHeight="1">
      <c r="A8" s="183"/>
      <c r="B8" s="34" t="s">
        <v>4</v>
      </c>
      <c r="C8" s="37" t="s">
        <v>1566</v>
      </c>
      <c r="D8"/>
      <c r="E8"/>
      <c r="F8"/>
      <c r="G8"/>
      <c r="H8"/>
      <c r="I8"/>
      <c r="J8"/>
      <c r="K8"/>
      <c r="L8"/>
      <c r="M8"/>
      <c r="N8"/>
      <c r="O8"/>
      <c r="P8"/>
      <c r="Q8"/>
      <c r="R8" s="464"/>
    </row>
    <row r="9" spans="1:18" ht="16" customHeight="1">
      <c r="A9" s="183"/>
      <c r="B9" s="619"/>
      <c r="C9" s="620"/>
      <c r="D9"/>
      <c r="E9"/>
      <c r="F9"/>
      <c r="G9"/>
      <c r="H9"/>
      <c r="I9"/>
      <c r="J9"/>
      <c r="K9"/>
      <c r="L9"/>
      <c r="M9"/>
      <c r="N9"/>
      <c r="O9"/>
      <c r="P9"/>
      <c r="Q9"/>
      <c r="R9" s="464"/>
    </row>
    <row r="10" spans="1:18" ht="16" customHeight="1">
      <c r="A10" s="183"/>
      <c r="B10" s="32" t="s">
        <v>5</v>
      </c>
      <c r="C10" s="35" t="s">
        <v>31</v>
      </c>
      <c r="D10"/>
      <c r="E10"/>
      <c r="F10"/>
      <c r="G10"/>
      <c r="H10"/>
      <c r="I10"/>
      <c r="J10"/>
      <c r="K10"/>
      <c r="L10"/>
      <c r="M10"/>
      <c r="N10"/>
      <c r="O10"/>
      <c r="P10"/>
      <c r="Q10"/>
      <c r="R10" s="464"/>
    </row>
    <row r="11" spans="1:18" ht="16" customHeight="1">
      <c r="A11" s="183"/>
      <c r="B11" s="33" t="s">
        <v>6</v>
      </c>
      <c r="C11" s="36" t="s">
        <v>30</v>
      </c>
      <c r="D11"/>
      <c r="E11"/>
      <c r="F11"/>
      <c r="G11"/>
      <c r="H11"/>
      <c r="I11"/>
      <c r="J11"/>
      <c r="K11"/>
      <c r="L11"/>
      <c r="M11"/>
      <c r="N11"/>
      <c r="O11"/>
      <c r="P11"/>
      <c r="Q11"/>
      <c r="R11" s="464"/>
    </row>
    <row r="12" spans="1:18">
      <c r="A12" s="183"/>
      <c r="B12" s="33" t="s">
        <v>7</v>
      </c>
      <c r="C12" s="38" t="s">
        <v>3</v>
      </c>
      <c r="D12"/>
      <c r="E12"/>
      <c r="F12"/>
      <c r="G12"/>
      <c r="H12"/>
      <c r="I12"/>
      <c r="J12"/>
      <c r="K12"/>
      <c r="L12"/>
      <c r="M12"/>
      <c r="N12"/>
      <c r="O12"/>
      <c r="P12"/>
      <c r="Q12"/>
      <c r="R12" s="464"/>
    </row>
    <row r="13" spans="1:18">
      <c r="A13" s="183"/>
      <c r="B13" s="34" t="s">
        <v>8</v>
      </c>
      <c r="C13" s="37" t="s">
        <v>9</v>
      </c>
      <c r="D13"/>
      <c r="E13"/>
      <c r="F13"/>
      <c r="G13"/>
      <c r="H13"/>
      <c r="I13"/>
      <c r="J13"/>
      <c r="K13"/>
      <c r="L13"/>
      <c r="M13"/>
      <c r="N13"/>
      <c r="O13"/>
      <c r="P13"/>
      <c r="Q13"/>
      <c r="R13" s="464"/>
    </row>
    <row r="14" spans="1:18">
      <c r="A14" s="183"/>
      <c r="B14" s="21"/>
      <c r="C14"/>
      <c r="D14"/>
      <c r="E14"/>
      <c r="F14"/>
      <c r="G14"/>
      <c r="H14"/>
      <c r="I14"/>
      <c r="J14"/>
      <c r="K14"/>
      <c r="L14"/>
      <c r="M14"/>
      <c r="N14"/>
      <c r="O14"/>
      <c r="P14"/>
      <c r="Q14"/>
      <c r="R14" s="464"/>
    </row>
    <row r="15" spans="1:18">
      <c r="A15" s="183"/>
      <c r="B15"/>
      <c r="C15" s="621" t="s">
        <v>36</v>
      </c>
      <c r="D15"/>
      <c r="E15"/>
      <c r="F15"/>
      <c r="G15"/>
      <c r="H15"/>
      <c r="I15"/>
      <c r="J15"/>
      <c r="K15"/>
      <c r="L15"/>
      <c r="M15"/>
      <c r="N15"/>
      <c r="O15"/>
      <c r="P15"/>
      <c r="Q15"/>
      <c r="R15" s="464"/>
    </row>
    <row r="16" spans="1:18">
      <c r="A16" s="183"/>
      <c r="B16"/>
      <c r="C16"/>
      <c r="D16"/>
      <c r="E16"/>
      <c r="F16"/>
      <c r="G16"/>
      <c r="H16"/>
      <c r="I16"/>
      <c r="J16"/>
      <c r="K16"/>
      <c r="L16"/>
      <c r="M16"/>
      <c r="N16"/>
      <c r="O16"/>
      <c r="P16"/>
      <c r="Q16"/>
      <c r="R16" s="464"/>
    </row>
    <row r="17" spans="1:22">
      <c r="A17" s="183"/>
      <c r="B17" s="21"/>
      <c r="C17" s="25" t="s">
        <v>1334</v>
      </c>
      <c r="D17" s="10" cm="1">
        <f t="array" ref="D17">_xlfn.IFS(C17="Planned", 1, C17="Sensitivity Analysis", 2)</f>
        <v>1</v>
      </c>
      <c r="E17"/>
      <c r="F17"/>
      <c r="G17"/>
      <c r="H17"/>
      <c r="I17"/>
      <c r="J17"/>
      <c r="K17"/>
      <c r="L17"/>
      <c r="M17"/>
      <c r="N17"/>
      <c r="O17"/>
      <c r="P17"/>
      <c r="Q17"/>
      <c r="R17" s="464"/>
    </row>
    <row r="18" spans="1:22">
      <c r="A18" s="183"/>
      <c r="B18" s="21"/>
      <c r="C18"/>
      <c r="D18"/>
      <c r="E18"/>
      <c r="F18"/>
      <c r="G18"/>
      <c r="H18"/>
      <c r="I18"/>
      <c r="J18"/>
      <c r="K18"/>
      <c r="L18"/>
      <c r="M18"/>
      <c r="N18"/>
      <c r="O18"/>
      <c r="P18"/>
      <c r="Q18"/>
      <c r="R18" s="464"/>
    </row>
    <row r="19" spans="1:22" s="520" customFormat="1" ht="26">
      <c r="A19" s="87" t="s">
        <v>371</v>
      </c>
      <c r="B19" s="88"/>
      <c r="C19" s="88"/>
      <c r="D19" s="89"/>
      <c r="E19" s="88"/>
      <c r="F19" s="88"/>
      <c r="G19" s="89"/>
      <c r="H19" s="88"/>
      <c r="I19" s="360"/>
      <c r="J19" s="88"/>
      <c r="K19" s="88"/>
      <c r="L19" s="88"/>
      <c r="M19" s="88"/>
      <c r="N19" s="88"/>
      <c r="O19" s="88"/>
      <c r="P19" s="88"/>
      <c r="Q19" s="88"/>
      <c r="R19" s="90"/>
      <c r="S19" s="522"/>
      <c r="T19" s="522"/>
      <c r="U19" s="522"/>
      <c r="V19" s="522"/>
    </row>
    <row r="20" spans="1:22">
      <c r="A20" s="183"/>
      <c r="B20" s="21"/>
      <c r="C20"/>
      <c r="D20"/>
      <c r="E20"/>
      <c r="F20"/>
      <c r="G20"/>
      <c r="H20"/>
      <c r="I20"/>
      <c r="J20"/>
      <c r="K20"/>
      <c r="L20"/>
      <c r="M20"/>
      <c r="N20"/>
      <c r="O20"/>
      <c r="P20"/>
      <c r="Q20"/>
      <c r="R20" s="464"/>
    </row>
    <row r="21" spans="1:22" ht="16">
      <c r="A21" s="183"/>
      <c r="B21" s="11" t="s">
        <v>1482</v>
      </c>
      <c r="C21" s="422">
        <v>1250000</v>
      </c>
      <c r="D21"/>
      <c r="E21"/>
      <c r="F21"/>
      <c r="G21"/>
      <c r="H21"/>
      <c r="I21"/>
      <c r="J21"/>
      <c r="K21"/>
      <c r="L21"/>
      <c r="M21"/>
      <c r="N21"/>
      <c r="O21"/>
      <c r="P21"/>
      <c r="Q21"/>
      <c r="R21" s="464"/>
    </row>
    <row r="22" spans="1:22">
      <c r="A22" s="183"/>
      <c r="B22" s="21"/>
      <c r="C22"/>
      <c r="D22"/>
      <c r="E22"/>
      <c r="F22"/>
      <c r="G22"/>
      <c r="H22"/>
      <c r="I22"/>
      <c r="J22"/>
      <c r="K22"/>
      <c r="L22"/>
      <c r="M22"/>
      <c r="N22"/>
      <c r="O22"/>
      <c r="P22"/>
      <c r="Q22"/>
      <c r="R22" s="464"/>
    </row>
    <row r="23" spans="1:22">
      <c r="A23" s="183"/>
      <c r="B23" s="11" t="s">
        <v>210</v>
      </c>
      <c r="C23"/>
      <c r="D23"/>
      <c r="E23"/>
      <c r="F23"/>
      <c r="G23"/>
      <c r="H23"/>
      <c r="I23"/>
      <c r="J23"/>
      <c r="K23"/>
      <c r="L23"/>
      <c r="M23"/>
      <c r="N23"/>
      <c r="O23"/>
      <c r="P23"/>
      <c r="Q23"/>
      <c r="R23" s="464"/>
    </row>
    <row r="24" spans="1:22">
      <c r="A24" s="183"/>
      <c r="B24" s="21"/>
      <c r="C24"/>
      <c r="D24"/>
      <c r="E24"/>
      <c r="F24"/>
      <c r="G24"/>
      <c r="H24"/>
      <c r="I24"/>
      <c r="J24"/>
      <c r="K24"/>
      <c r="L24"/>
      <c r="M24"/>
      <c r="N24"/>
      <c r="O24"/>
      <c r="P24"/>
      <c r="Q24"/>
      <c r="R24" s="464"/>
    </row>
    <row r="25" spans="1:22">
      <c r="A25" s="183"/>
      <c r="B25" s="179" t="s">
        <v>25</v>
      </c>
      <c r="C25" s="179" t="s">
        <v>26</v>
      </c>
      <c r="D25" s="180">
        <f>$D$1</f>
        <v>2027</v>
      </c>
      <c r="E25" s="180">
        <f>$E$1</f>
        <v>2028</v>
      </c>
      <c r="F25" s="180">
        <f>$F$1</f>
        <v>2029</v>
      </c>
      <c r="G25" s="180">
        <f>$G$1</f>
        <v>2030</v>
      </c>
      <c r="H25" s="180">
        <f>$H$1</f>
        <v>2031</v>
      </c>
      <c r="I25" s="180">
        <f>$I$1</f>
        <v>2032</v>
      </c>
      <c r="J25"/>
      <c r="K25"/>
      <c r="L25"/>
      <c r="M25"/>
      <c r="N25"/>
      <c r="O25"/>
      <c r="P25"/>
      <c r="Q25"/>
      <c r="R25" s="464"/>
    </row>
    <row r="26" spans="1:22">
      <c r="A26" s="183"/>
      <c r="B26" s="175" t="s">
        <v>1477</v>
      </c>
      <c r="C26" s="181"/>
      <c r="D26" s="430">
        <v>2.5000000000000001E-2</v>
      </c>
      <c r="E26" s="430">
        <v>2.5000000000000001E-2</v>
      </c>
      <c r="F26" s="430">
        <v>2.5000000000000001E-2</v>
      </c>
      <c r="G26" s="430">
        <v>2.5000000000000001E-2</v>
      </c>
      <c r="H26" s="430">
        <v>2.5000000000000001E-2</v>
      </c>
      <c r="I26" s="430">
        <v>2.5000000000000001E-2</v>
      </c>
      <c r="J26"/>
      <c r="K26"/>
      <c r="L26" s="622"/>
      <c r="M26" s="622"/>
      <c r="N26" s="622"/>
      <c r="O26" s="622"/>
      <c r="P26"/>
      <c r="Q26"/>
      <c r="R26" s="464"/>
    </row>
    <row r="27" spans="1:22">
      <c r="A27" s="183"/>
      <c r="B27" s="175" t="s">
        <v>1478</v>
      </c>
      <c r="C27" s="181"/>
      <c r="D27" s="430">
        <v>1.4999999999999999E-2</v>
      </c>
      <c r="E27" s="430">
        <v>1.4999999999999999E-2</v>
      </c>
      <c r="F27" s="430">
        <v>1.4999999999999999E-2</v>
      </c>
      <c r="G27" s="430">
        <v>1.4999999999999999E-2</v>
      </c>
      <c r="H27" s="430">
        <v>1.4999999999999999E-2</v>
      </c>
      <c r="I27" s="430">
        <v>1.4999999999999999E-2</v>
      </c>
      <c r="J27"/>
      <c r="K27"/>
      <c r="L27"/>
      <c r="M27"/>
      <c r="N27"/>
      <c r="O27"/>
      <c r="P27"/>
      <c r="Q27"/>
      <c r="R27" s="464"/>
    </row>
    <row r="28" spans="1:22">
      <c r="A28" s="183"/>
      <c r="B28" s="175" t="s">
        <v>1479</v>
      </c>
      <c r="C28" s="181"/>
      <c r="D28" s="430">
        <v>2.5000000000000001E-2</v>
      </c>
      <c r="E28" s="430">
        <v>2.5000000000000001E-2</v>
      </c>
      <c r="F28" s="430">
        <v>2.5000000000000001E-2</v>
      </c>
      <c r="G28" s="430">
        <v>2.5000000000000001E-2</v>
      </c>
      <c r="H28" s="430">
        <v>2.5000000000000001E-2</v>
      </c>
      <c r="I28" s="430">
        <v>2.5000000000000001E-2</v>
      </c>
      <c r="J28"/>
      <c r="K28"/>
      <c r="L28"/>
      <c r="M28"/>
      <c r="N28"/>
      <c r="O28"/>
      <c r="P28"/>
      <c r="Q28"/>
      <c r="R28" s="464"/>
    </row>
    <row r="29" spans="1:22">
      <c r="A29" s="183"/>
      <c r="B29" s="21"/>
      <c r="C29"/>
      <c r="D29"/>
      <c r="E29"/>
      <c r="F29"/>
      <c r="G29"/>
      <c r="H29"/>
      <c r="I29"/>
      <c r="J29"/>
      <c r="K29"/>
      <c r="L29"/>
      <c r="M29"/>
      <c r="N29"/>
      <c r="O29"/>
      <c r="P29"/>
      <c r="Q29"/>
      <c r="R29" s="464"/>
    </row>
    <row r="30" spans="1:22">
      <c r="A30" s="183"/>
      <c r="B30" s="11" t="s">
        <v>212</v>
      </c>
      <c r="C30" s="430">
        <v>0.03</v>
      </c>
      <c r="D30"/>
      <c r="E30"/>
      <c r="F30"/>
      <c r="G30"/>
      <c r="H30"/>
      <c r="I30"/>
      <c r="J30"/>
      <c r="K30"/>
      <c r="L30"/>
      <c r="M30"/>
      <c r="N30"/>
      <c r="O30"/>
      <c r="P30"/>
      <c r="Q30"/>
      <c r="R30" s="464"/>
    </row>
    <row r="31" spans="1:22">
      <c r="A31" s="183"/>
      <c r="B31" s="21"/>
      <c r="C31"/>
      <c r="D31"/>
      <c r="E31"/>
      <c r="F31"/>
      <c r="G31"/>
      <c r="H31"/>
      <c r="I31"/>
      <c r="J31"/>
      <c r="K31"/>
      <c r="L31"/>
      <c r="M31"/>
      <c r="N31"/>
      <c r="O31"/>
      <c r="P31"/>
      <c r="Q31"/>
      <c r="R31" s="464"/>
    </row>
    <row r="32" spans="1:22">
      <c r="A32" s="183"/>
      <c r="B32" s="11" t="s">
        <v>403</v>
      </c>
      <c r="C32" s="239" t="s">
        <v>26</v>
      </c>
      <c r="D32" s="180">
        <f>$D$1</f>
        <v>2027</v>
      </c>
      <c r="E32" s="180">
        <f>$E$1</f>
        <v>2028</v>
      </c>
      <c r="F32" s="180">
        <f>$F$1</f>
        <v>2029</v>
      </c>
      <c r="G32" s="180">
        <f>$G$1</f>
        <v>2030</v>
      </c>
      <c r="H32" s="180">
        <f>$H$1</f>
        <v>2031</v>
      </c>
      <c r="I32" s="180">
        <f>$I$1</f>
        <v>2032</v>
      </c>
      <c r="J32" s="239" t="s">
        <v>393</v>
      </c>
      <c r="K32" s="239" t="s">
        <v>395</v>
      </c>
      <c r="L32" s="239" t="s">
        <v>392</v>
      </c>
      <c r="M32"/>
      <c r="N32"/>
      <c r="O32"/>
      <c r="P32"/>
      <c r="Q32"/>
      <c r="R32" s="464"/>
    </row>
    <row r="33" spans="1:18">
      <c r="A33" s="183"/>
      <c r="B33" s="365" t="s">
        <v>1348</v>
      </c>
      <c r="C33" s="306" t="s">
        <v>13</v>
      </c>
      <c r="D33" s="177">
        <v>0</v>
      </c>
      <c r="E33" s="177">
        <v>0</v>
      </c>
      <c r="F33" s="177">
        <v>0</v>
      </c>
      <c r="G33" s="177">
        <v>0</v>
      </c>
      <c r="H33" s="177">
        <v>0</v>
      </c>
      <c r="I33" s="177">
        <v>0</v>
      </c>
      <c r="J33" s="306"/>
      <c r="K33" s="306"/>
      <c r="L33" s="306"/>
      <c r="M33" s="842" t="s">
        <v>1453</v>
      </c>
      <c r="N33"/>
      <c r="O33"/>
      <c r="P33"/>
      <c r="Q33"/>
      <c r="R33" s="464"/>
    </row>
    <row r="34" spans="1:18">
      <c r="A34" s="183"/>
      <c r="B34" s="365" t="s">
        <v>1349</v>
      </c>
      <c r="C34" s="306" t="s">
        <v>13</v>
      </c>
      <c r="D34" s="177">
        <v>0</v>
      </c>
      <c r="E34" s="177">
        <v>0</v>
      </c>
      <c r="F34" s="177">
        <v>0</v>
      </c>
      <c r="G34" s="177">
        <v>0</v>
      </c>
      <c r="H34" s="177">
        <v>0</v>
      </c>
      <c r="I34" s="177">
        <v>0</v>
      </c>
      <c r="J34" s="306"/>
      <c r="K34" s="306"/>
      <c r="L34" s="306"/>
      <c r="M34" s="841" t="s">
        <v>1454</v>
      </c>
      <c r="N34"/>
      <c r="O34"/>
      <c r="P34"/>
      <c r="Q34"/>
      <c r="R34" s="464"/>
    </row>
    <row r="35" spans="1:18">
      <c r="A35" s="183"/>
      <c r="B35" s="179" t="s">
        <v>1347</v>
      </c>
      <c r="C35" s="179"/>
      <c r="D35" s="179"/>
      <c r="E35" s="179"/>
      <c r="F35" s="179"/>
      <c r="G35" s="179"/>
      <c r="H35" s="179"/>
      <c r="I35" s="180"/>
      <c r="J35" s="180"/>
      <c r="K35" s="180"/>
      <c r="L35" s="179"/>
      <c r="M35" s="180"/>
      <c r="N35"/>
      <c r="O35"/>
      <c r="P35"/>
      <c r="Q35"/>
      <c r="R35" s="464"/>
    </row>
    <row r="36" spans="1:18">
      <c r="A36" s="183"/>
      <c r="B36" s="365" t="s">
        <v>1351</v>
      </c>
      <c r="C36" s="835" t="s">
        <v>13</v>
      </c>
      <c r="D36" s="176">
        <v>6000</v>
      </c>
      <c r="E36" s="176">
        <f>D36*(1+E$28)</f>
        <v>6149.9999999999991</v>
      </c>
      <c r="F36" s="176">
        <f t="shared" ref="F36:I36" si="1">E36*(1+F$28)</f>
        <v>6303.7499999999982</v>
      </c>
      <c r="G36" s="176">
        <f t="shared" si="1"/>
        <v>6461.3437499999973</v>
      </c>
      <c r="H36" s="176">
        <f t="shared" si="1"/>
        <v>6622.8773437499967</v>
      </c>
      <c r="I36" s="176">
        <f t="shared" si="1"/>
        <v>6788.449277343746</v>
      </c>
      <c r="J36" s="835" t="s">
        <v>323</v>
      </c>
      <c r="K36" s="835" t="s">
        <v>384</v>
      </c>
      <c r="L36" s="835" t="s">
        <v>389</v>
      </c>
      <c r="M36" s="841" t="s">
        <v>1455</v>
      </c>
      <c r="N36"/>
      <c r="O36"/>
      <c r="P36"/>
      <c r="Q36"/>
      <c r="R36" s="464"/>
    </row>
    <row r="37" spans="1:18">
      <c r="A37" s="183"/>
      <c r="B37" s="365" t="s">
        <v>1475</v>
      </c>
      <c r="C37" s="835" t="s">
        <v>211</v>
      </c>
      <c r="D37" s="177">
        <f>AVERAGE('P&amp;L'!D331,'P&amp;L'!D333)*INPUTS!$C$30</f>
        <v>37164.299999999996</v>
      </c>
      <c r="E37" s="177"/>
      <c r="F37" s="177"/>
      <c r="G37" s="177"/>
      <c r="H37" s="177"/>
      <c r="I37" s="177"/>
      <c r="J37" s="835" t="s">
        <v>323</v>
      </c>
      <c r="K37" s="835" t="s">
        <v>386</v>
      </c>
      <c r="L37" s="835" t="s">
        <v>389</v>
      </c>
      <c r="M37" s="841" t="s">
        <v>1476</v>
      </c>
      <c r="N37"/>
      <c r="O37"/>
      <c r="P37"/>
      <c r="Q37"/>
      <c r="R37" s="464"/>
    </row>
    <row r="38" spans="1:18">
      <c r="A38" s="183"/>
      <c r="B38" s="365" t="s">
        <v>1352</v>
      </c>
      <c r="C38" s="835" t="s">
        <v>13</v>
      </c>
      <c r="D38" s="176">
        <v>0</v>
      </c>
      <c r="E38" s="176">
        <f>D38*(1+E$28)</f>
        <v>0</v>
      </c>
      <c r="F38" s="176">
        <f t="shared" ref="F38:I38" si="2">E38*(1+F$28)</f>
        <v>0</v>
      </c>
      <c r="G38" s="176">
        <f t="shared" si="2"/>
        <v>0</v>
      </c>
      <c r="H38" s="176">
        <f t="shared" si="2"/>
        <v>0</v>
      </c>
      <c r="I38" s="176">
        <f t="shared" si="2"/>
        <v>0</v>
      </c>
      <c r="J38" s="835" t="s">
        <v>322</v>
      </c>
      <c r="K38" s="835" t="s">
        <v>384</v>
      </c>
      <c r="L38" s="835" t="s">
        <v>389</v>
      </c>
      <c r="M38" s="841" t="s">
        <v>1456</v>
      </c>
      <c r="N38"/>
      <c r="O38"/>
      <c r="P38"/>
      <c r="Q38"/>
      <c r="R38" s="464"/>
    </row>
    <row r="39" spans="1:18">
      <c r="A39" s="183"/>
      <c r="B39" s="365" t="str">
        <f>"All Other "&amp;B40</f>
        <v>All Other 2000 - LOCAL SUPPORT - NON-TAX</v>
      </c>
      <c r="C39" s="835" t="s">
        <v>13</v>
      </c>
      <c r="D39" s="176">
        <v>0</v>
      </c>
      <c r="E39" s="176">
        <f t="shared" ref="E39:I39" si="3">D39*(1+E$28)</f>
        <v>0</v>
      </c>
      <c r="F39" s="176">
        <f t="shared" si="3"/>
        <v>0</v>
      </c>
      <c r="G39" s="176">
        <f t="shared" si="3"/>
        <v>0</v>
      </c>
      <c r="H39" s="176">
        <f t="shared" si="3"/>
        <v>0</v>
      </c>
      <c r="I39" s="176">
        <f t="shared" si="3"/>
        <v>0</v>
      </c>
      <c r="J39" s="835" t="s">
        <v>322</v>
      </c>
      <c r="K39" s="835" t="s">
        <v>386</v>
      </c>
      <c r="L39" s="835" t="s">
        <v>389</v>
      </c>
      <c r="M39" s="841" t="s">
        <v>1445</v>
      </c>
      <c r="N39"/>
      <c r="O39"/>
      <c r="P39"/>
      <c r="Q39"/>
      <c r="R39" s="464"/>
    </row>
    <row r="40" spans="1:18">
      <c r="A40" s="183"/>
      <c r="B40" s="179" t="s">
        <v>1350</v>
      </c>
      <c r="C40" s="179"/>
      <c r="D40" s="180"/>
      <c r="E40" s="180"/>
      <c r="F40" s="180"/>
      <c r="G40" s="180"/>
      <c r="H40" s="180"/>
      <c r="I40" s="180"/>
      <c r="J40" s="180"/>
      <c r="K40" s="180"/>
      <c r="L40" s="179"/>
      <c r="M40" s="180"/>
      <c r="N40"/>
      <c r="O40"/>
      <c r="P40"/>
      <c r="Q40"/>
      <c r="R40" s="464"/>
    </row>
    <row r="41" spans="1:18">
      <c r="A41" s="183"/>
      <c r="B41" s="192" t="s">
        <v>1441</v>
      </c>
      <c r="C41" s="835" t="s">
        <v>15</v>
      </c>
      <c r="D41" s="176">
        <v>12613</v>
      </c>
      <c r="E41" s="177">
        <f>D41*(1+E$26)</f>
        <v>12928.324999999999</v>
      </c>
      <c r="F41" s="177">
        <f t="shared" ref="F41:I41" si="4">E41*(1+F$26)</f>
        <v>13251.533124999998</v>
      </c>
      <c r="G41" s="177">
        <f t="shared" si="4"/>
        <v>13582.821453124998</v>
      </c>
      <c r="H41" s="177">
        <f t="shared" si="4"/>
        <v>13922.391989453121</v>
      </c>
      <c r="I41" s="177">
        <f t="shared" si="4"/>
        <v>14270.451789189448</v>
      </c>
      <c r="J41" s="835" t="s">
        <v>323</v>
      </c>
      <c r="K41" s="835" t="s">
        <v>384</v>
      </c>
      <c r="L41" s="835" t="s">
        <v>389</v>
      </c>
      <c r="M41" s="841" t="s">
        <v>1457</v>
      </c>
      <c r="N41"/>
      <c r="O41"/>
      <c r="P41"/>
      <c r="Q41"/>
      <c r="R41" s="464"/>
    </row>
    <row r="42" spans="1:18">
      <c r="A42" s="183"/>
      <c r="B42" s="192" t="s">
        <v>1354</v>
      </c>
      <c r="C42" s="835" t="s">
        <v>19</v>
      </c>
      <c r="D42" s="176">
        <v>455</v>
      </c>
      <c r="E42" s="177">
        <f t="shared" ref="E42:I42" si="5">D42*(1+E$26)</f>
        <v>466.37499999999994</v>
      </c>
      <c r="F42" s="177">
        <f t="shared" si="5"/>
        <v>478.0343749999999</v>
      </c>
      <c r="G42" s="177">
        <f t="shared" si="5"/>
        <v>489.98523437499983</v>
      </c>
      <c r="H42" s="177">
        <f t="shared" si="5"/>
        <v>502.23486523437481</v>
      </c>
      <c r="I42" s="177">
        <f t="shared" si="5"/>
        <v>514.79073686523418</v>
      </c>
      <c r="J42" s="835" t="s">
        <v>323</v>
      </c>
      <c r="K42" s="835" t="s">
        <v>384</v>
      </c>
      <c r="L42" s="835" t="s">
        <v>389</v>
      </c>
      <c r="M42" s="841" t="s">
        <v>1458</v>
      </c>
      <c r="N42"/>
      <c r="O42"/>
      <c r="P42"/>
      <c r="Q42"/>
      <c r="R42" s="464"/>
    </row>
    <row r="43" spans="1:18">
      <c r="A43" s="183"/>
      <c r="B43" s="365" t="str">
        <f>"All Other "&amp;B44</f>
        <v>All Other 3000 - STATE REVENUE - GENERAL PURPOSE</v>
      </c>
      <c r="C43" s="835" t="s">
        <v>13</v>
      </c>
      <c r="D43" s="176">
        <v>0</v>
      </c>
      <c r="E43" s="176"/>
      <c r="F43" s="176"/>
      <c r="G43" s="176"/>
      <c r="H43" s="176"/>
      <c r="I43" s="176"/>
      <c r="J43" s="835" t="s">
        <v>322</v>
      </c>
      <c r="K43" s="835" t="s">
        <v>386</v>
      </c>
      <c r="L43" s="835" t="s">
        <v>389</v>
      </c>
      <c r="M43" s="841" t="s">
        <v>1446</v>
      </c>
      <c r="N43"/>
      <c r="O43"/>
      <c r="P43"/>
      <c r="Q43"/>
      <c r="R43" s="464"/>
    </row>
    <row r="44" spans="1:18">
      <c r="A44" s="183"/>
      <c r="B44" s="179" t="s">
        <v>1353</v>
      </c>
      <c r="C44" s="179"/>
      <c r="D44" s="180"/>
      <c r="E44" s="180"/>
      <c r="F44" s="180"/>
      <c r="G44" s="180"/>
      <c r="H44" s="180"/>
      <c r="I44" s="180"/>
      <c r="J44" s="180"/>
      <c r="K44" s="180"/>
      <c r="L44" s="179"/>
      <c r="M44" s="180"/>
      <c r="N44"/>
      <c r="O44"/>
      <c r="P44"/>
      <c r="Q44"/>
      <c r="R44" s="464"/>
    </row>
    <row r="45" spans="1:18">
      <c r="A45" s="183"/>
      <c r="B45" s="192" t="s">
        <v>1356</v>
      </c>
      <c r="C45" s="835" t="s">
        <v>19</v>
      </c>
      <c r="D45" s="176">
        <v>14631</v>
      </c>
      <c r="E45" s="177">
        <f t="shared" ref="E45:I45" si="6">D45*(1+E$26)</f>
        <v>14996.774999999998</v>
      </c>
      <c r="F45" s="177">
        <f t="shared" si="6"/>
        <v>15371.694374999997</v>
      </c>
      <c r="G45" s="177">
        <f t="shared" si="6"/>
        <v>15755.986734374996</v>
      </c>
      <c r="H45" s="177">
        <f t="shared" si="6"/>
        <v>16149.88640273437</v>
      </c>
      <c r="I45" s="177">
        <f t="shared" si="6"/>
        <v>16553.633562802726</v>
      </c>
      <c r="J45" s="835" t="s">
        <v>323</v>
      </c>
      <c r="K45" s="835" t="s">
        <v>384</v>
      </c>
      <c r="L45" s="835" t="s">
        <v>389</v>
      </c>
      <c r="M45" s="841" t="s">
        <v>1459</v>
      </c>
      <c r="N45"/>
      <c r="O45"/>
      <c r="P45"/>
      <c r="Q45"/>
      <c r="R45" s="464"/>
    </row>
    <row r="46" spans="1:18">
      <c r="A46" s="183"/>
      <c r="B46" s="192" t="s">
        <v>1442</v>
      </c>
      <c r="C46" s="835" t="s">
        <v>15</v>
      </c>
      <c r="D46" s="176">
        <v>370</v>
      </c>
      <c r="E46" s="177">
        <f t="shared" ref="E46:I46" si="7">D46*(1+E$26)</f>
        <v>379.24999999999994</v>
      </c>
      <c r="F46" s="177">
        <f t="shared" si="7"/>
        <v>388.73124999999993</v>
      </c>
      <c r="G46" s="177">
        <f t="shared" si="7"/>
        <v>398.44953124999989</v>
      </c>
      <c r="H46" s="177">
        <f t="shared" si="7"/>
        <v>408.41076953124985</v>
      </c>
      <c r="I46" s="177">
        <f t="shared" si="7"/>
        <v>418.62103876953108</v>
      </c>
      <c r="J46" s="835" t="s">
        <v>323</v>
      </c>
      <c r="K46" s="835" t="s">
        <v>384</v>
      </c>
      <c r="L46" s="835" t="s">
        <v>389</v>
      </c>
      <c r="M46" s="841" t="s">
        <v>1460</v>
      </c>
      <c r="N46"/>
      <c r="O46"/>
      <c r="P46"/>
      <c r="Q46"/>
      <c r="R46" s="464"/>
    </row>
    <row r="47" spans="1:18">
      <c r="A47" s="183"/>
      <c r="B47" s="192" t="s">
        <v>1443</v>
      </c>
      <c r="C47" s="835" t="s">
        <v>208</v>
      </c>
      <c r="D47" s="176">
        <v>185</v>
      </c>
      <c r="E47" s="177">
        <f t="shared" ref="E47:I47" si="8">D47*(1+E$26)</f>
        <v>189.62499999999997</v>
      </c>
      <c r="F47" s="177">
        <f t="shared" si="8"/>
        <v>194.36562499999997</v>
      </c>
      <c r="G47" s="177">
        <f t="shared" si="8"/>
        <v>199.22476562499995</v>
      </c>
      <c r="H47" s="177">
        <f t="shared" si="8"/>
        <v>204.20538476562493</v>
      </c>
      <c r="I47" s="177">
        <f t="shared" si="8"/>
        <v>209.31051938476554</v>
      </c>
      <c r="J47" s="835" t="s">
        <v>323</v>
      </c>
      <c r="K47" s="835" t="s">
        <v>384</v>
      </c>
      <c r="L47" s="835" t="s">
        <v>389</v>
      </c>
      <c r="M47" s="841" t="s">
        <v>1461</v>
      </c>
      <c r="N47"/>
      <c r="O47"/>
      <c r="P47"/>
      <c r="Q47"/>
      <c r="R47" s="464"/>
    </row>
    <row r="48" spans="1:18">
      <c r="A48" s="183"/>
      <c r="B48" s="192" t="s">
        <v>1357</v>
      </c>
      <c r="C48" s="835" t="s">
        <v>15</v>
      </c>
      <c r="D48" s="176">
        <v>32</v>
      </c>
      <c r="E48" s="177">
        <f t="shared" ref="E48:I48" si="9">D48*(1+E$26)</f>
        <v>32.799999999999997</v>
      </c>
      <c r="F48" s="177">
        <f t="shared" si="9"/>
        <v>33.619999999999997</v>
      </c>
      <c r="G48" s="177">
        <f t="shared" si="9"/>
        <v>34.460499999999996</v>
      </c>
      <c r="H48" s="177">
        <f t="shared" si="9"/>
        <v>35.322012499999992</v>
      </c>
      <c r="I48" s="177">
        <f t="shared" si="9"/>
        <v>36.205062812499989</v>
      </c>
      <c r="J48" s="835" t="s">
        <v>323</v>
      </c>
      <c r="K48" s="835" t="s">
        <v>384</v>
      </c>
      <c r="L48" s="835" t="s">
        <v>389</v>
      </c>
      <c r="M48" s="841" t="s">
        <v>1462</v>
      </c>
      <c r="N48"/>
      <c r="O48"/>
      <c r="P48"/>
      <c r="Q48"/>
      <c r="R48" s="464"/>
    </row>
    <row r="49" spans="1:18">
      <c r="A49" s="183"/>
      <c r="B49" s="192" t="s">
        <v>1358</v>
      </c>
      <c r="C49" s="835" t="s">
        <v>15</v>
      </c>
      <c r="D49" s="176">
        <v>23</v>
      </c>
      <c r="E49" s="177">
        <f t="shared" ref="E49:I49" si="10">D49*(1+E$26)</f>
        <v>23.574999999999999</v>
      </c>
      <c r="F49" s="177">
        <f t="shared" si="10"/>
        <v>24.164374999999996</v>
      </c>
      <c r="G49" s="177">
        <f t="shared" si="10"/>
        <v>24.768484374999993</v>
      </c>
      <c r="H49" s="177">
        <f t="shared" si="10"/>
        <v>25.387696484374992</v>
      </c>
      <c r="I49" s="177">
        <f t="shared" si="10"/>
        <v>26.022388896484365</v>
      </c>
      <c r="J49" s="835" t="s">
        <v>323</v>
      </c>
      <c r="K49" s="835" t="s">
        <v>384</v>
      </c>
      <c r="L49" s="835" t="s">
        <v>389</v>
      </c>
      <c r="M49" s="841" t="s">
        <v>1463</v>
      </c>
      <c r="N49"/>
      <c r="O49"/>
      <c r="P49"/>
      <c r="Q49"/>
      <c r="R49" s="464"/>
    </row>
    <row r="50" spans="1:18">
      <c r="A50" s="183"/>
      <c r="B50" s="365" t="s">
        <v>1359</v>
      </c>
      <c r="C50" s="835" t="s">
        <v>15</v>
      </c>
      <c r="D50" s="176">
        <v>595</v>
      </c>
      <c r="E50" s="177">
        <f t="shared" ref="E50:I50" si="11">D50*(1+E$26)</f>
        <v>609.875</v>
      </c>
      <c r="F50" s="177">
        <f t="shared" si="11"/>
        <v>625.12187499999993</v>
      </c>
      <c r="G50" s="177">
        <f t="shared" si="11"/>
        <v>640.74992187499993</v>
      </c>
      <c r="H50" s="177">
        <f t="shared" si="11"/>
        <v>656.7686699218749</v>
      </c>
      <c r="I50" s="177">
        <f t="shared" si="11"/>
        <v>673.18788666992168</v>
      </c>
      <c r="J50" s="835" t="s">
        <v>323</v>
      </c>
      <c r="K50" s="835" t="s">
        <v>384</v>
      </c>
      <c r="L50" s="835" t="s">
        <v>389</v>
      </c>
      <c r="M50" s="841" t="s">
        <v>1464</v>
      </c>
      <c r="N50"/>
      <c r="O50"/>
      <c r="P50"/>
      <c r="Q50"/>
      <c r="R50" s="464"/>
    </row>
    <row r="51" spans="1:18">
      <c r="A51" s="183"/>
      <c r="B51" s="365" t="str">
        <f>"All Other "&amp;B52</f>
        <v>All Other 4000 - STATE REVENUE - SPECIAL PURPOSE</v>
      </c>
      <c r="C51" s="835" t="s">
        <v>13</v>
      </c>
      <c r="D51" s="176">
        <v>0</v>
      </c>
      <c r="E51" s="176">
        <v>0</v>
      </c>
      <c r="F51" s="176">
        <v>0</v>
      </c>
      <c r="G51" s="176">
        <v>0</v>
      </c>
      <c r="H51" s="176">
        <v>0</v>
      </c>
      <c r="I51" s="176">
        <v>0</v>
      </c>
      <c r="J51" s="835" t="s">
        <v>322</v>
      </c>
      <c r="K51" s="835" t="s">
        <v>386</v>
      </c>
      <c r="L51" s="835" t="s">
        <v>389</v>
      </c>
      <c r="M51" s="841" t="s">
        <v>1447</v>
      </c>
      <c r="N51"/>
      <c r="O51"/>
      <c r="P51"/>
      <c r="Q51"/>
      <c r="R51" s="464"/>
    </row>
    <row r="52" spans="1:18">
      <c r="A52" s="183"/>
      <c r="B52" s="179" t="s">
        <v>1355</v>
      </c>
      <c r="C52" s="179"/>
      <c r="D52" s="180"/>
      <c r="E52" s="180"/>
      <c r="F52" s="180"/>
      <c r="G52" s="180"/>
      <c r="H52" s="180"/>
      <c r="I52" s="180"/>
      <c r="J52" s="180"/>
      <c r="K52" s="180"/>
      <c r="L52" s="179"/>
      <c r="M52" s="180"/>
      <c r="N52"/>
      <c r="O52"/>
      <c r="P52"/>
      <c r="Q52"/>
      <c r="R52" s="464"/>
    </row>
    <row r="53" spans="1:18">
      <c r="A53" s="183"/>
      <c r="B53" s="365" t="s">
        <v>1361</v>
      </c>
      <c r="C53" s="835" t="s">
        <v>13</v>
      </c>
      <c r="D53" s="176">
        <v>0</v>
      </c>
      <c r="E53" s="176">
        <v>0</v>
      </c>
      <c r="F53" s="176">
        <v>0</v>
      </c>
      <c r="G53" s="176">
        <v>0</v>
      </c>
      <c r="H53" s="176">
        <v>0</v>
      </c>
      <c r="I53" s="176">
        <v>0</v>
      </c>
      <c r="J53" s="835" t="s">
        <v>323</v>
      </c>
      <c r="K53" s="835" t="s">
        <v>384</v>
      </c>
      <c r="L53" s="835" t="s">
        <v>390</v>
      </c>
      <c r="M53" s="841" t="s">
        <v>1465</v>
      </c>
      <c r="N53"/>
      <c r="O53"/>
      <c r="P53"/>
      <c r="Q53"/>
      <c r="R53" s="464"/>
    </row>
    <row r="54" spans="1:18">
      <c r="A54" s="183"/>
      <c r="B54" s="365" t="s">
        <v>1362</v>
      </c>
      <c r="C54" s="835" t="s">
        <v>15</v>
      </c>
      <c r="D54" s="176">
        <v>297</v>
      </c>
      <c r="E54" s="177">
        <f>D54*(1+E$27)</f>
        <v>301.45499999999998</v>
      </c>
      <c r="F54" s="177">
        <f t="shared" ref="F54:I54" si="12">E54*(1+F$27)</f>
        <v>305.97682499999996</v>
      </c>
      <c r="G54" s="177">
        <f t="shared" si="12"/>
        <v>310.56647737499992</v>
      </c>
      <c r="H54" s="177">
        <f t="shared" si="12"/>
        <v>315.22497453562488</v>
      </c>
      <c r="I54" s="177">
        <f t="shared" si="12"/>
        <v>319.95334915365925</v>
      </c>
      <c r="J54" s="835" t="s">
        <v>323</v>
      </c>
      <c r="K54" s="835" t="s">
        <v>384</v>
      </c>
      <c r="L54" s="835" t="s">
        <v>390</v>
      </c>
      <c r="M54" s="841" t="s">
        <v>1362</v>
      </c>
      <c r="N54"/>
      <c r="O54"/>
      <c r="P54"/>
      <c r="Q54"/>
      <c r="R54" s="464"/>
    </row>
    <row r="55" spans="1:18">
      <c r="A55" s="183"/>
      <c r="B55" s="365" t="s">
        <v>1363</v>
      </c>
      <c r="C55" s="835" t="s">
        <v>15</v>
      </c>
      <c r="D55" s="176">
        <v>36</v>
      </c>
      <c r="E55" s="177">
        <f t="shared" ref="E55:I55" si="13">D55*(1+E$27)</f>
        <v>36.54</v>
      </c>
      <c r="F55" s="177">
        <f t="shared" si="13"/>
        <v>37.088099999999997</v>
      </c>
      <c r="G55" s="177">
        <f t="shared" si="13"/>
        <v>37.644421499999993</v>
      </c>
      <c r="H55" s="177">
        <f t="shared" si="13"/>
        <v>38.209087822499988</v>
      </c>
      <c r="I55" s="177">
        <f t="shared" si="13"/>
        <v>38.782224139837481</v>
      </c>
      <c r="J55" s="835" t="s">
        <v>323</v>
      </c>
      <c r="K55" s="835" t="s">
        <v>384</v>
      </c>
      <c r="L55" s="835" t="s">
        <v>390</v>
      </c>
      <c r="M55" s="841" t="s">
        <v>1363</v>
      </c>
      <c r="N55"/>
      <c r="O55"/>
      <c r="P55"/>
      <c r="Q55"/>
      <c r="R55" s="464"/>
    </row>
    <row r="56" spans="1:18">
      <c r="A56" s="183"/>
      <c r="B56" s="365" t="s">
        <v>1364</v>
      </c>
      <c r="C56" s="835" t="s">
        <v>15</v>
      </c>
      <c r="D56" s="176">
        <v>23</v>
      </c>
      <c r="E56" s="177">
        <f t="shared" ref="E56:I56" si="14">D56*(1+E$27)</f>
        <v>23.344999999999999</v>
      </c>
      <c r="F56" s="177">
        <f t="shared" si="14"/>
        <v>23.695174999999995</v>
      </c>
      <c r="G56" s="177">
        <f t="shared" si="14"/>
        <v>24.050602624999993</v>
      </c>
      <c r="H56" s="177">
        <f t="shared" si="14"/>
        <v>24.41136166437499</v>
      </c>
      <c r="I56" s="177">
        <f t="shared" si="14"/>
        <v>24.777532089340614</v>
      </c>
      <c r="J56" s="835" t="s">
        <v>323</v>
      </c>
      <c r="K56" s="835" t="s">
        <v>384</v>
      </c>
      <c r="L56" s="835" t="s">
        <v>390</v>
      </c>
      <c r="M56" s="841" t="s">
        <v>1364</v>
      </c>
      <c r="N56"/>
      <c r="O56"/>
      <c r="P56"/>
      <c r="Q56"/>
      <c r="R56" s="464"/>
    </row>
    <row r="57" spans="1:18">
      <c r="A57" s="183"/>
      <c r="B57" s="365" t="s">
        <v>1365</v>
      </c>
      <c r="C57" s="835" t="s">
        <v>13</v>
      </c>
      <c r="D57" s="176">
        <v>0</v>
      </c>
      <c r="E57" s="176">
        <v>132921</v>
      </c>
      <c r="F57" s="177">
        <f t="shared" ref="F57" si="15">E57*(1+F$27)</f>
        <v>134914.81499999997</v>
      </c>
      <c r="G57" s="177">
        <f t="shared" ref="G57" si="16">F57*(1+G$27)</f>
        <v>136938.53722499995</v>
      </c>
      <c r="H57" s="177">
        <f t="shared" ref="H57" si="17">G57*(1+H$27)</f>
        <v>138992.61528337494</v>
      </c>
      <c r="I57" s="177">
        <f t="shared" ref="I57" si="18">H57*(1+I$27)</f>
        <v>141077.50451262554</v>
      </c>
      <c r="J57" s="835" t="s">
        <v>323</v>
      </c>
      <c r="K57" s="835" t="s">
        <v>384</v>
      </c>
      <c r="L57" s="835" t="s">
        <v>390</v>
      </c>
      <c r="M57" s="841" t="s">
        <v>1474</v>
      </c>
      <c r="N57"/>
      <c r="O57"/>
      <c r="P57"/>
      <c r="Q57"/>
      <c r="R57" s="464"/>
    </row>
    <row r="58" spans="1:18">
      <c r="A58" s="183"/>
      <c r="B58" s="365" t="s">
        <v>1366</v>
      </c>
      <c r="C58" s="835" t="s">
        <v>13</v>
      </c>
      <c r="D58" s="176">
        <v>0</v>
      </c>
      <c r="E58" s="176">
        <v>400000</v>
      </c>
      <c r="F58" s="176">
        <v>400000</v>
      </c>
      <c r="G58" s="176">
        <v>400000</v>
      </c>
      <c r="H58" s="176">
        <v>400000</v>
      </c>
      <c r="I58" s="176">
        <v>400000</v>
      </c>
      <c r="J58" s="835" t="s">
        <v>323</v>
      </c>
      <c r="K58" s="835" t="s">
        <v>384</v>
      </c>
      <c r="L58" s="835" t="s">
        <v>390</v>
      </c>
      <c r="M58" s="841" t="s">
        <v>1366</v>
      </c>
      <c r="N58"/>
      <c r="O58"/>
      <c r="P58"/>
      <c r="Q58"/>
      <c r="R58" s="464"/>
    </row>
    <row r="59" spans="1:18">
      <c r="A59" s="183"/>
      <c r="B59" s="365" t="str">
        <f>"All Other "&amp;B60</f>
        <v>All Other 5000 - FEDERAL REVENUE - GENERAL PURPOSE</v>
      </c>
      <c r="C59" s="835" t="s">
        <v>13</v>
      </c>
      <c r="D59" s="176">
        <v>0</v>
      </c>
      <c r="E59" s="176">
        <v>0</v>
      </c>
      <c r="F59" s="176">
        <v>0</v>
      </c>
      <c r="G59" s="176">
        <v>0</v>
      </c>
      <c r="H59" s="176">
        <v>0</v>
      </c>
      <c r="I59" s="176">
        <v>0</v>
      </c>
      <c r="J59" s="835" t="s">
        <v>322</v>
      </c>
      <c r="K59" s="835" t="s">
        <v>386</v>
      </c>
      <c r="L59" s="835" t="s">
        <v>390</v>
      </c>
      <c r="M59" s="841" t="s">
        <v>1449</v>
      </c>
      <c r="N59"/>
      <c r="O59"/>
      <c r="P59"/>
      <c r="Q59"/>
      <c r="R59" s="464"/>
    </row>
    <row r="60" spans="1:18">
      <c r="A60" s="183"/>
      <c r="B60" s="179" t="s">
        <v>1360</v>
      </c>
      <c r="C60" s="179"/>
      <c r="D60" s="180"/>
      <c r="E60" s="180"/>
      <c r="F60" s="180"/>
      <c r="G60" s="180"/>
      <c r="H60" s="180"/>
      <c r="I60" s="180"/>
      <c r="J60" s="180"/>
      <c r="K60" s="180"/>
      <c r="L60" s="179"/>
      <c r="M60" s="180"/>
      <c r="N60"/>
      <c r="O60"/>
      <c r="P60"/>
      <c r="Q60"/>
      <c r="R60" s="464"/>
    </row>
    <row r="61" spans="1:18">
      <c r="A61" s="183"/>
      <c r="B61" s="365" t="s">
        <v>1368</v>
      </c>
      <c r="C61" s="835" t="s">
        <v>13</v>
      </c>
      <c r="D61" s="176">
        <v>0</v>
      </c>
      <c r="E61" s="176">
        <v>17000</v>
      </c>
      <c r="F61" s="176">
        <v>17000</v>
      </c>
      <c r="G61" s="176">
        <v>17000</v>
      </c>
      <c r="H61" s="176">
        <v>17000</v>
      </c>
      <c r="I61" s="176">
        <v>17000</v>
      </c>
      <c r="J61" s="835" t="s">
        <v>323</v>
      </c>
      <c r="K61" s="835" t="s">
        <v>384</v>
      </c>
      <c r="L61" s="835" t="s">
        <v>390</v>
      </c>
      <c r="M61" s="841" t="s">
        <v>1466</v>
      </c>
      <c r="N61"/>
      <c r="O61"/>
      <c r="P61"/>
      <c r="Q61"/>
      <c r="R61" s="464"/>
    </row>
    <row r="62" spans="1:18">
      <c r="A62" s="183"/>
      <c r="B62" s="192" t="s">
        <v>1369</v>
      </c>
      <c r="C62" s="835" t="s">
        <v>15</v>
      </c>
      <c r="D62" s="176">
        <v>795</v>
      </c>
      <c r="E62" s="177">
        <f t="shared" ref="E62:I62" si="19">D62*(1+E$27)</f>
        <v>806.92499999999995</v>
      </c>
      <c r="F62" s="177">
        <f t="shared" si="19"/>
        <v>819.02887499999986</v>
      </c>
      <c r="G62" s="177">
        <f t="shared" si="19"/>
        <v>831.3143081249998</v>
      </c>
      <c r="H62" s="177">
        <f t="shared" si="19"/>
        <v>843.78402274687471</v>
      </c>
      <c r="I62" s="177">
        <f t="shared" si="19"/>
        <v>856.44078308807775</v>
      </c>
      <c r="J62" s="835" t="s">
        <v>323</v>
      </c>
      <c r="K62" s="835" t="s">
        <v>384</v>
      </c>
      <c r="L62" s="835" t="s">
        <v>390</v>
      </c>
      <c r="M62" s="841" t="s">
        <v>1467</v>
      </c>
      <c r="N62"/>
      <c r="O62"/>
      <c r="P62"/>
      <c r="Q62"/>
      <c r="R62" s="464"/>
    </row>
    <row r="63" spans="1:18">
      <c r="A63" s="183"/>
      <c r="B63" s="365" t="str">
        <f>"All Other "&amp;B64</f>
        <v>All Other 6000 - FEDERAL REVENUE - SPECIAL PURPOSE</v>
      </c>
      <c r="C63" s="835" t="s">
        <v>13</v>
      </c>
      <c r="D63" s="176">
        <v>0</v>
      </c>
      <c r="E63" s="176">
        <v>0</v>
      </c>
      <c r="F63" s="176">
        <v>0</v>
      </c>
      <c r="G63" s="176">
        <v>0</v>
      </c>
      <c r="H63" s="176">
        <v>0</v>
      </c>
      <c r="I63" s="176">
        <v>0</v>
      </c>
      <c r="J63" s="835" t="s">
        <v>322</v>
      </c>
      <c r="K63" s="835" t="s">
        <v>386</v>
      </c>
      <c r="L63" s="835" t="s">
        <v>390</v>
      </c>
      <c r="M63" s="841" t="s">
        <v>1448</v>
      </c>
      <c r="N63"/>
      <c r="O63"/>
      <c r="P63"/>
      <c r="Q63"/>
      <c r="R63" s="464"/>
    </row>
    <row r="64" spans="1:18">
      <c r="A64" s="183"/>
      <c r="B64" s="179" t="s">
        <v>1367</v>
      </c>
      <c r="C64" s="179"/>
      <c r="D64" s="180"/>
      <c r="E64" s="180"/>
      <c r="F64" s="180"/>
      <c r="G64" s="180"/>
      <c r="H64" s="180"/>
      <c r="I64" s="180"/>
      <c r="J64" s="180"/>
      <c r="K64" s="180"/>
      <c r="L64" s="179"/>
      <c r="M64" s="180"/>
      <c r="N64"/>
      <c r="O64"/>
      <c r="P64"/>
      <c r="Q64"/>
      <c r="R64" s="464"/>
    </row>
    <row r="65" spans="1:19">
      <c r="A65" s="183"/>
      <c r="B65" s="365" t="s">
        <v>1371</v>
      </c>
      <c r="C65" s="835" t="s">
        <v>13</v>
      </c>
      <c r="D65" s="176">
        <v>0</v>
      </c>
      <c r="E65" s="176">
        <v>0</v>
      </c>
      <c r="F65" s="176">
        <v>0</v>
      </c>
      <c r="G65" s="176">
        <v>0</v>
      </c>
      <c r="H65" s="176">
        <v>0</v>
      </c>
      <c r="I65" s="176">
        <v>0</v>
      </c>
      <c r="J65" s="835" t="s">
        <v>322</v>
      </c>
      <c r="K65" s="835" t="s">
        <v>386</v>
      </c>
      <c r="L65" s="835" t="s">
        <v>389</v>
      </c>
      <c r="M65" s="841" t="s">
        <v>1468</v>
      </c>
      <c r="N65"/>
      <c r="O65"/>
      <c r="P65"/>
      <c r="Q65"/>
      <c r="R65" s="464"/>
    </row>
    <row r="66" spans="1:19">
      <c r="A66" s="183"/>
      <c r="B66" s="365" t="str">
        <f>"All Other "&amp;B67</f>
        <v>All Other 7000 - OTHER SCHOOL DISTRICTS</v>
      </c>
      <c r="C66" s="835" t="s">
        <v>13</v>
      </c>
      <c r="D66" s="176">
        <v>0</v>
      </c>
      <c r="E66" s="176">
        <v>0</v>
      </c>
      <c r="F66" s="176">
        <v>0</v>
      </c>
      <c r="G66" s="176">
        <v>0</v>
      </c>
      <c r="H66" s="176">
        <v>0</v>
      </c>
      <c r="I66" s="176">
        <v>0</v>
      </c>
      <c r="J66" s="835" t="s">
        <v>322</v>
      </c>
      <c r="K66" s="835" t="s">
        <v>386</v>
      </c>
      <c r="L66" s="835" t="s">
        <v>389</v>
      </c>
      <c r="M66" s="841" t="s">
        <v>1450</v>
      </c>
      <c r="N66"/>
      <c r="O66"/>
      <c r="P66"/>
      <c r="Q66"/>
      <c r="R66" s="464"/>
    </row>
    <row r="67" spans="1:19">
      <c r="A67" s="183"/>
      <c r="B67" s="179" t="s">
        <v>1370</v>
      </c>
      <c r="C67" s="179"/>
      <c r="D67" s="180"/>
      <c r="E67" s="180"/>
      <c r="F67" s="180"/>
      <c r="G67" s="180"/>
      <c r="H67" s="180"/>
      <c r="I67" s="180"/>
      <c r="J67" s="180"/>
      <c r="K67" s="180"/>
      <c r="L67" s="179"/>
      <c r="M67" s="180"/>
      <c r="N67"/>
      <c r="O67"/>
      <c r="P67"/>
      <c r="Q67"/>
      <c r="R67" s="464"/>
    </row>
    <row r="68" spans="1:19">
      <c r="A68" s="183"/>
      <c r="B68" s="365" t="s">
        <v>1373</v>
      </c>
      <c r="C68" s="835" t="s">
        <v>13</v>
      </c>
      <c r="D68" s="176">
        <v>0</v>
      </c>
      <c r="E68" s="176">
        <v>0</v>
      </c>
      <c r="F68" s="176">
        <v>0</v>
      </c>
      <c r="G68" s="176">
        <v>0</v>
      </c>
      <c r="H68" s="176">
        <v>0</v>
      </c>
      <c r="I68" s="176">
        <v>0</v>
      </c>
      <c r="J68" s="835" t="s">
        <v>322</v>
      </c>
      <c r="K68" s="835" t="s">
        <v>386</v>
      </c>
      <c r="L68" s="835" t="s">
        <v>1480</v>
      </c>
      <c r="M68" s="841" t="s">
        <v>1469</v>
      </c>
      <c r="N68"/>
      <c r="O68"/>
      <c r="P68"/>
      <c r="Q68"/>
      <c r="R68" s="464"/>
    </row>
    <row r="69" spans="1:19">
      <c r="A69" s="183"/>
      <c r="B69" s="365" t="s">
        <v>1374</v>
      </c>
      <c r="C69" s="835" t="s">
        <v>13</v>
      </c>
      <c r="D69" s="176">
        <v>250000</v>
      </c>
      <c r="E69" s="176">
        <v>300000</v>
      </c>
      <c r="F69" s="176">
        <v>300000</v>
      </c>
      <c r="G69" s="176">
        <v>300000</v>
      </c>
      <c r="H69" s="176">
        <v>300000</v>
      </c>
      <c r="I69" s="176">
        <v>300000</v>
      </c>
      <c r="J69" s="835" t="s">
        <v>322</v>
      </c>
      <c r="K69" s="835" t="s">
        <v>386</v>
      </c>
      <c r="L69" s="835" t="s">
        <v>391</v>
      </c>
      <c r="M69" s="841" t="s">
        <v>1470</v>
      </c>
      <c r="N69"/>
      <c r="O69"/>
      <c r="P69"/>
      <c r="Q69"/>
      <c r="R69" s="464"/>
    </row>
    <row r="70" spans="1:19">
      <c r="A70" s="183"/>
      <c r="B70" s="365" t="s">
        <v>1375</v>
      </c>
      <c r="C70" s="835" t="s">
        <v>13</v>
      </c>
      <c r="D70" s="176">
        <v>0</v>
      </c>
      <c r="E70" s="176">
        <v>0</v>
      </c>
      <c r="F70" s="176">
        <v>0</v>
      </c>
      <c r="G70" s="176">
        <v>0</v>
      </c>
      <c r="H70" s="176">
        <v>0</v>
      </c>
      <c r="I70" s="176">
        <v>0</v>
      </c>
      <c r="J70" s="835" t="s">
        <v>322</v>
      </c>
      <c r="K70" s="835" t="s">
        <v>386</v>
      </c>
      <c r="L70" s="835" t="s">
        <v>389</v>
      </c>
      <c r="M70" s="841" t="s">
        <v>1471</v>
      </c>
      <c r="N70"/>
      <c r="O70"/>
      <c r="P70"/>
      <c r="Q70"/>
      <c r="R70" s="464"/>
    </row>
    <row r="71" spans="1:19">
      <c r="A71" s="183"/>
      <c r="B71" s="365" t="str">
        <f>"All Other "&amp;B72</f>
        <v>All Other 8000 - OTHER ENTITIES</v>
      </c>
      <c r="C71" s="835" t="s">
        <v>13</v>
      </c>
      <c r="D71" s="176">
        <v>0</v>
      </c>
      <c r="E71" s="176">
        <v>0</v>
      </c>
      <c r="F71" s="176">
        <v>0</v>
      </c>
      <c r="G71" s="176">
        <v>0</v>
      </c>
      <c r="H71" s="176">
        <v>0</v>
      </c>
      <c r="I71" s="176">
        <v>0</v>
      </c>
      <c r="J71" s="835" t="s">
        <v>322</v>
      </c>
      <c r="K71" s="835" t="s">
        <v>386</v>
      </c>
      <c r="L71" s="835" t="s">
        <v>1480</v>
      </c>
      <c r="M71" s="841" t="s">
        <v>1451</v>
      </c>
      <c r="N71"/>
      <c r="O71"/>
      <c r="P71"/>
      <c r="Q71"/>
      <c r="R71" s="464"/>
    </row>
    <row r="72" spans="1:19">
      <c r="A72" s="183"/>
      <c r="B72" s="179" t="s">
        <v>1372</v>
      </c>
      <c r="C72" s="179"/>
      <c r="D72" s="180"/>
      <c r="E72" s="180"/>
      <c r="F72" s="180"/>
      <c r="G72" s="180"/>
      <c r="H72" s="180"/>
      <c r="I72" s="180"/>
      <c r="J72" s="180"/>
      <c r="K72" s="180"/>
      <c r="L72" s="179"/>
      <c r="M72" s="180"/>
      <c r="N72"/>
      <c r="O72"/>
      <c r="P72"/>
      <c r="Q72"/>
      <c r="R72" s="464"/>
    </row>
    <row r="73" spans="1:19">
      <c r="A73" s="183"/>
      <c r="B73" s="365" t="s">
        <v>1377</v>
      </c>
      <c r="C73" s="835" t="s">
        <v>13</v>
      </c>
      <c r="D73" s="176">
        <v>0</v>
      </c>
      <c r="E73" s="176">
        <v>0</v>
      </c>
      <c r="F73" s="176">
        <v>0</v>
      </c>
      <c r="G73" s="176">
        <v>0</v>
      </c>
      <c r="H73" s="176">
        <v>0</v>
      </c>
      <c r="I73" s="176">
        <v>0</v>
      </c>
      <c r="J73" s="835" t="s">
        <v>322</v>
      </c>
      <c r="K73" s="835" t="s">
        <v>386</v>
      </c>
      <c r="L73" s="835" t="s">
        <v>389</v>
      </c>
      <c r="M73" s="841" t="s">
        <v>1472</v>
      </c>
      <c r="N73"/>
      <c r="O73"/>
      <c r="P73"/>
      <c r="Q73"/>
      <c r="R73" s="464"/>
    </row>
    <row r="74" spans="1:19">
      <c r="A74" s="183"/>
      <c r="B74" s="365" t="s">
        <v>1378</v>
      </c>
      <c r="C74" s="835" t="s">
        <v>13</v>
      </c>
      <c r="D74" s="176">
        <v>0</v>
      </c>
      <c r="E74" s="176">
        <v>0</v>
      </c>
      <c r="F74" s="176">
        <v>0</v>
      </c>
      <c r="G74" s="176">
        <v>0</v>
      </c>
      <c r="H74" s="176">
        <v>0</v>
      </c>
      <c r="I74" s="176">
        <v>0</v>
      </c>
      <c r="J74" s="835" t="s">
        <v>322</v>
      </c>
      <c r="K74" s="835" t="s">
        <v>386</v>
      </c>
      <c r="L74" s="835" t="s">
        <v>389</v>
      </c>
      <c r="M74" s="841" t="s">
        <v>1473</v>
      </c>
      <c r="N74"/>
      <c r="O74"/>
      <c r="P74"/>
      <c r="Q74"/>
      <c r="R74" s="464"/>
    </row>
    <row r="75" spans="1:19">
      <c r="A75" s="183"/>
      <c r="B75" s="365" t="str">
        <f>"All Other "&amp;B76</f>
        <v>All Other 9000 - OTHER FINANCING SOURCES</v>
      </c>
      <c r="C75" s="835" t="s">
        <v>13</v>
      </c>
      <c r="D75" s="176">
        <v>0</v>
      </c>
      <c r="E75" s="176">
        <v>0</v>
      </c>
      <c r="F75" s="176">
        <v>0</v>
      </c>
      <c r="G75" s="176">
        <v>0</v>
      </c>
      <c r="H75" s="176">
        <v>0</v>
      </c>
      <c r="I75" s="176">
        <v>0</v>
      </c>
      <c r="J75" s="835" t="s">
        <v>322</v>
      </c>
      <c r="K75" s="835" t="s">
        <v>386</v>
      </c>
      <c r="L75" s="835" t="s">
        <v>389</v>
      </c>
      <c r="M75" s="841" t="s">
        <v>1452</v>
      </c>
      <c r="N75"/>
      <c r="O75"/>
      <c r="P75"/>
      <c r="Q75"/>
      <c r="R75" s="464"/>
    </row>
    <row r="76" spans="1:19">
      <c r="A76" s="183"/>
      <c r="B76" s="179" t="s">
        <v>1376</v>
      </c>
      <c r="C76" s="179"/>
      <c r="D76" s="180"/>
      <c r="E76" s="180"/>
      <c r="F76" s="180"/>
      <c r="G76" s="180"/>
      <c r="H76" s="180"/>
      <c r="I76" s="180"/>
      <c r="J76" s="180"/>
      <c r="K76" s="180"/>
      <c r="L76" s="179"/>
      <c r="M76" s="180"/>
      <c r="N76"/>
      <c r="O76"/>
      <c r="P76"/>
      <c r="Q76"/>
      <c r="R76" s="464"/>
    </row>
    <row r="77" spans="1:19">
      <c r="A77" s="183"/>
      <c r="B77"/>
      <c r="C77"/>
      <c r="D77"/>
      <c r="E77"/>
      <c r="F77"/>
      <c r="G77"/>
      <c r="H77"/>
      <c r="I77"/>
      <c r="J77"/>
      <c r="K77"/>
      <c r="L77"/>
      <c r="M77"/>
      <c r="N77"/>
      <c r="O77"/>
      <c r="P77"/>
      <c r="Q77"/>
      <c r="R77" s="464"/>
    </row>
    <row r="78" spans="1:19" s="520" customFormat="1" ht="26">
      <c r="A78" s="87" t="s">
        <v>1438</v>
      </c>
      <c r="B78" s="88"/>
      <c r="C78" s="88"/>
      <c r="D78" s="89"/>
      <c r="E78" s="88"/>
      <c r="F78" s="88"/>
      <c r="G78" s="89"/>
      <c r="H78" s="88"/>
      <c r="I78" s="360"/>
      <c r="J78" s="88"/>
      <c r="K78" s="88"/>
      <c r="L78" s="88"/>
      <c r="M78" s="88"/>
      <c r="N78" s="88"/>
      <c r="O78" s="88"/>
      <c r="P78" s="88"/>
      <c r="Q78" s="88"/>
      <c r="R78" s="90"/>
      <c r="S78" s="522"/>
    </row>
    <row r="79" spans="1:19">
      <c r="A79" s="183"/>
      <c r="B79" s="21"/>
      <c r="C79"/>
      <c r="D79"/>
      <c r="E79"/>
      <c r="F79"/>
      <c r="G79"/>
      <c r="H79"/>
      <c r="I79"/>
      <c r="J79"/>
      <c r="K79"/>
      <c r="L79"/>
      <c r="M79"/>
      <c r="N79"/>
      <c r="O79"/>
      <c r="P79"/>
      <c r="Q79"/>
      <c r="R79" s="464"/>
    </row>
    <row r="80" spans="1:19">
      <c r="A80" s="183"/>
      <c r="B80" s="12" t="s">
        <v>218</v>
      </c>
      <c r="C80" s="12"/>
      <c r="D80"/>
      <c r="E80"/>
      <c r="F80"/>
      <c r="G80"/>
      <c r="H80"/>
      <c r="I80"/>
      <c r="J80"/>
      <c r="K80"/>
      <c r="L80"/>
      <c r="M80"/>
      <c r="N80"/>
      <c r="O80"/>
      <c r="P80"/>
      <c r="Q80"/>
      <c r="R80" s="464"/>
    </row>
    <row r="81" spans="1:18" ht="16" thickBot="1">
      <c r="A81" s="183"/>
      <c r="B81" s="21"/>
      <c r="C81"/>
      <c r="D81"/>
      <c r="E81"/>
      <c r="F81"/>
      <c r="G81"/>
      <c r="H81"/>
      <c r="I81"/>
      <c r="J81"/>
      <c r="K81"/>
      <c r="L81"/>
      <c r="M81"/>
      <c r="N81"/>
      <c r="O81"/>
      <c r="P81"/>
      <c r="Q81"/>
      <c r="R81" s="464"/>
    </row>
    <row r="82" spans="1:18" ht="16" thickBot="1">
      <c r="A82" s="179" t="s">
        <v>397</v>
      </c>
      <c r="B82" s="179" t="s">
        <v>420</v>
      </c>
      <c r="C82" s="179" t="s">
        <v>400</v>
      </c>
      <c r="D82" s="180">
        <f>$D$1</f>
        <v>2027</v>
      </c>
      <c r="E82" s="180">
        <f>$E$1</f>
        <v>2028</v>
      </c>
      <c r="F82" s="180">
        <f>$F$1</f>
        <v>2029</v>
      </c>
      <c r="G82" s="180">
        <f>$G$1</f>
        <v>2030</v>
      </c>
      <c r="H82" s="180">
        <f>$H$1</f>
        <v>2031</v>
      </c>
      <c r="I82" s="185">
        <f>$I$1</f>
        <v>2032</v>
      </c>
      <c r="J82" s="314" t="s">
        <v>217</v>
      </c>
      <c r="K82" t="s">
        <v>419</v>
      </c>
      <c r="L82"/>
      <c r="M82"/>
      <c r="N82"/>
      <c r="O82"/>
      <c r="P82"/>
      <c r="Q82"/>
      <c r="R82" s="464"/>
    </row>
    <row r="83" spans="1:18" ht="17">
      <c r="A83" s="354" t="s">
        <v>385</v>
      </c>
      <c r="B83" s="378" t="s">
        <v>183</v>
      </c>
      <c r="C83" s="30" t="s">
        <v>21</v>
      </c>
      <c r="D83" s="26">
        <v>0.03</v>
      </c>
      <c r="E83" s="26">
        <v>0.03</v>
      </c>
      <c r="F83" s="26">
        <v>0.03</v>
      </c>
      <c r="G83" s="26">
        <v>0.03</v>
      </c>
      <c r="H83" s="26">
        <v>0.03</v>
      </c>
      <c r="I83" s="186">
        <v>0.03</v>
      </c>
      <c r="J83" s="315">
        <v>0.3</v>
      </c>
      <c r="K83"/>
      <c r="L83"/>
      <c r="M83"/>
      <c r="N83"/>
      <c r="O83"/>
      <c r="P83"/>
      <c r="Q83"/>
      <c r="R83" s="464"/>
    </row>
    <row r="84" spans="1:18" ht="17">
      <c r="A84" s="354" t="s">
        <v>385</v>
      </c>
      <c r="B84" s="29" t="s">
        <v>185</v>
      </c>
      <c r="C84" s="30" t="s">
        <v>21</v>
      </c>
      <c r="D84" s="26">
        <v>0.03</v>
      </c>
      <c r="E84" s="26">
        <v>0.03</v>
      </c>
      <c r="F84" s="26">
        <v>0.03</v>
      </c>
      <c r="G84" s="26">
        <v>0.03</v>
      </c>
      <c r="H84" s="26">
        <v>0.03</v>
      </c>
      <c r="I84" s="186">
        <v>0.03</v>
      </c>
      <c r="J84" s="187">
        <v>0.3</v>
      </c>
      <c r="K84"/>
      <c r="L84"/>
      <c r="M84"/>
      <c r="N84"/>
      <c r="O84"/>
      <c r="P84"/>
      <c r="Q84"/>
      <c r="R84" s="464"/>
    </row>
    <row r="85" spans="1:18" ht="17">
      <c r="A85" s="354" t="s">
        <v>385</v>
      </c>
      <c r="B85" s="29" t="s">
        <v>184</v>
      </c>
      <c r="C85" s="30" t="s">
        <v>15</v>
      </c>
      <c r="D85" s="26">
        <v>0.03</v>
      </c>
      <c r="E85" s="26">
        <v>0.03</v>
      </c>
      <c r="F85" s="26">
        <v>0.03</v>
      </c>
      <c r="G85" s="26">
        <v>0.03</v>
      </c>
      <c r="H85" s="26">
        <v>0.03</v>
      </c>
      <c r="I85" s="186">
        <v>0.03</v>
      </c>
      <c r="J85" s="187">
        <v>0.3</v>
      </c>
      <c r="K85"/>
      <c r="L85"/>
      <c r="M85"/>
      <c r="N85"/>
      <c r="O85"/>
      <c r="P85"/>
      <c r="Q85"/>
      <c r="R85" s="464"/>
    </row>
    <row r="86" spans="1:18" ht="17">
      <c r="A86" s="355" t="s">
        <v>373</v>
      </c>
      <c r="B86" s="29" t="s">
        <v>186</v>
      </c>
      <c r="C86" s="30" t="s">
        <v>15</v>
      </c>
      <c r="D86" s="26">
        <v>0.03</v>
      </c>
      <c r="E86" s="26">
        <v>0.03</v>
      </c>
      <c r="F86" s="26">
        <v>0.03</v>
      </c>
      <c r="G86" s="26">
        <v>0.03</v>
      </c>
      <c r="H86" s="26">
        <v>0.03</v>
      </c>
      <c r="I86" s="186">
        <v>0.03</v>
      </c>
      <c r="J86" s="187">
        <v>0.3</v>
      </c>
      <c r="K86"/>
      <c r="L86"/>
      <c r="M86"/>
      <c r="N86"/>
      <c r="O86"/>
      <c r="P86"/>
      <c r="Q86"/>
      <c r="R86" s="464"/>
    </row>
    <row r="87" spans="1:18" ht="17">
      <c r="A87" s="355" t="s">
        <v>373</v>
      </c>
      <c r="B87" s="29" t="s">
        <v>187</v>
      </c>
      <c r="C87" s="30" t="s">
        <v>221</v>
      </c>
      <c r="D87" s="26">
        <v>0.03</v>
      </c>
      <c r="E87" s="26">
        <v>0.03</v>
      </c>
      <c r="F87" s="26">
        <v>0.03</v>
      </c>
      <c r="G87" s="26">
        <v>0.03</v>
      </c>
      <c r="H87" s="26">
        <v>0.03</v>
      </c>
      <c r="I87" s="186">
        <v>0.03</v>
      </c>
      <c r="J87" s="187">
        <v>0.3</v>
      </c>
      <c r="K87"/>
      <c r="L87"/>
      <c r="M87"/>
      <c r="N87"/>
      <c r="O87"/>
      <c r="P87"/>
      <c r="Q87"/>
      <c r="R87" s="464"/>
    </row>
    <row r="88" spans="1:18" ht="17">
      <c r="A88" s="355" t="s">
        <v>373</v>
      </c>
      <c r="B88" s="29" t="s">
        <v>188</v>
      </c>
      <c r="C88" s="30" t="s">
        <v>219</v>
      </c>
      <c r="D88" s="26">
        <v>0.03</v>
      </c>
      <c r="E88" s="26">
        <v>0.03</v>
      </c>
      <c r="F88" s="26">
        <v>0.03</v>
      </c>
      <c r="G88" s="26">
        <v>0.03</v>
      </c>
      <c r="H88" s="26">
        <v>0.03</v>
      </c>
      <c r="I88" s="186">
        <v>0.03</v>
      </c>
      <c r="J88" s="187">
        <v>0.3</v>
      </c>
      <c r="K88"/>
      <c r="L88"/>
      <c r="M88"/>
      <c r="N88"/>
      <c r="O88"/>
      <c r="P88"/>
      <c r="Q88"/>
      <c r="R88" s="464"/>
    </row>
    <row r="89" spans="1:18" ht="17">
      <c r="A89" s="355" t="s">
        <v>373</v>
      </c>
      <c r="B89" s="29" t="s">
        <v>189</v>
      </c>
      <c r="C89" s="30" t="s">
        <v>220</v>
      </c>
      <c r="D89" s="26">
        <v>0.03</v>
      </c>
      <c r="E89" s="26">
        <v>0.03</v>
      </c>
      <c r="F89" s="26">
        <v>0.03</v>
      </c>
      <c r="G89" s="26">
        <v>0.03</v>
      </c>
      <c r="H89" s="26">
        <v>0.03</v>
      </c>
      <c r="I89" s="186">
        <v>0.03</v>
      </c>
      <c r="J89" s="187">
        <v>0.3</v>
      </c>
      <c r="K89"/>
      <c r="L89"/>
      <c r="M89"/>
      <c r="N89"/>
      <c r="O89"/>
      <c r="P89"/>
      <c r="Q89"/>
      <c r="R89" s="464"/>
    </row>
    <row r="90" spans="1:18" ht="17">
      <c r="A90" s="355" t="s">
        <v>373</v>
      </c>
      <c r="B90" s="29" t="s">
        <v>190</v>
      </c>
      <c r="C90" s="30" t="s">
        <v>19</v>
      </c>
      <c r="D90" s="26">
        <v>0.03</v>
      </c>
      <c r="E90" s="26">
        <v>0.03</v>
      </c>
      <c r="F90" s="26">
        <v>0.03</v>
      </c>
      <c r="G90" s="26">
        <v>0.03</v>
      </c>
      <c r="H90" s="26">
        <v>0.03</v>
      </c>
      <c r="I90" s="186">
        <v>0.03</v>
      </c>
      <c r="J90" s="187">
        <v>0.3</v>
      </c>
      <c r="K90"/>
      <c r="L90"/>
      <c r="M90"/>
      <c r="N90"/>
      <c r="O90"/>
      <c r="P90"/>
      <c r="Q90"/>
      <c r="R90" s="464"/>
    </row>
    <row r="91" spans="1:18" ht="17">
      <c r="A91" s="355" t="s">
        <v>373</v>
      </c>
      <c r="B91" s="29" t="s">
        <v>191</v>
      </c>
      <c r="C91" s="30" t="s">
        <v>208</v>
      </c>
      <c r="D91" s="26">
        <v>0.03</v>
      </c>
      <c r="E91" s="26">
        <v>0.03</v>
      </c>
      <c r="F91" s="26">
        <v>0.03</v>
      </c>
      <c r="G91" s="26">
        <v>0.03</v>
      </c>
      <c r="H91" s="26">
        <v>0.03</v>
      </c>
      <c r="I91" s="186">
        <v>0.03</v>
      </c>
      <c r="J91" s="187">
        <v>0.3</v>
      </c>
      <c r="K91"/>
      <c r="L91"/>
      <c r="M91"/>
      <c r="N91"/>
      <c r="O91"/>
      <c r="P91"/>
      <c r="Q91"/>
      <c r="R91" s="464"/>
    </row>
    <row r="92" spans="1:18" ht="17">
      <c r="A92" s="355" t="s">
        <v>373</v>
      </c>
      <c r="B92" s="29" t="s">
        <v>192</v>
      </c>
      <c r="C92" s="30" t="s">
        <v>15</v>
      </c>
      <c r="D92" s="26">
        <v>0.03</v>
      </c>
      <c r="E92" s="26">
        <v>0.03</v>
      </c>
      <c r="F92" s="26">
        <v>0.03</v>
      </c>
      <c r="G92" s="26">
        <v>0.03</v>
      </c>
      <c r="H92" s="26">
        <v>0.03</v>
      </c>
      <c r="I92" s="186">
        <v>0.03</v>
      </c>
      <c r="J92" s="187">
        <v>0.3</v>
      </c>
      <c r="K92"/>
      <c r="L92"/>
      <c r="M92"/>
      <c r="N92"/>
      <c r="O92"/>
      <c r="P92"/>
      <c r="Q92"/>
      <c r="R92" s="464"/>
    </row>
    <row r="93" spans="1:18" ht="17">
      <c r="A93" s="355" t="s">
        <v>373</v>
      </c>
      <c r="B93" s="29" t="s">
        <v>380</v>
      </c>
      <c r="C93" s="30" t="s">
        <v>15</v>
      </c>
      <c r="D93" s="26">
        <v>0.03</v>
      </c>
      <c r="E93" s="26">
        <v>0.03</v>
      </c>
      <c r="F93" s="26">
        <v>0.03</v>
      </c>
      <c r="G93" s="26">
        <v>0.03</v>
      </c>
      <c r="H93" s="26">
        <v>0.03</v>
      </c>
      <c r="I93" s="186">
        <v>0.03</v>
      </c>
      <c r="J93" s="187">
        <v>0.3</v>
      </c>
      <c r="K93"/>
      <c r="L93"/>
      <c r="M93"/>
      <c r="N93"/>
      <c r="O93"/>
      <c r="P93"/>
      <c r="Q93"/>
      <c r="R93" s="464"/>
    </row>
    <row r="94" spans="1:18" ht="17">
      <c r="A94" s="356" t="s">
        <v>374</v>
      </c>
      <c r="B94" s="29" t="s">
        <v>193</v>
      </c>
      <c r="C94" s="30" t="s">
        <v>21</v>
      </c>
      <c r="D94" s="26">
        <v>0.03</v>
      </c>
      <c r="E94" s="26">
        <v>0.03</v>
      </c>
      <c r="F94" s="26">
        <v>0.03</v>
      </c>
      <c r="G94" s="26">
        <v>0.03</v>
      </c>
      <c r="H94" s="26">
        <v>0.03</v>
      </c>
      <c r="I94" s="186">
        <v>0.03</v>
      </c>
      <c r="J94" s="187">
        <v>0.3</v>
      </c>
      <c r="K94"/>
      <c r="L94"/>
      <c r="M94"/>
      <c r="N94"/>
      <c r="O94"/>
      <c r="P94"/>
      <c r="Q94"/>
      <c r="R94" s="464"/>
    </row>
    <row r="95" spans="1:18" ht="17">
      <c r="A95" s="356" t="s">
        <v>374</v>
      </c>
      <c r="B95" s="29" t="s">
        <v>194</v>
      </c>
      <c r="C95" s="30" t="s">
        <v>21</v>
      </c>
      <c r="D95" s="26">
        <v>0.03</v>
      </c>
      <c r="E95" s="26">
        <v>0.03</v>
      </c>
      <c r="F95" s="26">
        <v>0.03</v>
      </c>
      <c r="G95" s="26">
        <v>0.03</v>
      </c>
      <c r="H95" s="26">
        <v>0.03</v>
      </c>
      <c r="I95" s="186">
        <v>0.03</v>
      </c>
      <c r="J95" s="187">
        <v>0.3</v>
      </c>
      <c r="K95"/>
      <c r="L95"/>
      <c r="M95"/>
      <c r="N95"/>
      <c r="O95"/>
      <c r="P95"/>
      <c r="Q95"/>
      <c r="R95" s="464"/>
    </row>
    <row r="96" spans="1:18" ht="17">
      <c r="A96" s="354" t="s">
        <v>385</v>
      </c>
      <c r="B96" s="29" t="s">
        <v>195</v>
      </c>
      <c r="C96" s="30" t="s">
        <v>21</v>
      </c>
      <c r="D96" s="26">
        <v>0.03</v>
      </c>
      <c r="E96" s="26">
        <v>0.03</v>
      </c>
      <c r="F96" s="26">
        <v>0.03</v>
      </c>
      <c r="G96" s="26">
        <v>0.03</v>
      </c>
      <c r="H96" s="26">
        <v>0.03</v>
      </c>
      <c r="I96" s="186">
        <v>0.03</v>
      </c>
      <c r="J96" s="187">
        <v>0.3</v>
      </c>
      <c r="K96"/>
      <c r="L96"/>
      <c r="M96"/>
      <c r="N96"/>
      <c r="O96"/>
      <c r="P96"/>
      <c r="Q96"/>
      <c r="R96" s="464"/>
    </row>
    <row r="97" spans="1:18" ht="17">
      <c r="A97" s="354" t="s">
        <v>385</v>
      </c>
      <c r="B97" s="378" t="s">
        <v>196</v>
      </c>
      <c r="C97" s="30" t="s">
        <v>21</v>
      </c>
      <c r="D97" s="26">
        <v>0.03</v>
      </c>
      <c r="E97" s="26">
        <v>0.03</v>
      </c>
      <c r="F97" s="26">
        <v>0.03</v>
      </c>
      <c r="G97" s="26">
        <v>0.03</v>
      </c>
      <c r="H97" s="26">
        <v>0.03</v>
      </c>
      <c r="I97" s="186">
        <v>0.03</v>
      </c>
      <c r="J97" s="187">
        <v>0.3</v>
      </c>
      <c r="K97"/>
      <c r="L97"/>
      <c r="M97"/>
      <c r="N97"/>
      <c r="O97"/>
      <c r="P97"/>
      <c r="Q97"/>
      <c r="R97" s="464"/>
    </row>
    <row r="98" spans="1:18" ht="17">
      <c r="A98" s="354" t="s">
        <v>385</v>
      </c>
      <c r="B98" s="29" t="s">
        <v>197</v>
      </c>
      <c r="C98" s="30" t="s">
        <v>21</v>
      </c>
      <c r="D98" s="26">
        <v>0.03</v>
      </c>
      <c r="E98" s="26">
        <v>0.03</v>
      </c>
      <c r="F98" s="26">
        <v>0.03</v>
      </c>
      <c r="G98" s="26">
        <v>0.03</v>
      </c>
      <c r="H98" s="26">
        <v>0.03</v>
      </c>
      <c r="I98" s="186">
        <v>0.03</v>
      </c>
      <c r="J98" s="187">
        <v>0.3</v>
      </c>
      <c r="K98"/>
      <c r="L98"/>
      <c r="M98"/>
      <c r="N98"/>
      <c r="O98"/>
      <c r="P98"/>
      <c r="Q98"/>
      <c r="R98" s="464"/>
    </row>
    <row r="99" spans="1:18" ht="17">
      <c r="A99" s="354" t="s">
        <v>385</v>
      </c>
      <c r="B99" s="29" t="s">
        <v>198</v>
      </c>
      <c r="C99" s="30" t="s">
        <v>21</v>
      </c>
      <c r="D99" s="26">
        <v>0.03</v>
      </c>
      <c r="E99" s="26">
        <v>0.03</v>
      </c>
      <c r="F99" s="26">
        <v>0.03</v>
      </c>
      <c r="G99" s="26">
        <v>0.03</v>
      </c>
      <c r="H99" s="26">
        <v>0.03</v>
      </c>
      <c r="I99" s="186">
        <v>0.03</v>
      </c>
      <c r="J99" s="187">
        <v>0.3</v>
      </c>
      <c r="K99"/>
      <c r="L99"/>
      <c r="M99"/>
      <c r="N99"/>
      <c r="O99"/>
      <c r="P99"/>
      <c r="Q99"/>
      <c r="R99" s="464"/>
    </row>
    <row r="100" spans="1:18" ht="17">
      <c r="A100" s="356" t="s">
        <v>374</v>
      </c>
      <c r="B100" s="29" t="s">
        <v>199</v>
      </c>
      <c r="C100" s="30" t="s">
        <v>21</v>
      </c>
      <c r="D100" s="26">
        <v>0.03</v>
      </c>
      <c r="E100" s="26">
        <v>0.03</v>
      </c>
      <c r="F100" s="26">
        <v>0.03</v>
      </c>
      <c r="G100" s="26">
        <v>0.03</v>
      </c>
      <c r="H100" s="26">
        <v>0.03</v>
      </c>
      <c r="I100" s="186">
        <v>0.03</v>
      </c>
      <c r="J100" s="187">
        <v>0.3</v>
      </c>
      <c r="K100"/>
      <c r="L100"/>
      <c r="M100"/>
      <c r="N100"/>
      <c r="O100"/>
      <c r="P100"/>
      <c r="Q100"/>
      <c r="R100" s="464"/>
    </row>
    <row r="101" spans="1:18" ht="17">
      <c r="A101" s="354" t="s">
        <v>385</v>
      </c>
      <c r="B101" s="29" t="s">
        <v>200</v>
      </c>
      <c r="C101" s="30" t="s">
        <v>21</v>
      </c>
      <c r="D101" s="26">
        <v>0.03</v>
      </c>
      <c r="E101" s="26">
        <v>0.03</v>
      </c>
      <c r="F101" s="26">
        <v>0.03</v>
      </c>
      <c r="G101" s="26">
        <v>0.03</v>
      </c>
      <c r="H101" s="26">
        <v>0.03</v>
      </c>
      <c r="I101" s="186">
        <v>0.03</v>
      </c>
      <c r="J101" s="187">
        <v>0.3</v>
      </c>
      <c r="K101"/>
      <c r="L101"/>
      <c r="M101"/>
      <c r="N101"/>
      <c r="O101"/>
      <c r="P101"/>
      <c r="Q101"/>
      <c r="R101" s="464"/>
    </row>
    <row r="102" spans="1:18" ht="17">
      <c r="A102" s="354" t="s">
        <v>385</v>
      </c>
      <c r="B102" s="29" t="s">
        <v>201</v>
      </c>
      <c r="C102" s="30" t="s">
        <v>21</v>
      </c>
      <c r="D102" s="26">
        <v>0.03</v>
      </c>
      <c r="E102" s="26">
        <v>0.03</v>
      </c>
      <c r="F102" s="26">
        <v>0.03</v>
      </c>
      <c r="G102" s="26">
        <v>0.03</v>
      </c>
      <c r="H102" s="26">
        <v>0.03</v>
      </c>
      <c r="I102" s="186">
        <v>0.03</v>
      </c>
      <c r="J102" s="187">
        <v>0.3</v>
      </c>
      <c r="K102"/>
      <c r="L102"/>
      <c r="M102"/>
      <c r="N102"/>
      <c r="O102"/>
      <c r="P102"/>
      <c r="Q102"/>
      <c r="R102" s="464"/>
    </row>
    <row r="103" spans="1:18" ht="17">
      <c r="A103" s="356" t="s">
        <v>374</v>
      </c>
      <c r="B103" s="29" t="s">
        <v>202</v>
      </c>
      <c r="C103" s="30" t="s">
        <v>15</v>
      </c>
      <c r="D103" s="26">
        <v>0.03</v>
      </c>
      <c r="E103" s="26">
        <v>0.03</v>
      </c>
      <c r="F103" s="26">
        <v>0.03</v>
      </c>
      <c r="G103" s="26">
        <v>0.03</v>
      </c>
      <c r="H103" s="26">
        <v>0.03</v>
      </c>
      <c r="I103" s="186">
        <v>0.03</v>
      </c>
      <c r="J103" s="187">
        <v>0.3</v>
      </c>
      <c r="K103"/>
      <c r="L103"/>
      <c r="M103"/>
      <c r="N103"/>
      <c r="O103"/>
      <c r="P103"/>
      <c r="Q103"/>
      <c r="R103" s="464"/>
    </row>
    <row r="104" spans="1:18" ht="17">
      <c r="A104" s="356" t="s">
        <v>374</v>
      </c>
      <c r="B104" s="29" t="s">
        <v>203</v>
      </c>
      <c r="C104" s="30" t="s">
        <v>21</v>
      </c>
      <c r="D104" s="26">
        <v>0.03</v>
      </c>
      <c r="E104" s="26">
        <v>0.03</v>
      </c>
      <c r="F104" s="26">
        <v>0.03</v>
      </c>
      <c r="G104" s="26">
        <v>0.03</v>
      </c>
      <c r="H104" s="26">
        <v>0.03</v>
      </c>
      <c r="I104" s="186">
        <v>0.03</v>
      </c>
      <c r="J104" s="187">
        <v>0.3</v>
      </c>
      <c r="K104"/>
      <c r="L104"/>
      <c r="M104"/>
      <c r="N104"/>
      <c r="O104"/>
      <c r="P104"/>
      <c r="Q104"/>
      <c r="R104" s="464"/>
    </row>
    <row r="105" spans="1:18" ht="17">
      <c r="A105" s="354" t="s">
        <v>385</v>
      </c>
      <c r="B105" s="29" t="s">
        <v>204</v>
      </c>
      <c r="C105" s="30" t="s">
        <v>21</v>
      </c>
      <c r="D105" s="26">
        <v>0.03</v>
      </c>
      <c r="E105" s="26">
        <v>0.03</v>
      </c>
      <c r="F105" s="26">
        <v>0.03</v>
      </c>
      <c r="G105" s="26">
        <v>0.03</v>
      </c>
      <c r="H105" s="26">
        <v>0.03</v>
      </c>
      <c r="I105" s="186">
        <v>0.03</v>
      </c>
      <c r="J105" s="187">
        <v>0.3</v>
      </c>
      <c r="K105"/>
      <c r="L105"/>
      <c r="M105"/>
      <c r="N105"/>
      <c r="O105"/>
      <c r="P105"/>
      <c r="Q105"/>
      <c r="R105" s="464"/>
    </row>
    <row r="106" spans="1:18" ht="17">
      <c r="A106" s="356" t="s">
        <v>374</v>
      </c>
      <c r="B106" s="29" t="s">
        <v>205</v>
      </c>
      <c r="C106" s="30" t="s">
        <v>15</v>
      </c>
      <c r="D106" s="26">
        <v>0.03</v>
      </c>
      <c r="E106" s="26">
        <v>0.03</v>
      </c>
      <c r="F106" s="26">
        <v>0.03</v>
      </c>
      <c r="G106" s="26">
        <v>0.03</v>
      </c>
      <c r="H106" s="26">
        <v>0.03</v>
      </c>
      <c r="I106" s="186">
        <v>0.03</v>
      </c>
      <c r="J106" s="187">
        <v>0.3</v>
      </c>
      <c r="K106"/>
      <c r="L106"/>
      <c r="M106"/>
      <c r="N106"/>
      <c r="O106"/>
      <c r="P106"/>
      <c r="Q106"/>
      <c r="R106" s="464"/>
    </row>
    <row r="107" spans="1:18" ht="17">
      <c r="A107" s="356" t="s">
        <v>374</v>
      </c>
      <c r="B107" s="29" t="s">
        <v>206</v>
      </c>
      <c r="C107" s="30" t="s">
        <v>21</v>
      </c>
      <c r="D107" s="26">
        <v>0.03</v>
      </c>
      <c r="E107" s="26">
        <v>0.03</v>
      </c>
      <c r="F107" s="26">
        <v>0.03</v>
      </c>
      <c r="G107" s="26">
        <v>0.03</v>
      </c>
      <c r="H107" s="26">
        <v>0.03</v>
      </c>
      <c r="I107" s="186">
        <v>0.03</v>
      </c>
      <c r="J107" s="187">
        <v>0.3</v>
      </c>
      <c r="K107"/>
      <c r="L107"/>
      <c r="M107"/>
      <c r="N107"/>
      <c r="O107"/>
      <c r="P107"/>
      <c r="Q107"/>
      <c r="R107" s="464"/>
    </row>
    <row r="108" spans="1:18" ht="18" thickBot="1">
      <c r="A108" s="355" t="s">
        <v>373</v>
      </c>
      <c r="B108" s="29" t="s">
        <v>207</v>
      </c>
      <c r="C108" s="30" t="s">
        <v>15</v>
      </c>
      <c r="D108" s="26">
        <v>0.03</v>
      </c>
      <c r="E108" s="26">
        <v>0.03</v>
      </c>
      <c r="F108" s="26">
        <v>0.03</v>
      </c>
      <c r="G108" s="26">
        <v>0.03</v>
      </c>
      <c r="H108" s="26">
        <v>0.03</v>
      </c>
      <c r="I108" s="186">
        <v>0.03</v>
      </c>
      <c r="J108" s="188">
        <v>0.3</v>
      </c>
      <c r="K108"/>
      <c r="L108"/>
      <c r="M108"/>
      <c r="N108"/>
      <c r="O108"/>
      <c r="P108"/>
      <c r="Q108"/>
      <c r="R108" s="464"/>
    </row>
    <row r="109" spans="1:18" ht="18" thickBot="1">
      <c r="A109" s="356" t="s">
        <v>374</v>
      </c>
      <c r="B109" s="29" t="s">
        <v>1421</v>
      </c>
      <c r="C109" s="30" t="s">
        <v>21</v>
      </c>
      <c r="D109" s="26">
        <v>0.03</v>
      </c>
      <c r="E109" s="26">
        <v>0.03</v>
      </c>
      <c r="F109" s="26">
        <v>0.03</v>
      </c>
      <c r="G109" s="26">
        <v>0.03</v>
      </c>
      <c r="H109" s="26">
        <v>0.03</v>
      </c>
      <c r="I109" s="186">
        <v>0.03</v>
      </c>
      <c r="J109" s="188">
        <v>0.3</v>
      </c>
      <c r="K109"/>
      <c r="L109"/>
      <c r="M109"/>
      <c r="N109"/>
      <c r="O109"/>
      <c r="P109"/>
      <c r="Q109"/>
      <c r="R109" s="464"/>
    </row>
    <row r="110" spans="1:18" ht="18" thickBot="1">
      <c r="A110" s="356" t="s">
        <v>374</v>
      </c>
      <c r="B110" s="29" t="s">
        <v>1422</v>
      </c>
      <c r="C110" s="30" t="s">
        <v>21</v>
      </c>
      <c r="D110" s="26">
        <v>0.03</v>
      </c>
      <c r="E110" s="26">
        <v>0.03</v>
      </c>
      <c r="F110" s="26">
        <v>0.03</v>
      </c>
      <c r="G110" s="26">
        <v>0.03</v>
      </c>
      <c r="H110" s="26">
        <v>0.03</v>
      </c>
      <c r="I110" s="186">
        <v>0.03</v>
      </c>
      <c r="J110" s="188">
        <v>0.3</v>
      </c>
      <c r="K110"/>
      <c r="L110"/>
      <c r="M110"/>
      <c r="N110"/>
      <c r="O110"/>
      <c r="P110"/>
      <c r="Q110"/>
      <c r="R110" s="464"/>
    </row>
    <row r="111" spans="1:18" ht="18" thickBot="1">
      <c r="A111" s="354" t="s">
        <v>385</v>
      </c>
      <c r="B111" s="29" t="s">
        <v>1560</v>
      </c>
      <c r="C111" s="30"/>
      <c r="D111" s="26">
        <v>0.03</v>
      </c>
      <c r="E111" s="26">
        <v>0.03</v>
      </c>
      <c r="F111" s="26">
        <v>0.03</v>
      </c>
      <c r="G111" s="26">
        <v>0.03</v>
      </c>
      <c r="H111" s="26">
        <v>0.03</v>
      </c>
      <c r="I111" s="186">
        <v>0.03</v>
      </c>
      <c r="J111" s="188">
        <v>0.3</v>
      </c>
      <c r="K111"/>
      <c r="L111"/>
      <c r="M111"/>
      <c r="N111"/>
      <c r="O111"/>
      <c r="P111"/>
      <c r="Q111"/>
      <c r="R111" s="464"/>
    </row>
    <row r="112" spans="1:18" ht="18" thickBot="1">
      <c r="A112" s="354" t="s">
        <v>385</v>
      </c>
      <c r="B112" s="29" t="s">
        <v>1561</v>
      </c>
      <c r="C112" s="30"/>
      <c r="D112" s="26">
        <v>0.03</v>
      </c>
      <c r="E112" s="26">
        <v>0.03</v>
      </c>
      <c r="F112" s="26">
        <v>0.03</v>
      </c>
      <c r="G112" s="26">
        <v>0.03</v>
      </c>
      <c r="H112" s="26">
        <v>0.03</v>
      </c>
      <c r="I112" s="186">
        <v>0.03</v>
      </c>
      <c r="J112" s="188">
        <v>0.3</v>
      </c>
      <c r="K112"/>
      <c r="L112"/>
      <c r="M112"/>
      <c r="N112"/>
      <c r="O112"/>
      <c r="P112"/>
      <c r="Q112"/>
      <c r="R112" s="464"/>
    </row>
    <row r="113" spans="1:18" ht="18" thickBot="1">
      <c r="A113" s="354" t="s">
        <v>385</v>
      </c>
      <c r="B113" s="29" t="s">
        <v>1562</v>
      </c>
      <c r="C113" s="30"/>
      <c r="D113" s="26">
        <v>0.03</v>
      </c>
      <c r="E113" s="26">
        <v>0.03</v>
      </c>
      <c r="F113" s="26">
        <v>0.03</v>
      </c>
      <c r="G113" s="26">
        <v>0.03</v>
      </c>
      <c r="H113" s="26">
        <v>0.03</v>
      </c>
      <c r="I113" s="186">
        <v>0.03</v>
      </c>
      <c r="J113" s="188">
        <v>0.3</v>
      </c>
      <c r="K113"/>
      <c r="L113"/>
      <c r="M113"/>
      <c r="N113"/>
      <c r="O113"/>
      <c r="P113"/>
      <c r="Q113"/>
      <c r="R113" s="464"/>
    </row>
    <row r="114" spans="1:18" ht="18" thickBot="1">
      <c r="A114" s="354" t="s">
        <v>385</v>
      </c>
      <c r="B114" s="29" t="s">
        <v>1563</v>
      </c>
      <c r="C114" s="30"/>
      <c r="D114" s="26">
        <v>0.03</v>
      </c>
      <c r="E114" s="26">
        <v>0.03</v>
      </c>
      <c r="F114" s="26">
        <v>0.03</v>
      </c>
      <c r="G114" s="26">
        <v>0.03</v>
      </c>
      <c r="H114" s="26">
        <v>0.03</v>
      </c>
      <c r="I114" s="186">
        <v>0.03</v>
      </c>
      <c r="J114" s="188">
        <v>0.3</v>
      </c>
      <c r="K114"/>
      <c r="L114"/>
      <c r="M114"/>
      <c r="N114"/>
      <c r="O114"/>
      <c r="P114"/>
      <c r="Q114"/>
      <c r="R114" s="464"/>
    </row>
    <row r="115" spans="1:18" ht="17" thickBot="1">
      <c r="A115" s="511"/>
      <c r="B115" s="29"/>
      <c r="C115" s="30"/>
      <c r="D115" s="26">
        <v>0.03</v>
      </c>
      <c r="E115" s="26">
        <v>0.03</v>
      </c>
      <c r="F115" s="26">
        <v>0.03</v>
      </c>
      <c r="G115" s="26">
        <v>0.03</v>
      </c>
      <c r="H115" s="26">
        <v>0.03</v>
      </c>
      <c r="I115" s="186">
        <v>0.03</v>
      </c>
      <c r="J115" s="188">
        <v>0.3</v>
      </c>
      <c r="K115"/>
      <c r="L115"/>
      <c r="M115"/>
      <c r="N115"/>
      <c r="O115"/>
      <c r="P115"/>
      <c r="Q115"/>
      <c r="R115" s="464"/>
    </row>
    <row r="116" spans="1:18">
      <c r="A116" s="183"/>
      <c r="B116" s="21"/>
      <c r="C116"/>
      <c r="D116"/>
      <c r="E116"/>
      <c r="F116"/>
      <c r="G116"/>
      <c r="H116"/>
      <c r="I116"/>
      <c r="J116"/>
      <c r="K116"/>
      <c r="L116"/>
      <c r="M116"/>
      <c r="N116"/>
      <c r="O116"/>
      <c r="P116"/>
      <c r="Q116"/>
      <c r="R116" s="464"/>
    </row>
    <row r="117" spans="1:18">
      <c r="A117" s="183"/>
      <c r="B117" s="12" t="s">
        <v>372</v>
      </c>
      <c r="C117" s="12"/>
      <c r="D117" s="12"/>
      <c r="E117" s="423" t="s">
        <v>1444</v>
      </c>
      <c r="F117" s="26">
        <v>0.03</v>
      </c>
      <c r="G117" s="26">
        <v>0.03</v>
      </c>
      <c r="H117" s="26">
        <v>0.03</v>
      </c>
      <c r="I117" s="26">
        <v>0.03</v>
      </c>
      <c r="J117"/>
      <c r="K117"/>
      <c r="L117"/>
      <c r="M117"/>
      <c r="N117"/>
      <c r="O117"/>
      <c r="P117"/>
      <c r="Q117"/>
      <c r="R117" s="464"/>
    </row>
    <row r="118" spans="1:18">
      <c r="A118" s="183"/>
      <c r="B118" s="21"/>
      <c r="C118"/>
      <c r="D118"/>
      <c r="E118"/>
      <c r="F118"/>
      <c r="G118"/>
      <c r="H118"/>
      <c r="I118"/>
      <c r="J118"/>
      <c r="K118"/>
      <c r="L118"/>
      <c r="M118"/>
      <c r="N118"/>
      <c r="O118"/>
      <c r="P118"/>
      <c r="Q118"/>
      <c r="R118" s="464"/>
    </row>
    <row r="119" spans="1:18">
      <c r="A119" s="179" t="s">
        <v>1437</v>
      </c>
      <c r="B119" s="179" t="s">
        <v>1436</v>
      </c>
      <c r="C119" s="179" t="s">
        <v>26</v>
      </c>
      <c r="D119" s="180">
        <f>$D$1</f>
        <v>2027</v>
      </c>
      <c r="E119" s="180">
        <f>$E$1</f>
        <v>2028</v>
      </c>
      <c r="F119" s="180">
        <f>$F$1</f>
        <v>2029</v>
      </c>
      <c r="G119" s="180">
        <f>$G$1</f>
        <v>2030</v>
      </c>
      <c r="H119" s="180">
        <f>$H$1</f>
        <v>2031</v>
      </c>
      <c r="I119" s="180">
        <f>$I$1</f>
        <v>2032</v>
      </c>
      <c r="J119"/>
      <c r="K119" s="179" t="s">
        <v>398</v>
      </c>
      <c r="L119"/>
      <c r="M119"/>
      <c r="N119"/>
      <c r="O119"/>
      <c r="P119"/>
      <c r="Q119"/>
      <c r="R119" s="464"/>
    </row>
    <row r="120" spans="1:18">
      <c r="A120" s="364" t="s">
        <v>1483</v>
      </c>
      <c r="B120" s="850" t="s">
        <v>1423</v>
      </c>
      <c r="C120" s="398" t="s">
        <v>375</v>
      </c>
      <c r="D120" s="361"/>
      <c r="E120" s="361"/>
      <c r="F120" s="461">
        <v>30000</v>
      </c>
      <c r="G120" s="461">
        <v>35000</v>
      </c>
      <c r="H120" s="461">
        <v>35000</v>
      </c>
      <c r="I120" s="461">
        <v>35000</v>
      </c>
      <c r="J120"/>
      <c r="K120" s="846" t="s">
        <v>384</v>
      </c>
      <c r="L120" s="622" t="s">
        <v>1507</v>
      </c>
      <c r="M120"/>
      <c r="N120"/>
      <c r="O120"/>
      <c r="P120"/>
      <c r="Q120"/>
      <c r="R120" s="464"/>
    </row>
    <row r="121" spans="1:18">
      <c r="A121" s="364" t="s">
        <v>1483</v>
      </c>
      <c r="B121" s="850" t="s">
        <v>1424</v>
      </c>
      <c r="C121" s="398" t="s">
        <v>375</v>
      </c>
      <c r="D121" s="361"/>
      <c r="E121" s="361"/>
      <c r="F121" s="461"/>
      <c r="G121" s="461"/>
      <c r="H121" s="461"/>
      <c r="I121" s="461"/>
      <c r="J121" s="21" t="s">
        <v>1564</v>
      </c>
      <c r="K121" s="846" t="s">
        <v>384</v>
      </c>
      <c r="L121" s="622" t="s">
        <v>1508</v>
      </c>
      <c r="M121"/>
      <c r="N121"/>
      <c r="O121"/>
      <c r="P121"/>
      <c r="Q121"/>
      <c r="R121" s="464"/>
    </row>
    <row r="122" spans="1:18">
      <c r="A122" s="364" t="s">
        <v>1483</v>
      </c>
      <c r="B122" s="850" t="s">
        <v>1425</v>
      </c>
      <c r="C122" s="398" t="s">
        <v>1440</v>
      </c>
      <c r="D122" s="461">
        <f>$J$122*('P&amp;L'!D$177-('P&amp;L'!D128+'P&amp;L'!D131))</f>
        <v>180</v>
      </c>
      <c r="E122" s="461">
        <f>$J$122*('P&amp;L'!E$177-('P&amp;L'!E128+'P&amp;L'!E131))</f>
        <v>100973.52899999997</v>
      </c>
      <c r="F122" s="461">
        <f>$J$122*('P&amp;L'!F$177-('P&amp;L'!F128+'P&amp;L'!F131))</f>
        <v>206806.62194999997</v>
      </c>
      <c r="G122" s="461">
        <f>$J$122*('P&amp;L'!G$177-('P&amp;L'!G128+'P&amp;L'!G131))</f>
        <v>304631.82689273421</v>
      </c>
      <c r="H122" s="461">
        <f>$J$122*('P&amp;L'!H$177-('P&amp;L'!H128+'P&amp;L'!H131))</f>
        <v>352949.65772740997</v>
      </c>
      <c r="I122" s="461">
        <f>$J$122*('P&amp;L'!I$177-('P&amp;L'!I128+'P&amp;L'!I131))</f>
        <v>361773.39917059534</v>
      </c>
      <c r="J122" s="26">
        <v>0.03</v>
      </c>
      <c r="K122" s="846" t="s">
        <v>384</v>
      </c>
      <c r="L122" s="622" t="s">
        <v>1509</v>
      </c>
      <c r="M122"/>
      <c r="N122"/>
      <c r="O122"/>
      <c r="P122"/>
      <c r="Q122"/>
      <c r="R122" s="464"/>
    </row>
    <row r="123" spans="1:18">
      <c r="A123" s="364" t="s">
        <v>1483</v>
      </c>
      <c r="B123" s="850" t="s">
        <v>1484</v>
      </c>
      <c r="C123" s="398" t="s">
        <v>438</v>
      </c>
      <c r="D123" s="461">
        <f>$J$123*('P&amp;L'!D$177)</f>
        <v>0</v>
      </c>
      <c r="E123" s="461">
        <f>$J$123*('P&amp;L'!E$177)</f>
        <v>0</v>
      </c>
      <c r="F123" s="461">
        <f>$J$123*('P&amp;L'!F$177)</f>
        <v>0</v>
      </c>
      <c r="G123" s="461">
        <f>$J$123*('P&amp;L'!G$177)</f>
        <v>0</v>
      </c>
      <c r="H123" s="461">
        <f>$J$123*('P&amp;L'!H$177)</f>
        <v>0</v>
      </c>
      <c r="I123" s="461">
        <f>$J$123*('P&amp;L'!I$177)</f>
        <v>0</v>
      </c>
      <c r="J123" s="26">
        <v>0</v>
      </c>
      <c r="K123" s="846" t="s">
        <v>384</v>
      </c>
      <c r="L123" s="622" t="s">
        <v>1510</v>
      </c>
      <c r="M123"/>
      <c r="N123"/>
      <c r="O123"/>
      <c r="P123"/>
      <c r="Q123"/>
      <c r="R123" s="464"/>
    </row>
    <row r="124" spans="1:18">
      <c r="A124" s="364" t="s">
        <v>1483</v>
      </c>
      <c r="B124" s="850" t="s">
        <v>1485</v>
      </c>
      <c r="C124" s="398" t="s">
        <v>376</v>
      </c>
      <c r="D124" s="361">
        <f>$J124*STAFFING!E$85</f>
        <v>1200</v>
      </c>
      <c r="E124" s="361">
        <f>$J124*STAFFING!F$85</f>
        <v>30900</v>
      </c>
      <c r="F124" s="361">
        <f>$J124*STAFFING!G$85</f>
        <v>56700</v>
      </c>
      <c r="G124" s="361">
        <f>$J124*STAFFING!H$85</f>
        <v>81900</v>
      </c>
      <c r="H124" s="361">
        <f>$J124*STAFFING!I$85</f>
        <v>95100</v>
      </c>
      <c r="I124" s="361">
        <f>$J124*STAFFING!J$85</f>
        <v>95100</v>
      </c>
      <c r="J124" s="862">
        <v>1200</v>
      </c>
      <c r="K124" s="846" t="s">
        <v>384</v>
      </c>
      <c r="L124" s="622" t="s">
        <v>1511</v>
      </c>
      <c r="M124"/>
      <c r="N124"/>
      <c r="O124"/>
      <c r="P124"/>
      <c r="Q124"/>
      <c r="R124" s="464"/>
    </row>
    <row r="125" spans="1:18">
      <c r="A125" s="364" t="s">
        <v>1483</v>
      </c>
      <c r="B125" s="850" t="s">
        <v>1426</v>
      </c>
      <c r="C125" s="398" t="s">
        <v>15</v>
      </c>
      <c r="D125" s="361">
        <f>$J125*ENROLLMENT!E$36</f>
        <v>0</v>
      </c>
      <c r="E125" s="361">
        <f>$J125*ENROLLMENT!F$36</f>
        <v>43200</v>
      </c>
      <c r="F125" s="361">
        <f>$J125*ENROLLMENT!G$36</f>
        <v>86400</v>
      </c>
      <c r="G125" s="361">
        <f>$J125*ENROLLMENT!H$36</f>
        <v>124200</v>
      </c>
      <c r="H125" s="361">
        <f>$J125*ENROLLMENT!I$36</f>
        <v>140400</v>
      </c>
      <c r="I125" s="361">
        <f>$J125*ENROLLMENT!J$36</f>
        <v>140400</v>
      </c>
      <c r="J125" s="863">
        <v>180</v>
      </c>
      <c r="K125" s="846" t="s">
        <v>373</v>
      </c>
      <c r="L125" s="622" t="s">
        <v>1512</v>
      </c>
      <c r="M125"/>
      <c r="N125"/>
      <c r="O125"/>
      <c r="P125"/>
      <c r="Q125"/>
      <c r="R125" s="464"/>
    </row>
    <row r="126" spans="1:18">
      <c r="A126" s="364" t="s">
        <v>1483</v>
      </c>
      <c r="B126" s="850" t="s">
        <v>1427</v>
      </c>
      <c r="C126" s="398" t="s">
        <v>15</v>
      </c>
      <c r="D126" s="361">
        <f>$J126*ENROLLMENT!E$36</f>
        <v>0</v>
      </c>
      <c r="E126" s="361">
        <f>$J126*ENROLLMENT!F$36</f>
        <v>264000</v>
      </c>
      <c r="F126" s="361">
        <f>$J126*ENROLLMENT!G$36</f>
        <v>528000</v>
      </c>
      <c r="G126" s="361">
        <f>$J126*ENROLLMENT!H$36</f>
        <v>759000</v>
      </c>
      <c r="H126" s="361">
        <f>$J126*ENROLLMENT!I$36</f>
        <v>858000</v>
      </c>
      <c r="I126" s="361">
        <f>$J126*ENROLLMENT!J$36</f>
        <v>858000</v>
      </c>
      <c r="J126" s="864">
        <v>1100</v>
      </c>
      <c r="K126" s="846" t="s">
        <v>373</v>
      </c>
      <c r="L126" s="622" t="s">
        <v>1513</v>
      </c>
      <c r="M126"/>
      <c r="N126"/>
      <c r="O126"/>
      <c r="P126"/>
      <c r="Q126"/>
      <c r="R126" s="464"/>
    </row>
    <row r="127" spans="1:18">
      <c r="A127" s="364" t="s">
        <v>1483</v>
      </c>
      <c r="B127" s="850" t="s">
        <v>1486</v>
      </c>
      <c r="C127" s="398" t="s">
        <v>15</v>
      </c>
      <c r="D127" s="361">
        <f>$J127*ENROLLMENT!E$36</f>
        <v>0</v>
      </c>
      <c r="E127" s="361">
        <f>$J127*ENROLLMENT!F$36</f>
        <v>52800</v>
      </c>
      <c r="F127" s="361">
        <f>$J127*ENROLLMENT!G$36</f>
        <v>105600</v>
      </c>
      <c r="G127" s="361">
        <f>$J127*ENROLLMENT!H$36</f>
        <v>151800</v>
      </c>
      <c r="H127" s="361">
        <f>$J127*ENROLLMENT!I$36</f>
        <v>171600</v>
      </c>
      <c r="I127" s="361">
        <f>$J127*ENROLLMENT!J$36</f>
        <v>171600</v>
      </c>
      <c r="J127" s="863">
        <v>220</v>
      </c>
      <c r="K127" s="846" t="s">
        <v>373</v>
      </c>
      <c r="L127" s="622" t="s">
        <v>1514</v>
      </c>
      <c r="M127"/>
      <c r="N127"/>
      <c r="O127"/>
      <c r="P127"/>
      <c r="Q127"/>
      <c r="R127" s="464"/>
    </row>
    <row r="128" spans="1:18">
      <c r="A128" s="364" t="s">
        <v>1483</v>
      </c>
      <c r="B128" s="850" t="s">
        <v>1487</v>
      </c>
      <c r="C128" s="398" t="s">
        <v>15</v>
      </c>
      <c r="D128" s="361">
        <f>$J128*ENROLLMENT!E$36</f>
        <v>0</v>
      </c>
      <c r="E128" s="361">
        <f>$J128*ENROLLMENT!F$36</f>
        <v>36000</v>
      </c>
      <c r="F128" s="361">
        <f>$J128*ENROLLMENT!G$36</f>
        <v>72000</v>
      </c>
      <c r="G128" s="361">
        <f>$J128*ENROLLMENT!H$36</f>
        <v>103500</v>
      </c>
      <c r="H128" s="361">
        <f>$J128*ENROLLMENT!I$36</f>
        <v>117000</v>
      </c>
      <c r="I128" s="361">
        <f>$J128*ENROLLMENT!J$36</f>
        <v>117000</v>
      </c>
      <c r="J128" s="864">
        <v>150</v>
      </c>
      <c r="K128" s="846" t="s">
        <v>384</v>
      </c>
      <c r="L128" s="622" t="s">
        <v>1515</v>
      </c>
      <c r="M128"/>
      <c r="N128"/>
      <c r="O128"/>
      <c r="P128"/>
      <c r="Q128"/>
      <c r="R128" s="464"/>
    </row>
    <row r="129" spans="1:18">
      <c r="A129" s="364" t="s">
        <v>1488</v>
      </c>
      <c r="B129" s="850" t="s">
        <v>1428</v>
      </c>
      <c r="C129" s="398" t="s">
        <v>377</v>
      </c>
      <c r="D129" s="361">
        <v>0</v>
      </c>
      <c r="E129" s="361">
        <v>18000</v>
      </c>
      <c r="F129" s="361">
        <v>22000</v>
      </c>
      <c r="G129" s="361">
        <v>22000</v>
      </c>
      <c r="H129" s="361">
        <v>22000</v>
      </c>
      <c r="I129" s="361">
        <v>22000</v>
      </c>
      <c r="J129" s="866"/>
      <c r="K129" s="846" t="s">
        <v>384</v>
      </c>
      <c r="L129" s="622" t="s">
        <v>1516</v>
      </c>
      <c r="M129"/>
      <c r="N129"/>
      <c r="O129"/>
      <c r="P129"/>
      <c r="Q129"/>
      <c r="R129" s="464"/>
    </row>
    <row r="130" spans="1:18">
      <c r="A130" s="364" t="s">
        <v>1488</v>
      </c>
      <c r="B130" s="850" t="s">
        <v>1489</v>
      </c>
      <c r="C130" s="398" t="s">
        <v>15</v>
      </c>
      <c r="D130" s="361">
        <f>$J130*ENROLLMENT!E$36</f>
        <v>0</v>
      </c>
      <c r="E130" s="361">
        <f>$J130*ENROLLMENT!F$36</f>
        <v>50400</v>
      </c>
      <c r="F130" s="361">
        <f>$J130*ENROLLMENT!G$36</f>
        <v>100800</v>
      </c>
      <c r="G130" s="361">
        <f>$J130*ENROLLMENT!H$36</f>
        <v>144900</v>
      </c>
      <c r="H130" s="361">
        <f>$J130*ENROLLMENT!I$36</f>
        <v>163800</v>
      </c>
      <c r="I130" s="361">
        <f>$J130*ENROLLMENT!J$36</f>
        <v>163800</v>
      </c>
      <c r="J130" s="862">
        <v>210</v>
      </c>
      <c r="K130" s="846" t="s">
        <v>373</v>
      </c>
      <c r="L130" s="622" t="s">
        <v>1517</v>
      </c>
      <c r="M130"/>
      <c r="N130"/>
      <c r="O130"/>
      <c r="P130"/>
      <c r="Q130"/>
      <c r="R130" s="464"/>
    </row>
    <row r="131" spans="1:18">
      <c r="A131" s="364" t="s">
        <v>1488</v>
      </c>
      <c r="B131" s="850" t="s">
        <v>1429</v>
      </c>
      <c r="C131" s="398" t="s">
        <v>15</v>
      </c>
      <c r="D131" s="361">
        <f>$J131*ENROLLMENT!E$36</f>
        <v>0</v>
      </c>
      <c r="E131" s="361">
        <f>$J131*ENROLLMENT!F$36</f>
        <v>33600</v>
      </c>
      <c r="F131" s="361">
        <f>$J131*ENROLLMENT!G$36</f>
        <v>67200</v>
      </c>
      <c r="G131" s="361">
        <f>$J131*ENROLLMENT!H$36</f>
        <v>96600</v>
      </c>
      <c r="H131" s="361">
        <f>$J131*ENROLLMENT!I$36</f>
        <v>109200</v>
      </c>
      <c r="I131" s="361">
        <f>$J131*ENROLLMENT!J$36</f>
        <v>109200</v>
      </c>
      <c r="J131" s="863">
        <v>140</v>
      </c>
      <c r="K131" s="846" t="s">
        <v>373</v>
      </c>
      <c r="L131" s="622" t="s">
        <v>1518</v>
      </c>
      <c r="M131"/>
      <c r="N131"/>
      <c r="O131"/>
      <c r="P131"/>
      <c r="Q131"/>
      <c r="R131" s="464"/>
    </row>
    <row r="132" spans="1:18">
      <c r="A132" s="364" t="s">
        <v>1488</v>
      </c>
      <c r="B132" s="850" t="s">
        <v>1490</v>
      </c>
      <c r="C132" s="398" t="s">
        <v>15</v>
      </c>
      <c r="D132" s="361">
        <f>$J132*ENROLLMENT!E$36</f>
        <v>0</v>
      </c>
      <c r="E132" s="869">
        <f>$J132*ENROLLMENT!F$36</f>
        <v>67200</v>
      </c>
      <c r="F132" s="869">
        <f>$J132*ENROLLMENT!G$36</f>
        <v>134400</v>
      </c>
      <c r="G132" s="869">
        <f>$J132*ENROLLMENT!H$36</f>
        <v>193200</v>
      </c>
      <c r="H132" s="869">
        <f>$J132*ENROLLMENT!I$36</f>
        <v>218400</v>
      </c>
      <c r="I132" s="869">
        <f>$J132*ENROLLMENT!J$36</f>
        <v>218400</v>
      </c>
      <c r="J132" s="928">
        <v>280</v>
      </c>
      <c r="K132" s="846" t="s">
        <v>373</v>
      </c>
      <c r="L132" s="622" t="s">
        <v>1519</v>
      </c>
      <c r="M132"/>
      <c r="N132"/>
      <c r="O132"/>
      <c r="P132"/>
      <c r="Q132"/>
      <c r="R132" s="464"/>
    </row>
    <row r="133" spans="1:18">
      <c r="A133" s="364" t="s">
        <v>1488</v>
      </c>
      <c r="B133" s="850" t="s">
        <v>1491</v>
      </c>
      <c r="C133" s="398" t="s">
        <v>15</v>
      </c>
      <c r="D133" s="361">
        <f>$J133*ENROLLMENT!E$36</f>
        <v>0</v>
      </c>
      <c r="E133" s="361">
        <f>$J133*ENROLLMENT!F$36</f>
        <v>19200</v>
      </c>
      <c r="F133" s="361">
        <f>$J133*ENROLLMENT!G$36</f>
        <v>38400</v>
      </c>
      <c r="G133" s="361">
        <f>$J133*ENROLLMENT!H$36</f>
        <v>55200</v>
      </c>
      <c r="H133" s="361">
        <f>$J133*ENROLLMENT!I$36</f>
        <v>62400</v>
      </c>
      <c r="I133" s="361">
        <f>$J133*ENROLLMENT!J$36</f>
        <v>62400</v>
      </c>
      <c r="J133" s="863">
        <v>80</v>
      </c>
      <c r="K133" s="846" t="s">
        <v>373</v>
      </c>
      <c r="L133" s="622" t="s">
        <v>1520</v>
      </c>
      <c r="M133"/>
      <c r="N133"/>
      <c r="O133"/>
      <c r="P133"/>
      <c r="Q133"/>
      <c r="R133" s="464"/>
    </row>
    <row r="134" spans="1:18">
      <c r="A134" s="364" t="s">
        <v>1488</v>
      </c>
      <c r="B134" s="850" t="s">
        <v>1503</v>
      </c>
      <c r="C134" s="398" t="s">
        <v>15</v>
      </c>
      <c r="D134" s="361">
        <f>$J134*ENROLLMENT!E$36</f>
        <v>0</v>
      </c>
      <c r="E134" s="361">
        <f>$J134*ENROLLMENT!F$36</f>
        <v>52800</v>
      </c>
      <c r="F134" s="361">
        <f>$J134*ENROLLMENT!G$36</f>
        <v>105600</v>
      </c>
      <c r="G134" s="361">
        <f>$J134*ENROLLMENT!H$36</f>
        <v>151800</v>
      </c>
      <c r="H134" s="927">
        <v>143000</v>
      </c>
      <c r="I134" s="869">
        <v>50000</v>
      </c>
      <c r="J134" s="864">
        <v>220</v>
      </c>
      <c r="K134" s="846" t="s">
        <v>384</v>
      </c>
      <c r="L134" s="622" t="s">
        <v>1521</v>
      </c>
      <c r="M134"/>
      <c r="N134"/>
      <c r="O134"/>
      <c r="P134"/>
      <c r="Q134"/>
      <c r="R134" s="464"/>
    </row>
    <row r="135" spans="1:18">
      <c r="A135" s="364" t="s">
        <v>1488</v>
      </c>
      <c r="B135" s="850" t="s">
        <v>328</v>
      </c>
      <c r="C135" s="398" t="s">
        <v>377</v>
      </c>
      <c r="D135" s="361">
        <v>0</v>
      </c>
      <c r="E135" s="361">
        <v>6000</v>
      </c>
      <c r="F135" s="361">
        <v>8000</v>
      </c>
      <c r="G135" s="361">
        <v>8000</v>
      </c>
      <c r="H135" s="361">
        <v>8000</v>
      </c>
      <c r="I135" s="361">
        <v>8000</v>
      </c>
      <c r="J135" s="865"/>
      <c r="K135" s="846" t="s">
        <v>384</v>
      </c>
      <c r="L135" s="622" t="s">
        <v>1522</v>
      </c>
      <c r="M135"/>
      <c r="N135"/>
      <c r="O135"/>
      <c r="P135"/>
      <c r="Q135"/>
      <c r="R135" s="464"/>
    </row>
    <row r="136" spans="1:18">
      <c r="A136" s="364" t="s">
        <v>1488</v>
      </c>
      <c r="B136" s="850" t="s">
        <v>44</v>
      </c>
      <c r="C136" s="398" t="s">
        <v>15</v>
      </c>
      <c r="D136" s="361">
        <f>$J136*ENROLLMENT!E$36</f>
        <v>0</v>
      </c>
      <c r="E136" s="361">
        <f>$J136*ENROLLMENT!F$36</f>
        <v>84000</v>
      </c>
      <c r="F136" s="361">
        <f>$J136*ENROLLMENT!G$36</f>
        <v>168000</v>
      </c>
      <c r="G136" s="361">
        <f>$J136*ENROLLMENT!H$36</f>
        <v>241500</v>
      </c>
      <c r="H136" s="361">
        <f>$J136*ENROLLMENT!I$36</f>
        <v>273000</v>
      </c>
      <c r="I136" s="869">
        <v>150000</v>
      </c>
      <c r="J136" s="862">
        <v>350</v>
      </c>
      <c r="K136" s="846" t="s">
        <v>373</v>
      </c>
      <c r="L136" s="622" t="s">
        <v>1523</v>
      </c>
      <c r="M136"/>
      <c r="N136"/>
      <c r="O136"/>
      <c r="P136"/>
      <c r="Q136"/>
      <c r="R136" s="464"/>
    </row>
    <row r="137" spans="1:18">
      <c r="A137" s="364" t="s">
        <v>1488</v>
      </c>
      <c r="B137" s="850" t="s">
        <v>1430</v>
      </c>
      <c r="C137" s="398" t="s">
        <v>15</v>
      </c>
      <c r="D137" s="361">
        <f>$J137*ENROLLMENT!E$36</f>
        <v>0</v>
      </c>
      <c r="E137" s="361">
        <f>$J137*ENROLLMENT!F$36</f>
        <v>21600</v>
      </c>
      <c r="F137" s="361">
        <f>$J137*ENROLLMENT!G$36</f>
        <v>43200</v>
      </c>
      <c r="G137" s="361">
        <f>$J137*ENROLLMENT!H$36</f>
        <v>62100</v>
      </c>
      <c r="H137" s="361">
        <f>$J137*ENROLLMENT!I$36</f>
        <v>70200</v>
      </c>
      <c r="I137" s="361">
        <f>$J137*ENROLLMENT!J$36</f>
        <v>70200</v>
      </c>
      <c r="J137" s="863">
        <v>90</v>
      </c>
      <c r="K137" s="846" t="s">
        <v>373</v>
      </c>
      <c r="L137" s="622" t="s">
        <v>1524</v>
      </c>
      <c r="M137"/>
      <c r="N137"/>
      <c r="O137"/>
      <c r="P137"/>
      <c r="Q137"/>
      <c r="R137" s="464"/>
    </row>
    <row r="138" spans="1:18">
      <c r="A138" s="364" t="s">
        <v>1488</v>
      </c>
      <c r="B138" s="850" t="s">
        <v>329</v>
      </c>
      <c r="C138" s="398" t="s">
        <v>15</v>
      </c>
      <c r="D138" s="361">
        <f>$J138*ENROLLMENT!E$36</f>
        <v>0</v>
      </c>
      <c r="E138" s="361">
        <f>$J138*ENROLLMENT!F$36</f>
        <v>18000</v>
      </c>
      <c r="F138" s="361">
        <f>$J138*ENROLLMENT!G$36</f>
        <v>36000</v>
      </c>
      <c r="G138" s="361">
        <f>$J138*ENROLLMENT!H$36</f>
        <v>51750</v>
      </c>
      <c r="H138" s="361">
        <f>$J138*ENROLLMENT!I$36</f>
        <v>58500</v>
      </c>
      <c r="I138" s="361">
        <f>$J138*ENROLLMENT!J$36</f>
        <v>58500</v>
      </c>
      <c r="J138" s="864">
        <v>75</v>
      </c>
      <c r="K138" s="846" t="s">
        <v>373</v>
      </c>
      <c r="L138" s="622" t="s">
        <v>1525</v>
      </c>
      <c r="M138"/>
      <c r="N138"/>
      <c r="O138"/>
      <c r="P138"/>
      <c r="Q138"/>
      <c r="R138" s="464"/>
    </row>
    <row r="139" spans="1:18">
      <c r="A139" s="364" t="s">
        <v>1488</v>
      </c>
      <c r="B139" s="850" t="s">
        <v>1492</v>
      </c>
      <c r="C139" s="398" t="s">
        <v>15</v>
      </c>
      <c r="D139" s="361">
        <f>$J139*ENROLLMENT!E$36</f>
        <v>0</v>
      </c>
      <c r="E139" s="361">
        <f>$J139*ENROLLMENT!F$36</f>
        <v>202800</v>
      </c>
      <c r="F139" s="361">
        <f>$J139*ENROLLMENT!G$36</f>
        <v>405600</v>
      </c>
      <c r="G139" s="361">
        <f>$J139*ENROLLMENT!H$36</f>
        <v>583050</v>
      </c>
      <c r="H139" s="361">
        <f>$J139*ENROLLMENT!I$36</f>
        <v>659100</v>
      </c>
      <c r="I139" s="361">
        <f>$J139*ENROLLMENT!J$36</f>
        <v>659100</v>
      </c>
      <c r="J139" s="863">
        <v>845</v>
      </c>
      <c r="K139" s="846" t="s">
        <v>384</v>
      </c>
      <c r="L139" s="622" t="s">
        <v>1526</v>
      </c>
      <c r="M139"/>
      <c r="N139"/>
      <c r="O139"/>
      <c r="P139"/>
      <c r="Q139"/>
      <c r="R139" s="464"/>
    </row>
    <row r="140" spans="1:18">
      <c r="A140" s="364" t="s">
        <v>1488</v>
      </c>
      <c r="B140" s="850" t="s">
        <v>1493</v>
      </c>
      <c r="C140" s="398" t="s">
        <v>15</v>
      </c>
      <c r="D140" s="361">
        <f>$J140*ENROLLMENT!E$36</f>
        <v>0</v>
      </c>
      <c r="E140" s="361">
        <f>$J140*ENROLLMENT!F$36</f>
        <v>14400</v>
      </c>
      <c r="F140" s="361">
        <f>$J140*ENROLLMENT!G$36</f>
        <v>28800</v>
      </c>
      <c r="G140" s="361">
        <f>$J140*ENROLLMENT!H$36</f>
        <v>41400</v>
      </c>
      <c r="H140" s="361">
        <f>$J140*ENROLLMENT!I$36</f>
        <v>46800</v>
      </c>
      <c r="I140" s="361">
        <f>$J140*ENROLLMENT!J$36</f>
        <v>46800</v>
      </c>
      <c r="J140" s="864">
        <v>60</v>
      </c>
      <c r="K140" s="846" t="s">
        <v>373</v>
      </c>
      <c r="L140" s="622" t="s">
        <v>1527</v>
      </c>
      <c r="M140"/>
      <c r="N140"/>
      <c r="O140"/>
      <c r="P140"/>
      <c r="Q140"/>
      <c r="R140" s="464"/>
    </row>
    <row r="141" spans="1:18">
      <c r="A141" s="364" t="s">
        <v>1488</v>
      </c>
      <c r="B141" s="850" t="s">
        <v>45</v>
      </c>
      <c r="C141" s="398" t="s">
        <v>377</v>
      </c>
      <c r="D141" s="361">
        <v>0</v>
      </c>
      <c r="E141" s="361">
        <v>14000</v>
      </c>
      <c r="F141" s="361">
        <v>18000</v>
      </c>
      <c r="G141" s="361">
        <v>18000</v>
      </c>
      <c r="H141" s="361">
        <v>18000</v>
      </c>
      <c r="I141" s="361">
        <v>18000</v>
      </c>
      <c r="J141" s="865"/>
      <c r="K141" s="846" t="s">
        <v>384</v>
      </c>
      <c r="L141" s="622" t="s">
        <v>1528</v>
      </c>
      <c r="M141"/>
      <c r="N141"/>
      <c r="O141"/>
      <c r="P141"/>
      <c r="Q141"/>
      <c r="R141" s="464"/>
    </row>
    <row r="142" spans="1:18">
      <c r="A142" s="364" t="s">
        <v>1488</v>
      </c>
      <c r="B142" s="850" t="s">
        <v>43</v>
      </c>
      <c r="C142" s="398" t="s">
        <v>376</v>
      </c>
      <c r="D142" s="869">
        <f>$J142*STAFFING!E$85</f>
        <v>800</v>
      </c>
      <c r="E142" s="869">
        <f>$J142*STAFFING!F$85</f>
        <v>20600</v>
      </c>
      <c r="F142" s="869">
        <f>$J142*STAFFING!G$85</f>
        <v>37800</v>
      </c>
      <c r="G142" s="869">
        <f>$J142*STAFFING!H$85</f>
        <v>54600</v>
      </c>
      <c r="H142" s="869">
        <f>$J142*STAFFING!I$85</f>
        <v>63400</v>
      </c>
      <c r="I142" s="869">
        <f>$J142*STAFFING!J$85</f>
        <v>63400</v>
      </c>
      <c r="J142" s="931">
        <v>800</v>
      </c>
      <c r="K142" s="846" t="s">
        <v>384</v>
      </c>
      <c r="L142" s="622" t="s">
        <v>1529</v>
      </c>
      <c r="M142"/>
      <c r="N142"/>
      <c r="O142"/>
      <c r="P142"/>
      <c r="Q142"/>
      <c r="R142" s="464"/>
    </row>
    <row r="143" spans="1:18">
      <c r="A143" s="364" t="s">
        <v>1488</v>
      </c>
      <c r="B143" s="850" t="s">
        <v>1431</v>
      </c>
      <c r="C143" s="398" t="s">
        <v>376</v>
      </c>
      <c r="D143" s="869">
        <v>8000</v>
      </c>
      <c r="E143" s="869">
        <f>$J143*STAFFING!F$85</f>
        <v>12875</v>
      </c>
      <c r="F143" s="869">
        <f>$J143*STAFFING!G$85</f>
        <v>23625</v>
      </c>
      <c r="G143" s="869">
        <f>$J143*STAFFING!H$85</f>
        <v>34125</v>
      </c>
      <c r="H143" s="869">
        <f>$J143*STAFFING!I$85</f>
        <v>39625</v>
      </c>
      <c r="I143" s="869">
        <f>$J143*STAFFING!J$85</f>
        <v>39625</v>
      </c>
      <c r="J143" s="928">
        <v>500</v>
      </c>
      <c r="K143" s="846" t="s">
        <v>384</v>
      </c>
      <c r="L143" s="622" t="s">
        <v>1530</v>
      </c>
      <c r="M143"/>
      <c r="N143"/>
      <c r="O143"/>
      <c r="P143"/>
      <c r="Q143"/>
      <c r="R143" s="464"/>
    </row>
    <row r="144" spans="1:18">
      <c r="A144" s="364" t="s">
        <v>1488</v>
      </c>
      <c r="B144" s="850" t="s">
        <v>1494</v>
      </c>
      <c r="C144" s="398" t="s">
        <v>377</v>
      </c>
      <c r="D144" s="361">
        <v>0</v>
      </c>
      <c r="E144" s="361">
        <v>28000</v>
      </c>
      <c r="F144" s="361">
        <v>20000</v>
      </c>
      <c r="G144" s="361">
        <v>20000</v>
      </c>
      <c r="H144" s="361">
        <v>20000</v>
      </c>
      <c r="I144" s="361">
        <v>20000</v>
      </c>
      <c r="J144" s="865"/>
      <c r="K144" s="846" t="s">
        <v>384</v>
      </c>
      <c r="L144" s="622" t="s">
        <v>1531</v>
      </c>
      <c r="M144"/>
      <c r="N144"/>
      <c r="O144"/>
      <c r="P144"/>
      <c r="Q144"/>
      <c r="R144" s="464"/>
    </row>
    <row r="145" spans="1:18">
      <c r="A145" s="364" t="s">
        <v>1488</v>
      </c>
      <c r="B145" s="850" t="s">
        <v>1495</v>
      </c>
      <c r="C145" s="398" t="s">
        <v>15</v>
      </c>
      <c r="D145" s="361">
        <f>$J145*ENROLLMENT!E$36</f>
        <v>0</v>
      </c>
      <c r="E145" s="361">
        <f>$J145*ENROLLMENT!F$36</f>
        <v>198000</v>
      </c>
      <c r="F145" s="361">
        <f>$J145*ENROLLMENT!G$36</f>
        <v>396000</v>
      </c>
      <c r="G145" s="361">
        <f>$J145*ENROLLMENT!H$36</f>
        <v>569250</v>
      </c>
      <c r="H145" s="361">
        <f>$J145*ENROLLMENT!I$36</f>
        <v>643500</v>
      </c>
      <c r="I145" s="361">
        <f>$J145*ENROLLMENT!J$36</f>
        <v>643500</v>
      </c>
      <c r="J145" s="862">
        <v>825</v>
      </c>
      <c r="K145" s="846" t="s">
        <v>384</v>
      </c>
      <c r="L145" s="622" t="s">
        <v>1532</v>
      </c>
      <c r="M145"/>
      <c r="N145"/>
      <c r="O145"/>
      <c r="P145"/>
      <c r="Q145"/>
      <c r="R145" s="464"/>
    </row>
    <row r="146" spans="1:18">
      <c r="A146" s="364" t="s">
        <v>1488</v>
      </c>
      <c r="B146" s="929" t="s">
        <v>1567</v>
      </c>
      <c r="C146" s="398" t="s">
        <v>376</v>
      </c>
      <c r="D146" s="869">
        <f>$J146*STAFFING!E$85</f>
        <v>400</v>
      </c>
      <c r="E146" s="869">
        <f>$J146*STAFFING!F$85</f>
        <v>10300</v>
      </c>
      <c r="F146" s="869">
        <f>$J146*STAFFING!G$85</f>
        <v>18900</v>
      </c>
      <c r="G146" s="869">
        <f>$J146*STAFFING!H$85</f>
        <v>27300</v>
      </c>
      <c r="H146" s="869">
        <f>$J146*STAFFING!I$85</f>
        <v>31700</v>
      </c>
      <c r="I146" s="869">
        <f>$J146*STAFFING!J$85</f>
        <v>31700</v>
      </c>
      <c r="J146" s="930">
        <v>400</v>
      </c>
      <c r="K146" s="846" t="s">
        <v>384</v>
      </c>
      <c r="L146" s="622" t="s">
        <v>1533</v>
      </c>
      <c r="M146"/>
      <c r="N146"/>
      <c r="O146"/>
      <c r="P146"/>
      <c r="Q146"/>
      <c r="R146" s="464"/>
    </row>
    <row r="147" spans="1:18">
      <c r="A147" s="364" t="s">
        <v>1488</v>
      </c>
      <c r="B147" s="850" t="s">
        <v>1432</v>
      </c>
      <c r="C147" s="398" t="s">
        <v>377</v>
      </c>
      <c r="D147" s="361">
        <v>0</v>
      </c>
      <c r="E147" s="361">
        <v>5000</v>
      </c>
      <c r="F147" s="361">
        <v>7000</v>
      </c>
      <c r="G147" s="361">
        <v>7000</v>
      </c>
      <c r="H147" s="361">
        <v>7000</v>
      </c>
      <c r="I147" s="361">
        <v>7000</v>
      </c>
      <c r="J147" s="865"/>
      <c r="K147" s="846" t="s">
        <v>386</v>
      </c>
      <c r="L147" s="622" t="s">
        <v>1534</v>
      </c>
      <c r="M147"/>
      <c r="N147"/>
      <c r="O147"/>
      <c r="P147"/>
      <c r="Q147"/>
      <c r="R147" s="464"/>
    </row>
    <row r="148" spans="1:18">
      <c r="A148" s="364" t="s">
        <v>1488</v>
      </c>
      <c r="B148" s="850" t="s">
        <v>1496</v>
      </c>
      <c r="C148" s="398" t="s">
        <v>15</v>
      </c>
      <c r="D148" s="361">
        <f>$J148*ENROLLMENT!E$36</f>
        <v>0</v>
      </c>
      <c r="E148" s="361">
        <f>$J148*ENROLLMENT!F$36</f>
        <v>26400</v>
      </c>
      <c r="F148" s="361">
        <f>$J148*ENROLLMENT!G$36</f>
        <v>52800</v>
      </c>
      <c r="G148" s="361">
        <f>$J148*ENROLLMENT!H$36</f>
        <v>75900</v>
      </c>
      <c r="H148" s="361">
        <f>$J148*ENROLLMENT!I$36</f>
        <v>85800</v>
      </c>
      <c r="I148" s="361">
        <f>$J148*ENROLLMENT!J$36</f>
        <v>85800</v>
      </c>
      <c r="J148" s="867">
        <v>110</v>
      </c>
      <c r="K148" s="846" t="s">
        <v>384</v>
      </c>
      <c r="L148" s="622" t="s">
        <v>1535</v>
      </c>
      <c r="M148"/>
      <c r="N148"/>
      <c r="O148"/>
      <c r="P148"/>
      <c r="Q148"/>
      <c r="R148" s="464"/>
    </row>
    <row r="149" spans="1:18">
      <c r="A149" s="364" t="s">
        <v>1488</v>
      </c>
      <c r="B149" s="850" t="s">
        <v>1497</v>
      </c>
      <c r="C149" s="398" t="s">
        <v>15</v>
      </c>
      <c r="D149" s="361">
        <f>$J149*ENROLLMENT!E$36</f>
        <v>0</v>
      </c>
      <c r="E149" s="361">
        <f>$J149*ENROLLMENT!F$36</f>
        <v>13200</v>
      </c>
      <c r="F149" s="361">
        <f>$J149*ENROLLMENT!G$36</f>
        <v>26400</v>
      </c>
      <c r="G149" s="361">
        <f>$J149*ENROLLMENT!H$36</f>
        <v>37950</v>
      </c>
      <c r="H149" s="361">
        <f>$J149*ENROLLMENT!I$36</f>
        <v>42900</v>
      </c>
      <c r="I149" s="361">
        <f>$J149*ENROLLMENT!J$36</f>
        <v>42900</v>
      </c>
      <c r="J149" s="864">
        <v>55</v>
      </c>
      <c r="K149" s="846" t="s">
        <v>384</v>
      </c>
      <c r="L149" s="622" t="s">
        <v>1536</v>
      </c>
      <c r="M149"/>
      <c r="N149"/>
      <c r="O149"/>
      <c r="P149"/>
      <c r="Q149"/>
      <c r="R149" s="464"/>
    </row>
    <row r="150" spans="1:18">
      <c r="A150" s="364" t="s">
        <v>1488</v>
      </c>
      <c r="B150" s="850" t="s">
        <v>1501</v>
      </c>
      <c r="C150" s="398" t="s">
        <v>377</v>
      </c>
      <c r="D150" s="361">
        <v>0</v>
      </c>
      <c r="E150" s="361">
        <v>10000</v>
      </c>
      <c r="F150" s="361">
        <v>12000</v>
      </c>
      <c r="G150" s="361">
        <v>12000</v>
      </c>
      <c r="H150" s="361">
        <v>12000</v>
      </c>
      <c r="I150" s="361">
        <v>12000</v>
      </c>
      <c r="J150"/>
      <c r="K150" s="846" t="s">
        <v>384</v>
      </c>
      <c r="L150" s="622"/>
      <c r="M150"/>
      <c r="N150"/>
      <c r="O150"/>
      <c r="P150"/>
      <c r="Q150"/>
      <c r="R150" s="464"/>
    </row>
    <row r="151" spans="1:18">
      <c r="A151" s="364" t="s">
        <v>1498</v>
      </c>
      <c r="B151" s="850" t="s">
        <v>41</v>
      </c>
      <c r="C151" s="398" t="s">
        <v>377</v>
      </c>
      <c r="D151" s="361">
        <v>0</v>
      </c>
      <c r="E151" s="361">
        <v>28000</v>
      </c>
      <c r="F151" s="361">
        <v>32000</v>
      </c>
      <c r="G151" s="361">
        <v>32000</v>
      </c>
      <c r="H151" s="361">
        <v>32000</v>
      </c>
      <c r="I151" s="361">
        <v>32000</v>
      </c>
      <c r="J151"/>
      <c r="K151" s="846" t="s">
        <v>383</v>
      </c>
      <c r="L151" s="622" t="s">
        <v>1537</v>
      </c>
      <c r="M151"/>
      <c r="N151"/>
      <c r="O151"/>
      <c r="P151"/>
      <c r="Q151"/>
      <c r="R151" s="464"/>
    </row>
    <row r="152" spans="1:18">
      <c r="A152" s="364" t="s">
        <v>1498</v>
      </c>
      <c r="B152" s="850" t="s">
        <v>1433</v>
      </c>
      <c r="C152" s="398" t="s">
        <v>377</v>
      </c>
      <c r="D152" s="361">
        <v>0</v>
      </c>
      <c r="E152" s="869">
        <v>36000</v>
      </c>
      <c r="F152" s="869">
        <v>52000</v>
      </c>
      <c r="G152" s="869">
        <v>52000</v>
      </c>
      <c r="H152" s="869">
        <v>52000</v>
      </c>
      <c r="I152" s="869">
        <v>52000</v>
      </c>
      <c r="J152"/>
      <c r="K152" s="846" t="s">
        <v>383</v>
      </c>
      <c r="L152" s="622" t="s">
        <v>1538</v>
      </c>
      <c r="M152"/>
      <c r="N152"/>
      <c r="O152"/>
      <c r="P152"/>
      <c r="Q152"/>
      <c r="R152" s="464"/>
    </row>
    <row r="153" spans="1:18">
      <c r="A153" s="364" t="s">
        <v>1498</v>
      </c>
      <c r="B153" s="850" t="s">
        <v>1499</v>
      </c>
      <c r="C153" s="398" t="s">
        <v>377</v>
      </c>
      <c r="D153" s="361">
        <v>0</v>
      </c>
      <c r="E153" s="361">
        <v>240000</v>
      </c>
      <c r="F153" s="361">
        <v>300000</v>
      </c>
      <c r="G153" s="361">
        <v>300000</v>
      </c>
      <c r="H153" s="361">
        <v>300000</v>
      </c>
      <c r="I153" s="361">
        <v>300000</v>
      </c>
      <c r="J153"/>
      <c r="K153" s="846" t="s">
        <v>383</v>
      </c>
      <c r="L153" s="622" t="s">
        <v>1539</v>
      </c>
      <c r="M153"/>
      <c r="N153"/>
      <c r="O153"/>
      <c r="P153"/>
      <c r="Q153"/>
      <c r="R153" s="464"/>
    </row>
    <row r="154" spans="1:18">
      <c r="A154" s="364" t="s">
        <v>1498</v>
      </c>
      <c r="B154" s="850" t="s">
        <v>40</v>
      </c>
      <c r="C154" s="398" t="s">
        <v>377</v>
      </c>
      <c r="D154" s="361">
        <v>0</v>
      </c>
      <c r="E154" s="361">
        <v>18000</v>
      </c>
      <c r="F154" s="361">
        <v>24000</v>
      </c>
      <c r="G154" s="361">
        <v>24000</v>
      </c>
      <c r="H154" s="361">
        <v>24000</v>
      </c>
      <c r="I154" s="361">
        <v>24000</v>
      </c>
      <c r="J154"/>
      <c r="K154" s="846" t="s">
        <v>383</v>
      </c>
      <c r="L154" s="622" t="s">
        <v>1540</v>
      </c>
      <c r="M154"/>
      <c r="N154"/>
      <c r="O154"/>
      <c r="P154"/>
      <c r="Q154"/>
      <c r="R154" s="464"/>
    </row>
    <row r="155" spans="1:18">
      <c r="A155" s="364" t="s">
        <v>1498</v>
      </c>
      <c r="B155" s="850" t="s">
        <v>1504</v>
      </c>
      <c r="C155" s="398" t="s">
        <v>377</v>
      </c>
      <c r="D155" s="361">
        <v>0</v>
      </c>
      <c r="E155" s="361">
        <v>8000</v>
      </c>
      <c r="F155" s="361">
        <v>5000</v>
      </c>
      <c r="G155" s="361">
        <v>5000</v>
      </c>
      <c r="H155" s="361">
        <v>5000</v>
      </c>
      <c r="I155" s="361">
        <v>5000</v>
      </c>
      <c r="J155"/>
      <c r="K155" s="846" t="s">
        <v>383</v>
      </c>
      <c r="L155" s="622" t="s">
        <v>1541</v>
      </c>
      <c r="M155"/>
      <c r="N155"/>
      <c r="O155"/>
      <c r="P155"/>
      <c r="Q155"/>
      <c r="R155" s="464"/>
    </row>
    <row r="156" spans="1:18">
      <c r="A156" s="364" t="s">
        <v>1498</v>
      </c>
      <c r="B156" s="850" t="s">
        <v>1434</v>
      </c>
      <c r="C156" s="398" t="s">
        <v>377</v>
      </c>
      <c r="D156" s="361">
        <v>0</v>
      </c>
      <c r="E156" s="361">
        <v>22000</v>
      </c>
      <c r="F156" s="361">
        <v>28000</v>
      </c>
      <c r="G156" s="361">
        <v>28000</v>
      </c>
      <c r="H156" s="361">
        <v>28000</v>
      </c>
      <c r="I156" s="361">
        <v>28000</v>
      </c>
      <c r="J156"/>
      <c r="K156" s="846" t="s">
        <v>383</v>
      </c>
      <c r="L156" s="622" t="s">
        <v>1543</v>
      </c>
      <c r="M156"/>
      <c r="N156"/>
      <c r="O156"/>
      <c r="P156"/>
      <c r="Q156"/>
      <c r="R156" s="464"/>
    </row>
    <row r="157" spans="1:18">
      <c r="A157" s="399" t="s">
        <v>1498</v>
      </c>
      <c r="B157" s="851" t="s">
        <v>42</v>
      </c>
      <c r="C157" s="398" t="s">
        <v>377</v>
      </c>
      <c r="D157" s="361">
        <v>0</v>
      </c>
      <c r="E157" s="361">
        <v>48000</v>
      </c>
      <c r="F157" s="361">
        <v>62000</v>
      </c>
      <c r="G157" s="361">
        <v>62000</v>
      </c>
      <c r="H157" s="361">
        <v>62000</v>
      </c>
      <c r="I157" s="361">
        <v>62000</v>
      </c>
      <c r="J157"/>
      <c r="K157" s="846" t="s">
        <v>383</v>
      </c>
      <c r="L157" s="622" t="s">
        <v>1542</v>
      </c>
      <c r="M157"/>
      <c r="N157"/>
      <c r="O157"/>
      <c r="P157"/>
      <c r="Q157"/>
      <c r="R157" s="464"/>
    </row>
    <row r="158" spans="1:18">
      <c r="A158" s="399" t="s">
        <v>1498</v>
      </c>
      <c r="B158" s="851" t="s">
        <v>1500</v>
      </c>
      <c r="C158" s="398" t="s">
        <v>377</v>
      </c>
      <c r="D158" s="361">
        <v>0</v>
      </c>
      <c r="E158" s="361">
        <v>8000</v>
      </c>
      <c r="F158" s="361">
        <v>10000</v>
      </c>
      <c r="G158" s="361">
        <v>10000</v>
      </c>
      <c r="H158" s="361">
        <v>10000</v>
      </c>
      <c r="I158" s="361">
        <v>10000</v>
      </c>
      <c r="J158"/>
      <c r="K158" s="846" t="s">
        <v>383</v>
      </c>
      <c r="L158" s="622" t="s">
        <v>1544</v>
      </c>
      <c r="M158"/>
      <c r="N158"/>
      <c r="O158"/>
      <c r="P158"/>
      <c r="Q158"/>
      <c r="R158" s="464"/>
    </row>
    <row r="159" spans="1:18">
      <c r="A159" s="399" t="s">
        <v>343</v>
      </c>
      <c r="B159" s="851" t="s">
        <v>1502</v>
      </c>
      <c r="C159" s="846" t="s">
        <v>438</v>
      </c>
      <c r="D159" s="361"/>
      <c r="E159" s="361"/>
      <c r="F159" s="461"/>
      <c r="G159" s="461"/>
      <c r="H159" s="461"/>
      <c r="I159" s="461"/>
      <c r="J159"/>
      <c r="K159" s="846" t="s">
        <v>384</v>
      </c>
      <c r="L159" s="622" t="s">
        <v>1545</v>
      </c>
      <c r="M159"/>
      <c r="N159"/>
      <c r="O159"/>
      <c r="P159"/>
      <c r="Q159"/>
      <c r="R159" s="464"/>
    </row>
    <row r="160" spans="1:18">
      <c r="A160" s="399" t="s">
        <v>1498</v>
      </c>
      <c r="B160" s="851" t="s">
        <v>378</v>
      </c>
      <c r="C160" s="846" t="s">
        <v>377</v>
      </c>
      <c r="D160" s="461">
        <f>SUMIFS(DEBT!$S$19:$S$54,DEBT!$P$19:$P$54, INPUTS!D1)</f>
        <v>0</v>
      </c>
      <c r="E160" s="461">
        <f>SUMIFS(DEBT!$S$19:$S$54,DEBT!$P$19:$P$54, INPUTS!E1)</f>
        <v>257016.07125742125</v>
      </c>
      <c r="F160" s="461">
        <f>SUMIFS(DEBT!$S$19:$S$54,DEBT!$P$19:$P$54, INPUTS!F1)</f>
        <v>253109.85234050342</v>
      </c>
      <c r="G160" s="461">
        <f>SUMIFS(DEBT!$S$19:$S$54,DEBT!$P$19:$P$54, INPUTS!G1)</f>
        <v>249003.78385025455</v>
      </c>
      <c r="H160" s="461">
        <f>SUMIFS(DEBT!$S$19:$S$54,DEBT!$P$19:$P$54, INPUTS!H1)</f>
        <v>244687.64110321214</v>
      </c>
      <c r="I160" s="461">
        <f>SUMIFS(DEBT!$S$19:$S$54,DEBT!$P$19:$P$54, INPUTS!I1)</f>
        <v>240150.67630170251</v>
      </c>
      <c r="J160"/>
      <c r="K160" s="846" t="s">
        <v>386</v>
      </c>
      <c r="L160" s="622"/>
      <c r="M160"/>
      <c r="N160"/>
      <c r="O160"/>
      <c r="P160"/>
      <c r="Q160"/>
      <c r="R160" s="464"/>
    </row>
    <row r="161" spans="1:18">
      <c r="A161" s="399" t="s">
        <v>1505</v>
      </c>
      <c r="B161" s="851" t="s">
        <v>1435</v>
      </c>
      <c r="C161" s="846" t="s">
        <v>377</v>
      </c>
      <c r="D161" s="461">
        <f>IF(D1&gt;DEBT!$K$14, DEBT!$C$15, 0)</f>
        <v>0</v>
      </c>
      <c r="E161" s="461">
        <f>IF(E1&gt;DEBT!$K$15, DEBT!$C$15, 0)</f>
        <v>172500</v>
      </c>
      <c r="F161" s="461">
        <f>IF(F1&gt;DEBT!$K$15, DEBT!$C$15, 0)</f>
        <v>172500</v>
      </c>
      <c r="G161" s="461">
        <f>IF(G1&gt;DEBT!$K$15, DEBT!$C$15, 0)</f>
        <v>172500</v>
      </c>
      <c r="H161" s="461">
        <f>IF(H1&gt;DEBT!$K$15, DEBT!$C$15, 0)</f>
        <v>172500</v>
      </c>
      <c r="I161" s="461">
        <f>IF(I1&gt;DEBT!$K$15, DEBT!$C$15, 0)</f>
        <v>172500</v>
      </c>
      <c r="J161"/>
      <c r="K161" s="846" t="s">
        <v>386</v>
      </c>
      <c r="L161" s="622" t="s">
        <v>1546</v>
      </c>
      <c r="M161"/>
      <c r="N161"/>
      <c r="O161"/>
      <c r="P161"/>
      <c r="Q161"/>
      <c r="R161" s="464"/>
    </row>
    <row r="162" spans="1:18">
      <c r="A162" s="399" t="s">
        <v>39</v>
      </c>
      <c r="B162" s="399" t="s">
        <v>39</v>
      </c>
      <c r="C162" s="397" t="s">
        <v>421</v>
      </c>
      <c r="D162" s="461">
        <f>'P&amp;L'!D218</f>
        <v>206000</v>
      </c>
      <c r="E162" s="461">
        <f>'P&amp;L'!E218</f>
        <v>2117025.9500000002</v>
      </c>
      <c r="F162" s="461">
        <f>'P&amp;L'!F218</f>
        <v>3784113.6009999993</v>
      </c>
      <c r="G162" s="461">
        <f>'P&amp;L'!G218</f>
        <v>5513867.6601900002</v>
      </c>
      <c r="H162" s="461">
        <f>'P&amp;L'!H218</f>
        <v>6606702.9494357016</v>
      </c>
      <c r="I162" s="461">
        <f>'P&amp;L'!I218</f>
        <v>6804904.0379187716</v>
      </c>
      <c r="J162"/>
      <c r="K162" s="846" t="s">
        <v>288</v>
      </c>
      <c r="L162" s="622"/>
      <c r="M162"/>
      <c r="N162"/>
      <c r="O162"/>
      <c r="P162"/>
      <c r="Q162"/>
      <c r="R162" s="464"/>
    </row>
    <row r="163" spans="1:18">
      <c r="A163" s="364" t="s">
        <v>416</v>
      </c>
      <c r="B163" s="364" t="s">
        <v>416</v>
      </c>
      <c r="C163" s="397" t="s">
        <v>422</v>
      </c>
      <c r="D163" s="461">
        <f>'P&amp;L'!D227</f>
        <v>61800</v>
      </c>
      <c r="E163" s="461">
        <f>'P&amp;L'!E227</f>
        <v>635107.78499999992</v>
      </c>
      <c r="F163" s="461">
        <f>'P&amp;L'!F227</f>
        <v>1135234.0803</v>
      </c>
      <c r="G163" s="461">
        <f>'P&amp;L'!G227</f>
        <v>1654160.2980570002</v>
      </c>
      <c r="H163" s="461">
        <f>'P&amp;L'!H227</f>
        <v>1982010.8848307098</v>
      </c>
      <c r="I163" s="461">
        <f>'P&amp;L'!I227</f>
        <v>2041471.2113756312</v>
      </c>
      <c r="J163"/>
      <c r="K163" s="846" t="s">
        <v>288</v>
      </c>
      <c r="L163" s="622"/>
      <c r="M163"/>
      <c r="N163"/>
      <c r="O163"/>
      <c r="P163"/>
      <c r="Q163"/>
      <c r="R163" s="464"/>
    </row>
    <row r="164" spans="1:18">
      <c r="A164" s="305"/>
      <c r="B164" s="597"/>
      <c r="C164" s="597"/>
      <c r="D164" s="597"/>
      <c r="E164" s="597"/>
      <c r="F164" s="597"/>
      <c r="G164" s="597"/>
      <c r="H164" s="597"/>
      <c r="I164" s="597"/>
      <c r="J164" s="597"/>
      <c r="K164" s="597"/>
      <c r="L164" s="597"/>
      <c r="M164" s="597"/>
      <c r="N164" s="597"/>
      <c r="O164" s="597"/>
      <c r="P164" s="597"/>
      <c r="Q164" s="597"/>
      <c r="R164" s="598"/>
    </row>
    <row r="165" spans="1:18">
      <c r="B165" s="513"/>
    </row>
    <row r="166" spans="1:18">
      <c r="B166" s="513"/>
    </row>
    <row r="167" spans="1:18">
      <c r="B167" s="513"/>
    </row>
    <row r="168" spans="1:18">
      <c r="B168" s="513"/>
    </row>
    <row r="169" spans="1:18">
      <c r="B169" s="513"/>
    </row>
    <row r="170" spans="1:18">
      <c r="B170" s="513"/>
    </row>
    <row r="171" spans="1:18">
      <c r="B171" s="513"/>
    </row>
    <row r="172" spans="1:18">
      <c r="B172" s="513"/>
    </row>
    <row r="173" spans="1:18">
      <c r="B173" s="513"/>
    </row>
    <row r="174" spans="1:18">
      <c r="B174" s="513"/>
    </row>
    <row r="175" spans="1:18">
      <c r="B175" s="513"/>
    </row>
    <row r="176" spans="1:18">
      <c r="B176" s="513"/>
    </row>
    <row r="177" spans="2:2">
      <c r="B177" s="513"/>
    </row>
    <row r="178" spans="2:2">
      <c r="B178" s="513"/>
    </row>
  </sheetData>
  <phoneticPr fontId="13" type="noConversion"/>
  <conditionalFormatting sqref="D169:I171">
    <cfRule type="expression" dxfId="27" priority="4">
      <formula>#REF!="Direct"</formula>
    </cfRule>
    <cfRule type="expression" dxfId="26" priority="5">
      <formula>#REF!="% of Recurring Revenue"</formula>
    </cfRule>
  </conditionalFormatting>
  <dataValidations count="2">
    <dataValidation type="list" allowBlank="1" showInputMessage="1" showErrorMessage="1" sqref="D17" xr:uid="{024122ED-7BB6-476E-B3FB-018E12B6BB94}">
      <formula1>"1,2,3"</formula1>
    </dataValidation>
    <dataValidation type="list" allowBlank="1" showInputMessage="1" showErrorMessage="1" sqref="C17" xr:uid="{40A2108D-63B1-49E0-AE13-7BF3C2307E24}">
      <formula1>"Planned, Sensitivity Analysis"</formula1>
    </dataValidation>
  </dataValidations>
  <hyperlinks>
    <hyperlink ref="C12" r:id="rId1" xr:uid="{B76CF555-77C5-49A5-8A15-D2ED3B637286}"/>
    <hyperlink ref="C7" r:id="rId2" xr:uid="{D79D9EAC-7B96-4371-9900-5C4531B7C89D}"/>
    <hyperlink ref="C15" location="ENROLLMENT!A1" display="ENROLLMENT LINK" xr:uid="{91998193-F1BD-46FA-AF97-80E929CCA645}"/>
  </hyperlinks>
  <pageMargins left="0.7" right="0.7" top="0.75" bottom="0.75" header="0.3" footer="0.3"/>
  <pageSetup orientation="portrait" r:id="rId3"/>
  <legacyDrawing r:id="rId4"/>
  <extLst>
    <ext xmlns:x14="http://schemas.microsoft.com/office/spreadsheetml/2009/9/main" uri="{CCE6A557-97BC-4b89-ADB6-D9C93CAAB3DF}">
      <x14:dataValidations xmlns:xm="http://schemas.microsoft.com/office/excel/2006/main" count="7">
        <x14:dataValidation type="list" allowBlank="1" showInputMessage="1" showErrorMessage="1" xr:uid="{2E2C77B5-A3C9-43B4-BB5F-FD95EF716AC3}">
          <x14:formula1>
            <xm:f>Drivers!$A$5:$A$14</xm:f>
          </x14:formula1>
          <xm:sqref>C4</xm:sqref>
        </x14:dataValidation>
        <x14:dataValidation type="list" allowBlank="1" showInputMessage="1" showErrorMessage="1" xr:uid="{D87FD412-0A8F-4906-A918-BEDA4CA668D5}">
          <x14:formula1>
            <xm:f>Drivers!$A$60:$A$64</xm:f>
          </x14:formula1>
          <xm:sqref>C33:C75</xm:sqref>
        </x14:dataValidation>
        <x14:dataValidation type="list" allowBlank="1" showInputMessage="1" showErrorMessage="1" xr:uid="{A3E7B26E-A566-47EC-9BDC-398B71E02D99}">
          <x14:formula1>
            <xm:f>Drivers!$A$51:$A$57</xm:f>
          </x14:formula1>
          <xm:sqref>C83:C115</xm:sqref>
        </x14:dataValidation>
        <x14:dataValidation type="list" allowBlank="1" showInputMessage="1" showErrorMessage="1" xr:uid="{B45575BF-92D4-47C7-A8A8-4EA7165482A9}">
          <x14:formula1>
            <xm:f>Drivers!$A$105:$A$110</xm:f>
          </x14:formula1>
          <xm:sqref>K120:K163</xm:sqref>
        </x14:dataValidation>
        <x14:dataValidation type="list" allowBlank="1" showInputMessage="1" showErrorMessage="1" xr:uid="{17257FAA-3152-45F4-A613-5DD7300D15EC}">
          <x14:formula1>
            <xm:f>Drivers!$A$95:$A$102</xm:f>
          </x14:formula1>
          <xm:sqref>C120:C123 C159:C161</xm:sqref>
        </x14:dataValidation>
        <x14:dataValidation type="list" allowBlank="1" showInputMessage="1" showErrorMessage="1" xr:uid="{1BB15EF8-4108-421F-805D-3B30F2ABFFC7}">
          <x14:formula1>
            <xm:f>Drivers!$A$74:$A$75</xm:f>
          </x14:formula1>
          <xm:sqref>J68:J71 J65:J66 J73:J75 J36:J39 J61:J63 J53:J59 J45:J51 J41:J43 J32:J34</xm:sqref>
        </x14:dataValidation>
        <x14:dataValidation type="list" allowBlank="1" showInputMessage="1" showErrorMessage="1" xr:uid="{62AFA43F-3F79-4D6A-A637-6202BDA216D5}">
          <x14:formula1>
            <xm:f>Drivers!$A$78:$A$79</xm:f>
          </x14:formula1>
          <xm:sqref>K36:K39 K73:K75 K68:K71 K65:K66 K61:K63 K53:K59 K45:K51 K41:K43 K32:K34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C32F-B5B4-491A-8BBA-038592BFEBA7}">
  <sheetPr codeName="Sheet3">
    <tabColor theme="7" tint="0.59999389629810485"/>
  </sheetPr>
  <dimension ref="A1:BE49"/>
  <sheetViews>
    <sheetView showGridLines="0" topLeftCell="D1" zoomScale="140" zoomScaleNormal="140" workbookViewId="0">
      <selection activeCell="O10" sqref="O10:T11"/>
    </sheetView>
  </sheetViews>
  <sheetFormatPr baseColWidth="10" defaultColWidth="9.1640625" defaultRowHeight="15"/>
  <cols>
    <col min="1" max="1" width="11.6640625" style="519" customWidth="1"/>
    <col min="2" max="2" width="26.83203125" style="519" customWidth="1"/>
    <col min="3" max="3" width="3.5" style="519" customWidth="1"/>
    <col min="4" max="4" width="23.5" style="519" customWidth="1"/>
    <col min="5" max="10" width="8.5" style="519" customWidth="1"/>
    <col min="11" max="13" width="3.5" style="519" customWidth="1"/>
    <col min="14" max="14" width="21.6640625" style="519" customWidth="1"/>
    <col min="15" max="20" width="8.5" style="519" customWidth="1"/>
    <col min="21" max="21" width="3.1640625" style="519" customWidth="1"/>
    <col min="22" max="22" width="18.1640625" style="519" customWidth="1"/>
    <col min="23" max="23" width="9.1640625" style="519"/>
    <col min="24" max="16384" width="9.1640625" style="513"/>
  </cols>
  <sheetData>
    <row r="1" spans="1:28" ht="26">
      <c r="A1" s="45" t="s">
        <v>88</v>
      </c>
      <c r="B1" s="46"/>
      <c r="C1" s="46"/>
      <c r="D1" s="46"/>
      <c r="E1" s="46"/>
      <c r="F1" s="46"/>
      <c r="G1" s="46"/>
      <c r="H1" s="46"/>
      <c r="I1" s="46"/>
      <c r="J1" s="46"/>
      <c r="K1" s="47"/>
      <c r="L1" s="69"/>
      <c r="M1" s="46"/>
      <c r="N1" s="46"/>
      <c r="O1" s="46"/>
      <c r="P1" s="46"/>
      <c r="Q1" s="46"/>
      <c r="R1" s="46"/>
      <c r="S1" s="46"/>
      <c r="T1" s="46"/>
      <c r="U1" s="46"/>
      <c r="V1" s="46"/>
      <c r="W1" s="46"/>
      <c r="X1" s="40"/>
      <c r="Y1" s="40"/>
      <c r="Z1" s="40"/>
      <c r="AA1" s="40"/>
      <c r="AB1" s="41"/>
    </row>
    <row r="2" spans="1:28" ht="16" customHeight="1">
      <c r="A2" s="623" t="s">
        <v>101</v>
      </c>
      <c r="B2" s="48"/>
      <c r="C2" s="48"/>
      <c r="D2" s="48"/>
      <c r="E2" s="48"/>
      <c r="F2" s="48"/>
      <c r="G2" s="48"/>
      <c r="H2" s="48"/>
      <c r="I2" s="48"/>
      <c r="J2" s="48"/>
      <c r="K2" s="48"/>
      <c r="L2" s="624"/>
      <c r="M2" s="48"/>
      <c r="N2" s="625"/>
      <c r="O2" s="48"/>
      <c r="P2" s="48"/>
      <c r="Q2" s="48"/>
      <c r="R2" s="48"/>
      <c r="S2" s="48"/>
      <c r="T2" s="48"/>
      <c r="U2" s="48"/>
      <c r="V2" s="48"/>
      <c r="W2" s="48"/>
      <c r="X2"/>
      <c r="Y2"/>
      <c r="Z2"/>
      <c r="AA2"/>
      <c r="AB2" s="464"/>
    </row>
    <row r="3" spans="1:28" ht="16" customHeight="1">
      <c r="A3" s="626" t="s">
        <v>50</v>
      </c>
      <c r="B3" s="48"/>
      <c r="C3" s="48"/>
      <c r="D3" s="48"/>
      <c r="E3" s="48"/>
      <c r="F3" s="48"/>
      <c r="G3" s="48"/>
      <c r="H3" s="48"/>
      <c r="I3" s="48"/>
      <c r="J3" s="48"/>
      <c r="K3" s="48"/>
      <c r="L3" s="624"/>
      <c r="M3" s="48"/>
      <c r="N3" s="625"/>
      <c r="O3" s="48"/>
      <c r="P3" s="48"/>
      <c r="Q3" s="48"/>
      <c r="R3" s="48"/>
      <c r="S3" s="48"/>
      <c r="T3" s="48"/>
      <c r="U3" s="48"/>
      <c r="V3" s="48"/>
      <c r="W3" s="48"/>
      <c r="X3"/>
      <c r="Y3"/>
      <c r="Z3"/>
      <c r="AA3"/>
      <c r="AB3" s="464"/>
    </row>
    <row r="4" spans="1:28" ht="16" customHeight="1">
      <c r="A4" s="623"/>
      <c r="B4" s="48"/>
      <c r="C4" s="48"/>
      <c r="D4" s="48"/>
      <c r="E4" s="48"/>
      <c r="F4" s="48"/>
      <c r="G4" s="48"/>
      <c r="H4" s="48"/>
      <c r="I4" s="48"/>
      <c r="J4" s="48"/>
      <c r="K4" s="48"/>
      <c r="L4" s="624"/>
      <c r="M4" s="48"/>
      <c r="N4" s="625"/>
      <c r="O4" s="48"/>
      <c r="P4" s="48"/>
      <c r="Q4" s="48"/>
      <c r="R4" s="48"/>
      <c r="S4" s="48"/>
      <c r="T4" s="48"/>
      <c r="U4" s="48"/>
      <c r="V4" s="48"/>
      <c r="W4" s="48"/>
      <c r="X4"/>
      <c r="Y4"/>
      <c r="Z4"/>
      <c r="AA4"/>
      <c r="AB4" s="464"/>
    </row>
    <row r="5" spans="1:28" ht="16" customHeight="1">
      <c r="A5" s="525" t="s">
        <v>1549</v>
      </c>
      <c r="B5" s="525"/>
      <c r="C5" s="525"/>
      <c r="D5" s="525"/>
      <c r="E5" s="525"/>
      <c r="F5" s="525"/>
      <c r="G5" s="525"/>
      <c r="H5" s="525"/>
      <c r="I5" s="525"/>
      <c r="J5" s="525"/>
      <c r="K5" s="48"/>
      <c r="L5" s="624"/>
      <c r="M5" s="48"/>
      <c r="N5" s="625"/>
      <c r="O5" s="48"/>
      <c r="P5" s="48"/>
      <c r="Q5" s="48"/>
      <c r="R5" s="48"/>
      <c r="S5" s="48"/>
      <c r="T5" s="48"/>
      <c r="U5" s="48"/>
      <c r="V5" s="48"/>
      <c r="W5" s="48"/>
      <c r="X5"/>
      <c r="Y5"/>
      <c r="Z5"/>
      <c r="AA5"/>
      <c r="AB5" s="464"/>
    </row>
    <row r="6" spans="1:28" ht="16" customHeight="1">
      <c r="A6" s="873" t="s">
        <v>1548</v>
      </c>
      <c r="B6" s="874"/>
      <c r="C6" s="874"/>
      <c r="D6" s="874"/>
      <c r="E6" s="874"/>
      <c r="F6" s="874"/>
      <c r="G6" s="874"/>
      <c r="H6" s="874"/>
      <c r="I6" s="874"/>
      <c r="J6" s="875"/>
      <c r="K6" s="48"/>
      <c r="L6" s="624"/>
      <c r="M6" s="48"/>
      <c r="N6" s="625"/>
      <c r="O6" s="48"/>
      <c r="P6" s="48"/>
      <c r="Q6" s="48"/>
      <c r="R6" s="48"/>
      <c r="S6" s="48"/>
      <c r="T6" s="48"/>
      <c r="U6" s="48"/>
      <c r="V6" s="48"/>
      <c r="W6" s="48"/>
      <c r="X6"/>
      <c r="Y6"/>
      <c r="Z6"/>
      <c r="AA6"/>
      <c r="AB6" s="464"/>
    </row>
    <row r="7" spans="1:28" ht="16" customHeight="1">
      <c r="A7" s="876"/>
      <c r="B7" s="877"/>
      <c r="C7" s="877"/>
      <c r="D7" s="877"/>
      <c r="E7" s="877"/>
      <c r="F7" s="877"/>
      <c r="G7" s="877"/>
      <c r="H7" s="877"/>
      <c r="I7" s="877"/>
      <c r="J7" s="878"/>
      <c r="K7" s="48"/>
      <c r="L7" s="624"/>
      <c r="M7" s="48"/>
      <c r="N7" s="625"/>
      <c r="O7" s="48"/>
      <c r="P7" s="48"/>
      <c r="Q7" s="48"/>
      <c r="R7" s="48"/>
      <c r="S7" s="48"/>
      <c r="T7" s="48"/>
      <c r="U7" s="48"/>
      <c r="V7" s="48"/>
      <c r="W7" s="48"/>
      <c r="X7"/>
      <c r="Y7"/>
      <c r="Z7"/>
      <c r="AA7"/>
      <c r="AB7" s="464"/>
    </row>
    <row r="8" spans="1:28" ht="16" customHeight="1">
      <c r="A8" s="879"/>
      <c r="B8" s="880"/>
      <c r="C8" s="880"/>
      <c r="D8" s="880"/>
      <c r="E8" s="880"/>
      <c r="F8" s="880"/>
      <c r="G8" s="880"/>
      <c r="H8" s="880"/>
      <c r="I8" s="880"/>
      <c r="J8" s="881"/>
      <c r="K8" s="48"/>
      <c r="L8" s="624"/>
      <c r="M8" s="48"/>
      <c r="N8" s="48"/>
      <c r="O8" s="48"/>
      <c r="P8" s="48"/>
      <c r="Q8" s="48"/>
      <c r="R8" s="48"/>
      <c r="S8" s="48"/>
      <c r="T8" s="48"/>
      <c r="U8" s="48"/>
      <c r="V8" s="48"/>
      <c r="W8" s="48"/>
      <c r="X8"/>
      <c r="Y8"/>
      <c r="Z8"/>
      <c r="AA8"/>
      <c r="AB8" s="464"/>
    </row>
    <row r="9" spans="1:28" ht="16" customHeight="1">
      <c r="A9" s="626"/>
      <c r="B9" s="48"/>
      <c r="C9" s="48"/>
      <c r="D9" s="48"/>
      <c r="E9" s="48"/>
      <c r="F9" s="48"/>
      <c r="G9" s="48"/>
      <c r="H9" s="48"/>
      <c r="I9" s="48"/>
      <c r="J9" s="48"/>
      <c r="K9" s="48"/>
      <c r="L9" s="624"/>
      <c r="M9" s="48"/>
      <c r="N9" s="48"/>
      <c r="O9" s="49">
        <v>0.95</v>
      </c>
      <c r="P9" s="50" t="s">
        <v>49</v>
      </c>
      <c r="Q9" s="51"/>
      <c r="R9" s="51"/>
      <c r="S9" s="51"/>
      <c r="T9" s="52"/>
      <c r="U9" s="48"/>
      <c r="V9" s="48"/>
      <c r="W9" s="48"/>
      <c r="X9"/>
      <c r="Y9"/>
      <c r="Z9"/>
      <c r="AA9"/>
      <c r="AB9" s="464"/>
    </row>
    <row r="10" spans="1:28" s="514" customFormat="1" ht="16" customHeight="1">
      <c r="A10" s="626"/>
      <c r="B10" s="48"/>
      <c r="C10" s="53"/>
      <c r="D10" s="13"/>
      <c r="E10" s="871" t="s">
        <v>48</v>
      </c>
      <c r="F10" s="871"/>
      <c r="G10" s="871"/>
      <c r="H10" s="871"/>
      <c r="I10" s="871"/>
      <c r="J10" s="871"/>
      <c r="K10" s="53"/>
      <c r="L10" s="627"/>
      <c r="M10" s="53"/>
      <c r="N10" s="53"/>
      <c r="O10" s="872" t="s">
        <v>37</v>
      </c>
      <c r="P10" s="872"/>
      <c r="Q10" s="872"/>
      <c r="R10" s="872"/>
      <c r="S10" s="872"/>
      <c r="T10" s="872"/>
      <c r="U10" s="53"/>
      <c r="V10" s="53"/>
      <c r="W10" s="53"/>
      <c r="X10" s="13"/>
      <c r="Y10" s="13"/>
      <c r="Z10" s="13"/>
      <c r="AA10" s="13"/>
      <c r="AB10" s="628"/>
    </row>
    <row r="11" spans="1:28" ht="16" customHeight="1">
      <c r="A11" s="626"/>
      <c r="B11" s="48"/>
      <c r="C11" s="48"/>
      <c r="D11" s="48"/>
      <c r="E11" s="871"/>
      <c r="F11" s="871"/>
      <c r="G11" s="871"/>
      <c r="H11" s="871"/>
      <c r="I11" s="871"/>
      <c r="J11" s="871"/>
      <c r="K11" s="48"/>
      <c r="L11" s="624"/>
      <c r="M11" s="48"/>
      <c r="N11" s="48"/>
      <c r="O11" s="872"/>
      <c r="P11" s="872"/>
      <c r="Q11" s="872"/>
      <c r="R11" s="872"/>
      <c r="S11" s="872"/>
      <c r="T11" s="872"/>
      <c r="U11" s="48"/>
      <c r="V11" s="48"/>
      <c r="W11" s="48"/>
      <c r="X11"/>
      <c r="Y11"/>
      <c r="Z11"/>
      <c r="AA11"/>
      <c r="AB11" s="464"/>
    </row>
    <row r="12" spans="1:28" ht="16" customHeight="1">
      <c r="A12" s="626"/>
      <c r="B12" s="48"/>
      <c r="C12" s="48"/>
      <c r="D12" s="48"/>
      <c r="E12" s="48"/>
      <c r="F12" s="48"/>
      <c r="G12" s="48"/>
      <c r="H12" s="48"/>
      <c r="I12" s="48"/>
      <c r="J12" s="48"/>
      <c r="K12" s="629"/>
      <c r="L12" s="630"/>
      <c r="M12" s="629"/>
      <c r="N12" s="48"/>
      <c r="O12" s="48"/>
      <c r="P12" s="48"/>
      <c r="Q12" s="48"/>
      <c r="R12" s="48"/>
      <c r="S12" s="48"/>
      <c r="T12" s="48"/>
      <c r="U12" s="629"/>
      <c r="V12" s="48"/>
      <c r="W12" s="48"/>
      <c r="X12"/>
      <c r="Y12"/>
      <c r="Z12"/>
      <c r="AA12"/>
      <c r="AB12" s="464"/>
    </row>
    <row r="13" spans="1:28" ht="16" customHeight="1">
      <c r="A13" s="626"/>
      <c r="B13" s="48"/>
      <c r="C13" s="48"/>
      <c r="D13" s="76" t="str">
        <f>E10</f>
        <v>Planned Enrollment</v>
      </c>
      <c r="E13" s="77">
        <f>INPUTS!$D$1</f>
        <v>2027</v>
      </c>
      <c r="F13" s="77">
        <f>INPUTS!$E$1</f>
        <v>2028</v>
      </c>
      <c r="G13" s="77">
        <f>INPUTS!$F$1</f>
        <v>2029</v>
      </c>
      <c r="H13" s="77">
        <f>INPUTS!$G$1</f>
        <v>2030</v>
      </c>
      <c r="I13" s="77">
        <f>INPUTS!$H$1</f>
        <v>2031</v>
      </c>
      <c r="J13" s="77">
        <f>INPUTS!$I$1</f>
        <v>2032</v>
      </c>
      <c r="K13" s="48"/>
      <c r="L13" s="624"/>
      <c r="M13" s="48"/>
      <c r="N13" s="76" t="str">
        <f>O10</f>
        <v>Sensitivity Analysis</v>
      </c>
      <c r="O13" s="77">
        <f>INPUTS!$D$1</f>
        <v>2027</v>
      </c>
      <c r="P13" s="77">
        <f>INPUTS!$E$1</f>
        <v>2028</v>
      </c>
      <c r="Q13" s="77">
        <f>INPUTS!$F$1</f>
        <v>2029</v>
      </c>
      <c r="R13" s="77">
        <f>INPUTS!$G$1</f>
        <v>2030</v>
      </c>
      <c r="S13" s="77">
        <f>INPUTS!$H$1</f>
        <v>2031</v>
      </c>
      <c r="T13" s="77">
        <f>INPUTS!$I$1</f>
        <v>2032</v>
      </c>
      <c r="U13" s="48"/>
      <c r="V13" s="48"/>
      <c r="W13" s="48"/>
      <c r="X13"/>
      <c r="Y13"/>
      <c r="Z13"/>
      <c r="AA13"/>
      <c r="AB13" s="464"/>
    </row>
    <row r="14" spans="1:28" ht="16" customHeight="1">
      <c r="A14" s="626"/>
      <c r="B14" s="48"/>
      <c r="C14" s="48"/>
      <c r="D14" s="48"/>
      <c r="E14" s="48"/>
      <c r="F14" s="48"/>
      <c r="G14" s="48"/>
      <c r="H14" s="48"/>
      <c r="I14" s="48"/>
      <c r="J14" s="48"/>
      <c r="K14" s="629"/>
      <c r="L14" s="630"/>
      <c r="M14" s="629"/>
      <c r="N14" s="48"/>
      <c r="O14" s="48"/>
      <c r="P14" s="48"/>
      <c r="Q14" s="48"/>
      <c r="R14" s="631"/>
      <c r="S14" s="631"/>
      <c r="T14" s="631"/>
      <c r="U14" s="629"/>
      <c r="V14" s="48"/>
      <c r="W14" s="48"/>
      <c r="X14"/>
      <c r="Y14"/>
      <c r="Z14"/>
      <c r="AA14"/>
      <c r="AB14" s="464"/>
    </row>
    <row r="15" spans="1:28" ht="16" customHeight="1">
      <c r="A15" s="626"/>
      <c r="B15" s="48"/>
      <c r="C15" s="48"/>
      <c r="D15" s="72" t="s">
        <v>46</v>
      </c>
      <c r="E15" s="73"/>
      <c r="F15" s="73"/>
      <c r="G15" s="73"/>
      <c r="H15" s="73"/>
      <c r="I15" s="73"/>
      <c r="J15" s="73"/>
      <c r="K15" s="48"/>
      <c r="L15" s="624"/>
      <c r="M15" s="48"/>
      <c r="N15" s="72" t="s">
        <v>46</v>
      </c>
      <c r="O15" s="73"/>
      <c r="P15" s="73"/>
      <c r="Q15" s="73"/>
      <c r="R15" s="73"/>
      <c r="S15" s="73"/>
      <c r="T15" s="73"/>
      <c r="U15" s="48"/>
      <c r="V15" s="48"/>
      <c r="W15" s="48"/>
      <c r="X15"/>
      <c r="Y15"/>
      <c r="Z15"/>
      <c r="AA15"/>
      <c r="AB15" s="464"/>
    </row>
    <row r="16" spans="1:28" ht="16" customHeight="1">
      <c r="A16" s="626"/>
      <c r="B16" s="48"/>
      <c r="C16" s="48"/>
      <c r="D16" s="54" t="str">
        <f>INPUTS!C3</f>
        <v>Cedar Grove Public Schools</v>
      </c>
      <c r="E16" s="358">
        <f>E36</f>
        <v>0</v>
      </c>
      <c r="F16" s="358">
        <f t="shared" ref="F16:J16" si="0">F36</f>
        <v>240</v>
      </c>
      <c r="G16" s="358">
        <f t="shared" si="0"/>
        <v>480</v>
      </c>
      <c r="H16" s="358">
        <f t="shared" si="0"/>
        <v>690</v>
      </c>
      <c r="I16" s="358">
        <f t="shared" si="0"/>
        <v>780</v>
      </c>
      <c r="J16" s="358">
        <f t="shared" si="0"/>
        <v>780</v>
      </c>
      <c r="K16" s="632"/>
      <c r="L16" s="633"/>
      <c r="M16" s="632"/>
      <c r="N16" s="54" t="str">
        <f>D16</f>
        <v>Cedar Grove Public Schools</v>
      </c>
      <c r="O16" s="359">
        <f t="shared" ref="O16:T16" si="1">E16*$O$9</f>
        <v>0</v>
      </c>
      <c r="P16" s="359">
        <f t="shared" si="1"/>
        <v>228</v>
      </c>
      <c r="Q16" s="359">
        <f t="shared" si="1"/>
        <v>456</v>
      </c>
      <c r="R16" s="359">
        <f t="shared" si="1"/>
        <v>655.5</v>
      </c>
      <c r="S16" s="359">
        <f t="shared" si="1"/>
        <v>741</v>
      </c>
      <c r="T16" s="359">
        <f t="shared" si="1"/>
        <v>741</v>
      </c>
      <c r="U16" s="48"/>
      <c r="V16" s="48"/>
      <c r="W16" s="48"/>
      <c r="X16"/>
      <c r="Y16"/>
      <c r="Z16"/>
      <c r="AA16"/>
      <c r="AB16" s="464"/>
    </row>
    <row r="17" spans="1:57">
      <c r="A17" s="626"/>
      <c r="B17" s="48"/>
      <c r="C17" s="48"/>
      <c r="D17" s="55" t="s">
        <v>23</v>
      </c>
      <c r="E17" s="357">
        <f t="shared" ref="E17:J17" si="2">SUM(E16:E16)</f>
        <v>0</v>
      </c>
      <c r="F17" s="357">
        <f t="shared" si="2"/>
        <v>240</v>
      </c>
      <c r="G17" s="357">
        <f t="shared" si="2"/>
        <v>480</v>
      </c>
      <c r="H17" s="357">
        <f t="shared" si="2"/>
        <v>690</v>
      </c>
      <c r="I17" s="357">
        <f t="shared" si="2"/>
        <v>780</v>
      </c>
      <c r="J17" s="357">
        <f t="shared" si="2"/>
        <v>780</v>
      </c>
      <c r="K17" s="48"/>
      <c r="L17" s="624"/>
      <c r="M17" s="48"/>
      <c r="N17" s="55" t="s">
        <v>23</v>
      </c>
      <c r="O17" s="357">
        <f t="shared" ref="O17:T17" si="3">SUM(O16:O16)</f>
        <v>0</v>
      </c>
      <c r="P17" s="357">
        <f t="shared" si="3"/>
        <v>228</v>
      </c>
      <c r="Q17" s="357">
        <f t="shared" si="3"/>
        <v>456</v>
      </c>
      <c r="R17" s="357">
        <f t="shared" si="3"/>
        <v>655.5</v>
      </c>
      <c r="S17" s="357">
        <f t="shared" si="3"/>
        <v>741</v>
      </c>
      <c r="T17" s="357">
        <f t="shared" si="3"/>
        <v>741</v>
      </c>
      <c r="U17" s="48"/>
      <c r="V17" s="48"/>
      <c r="W17" s="48"/>
      <c r="X17"/>
      <c r="Y17"/>
      <c r="Z17"/>
      <c r="AA17"/>
      <c r="AB17" s="464"/>
    </row>
    <row r="18" spans="1:57">
      <c r="A18" s="626"/>
      <c r="B18" s="48"/>
      <c r="C18" s="48"/>
      <c r="D18" s="634" t="s">
        <v>78</v>
      </c>
      <c r="E18" s="635"/>
      <c r="F18" s="57">
        <f>IFERROR((F17-E17)/E17, 0)</f>
        <v>0</v>
      </c>
      <c r="G18" s="57">
        <f t="shared" ref="G18:J18" si="4">IFERROR((G17-F17)/F17, 0)</f>
        <v>1</v>
      </c>
      <c r="H18" s="57">
        <f t="shared" si="4"/>
        <v>0.4375</v>
      </c>
      <c r="I18" s="57">
        <f t="shared" si="4"/>
        <v>0.13043478260869565</v>
      </c>
      <c r="J18" s="57">
        <f t="shared" si="4"/>
        <v>0</v>
      </c>
      <c r="K18" s="48"/>
      <c r="L18" s="624"/>
      <c r="M18" s="48"/>
      <c r="N18" s="634" t="s">
        <v>78</v>
      </c>
      <c r="O18" s="635"/>
      <c r="P18" s="57">
        <f t="shared" ref="P18:T18" si="5">IFERROR((P17-O17)/O17, 0)</f>
        <v>0</v>
      </c>
      <c r="Q18" s="57">
        <f t="shared" si="5"/>
        <v>1</v>
      </c>
      <c r="R18" s="57">
        <f t="shared" si="5"/>
        <v>0.4375</v>
      </c>
      <c r="S18" s="57">
        <f t="shared" si="5"/>
        <v>0.13043478260869565</v>
      </c>
      <c r="T18" s="57">
        <f t="shared" si="5"/>
        <v>0</v>
      </c>
      <c r="U18" s="48"/>
      <c r="V18" s="48"/>
      <c r="W18" s="48"/>
      <c r="X18"/>
      <c r="Y18"/>
      <c r="Z18"/>
      <c r="AA18"/>
      <c r="AB18" s="464"/>
    </row>
    <row r="19" spans="1:57">
      <c r="A19" s="626"/>
      <c r="B19" s="48"/>
      <c r="C19" s="48"/>
      <c r="D19" s="48"/>
      <c r="E19" s="48"/>
      <c r="F19" s="48"/>
      <c r="G19" s="48"/>
      <c r="H19" s="48"/>
      <c r="I19" s="48"/>
      <c r="J19" s="48"/>
      <c r="K19" s="48"/>
      <c r="L19" s="624"/>
      <c r="M19" s="48"/>
      <c r="N19" s="48"/>
      <c r="O19" s="636"/>
      <c r="P19" s="48"/>
      <c r="Q19" s="48"/>
      <c r="R19" s="48"/>
      <c r="S19" s="48"/>
      <c r="T19" s="48"/>
      <c r="U19" s="48"/>
      <c r="V19" s="48"/>
      <c r="W19" s="48"/>
      <c r="X19"/>
      <c r="Y19"/>
      <c r="Z19"/>
      <c r="AA19"/>
      <c r="AB19" s="464"/>
    </row>
    <row r="20" spans="1:57">
      <c r="A20" s="58"/>
      <c r="B20" s="59" t="s">
        <v>364</v>
      </c>
      <c r="C20" s="60"/>
      <c r="D20" s="60"/>
      <c r="E20" s="60"/>
      <c r="F20" s="60"/>
      <c r="G20" s="60"/>
      <c r="H20" s="60"/>
      <c r="I20" s="60"/>
      <c r="J20" s="60"/>
      <c r="K20" s="60"/>
      <c r="L20" s="60"/>
      <c r="M20" s="60"/>
      <c r="N20" s="60"/>
      <c r="O20" s="60"/>
      <c r="P20" s="60"/>
      <c r="Q20" s="60"/>
      <c r="R20" s="60"/>
      <c r="S20" s="60"/>
      <c r="T20" s="60"/>
      <c r="U20" s="60"/>
      <c r="V20" s="637"/>
      <c r="W20" s="637"/>
      <c r="X20" s="28"/>
      <c r="Y20" s="28"/>
      <c r="Z20" s="28"/>
      <c r="AA20" s="28"/>
      <c r="AB20" s="638"/>
      <c r="AC20" s="515"/>
      <c r="AD20" s="515"/>
      <c r="AE20" s="515"/>
      <c r="AF20" s="515"/>
      <c r="AG20" s="515"/>
      <c r="AH20" s="515"/>
      <c r="AI20" s="515"/>
      <c r="AJ20" s="515"/>
      <c r="AK20" s="515"/>
      <c r="AL20" s="515"/>
      <c r="AM20" s="515"/>
      <c r="AN20" s="515"/>
      <c r="AO20" s="515"/>
      <c r="AP20" s="515"/>
      <c r="AQ20" s="515"/>
      <c r="AR20" s="515"/>
      <c r="AS20" s="515"/>
      <c r="AT20" s="515"/>
      <c r="AU20" s="515"/>
      <c r="AV20" s="515"/>
      <c r="AW20" s="515"/>
      <c r="AX20" s="515"/>
      <c r="AY20" s="515"/>
      <c r="AZ20" s="515"/>
      <c r="BA20" s="515"/>
      <c r="BB20" s="515"/>
      <c r="BC20" s="515"/>
      <c r="BD20" s="515"/>
      <c r="BE20" s="515"/>
    </row>
    <row r="21" spans="1:57" s="516" customFormat="1">
      <c r="A21" s="639"/>
      <c r="B21" s="640"/>
      <c r="C21" s="61"/>
      <c r="D21" s="641"/>
      <c r="E21" s="642"/>
      <c r="F21" s="642"/>
      <c r="G21" s="642"/>
      <c r="H21" s="642"/>
      <c r="I21" s="642"/>
      <c r="J21" s="642"/>
      <c r="K21" s="61"/>
      <c r="L21" s="643"/>
      <c r="M21" s="61"/>
      <c r="N21" s="641"/>
      <c r="O21" s="642"/>
      <c r="P21" s="642"/>
      <c r="Q21" s="642"/>
      <c r="R21" s="642"/>
      <c r="S21" s="642"/>
      <c r="T21" s="642"/>
      <c r="U21" s="61"/>
      <c r="V21" s="61"/>
      <c r="W21" s="61"/>
      <c r="X21" s="622"/>
      <c r="Y21" s="622"/>
      <c r="Z21" s="622"/>
      <c r="AA21" s="622"/>
      <c r="AB21" s="644"/>
    </row>
    <row r="22" spans="1:57" s="515" customFormat="1">
      <c r="A22" s="645"/>
      <c r="B22" s="62" t="str">
        <f>INPUTS!C3</f>
        <v>Cedar Grove Public Schools</v>
      </c>
      <c r="C22" s="640"/>
      <c r="D22" s="74" t="s">
        <v>47</v>
      </c>
      <c r="E22" s="75">
        <f t="shared" ref="E22:J22" si="6">E$13</f>
        <v>2027</v>
      </c>
      <c r="F22" s="75">
        <f t="shared" si="6"/>
        <v>2028</v>
      </c>
      <c r="G22" s="75">
        <f t="shared" si="6"/>
        <v>2029</v>
      </c>
      <c r="H22" s="75">
        <f t="shared" si="6"/>
        <v>2030</v>
      </c>
      <c r="I22" s="75">
        <f t="shared" si="6"/>
        <v>2031</v>
      </c>
      <c r="J22" s="75">
        <f t="shared" si="6"/>
        <v>2032</v>
      </c>
      <c r="K22" s="640"/>
      <c r="L22" s="646"/>
      <c r="M22" s="640"/>
      <c r="N22" s="74" t="s">
        <v>47</v>
      </c>
      <c r="O22" s="75">
        <f t="shared" ref="O22:T22" si="7">O$13</f>
        <v>2027</v>
      </c>
      <c r="P22" s="75">
        <f t="shared" si="7"/>
        <v>2028</v>
      </c>
      <c r="Q22" s="75">
        <f t="shared" si="7"/>
        <v>2029</v>
      </c>
      <c r="R22" s="75">
        <f t="shared" si="7"/>
        <v>2030</v>
      </c>
      <c r="S22" s="75">
        <f t="shared" si="7"/>
        <v>2031</v>
      </c>
      <c r="T22" s="75">
        <f t="shared" si="7"/>
        <v>2032</v>
      </c>
      <c r="U22" s="173" t="str">
        <f>B22</f>
        <v>Cedar Grove Public Schools</v>
      </c>
      <c r="V22" s="174"/>
      <c r="W22" s="637"/>
      <c r="X22" s="28"/>
      <c r="Y22" s="28"/>
      <c r="Z22" s="28"/>
      <c r="AA22" s="28"/>
      <c r="AB22" s="638"/>
    </row>
    <row r="23" spans="1:57" s="517" customFormat="1">
      <c r="A23" s="647"/>
      <c r="B23" s="648"/>
      <c r="C23" s="649"/>
      <c r="D23" s="54" t="str">
        <f>Drivers!$A$25</f>
        <v>K</v>
      </c>
      <c r="E23" s="65"/>
      <c r="F23" s="63"/>
      <c r="G23" s="63"/>
      <c r="H23" s="63"/>
      <c r="I23" s="63"/>
      <c r="J23" s="63"/>
      <c r="K23" s="649"/>
      <c r="L23" s="650"/>
      <c r="M23" s="649"/>
      <c r="N23" s="54" t="str">
        <f>Drivers!$A$25</f>
        <v>K</v>
      </c>
      <c r="O23" s="64">
        <f t="shared" ref="O23:O35" si="8">IFERROR((E23/E$36)*O$16, 0)</f>
        <v>0</v>
      </c>
      <c r="P23" s="64">
        <f t="shared" ref="P23:P35" si="9">(F23/F$36)*P$16</f>
        <v>0</v>
      </c>
      <c r="Q23" s="64">
        <f t="shared" ref="Q23:Q35" si="10">(G23/G$36)*Q$16</f>
        <v>0</v>
      </c>
      <c r="R23" s="64">
        <f t="shared" ref="R23:R35" si="11">(H23/H$36)*R$16</f>
        <v>0</v>
      </c>
      <c r="S23" s="64">
        <f t="shared" ref="S23:S35" si="12">(I23/I$36)*S$16</f>
        <v>0</v>
      </c>
      <c r="T23" s="64">
        <f t="shared" ref="T23:T35" si="13">(J23/J$36)*T$16</f>
        <v>0</v>
      </c>
      <c r="U23" s="649"/>
      <c r="V23" s="651"/>
      <c r="W23" s="651"/>
      <c r="X23" s="648"/>
      <c r="Y23" s="648"/>
      <c r="Z23" s="648"/>
      <c r="AA23" s="648"/>
      <c r="AB23" s="652"/>
    </row>
    <row r="24" spans="1:57" s="517" customFormat="1">
      <c r="A24" s="647"/>
      <c r="B24" s="648"/>
      <c r="C24" s="649"/>
      <c r="D24" s="54">
        <f>Drivers!$A$26</f>
        <v>1</v>
      </c>
      <c r="E24" s="65"/>
      <c r="F24" s="63"/>
      <c r="G24" s="63"/>
      <c r="H24" s="63"/>
      <c r="I24" s="63"/>
      <c r="J24" s="63"/>
      <c r="K24" s="649"/>
      <c r="L24" s="650"/>
      <c r="M24" s="649"/>
      <c r="N24" s="54">
        <f>Drivers!$A$26</f>
        <v>1</v>
      </c>
      <c r="O24" s="64">
        <f t="shared" si="8"/>
        <v>0</v>
      </c>
      <c r="P24" s="64">
        <f t="shared" si="9"/>
        <v>0</v>
      </c>
      <c r="Q24" s="64">
        <f t="shared" si="10"/>
        <v>0</v>
      </c>
      <c r="R24" s="64">
        <f t="shared" si="11"/>
        <v>0</v>
      </c>
      <c r="S24" s="64">
        <f t="shared" si="12"/>
        <v>0</v>
      </c>
      <c r="T24" s="64">
        <f t="shared" si="13"/>
        <v>0</v>
      </c>
      <c r="U24" s="649"/>
      <c r="V24" s="651"/>
      <c r="W24" s="651"/>
      <c r="X24" s="836"/>
      <c r="Y24" s="648"/>
      <c r="Z24" s="648"/>
      <c r="AA24" s="648"/>
      <c r="AB24" s="652"/>
    </row>
    <row r="25" spans="1:57" s="517" customFormat="1">
      <c r="A25" s="647"/>
      <c r="B25" s="653"/>
      <c r="C25" s="649"/>
      <c r="D25" s="54">
        <f>Drivers!$A$27</f>
        <v>2</v>
      </c>
      <c r="E25" s="65"/>
      <c r="F25" s="63"/>
      <c r="G25" s="63"/>
      <c r="H25" s="63"/>
      <c r="I25" s="63"/>
      <c r="J25" s="63"/>
      <c r="K25" s="649"/>
      <c r="L25" s="650"/>
      <c r="M25" s="649"/>
      <c r="N25" s="54">
        <f>Drivers!$A$27</f>
        <v>2</v>
      </c>
      <c r="O25" s="64">
        <f t="shared" si="8"/>
        <v>0</v>
      </c>
      <c r="P25" s="64">
        <f t="shared" si="9"/>
        <v>0</v>
      </c>
      <c r="Q25" s="64">
        <f t="shared" si="10"/>
        <v>0</v>
      </c>
      <c r="R25" s="64">
        <f t="shared" si="11"/>
        <v>0</v>
      </c>
      <c r="S25" s="64">
        <f t="shared" si="12"/>
        <v>0</v>
      </c>
      <c r="T25" s="64">
        <f t="shared" si="13"/>
        <v>0</v>
      </c>
      <c r="U25" s="649"/>
      <c r="V25" s="651"/>
      <c r="W25" s="651"/>
      <c r="X25" s="648"/>
      <c r="Y25" s="648"/>
      <c r="Z25" s="648"/>
      <c r="AA25" s="648"/>
      <c r="AB25" s="652"/>
    </row>
    <row r="26" spans="1:57" s="517" customFormat="1">
      <c r="A26" s="647"/>
      <c r="B26" s="654" t="s">
        <v>1335</v>
      </c>
      <c r="C26" s="649"/>
      <c r="D26" s="54">
        <f>Drivers!$A$28</f>
        <v>3</v>
      </c>
      <c r="E26" s="65"/>
      <c r="F26" s="63"/>
      <c r="G26" s="63"/>
      <c r="H26" s="63"/>
      <c r="I26" s="63"/>
      <c r="J26" s="63"/>
      <c r="K26" s="649"/>
      <c r="L26" s="650"/>
      <c r="M26" s="649"/>
      <c r="N26" s="54">
        <f>Drivers!$A$28</f>
        <v>3</v>
      </c>
      <c r="O26" s="64">
        <f t="shared" si="8"/>
        <v>0</v>
      </c>
      <c r="P26" s="64">
        <f t="shared" si="9"/>
        <v>0</v>
      </c>
      <c r="Q26" s="64">
        <f t="shared" si="10"/>
        <v>0</v>
      </c>
      <c r="R26" s="64">
        <f t="shared" si="11"/>
        <v>0</v>
      </c>
      <c r="S26" s="64">
        <f t="shared" si="12"/>
        <v>0</v>
      </c>
      <c r="T26" s="64">
        <f t="shared" si="13"/>
        <v>0</v>
      </c>
      <c r="U26" s="649"/>
      <c r="V26" s="651"/>
      <c r="W26" s="651"/>
      <c r="X26" s="648"/>
      <c r="Y26" s="648"/>
      <c r="Z26" s="648"/>
      <c r="AA26" s="648"/>
      <c r="AB26" s="652"/>
    </row>
    <row r="27" spans="1:57" s="517" customFormat="1">
      <c r="A27" s="647"/>
      <c r="B27" s="655" t="s">
        <v>1336</v>
      </c>
      <c r="C27" s="649"/>
      <c r="D27" s="54">
        <f>Drivers!$A$29</f>
        <v>4</v>
      </c>
      <c r="E27" s="65"/>
      <c r="F27" s="63"/>
      <c r="G27" s="63"/>
      <c r="H27" s="63"/>
      <c r="I27" s="63"/>
      <c r="J27" s="63"/>
      <c r="K27" s="649"/>
      <c r="L27" s="650"/>
      <c r="M27" s="649"/>
      <c r="N27" s="54">
        <f>Drivers!$A$29</f>
        <v>4</v>
      </c>
      <c r="O27" s="64">
        <f t="shared" si="8"/>
        <v>0</v>
      </c>
      <c r="P27" s="64">
        <f t="shared" si="9"/>
        <v>0</v>
      </c>
      <c r="Q27" s="64">
        <f t="shared" si="10"/>
        <v>0</v>
      </c>
      <c r="R27" s="64">
        <f t="shared" si="11"/>
        <v>0</v>
      </c>
      <c r="S27" s="64">
        <f t="shared" si="12"/>
        <v>0</v>
      </c>
      <c r="T27" s="64">
        <f t="shared" si="13"/>
        <v>0</v>
      </c>
      <c r="U27" s="649"/>
      <c r="V27" s="651"/>
      <c r="W27" s="651"/>
      <c r="X27" s="648"/>
      <c r="Y27" s="648"/>
      <c r="Z27" s="648"/>
      <c r="AA27" s="648"/>
      <c r="AB27" s="652"/>
    </row>
    <row r="28" spans="1:57" s="517" customFormat="1">
      <c r="A28" s="647"/>
      <c r="B28" s="648"/>
      <c r="C28" s="649"/>
      <c r="D28" s="54">
        <f>Drivers!$A$30</f>
        <v>5</v>
      </c>
      <c r="E28" s="65"/>
      <c r="F28" s="63"/>
      <c r="G28" s="63"/>
      <c r="H28" s="63"/>
      <c r="I28" s="63"/>
      <c r="J28" s="63"/>
      <c r="K28" s="649"/>
      <c r="L28" s="650"/>
      <c r="M28" s="649"/>
      <c r="N28" s="54">
        <f>Drivers!$A$30</f>
        <v>5</v>
      </c>
      <c r="O28" s="64">
        <f t="shared" si="8"/>
        <v>0</v>
      </c>
      <c r="P28" s="64">
        <f t="shared" si="9"/>
        <v>0</v>
      </c>
      <c r="Q28" s="64">
        <f t="shared" si="10"/>
        <v>0</v>
      </c>
      <c r="R28" s="64">
        <f t="shared" si="11"/>
        <v>0</v>
      </c>
      <c r="S28" s="64">
        <f t="shared" si="12"/>
        <v>0</v>
      </c>
      <c r="T28" s="64">
        <f t="shared" si="13"/>
        <v>0</v>
      </c>
      <c r="U28" s="649"/>
      <c r="V28" s="651"/>
      <c r="W28" s="651"/>
      <c r="X28" s="648"/>
      <c r="Y28" s="648"/>
      <c r="Z28" s="648"/>
      <c r="AA28" s="648"/>
      <c r="AB28" s="652"/>
    </row>
    <row r="29" spans="1:57" s="517" customFormat="1">
      <c r="A29" s="647"/>
      <c r="B29" s="648"/>
      <c r="C29" s="649"/>
      <c r="D29" s="54">
        <f>Drivers!$A$31</f>
        <v>6</v>
      </c>
      <c r="E29" s="65"/>
      <c r="F29" s="63">
        <v>120</v>
      </c>
      <c r="G29" s="63">
        <v>120</v>
      </c>
      <c r="H29" s="63">
        <v>120</v>
      </c>
      <c r="I29" s="63">
        <v>120</v>
      </c>
      <c r="J29" s="63">
        <v>120</v>
      </c>
      <c r="K29" s="649"/>
      <c r="L29" s="650"/>
      <c r="M29" s="649"/>
      <c r="N29" s="54">
        <f>Drivers!$A$31</f>
        <v>6</v>
      </c>
      <c r="O29" s="64">
        <f t="shared" si="8"/>
        <v>0</v>
      </c>
      <c r="P29" s="64">
        <f t="shared" si="9"/>
        <v>114</v>
      </c>
      <c r="Q29" s="64">
        <f t="shared" si="10"/>
        <v>114</v>
      </c>
      <c r="R29" s="64">
        <f t="shared" si="11"/>
        <v>114</v>
      </c>
      <c r="S29" s="64">
        <f t="shared" si="12"/>
        <v>114</v>
      </c>
      <c r="T29" s="64">
        <f t="shared" si="13"/>
        <v>114</v>
      </c>
      <c r="U29" s="649"/>
      <c r="V29" s="651"/>
      <c r="W29" s="651"/>
      <c r="X29" s="648"/>
      <c r="Y29" s="648"/>
      <c r="Z29" s="648"/>
      <c r="AA29" s="648"/>
      <c r="AB29" s="652"/>
    </row>
    <row r="30" spans="1:57" s="517" customFormat="1">
      <c r="A30" s="647"/>
      <c r="B30" s="648"/>
      <c r="C30" s="649"/>
      <c r="D30" s="54">
        <f>Drivers!$A$32</f>
        <v>7</v>
      </c>
      <c r="E30" s="65"/>
      <c r="F30" s="63"/>
      <c r="G30" s="63">
        <v>120</v>
      </c>
      <c r="H30" s="63">
        <v>120</v>
      </c>
      <c r="I30" s="63">
        <v>120</v>
      </c>
      <c r="J30" s="63">
        <v>120</v>
      </c>
      <c r="K30" s="649"/>
      <c r="L30" s="650"/>
      <c r="M30" s="649"/>
      <c r="N30" s="54">
        <f>Drivers!$A$32</f>
        <v>7</v>
      </c>
      <c r="O30" s="64">
        <f t="shared" si="8"/>
        <v>0</v>
      </c>
      <c r="P30" s="64">
        <f t="shared" si="9"/>
        <v>0</v>
      </c>
      <c r="Q30" s="64">
        <f t="shared" si="10"/>
        <v>114</v>
      </c>
      <c r="R30" s="64">
        <f t="shared" si="11"/>
        <v>114</v>
      </c>
      <c r="S30" s="64">
        <f t="shared" si="12"/>
        <v>114</v>
      </c>
      <c r="T30" s="64">
        <f t="shared" si="13"/>
        <v>114</v>
      </c>
      <c r="U30" s="649"/>
      <c r="V30" s="651"/>
      <c r="W30" s="651"/>
      <c r="X30" s="648"/>
      <c r="Y30" s="648"/>
      <c r="Z30" s="648"/>
      <c r="AA30" s="648"/>
      <c r="AB30" s="652"/>
    </row>
    <row r="31" spans="1:57" s="517" customFormat="1">
      <c r="A31" s="647"/>
      <c r="B31" s="376" t="s">
        <v>1332</v>
      </c>
      <c r="C31" s="649"/>
      <c r="D31" s="54">
        <f>Drivers!$A$33</f>
        <v>8</v>
      </c>
      <c r="E31" s="65"/>
      <c r="F31" s="63"/>
      <c r="G31" s="63"/>
      <c r="H31" s="63">
        <v>120</v>
      </c>
      <c r="I31" s="63">
        <v>120</v>
      </c>
      <c r="J31" s="63">
        <v>120</v>
      </c>
      <c r="K31" s="649"/>
      <c r="L31" s="650"/>
      <c r="M31" s="649"/>
      <c r="N31" s="54">
        <f>Drivers!$A$33</f>
        <v>8</v>
      </c>
      <c r="O31" s="64">
        <f t="shared" si="8"/>
        <v>0</v>
      </c>
      <c r="P31" s="64">
        <f t="shared" si="9"/>
        <v>0</v>
      </c>
      <c r="Q31" s="64">
        <f t="shared" si="10"/>
        <v>0</v>
      </c>
      <c r="R31" s="64">
        <f t="shared" si="11"/>
        <v>114</v>
      </c>
      <c r="S31" s="64">
        <f t="shared" si="12"/>
        <v>114</v>
      </c>
      <c r="T31" s="64">
        <f t="shared" si="13"/>
        <v>114</v>
      </c>
      <c r="U31" s="649"/>
      <c r="V31" s="651"/>
      <c r="W31" s="651"/>
      <c r="X31" s="648"/>
      <c r="Y31" s="648"/>
      <c r="Z31" s="648"/>
      <c r="AA31" s="648"/>
      <c r="AB31" s="652"/>
    </row>
    <row r="32" spans="1:57" s="517" customFormat="1">
      <c r="A32" s="647"/>
      <c r="B32" s="66">
        <v>0.02</v>
      </c>
      <c r="C32" s="649"/>
      <c r="D32" s="54">
        <f>Drivers!$A$34</f>
        <v>9</v>
      </c>
      <c r="E32" s="65"/>
      <c r="F32" s="63">
        <v>120</v>
      </c>
      <c r="G32" s="63">
        <v>120</v>
      </c>
      <c r="H32" s="63">
        <v>120</v>
      </c>
      <c r="I32" s="63">
        <v>120</v>
      </c>
      <c r="J32" s="63">
        <v>120</v>
      </c>
      <c r="K32" s="649"/>
      <c r="L32" s="650"/>
      <c r="M32" s="649"/>
      <c r="N32" s="54">
        <f>Drivers!$A$34</f>
        <v>9</v>
      </c>
      <c r="O32" s="64">
        <f t="shared" si="8"/>
        <v>0</v>
      </c>
      <c r="P32" s="64">
        <f t="shared" si="9"/>
        <v>114</v>
      </c>
      <c r="Q32" s="64">
        <f t="shared" si="10"/>
        <v>114</v>
      </c>
      <c r="R32" s="64">
        <f t="shared" si="11"/>
        <v>114</v>
      </c>
      <c r="S32" s="64">
        <f t="shared" si="12"/>
        <v>114</v>
      </c>
      <c r="T32" s="64">
        <f t="shared" si="13"/>
        <v>114</v>
      </c>
      <c r="U32" s="649"/>
      <c r="V32" s="651"/>
      <c r="W32" s="651"/>
      <c r="X32" s="648"/>
      <c r="Y32" s="648"/>
      <c r="Z32" s="648"/>
      <c r="AA32" s="648"/>
      <c r="AB32" s="652"/>
    </row>
    <row r="33" spans="1:28" s="517" customFormat="1">
      <c r="A33" s="647"/>
      <c r="B33" s="655" t="s">
        <v>1337</v>
      </c>
      <c r="C33" s="649"/>
      <c r="D33" s="54">
        <f>Drivers!$A$35</f>
        <v>10</v>
      </c>
      <c r="E33" s="65"/>
      <c r="F33" s="63"/>
      <c r="G33" s="63">
        <v>120</v>
      </c>
      <c r="H33" s="63">
        <v>120</v>
      </c>
      <c r="I33" s="63">
        <v>120</v>
      </c>
      <c r="J33" s="63">
        <v>120</v>
      </c>
      <c r="K33" s="649"/>
      <c r="L33" s="650"/>
      <c r="M33" s="649"/>
      <c r="N33" s="54">
        <f>Drivers!$A$35</f>
        <v>10</v>
      </c>
      <c r="O33" s="64">
        <f t="shared" si="8"/>
        <v>0</v>
      </c>
      <c r="P33" s="64">
        <f t="shared" si="9"/>
        <v>0</v>
      </c>
      <c r="Q33" s="64">
        <f t="shared" si="10"/>
        <v>114</v>
      </c>
      <c r="R33" s="64">
        <f t="shared" si="11"/>
        <v>114</v>
      </c>
      <c r="S33" s="64">
        <f t="shared" si="12"/>
        <v>114</v>
      </c>
      <c r="T33" s="64">
        <f t="shared" si="13"/>
        <v>114</v>
      </c>
      <c r="U33" s="649"/>
      <c r="V33" s="651"/>
      <c r="W33" s="651"/>
      <c r="X33" s="648"/>
      <c r="Y33" s="648"/>
      <c r="Z33" s="648"/>
      <c r="AA33" s="648"/>
      <c r="AB33" s="652"/>
    </row>
    <row r="34" spans="1:28" s="517" customFormat="1">
      <c r="A34" s="647"/>
      <c r="B34" s="48"/>
      <c r="C34" s="649"/>
      <c r="D34" s="54">
        <f>Drivers!$A$36</f>
        <v>11</v>
      </c>
      <c r="E34" s="65"/>
      <c r="F34" s="63"/>
      <c r="G34" s="63"/>
      <c r="H34" s="63">
        <v>90</v>
      </c>
      <c r="I34" s="63">
        <v>90</v>
      </c>
      <c r="J34" s="63">
        <v>90</v>
      </c>
      <c r="K34" s="649"/>
      <c r="L34" s="650"/>
      <c r="M34" s="649"/>
      <c r="N34" s="54">
        <f>Drivers!$A$36</f>
        <v>11</v>
      </c>
      <c r="O34" s="64">
        <f t="shared" si="8"/>
        <v>0</v>
      </c>
      <c r="P34" s="64">
        <f t="shared" si="9"/>
        <v>0</v>
      </c>
      <c r="Q34" s="64">
        <f t="shared" si="10"/>
        <v>0</v>
      </c>
      <c r="R34" s="64">
        <f t="shared" si="11"/>
        <v>85.5</v>
      </c>
      <c r="S34" s="64">
        <f t="shared" si="12"/>
        <v>85.5</v>
      </c>
      <c r="T34" s="64">
        <f t="shared" si="13"/>
        <v>85.5</v>
      </c>
      <c r="U34" s="649"/>
      <c r="V34" s="651"/>
      <c r="W34" s="651"/>
      <c r="X34" s="648"/>
      <c r="Y34" s="648"/>
      <c r="Z34" s="648"/>
      <c r="AA34" s="648"/>
      <c r="AB34" s="652"/>
    </row>
    <row r="35" spans="1:28" s="517" customFormat="1">
      <c r="A35" s="647"/>
      <c r="B35" s="48"/>
      <c r="C35" s="649"/>
      <c r="D35" s="54">
        <f>Drivers!$A$37</f>
        <v>12</v>
      </c>
      <c r="E35" s="65"/>
      <c r="F35" s="63"/>
      <c r="G35" s="63"/>
      <c r="H35" s="63"/>
      <c r="I35" s="63">
        <v>90</v>
      </c>
      <c r="J35" s="63">
        <v>90</v>
      </c>
      <c r="K35" s="649"/>
      <c r="L35" s="650"/>
      <c r="M35" s="649"/>
      <c r="N35" s="54">
        <f>Drivers!$A$37</f>
        <v>12</v>
      </c>
      <c r="O35" s="64">
        <f t="shared" si="8"/>
        <v>0</v>
      </c>
      <c r="P35" s="64">
        <f t="shared" si="9"/>
        <v>0</v>
      </c>
      <c r="Q35" s="64">
        <f t="shared" si="10"/>
        <v>0</v>
      </c>
      <c r="R35" s="64">
        <f t="shared" si="11"/>
        <v>0</v>
      </c>
      <c r="S35" s="64">
        <f t="shared" si="12"/>
        <v>85.5</v>
      </c>
      <c r="T35" s="64">
        <f t="shared" si="13"/>
        <v>85.5</v>
      </c>
      <c r="U35" s="649"/>
      <c r="V35" s="651"/>
      <c r="W35" s="651"/>
      <c r="X35" s="648"/>
      <c r="Y35" s="648"/>
      <c r="Z35" s="648"/>
      <c r="AA35" s="648"/>
      <c r="AB35" s="652"/>
    </row>
    <row r="36" spans="1:28" s="518" customFormat="1">
      <c r="A36" s="656"/>
      <c r="B36" s="48"/>
      <c r="C36" s="657"/>
      <c r="D36" s="55" t="s">
        <v>23</v>
      </c>
      <c r="E36" s="56">
        <f t="shared" ref="E36:J36" si="14">SUM(E23:E35)</f>
        <v>0</v>
      </c>
      <c r="F36" s="56">
        <f t="shared" si="14"/>
        <v>240</v>
      </c>
      <c r="G36" s="56">
        <f t="shared" si="14"/>
        <v>480</v>
      </c>
      <c r="H36" s="56">
        <f t="shared" si="14"/>
        <v>690</v>
      </c>
      <c r="I36" s="56">
        <f t="shared" si="14"/>
        <v>780</v>
      </c>
      <c r="J36" s="56">
        <f t="shared" si="14"/>
        <v>780</v>
      </c>
      <c r="K36" s="657"/>
      <c r="L36" s="658"/>
      <c r="M36" s="657"/>
      <c r="N36" s="55" t="s">
        <v>23</v>
      </c>
      <c r="O36" s="56">
        <f t="shared" ref="O36:T36" si="15">SUM(O23:O35)</f>
        <v>0</v>
      </c>
      <c r="P36" s="56">
        <f t="shared" si="15"/>
        <v>228</v>
      </c>
      <c r="Q36" s="56">
        <f t="shared" si="15"/>
        <v>456</v>
      </c>
      <c r="R36" s="56">
        <f t="shared" si="15"/>
        <v>655.5</v>
      </c>
      <c r="S36" s="56">
        <f t="shared" si="15"/>
        <v>741</v>
      </c>
      <c r="T36" s="56">
        <f t="shared" si="15"/>
        <v>741</v>
      </c>
      <c r="U36" s="657"/>
      <c r="V36" s="659"/>
      <c r="W36" s="659"/>
      <c r="X36" s="660"/>
      <c r="Y36" s="660"/>
      <c r="Z36" s="660"/>
      <c r="AA36" s="660"/>
      <c r="AB36" s="661"/>
    </row>
    <row r="37" spans="1:28">
      <c r="A37" s="626"/>
      <c r="B37" s="48"/>
      <c r="C37" s="48"/>
      <c r="D37" s="48"/>
      <c r="E37" s="48"/>
      <c r="F37" s="48"/>
      <c r="G37" s="48"/>
      <c r="H37" s="48"/>
      <c r="I37" s="48"/>
      <c r="J37" s="48"/>
      <c r="K37" s="48"/>
      <c r="L37" s="624"/>
      <c r="M37" s="48"/>
      <c r="N37" s="48"/>
      <c r="O37" s="48"/>
      <c r="P37" s="48"/>
      <c r="Q37" s="48"/>
      <c r="R37" s="48"/>
      <c r="S37" s="48"/>
      <c r="T37" s="48"/>
      <c r="U37" s="48"/>
      <c r="V37" s="48"/>
      <c r="W37" s="48"/>
      <c r="X37"/>
      <c r="Y37"/>
      <c r="Z37"/>
      <c r="AA37"/>
      <c r="AB37" s="464"/>
    </row>
    <row r="38" spans="1:28">
      <c r="A38" s="626"/>
      <c r="B38" s="48"/>
      <c r="C38" s="48"/>
      <c r="D38" s="74" t="s">
        <v>79</v>
      </c>
      <c r="E38" s="75"/>
      <c r="F38" s="75"/>
      <c r="G38" s="75"/>
      <c r="H38" s="75"/>
      <c r="I38" s="75"/>
      <c r="J38" s="75"/>
      <c r="K38" s="48"/>
      <c r="L38" s="624"/>
      <c r="M38" s="48"/>
      <c r="N38" s="74" t="s">
        <v>79</v>
      </c>
      <c r="O38" s="75"/>
      <c r="P38" s="75"/>
      <c r="Q38" s="75"/>
      <c r="R38" s="75"/>
      <c r="S38" s="75"/>
      <c r="T38" s="75"/>
      <c r="U38" s="173" t="str">
        <f>B22</f>
        <v>Cedar Grove Public Schools</v>
      </c>
      <c r="V38" s="174"/>
      <c r="W38" s="48"/>
      <c r="X38"/>
      <c r="Y38"/>
      <c r="Z38"/>
      <c r="AA38"/>
      <c r="AB38" s="464"/>
    </row>
    <row r="39" spans="1:28">
      <c r="A39" s="626"/>
      <c r="B39" s="48"/>
      <c r="C39" s="48"/>
      <c r="D39" s="54" t="s">
        <v>81</v>
      </c>
      <c r="E39" s="65">
        <f>MIN(E40,E41)*E36</f>
        <v>0</v>
      </c>
      <c r="F39" s="65">
        <f t="shared" ref="F39:J39" si="16">MIN(F40,F41)*F36</f>
        <v>38.4</v>
      </c>
      <c r="G39" s="65">
        <f t="shared" si="16"/>
        <v>76.8</v>
      </c>
      <c r="H39" s="65">
        <f t="shared" si="16"/>
        <v>110.4</v>
      </c>
      <c r="I39" s="65">
        <f t="shared" si="16"/>
        <v>124.8</v>
      </c>
      <c r="J39" s="65">
        <f t="shared" si="16"/>
        <v>124.8</v>
      </c>
      <c r="K39" s="48"/>
      <c r="L39" s="624"/>
      <c r="M39" s="48"/>
      <c r="N39" s="54" t="s">
        <v>80</v>
      </c>
      <c r="O39" s="65">
        <f>MIN(O40,O41)*O36</f>
        <v>0</v>
      </c>
      <c r="P39" s="65">
        <f t="shared" ref="P39" si="17">MIN(P40,P41)*P36</f>
        <v>36.480000000000004</v>
      </c>
      <c r="Q39" s="65">
        <f t="shared" ref="Q39" si="18">MIN(Q40,Q41)*Q36</f>
        <v>72.960000000000008</v>
      </c>
      <c r="R39" s="65">
        <f t="shared" ref="R39" si="19">MIN(R40,R41)*R36</f>
        <v>104.88</v>
      </c>
      <c r="S39" s="65">
        <f t="shared" ref="S39" si="20">MIN(S40,S41)*S36</f>
        <v>118.56</v>
      </c>
      <c r="T39" s="65">
        <f t="shared" ref="T39" si="21">MIN(T40,T41)*T36</f>
        <v>118.56</v>
      </c>
      <c r="U39" s="48"/>
      <c r="V39" s="48"/>
      <c r="W39" s="48"/>
      <c r="X39"/>
      <c r="Y39"/>
      <c r="Z39"/>
      <c r="AA39"/>
      <c r="AB39" s="464"/>
    </row>
    <row r="40" spans="1:28">
      <c r="A40" s="626"/>
      <c r="B40" s="48"/>
      <c r="C40" s="48"/>
      <c r="D40" s="54" t="s">
        <v>82</v>
      </c>
      <c r="E40" s="66">
        <v>0.16</v>
      </c>
      <c r="F40" s="66">
        <v>0.16</v>
      </c>
      <c r="G40" s="66">
        <v>0.16</v>
      </c>
      <c r="H40" s="66">
        <v>0.16</v>
      </c>
      <c r="I40" s="66">
        <v>0.16</v>
      </c>
      <c r="J40" s="66">
        <v>0.16</v>
      </c>
      <c r="K40" s="48"/>
      <c r="L40" s="624"/>
      <c r="M40" s="48"/>
      <c r="N40" s="54" t="s">
        <v>82</v>
      </c>
      <c r="O40" s="67">
        <f>E40</f>
        <v>0.16</v>
      </c>
      <c r="P40" s="67">
        <f t="shared" ref="P40:T41" si="22">F40</f>
        <v>0.16</v>
      </c>
      <c r="Q40" s="67">
        <f t="shared" si="22"/>
        <v>0.16</v>
      </c>
      <c r="R40" s="67">
        <f t="shared" si="22"/>
        <v>0.16</v>
      </c>
      <c r="S40" s="67">
        <f t="shared" si="22"/>
        <v>0.16</v>
      </c>
      <c r="T40" s="67">
        <f t="shared" si="22"/>
        <v>0.16</v>
      </c>
      <c r="U40" s="48"/>
      <c r="V40" s="48"/>
      <c r="W40" s="48"/>
      <c r="X40"/>
      <c r="Y40"/>
      <c r="Z40"/>
      <c r="AA40"/>
      <c r="AB40" s="464"/>
    </row>
    <row r="41" spans="1:28">
      <c r="A41" s="626"/>
      <c r="B41" s="48"/>
      <c r="C41" s="48"/>
      <c r="D41" s="54" t="s">
        <v>81</v>
      </c>
      <c r="E41" s="66">
        <v>0.16</v>
      </c>
      <c r="F41" s="66">
        <v>0.16</v>
      </c>
      <c r="G41" s="66">
        <v>0.16</v>
      </c>
      <c r="H41" s="66">
        <v>0.16</v>
      </c>
      <c r="I41" s="66">
        <v>0.16</v>
      </c>
      <c r="J41" s="66">
        <v>0.16</v>
      </c>
      <c r="K41" s="48"/>
      <c r="L41" s="624"/>
      <c r="M41" s="48"/>
      <c r="N41" s="54" t="s">
        <v>81</v>
      </c>
      <c r="O41" s="67">
        <f>E41</f>
        <v>0.16</v>
      </c>
      <c r="P41" s="67">
        <f t="shared" si="22"/>
        <v>0.16</v>
      </c>
      <c r="Q41" s="67">
        <f t="shared" si="22"/>
        <v>0.16</v>
      </c>
      <c r="R41" s="67">
        <f t="shared" si="22"/>
        <v>0.16</v>
      </c>
      <c r="S41" s="67">
        <f t="shared" si="22"/>
        <v>0.16</v>
      </c>
      <c r="T41" s="67">
        <f t="shared" si="22"/>
        <v>0.16</v>
      </c>
      <c r="U41" s="48"/>
      <c r="V41" s="48"/>
      <c r="W41" s="48"/>
      <c r="X41"/>
      <c r="Y41"/>
      <c r="Z41"/>
      <c r="AA41"/>
      <c r="AB41" s="464"/>
    </row>
    <row r="42" spans="1:28">
      <c r="A42" s="626"/>
      <c r="B42" s="48" t="s">
        <v>54</v>
      </c>
      <c r="C42" s="48"/>
      <c r="D42" s="54" t="s">
        <v>83</v>
      </c>
      <c r="E42" s="65">
        <f>E43*E36</f>
        <v>0</v>
      </c>
      <c r="F42" s="65">
        <f t="shared" ref="F42:J42" si="23">F43*F36</f>
        <v>144</v>
      </c>
      <c r="G42" s="65">
        <f t="shared" si="23"/>
        <v>288</v>
      </c>
      <c r="H42" s="65">
        <f t="shared" si="23"/>
        <v>414</v>
      </c>
      <c r="I42" s="65">
        <f t="shared" si="23"/>
        <v>468</v>
      </c>
      <c r="J42" s="65">
        <f t="shared" si="23"/>
        <v>468</v>
      </c>
      <c r="K42" s="48"/>
      <c r="L42" s="624"/>
      <c r="M42" s="48"/>
      <c r="N42" s="54" t="s">
        <v>83</v>
      </c>
      <c r="O42" s="65">
        <f>O41*O36</f>
        <v>0</v>
      </c>
      <c r="P42" s="65">
        <f>P41*P36</f>
        <v>36.480000000000004</v>
      </c>
      <c r="Q42" s="65">
        <f>Q41*Q36</f>
        <v>72.960000000000008</v>
      </c>
      <c r="R42" s="65">
        <f t="shared" ref="R42" si="24">R41*R36</f>
        <v>104.88</v>
      </c>
      <c r="S42" s="65">
        <f t="shared" ref="S42" si="25">S41*S36</f>
        <v>118.56</v>
      </c>
      <c r="T42" s="65">
        <f t="shared" ref="T42" si="26">T41*T36</f>
        <v>118.56</v>
      </c>
      <c r="U42" s="48"/>
      <c r="V42" s="48"/>
      <c r="W42" s="48"/>
      <c r="X42"/>
      <c r="Y42"/>
      <c r="Z42"/>
      <c r="AA42"/>
      <c r="AB42" s="464"/>
    </row>
    <row r="43" spans="1:28">
      <c r="A43" s="626"/>
      <c r="B43" s="48"/>
      <c r="C43" s="48"/>
      <c r="D43" s="54" t="s">
        <v>84</v>
      </c>
      <c r="E43" s="66">
        <v>0.6</v>
      </c>
      <c r="F43" s="66">
        <v>0.6</v>
      </c>
      <c r="G43" s="66">
        <v>0.6</v>
      </c>
      <c r="H43" s="66">
        <v>0.6</v>
      </c>
      <c r="I43" s="66">
        <v>0.6</v>
      </c>
      <c r="J43" s="66">
        <v>0.6</v>
      </c>
      <c r="K43" s="48"/>
      <c r="L43" s="624"/>
      <c r="M43" s="48"/>
      <c r="N43" s="54" t="s">
        <v>84</v>
      </c>
      <c r="O43" s="67">
        <f>E43</f>
        <v>0.6</v>
      </c>
      <c r="P43" s="67">
        <f t="shared" ref="P43:T43" si="27">F43</f>
        <v>0.6</v>
      </c>
      <c r="Q43" s="67">
        <f t="shared" si="27"/>
        <v>0.6</v>
      </c>
      <c r="R43" s="67">
        <f t="shared" si="27"/>
        <v>0.6</v>
      </c>
      <c r="S43" s="67">
        <f t="shared" si="27"/>
        <v>0.6</v>
      </c>
      <c r="T43" s="67">
        <f t="shared" si="27"/>
        <v>0.6</v>
      </c>
      <c r="U43" s="48"/>
      <c r="V43" s="48"/>
      <c r="W43" s="48"/>
      <c r="X43"/>
      <c r="Y43"/>
      <c r="Z43"/>
      <c r="AA43"/>
      <c r="AB43" s="464"/>
    </row>
    <row r="44" spans="1:28">
      <c r="A44" s="626"/>
      <c r="B44" s="48"/>
      <c r="C44" s="48"/>
      <c r="D44" s="54" t="s">
        <v>85</v>
      </c>
      <c r="E44" s="65">
        <f>E45*E36</f>
        <v>0</v>
      </c>
      <c r="F44" s="65">
        <f t="shared" ref="F44:J44" si="28">F45*F36</f>
        <v>31.200000000000003</v>
      </c>
      <c r="G44" s="65">
        <f t="shared" si="28"/>
        <v>62.400000000000006</v>
      </c>
      <c r="H44" s="65">
        <f t="shared" si="28"/>
        <v>89.7</v>
      </c>
      <c r="I44" s="65">
        <f t="shared" si="28"/>
        <v>101.4</v>
      </c>
      <c r="J44" s="65">
        <f t="shared" si="28"/>
        <v>101.4</v>
      </c>
      <c r="K44" s="48"/>
      <c r="L44" s="624"/>
      <c r="M44" s="48"/>
      <c r="N44" s="54" t="s">
        <v>85</v>
      </c>
      <c r="O44" s="65">
        <f>O43*O38</f>
        <v>0</v>
      </c>
      <c r="P44" s="65">
        <f t="shared" ref="P44" si="29">P43*P38</f>
        <v>0</v>
      </c>
      <c r="Q44" s="65">
        <f t="shared" ref="Q44" si="30">Q43*Q38</f>
        <v>0</v>
      </c>
      <c r="R44" s="65">
        <f t="shared" ref="R44" si="31">R43*R38</f>
        <v>0</v>
      </c>
      <c r="S44" s="65">
        <f>S43*S38</f>
        <v>0</v>
      </c>
      <c r="T44" s="65">
        <f t="shared" ref="T44" si="32">T43*T38</f>
        <v>0</v>
      </c>
      <c r="U44" s="48"/>
      <c r="V44" s="48"/>
      <c r="W44" s="48"/>
      <c r="X44"/>
      <c r="Y44"/>
      <c r="Z44"/>
      <c r="AA44"/>
      <c r="AB44" s="464"/>
    </row>
    <row r="45" spans="1:28">
      <c r="A45" s="626"/>
      <c r="B45" s="48"/>
      <c r="C45" s="48"/>
      <c r="D45" s="54" t="s">
        <v>86</v>
      </c>
      <c r="E45" s="66">
        <v>0.13</v>
      </c>
      <c r="F45" s="66">
        <v>0.13</v>
      </c>
      <c r="G45" s="66">
        <v>0.13</v>
      </c>
      <c r="H45" s="66">
        <v>0.13</v>
      </c>
      <c r="I45" s="66">
        <v>0.13</v>
      </c>
      <c r="J45" s="66">
        <v>0.13</v>
      </c>
      <c r="K45" s="48"/>
      <c r="L45" s="624"/>
      <c r="M45" s="48"/>
      <c r="N45" s="54" t="s">
        <v>86</v>
      </c>
      <c r="O45" s="67">
        <f>E45</f>
        <v>0.13</v>
      </c>
      <c r="P45" s="67">
        <f t="shared" ref="P45:T45" si="33">F45</f>
        <v>0.13</v>
      </c>
      <c r="Q45" s="67">
        <f t="shared" si="33"/>
        <v>0.13</v>
      </c>
      <c r="R45" s="67">
        <f t="shared" si="33"/>
        <v>0.13</v>
      </c>
      <c r="S45" s="67">
        <f t="shared" si="33"/>
        <v>0.13</v>
      </c>
      <c r="T45" s="67">
        <f t="shared" si="33"/>
        <v>0.13</v>
      </c>
      <c r="U45" s="48"/>
      <c r="V45" s="48"/>
      <c r="W45" s="48"/>
      <c r="X45"/>
      <c r="Y45"/>
      <c r="Z45"/>
      <c r="AA45"/>
      <c r="AB45" s="464"/>
    </row>
    <row r="46" spans="1:28">
      <c r="A46" s="626"/>
      <c r="B46" s="48"/>
      <c r="C46" s="48"/>
      <c r="D46" s="54" t="s">
        <v>251</v>
      </c>
      <c r="E46" s="65">
        <f t="shared" ref="E46:J46" si="34">SUM(E23:E28)</f>
        <v>0</v>
      </c>
      <c r="F46" s="65">
        <f t="shared" si="34"/>
        <v>0</v>
      </c>
      <c r="G46" s="65">
        <f t="shared" si="34"/>
        <v>0</v>
      </c>
      <c r="H46" s="65">
        <f t="shared" si="34"/>
        <v>0</v>
      </c>
      <c r="I46" s="65">
        <f t="shared" si="34"/>
        <v>0</v>
      </c>
      <c r="J46" s="65">
        <f t="shared" si="34"/>
        <v>0</v>
      </c>
      <c r="K46" s="48"/>
      <c r="L46" s="624"/>
      <c r="M46" s="48"/>
      <c r="N46" s="54" t="s">
        <v>251</v>
      </c>
      <c r="O46" s="65">
        <f t="shared" ref="O46:T46" si="35">SUM(O23:O28)</f>
        <v>0</v>
      </c>
      <c r="P46" s="65">
        <f t="shared" si="35"/>
        <v>0</v>
      </c>
      <c r="Q46" s="65">
        <f t="shared" si="35"/>
        <v>0</v>
      </c>
      <c r="R46" s="65">
        <f t="shared" si="35"/>
        <v>0</v>
      </c>
      <c r="S46" s="65">
        <f t="shared" si="35"/>
        <v>0</v>
      </c>
      <c r="T46" s="65">
        <f t="shared" si="35"/>
        <v>0</v>
      </c>
      <c r="U46" s="48"/>
      <c r="V46" s="48"/>
      <c r="W46" s="48"/>
      <c r="X46"/>
      <c r="Y46"/>
      <c r="Z46"/>
      <c r="AA46"/>
      <c r="AB46" s="464"/>
    </row>
    <row r="47" spans="1:28">
      <c r="A47" s="626"/>
      <c r="B47" s="48"/>
      <c r="C47" s="48"/>
      <c r="D47" s="54" t="s">
        <v>252</v>
      </c>
      <c r="E47" s="65">
        <f>SUM(E29:E31)</f>
        <v>0</v>
      </c>
      <c r="F47" s="65">
        <f t="shared" ref="F47:J47" si="36">SUM(F29:F31)</f>
        <v>120</v>
      </c>
      <c r="G47" s="65">
        <f t="shared" si="36"/>
        <v>240</v>
      </c>
      <c r="H47" s="65">
        <f t="shared" si="36"/>
        <v>360</v>
      </c>
      <c r="I47" s="65">
        <f t="shared" si="36"/>
        <v>360</v>
      </c>
      <c r="J47" s="65">
        <f t="shared" si="36"/>
        <v>360</v>
      </c>
      <c r="K47" s="48"/>
      <c r="L47" s="624"/>
      <c r="M47" s="48"/>
      <c r="N47" s="54" t="s">
        <v>252</v>
      </c>
      <c r="O47" s="65">
        <f>SUM(O29:O31)</f>
        <v>0</v>
      </c>
      <c r="P47" s="65">
        <f t="shared" ref="P47:T47" si="37">SUM(P29:P31)</f>
        <v>114</v>
      </c>
      <c r="Q47" s="65">
        <f t="shared" si="37"/>
        <v>228</v>
      </c>
      <c r="R47" s="65">
        <f t="shared" si="37"/>
        <v>342</v>
      </c>
      <c r="S47" s="65">
        <f t="shared" si="37"/>
        <v>342</v>
      </c>
      <c r="T47" s="65">
        <f t="shared" si="37"/>
        <v>342</v>
      </c>
      <c r="U47" s="48"/>
      <c r="V47" s="48"/>
      <c r="W47" s="48"/>
      <c r="X47"/>
      <c r="Y47"/>
      <c r="Z47"/>
      <c r="AA47"/>
      <c r="AB47" s="464"/>
    </row>
    <row r="48" spans="1:28">
      <c r="A48" s="626"/>
      <c r="B48" s="48"/>
      <c r="C48" s="48"/>
      <c r="D48" s="54" t="s">
        <v>253</v>
      </c>
      <c r="E48" s="65">
        <f>SUM(E32:E35)</f>
        <v>0</v>
      </c>
      <c r="F48" s="65">
        <f t="shared" ref="F48:J48" si="38">SUM(F32:F35)</f>
        <v>120</v>
      </c>
      <c r="G48" s="65">
        <f t="shared" si="38"/>
        <v>240</v>
      </c>
      <c r="H48" s="65">
        <f t="shared" si="38"/>
        <v>330</v>
      </c>
      <c r="I48" s="65">
        <f t="shared" si="38"/>
        <v>420</v>
      </c>
      <c r="J48" s="65">
        <f t="shared" si="38"/>
        <v>420</v>
      </c>
      <c r="K48" s="48"/>
      <c r="L48" s="624"/>
      <c r="M48" s="48"/>
      <c r="N48" s="54" t="s">
        <v>253</v>
      </c>
      <c r="O48" s="65">
        <f>SUM(O32:O35)</f>
        <v>0</v>
      </c>
      <c r="P48" s="65">
        <f t="shared" ref="P48:T48" si="39">SUM(P32:P35)</f>
        <v>114</v>
      </c>
      <c r="Q48" s="65">
        <f t="shared" si="39"/>
        <v>228</v>
      </c>
      <c r="R48" s="65">
        <f t="shared" si="39"/>
        <v>313.5</v>
      </c>
      <c r="S48" s="65">
        <f t="shared" si="39"/>
        <v>399</v>
      </c>
      <c r="T48" s="65">
        <f t="shared" si="39"/>
        <v>399</v>
      </c>
      <c r="U48" s="48"/>
      <c r="V48" s="48"/>
      <c r="W48" s="48"/>
      <c r="X48"/>
      <c r="Y48"/>
      <c r="Z48"/>
      <c r="AA48"/>
      <c r="AB48" s="464"/>
    </row>
    <row r="49" spans="1:28">
      <c r="A49" s="662"/>
      <c r="B49" s="663"/>
      <c r="C49" s="663"/>
      <c r="D49" s="663"/>
      <c r="E49" s="663"/>
      <c r="F49" s="663"/>
      <c r="G49" s="663"/>
      <c r="H49" s="663"/>
      <c r="I49" s="663"/>
      <c r="J49" s="663"/>
      <c r="K49" s="663"/>
      <c r="L49" s="664"/>
      <c r="M49" s="663"/>
      <c r="N49" s="663"/>
      <c r="O49" s="663"/>
      <c r="P49" s="663"/>
      <c r="Q49" s="663"/>
      <c r="R49" s="663"/>
      <c r="S49" s="663"/>
      <c r="T49" s="663"/>
      <c r="U49" s="663"/>
      <c r="V49" s="663"/>
      <c r="W49" s="663"/>
      <c r="X49" s="597"/>
      <c r="Y49" s="597"/>
      <c r="Z49" s="597"/>
      <c r="AA49" s="597"/>
      <c r="AB49" s="598"/>
    </row>
  </sheetData>
  <mergeCells count="3">
    <mergeCell ref="E10:J11"/>
    <mergeCell ref="O10:T11"/>
    <mergeCell ref="A6:J8"/>
  </mergeCells>
  <hyperlinks>
    <hyperlink ref="B26" r:id="rId1" xr:uid="{93D74C97-66C8-484E-B9C8-648CBBEC319C}"/>
  </hyperlinks>
  <pageMargins left="0.7" right="0.7" top="0.75" bottom="0.75" header="0.3" footer="0.3"/>
  <pageSetup orientation="portrait" r:id="rId2"/>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2504-D43B-4123-92EE-43A56DAA21F1}">
  <sheetPr codeName="Sheet4">
    <tabColor theme="7" tint="0.59999389629810485"/>
  </sheetPr>
  <dimension ref="A1:X122"/>
  <sheetViews>
    <sheetView showGridLines="0" topLeftCell="D61" zoomScale="140" zoomScaleNormal="140" workbookViewId="0">
      <selection activeCell="D82" sqref="D82"/>
    </sheetView>
  </sheetViews>
  <sheetFormatPr baseColWidth="10" defaultColWidth="8.6640625" defaultRowHeight="15" outlineLevelRow="1"/>
  <cols>
    <col min="1" max="1" width="7.6640625" style="513" customWidth="1"/>
    <col min="2" max="2" width="29.33203125" style="513" customWidth="1"/>
    <col min="3" max="3" width="7.6640625" style="521" customWidth="1"/>
    <col min="4" max="4" width="49.6640625" style="513" customWidth="1"/>
    <col min="5" max="10" width="10.6640625" style="513" customWidth="1"/>
    <col min="11" max="11" width="7.6640625" style="513" customWidth="1"/>
    <col min="12" max="12" width="44.6640625" style="513" customWidth="1"/>
    <col min="13" max="13" width="14.83203125" style="513" customWidth="1"/>
    <col min="14" max="14" width="13.6640625" style="513" customWidth="1"/>
    <col min="15" max="24" width="13.83203125" style="513" customWidth="1"/>
    <col min="25" max="16384" width="8.6640625" style="513"/>
  </cols>
  <sheetData>
    <row r="1" spans="1:24" ht="26">
      <c r="A1" s="45" t="s">
        <v>181</v>
      </c>
      <c r="B1" s="46"/>
      <c r="C1" s="46"/>
      <c r="D1" s="46"/>
      <c r="E1" s="46"/>
      <c r="F1" s="46"/>
      <c r="G1" s="46"/>
      <c r="H1" s="46"/>
      <c r="I1" s="46"/>
      <c r="J1" s="46"/>
      <c r="K1" s="46"/>
      <c r="L1" s="46"/>
      <c r="M1" s="46"/>
      <c r="N1" s="46"/>
      <c r="O1" s="46"/>
      <c r="P1" s="46"/>
      <c r="Q1" s="46"/>
      <c r="R1" s="46"/>
      <c r="S1" s="46"/>
      <c r="T1" s="46"/>
      <c r="U1" s="46"/>
      <c r="V1" s="46"/>
      <c r="W1" s="46"/>
      <c r="X1" s="86"/>
    </row>
    <row r="2" spans="1:24">
      <c r="A2" s="183"/>
      <c r="B2"/>
      <c r="C2" s="21"/>
      <c r="D2"/>
      <c r="E2"/>
      <c r="F2"/>
      <c r="G2"/>
      <c r="H2"/>
      <c r="I2"/>
      <c r="J2"/>
      <c r="K2"/>
      <c r="L2"/>
      <c r="M2"/>
      <c r="N2"/>
      <c r="O2"/>
      <c r="P2"/>
      <c r="Q2"/>
      <c r="R2"/>
      <c r="S2"/>
      <c r="T2"/>
      <c r="U2"/>
      <c r="V2"/>
      <c r="W2"/>
      <c r="X2" s="464"/>
    </row>
    <row r="3" spans="1:24" s="520" customFormat="1" ht="26">
      <c r="A3" s="87" t="s">
        <v>182</v>
      </c>
      <c r="B3" s="88"/>
      <c r="C3" s="88"/>
      <c r="D3" s="88"/>
      <c r="E3" s="89"/>
      <c r="F3" s="88"/>
      <c r="G3" s="88"/>
      <c r="H3" s="89"/>
      <c r="I3" s="88"/>
      <c r="J3" s="89"/>
      <c r="K3" s="88"/>
      <c r="L3" s="87" t="s">
        <v>1333</v>
      </c>
      <c r="M3" s="88"/>
      <c r="N3" s="88"/>
      <c r="O3" s="88"/>
      <c r="P3" s="88"/>
      <c r="Q3" s="88"/>
      <c r="R3" s="88"/>
      <c r="S3" s="88"/>
      <c r="T3" s="88"/>
      <c r="U3" s="88"/>
      <c r="V3" s="88"/>
      <c r="W3" s="88"/>
      <c r="X3" s="90"/>
    </row>
    <row r="4" spans="1:24">
      <c r="A4" s="183"/>
      <c r="B4"/>
      <c r="C4" s="21"/>
      <c r="D4"/>
      <c r="E4"/>
      <c r="F4"/>
      <c r="G4"/>
      <c r="H4"/>
      <c r="I4"/>
      <c r="J4"/>
      <c r="K4"/>
      <c r="L4" s="182"/>
      <c r="M4"/>
      <c r="N4"/>
      <c r="O4"/>
      <c r="P4"/>
      <c r="Q4"/>
      <c r="R4"/>
      <c r="S4"/>
      <c r="T4"/>
      <c r="U4"/>
      <c r="V4"/>
      <c r="W4"/>
      <c r="X4" s="464"/>
    </row>
    <row r="5" spans="1:24" outlineLevel="1">
      <c r="A5" s="183"/>
      <c r="B5"/>
      <c r="C5" s="21"/>
      <c r="D5" s="150" t="s">
        <v>180</v>
      </c>
      <c r="E5" s="163">
        <f>INPUTS!D1</f>
        <v>2027</v>
      </c>
      <c r="F5" s="151">
        <f>INPUTS!E1</f>
        <v>2028</v>
      </c>
      <c r="G5" s="151">
        <f>INPUTS!F1</f>
        <v>2029</v>
      </c>
      <c r="H5" s="151">
        <f>INPUTS!G1</f>
        <v>2030</v>
      </c>
      <c r="I5" s="151">
        <f>INPUTS!H1</f>
        <v>2031</v>
      </c>
      <c r="J5" s="151">
        <f>INPUTS!I1</f>
        <v>2032</v>
      </c>
      <c r="K5"/>
      <c r="L5" s="189" t="s">
        <v>215</v>
      </c>
      <c r="M5"/>
      <c r="N5"/>
      <c r="O5" s="525" t="s">
        <v>1331</v>
      </c>
      <c r="P5" s="525"/>
      <c r="Q5" s="525"/>
      <c r="R5" s="525"/>
      <c r="S5" s="525"/>
      <c r="T5" s="525"/>
      <c r="U5" s="525"/>
      <c r="V5" s="525"/>
      <c r="W5" s="525"/>
      <c r="X5" s="464"/>
    </row>
    <row r="6" spans="1:24" ht="15" customHeight="1" outlineLevel="1">
      <c r="A6" s="183"/>
      <c r="B6"/>
      <c r="C6" s="779"/>
      <c r="D6" s="152" t="str">
        <f>ENROLLMENT!D23</f>
        <v>K</v>
      </c>
      <c r="E6" s="10">
        <f>ENROLLMENT!E23</f>
        <v>0</v>
      </c>
      <c r="F6" s="10">
        <f>ENROLLMENT!F23</f>
        <v>0</v>
      </c>
      <c r="G6" s="10">
        <f>ENROLLMENT!G23</f>
        <v>0</v>
      </c>
      <c r="H6" s="10">
        <f>ENROLLMENT!H23</f>
        <v>0</v>
      </c>
      <c r="I6" s="10">
        <f>ENROLLMENT!I23</f>
        <v>0</v>
      </c>
      <c r="J6" s="10">
        <f>ENROLLMENT!J23</f>
        <v>0</v>
      </c>
      <c r="K6"/>
      <c r="L6" s="191" t="s">
        <v>214</v>
      </c>
      <c r="M6"/>
      <c r="N6"/>
      <c r="O6" s="882" t="s">
        <v>1547</v>
      </c>
      <c r="P6" s="883"/>
      <c r="Q6" s="883"/>
      <c r="R6" s="883"/>
      <c r="S6" s="883"/>
      <c r="T6" s="883"/>
      <c r="U6" s="883"/>
      <c r="V6" s="883"/>
      <c r="W6" s="884"/>
      <c r="X6" s="464"/>
    </row>
    <row r="7" spans="1:24" outlineLevel="1">
      <c r="A7" s="183"/>
      <c r="B7"/>
      <c r="C7" s="779"/>
      <c r="D7" s="152">
        <f>ENROLLMENT!D24</f>
        <v>1</v>
      </c>
      <c r="E7" s="10">
        <f>ENROLLMENT!E24</f>
        <v>0</v>
      </c>
      <c r="F7" s="10">
        <f>ENROLLMENT!F24</f>
        <v>0</v>
      </c>
      <c r="G7" s="10">
        <f>ENROLLMENT!G24</f>
        <v>0</v>
      </c>
      <c r="H7" s="10">
        <f>ENROLLMENT!H24</f>
        <v>0</v>
      </c>
      <c r="I7" s="10">
        <f>ENROLLMENT!I24</f>
        <v>0</v>
      </c>
      <c r="J7" s="10">
        <f>ENROLLMENT!J24</f>
        <v>0</v>
      </c>
      <c r="K7"/>
      <c r="L7" s="189" t="s">
        <v>216</v>
      </c>
      <c r="M7"/>
      <c r="N7"/>
      <c r="O7" s="885"/>
      <c r="P7" s="886"/>
      <c r="Q7" s="886"/>
      <c r="R7" s="886"/>
      <c r="S7" s="886"/>
      <c r="T7" s="886"/>
      <c r="U7" s="886"/>
      <c r="V7" s="886"/>
      <c r="W7" s="887"/>
      <c r="X7" s="464"/>
    </row>
    <row r="8" spans="1:24" outlineLevel="1">
      <c r="A8" s="183"/>
      <c r="B8"/>
      <c r="C8" s="779"/>
      <c r="D8" s="152">
        <f>ENROLLMENT!D25</f>
        <v>2</v>
      </c>
      <c r="E8" s="10">
        <f>ENROLLMENT!E25</f>
        <v>0</v>
      </c>
      <c r="F8" s="10">
        <f>ENROLLMENT!F25</f>
        <v>0</v>
      </c>
      <c r="G8" s="10">
        <f>ENROLLMENT!G25</f>
        <v>0</v>
      </c>
      <c r="H8" s="10">
        <f>ENROLLMENT!H25</f>
        <v>0</v>
      </c>
      <c r="I8" s="10">
        <f>ENROLLMENT!I25</f>
        <v>0</v>
      </c>
      <c r="J8" s="10">
        <f>ENROLLMENT!J25</f>
        <v>0</v>
      </c>
      <c r="K8"/>
      <c r="L8" s="191" t="s">
        <v>224</v>
      </c>
      <c r="M8"/>
      <c r="N8"/>
      <c r="O8" s="885"/>
      <c r="P8" s="886"/>
      <c r="Q8" s="886"/>
      <c r="R8" s="886"/>
      <c r="S8" s="886"/>
      <c r="T8" s="886"/>
      <c r="U8" s="886"/>
      <c r="V8" s="886"/>
      <c r="W8" s="887"/>
      <c r="X8" s="464"/>
    </row>
    <row r="9" spans="1:24" outlineLevel="1">
      <c r="A9" s="183"/>
      <c r="B9"/>
      <c r="C9" s="779"/>
      <c r="D9" s="152">
        <f>ENROLLMENT!D26</f>
        <v>3</v>
      </c>
      <c r="E9" s="10">
        <f>ENROLLMENT!E26</f>
        <v>0</v>
      </c>
      <c r="F9" s="10">
        <f>ENROLLMENT!F26</f>
        <v>0</v>
      </c>
      <c r="G9" s="10">
        <f>ENROLLMENT!G26</f>
        <v>0</v>
      </c>
      <c r="H9" s="10">
        <f>ENROLLMENT!H26</f>
        <v>0</v>
      </c>
      <c r="I9" s="10">
        <f>ENROLLMENT!I26</f>
        <v>0</v>
      </c>
      <c r="J9" s="10">
        <f>ENROLLMENT!J26</f>
        <v>0</v>
      </c>
      <c r="K9"/>
      <c r="L9" s="189" t="s">
        <v>223</v>
      </c>
      <c r="M9"/>
      <c r="N9"/>
      <c r="O9" s="885"/>
      <c r="P9" s="886"/>
      <c r="Q9" s="886"/>
      <c r="R9" s="886"/>
      <c r="S9" s="886"/>
      <c r="T9" s="886"/>
      <c r="U9" s="886"/>
      <c r="V9" s="886"/>
      <c r="W9" s="887"/>
      <c r="X9" s="464"/>
    </row>
    <row r="10" spans="1:24" outlineLevel="1">
      <c r="A10" s="183"/>
      <c r="B10"/>
      <c r="C10" s="779"/>
      <c r="D10" s="152">
        <f>ENROLLMENT!D27</f>
        <v>4</v>
      </c>
      <c r="E10" s="10">
        <f>ENROLLMENT!E27</f>
        <v>0</v>
      </c>
      <c r="F10" s="10">
        <f>ENROLLMENT!F27</f>
        <v>0</v>
      </c>
      <c r="G10" s="10">
        <f>ENROLLMENT!G27</f>
        <v>0</v>
      </c>
      <c r="H10" s="10">
        <f>ENROLLMENT!H27</f>
        <v>0</v>
      </c>
      <c r="I10" s="10">
        <f>ENROLLMENT!I27</f>
        <v>0</v>
      </c>
      <c r="J10" s="10">
        <f>ENROLLMENT!J27</f>
        <v>0</v>
      </c>
      <c r="K10"/>
      <c r="L10" s="191" t="s">
        <v>225</v>
      </c>
      <c r="M10"/>
      <c r="N10"/>
      <c r="O10" s="888"/>
      <c r="P10" s="889"/>
      <c r="Q10" s="889"/>
      <c r="R10" s="889"/>
      <c r="S10" s="889"/>
      <c r="T10" s="889"/>
      <c r="U10" s="889"/>
      <c r="V10" s="889"/>
      <c r="W10" s="890"/>
      <c r="X10" s="464"/>
    </row>
    <row r="11" spans="1:24" outlineLevel="1">
      <c r="A11" s="183"/>
      <c r="B11"/>
      <c r="C11" s="779"/>
      <c r="D11" s="152">
        <f>ENROLLMENT!D28</f>
        <v>5</v>
      </c>
      <c r="E11" s="10">
        <f>ENROLLMENT!E28</f>
        <v>0</v>
      </c>
      <c r="F11" s="10">
        <f>ENROLLMENT!F28</f>
        <v>0</v>
      </c>
      <c r="G11" s="10">
        <f>ENROLLMENT!G28</f>
        <v>0</v>
      </c>
      <c r="H11" s="10">
        <f>ENROLLMENT!H28</f>
        <v>0</v>
      </c>
      <c r="I11" s="10">
        <f>ENROLLMENT!I28</f>
        <v>0</v>
      </c>
      <c r="J11" s="10">
        <f>ENROLLMENT!J28</f>
        <v>0</v>
      </c>
      <c r="K11"/>
      <c r="L11" s="305"/>
      <c r="M11" s="190">
        <v>2026</v>
      </c>
      <c r="N11"/>
      <c r="O11"/>
      <c r="P11"/>
      <c r="Q11"/>
      <c r="R11"/>
      <c r="S11"/>
      <c r="T11"/>
      <c r="U11"/>
      <c r="V11"/>
      <c r="W11"/>
      <c r="X11" s="464"/>
    </row>
    <row r="12" spans="1:24" outlineLevel="1">
      <c r="A12" s="183"/>
      <c r="B12"/>
      <c r="C12" s="779"/>
      <c r="D12" s="152">
        <f>ENROLLMENT!D29</f>
        <v>6</v>
      </c>
      <c r="E12" s="10">
        <f>ENROLLMENT!E29</f>
        <v>0</v>
      </c>
      <c r="F12" s="10">
        <f>ENROLLMENT!F29</f>
        <v>120</v>
      </c>
      <c r="G12" s="10">
        <f>ENROLLMENT!G29</f>
        <v>120</v>
      </c>
      <c r="H12" s="10">
        <f>ENROLLMENT!H29</f>
        <v>120</v>
      </c>
      <c r="I12" s="10">
        <f>ENROLLMENT!I29</f>
        <v>120</v>
      </c>
      <c r="J12" s="10">
        <f>ENROLLMENT!J29</f>
        <v>120</v>
      </c>
      <c r="K12"/>
      <c r="L12" s="190" t="s">
        <v>420</v>
      </c>
      <c r="M12" s="190" t="s">
        <v>222</v>
      </c>
      <c r="N12" s="525" t="s">
        <v>1338</v>
      </c>
      <c r="O12" s="525"/>
      <c r="P12" s="525"/>
      <c r="Q12" s="525"/>
      <c r="R12" s="525"/>
      <c r="S12" s="525"/>
      <c r="T12" s="525"/>
      <c r="U12"/>
      <c r="V12"/>
      <c r="W12"/>
      <c r="X12" s="464"/>
    </row>
    <row r="13" spans="1:24" outlineLevel="1">
      <c r="A13" s="183"/>
      <c r="B13"/>
      <c r="C13" s="779"/>
      <c r="D13" s="152">
        <f>ENROLLMENT!D30</f>
        <v>7</v>
      </c>
      <c r="E13" s="10">
        <f>ENROLLMENT!E30</f>
        <v>0</v>
      </c>
      <c r="F13" s="10">
        <f>ENROLLMENT!F30</f>
        <v>0</v>
      </c>
      <c r="G13" s="10">
        <f>ENROLLMENT!G30</f>
        <v>120</v>
      </c>
      <c r="H13" s="10">
        <f>ENROLLMENT!H30</f>
        <v>120</v>
      </c>
      <c r="I13" s="10">
        <f>ENROLLMENT!I30</f>
        <v>120</v>
      </c>
      <c r="J13" s="10">
        <f>ENROLLMENT!J30</f>
        <v>120</v>
      </c>
      <c r="K13"/>
      <c r="L13" s="39" t="str">
        <f>INPUTS!$B$83</f>
        <v>Chief Executive Officer (CEO)/Executive Director</v>
      </c>
      <c r="M13" s="176">
        <v>200000</v>
      </c>
      <c r="N13" s="780" t="s">
        <v>226</v>
      </c>
      <c r="O13" s="780"/>
      <c r="P13" s="780"/>
      <c r="Q13" s="780"/>
      <c r="R13" s="780"/>
      <c r="S13" s="780"/>
      <c r="T13" s="780"/>
      <c r="U13"/>
      <c r="V13"/>
      <c r="W13"/>
      <c r="X13" s="464"/>
    </row>
    <row r="14" spans="1:24" outlineLevel="1">
      <c r="A14" s="183"/>
      <c r="B14"/>
      <c r="C14" s="779"/>
      <c r="D14" s="152">
        <f>ENROLLMENT!D31</f>
        <v>8</v>
      </c>
      <c r="E14" s="10">
        <f>ENROLLMENT!E31</f>
        <v>0</v>
      </c>
      <c r="F14" s="10">
        <f>ENROLLMENT!F31</f>
        <v>0</v>
      </c>
      <c r="G14" s="10">
        <f>ENROLLMENT!G31</f>
        <v>0</v>
      </c>
      <c r="H14" s="10">
        <f>ENROLLMENT!H31</f>
        <v>120</v>
      </c>
      <c r="I14" s="10">
        <f>ENROLLMENT!I31</f>
        <v>120</v>
      </c>
      <c r="J14" s="10">
        <f>ENROLLMENT!J31</f>
        <v>120</v>
      </c>
      <c r="K14"/>
      <c r="L14" s="39" t="str">
        <f>INPUTS!$B$84</f>
        <v>Principal/Head of School</v>
      </c>
      <c r="M14" s="176">
        <v>130000</v>
      </c>
      <c r="N14" s="780" t="s">
        <v>227</v>
      </c>
      <c r="O14" s="780"/>
      <c r="P14" s="780"/>
      <c r="Q14" s="780"/>
      <c r="R14" s="780"/>
      <c r="S14" s="780"/>
      <c r="T14" s="780"/>
      <c r="U14"/>
      <c r="V14"/>
      <c r="W14"/>
      <c r="X14" s="464"/>
    </row>
    <row r="15" spans="1:24" outlineLevel="1">
      <c r="A15" s="183"/>
      <c r="B15"/>
      <c r="C15" s="779"/>
      <c r="D15" s="152">
        <f>ENROLLMENT!D32</f>
        <v>9</v>
      </c>
      <c r="E15" s="10">
        <f>ENROLLMENT!E32</f>
        <v>0</v>
      </c>
      <c r="F15" s="10">
        <f>ENROLLMENT!F32</f>
        <v>120</v>
      </c>
      <c r="G15" s="10">
        <f>ENROLLMENT!G32</f>
        <v>120</v>
      </c>
      <c r="H15" s="10">
        <f>ENROLLMENT!H32</f>
        <v>120</v>
      </c>
      <c r="I15" s="10">
        <f>ENROLLMENT!I32</f>
        <v>120</v>
      </c>
      <c r="J15" s="10">
        <f>ENROLLMENT!J32</f>
        <v>120</v>
      </c>
      <c r="K15"/>
      <c r="L15" s="39" t="str">
        <f>INPUTS!$B$85</f>
        <v>Assistant/Vice Principal</v>
      </c>
      <c r="M15" s="176">
        <v>95000</v>
      </c>
      <c r="N15" s="780" t="s">
        <v>228</v>
      </c>
      <c r="O15" s="780"/>
      <c r="P15" s="780"/>
      <c r="Q15" s="780"/>
      <c r="R15" s="780"/>
      <c r="S15" s="780"/>
      <c r="T15" s="780"/>
      <c r="U15"/>
      <c r="V15"/>
      <c r="W15"/>
      <c r="X15" s="464"/>
    </row>
    <row r="16" spans="1:24" outlineLevel="1">
      <c r="A16" s="183"/>
      <c r="B16"/>
      <c r="C16" s="779"/>
      <c r="D16" s="152">
        <f>ENROLLMENT!D33</f>
        <v>10</v>
      </c>
      <c r="E16" s="10">
        <f>ENROLLMENT!E33</f>
        <v>0</v>
      </c>
      <c r="F16" s="10">
        <f>ENROLLMENT!F33</f>
        <v>0</v>
      </c>
      <c r="G16" s="10">
        <f>ENROLLMENT!G33</f>
        <v>120</v>
      </c>
      <c r="H16" s="10">
        <f>ENROLLMENT!H33</f>
        <v>120</v>
      </c>
      <c r="I16" s="10">
        <f>ENROLLMENT!I33</f>
        <v>120</v>
      </c>
      <c r="J16" s="10">
        <f>ENROLLMENT!J33</f>
        <v>120</v>
      </c>
      <c r="K16"/>
      <c r="L16" s="39" t="str">
        <f>INPUTS!$B$86</f>
        <v>Instructional Coach/Curriculum Specialist</v>
      </c>
      <c r="M16" s="176">
        <v>85000</v>
      </c>
      <c r="N16" s="780" t="s">
        <v>229</v>
      </c>
      <c r="O16" s="780"/>
      <c r="P16" s="780"/>
      <c r="Q16" s="780"/>
      <c r="R16" s="780"/>
      <c r="S16" s="780"/>
      <c r="T16" s="780"/>
      <c r="U16"/>
      <c r="V16"/>
      <c r="W16"/>
      <c r="X16" s="464"/>
    </row>
    <row r="17" spans="1:24" outlineLevel="1">
      <c r="A17" s="183"/>
      <c r="B17"/>
      <c r="C17" s="779"/>
      <c r="D17" s="152">
        <f>ENROLLMENT!D34</f>
        <v>11</v>
      </c>
      <c r="E17" s="10">
        <f>ENROLLMENT!E34</f>
        <v>0</v>
      </c>
      <c r="F17" s="10">
        <f>ENROLLMENT!F34</f>
        <v>0</v>
      </c>
      <c r="G17" s="10">
        <f>ENROLLMENT!G34</f>
        <v>0</v>
      </c>
      <c r="H17" s="10">
        <f>ENROLLMENT!H34</f>
        <v>90</v>
      </c>
      <c r="I17" s="10">
        <f>ENROLLMENT!I34</f>
        <v>90</v>
      </c>
      <c r="J17" s="10">
        <f>ENROLLMENT!J34</f>
        <v>90</v>
      </c>
      <c r="K17"/>
      <c r="L17" s="39" t="str">
        <f>INPUTS!$B$87</f>
        <v>Classroom Teacher - Elementary</v>
      </c>
      <c r="M17" s="176"/>
      <c r="N17" s="780" t="s">
        <v>230</v>
      </c>
      <c r="O17" s="780"/>
      <c r="P17" s="780"/>
      <c r="Q17" s="780"/>
      <c r="R17" s="780"/>
      <c r="S17" s="780"/>
      <c r="T17" s="780"/>
      <c r="U17"/>
      <c r="V17"/>
      <c r="W17"/>
      <c r="X17" s="464"/>
    </row>
    <row r="18" spans="1:24" outlineLevel="1">
      <c r="A18" s="183"/>
      <c r="B18"/>
      <c r="C18" s="779"/>
      <c r="D18" s="152">
        <f>ENROLLMENT!D35</f>
        <v>12</v>
      </c>
      <c r="E18" s="10">
        <f>ENROLLMENT!E35</f>
        <v>0</v>
      </c>
      <c r="F18" s="10">
        <f>ENROLLMENT!F35</f>
        <v>0</v>
      </c>
      <c r="G18" s="10">
        <f>ENROLLMENT!G35</f>
        <v>0</v>
      </c>
      <c r="H18" s="10">
        <f>ENROLLMENT!H35</f>
        <v>0</v>
      </c>
      <c r="I18" s="10">
        <f>ENROLLMENT!I35</f>
        <v>90</v>
      </c>
      <c r="J18" s="10">
        <f>ENROLLMENT!J35</f>
        <v>90</v>
      </c>
      <c r="K18"/>
      <c r="L18" s="39" t="str">
        <f>INPUTS!$B$88</f>
        <v>Classroom Teacher - Middle School</v>
      </c>
      <c r="M18" s="176">
        <v>70000</v>
      </c>
      <c r="N18" s="780" t="s">
        <v>231</v>
      </c>
      <c r="O18" s="780"/>
      <c r="P18" s="780"/>
      <c r="Q18" s="780"/>
      <c r="R18" s="780"/>
      <c r="S18" s="780"/>
      <c r="T18" s="780"/>
      <c r="U18"/>
      <c r="V18"/>
      <c r="W18"/>
      <c r="X18" s="464"/>
    </row>
    <row r="19" spans="1:24" outlineLevel="1">
      <c r="A19" s="183"/>
      <c r="B19"/>
      <c r="C19" s="21"/>
      <c r="D19" s="153" t="s">
        <v>23</v>
      </c>
      <c r="E19" s="154">
        <f t="shared" ref="E19:J19" si="0">SUM(E6:E18)</f>
        <v>0</v>
      </c>
      <c r="F19" s="154">
        <f t="shared" si="0"/>
        <v>240</v>
      </c>
      <c r="G19" s="154">
        <f t="shared" si="0"/>
        <v>480</v>
      </c>
      <c r="H19" s="154">
        <f t="shared" si="0"/>
        <v>690</v>
      </c>
      <c r="I19" s="154">
        <f t="shared" si="0"/>
        <v>780</v>
      </c>
      <c r="J19" s="154">
        <f t="shared" si="0"/>
        <v>780</v>
      </c>
      <c r="K19"/>
      <c r="L19" s="39" t="str">
        <f>INPUTS!$B$89</f>
        <v>Classroom Teacher - High School</v>
      </c>
      <c r="M19" s="176">
        <v>70000</v>
      </c>
      <c r="N19" s="780" t="s">
        <v>232</v>
      </c>
      <c r="O19" s="780"/>
      <c r="P19" s="780"/>
      <c r="Q19" s="781"/>
      <c r="R19" s="781"/>
      <c r="S19" s="780"/>
      <c r="T19" s="780"/>
      <c r="U19" s="782"/>
      <c r="V19" s="782"/>
      <c r="W19" s="782"/>
      <c r="X19" s="783"/>
    </row>
    <row r="20" spans="1:24" outlineLevel="1">
      <c r="A20" s="183"/>
      <c r="B20"/>
      <c r="C20" s="782"/>
      <c r="D20" s="782"/>
      <c r="E20" s="782"/>
      <c r="F20" s="782"/>
      <c r="G20" s="782"/>
      <c r="H20" s="782"/>
      <c r="I20" s="782"/>
      <c r="J20" s="782"/>
      <c r="K20"/>
      <c r="L20" s="39" t="str">
        <f>INPUTS!$B$90</f>
        <v>Special Education (SPED) Teacher</v>
      </c>
      <c r="M20" s="176">
        <v>85000</v>
      </c>
      <c r="N20" s="780" t="s">
        <v>233</v>
      </c>
      <c r="O20" s="780"/>
      <c r="P20" s="780"/>
      <c r="Q20" s="781"/>
      <c r="R20" s="781"/>
      <c r="S20" s="780"/>
      <c r="T20" s="780"/>
      <c r="U20" s="782"/>
      <c r="V20" s="782"/>
      <c r="W20" s="782"/>
      <c r="X20" s="783"/>
    </row>
    <row r="21" spans="1:24" outlineLevel="1">
      <c r="A21" s="183"/>
      <c r="B21"/>
      <c r="C21" s="782"/>
      <c r="D21" s="72" t="s">
        <v>365</v>
      </c>
      <c r="E21" s="73"/>
      <c r="F21" s="73"/>
      <c r="G21" s="73"/>
      <c r="H21" s="73"/>
      <c r="I21" s="73"/>
      <c r="J21" s="73"/>
      <c r="K21"/>
      <c r="L21" s="39" t="str">
        <f>INPUTS!$B$91</f>
        <v>English Learner (EL) Specialist</v>
      </c>
      <c r="M21" s="176">
        <v>80000</v>
      </c>
      <c r="N21" s="780" t="s">
        <v>234</v>
      </c>
      <c r="O21" s="781"/>
      <c r="P21" s="781"/>
      <c r="Q21" s="781"/>
      <c r="R21" s="781"/>
      <c r="S21" s="780"/>
      <c r="T21" s="780"/>
      <c r="U21" s="782"/>
      <c r="V21" s="782"/>
      <c r="W21" s="782"/>
      <c r="X21" s="783"/>
    </row>
    <row r="22" spans="1:24" outlineLevel="1">
      <c r="A22" s="183"/>
      <c r="B22"/>
      <c r="C22" s="782"/>
      <c r="D22" s="54" t="str">
        <f>INPUTS!$C$3</f>
        <v>Cedar Grove Public Schools</v>
      </c>
      <c r="E22" s="19">
        <f>CHOOSE(INPUTS!$D$17, ENROLLMENT!E$39, ENROLLMENT!O$39)</f>
        <v>0</v>
      </c>
      <c r="F22" s="19">
        <f>CHOOSE(INPUTS!$D$17, ENROLLMENT!F$39, ENROLLMENT!P$39)</f>
        <v>38.4</v>
      </c>
      <c r="G22" s="19">
        <f>CHOOSE(INPUTS!$D$17, ENROLLMENT!G$39, ENROLLMENT!Q$39)</f>
        <v>76.8</v>
      </c>
      <c r="H22" s="19">
        <f>CHOOSE(INPUTS!$D$17, ENROLLMENT!H$39, ENROLLMENT!R$39)</f>
        <v>110.4</v>
      </c>
      <c r="I22" s="19">
        <f>CHOOSE(INPUTS!$D$17, ENROLLMENT!I$39, ENROLLMENT!S$39)</f>
        <v>124.8</v>
      </c>
      <c r="J22" s="19">
        <f>CHOOSE(INPUTS!$D$17, ENROLLMENT!J$39, ENROLLMENT!T$39)</f>
        <v>124.8</v>
      </c>
      <c r="K22"/>
      <c r="L22" s="39" t="str">
        <f>INPUTS!$B$92</f>
        <v>Intervention Specialist (Reading/Math)</v>
      </c>
      <c r="M22" s="176">
        <v>68000</v>
      </c>
      <c r="N22" s="780" t="s">
        <v>235</v>
      </c>
      <c r="O22" s="781"/>
      <c r="P22" s="781"/>
      <c r="Q22" s="781"/>
      <c r="R22" s="781"/>
      <c r="S22" s="780"/>
      <c r="T22" s="780"/>
      <c r="U22" s="782"/>
      <c r="V22" s="782"/>
      <c r="W22" s="782"/>
      <c r="X22" s="783"/>
    </row>
    <row r="23" spans="1:24" outlineLevel="1">
      <c r="A23" s="183"/>
      <c r="B23"/>
      <c r="C23" s="782"/>
      <c r="D23" s="784"/>
      <c r="E23" s="784"/>
      <c r="F23" s="784"/>
      <c r="G23" s="784"/>
      <c r="H23" s="784"/>
      <c r="I23" s="784"/>
      <c r="J23" s="784"/>
      <c r="K23"/>
      <c r="L23" s="39" t="str">
        <f>INPUTS!$B$93</f>
        <v>Instructional Aides/Paraeducators</v>
      </c>
      <c r="M23" s="176">
        <v>40000</v>
      </c>
      <c r="N23" s="780" t="s">
        <v>381</v>
      </c>
      <c r="O23" s="781"/>
      <c r="P23" s="781"/>
      <c r="Q23" s="781"/>
      <c r="R23" s="781"/>
      <c r="S23" s="780"/>
      <c r="T23" s="780"/>
      <c r="U23" s="782"/>
      <c r="V23" s="782"/>
      <c r="W23" s="782"/>
      <c r="X23" s="783"/>
    </row>
    <row r="24" spans="1:24" outlineLevel="1">
      <c r="A24" s="183"/>
      <c r="B24"/>
      <c r="C24" s="782"/>
      <c r="D24" s="72" t="s">
        <v>366</v>
      </c>
      <c r="E24" s="73"/>
      <c r="F24" s="73"/>
      <c r="G24" s="73"/>
      <c r="H24" s="73"/>
      <c r="I24" s="73"/>
      <c r="J24" s="73"/>
      <c r="K24"/>
      <c r="L24" s="39" t="str">
        <f>INPUTS!$B$94</f>
        <v>School Counselor</v>
      </c>
      <c r="M24" s="176">
        <v>75000</v>
      </c>
      <c r="N24" s="780" t="s">
        <v>236</v>
      </c>
      <c r="O24" s="781"/>
      <c r="P24" s="781"/>
      <c r="Q24" s="781"/>
      <c r="R24" s="781"/>
      <c r="S24" s="780"/>
      <c r="T24" s="780"/>
      <c r="U24" s="782"/>
      <c r="V24" s="782"/>
      <c r="W24" s="782"/>
      <c r="X24" s="783"/>
    </row>
    <row r="25" spans="1:24" outlineLevel="1">
      <c r="A25" s="183"/>
      <c r="B25"/>
      <c r="C25" s="782"/>
      <c r="D25" s="54" t="str">
        <f>INPUTS!$C$3</f>
        <v>Cedar Grove Public Schools</v>
      </c>
      <c r="E25" s="19">
        <f>CHOOSE(INPUTS!$D$17, ENROLLMENT!E$44, ENROLLMENT!O$44)</f>
        <v>0</v>
      </c>
      <c r="F25" s="19">
        <f>CHOOSE(INPUTS!$D$17, ENROLLMENT!F$44, ENROLLMENT!P$44)</f>
        <v>31.200000000000003</v>
      </c>
      <c r="G25" s="19">
        <f>CHOOSE(INPUTS!$D$17, ENROLLMENT!G$44, ENROLLMENT!Q$44)</f>
        <v>62.400000000000006</v>
      </c>
      <c r="H25" s="19">
        <f>CHOOSE(INPUTS!$D$17, ENROLLMENT!H$44, ENROLLMENT!R$44)</f>
        <v>89.7</v>
      </c>
      <c r="I25" s="19">
        <f>CHOOSE(INPUTS!$D$17, ENROLLMENT!I$44, ENROLLMENT!S$44)</f>
        <v>101.4</v>
      </c>
      <c r="J25" s="19">
        <f>CHOOSE(INPUTS!$D$17, ENROLLMENT!J$44, ENROLLMENT!T$44)</f>
        <v>101.4</v>
      </c>
      <c r="K25"/>
      <c r="L25" s="39" t="str">
        <f>INPUTS!$B$95</f>
        <v>School Psychologist</v>
      </c>
      <c r="M25" s="176">
        <v>85000</v>
      </c>
      <c r="N25" s="780" t="s">
        <v>237</v>
      </c>
      <c r="O25" s="781"/>
      <c r="P25" s="781"/>
      <c r="Q25" s="781"/>
      <c r="R25" s="781"/>
      <c r="S25" s="780"/>
      <c r="T25" s="780"/>
      <c r="U25" s="782"/>
      <c r="V25" s="782"/>
      <c r="W25" s="782"/>
      <c r="X25" s="783"/>
    </row>
    <row r="26" spans="1:24" outlineLevel="1">
      <c r="A26" s="183"/>
      <c r="B26"/>
      <c r="C26" s="782"/>
      <c r="D26" s="782"/>
      <c r="E26" s="782"/>
      <c r="F26" s="782"/>
      <c r="G26" s="782"/>
      <c r="H26" s="782"/>
      <c r="I26" s="782"/>
      <c r="J26" s="782"/>
      <c r="K26"/>
      <c r="L26" s="39" t="str">
        <f>INPUTS!$B$96</f>
        <v>Registrar/Enrollment Manager</v>
      </c>
      <c r="M26" s="176">
        <v>60000</v>
      </c>
      <c r="N26" s="780" t="s">
        <v>238</v>
      </c>
      <c r="O26" s="781"/>
      <c r="P26" s="781"/>
      <c r="Q26" s="781"/>
      <c r="R26" s="781"/>
      <c r="S26" s="780"/>
      <c r="T26" s="780"/>
      <c r="U26" s="782"/>
      <c r="V26" s="782"/>
      <c r="W26" s="782"/>
      <c r="X26" s="783"/>
    </row>
    <row r="27" spans="1:24" outlineLevel="1">
      <c r="A27" s="183"/>
      <c r="B27"/>
      <c r="C27" s="782"/>
      <c r="D27" s="72" t="s">
        <v>367</v>
      </c>
      <c r="E27" s="73"/>
      <c r="F27" s="73"/>
      <c r="G27" s="73"/>
      <c r="H27" s="73"/>
      <c r="I27" s="73"/>
      <c r="J27" s="73"/>
      <c r="K27"/>
      <c r="L27" s="39" t="str">
        <f>INPUTS!$B$97</f>
        <v>Chief Operations Officer (COO)/Ops. Manager</v>
      </c>
      <c r="M27" s="176">
        <v>160000</v>
      </c>
      <c r="N27" s="780" t="s">
        <v>239</v>
      </c>
      <c r="O27" s="781"/>
      <c r="P27" s="781"/>
      <c r="Q27" s="781"/>
      <c r="R27" s="781"/>
      <c r="S27" s="780"/>
      <c r="T27" s="780"/>
      <c r="U27" s="782"/>
      <c r="V27" s="782"/>
      <c r="W27" s="782"/>
      <c r="X27" s="783"/>
    </row>
    <row r="28" spans="1:24" outlineLevel="1">
      <c r="A28" s="183"/>
      <c r="B28"/>
      <c r="C28" s="782"/>
      <c r="D28" s="54" t="str">
        <f>INPUTS!$C$3</f>
        <v>Cedar Grove Public Schools</v>
      </c>
      <c r="E28" s="19">
        <f>CHOOSE(INPUTS!$D$17, ENROLLMENT!E$46, ENROLLMENT!O$46)</f>
        <v>0</v>
      </c>
      <c r="F28" s="19">
        <f>CHOOSE(INPUTS!$D$17, ENROLLMENT!F$46, ENROLLMENT!P$46)</f>
        <v>0</v>
      </c>
      <c r="G28" s="19">
        <f>CHOOSE(INPUTS!$D$17, ENROLLMENT!G$46, ENROLLMENT!Q$46)</f>
        <v>0</v>
      </c>
      <c r="H28" s="19">
        <f>CHOOSE(INPUTS!$D$17, ENROLLMENT!H$46, ENROLLMENT!R$46)</f>
        <v>0</v>
      </c>
      <c r="I28" s="19">
        <f>CHOOSE(INPUTS!$D$17, ENROLLMENT!I$46, ENROLLMENT!S$46)</f>
        <v>0</v>
      </c>
      <c r="J28" s="19">
        <f>CHOOSE(INPUTS!$D$17, ENROLLMENT!J$46, ENROLLMENT!T$46)</f>
        <v>0</v>
      </c>
      <c r="K28"/>
      <c r="L28" s="39" t="str">
        <f>INPUTS!$B$98</f>
        <v>CFO/Finance Manager/Business Manager</v>
      </c>
      <c r="M28" s="176">
        <v>140000</v>
      </c>
      <c r="N28" s="780" t="s">
        <v>240</v>
      </c>
      <c r="O28" s="781"/>
      <c r="P28" s="781"/>
      <c r="Q28" s="781"/>
      <c r="R28" s="781"/>
      <c r="S28" s="780"/>
      <c r="T28" s="780"/>
      <c r="U28" s="782"/>
      <c r="V28" s="782"/>
      <c r="W28" s="782"/>
      <c r="X28" s="783"/>
    </row>
    <row r="29" spans="1:24" outlineLevel="1">
      <c r="A29" s="183"/>
      <c r="B29"/>
      <c r="C29" s="782"/>
      <c r="D29" s="782"/>
      <c r="E29" s="782"/>
      <c r="F29" s="782"/>
      <c r="G29" s="782"/>
      <c r="H29" s="782"/>
      <c r="I29" s="782"/>
      <c r="J29" s="782"/>
      <c r="K29"/>
      <c r="L29" s="39" t="str">
        <f>INPUTS!$B$99</f>
        <v>Administrative Assistant/Office Manager</v>
      </c>
      <c r="M29" s="176">
        <v>68000</v>
      </c>
      <c r="N29" s="780" t="s">
        <v>241</v>
      </c>
      <c r="O29" s="781"/>
      <c r="P29" s="781"/>
      <c r="Q29" s="781"/>
      <c r="R29" s="781"/>
      <c r="S29" s="780"/>
      <c r="T29" s="780"/>
      <c r="U29" s="782"/>
      <c r="V29" s="782"/>
      <c r="W29" s="782"/>
      <c r="X29" s="783"/>
    </row>
    <row r="30" spans="1:24" outlineLevel="1">
      <c r="A30" s="183"/>
      <c r="B30"/>
      <c r="C30" s="782"/>
      <c r="D30" s="72" t="s">
        <v>368</v>
      </c>
      <c r="E30" s="73"/>
      <c r="F30" s="73"/>
      <c r="G30" s="73"/>
      <c r="H30" s="73"/>
      <c r="I30" s="73"/>
      <c r="J30" s="73"/>
      <c r="K30"/>
      <c r="L30" s="39" t="str">
        <f>INPUTS!$B$100</f>
        <v>Human Resources Specialist</v>
      </c>
      <c r="M30" s="176">
        <v>68000</v>
      </c>
      <c r="N30" s="780" t="s">
        <v>242</v>
      </c>
      <c r="O30" s="781"/>
      <c r="P30" s="781"/>
      <c r="Q30" s="781"/>
      <c r="R30" s="781"/>
      <c r="S30" s="780"/>
      <c r="T30" s="780"/>
      <c r="U30" s="782"/>
      <c r="V30" s="782"/>
      <c r="W30" s="782"/>
      <c r="X30" s="783"/>
    </row>
    <row r="31" spans="1:24" outlineLevel="1">
      <c r="A31" s="183"/>
      <c r="B31"/>
      <c r="C31" s="782"/>
      <c r="D31" s="54" t="str">
        <f>INPUTS!$C$3</f>
        <v>Cedar Grove Public Schools</v>
      </c>
      <c r="E31" s="19">
        <f>CHOOSE(INPUTS!$D$17, ENROLLMENT!E$47, ENROLLMENT!O$47)</f>
        <v>0</v>
      </c>
      <c r="F31" s="19">
        <f>CHOOSE(INPUTS!$D$17, ENROLLMENT!F$47, ENROLLMENT!P$47)</f>
        <v>120</v>
      </c>
      <c r="G31" s="19">
        <f>CHOOSE(INPUTS!$D$17, ENROLLMENT!G$47, ENROLLMENT!Q$47)</f>
        <v>240</v>
      </c>
      <c r="H31" s="19">
        <f>CHOOSE(INPUTS!$D$17, ENROLLMENT!H$47, ENROLLMENT!R$47)</f>
        <v>360</v>
      </c>
      <c r="I31" s="19">
        <f>CHOOSE(INPUTS!$D$17, ENROLLMENT!I$47, ENROLLMENT!S$47)</f>
        <v>360</v>
      </c>
      <c r="J31" s="19">
        <f>CHOOSE(INPUTS!$D$17, ENROLLMENT!J$47, ENROLLMENT!T$47)</f>
        <v>360</v>
      </c>
      <c r="K31"/>
      <c r="L31" s="39" t="str">
        <f>INPUTS!$B$101</f>
        <v>IT Coordinator/Instructional Technologist</v>
      </c>
      <c r="M31" s="176">
        <v>80000</v>
      </c>
      <c r="N31" s="780" t="s">
        <v>243</v>
      </c>
      <c r="O31" s="781"/>
      <c r="P31" s="781"/>
      <c r="Q31" s="781"/>
      <c r="R31" s="781"/>
      <c r="S31" s="780"/>
      <c r="T31" s="780"/>
      <c r="U31" s="782"/>
      <c r="V31" s="782"/>
      <c r="W31" s="782"/>
      <c r="X31" s="783"/>
    </row>
    <row r="32" spans="1:24" outlineLevel="1">
      <c r="A32" s="183"/>
      <c r="B32"/>
      <c r="C32" s="782"/>
      <c r="D32" s="782"/>
      <c r="E32" s="782"/>
      <c r="F32" s="782"/>
      <c r="G32" s="782"/>
      <c r="H32" s="782"/>
      <c r="I32" s="782"/>
      <c r="J32" s="782"/>
      <c r="K32"/>
      <c r="L32" s="39" t="str">
        <f>INPUTS!$B$102</f>
        <v>Facilities Manager</v>
      </c>
      <c r="M32" s="176">
        <v>70000</v>
      </c>
      <c r="N32" s="780" t="s">
        <v>244</v>
      </c>
      <c r="O32" s="781"/>
      <c r="P32" s="781"/>
      <c r="Q32" s="781"/>
      <c r="R32" s="781"/>
      <c r="S32" s="780"/>
      <c r="T32" s="780"/>
      <c r="U32" s="782"/>
      <c r="V32" s="782"/>
      <c r="W32" s="782"/>
      <c r="X32" s="783"/>
    </row>
    <row r="33" spans="1:24" outlineLevel="1">
      <c r="A33" s="183"/>
      <c r="B33"/>
      <c r="C33" s="782"/>
      <c r="D33" s="72" t="s">
        <v>369</v>
      </c>
      <c r="E33" s="73"/>
      <c r="F33" s="73"/>
      <c r="G33" s="73"/>
      <c r="H33" s="73"/>
      <c r="I33" s="73"/>
      <c r="J33" s="73"/>
      <c r="K33"/>
      <c r="L33" s="39" t="str">
        <f>INPUTS!$B$103</f>
        <v>Custodian/Facilities Maintenance</v>
      </c>
      <c r="M33" s="176">
        <v>42000</v>
      </c>
      <c r="N33" s="780" t="s">
        <v>245</v>
      </c>
      <c r="O33" s="781"/>
      <c r="P33" s="781"/>
      <c r="Q33" s="781"/>
      <c r="R33" s="781"/>
      <c r="S33" s="780"/>
      <c r="T33" s="780"/>
      <c r="U33" s="782"/>
      <c r="V33" s="782"/>
      <c r="W33" s="782"/>
      <c r="X33" s="783"/>
    </row>
    <row r="34" spans="1:24" outlineLevel="1">
      <c r="A34" s="183"/>
      <c r="B34"/>
      <c r="C34" s="782"/>
      <c r="D34" s="54" t="str">
        <f>INPUTS!$C$3</f>
        <v>Cedar Grove Public Schools</v>
      </c>
      <c r="E34" s="19">
        <f>CHOOSE(INPUTS!$D$17, ENROLLMENT!E$48, ENROLLMENT!O$48)</f>
        <v>0</v>
      </c>
      <c r="F34" s="19">
        <f>CHOOSE(INPUTS!$D$17, ENROLLMENT!F$48, ENROLLMENT!P$48)</f>
        <v>120</v>
      </c>
      <c r="G34" s="19">
        <f>CHOOSE(INPUTS!$D$17, ENROLLMENT!G$48, ENROLLMENT!Q$48)</f>
        <v>240</v>
      </c>
      <c r="H34" s="19">
        <f>CHOOSE(INPUTS!$D$17, ENROLLMENT!H$48, ENROLLMENT!R$48)</f>
        <v>330</v>
      </c>
      <c r="I34" s="19">
        <f>CHOOSE(INPUTS!$D$17, ENROLLMENT!I$48, ENROLLMENT!S$48)</f>
        <v>420</v>
      </c>
      <c r="J34" s="19">
        <f>CHOOSE(INPUTS!$D$17, ENROLLMENT!J$48, ENROLLMENT!T$48)</f>
        <v>420</v>
      </c>
      <c r="K34"/>
      <c r="L34" s="39" t="str">
        <f>INPUTS!$B$104</f>
        <v>Security/Safety Coordinator</v>
      </c>
      <c r="M34" s="176">
        <v>50000</v>
      </c>
      <c r="N34" s="780" t="s">
        <v>246</v>
      </c>
      <c r="O34" s="781"/>
      <c r="P34" s="781"/>
      <c r="Q34" s="781"/>
      <c r="R34" s="781"/>
      <c r="S34" s="780"/>
      <c r="T34" s="780"/>
      <c r="U34" s="782"/>
      <c r="V34" s="782"/>
      <c r="W34" s="782"/>
      <c r="X34" s="783"/>
    </row>
    <row r="35" spans="1:24" outlineLevel="1">
      <c r="A35" s="183"/>
      <c r="B35"/>
      <c r="C35" s="782"/>
      <c r="D35"/>
      <c r="E35"/>
      <c r="F35"/>
      <c r="G35"/>
      <c r="H35"/>
      <c r="I35"/>
      <c r="J35"/>
      <c r="K35"/>
      <c r="L35" s="39" t="str">
        <f>INPUTS!$B$105</f>
        <v>Nutrition Program Manager/Lead</v>
      </c>
      <c r="M35" s="176">
        <v>60000</v>
      </c>
      <c r="N35" s="780" t="s">
        <v>247</v>
      </c>
      <c r="O35" s="781"/>
      <c r="P35" s="781"/>
      <c r="Q35" s="781"/>
      <c r="R35" s="781"/>
      <c r="S35" s="780"/>
      <c r="T35" s="780"/>
      <c r="U35" s="782"/>
      <c r="V35" s="782"/>
      <c r="W35" s="782"/>
      <c r="X35" s="783"/>
    </row>
    <row r="36" spans="1:24" outlineLevel="1">
      <c r="A36" s="183"/>
      <c r="B36"/>
      <c r="C36" s="782"/>
      <c r="D36" s="782"/>
      <c r="E36" s="782"/>
      <c r="F36" s="782"/>
      <c r="G36" s="782"/>
      <c r="H36" s="782"/>
      <c r="I36" s="782"/>
      <c r="J36" s="782"/>
      <c r="K36"/>
      <c r="L36" s="39" t="str">
        <f>INPUTS!$B$106</f>
        <v>Food Service Staff (Cooks/Servers)</v>
      </c>
      <c r="M36" s="176">
        <v>30000</v>
      </c>
      <c r="N36" s="780" t="s">
        <v>248</v>
      </c>
      <c r="O36" s="781"/>
      <c r="P36" s="781"/>
      <c r="Q36" s="781"/>
      <c r="R36" s="781"/>
      <c r="S36" s="780"/>
      <c r="T36" s="780"/>
      <c r="U36" s="782"/>
      <c r="V36" s="782"/>
      <c r="W36" s="782"/>
      <c r="X36" s="783"/>
    </row>
    <row r="37" spans="1:24" outlineLevel="1">
      <c r="A37" s="183"/>
      <c r="B37"/>
      <c r="C37" s="782"/>
      <c r="D37" s="782"/>
      <c r="E37" s="782"/>
      <c r="F37" s="782"/>
      <c r="G37" s="782"/>
      <c r="H37" s="782"/>
      <c r="I37" s="782"/>
      <c r="J37" s="782"/>
      <c r="K37"/>
      <c r="L37" s="39" t="str">
        <f>INPUTS!$B$107</f>
        <v>Transportation Coordinator</v>
      </c>
      <c r="M37" s="176">
        <v>60000</v>
      </c>
      <c r="N37" s="780" t="s">
        <v>249</v>
      </c>
      <c r="O37" s="781"/>
      <c r="P37" s="781"/>
      <c r="Q37" s="781"/>
      <c r="R37" s="781"/>
      <c r="S37" s="780"/>
      <c r="T37" s="780"/>
      <c r="U37" s="782"/>
      <c r="V37" s="782"/>
      <c r="W37" s="782"/>
      <c r="X37" s="783"/>
    </row>
    <row r="38" spans="1:24" outlineLevel="1">
      <c r="A38" s="183"/>
      <c r="B38"/>
      <c r="C38" s="782"/>
      <c r="D38" s="782"/>
      <c r="E38" s="782"/>
      <c r="F38" s="782"/>
      <c r="G38" s="782"/>
      <c r="H38" s="782"/>
      <c r="I38" s="782"/>
      <c r="J38" s="782"/>
      <c r="K38"/>
      <c r="L38" s="39" t="str">
        <f>INPUTS!$B$108</f>
        <v>Substitute Teacher Pool</v>
      </c>
      <c r="M38" s="176">
        <v>30000</v>
      </c>
      <c r="N38" s="780" t="s">
        <v>250</v>
      </c>
      <c r="O38" s="781"/>
      <c r="P38" s="781"/>
      <c r="Q38" s="781"/>
      <c r="R38" s="781"/>
      <c r="S38" s="780"/>
      <c r="T38" s="780"/>
      <c r="U38" s="782"/>
      <c r="V38" s="782"/>
      <c r="W38" s="782"/>
      <c r="X38" s="783"/>
    </row>
    <row r="39" spans="1:24" outlineLevel="1">
      <c r="A39" s="183"/>
      <c r="B39"/>
      <c r="C39" s="782"/>
      <c r="D39" s="782"/>
      <c r="E39" s="782"/>
      <c r="F39" s="782"/>
      <c r="G39" s="782"/>
      <c r="H39" s="782"/>
      <c r="I39" s="782"/>
      <c r="J39" s="782"/>
      <c r="K39"/>
      <c r="L39" s="39" t="str">
        <f>INPUTS!$B$109</f>
        <v>Nurse</v>
      </c>
      <c r="M39" s="176">
        <v>65000</v>
      </c>
      <c r="N39" s="780" t="s">
        <v>227</v>
      </c>
      <c r="O39" s="781"/>
      <c r="P39" s="781"/>
      <c r="Q39" s="781"/>
      <c r="R39" s="781"/>
      <c r="S39" s="780"/>
      <c r="T39" s="780"/>
      <c r="U39" s="782"/>
      <c r="V39" s="782"/>
      <c r="W39" s="782"/>
      <c r="X39" s="783"/>
    </row>
    <row r="40" spans="1:24" outlineLevel="1">
      <c r="A40" s="183"/>
      <c r="B40"/>
      <c r="C40" s="782"/>
      <c r="D40" s="782"/>
      <c r="E40" s="782"/>
      <c r="F40" s="782"/>
      <c r="G40" s="782"/>
      <c r="H40" s="782"/>
      <c r="I40" s="782"/>
      <c r="J40" s="782"/>
      <c r="K40"/>
      <c r="L40" s="39" t="str">
        <f>INPUTS!$B$110</f>
        <v>Librarian</v>
      </c>
      <c r="M40" s="176">
        <v>62000</v>
      </c>
      <c r="N40" s="780" t="s">
        <v>227</v>
      </c>
      <c r="O40" s="781"/>
      <c r="P40" s="781"/>
      <c r="Q40" s="781"/>
      <c r="R40" s="781"/>
      <c r="S40" s="780"/>
      <c r="T40" s="780"/>
      <c r="U40" s="782"/>
      <c r="V40" s="782"/>
      <c r="W40" s="782"/>
      <c r="X40" s="783"/>
    </row>
    <row r="41" spans="1:24" outlineLevel="1">
      <c r="A41" s="183"/>
      <c r="B41"/>
      <c r="C41" s="782"/>
      <c r="D41" s="782"/>
      <c r="E41" s="782"/>
      <c r="F41" s="782"/>
      <c r="G41" s="782"/>
      <c r="H41" s="782"/>
      <c r="I41" s="782"/>
      <c r="J41" s="782"/>
      <c r="K41"/>
      <c r="L41" s="39" t="str">
        <f>INPUTS!$B$111</f>
        <v>Manager of Student Support</v>
      </c>
      <c r="M41" s="176">
        <v>68000</v>
      </c>
      <c r="N41" s="780"/>
      <c r="O41" s="781"/>
      <c r="P41" s="781"/>
      <c r="Q41" s="781"/>
      <c r="R41" s="781"/>
      <c r="S41" s="780"/>
      <c r="T41" s="780"/>
      <c r="U41" s="782"/>
      <c r="V41" s="782"/>
      <c r="W41" s="782"/>
      <c r="X41" s="783"/>
    </row>
    <row r="42" spans="1:24" outlineLevel="1">
      <c r="A42" s="183"/>
      <c r="B42"/>
      <c r="C42" s="782"/>
      <c r="D42" s="782"/>
      <c r="E42" s="782"/>
      <c r="F42" s="782"/>
      <c r="G42" s="782"/>
      <c r="H42" s="782"/>
      <c r="I42" s="782"/>
      <c r="J42" s="782"/>
      <c r="K42"/>
      <c r="L42" s="39" t="str">
        <f>INPUTS!$B$112</f>
        <v>College &amp; Athletics Director</v>
      </c>
      <c r="M42" s="176">
        <v>68000</v>
      </c>
      <c r="N42" s="780"/>
      <c r="O42" s="781"/>
      <c r="P42" s="781"/>
      <c r="Q42" s="781"/>
      <c r="R42" s="781"/>
      <c r="S42" s="780"/>
      <c r="T42" s="780"/>
      <c r="U42" s="782"/>
      <c r="V42" s="782"/>
      <c r="W42" s="782"/>
      <c r="X42" s="783"/>
    </row>
    <row r="43" spans="1:24" outlineLevel="1">
      <c r="A43" s="183"/>
      <c r="B43"/>
      <c r="C43" s="782"/>
      <c r="D43" s="782"/>
      <c r="E43" s="782"/>
      <c r="F43" s="782"/>
      <c r="G43" s="782"/>
      <c r="H43" s="782"/>
      <c r="I43" s="782"/>
      <c r="J43" s="782"/>
      <c r="K43"/>
      <c r="L43" s="39" t="str">
        <f>INPUTS!$B$113</f>
        <v>Manager of College Success</v>
      </c>
      <c r="M43" s="176">
        <v>68000</v>
      </c>
      <c r="N43" s="780"/>
      <c r="O43" s="781"/>
      <c r="P43" s="781"/>
      <c r="Q43" s="781"/>
      <c r="R43" s="781"/>
      <c r="S43" s="780"/>
      <c r="T43" s="780"/>
      <c r="U43" s="782"/>
      <c r="V43" s="782"/>
      <c r="W43" s="782"/>
      <c r="X43" s="783"/>
    </row>
    <row r="44" spans="1:24" outlineLevel="1">
      <c r="A44" s="183"/>
      <c r="B44"/>
      <c r="C44" s="782"/>
      <c r="D44" s="782"/>
      <c r="E44" s="782"/>
      <c r="F44" s="782"/>
      <c r="G44" s="782"/>
      <c r="H44" s="782"/>
      <c r="I44" s="782"/>
      <c r="J44" s="782"/>
      <c r="K44"/>
      <c r="L44" s="39" t="str">
        <f>INPUTS!$B$114</f>
        <v>Coordinator of College Success</v>
      </c>
      <c r="M44" s="176">
        <v>45000</v>
      </c>
      <c r="N44" s="780"/>
      <c r="O44" s="781"/>
      <c r="P44" s="781"/>
      <c r="Q44" s="781"/>
      <c r="R44" s="781"/>
      <c r="S44" s="780"/>
      <c r="T44" s="780"/>
      <c r="U44" s="782"/>
      <c r="V44" s="782"/>
      <c r="W44" s="782"/>
      <c r="X44" s="783"/>
    </row>
    <row r="45" spans="1:24" outlineLevel="1">
      <c r="A45" s="183"/>
      <c r="B45"/>
      <c r="C45" s="782"/>
      <c r="D45" s="782"/>
      <c r="E45" s="782"/>
      <c r="F45" s="782"/>
      <c r="G45" s="782"/>
      <c r="H45" s="782"/>
      <c r="I45" s="782"/>
      <c r="J45" s="782"/>
      <c r="K45"/>
      <c r="L45" s="39"/>
      <c r="M45" s="176"/>
      <c r="N45" s="780"/>
      <c r="O45" s="781"/>
      <c r="P45" s="781"/>
      <c r="Q45" s="781"/>
      <c r="R45" s="781"/>
      <c r="S45" s="780"/>
      <c r="T45" s="780"/>
      <c r="U45" s="782"/>
      <c r="V45" s="782"/>
      <c r="W45" s="782"/>
      <c r="X45" s="783"/>
    </row>
    <row r="46" spans="1:24">
      <c r="A46" s="183"/>
      <c r="B46"/>
      <c r="C46" s="782"/>
      <c r="D46" s="782"/>
      <c r="E46" s="782"/>
      <c r="F46" s="782"/>
      <c r="G46" s="782"/>
      <c r="H46" s="782"/>
      <c r="I46" s="782"/>
      <c r="J46" s="782"/>
      <c r="K46"/>
      <c r="L46" s="184"/>
      <c r="M46" s="782"/>
      <c r="N46" s="782"/>
      <c r="O46" s="782"/>
      <c r="P46" s="782"/>
      <c r="Q46" s="782"/>
      <c r="R46" s="782"/>
      <c r="S46"/>
      <c r="T46" s="782"/>
      <c r="U46" s="782"/>
      <c r="V46" s="782"/>
      <c r="W46" s="782"/>
      <c r="X46" s="783"/>
    </row>
    <row r="47" spans="1:24" s="520" customFormat="1" ht="26">
      <c r="A47" s="87" t="s">
        <v>435</v>
      </c>
      <c r="B47" s="88"/>
      <c r="C47" s="88"/>
      <c r="D47" s="88"/>
      <c r="E47" s="89"/>
      <c r="F47" s="88"/>
      <c r="G47" s="88"/>
      <c r="H47" s="89"/>
      <c r="I47" s="88"/>
      <c r="J47" s="89"/>
      <c r="K47" s="88"/>
      <c r="L47" s="88"/>
      <c r="M47" s="88"/>
      <c r="N47" s="88"/>
      <c r="O47" s="88"/>
      <c r="P47" s="88"/>
      <c r="Q47" s="88"/>
      <c r="R47" s="88"/>
      <c r="S47" s="88"/>
      <c r="T47" s="88"/>
      <c r="U47" s="88"/>
      <c r="V47" s="88"/>
      <c r="W47" s="88"/>
      <c r="X47" s="90"/>
    </row>
    <row r="48" spans="1:24">
      <c r="A48" s="785"/>
      <c r="B48"/>
      <c r="C48" s="21"/>
      <c r="D48"/>
      <c r="E48"/>
      <c r="F48"/>
      <c r="G48"/>
      <c r="H48"/>
      <c r="I48"/>
      <c r="J48"/>
      <c r="K48"/>
      <c r="L48"/>
      <c r="M48"/>
      <c r="N48"/>
      <c r="O48"/>
      <c r="P48"/>
      <c r="Q48"/>
      <c r="R48"/>
      <c r="S48"/>
      <c r="T48"/>
      <c r="U48"/>
      <c r="V48"/>
      <c r="W48"/>
      <c r="X48" s="464"/>
    </row>
    <row r="49" spans="1:24" outlineLevel="1">
      <c r="A49" s="786"/>
      <c r="B49" s="164" t="str">
        <f>INPUTS!C3</f>
        <v>Cedar Grove Public Schools</v>
      </c>
      <c r="C49" s="21"/>
      <c r="D49" s="155" t="str">
        <f>B49</f>
        <v>Cedar Grove Public Schools</v>
      </c>
      <c r="E49" s="156"/>
      <c r="F49" s="156"/>
      <c r="G49" s="156"/>
      <c r="H49" s="156"/>
      <c r="I49" s="156"/>
      <c r="J49" s="156"/>
      <c r="K49" s="156"/>
      <c r="L49" s="156"/>
      <c r="M49" s="156"/>
      <c r="N49" s="156"/>
      <c r="O49" s="156"/>
      <c r="P49" s="156"/>
      <c r="Q49" s="156"/>
      <c r="R49" s="157"/>
      <c r="S49"/>
      <c r="T49"/>
      <c r="U49"/>
      <c r="V49"/>
      <c r="W49"/>
      <c r="X49" s="464"/>
    </row>
    <row r="50" spans="1:24" outlineLevel="1">
      <c r="A50" s="183"/>
      <c r="B50"/>
      <c r="C50"/>
      <c r="D50" s="619"/>
      <c r="E50" s="787"/>
      <c r="F50" s="787"/>
      <c r="G50" s="787"/>
      <c r="H50" s="787"/>
      <c r="I50" s="787"/>
      <c r="J50" s="787"/>
      <c r="K50" s="21"/>
      <c r="L50"/>
      <c r="M50"/>
      <c r="N50"/>
      <c r="O50"/>
      <c r="P50"/>
      <c r="Q50"/>
      <c r="R50"/>
      <c r="S50"/>
      <c r="T50"/>
      <c r="U50"/>
      <c r="V50"/>
      <c r="W50"/>
      <c r="X50" s="464"/>
    </row>
    <row r="51" spans="1:24" outlineLevel="1">
      <c r="A51" s="183"/>
      <c r="B51" s="165" t="s">
        <v>174</v>
      </c>
      <c r="C51" s="21"/>
      <c r="D51" s="170" t="s">
        <v>172</v>
      </c>
      <c r="E51" s="151">
        <f t="shared" ref="E51:J51" si="1">E$5</f>
        <v>2027</v>
      </c>
      <c r="F51" s="151">
        <f t="shared" si="1"/>
        <v>2028</v>
      </c>
      <c r="G51" s="151">
        <f t="shared" si="1"/>
        <v>2029</v>
      </c>
      <c r="H51" s="151">
        <f t="shared" si="1"/>
        <v>2030</v>
      </c>
      <c r="I51" s="151">
        <f t="shared" si="1"/>
        <v>2031</v>
      </c>
      <c r="J51" s="158">
        <f t="shared" si="1"/>
        <v>2032</v>
      </c>
      <c r="K51"/>
      <c r="L51" s="170" t="s">
        <v>173</v>
      </c>
      <c r="M51" s="167">
        <f t="shared" ref="M51:R51" si="2">E$5</f>
        <v>2027</v>
      </c>
      <c r="N51" s="167">
        <f t="shared" si="2"/>
        <v>2028</v>
      </c>
      <c r="O51" s="167">
        <f t="shared" si="2"/>
        <v>2029</v>
      </c>
      <c r="P51" s="167">
        <f t="shared" si="2"/>
        <v>2030</v>
      </c>
      <c r="Q51" s="167">
        <f t="shared" si="2"/>
        <v>2031</v>
      </c>
      <c r="R51" s="168">
        <f t="shared" si="2"/>
        <v>2032</v>
      </c>
      <c r="S51"/>
      <c r="T51"/>
      <c r="U51"/>
      <c r="V51"/>
      <c r="W51"/>
      <c r="X51" s="464"/>
    </row>
    <row r="52" spans="1:24" outlineLevel="1">
      <c r="A52" s="786" cm="1">
        <f t="array" ref="A52">_xlfn.IFS(B52="Per Pupil", 1, B52="Per Pupil - Elem", 2, B52="Per Pupil - MS", 3, B52="Per Pupil - HS", 4, B52="Per Pupil - SPED", 5, B52="Per Pupil - EL", 6, B52="Fixed", 7)</f>
        <v>7</v>
      </c>
      <c r="B52" s="159" t="str">
        <f>INPUTS!C83</f>
        <v>Fixed</v>
      </c>
      <c r="C52" s="21" t="str">
        <f t="shared" ref="C52:C77" si="3">"----&gt;"</f>
        <v>----&gt;</v>
      </c>
      <c r="D52" s="39" t="str">
        <f>INPUTS!$B$83</f>
        <v>Chief Executive Officer (CEO)/Executive Director</v>
      </c>
      <c r="E52" s="160">
        <f t="shared" ref="E52:J53" si="4">ROUNDDOWN(IFERROR(CHOOSE($A52, E$19/M52, E$28/M52, E$31/M52, E$34/M52, E$22/M52, E$25/M52, 1), 0), 0)</f>
        <v>1</v>
      </c>
      <c r="F52" s="160">
        <f t="shared" si="4"/>
        <v>1</v>
      </c>
      <c r="G52" s="160">
        <f t="shared" si="4"/>
        <v>1</v>
      </c>
      <c r="H52" s="160">
        <f t="shared" si="4"/>
        <v>1</v>
      </c>
      <c r="I52" s="160">
        <f t="shared" si="4"/>
        <v>1</v>
      </c>
      <c r="J52" s="160">
        <f t="shared" si="4"/>
        <v>1</v>
      </c>
      <c r="K52"/>
      <c r="L52" s="39" t="str">
        <f>INPUTS!$B$83</f>
        <v>Chief Executive Officer (CEO)/Executive Director</v>
      </c>
      <c r="M52" s="195">
        <f>IFERROR(IF($B52="Fixed", E$19/E52, 0), 0)</f>
        <v>0</v>
      </c>
      <c r="N52" s="195">
        <f t="shared" ref="N52:N53" si="5">IFERROR(IF($B52="Fixed", F$19/F52, 0), 0)</f>
        <v>240</v>
      </c>
      <c r="O52" s="195">
        <f t="shared" ref="O52:O53" si="6">IFERROR(IF($B52="Fixed", G$19/G52, 0), 0)</f>
        <v>480</v>
      </c>
      <c r="P52" s="195">
        <f t="shared" ref="P52:P53" si="7">IFERROR(IF($B52="Fixed", H$19/H52, 0), 0)</f>
        <v>690</v>
      </c>
      <c r="Q52" s="195">
        <f t="shared" ref="Q52:Q53" si="8">IFERROR(IF($B52="Fixed", I$19/I52, 0), 0)</f>
        <v>780</v>
      </c>
      <c r="R52" s="195">
        <f t="shared" ref="R52:R53" si="9">IFERROR(IF($B52="Fixed", J$19/J52, 0), 0)</f>
        <v>780</v>
      </c>
      <c r="S52"/>
      <c r="T52"/>
      <c r="U52"/>
      <c r="V52"/>
      <c r="W52"/>
      <c r="X52" s="464"/>
    </row>
    <row r="53" spans="1:24" outlineLevel="1">
      <c r="A53" s="786" cm="1">
        <f t="array" ref="A53">_xlfn.IFS(B53="Per Pupil", 1, B53="Per Pupil - Elem", 2, B53="Per Pupil - MS", 3, B53="Per Pupil - HS", 4, B53="Per Pupil - SPED", 5, B53="Per Pupil - EL", 6, B53="Fixed", 7)</f>
        <v>7</v>
      </c>
      <c r="B53" s="159" t="str">
        <f>INPUTS!C84</f>
        <v>Fixed</v>
      </c>
      <c r="C53" s="21" t="str">
        <f t="shared" si="3"/>
        <v>----&gt;</v>
      </c>
      <c r="D53" s="39" t="str">
        <f>INPUTS!$B$84</f>
        <v>Principal/Head of School</v>
      </c>
      <c r="E53" s="160">
        <v>0</v>
      </c>
      <c r="F53" s="160">
        <v>0</v>
      </c>
      <c r="G53" s="160">
        <f t="shared" si="4"/>
        <v>1</v>
      </c>
      <c r="H53" s="160">
        <f t="shared" si="4"/>
        <v>1</v>
      </c>
      <c r="I53" s="160">
        <f t="shared" si="4"/>
        <v>1</v>
      </c>
      <c r="J53" s="160">
        <f t="shared" si="4"/>
        <v>1</v>
      </c>
      <c r="K53"/>
      <c r="L53" s="39" t="str">
        <f>INPUTS!$B$84</f>
        <v>Principal/Head of School</v>
      </c>
      <c r="M53" s="195">
        <f t="shared" ref="M53" si="10">IFERROR(IF($B53="Fixed", E$19/E53, 0), 0)</f>
        <v>0</v>
      </c>
      <c r="N53" s="195">
        <f t="shared" si="5"/>
        <v>0</v>
      </c>
      <c r="O53" s="195">
        <f t="shared" si="6"/>
        <v>480</v>
      </c>
      <c r="P53" s="195">
        <f t="shared" si="7"/>
        <v>690</v>
      </c>
      <c r="Q53" s="195">
        <f t="shared" si="8"/>
        <v>780</v>
      </c>
      <c r="R53" s="195">
        <f t="shared" si="9"/>
        <v>780</v>
      </c>
      <c r="S53"/>
      <c r="T53"/>
      <c r="U53"/>
      <c r="V53"/>
      <c r="W53"/>
      <c r="X53" s="464"/>
    </row>
    <row r="54" spans="1:24" outlineLevel="1">
      <c r="A54" s="786" cm="1">
        <f t="array" ref="A54">_xlfn.IFS(B54="Per Pupil", 1, B54="Per Pupil - Elem", 2, B54="Per Pupil - MS", 3, B54="Per Pupil - HS", 4, B54="Per Pupil - SPED", 5, B54="Per Pupil - EL", 6, B54="Fixed", 7)</f>
        <v>1</v>
      </c>
      <c r="B54" s="159" t="str">
        <f>INPUTS!C85</f>
        <v>Per Pupil</v>
      </c>
      <c r="C54" s="21" t="str">
        <f t="shared" si="3"/>
        <v>----&gt;</v>
      </c>
      <c r="D54" s="39" t="str">
        <f>INPUTS!$B$85</f>
        <v>Assistant/Vice Principal</v>
      </c>
      <c r="E54" s="160">
        <f t="shared" ref="E54:E62" si="11">ROUNDDOWN(IFERROR(CHOOSE($A54, E$19/M54, E$28/M54, E$31/M54, E$34/M54, E$22/M54, E$25/M54, 0), 0), 0)</f>
        <v>0</v>
      </c>
      <c r="F54" s="160">
        <v>1</v>
      </c>
      <c r="G54" s="160">
        <f t="shared" ref="G54:G62" si="12">ROUNDDOWN(IFERROR(CHOOSE($A54, G$19/O54, G$28/O54, G$31/O54, G$34/O54, G$22/O54, G$25/O54, 0), 0), 0)</f>
        <v>1</v>
      </c>
      <c r="H54" s="160">
        <f t="shared" ref="H54:H62" si="13">ROUNDDOWN(IFERROR(CHOOSE($A54, H$19/P54, H$28/P54, H$31/P54, H$34/P54, H$22/P54, H$25/P54, 0), 0), 0)</f>
        <v>2</v>
      </c>
      <c r="I54" s="160">
        <f t="shared" ref="I54:I62" si="14">ROUNDDOWN(IFERROR(CHOOSE($A54, I$19/Q54, I$28/Q54, I$31/Q54, I$34/Q54, I$22/Q54, I$25/Q54, 0), 0), 0)</f>
        <v>3</v>
      </c>
      <c r="J54" s="160">
        <f t="shared" ref="J54:J62" si="15">ROUNDDOWN(IFERROR(CHOOSE($A54, J$19/R54, J$28/R54, J$31/R54, J$34/R54, J$22/R54, J$25/R54, 0), 0), 0)</f>
        <v>3</v>
      </c>
      <c r="K54"/>
      <c r="L54" s="39" t="str">
        <f>INPUTS!$B$85</f>
        <v>Assistant/Vice Principal</v>
      </c>
      <c r="M54" s="195">
        <v>250</v>
      </c>
      <c r="N54" s="195">
        <f t="shared" ref="N54:R61" si="16">IFERROR(IF($B54="Fixed", F$50/F54, M54), 0)</f>
        <v>250</v>
      </c>
      <c r="O54" s="195">
        <f t="shared" si="16"/>
        <v>250</v>
      </c>
      <c r="P54" s="195">
        <f t="shared" si="16"/>
        <v>250</v>
      </c>
      <c r="Q54" s="195">
        <f t="shared" si="16"/>
        <v>250</v>
      </c>
      <c r="R54" s="195">
        <f t="shared" si="16"/>
        <v>250</v>
      </c>
      <c r="S54"/>
      <c r="T54"/>
      <c r="U54"/>
      <c r="V54"/>
      <c r="W54"/>
      <c r="X54" s="464"/>
    </row>
    <row r="55" spans="1:24" outlineLevel="1">
      <c r="A55" s="786" cm="1">
        <f t="array" ref="A55">_xlfn.IFS(B55="Per Pupil", 1, B55="Per Pupil - Elem", 2, B55="Per Pupil - MS", 3, B55="Per Pupil - HS", 4, B55="Per Pupil - SPED", 5, B55="Per Pupil - EL", 6, B55="Fixed", 7)</f>
        <v>1</v>
      </c>
      <c r="B55" s="159" t="str">
        <f>INPUTS!C86</f>
        <v>Per Pupil</v>
      </c>
      <c r="C55" s="21" t="str">
        <f t="shared" si="3"/>
        <v>----&gt;</v>
      </c>
      <c r="D55" s="39" t="str">
        <f>INPUTS!$B$86</f>
        <v>Instructional Coach/Curriculum Specialist</v>
      </c>
      <c r="E55" s="160">
        <f t="shared" si="11"/>
        <v>0</v>
      </c>
      <c r="F55" s="160">
        <f t="shared" ref="F55:F62" si="17">ROUNDDOWN(IFERROR(CHOOSE($A55, F$19/N55, F$28/N55, F$31/N55, F$34/N55, F$22/N55, F$25/N55, 0), 0), 0)</f>
        <v>0</v>
      </c>
      <c r="G55" s="160">
        <f t="shared" si="12"/>
        <v>1</v>
      </c>
      <c r="H55" s="160">
        <f t="shared" si="13"/>
        <v>2</v>
      </c>
      <c r="I55" s="160">
        <f t="shared" si="14"/>
        <v>3</v>
      </c>
      <c r="J55" s="160">
        <f t="shared" si="15"/>
        <v>3</v>
      </c>
      <c r="K55"/>
      <c r="L55" s="39" t="str">
        <f>INPUTS!$B$86</f>
        <v>Instructional Coach/Curriculum Specialist</v>
      </c>
      <c r="M55" s="195">
        <v>250</v>
      </c>
      <c r="N55" s="195">
        <f>IFERROR(IF($B55="Fixed", F$50/F55, M55), 0)</f>
        <v>250</v>
      </c>
      <c r="O55" s="195">
        <f t="shared" si="16"/>
        <v>250</v>
      </c>
      <c r="P55" s="195">
        <f t="shared" si="16"/>
        <v>250</v>
      </c>
      <c r="Q55" s="195">
        <f t="shared" si="16"/>
        <v>250</v>
      </c>
      <c r="R55" s="195">
        <f t="shared" si="16"/>
        <v>250</v>
      </c>
      <c r="S55"/>
      <c r="T55"/>
      <c r="U55"/>
      <c r="V55"/>
      <c r="W55"/>
      <c r="X55" s="464"/>
    </row>
    <row r="56" spans="1:24" outlineLevel="1">
      <c r="A56" s="786" cm="1">
        <f t="array" ref="A56">_xlfn.IFS(B56="Per Pupil", 1, B56="Per Pupil - Elem", 2, B56="Per Pupil - MS", 3, B56="Per Pupil - HS", 4, B56="Per Pupil - SPED", 5, B56="Per Pupil - EL", 6, B56="Fixed", 7)</f>
        <v>2</v>
      </c>
      <c r="B56" s="159" t="str">
        <f>INPUTS!C87</f>
        <v>Per Pupil - Elem</v>
      </c>
      <c r="C56" s="21" t="str">
        <f t="shared" si="3"/>
        <v>----&gt;</v>
      </c>
      <c r="D56" s="39" t="str">
        <f>INPUTS!$B$87</f>
        <v>Classroom Teacher - Elementary</v>
      </c>
      <c r="E56" s="160">
        <f t="shared" si="11"/>
        <v>0</v>
      </c>
      <c r="F56" s="160">
        <f>ROUNDDOWN(IFERROR(CHOOSE($A56, F$19/N56, F$28/N56, F$31/N56, F$34/N56, F$22/N56, F$25/N56, 0), 0), 0)</f>
        <v>0</v>
      </c>
      <c r="G56" s="160">
        <f t="shared" si="12"/>
        <v>0</v>
      </c>
      <c r="H56" s="160">
        <f t="shared" si="13"/>
        <v>0</v>
      </c>
      <c r="I56" s="160">
        <f t="shared" si="14"/>
        <v>0</v>
      </c>
      <c r="J56" s="160">
        <f t="shared" si="15"/>
        <v>0</v>
      </c>
      <c r="K56"/>
      <c r="L56" s="39" t="str">
        <f>INPUTS!$B$87</f>
        <v>Classroom Teacher - Elementary</v>
      </c>
      <c r="M56" s="195">
        <v>0</v>
      </c>
      <c r="N56" s="195">
        <f>IFERROR(IF($B56="Fixed", F$50/F56, M56), 0)</f>
        <v>0</v>
      </c>
      <c r="O56" s="195">
        <f t="shared" si="16"/>
        <v>0</v>
      </c>
      <c r="P56" s="195">
        <f t="shared" si="16"/>
        <v>0</v>
      </c>
      <c r="Q56" s="195">
        <f t="shared" si="16"/>
        <v>0</v>
      </c>
      <c r="R56" s="195">
        <f t="shared" si="16"/>
        <v>0</v>
      </c>
      <c r="S56"/>
      <c r="T56"/>
      <c r="U56"/>
      <c r="V56"/>
      <c r="W56"/>
      <c r="X56" s="464"/>
    </row>
    <row r="57" spans="1:24" outlineLevel="1">
      <c r="A57" s="786" cm="1">
        <f t="array" ref="A57">_xlfn.IFS(B57="Per Pupil", 1, B57="Per Pupil - Elem", 2, B57="Per Pupil - MS", 3, B57="Per Pupil - HS", 4, B57="Per Pupil - SPED", 5, B57="Per Pupil - EL", 6, B57="Fixed", 7)</f>
        <v>3</v>
      </c>
      <c r="B57" s="159" t="str">
        <f>INPUTS!C88</f>
        <v>Per Pupil - MS</v>
      </c>
      <c r="C57" s="21" t="str">
        <f t="shared" si="3"/>
        <v>----&gt;</v>
      </c>
      <c r="D57" s="39" t="str">
        <f>INPUTS!$B$88</f>
        <v>Classroom Teacher - Middle School</v>
      </c>
      <c r="E57" s="160">
        <f t="shared" si="11"/>
        <v>0</v>
      </c>
      <c r="F57" s="160">
        <f t="shared" si="17"/>
        <v>6</v>
      </c>
      <c r="G57" s="160">
        <f t="shared" si="12"/>
        <v>13</v>
      </c>
      <c r="H57" s="160">
        <v>18</v>
      </c>
      <c r="I57" s="160">
        <v>18</v>
      </c>
      <c r="J57" s="160">
        <v>18</v>
      </c>
      <c r="K57"/>
      <c r="L57" s="39" t="str">
        <f>INPUTS!$B$88</f>
        <v>Classroom Teacher - Middle School</v>
      </c>
      <c r="M57" s="195">
        <v>18</v>
      </c>
      <c r="N57" s="195">
        <f t="shared" si="16"/>
        <v>18</v>
      </c>
      <c r="O57" s="195">
        <f t="shared" si="16"/>
        <v>18</v>
      </c>
      <c r="P57" s="195">
        <f t="shared" si="16"/>
        <v>18</v>
      </c>
      <c r="Q57" s="195">
        <f t="shared" si="16"/>
        <v>18</v>
      </c>
      <c r="R57" s="195">
        <f t="shared" si="16"/>
        <v>18</v>
      </c>
      <c r="S57"/>
      <c r="T57"/>
      <c r="U57"/>
      <c r="V57"/>
      <c r="W57"/>
      <c r="X57" s="464"/>
    </row>
    <row r="58" spans="1:24" outlineLevel="1">
      <c r="A58" s="786" cm="1">
        <f t="array" ref="A58">_xlfn.IFS(B58="Per Pupil", 1, B58="Per Pupil - Elem", 2, B58="Per Pupil - MS", 3, B58="Per Pupil - HS", 4, B58="Per Pupil - SPED", 5, B58="Per Pupil - EL", 6, B58="Fixed", 7)</f>
        <v>4</v>
      </c>
      <c r="B58" s="159" t="str">
        <f>INPUTS!C89</f>
        <v>Per Pupil - HS</v>
      </c>
      <c r="C58" s="21" t="str">
        <f t="shared" si="3"/>
        <v>----&gt;</v>
      </c>
      <c r="D58" s="39" t="str">
        <f>INPUTS!$B$89</f>
        <v>Classroom Teacher - High School</v>
      </c>
      <c r="E58" s="160">
        <f t="shared" si="11"/>
        <v>0</v>
      </c>
      <c r="F58" s="160">
        <f t="shared" si="17"/>
        <v>6</v>
      </c>
      <c r="G58" s="160">
        <f t="shared" si="12"/>
        <v>13</v>
      </c>
      <c r="H58" s="160">
        <v>18</v>
      </c>
      <c r="I58" s="160">
        <v>24</v>
      </c>
      <c r="J58" s="160">
        <v>24</v>
      </c>
      <c r="K58"/>
      <c r="L58" s="39" t="str">
        <f>INPUTS!$B$89</f>
        <v>Classroom Teacher - High School</v>
      </c>
      <c r="M58" s="195">
        <v>18</v>
      </c>
      <c r="N58" s="195">
        <f t="shared" si="16"/>
        <v>18</v>
      </c>
      <c r="O58" s="195">
        <f t="shared" si="16"/>
        <v>18</v>
      </c>
      <c r="P58" s="195">
        <f t="shared" si="16"/>
        <v>18</v>
      </c>
      <c r="Q58" s="195">
        <f t="shared" si="16"/>
        <v>18</v>
      </c>
      <c r="R58" s="195">
        <f t="shared" si="16"/>
        <v>18</v>
      </c>
      <c r="S58"/>
      <c r="T58"/>
      <c r="U58"/>
      <c r="V58"/>
      <c r="W58"/>
      <c r="X58" s="464"/>
    </row>
    <row r="59" spans="1:24" outlineLevel="1">
      <c r="A59" s="786" cm="1">
        <f t="array" ref="A59">_xlfn.IFS(B59="Per Pupil", 1, B59="Per Pupil - Elem", 2, B59="Per Pupil - MS", 3, B59="Per Pupil - HS", 4, B59="Per Pupil - SPED", 5, B59="Per Pupil - EL", 6, B59="Fixed", 7)</f>
        <v>5</v>
      </c>
      <c r="B59" s="159" t="str">
        <f>INPUTS!C90</f>
        <v>Per Pupil - SPED</v>
      </c>
      <c r="C59" s="21" t="str">
        <f t="shared" si="3"/>
        <v>----&gt;</v>
      </c>
      <c r="D59" s="39" t="str">
        <f>INPUTS!$B$90</f>
        <v>Special Education (SPED) Teacher</v>
      </c>
      <c r="E59" s="160">
        <f t="shared" si="11"/>
        <v>0</v>
      </c>
      <c r="F59" s="160">
        <f t="shared" si="17"/>
        <v>1</v>
      </c>
      <c r="G59" s="160">
        <f t="shared" si="12"/>
        <v>2</v>
      </c>
      <c r="H59" s="160">
        <f t="shared" si="13"/>
        <v>3</v>
      </c>
      <c r="I59" s="160">
        <f t="shared" si="14"/>
        <v>4</v>
      </c>
      <c r="J59" s="160">
        <f t="shared" si="15"/>
        <v>4</v>
      </c>
      <c r="K59"/>
      <c r="L59" s="39" t="str">
        <f>INPUTS!$B$90</f>
        <v>Special Education (SPED) Teacher</v>
      </c>
      <c r="M59" s="195">
        <v>28</v>
      </c>
      <c r="N59" s="195">
        <f t="shared" si="16"/>
        <v>28</v>
      </c>
      <c r="O59" s="195">
        <f t="shared" si="16"/>
        <v>28</v>
      </c>
      <c r="P59" s="195">
        <f t="shared" si="16"/>
        <v>28</v>
      </c>
      <c r="Q59" s="195">
        <f t="shared" si="16"/>
        <v>28</v>
      </c>
      <c r="R59" s="195">
        <f t="shared" si="16"/>
        <v>28</v>
      </c>
      <c r="S59"/>
      <c r="T59"/>
      <c r="U59"/>
      <c r="V59"/>
      <c r="W59"/>
      <c r="X59" s="464"/>
    </row>
    <row r="60" spans="1:24" outlineLevel="1">
      <c r="A60" s="786" cm="1">
        <f t="array" ref="A60">_xlfn.IFS(B60="Per Pupil", 1, B60="Per Pupil - Elem", 2, B60="Per Pupil - MS", 3, B60="Per Pupil - HS", 4, B60="Per Pupil - SPED", 5, B60="Per Pupil - EL", 6, B60="Fixed", 7)</f>
        <v>6</v>
      </c>
      <c r="B60" s="159" t="str">
        <f>INPUTS!C91</f>
        <v>Per Pupil - EL</v>
      </c>
      <c r="C60" s="21" t="str">
        <f t="shared" si="3"/>
        <v>----&gt;</v>
      </c>
      <c r="D60" s="39" t="str">
        <f>INPUTS!$B$91</f>
        <v>English Learner (EL) Specialist</v>
      </c>
      <c r="E60" s="160">
        <f t="shared" si="11"/>
        <v>0</v>
      </c>
      <c r="F60" s="160">
        <f t="shared" si="17"/>
        <v>0</v>
      </c>
      <c r="G60" s="160">
        <f t="shared" si="12"/>
        <v>0</v>
      </c>
      <c r="H60" s="160">
        <f t="shared" si="13"/>
        <v>0</v>
      </c>
      <c r="I60" s="160">
        <f t="shared" si="14"/>
        <v>0</v>
      </c>
      <c r="J60" s="160">
        <f t="shared" si="15"/>
        <v>0</v>
      </c>
      <c r="K60"/>
      <c r="L60" s="39" t="str">
        <f>INPUTS!$B$91</f>
        <v>English Learner (EL) Specialist</v>
      </c>
      <c r="M60" s="195">
        <v>0</v>
      </c>
      <c r="N60" s="195">
        <f t="shared" si="16"/>
        <v>0</v>
      </c>
      <c r="O60" s="195">
        <f t="shared" si="16"/>
        <v>0</v>
      </c>
      <c r="P60" s="195">
        <f t="shared" si="16"/>
        <v>0</v>
      </c>
      <c r="Q60" s="195">
        <f t="shared" si="16"/>
        <v>0</v>
      </c>
      <c r="R60" s="195">
        <f t="shared" si="16"/>
        <v>0</v>
      </c>
      <c r="S60"/>
      <c r="T60"/>
      <c r="U60"/>
      <c r="V60"/>
      <c r="W60"/>
      <c r="X60" s="464"/>
    </row>
    <row r="61" spans="1:24" outlineLevel="1">
      <c r="A61" s="786" cm="1">
        <f t="array" ref="A61">_xlfn.IFS(B61="Per Pupil", 1, B61="Per Pupil - Elem", 2, B61="Per Pupil - MS", 3, B61="Per Pupil - HS", 4, B61="Per Pupil - SPED", 5, B61="Per Pupil - EL", 6, B61="Fixed", 7)</f>
        <v>1</v>
      </c>
      <c r="B61" s="159" t="str">
        <f>INPUTS!C92</f>
        <v>Per Pupil</v>
      </c>
      <c r="C61" s="21" t="str">
        <f t="shared" si="3"/>
        <v>----&gt;</v>
      </c>
      <c r="D61" s="39" t="str">
        <f>INPUTS!$B$92</f>
        <v>Intervention Specialist (Reading/Math)</v>
      </c>
      <c r="E61" s="160">
        <f t="shared" si="11"/>
        <v>0</v>
      </c>
      <c r="F61" s="160">
        <f t="shared" si="17"/>
        <v>0</v>
      </c>
      <c r="G61" s="160">
        <f t="shared" si="12"/>
        <v>0</v>
      </c>
      <c r="H61" s="160">
        <f t="shared" si="13"/>
        <v>0</v>
      </c>
      <c r="I61" s="160">
        <f t="shared" si="14"/>
        <v>0</v>
      </c>
      <c r="J61" s="160">
        <f t="shared" si="15"/>
        <v>0</v>
      </c>
      <c r="K61"/>
      <c r="L61" s="39" t="str">
        <f>INPUTS!$B$92</f>
        <v>Intervention Specialist (Reading/Math)</v>
      </c>
      <c r="M61" s="195">
        <v>0</v>
      </c>
      <c r="N61" s="195">
        <f t="shared" si="16"/>
        <v>0</v>
      </c>
      <c r="O61" s="195">
        <f t="shared" si="16"/>
        <v>0</v>
      </c>
      <c r="P61" s="195">
        <f t="shared" si="16"/>
        <v>0</v>
      </c>
      <c r="Q61" s="195">
        <f t="shared" si="16"/>
        <v>0</v>
      </c>
      <c r="R61" s="195">
        <f t="shared" si="16"/>
        <v>0</v>
      </c>
      <c r="S61"/>
      <c r="T61"/>
      <c r="U61"/>
      <c r="V61"/>
      <c r="W61"/>
      <c r="X61" s="464"/>
    </row>
    <row r="62" spans="1:24" outlineLevel="1">
      <c r="A62" s="786" cm="1">
        <f t="array" ref="A62">_xlfn.IFS(B62="Per Pupil", 1, B62="Per Pupil - Elem", 2, B62="Per Pupil - MS", 3, B62="Per Pupil - HS", 4, B62="Per Pupil - SPED", 5, B62="Per Pupil - EL", 6, B62="Fixed", 7)</f>
        <v>1</v>
      </c>
      <c r="B62" s="159" t="str">
        <f>INPUTS!C93</f>
        <v>Per Pupil</v>
      </c>
      <c r="C62" s="21" t="str">
        <f t="shared" si="3"/>
        <v>----&gt;</v>
      </c>
      <c r="D62" s="39" t="str">
        <f>INPUTS!$B$93</f>
        <v>Instructional Aides/Paraeducators</v>
      </c>
      <c r="E62" s="160">
        <f t="shared" si="11"/>
        <v>0</v>
      </c>
      <c r="F62" s="160">
        <f t="shared" si="17"/>
        <v>2</v>
      </c>
      <c r="G62" s="160">
        <f t="shared" si="12"/>
        <v>4</v>
      </c>
      <c r="H62" s="160">
        <f t="shared" si="13"/>
        <v>6</v>
      </c>
      <c r="I62" s="160">
        <f t="shared" si="14"/>
        <v>7</v>
      </c>
      <c r="J62" s="160">
        <f t="shared" si="15"/>
        <v>7</v>
      </c>
      <c r="K62"/>
      <c r="L62" s="39" t="str">
        <f>INPUTS!$B$93</f>
        <v>Instructional Aides/Paraeducators</v>
      </c>
      <c r="M62" s="195">
        <v>100</v>
      </c>
      <c r="N62" s="195">
        <f>IFERROR(IF($B62="Fixed", F$50/F62, M62), 0)</f>
        <v>100</v>
      </c>
      <c r="O62" s="195">
        <f t="shared" ref="O62" si="18">IFERROR(IF($B62="Fixed", G$50/G62, N62), 0)</f>
        <v>100</v>
      </c>
      <c r="P62" s="195">
        <f t="shared" ref="P62" si="19">IFERROR(IF($B62="Fixed", H$50/H62, O62), 0)</f>
        <v>100</v>
      </c>
      <c r="Q62" s="195">
        <f t="shared" ref="Q62" si="20">IFERROR(IF($B62="Fixed", I$50/I62, P62), 0)</f>
        <v>100</v>
      </c>
      <c r="R62" s="195">
        <f t="shared" ref="R62" si="21">IFERROR(IF($B62="Fixed", J$50/J62, Q62), 0)</f>
        <v>100</v>
      </c>
      <c r="S62"/>
      <c r="T62"/>
      <c r="U62"/>
      <c r="V62"/>
      <c r="W62"/>
      <c r="X62" s="464"/>
    </row>
    <row r="63" spans="1:24" outlineLevel="1">
      <c r="A63" s="786" cm="1">
        <f t="array" ref="A63">_xlfn.IFS(B63="Per Pupil", 1, B63="Per Pupil - Elem", 2, B63="Per Pupil - MS", 3, B63="Per Pupil - HS", 4, B63="Per Pupil - SPED", 5, B63="Per Pupil - EL", 6, B63="Fixed", 7)</f>
        <v>7</v>
      </c>
      <c r="B63" s="159" t="str">
        <f>INPUTS!C94</f>
        <v>Fixed</v>
      </c>
      <c r="C63" s="21" t="str">
        <f t="shared" si="3"/>
        <v>----&gt;</v>
      </c>
      <c r="D63" s="39" t="str">
        <f>INPUTS!$B$94</f>
        <v>School Counselor</v>
      </c>
      <c r="E63" s="160">
        <f>ROUNDDOWN(IFERROR(CHOOSE($A63, E$19/M63, E$28/M63, E$31/M63, E$34/M63, E$22/M63, E$25/M63, 0), 0), 0)</f>
        <v>0</v>
      </c>
      <c r="F63" s="160">
        <v>1</v>
      </c>
      <c r="G63" s="160">
        <v>1</v>
      </c>
      <c r="H63" s="160">
        <v>1</v>
      </c>
      <c r="I63" s="160">
        <v>1</v>
      </c>
      <c r="J63" s="160">
        <v>1</v>
      </c>
      <c r="K63"/>
      <c r="L63" s="39" t="str">
        <f>INPUTS!$B$94</f>
        <v>School Counselor</v>
      </c>
      <c r="M63" s="195">
        <f t="shared" ref="M63:M71" si="22">IFERROR(IF($B63="Fixed", E$19/E63, 0), 0)</f>
        <v>0</v>
      </c>
      <c r="N63" s="195">
        <f t="shared" ref="N63:N71" si="23">IFERROR(IF($B63="Fixed", F$19/F63, 0), 0)</f>
        <v>240</v>
      </c>
      <c r="O63" s="195">
        <f t="shared" ref="O63:O71" si="24">IFERROR(IF($B63="Fixed", G$19/G63, 0), 0)</f>
        <v>480</v>
      </c>
      <c r="P63" s="195">
        <f t="shared" ref="P63:P71" si="25">IFERROR(IF($B63="Fixed", H$19/H63, 0), 0)</f>
        <v>690</v>
      </c>
      <c r="Q63" s="195">
        <f t="shared" ref="Q63:Q71" si="26">IFERROR(IF($B63="Fixed", I$19/I63, 0), 0)</f>
        <v>780</v>
      </c>
      <c r="R63" s="195">
        <f t="shared" ref="R63:R71" si="27">IFERROR(IF($B63="Fixed", J$19/J63, 0), 0)</f>
        <v>780</v>
      </c>
      <c r="S63"/>
      <c r="T63"/>
      <c r="U63"/>
      <c r="V63"/>
      <c r="W63"/>
      <c r="X63" s="464"/>
    </row>
    <row r="64" spans="1:24" outlineLevel="1">
      <c r="A64" s="786" cm="1">
        <f t="array" ref="A64">_xlfn.IFS(B64="Per Pupil", 1, B64="Per Pupil - Elem", 2, B64="Per Pupil - MS", 3, B64="Per Pupil - HS", 4, B64="Per Pupil - SPED", 5, B64="Per Pupil - EL", 6, B64="Fixed", 7)</f>
        <v>7</v>
      </c>
      <c r="B64" s="159" t="str">
        <f>INPUTS!C95</f>
        <v>Fixed</v>
      </c>
      <c r="C64" s="21" t="str">
        <f t="shared" si="3"/>
        <v>----&gt;</v>
      </c>
      <c r="D64" s="39" t="str">
        <f>INPUTS!$B$95</f>
        <v>School Psychologist</v>
      </c>
      <c r="E64" s="160">
        <f t="shared" ref="E64:F77" si="28">ROUNDDOWN(IFERROR(CHOOSE($A64, E$19/M64, E$28/M64, E$31/M64, E$34/M64, E$22/M64, E$25/M64, 0), 0), 0)</f>
        <v>0</v>
      </c>
      <c r="F64" s="160">
        <f t="shared" si="28"/>
        <v>0</v>
      </c>
      <c r="G64" s="160">
        <f t="shared" ref="G64" si="29">ROUNDDOWN(IFERROR(CHOOSE($A64, G$19/O64, G$28/O64, G$31/O64, G$34/O64, G$22/O64, G$25/O64, 0), 0), 0)</f>
        <v>0</v>
      </c>
      <c r="H64" s="160">
        <v>1</v>
      </c>
      <c r="I64" s="160">
        <f t="shared" ref="I64:I71" si="30">ROUNDDOWN(IFERROR(CHOOSE($A64, I$19/Q64, I$28/Q64, I$31/Q64, I$34/Q64, I$22/Q64, I$25/Q64, 1), 0), 0)</f>
        <v>1</v>
      </c>
      <c r="J64" s="160">
        <f t="shared" ref="J64:J71" si="31">ROUNDDOWN(IFERROR(CHOOSE($A64, J$19/R64, J$28/R64, J$31/R64, J$34/R64, J$22/R64, J$25/R64, 1), 0), 0)</f>
        <v>1</v>
      </c>
      <c r="K64"/>
      <c r="L64" s="39" t="str">
        <f>INPUTS!$B$95</f>
        <v>School Psychologist</v>
      </c>
      <c r="M64" s="195">
        <f t="shared" si="22"/>
        <v>0</v>
      </c>
      <c r="N64" s="195">
        <f t="shared" si="23"/>
        <v>0</v>
      </c>
      <c r="O64" s="195">
        <f t="shared" si="24"/>
        <v>0</v>
      </c>
      <c r="P64" s="195">
        <f t="shared" si="25"/>
        <v>690</v>
      </c>
      <c r="Q64" s="195">
        <f t="shared" si="26"/>
        <v>780</v>
      </c>
      <c r="R64" s="195">
        <f t="shared" si="27"/>
        <v>780</v>
      </c>
      <c r="S64"/>
      <c r="T64"/>
      <c r="U64"/>
      <c r="V64"/>
      <c r="W64"/>
      <c r="X64" s="788"/>
    </row>
    <row r="65" spans="1:24" outlineLevel="1">
      <c r="A65" s="786" cm="1">
        <f t="array" ref="A65">_xlfn.IFS(B65="Per Pupil", 1, B65="Per Pupil - Elem", 2, B65="Per Pupil - MS", 3, B65="Per Pupil - HS", 4, B65="Per Pupil - SPED", 5, B65="Per Pupil - EL", 6, B65="Fixed", 7)</f>
        <v>7</v>
      </c>
      <c r="B65" s="159" t="str">
        <f>INPUTS!C96</f>
        <v>Fixed</v>
      </c>
      <c r="C65" s="21" t="str">
        <f t="shared" si="3"/>
        <v>----&gt;</v>
      </c>
      <c r="D65" s="39" t="str">
        <f>INPUTS!$B$96</f>
        <v>Registrar/Enrollment Manager</v>
      </c>
      <c r="E65" s="160">
        <f t="shared" si="28"/>
        <v>0</v>
      </c>
      <c r="F65" s="160">
        <f>ROUNDDOWN(IFERROR(CHOOSE($A65, F$19/N65, F$28/N65, F$31/N65, F$34/N65, F$22/N65, F$25/N65, 1), 0), 0)</f>
        <v>1</v>
      </c>
      <c r="G65" s="160">
        <f t="shared" ref="G65:G71" si="32">ROUNDDOWN(IFERROR(CHOOSE($A65, G$19/O65, G$28/O65, G$31/O65, G$34/O65, G$22/O65, G$25/O65, 1), 0), 0)</f>
        <v>1</v>
      </c>
      <c r="H65" s="160">
        <f t="shared" ref="H65:H71" si="33">ROUNDDOWN(IFERROR(CHOOSE($A65, H$19/P65, H$28/P65, H$31/P65, H$34/P65, H$22/P65, H$25/P65, 1), 0), 0)</f>
        <v>1</v>
      </c>
      <c r="I65" s="160">
        <f t="shared" si="30"/>
        <v>1</v>
      </c>
      <c r="J65" s="160">
        <f t="shared" si="31"/>
        <v>1</v>
      </c>
      <c r="K65"/>
      <c r="L65" s="39" t="str">
        <f>INPUTS!$B$96</f>
        <v>Registrar/Enrollment Manager</v>
      </c>
      <c r="M65" s="195">
        <f t="shared" si="22"/>
        <v>0</v>
      </c>
      <c r="N65" s="195">
        <f t="shared" si="23"/>
        <v>240</v>
      </c>
      <c r="O65" s="195">
        <f t="shared" si="24"/>
        <v>480</v>
      </c>
      <c r="P65" s="195">
        <f t="shared" si="25"/>
        <v>690</v>
      </c>
      <c r="Q65" s="195">
        <f t="shared" si="26"/>
        <v>780</v>
      </c>
      <c r="R65" s="195">
        <f t="shared" si="27"/>
        <v>780</v>
      </c>
      <c r="S65"/>
      <c r="T65"/>
      <c r="U65"/>
      <c r="V65"/>
      <c r="W65"/>
      <c r="X65" s="788"/>
    </row>
    <row r="66" spans="1:24" outlineLevel="1">
      <c r="A66" s="786" cm="1">
        <f t="array" ref="A66">_xlfn.IFS(B66="Per Pupil", 1, B66="Per Pupil - Elem", 2, B66="Per Pupil - MS", 3, B66="Per Pupil - HS", 4, B66="Per Pupil - SPED", 5, B66="Per Pupil - EL", 6, B66="Fixed", 7)</f>
        <v>7</v>
      </c>
      <c r="B66" s="159" t="str">
        <f>INPUTS!C97</f>
        <v>Fixed</v>
      </c>
      <c r="C66" s="21" t="str">
        <f t="shared" si="3"/>
        <v>----&gt;</v>
      </c>
      <c r="D66" s="39" t="str">
        <f>INPUTS!$B$97</f>
        <v>Chief Operations Officer (COO)/Ops. Manager</v>
      </c>
      <c r="E66" s="160">
        <f t="shared" si="28"/>
        <v>0</v>
      </c>
      <c r="F66" s="160">
        <v>1</v>
      </c>
      <c r="G66" s="160">
        <v>1</v>
      </c>
      <c r="H66" s="160">
        <f t="shared" si="33"/>
        <v>1</v>
      </c>
      <c r="I66" s="160">
        <f t="shared" si="30"/>
        <v>1</v>
      </c>
      <c r="J66" s="160">
        <f t="shared" si="31"/>
        <v>1</v>
      </c>
      <c r="K66"/>
      <c r="L66" s="39" t="str">
        <f>INPUTS!$B$97</f>
        <v>Chief Operations Officer (COO)/Ops. Manager</v>
      </c>
      <c r="M66" s="195">
        <f t="shared" si="22"/>
        <v>0</v>
      </c>
      <c r="N66" s="195">
        <f t="shared" si="23"/>
        <v>240</v>
      </c>
      <c r="O66" s="195">
        <f t="shared" si="24"/>
        <v>480</v>
      </c>
      <c r="P66" s="195">
        <f t="shared" si="25"/>
        <v>690</v>
      </c>
      <c r="Q66" s="195">
        <f t="shared" si="26"/>
        <v>780</v>
      </c>
      <c r="R66" s="195">
        <f t="shared" si="27"/>
        <v>780</v>
      </c>
      <c r="S66"/>
      <c r="T66"/>
      <c r="U66"/>
      <c r="V66"/>
      <c r="W66"/>
      <c r="X66" s="788"/>
    </row>
    <row r="67" spans="1:24" outlineLevel="1">
      <c r="A67" s="786" cm="1">
        <f t="array" ref="A67">_xlfn.IFS(B67="Per Pupil", 1, B67="Per Pupil - Elem", 2, B67="Per Pupil - MS", 3, B67="Per Pupil - HS", 4, B67="Per Pupil - SPED", 5, B67="Per Pupil - EL", 6, B67="Fixed", 7)</f>
        <v>7</v>
      </c>
      <c r="B67" s="159" t="str">
        <f>INPUTS!C98</f>
        <v>Fixed</v>
      </c>
      <c r="C67" s="21" t="str">
        <f t="shared" si="3"/>
        <v>----&gt;</v>
      </c>
      <c r="D67" s="39" t="str">
        <f>INPUTS!$B$98</f>
        <v>CFO/Finance Manager/Business Manager</v>
      </c>
      <c r="E67" s="160">
        <f t="shared" si="28"/>
        <v>0</v>
      </c>
      <c r="F67" s="160">
        <v>0.25</v>
      </c>
      <c r="G67" s="160">
        <v>0.25</v>
      </c>
      <c r="H67" s="160">
        <v>0.25</v>
      </c>
      <c r="I67" s="160">
        <v>0.25</v>
      </c>
      <c r="J67" s="160">
        <v>0.25</v>
      </c>
      <c r="K67"/>
      <c r="L67" s="39" t="str">
        <f>INPUTS!$B$98</f>
        <v>CFO/Finance Manager/Business Manager</v>
      </c>
      <c r="M67" s="195">
        <f t="shared" si="22"/>
        <v>0</v>
      </c>
      <c r="N67" s="195">
        <f t="shared" si="23"/>
        <v>960</v>
      </c>
      <c r="O67" s="195">
        <f t="shared" si="24"/>
        <v>1920</v>
      </c>
      <c r="P67" s="195">
        <f t="shared" si="25"/>
        <v>2760</v>
      </c>
      <c r="Q67" s="195">
        <f t="shared" si="26"/>
        <v>3120</v>
      </c>
      <c r="R67" s="195">
        <f t="shared" si="27"/>
        <v>3120</v>
      </c>
      <c r="S67"/>
      <c r="T67"/>
      <c r="U67"/>
      <c r="V67"/>
      <c r="W67"/>
      <c r="X67" s="788"/>
    </row>
    <row r="68" spans="1:24" outlineLevel="1">
      <c r="A68" s="786" cm="1">
        <f t="array" ref="A68">_xlfn.IFS(B68="Per Pupil", 1, B68="Per Pupil - Elem", 2, B68="Per Pupil - MS", 3, B68="Per Pupil - HS", 4, B68="Per Pupil - SPED", 5, B68="Per Pupil - EL", 6, B68="Fixed", 7)</f>
        <v>7</v>
      </c>
      <c r="B68" s="159" t="str">
        <f>INPUTS!C99</f>
        <v>Fixed</v>
      </c>
      <c r="C68" s="21" t="str">
        <f t="shared" si="3"/>
        <v>----&gt;</v>
      </c>
      <c r="D68" s="39" t="str">
        <f>INPUTS!$B$99</f>
        <v>Administrative Assistant/Office Manager</v>
      </c>
      <c r="E68" s="160">
        <f t="shared" si="28"/>
        <v>0</v>
      </c>
      <c r="F68" s="160">
        <v>1</v>
      </c>
      <c r="G68" s="160">
        <f t="shared" si="32"/>
        <v>1</v>
      </c>
      <c r="H68" s="160">
        <v>2</v>
      </c>
      <c r="I68" s="160">
        <v>2</v>
      </c>
      <c r="J68" s="160">
        <v>2</v>
      </c>
      <c r="K68"/>
      <c r="L68" s="39" t="str">
        <f>INPUTS!$B$99</f>
        <v>Administrative Assistant/Office Manager</v>
      </c>
      <c r="M68" s="195">
        <f t="shared" si="22"/>
        <v>0</v>
      </c>
      <c r="N68" s="195">
        <f t="shared" si="23"/>
        <v>240</v>
      </c>
      <c r="O68" s="195">
        <f t="shared" si="24"/>
        <v>480</v>
      </c>
      <c r="P68" s="195">
        <f t="shared" si="25"/>
        <v>345</v>
      </c>
      <c r="Q68" s="195">
        <f t="shared" si="26"/>
        <v>390</v>
      </c>
      <c r="R68" s="195">
        <f t="shared" si="27"/>
        <v>390</v>
      </c>
      <c r="S68"/>
      <c r="T68"/>
      <c r="U68"/>
      <c r="V68"/>
      <c r="W68"/>
      <c r="X68" s="788"/>
    </row>
    <row r="69" spans="1:24" outlineLevel="1">
      <c r="A69" s="786" cm="1">
        <f t="array" ref="A69">_xlfn.IFS(B69="Per Pupil", 1, B69="Per Pupil - Elem", 2, B69="Per Pupil - MS", 3, B69="Per Pupil - HS", 4, B69="Per Pupil - SPED", 5, B69="Per Pupil - EL", 6, B69="Fixed", 7)</f>
        <v>7</v>
      </c>
      <c r="B69" s="159" t="str">
        <f>INPUTS!C100</f>
        <v>Fixed</v>
      </c>
      <c r="C69" s="21" t="str">
        <f t="shared" si="3"/>
        <v>----&gt;</v>
      </c>
      <c r="D69" s="39" t="str">
        <f>INPUTS!$B$100</f>
        <v>Human Resources Specialist</v>
      </c>
      <c r="E69" s="160">
        <f t="shared" si="28"/>
        <v>0</v>
      </c>
      <c r="F69" s="160">
        <v>0</v>
      </c>
      <c r="G69" s="160">
        <v>0</v>
      </c>
      <c r="H69" s="160">
        <f t="shared" si="33"/>
        <v>1</v>
      </c>
      <c r="I69" s="160">
        <f t="shared" si="30"/>
        <v>1</v>
      </c>
      <c r="J69" s="160">
        <f t="shared" si="31"/>
        <v>1</v>
      </c>
      <c r="K69"/>
      <c r="L69" s="39" t="str">
        <f>INPUTS!$B$100</f>
        <v>Human Resources Specialist</v>
      </c>
      <c r="M69" s="195">
        <f t="shared" si="22"/>
        <v>0</v>
      </c>
      <c r="N69" s="195">
        <f t="shared" si="23"/>
        <v>0</v>
      </c>
      <c r="O69" s="195">
        <f t="shared" si="24"/>
        <v>0</v>
      </c>
      <c r="P69" s="195">
        <f t="shared" si="25"/>
        <v>690</v>
      </c>
      <c r="Q69" s="195">
        <f t="shared" si="26"/>
        <v>780</v>
      </c>
      <c r="R69" s="195">
        <f t="shared" si="27"/>
        <v>780</v>
      </c>
      <c r="S69"/>
      <c r="T69"/>
      <c r="U69"/>
      <c r="V69"/>
      <c r="W69"/>
      <c r="X69" s="788"/>
    </row>
    <row r="70" spans="1:24" outlineLevel="1">
      <c r="A70" s="786" cm="1">
        <f t="array" ref="A70">_xlfn.IFS(B70="Per Pupil", 1, B70="Per Pupil - Elem", 2, B70="Per Pupil - MS", 3, B70="Per Pupil - HS", 4, B70="Per Pupil - SPED", 5, B70="Per Pupil - EL", 6, B70="Fixed", 7)</f>
        <v>7</v>
      </c>
      <c r="B70" s="159" t="str">
        <f>INPUTS!C101</f>
        <v>Fixed</v>
      </c>
      <c r="C70" s="21" t="str">
        <f t="shared" si="3"/>
        <v>----&gt;</v>
      </c>
      <c r="D70" s="39" t="str">
        <f>INPUTS!$B$101</f>
        <v>IT Coordinator/Instructional Technologist</v>
      </c>
      <c r="E70" s="160">
        <f t="shared" si="28"/>
        <v>0</v>
      </c>
      <c r="F70" s="160">
        <f>ROUNDDOWN(IFERROR(CHOOSE($A70, F$19/N70, F$28/N70, F$31/N70, F$34/N70, F$22/N70, F$25/N70, 1), 0), 0)</f>
        <v>1</v>
      </c>
      <c r="G70" s="160">
        <f t="shared" si="32"/>
        <v>1</v>
      </c>
      <c r="H70" s="160">
        <f t="shared" si="33"/>
        <v>1</v>
      </c>
      <c r="I70" s="160">
        <f t="shared" si="30"/>
        <v>1</v>
      </c>
      <c r="J70" s="160">
        <f t="shared" si="31"/>
        <v>1</v>
      </c>
      <c r="K70"/>
      <c r="L70" s="39" t="str">
        <f>INPUTS!$B$101</f>
        <v>IT Coordinator/Instructional Technologist</v>
      </c>
      <c r="M70" s="195">
        <f t="shared" si="22"/>
        <v>0</v>
      </c>
      <c r="N70" s="195">
        <f t="shared" si="23"/>
        <v>240</v>
      </c>
      <c r="O70" s="195">
        <f t="shared" si="24"/>
        <v>480</v>
      </c>
      <c r="P70" s="195">
        <f t="shared" si="25"/>
        <v>690</v>
      </c>
      <c r="Q70" s="195">
        <f t="shared" si="26"/>
        <v>780</v>
      </c>
      <c r="R70" s="195">
        <f t="shared" si="27"/>
        <v>780</v>
      </c>
      <c r="S70"/>
      <c r="T70"/>
      <c r="U70"/>
      <c r="V70"/>
      <c r="W70"/>
      <c r="X70" s="788"/>
    </row>
    <row r="71" spans="1:24" outlineLevel="1">
      <c r="A71" s="786" cm="1">
        <f t="array" ref="A71">_xlfn.IFS(B71="Per Pupil", 1, B71="Per Pupil - Elem", 2, B71="Per Pupil - MS", 3, B71="Per Pupil - HS", 4, B71="Per Pupil - SPED", 5, B71="Per Pupil - EL", 6, B71="Fixed", 7)</f>
        <v>7</v>
      </c>
      <c r="B71" s="159" t="str">
        <f>INPUTS!C102</f>
        <v>Fixed</v>
      </c>
      <c r="C71" s="21" t="str">
        <f t="shared" si="3"/>
        <v>----&gt;</v>
      </c>
      <c r="D71" s="39" t="str">
        <f>INPUTS!$B$102</f>
        <v>Facilities Manager</v>
      </c>
      <c r="E71" s="160">
        <f t="shared" si="28"/>
        <v>0</v>
      </c>
      <c r="F71" s="160">
        <v>0</v>
      </c>
      <c r="G71" s="160">
        <v>0</v>
      </c>
      <c r="H71" s="160">
        <v>0</v>
      </c>
      <c r="I71" s="160">
        <v>0</v>
      </c>
      <c r="J71" s="160">
        <v>0</v>
      </c>
      <c r="K71"/>
      <c r="L71" s="39" t="str">
        <f>INPUTS!$B$102</f>
        <v>Facilities Manager</v>
      </c>
      <c r="M71" s="195">
        <f t="shared" si="22"/>
        <v>0</v>
      </c>
      <c r="N71" s="195">
        <f t="shared" si="23"/>
        <v>0</v>
      </c>
      <c r="O71" s="195">
        <f t="shared" si="24"/>
        <v>0</v>
      </c>
      <c r="P71" s="195">
        <f t="shared" si="25"/>
        <v>0</v>
      </c>
      <c r="Q71" s="195">
        <f t="shared" si="26"/>
        <v>0</v>
      </c>
      <c r="R71" s="195">
        <f t="shared" si="27"/>
        <v>0</v>
      </c>
      <c r="S71"/>
      <c r="T71"/>
      <c r="U71"/>
      <c r="V71"/>
      <c r="W71"/>
      <c r="X71" s="788"/>
    </row>
    <row r="72" spans="1:24" outlineLevel="1">
      <c r="A72" s="786" cm="1">
        <f t="array" ref="A72">_xlfn.IFS(B72="Per Pupil", 1, B72="Per Pupil - Elem", 2, B72="Per Pupil - MS", 3, B72="Per Pupil - HS", 4, B72="Per Pupil - SPED", 5, B72="Per Pupil - EL", 6, B72="Fixed", 7)</f>
        <v>1</v>
      </c>
      <c r="B72" s="159" t="str">
        <f>INPUTS!C103</f>
        <v>Per Pupil</v>
      </c>
      <c r="C72" s="21" t="str">
        <f t="shared" si="3"/>
        <v>----&gt;</v>
      </c>
      <c r="D72" s="39" t="str">
        <f>INPUTS!$B$103</f>
        <v>Custodian/Facilities Maintenance</v>
      </c>
      <c r="E72" s="160">
        <f t="shared" si="28"/>
        <v>0</v>
      </c>
      <c r="F72" s="160">
        <v>1</v>
      </c>
      <c r="G72" s="160">
        <f>ROUNDDOWN(IFERROR(CHOOSE($A72, G$19/O72, G$28/O72, G$31/O72, G$34/O72, G$22/O72, G$25/O72, 0), 0), 0)</f>
        <v>1</v>
      </c>
      <c r="H72" s="160">
        <v>2</v>
      </c>
      <c r="I72" s="160">
        <v>2</v>
      </c>
      <c r="J72" s="160">
        <v>2</v>
      </c>
      <c r="K72"/>
      <c r="L72" s="39" t="str">
        <f>INPUTS!$B$103</f>
        <v>Custodian/Facilities Maintenance</v>
      </c>
      <c r="M72" s="195">
        <v>400</v>
      </c>
      <c r="N72" s="195">
        <f>IFERROR(IF($B72="Fixed", F$50/F72, M72), 0)</f>
        <v>400</v>
      </c>
      <c r="O72" s="195">
        <f>IFERROR(IF($B72="Fixed", G$50/G72, N72), 0)</f>
        <v>400</v>
      </c>
      <c r="P72" s="195">
        <f>IFERROR(IF($B72="Fixed", H$50/H72, O72), 0)</f>
        <v>400</v>
      </c>
      <c r="Q72" s="195">
        <f>IFERROR(IF($B72="Fixed", I$50/I72, P72), 0)</f>
        <v>400</v>
      </c>
      <c r="R72" s="195">
        <f>IFERROR(IF($B72="Fixed", J$50/J72, Q72), 0)</f>
        <v>400</v>
      </c>
      <c r="S72"/>
      <c r="T72"/>
      <c r="U72"/>
      <c r="V72"/>
      <c r="W72"/>
      <c r="X72" s="788"/>
    </row>
    <row r="73" spans="1:24" outlineLevel="1">
      <c r="A73" s="786" cm="1">
        <f t="array" ref="A73">_xlfn.IFS(B73="Per Pupil", 1, B73="Per Pupil - Elem", 2, B73="Per Pupil - MS", 3, B73="Per Pupil - HS", 4, B73="Per Pupil - SPED", 5, B73="Per Pupil - EL", 6, B73="Fixed", 7)</f>
        <v>7</v>
      </c>
      <c r="B73" s="159" t="str">
        <f>INPUTS!C104</f>
        <v>Fixed</v>
      </c>
      <c r="C73" s="21" t="str">
        <f t="shared" si="3"/>
        <v>----&gt;</v>
      </c>
      <c r="D73" s="39" t="str">
        <f>INPUTS!$B$104</f>
        <v>Security/Safety Coordinator</v>
      </c>
      <c r="E73" s="160">
        <f t="shared" si="28"/>
        <v>0</v>
      </c>
      <c r="F73" s="160">
        <f t="shared" si="28"/>
        <v>0</v>
      </c>
      <c r="G73" s="160">
        <v>0</v>
      </c>
      <c r="H73" s="160">
        <v>0</v>
      </c>
      <c r="I73" s="160">
        <v>0</v>
      </c>
      <c r="J73" s="160">
        <v>0</v>
      </c>
      <c r="K73"/>
      <c r="L73" s="39" t="str">
        <f>INPUTS!$B$104</f>
        <v>Security/Safety Coordinator</v>
      </c>
      <c r="M73" s="195">
        <f t="shared" ref="M73:M74" si="34">IFERROR(IF($B73="Fixed", E$19/E73, 0), 0)</f>
        <v>0</v>
      </c>
      <c r="N73" s="195">
        <f t="shared" ref="N73:N74" si="35">IFERROR(IF($B73="Fixed", F$19/F73, 0), 0)</f>
        <v>0</v>
      </c>
      <c r="O73" s="195">
        <f t="shared" ref="O73:O74" si="36">IFERROR(IF($B73="Fixed", G$19/G73, 0), 0)</f>
        <v>0</v>
      </c>
      <c r="P73" s="195">
        <f t="shared" ref="P73:P74" si="37">IFERROR(IF($B73="Fixed", H$19/H73, 0), 0)</f>
        <v>0</v>
      </c>
      <c r="Q73" s="195">
        <f t="shared" ref="Q73:Q74" si="38">IFERROR(IF($B73="Fixed", I$19/I73, 0), 0)</f>
        <v>0</v>
      </c>
      <c r="R73" s="195">
        <f t="shared" ref="R73:R74" si="39">IFERROR(IF($B73="Fixed", J$19/J73, 0), 0)</f>
        <v>0</v>
      </c>
      <c r="S73"/>
      <c r="T73"/>
      <c r="U73"/>
      <c r="V73"/>
      <c r="W73"/>
      <c r="X73" s="788"/>
    </row>
    <row r="74" spans="1:24" outlineLevel="1">
      <c r="A74" s="786" cm="1">
        <f t="array" ref="A74">_xlfn.IFS(B74="Per Pupil", 1, B74="Per Pupil - Elem", 2, B74="Per Pupil - MS", 3, B74="Per Pupil - HS", 4, B74="Per Pupil - SPED", 5, B74="Per Pupil - EL", 6, B74="Fixed", 7)</f>
        <v>7</v>
      </c>
      <c r="B74" s="159" t="str">
        <f>INPUTS!C105</f>
        <v>Fixed</v>
      </c>
      <c r="C74" s="21" t="str">
        <f t="shared" si="3"/>
        <v>----&gt;</v>
      </c>
      <c r="D74" s="39" t="str">
        <f>INPUTS!$B$105</f>
        <v>Nutrition Program Manager/Lead</v>
      </c>
      <c r="E74" s="160">
        <f t="shared" si="28"/>
        <v>0</v>
      </c>
      <c r="F74" s="160">
        <v>0</v>
      </c>
      <c r="G74" s="160">
        <v>0</v>
      </c>
      <c r="H74" s="160">
        <v>0</v>
      </c>
      <c r="I74" s="160">
        <v>0</v>
      </c>
      <c r="J74" s="160">
        <v>0</v>
      </c>
      <c r="K74"/>
      <c r="L74" s="39" t="str">
        <f>INPUTS!$B$105</f>
        <v>Nutrition Program Manager/Lead</v>
      </c>
      <c r="M74" s="195">
        <f t="shared" si="34"/>
        <v>0</v>
      </c>
      <c r="N74" s="195">
        <f t="shared" si="35"/>
        <v>0</v>
      </c>
      <c r="O74" s="195">
        <f t="shared" si="36"/>
        <v>0</v>
      </c>
      <c r="P74" s="195">
        <f t="shared" si="37"/>
        <v>0</v>
      </c>
      <c r="Q74" s="195">
        <f t="shared" si="38"/>
        <v>0</v>
      </c>
      <c r="R74" s="195">
        <f t="shared" si="39"/>
        <v>0</v>
      </c>
      <c r="S74"/>
      <c r="T74"/>
      <c r="U74"/>
      <c r="V74"/>
      <c r="W74"/>
      <c r="X74" s="788"/>
    </row>
    <row r="75" spans="1:24" outlineLevel="1">
      <c r="A75" s="786" cm="1">
        <f t="array" ref="A75">_xlfn.IFS(B75="Per Pupil", 1, B75="Per Pupil - Elem", 2, B75="Per Pupil - MS", 3, B75="Per Pupil - HS", 4, B75="Per Pupil - SPED", 5, B75="Per Pupil - EL", 6, B75="Fixed", 7)</f>
        <v>1</v>
      </c>
      <c r="B75" s="159" t="str">
        <f>INPUTS!C106</f>
        <v>Per Pupil</v>
      </c>
      <c r="C75" s="21" t="str">
        <f t="shared" si="3"/>
        <v>----&gt;</v>
      </c>
      <c r="D75" s="39" t="str">
        <f>INPUTS!$B$106</f>
        <v>Food Service Staff (Cooks/Servers)</v>
      </c>
      <c r="E75" s="160">
        <f t="shared" si="28"/>
        <v>0</v>
      </c>
      <c r="F75" s="160">
        <v>0.5</v>
      </c>
      <c r="G75" s="160">
        <f>ROUNDDOWN(IFERROR(CHOOSE($A75, G$19/O75, G$28/O75, G$31/O75, G$34/O75, G$22/O75, G$25/O75, 0), 0), 0)</f>
        <v>1</v>
      </c>
      <c r="H75" s="160">
        <f>ROUNDDOWN(IFERROR(CHOOSE($A75, H$19/P75, H$28/P75, H$31/P75, H$34/P75, H$22/P75, H$25/P75, 0), 0), 0)</f>
        <v>1</v>
      </c>
      <c r="I75" s="160">
        <f>ROUNDDOWN(IFERROR(CHOOSE($A75, I$19/Q75, I$28/Q75, I$31/Q75, I$34/Q75, I$22/Q75, I$25/Q75, 0), 0), 0)</f>
        <v>1</v>
      </c>
      <c r="J75" s="160">
        <f>ROUNDDOWN(IFERROR(CHOOSE($A75, J$19/R75, J$28/R75, J$31/R75, J$34/R75, J$22/R75, J$25/R75, 0), 0), 0)</f>
        <v>1</v>
      </c>
      <c r="K75"/>
      <c r="L75" s="39" t="str">
        <f>INPUTS!$B$106</f>
        <v>Food Service Staff (Cooks/Servers)</v>
      </c>
      <c r="M75" s="195">
        <v>400</v>
      </c>
      <c r="N75" s="195">
        <f>IFERROR(IF($B75="Fixed", F$50/F75, M75), 0)</f>
        <v>400</v>
      </c>
      <c r="O75" s="195">
        <f>IFERROR(IF($B75="Fixed", G$50/G75, N75), 0)</f>
        <v>400</v>
      </c>
      <c r="P75" s="195">
        <f>IFERROR(IF($B75="Fixed", H$50/H75, O75), 0)</f>
        <v>400</v>
      </c>
      <c r="Q75" s="195">
        <f>IFERROR(IF($B75="Fixed", I$50/I75, P75), 0)</f>
        <v>400</v>
      </c>
      <c r="R75" s="195">
        <f>IFERROR(IF($B75="Fixed", J$50/J75, Q75), 0)</f>
        <v>400</v>
      </c>
      <c r="S75"/>
      <c r="T75"/>
      <c r="U75"/>
      <c r="V75"/>
      <c r="W75"/>
      <c r="X75" s="788"/>
    </row>
    <row r="76" spans="1:24" outlineLevel="1">
      <c r="A76" s="786" cm="1">
        <f t="array" ref="A76">_xlfn.IFS(B76="Per Pupil", 1, B76="Per Pupil - Elem", 2, B76="Per Pupil - MS", 3, B76="Per Pupil - HS", 4, B76="Per Pupil - SPED", 5, B76="Per Pupil - EL", 6, B76="Fixed", 7)</f>
        <v>7</v>
      </c>
      <c r="B76" s="159" t="str">
        <f>INPUTS!C107</f>
        <v>Fixed</v>
      </c>
      <c r="C76" s="21" t="str">
        <f t="shared" si="3"/>
        <v>----&gt;</v>
      </c>
      <c r="D76" s="39" t="str">
        <f>INPUTS!$B$107</f>
        <v>Transportation Coordinator</v>
      </c>
      <c r="E76" s="160">
        <f t="shared" si="28"/>
        <v>0</v>
      </c>
      <c r="F76" s="160">
        <v>0</v>
      </c>
      <c r="G76" s="160">
        <v>0</v>
      </c>
      <c r="H76" s="160">
        <v>0</v>
      </c>
      <c r="I76" s="160">
        <v>0</v>
      </c>
      <c r="J76" s="160">
        <v>0</v>
      </c>
      <c r="K76"/>
      <c r="L76" s="39" t="str">
        <f>INPUTS!$B$107</f>
        <v>Transportation Coordinator</v>
      </c>
      <c r="M76" s="195">
        <f t="shared" ref="M76:R76" si="40">IFERROR(IF($B76="Fixed", E$19/E76, 0), 0)</f>
        <v>0</v>
      </c>
      <c r="N76" s="195">
        <f t="shared" si="40"/>
        <v>0</v>
      </c>
      <c r="O76" s="195">
        <f t="shared" si="40"/>
        <v>0</v>
      </c>
      <c r="P76" s="195">
        <f t="shared" si="40"/>
        <v>0</v>
      </c>
      <c r="Q76" s="195">
        <f t="shared" si="40"/>
        <v>0</v>
      </c>
      <c r="R76" s="195">
        <f t="shared" si="40"/>
        <v>0</v>
      </c>
      <c r="S76"/>
      <c r="T76"/>
      <c r="U76"/>
      <c r="V76"/>
      <c r="W76"/>
      <c r="X76" s="788"/>
    </row>
    <row r="77" spans="1:24" outlineLevel="1">
      <c r="A77" s="786" cm="1">
        <f t="array" ref="A77">_xlfn.IFS(B77="Per Pupil", 1, B77="Per Pupil - Elem", 2, B77="Per Pupil - MS", 3, B77="Per Pupil - HS", 4, B77="Per Pupil - SPED", 5, B77="Per Pupil - EL", 6, B77="Fixed", 7)</f>
        <v>1</v>
      </c>
      <c r="B77" s="159" t="str">
        <f>INPUTS!C108</f>
        <v>Per Pupil</v>
      </c>
      <c r="C77" s="21" t="str">
        <f t="shared" si="3"/>
        <v>----&gt;</v>
      </c>
      <c r="D77" s="39" t="str">
        <f>INPUTS!$B$108</f>
        <v>Substitute Teacher Pool</v>
      </c>
      <c r="E77" s="160">
        <f t="shared" si="28"/>
        <v>0</v>
      </c>
      <c r="F77" s="160">
        <f>ROUNDDOWN(IFERROR(CHOOSE($A77, F$19/N77, F$28/N77, F$31/N77, F$34/N77, F$22/N77, F$25/N77, 0), 0), 0)</f>
        <v>2</v>
      </c>
      <c r="G77" s="160">
        <f>ROUNDDOWN(IFERROR(CHOOSE($A77, G$19/O77, G$28/O77, G$31/O77, G$34/O77, G$22/O77, G$25/O77, 0), 0), 0)</f>
        <v>4</v>
      </c>
      <c r="H77" s="160">
        <f>ROUNDDOWN(IFERROR(CHOOSE($A77, H$19/P77, H$28/P77, H$31/P77, H$34/P77, H$22/P77, H$25/P77, 0), 0), 0)</f>
        <v>6</v>
      </c>
      <c r="I77" s="160">
        <f>ROUNDDOWN(IFERROR(CHOOSE($A77, I$19/Q77, I$28/Q77, I$31/Q77, I$34/Q77, I$22/Q77, I$25/Q77, 0), 0), 0)</f>
        <v>7</v>
      </c>
      <c r="J77" s="160">
        <f>ROUNDDOWN(IFERROR(CHOOSE($A77, J$19/R77, J$28/R77, J$31/R77, J$34/R77, J$22/R77, J$25/R77, 0), 0), 0)</f>
        <v>7</v>
      </c>
      <c r="K77"/>
      <c r="L77" s="39" t="str">
        <f>INPUTS!$B$108</f>
        <v>Substitute Teacher Pool</v>
      </c>
      <c r="M77" s="195">
        <v>100</v>
      </c>
      <c r="N77" s="195">
        <f>IFERROR(IF($B77="Fixed", F$50/F77, M77), 0)</f>
        <v>100</v>
      </c>
      <c r="O77" s="195">
        <f>IFERROR(IF($B77="Fixed", G$50/G77, N77), 0)</f>
        <v>100</v>
      </c>
      <c r="P77" s="195">
        <f>IFERROR(IF($B77="Fixed", H$50/H77, O77), 0)</f>
        <v>100</v>
      </c>
      <c r="Q77" s="195">
        <f>IFERROR(IF($B77="Fixed", I$50/I77, P77), 0)</f>
        <v>100</v>
      </c>
      <c r="R77" s="195">
        <f>IFERROR(IF($B77="Fixed", J$50/J77, Q77), 0)</f>
        <v>100</v>
      </c>
      <c r="S77"/>
      <c r="T77"/>
      <c r="U77"/>
      <c r="V77"/>
      <c r="W77"/>
      <c r="X77" s="788"/>
    </row>
    <row r="78" spans="1:24" outlineLevel="1">
      <c r="A78" s="786" cm="1">
        <f t="array" ref="A78">_xlfn.IFS(B78="Per Pupil", 1, B78="Per Pupil - Elem", 2, B78="Per Pupil - MS", 3, B78="Per Pupil - HS", 4, B78="Per Pupil - SPED", 5, B78="Per Pupil - EL", 6, B78="Fixed", 7)</f>
        <v>7</v>
      </c>
      <c r="B78" s="159" t="str">
        <f>INPUTS!C109</f>
        <v>Fixed</v>
      </c>
      <c r="C78" s="21"/>
      <c r="D78" s="39" t="str">
        <f>INPUTS!$B$109</f>
        <v>Nurse</v>
      </c>
      <c r="E78" s="868">
        <f>ROUNDDOWN(IFERROR(CHOOSE($A78, E$19/M78, E$28/M78, E$31/M78, E$34/M78, E$22/M78, E$25/M78, 0), 0), 0)</f>
        <v>0</v>
      </c>
      <c r="F78" s="868">
        <v>0.5</v>
      </c>
      <c r="G78" s="868">
        <v>1</v>
      </c>
      <c r="H78" s="868">
        <v>1</v>
      </c>
      <c r="I78" s="868">
        <v>1</v>
      </c>
      <c r="J78" s="868">
        <v>1</v>
      </c>
      <c r="K78"/>
      <c r="L78" s="39" t="str">
        <f>INPUTS!$B$109</f>
        <v>Nurse</v>
      </c>
      <c r="M78" s="195">
        <f t="shared" ref="M78:M79" si="41">IFERROR(IF($B78="Fixed", E$19/E78, 0), 0)</f>
        <v>0</v>
      </c>
      <c r="N78" s="195">
        <f t="shared" ref="N78:N79" si="42">IFERROR(IF($B78="Fixed", F$19/F78, 0), 0)</f>
        <v>480</v>
      </c>
      <c r="O78" s="195">
        <f t="shared" ref="O78:O79" si="43">IFERROR(IF($B78="Fixed", G$19/G78, 0), 0)</f>
        <v>480</v>
      </c>
      <c r="P78" s="195">
        <f t="shared" ref="P78:P79" si="44">IFERROR(IF($B78="Fixed", H$19/H78, 0), 0)</f>
        <v>690</v>
      </c>
      <c r="Q78" s="195">
        <f t="shared" ref="Q78:Q79" si="45">IFERROR(IF($B78="Fixed", I$19/I78, 0), 0)</f>
        <v>780</v>
      </c>
      <c r="R78" s="195">
        <f t="shared" ref="R78:R79" si="46">IFERROR(IF($B78="Fixed", J$19/J78, 0), 0)</f>
        <v>780</v>
      </c>
      <c r="S78"/>
      <c r="T78"/>
      <c r="U78"/>
      <c r="V78"/>
      <c r="W78"/>
      <c r="X78" s="788"/>
    </row>
    <row r="79" spans="1:24" outlineLevel="1">
      <c r="A79" s="786" cm="1">
        <f t="array" ref="A79">_xlfn.IFS(B79="Per Pupil", 1, B79="Per Pupil - Elem", 2, B79="Per Pupil - MS", 3, B79="Per Pupil - HS", 4, B79="Per Pupil - SPED", 5, B79="Per Pupil - EL", 6, B79="Fixed", 7)</f>
        <v>7</v>
      </c>
      <c r="B79" s="159" t="str">
        <f>INPUTS!C110</f>
        <v>Fixed</v>
      </c>
      <c r="C79" s="21"/>
      <c r="D79" s="39" t="str">
        <f>INPUTS!$B$110</f>
        <v>Librarian</v>
      </c>
      <c r="E79" s="868">
        <f t="shared" ref="E79:E84" si="47">ROUNDDOWN(IFERROR(CHOOSE($A79, E$19/M79, E$28/M79, E$31/M79, E$34/M79, E$22/M79, E$25/M79, 0), 0), 0)</f>
        <v>0</v>
      </c>
      <c r="F79" s="868">
        <f t="shared" ref="F79:F84" si="48">ROUNDDOWN(IFERROR(CHOOSE($A79, F$19/N79, F$28/N79, F$31/N79, F$34/N79, F$22/N79, F$25/N79, 0), 0), 0)</f>
        <v>0</v>
      </c>
      <c r="G79" s="868">
        <f t="shared" ref="G79:G84" si="49">ROUNDDOWN(IFERROR(CHOOSE($A79, G$19/O79, G$28/O79, G$31/O79, G$34/O79, G$22/O79, G$25/O79, 0), 0), 0)</f>
        <v>0</v>
      </c>
      <c r="H79" s="868">
        <v>0</v>
      </c>
      <c r="I79" s="868">
        <v>0</v>
      </c>
      <c r="J79" s="868">
        <v>0</v>
      </c>
      <c r="K79"/>
      <c r="L79" s="39" t="str">
        <f>INPUTS!$B$110</f>
        <v>Librarian</v>
      </c>
      <c r="M79" s="195">
        <f t="shared" si="41"/>
        <v>0</v>
      </c>
      <c r="N79" s="195">
        <f t="shared" si="42"/>
        <v>0</v>
      </c>
      <c r="O79" s="195">
        <f t="shared" si="43"/>
        <v>0</v>
      </c>
      <c r="P79" s="195">
        <f t="shared" si="44"/>
        <v>0</v>
      </c>
      <c r="Q79" s="195">
        <f t="shared" si="45"/>
        <v>0</v>
      </c>
      <c r="R79" s="195">
        <f t="shared" si="46"/>
        <v>0</v>
      </c>
      <c r="S79"/>
      <c r="T79"/>
      <c r="U79"/>
      <c r="V79"/>
      <c r="W79"/>
      <c r="X79" s="788"/>
    </row>
    <row r="80" spans="1:24" outlineLevel="1">
      <c r="A80" s="786" cm="1">
        <f t="array" ref="A80">_xlfn.IFS(B80="Per Pupil", 1, B80="Per Pupil - Elem", 2, B80="Per Pupil - MS", 3, B80="Per Pupil - HS", 4, B80="Per Pupil - SPED", 5, B80="Per Pupil - EL", 6, B80="Fixed", 7)</f>
        <v>7</v>
      </c>
      <c r="B80" s="159" t="s">
        <v>21</v>
      </c>
      <c r="C80" s="21"/>
      <c r="D80" s="39" t="str">
        <f>INPUTS!$B$111</f>
        <v>Manager of Student Support</v>
      </c>
      <c r="E80" s="868">
        <f t="shared" si="47"/>
        <v>0</v>
      </c>
      <c r="F80" s="868">
        <f t="shared" si="48"/>
        <v>0</v>
      </c>
      <c r="G80" s="868">
        <f t="shared" si="49"/>
        <v>0</v>
      </c>
      <c r="H80" s="868">
        <f t="shared" ref="H80:H84" si="50">ROUNDDOWN(IFERROR(CHOOSE($A80, H$19/P80, H$28/P80, H$31/P80, H$34/P80, H$22/P80, H$25/P80, 0), 0), 0)</f>
        <v>0</v>
      </c>
      <c r="I80" s="868">
        <f t="shared" ref="I80:I84" si="51">ROUNDDOWN(IFERROR(CHOOSE($A80, I$19/Q80, I$28/Q80, I$31/Q80, I$34/Q80, I$22/Q80, I$25/Q80, 0), 0), 0)</f>
        <v>0</v>
      </c>
      <c r="J80" s="868">
        <f t="shared" ref="J80:J84" si="52">ROUNDDOWN(IFERROR(CHOOSE($A80, J$19/R80, J$28/R80, J$31/R80, J$34/R80, J$22/R80, J$25/R80, 0), 0), 0)</f>
        <v>0</v>
      </c>
      <c r="K80"/>
      <c r="L80" s="39" t="str">
        <f>INPUTS!$B$111</f>
        <v>Manager of Student Support</v>
      </c>
      <c r="M80" s="195">
        <f t="shared" ref="M80:M83" si="53">IFERROR(IF($B80="Fixed", E$19/E80, 0), 0)</f>
        <v>0</v>
      </c>
      <c r="N80" s="195">
        <f t="shared" ref="N80:N83" si="54">IFERROR(IF($B80="Fixed", F$19/F80, 0), 0)</f>
        <v>0</v>
      </c>
      <c r="O80" s="195">
        <f t="shared" ref="O80:O83" si="55">IFERROR(IF($B80="Fixed", G$19/G80, 0), 0)</f>
        <v>0</v>
      </c>
      <c r="P80" s="195">
        <f t="shared" ref="P80:P83" si="56">IFERROR(IF($B80="Fixed", H$19/H80, 0), 0)</f>
        <v>0</v>
      </c>
      <c r="Q80" s="195">
        <f t="shared" ref="Q80:Q83" si="57">IFERROR(IF($B80="Fixed", I$19/I80, 0), 0)</f>
        <v>0</v>
      </c>
      <c r="R80" s="195">
        <f t="shared" ref="R80:R83" si="58">IFERROR(IF($B80="Fixed", J$19/J80, 0), 0)</f>
        <v>0</v>
      </c>
      <c r="S80"/>
      <c r="T80"/>
      <c r="U80"/>
      <c r="V80"/>
      <c r="W80"/>
      <c r="X80" s="788"/>
    </row>
    <row r="81" spans="1:24" outlineLevel="1">
      <c r="A81" s="786" cm="1">
        <f t="array" ref="A81">_xlfn.IFS(B81="Per Pupil", 1, B81="Per Pupil - Elem", 2, B81="Per Pupil - MS", 3, B81="Per Pupil - HS", 4, B81="Per Pupil - SPED", 5, B81="Per Pupil - EL", 6, B81="Fixed", 7)</f>
        <v>7</v>
      </c>
      <c r="B81" s="159" t="s">
        <v>21</v>
      </c>
      <c r="C81" s="21"/>
      <c r="D81" s="39" t="str">
        <f>INPUTS!$B$112</f>
        <v>College &amp; Athletics Director</v>
      </c>
      <c r="E81" s="868">
        <f t="shared" si="47"/>
        <v>0</v>
      </c>
      <c r="F81" s="868">
        <v>1</v>
      </c>
      <c r="G81" s="868">
        <v>1</v>
      </c>
      <c r="H81" s="868">
        <v>1</v>
      </c>
      <c r="I81" s="868">
        <v>1</v>
      </c>
      <c r="J81" s="868">
        <v>1</v>
      </c>
      <c r="K81"/>
      <c r="L81" s="39" t="str">
        <f>INPUTS!$B$112</f>
        <v>College &amp; Athletics Director</v>
      </c>
      <c r="M81" s="195">
        <f t="shared" si="53"/>
        <v>0</v>
      </c>
      <c r="N81" s="195">
        <f t="shared" si="54"/>
        <v>240</v>
      </c>
      <c r="O81" s="195">
        <f t="shared" si="55"/>
        <v>480</v>
      </c>
      <c r="P81" s="195">
        <f t="shared" si="56"/>
        <v>690</v>
      </c>
      <c r="Q81" s="195">
        <f t="shared" si="57"/>
        <v>780</v>
      </c>
      <c r="R81" s="195">
        <f t="shared" si="58"/>
        <v>780</v>
      </c>
      <c r="S81"/>
      <c r="T81"/>
      <c r="U81"/>
      <c r="V81"/>
      <c r="W81"/>
      <c r="X81" s="788"/>
    </row>
    <row r="82" spans="1:24" outlineLevel="1">
      <c r="A82" s="786" cm="1">
        <f t="array" ref="A82">_xlfn.IFS(B82="Per Pupil", 1, B82="Per Pupil - Elem", 2, B82="Per Pupil - MS", 3, B82="Per Pupil - HS", 4, B82="Per Pupil - SPED", 5, B82="Per Pupil - EL", 6, B82="Fixed", 7)</f>
        <v>7</v>
      </c>
      <c r="B82" s="159" t="s">
        <v>21</v>
      </c>
      <c r="C82" s="21"/>
      <c r="D82" s="39" t="str">
        <f>INPUTS!$B$113</f>
        <v>Manager of College Success</v>
      </c>
      <c r="E82" s="868">
        <f t="shared" si="47"/>
        <v>0</v>
      </c>
      <c r="F82" s="868">
        <f t="shared" si="48"/>
        <v>0</v>
      </c>
      <c r="G82" s="868">
        <f t="shared" si="49"/>
        <v>0</v>
      </c>
      <c r="H82" s="868">
        <v>1</v>
      </c>
      <c r="I82" s="868">
        <v>1</v>
      </c>
      <c r="J82" s="868">
        <v>1</v>
      </c>
      <c r="K82"/>
      <c r="L82" s="39" t="str">
        <f>INPUTS!$B$113</f>
        <v>Manager of College Success</v>
      </c>
      <c r="M82" s="195">
        <f t="shared" si="53"/>
        <v>0</v>
      </c>
      <c r="N82" s="195">
        <f t="shared" si="54"/>
        <v>0</v>
      </c>
      <c r="O82" s="195">
        <f t="shared" si="55"/>
        <v>0</v>
      </c>
      <c r="P82" s="195">
        <f t="shared" si="56"/>
        <v>690</v>
      </c>
      <c r="Q82" s="195">
        <f t="shared" si="57"/>
        <v>780</v>
      </c>
      <c r="R82" s="195">
        <f t="shared" si="58"/>
        <v>780</v>
      </c>
      <c r="S82"/>
      <c r="T82"/>
      <c r="U82"/>
      <c r="V82"/>
      <c r="W82"/>
      <c r="X82" s="788"/>
    </row>
    <row r="83" spans="1:24" outlineLevel="1">
      <c r="A83" s="786" cm="1">
        <f t="array" ref="A83">_xlfn.IFS(B83="Per Pupil", 1, B83="Per Pupil - Elem", 2, B83="Per Pupil - MS", 3, B83="Per Pupil - HS", 4, B83="Per Pupil - SPED", 5, B83="Per Pupil - EL", 6, B83="Fixed", 7)</f>
        <v>7</v>
      </c>
      <c r="B83" s="159" t="s">
        <v>21</v>
      </c>
      <c r="C83" s="21"/>
      <c r="D83" s="39" t="str">
        <f>INPUTS!$B$114</f>
        <v>Coordinator of College Success</v>
      </c>
      <c r="E83" s="868">
        <f t="shared" si="47"/>
        <v>0</v>
      </c>
      <c r="F83" s="868">
        <f t="shared" si="48"/>
        <v>0</v>
      </c>
      <c r="G83" s="868">
        <f t="shared" si="49"/>
        <v>0</v>
      </c>
      <c r="H83" s="868">
        <f t="shared" si="50"/>
        <v>0</v>
      </c>
      <c r="I83" s="868">
        <v>1</v>
      </c>
      <c r="J83" s="868">
        <v>1</v>
      </c>
      <c r="K83"/>
      <c r="L83" s="39" t="str">
        <f>INPUTS!$B$114</f>
        <v>Coordinator of College Success</v>
      </c>
      <c r="M83" s="195">
        <f t="shared" si="53"/>
        <v>0</v>
      </c>
      <c r="N83" s="195">
        <f t="shared" si="54"/>
        <v>0</v>
      </c>
      <c r="O83" s="195">
        <f t="shared" si="55"/>
        <v>0</v>
      </c>
      <c r="P83" s="195">
        <f t="shared" si="56"/>
        <v>0</v>
      </c>
      <c r="Q83" s="195">
        <f t="shared" si="57"/>
        <v>780</v>
      </c>
      <c r="R83" s="195">
        <f t="shared" si="58"/>
        <v>780</v>
      </c>
      <c r="S83"/>
      <c r="T83"/>
      <c r="U83"/>
      <c r="V83"/>
      <c r="W83"/>
      <c r="X83" s="788"/>
    </row>
    <row r="84" spans="1:24" outlineLevel="1">
      <c r="A84" s="786" t="e" cm="1">
        <f t="array" ref="A84">_xlfn.IFS(B84="Per Pupil", 1, B84="Per Pupil - Elem", 2, B84="Per Pupil - MS", 3, B84="Per Pupil - HS", 4, B84="Per Pupil - SPED", 5, B84="Per Pupil - EL", 6, B84="Fixed", 7)</f>
        <v>#N/A</v>
      </c>
      <c r="B84" s="159">
        <f>INPUTS!C115</f>
        <v>0</v>
      </c>
      <c r="C84" s="21"/>
      <c r="D84" s="39">
        <f>INPUTS!$B$115</f>
        <v>0</v>
      </c>
      <c r="E84" s="160">
        <f t="shared" si="47"/>
        <v>0</v>
      </c>
      <c r="F84" s="160">
        <f t="shared" si="48"/>
        <v>0</v>
      </c>
      <c r="G84" s="160">
        <f t="shared" si="49"/>
        <v>0</v>
      </c>
      <c r="H84" s="160">
        <f t="shared" si="50"/>
        <v>0</v>
      </c>
      <c r="I84" s="160">
        <f t="shared" si="51"/>
        <v>0</v>
      </c>
      <c r="J84" s="160">
        <f t="shared" si="52"/>
        <v>0</v>
      </c>
      <c r="K84"/>
      <c r="L84" s="39">
        <f>INPUTS!$B$115</f>
        <v>0</v>
      </c>
      <c r="M84" s="195"/>
      <c r="N84" s="195"/>
      <c r="O84" s="195"/>
      <c r="P84" s="195"/>
      <c r="Q84" s="195"/>
      <c r="R84" s="195"/>
      <c r="S84"/>
      <c r="T84"/>
      <c r="U84"/>
      <c r="V84"/>
      <c r="W84"/>
      <c r="X84" s="788"/>
    </row>
    <row r="85" spans="1:24" outlineLevel="1">
      <c r="A85" s="183"/>
      <c r="B85"/>
      <c r="C85" s="21"/>
      <c r="D85" s="5" t="s">
        <v>436</v>
      </c>
      <c r="E85" s="161">
        <f>SUM(E52:E77)</f>
        <v>1</v>
      </c>
      <c r="F85" s="161">
        <f t="shared" ref="F85:J85" si="59">SUM(F52:F77)</f>
        <v>25.75</v>
      </c>
      <c r="G85" s="161">
        <f t="shared" si="59"/>
        <v>47.25</v>
      </c>
      <c r="H85" s="161">
        <f t="shared" si="59"/>
        <v>68.25</v>
      </c>
      <c r="I85" s="161">
        <f t="shared" si="59"/>
        <v>79.25</v>
      </c>
      <c r="J85" s="161">
        <f t="shared" si="59"/>
        <v>79.25</v>
      </c>
      <c r="K85"/>
      <c r="L85" s="5" t="s">
        <v>175</v>
      </c>
      <c r="M85" s="166">
        <f>IFERROR(E19/E85, 0)</f>
        <v>0</v>
      </c>
      <c r="N85" s="166">
        <f t="shared" ref="N85:R85" si="60">IFERROR(F19/F85, 0)</f>
        <v>9.3203883495145625</v>
      </c>
      <c r="O85" s="166">
        <f t="shared" si="60"/>
        <v>10.158730158730158</v>
      </c>
      <c r="P85" s="166">
        <f t="shared" si="60"/>
        <v>10.109890109890109</v>
      </c>
      <c r="Q85" s="166">
        <f t="shared" si="60"/>
        <v>9.8422712933753935</v>
      </c>
      <c r="R85" s="166">
        <f t="shared" si="60"/>
        <v>9.8422712933753935</v>
      </c>
      <c r="S85"/>
      <c r="T85"/>
      <c r="U85"/>
      <c r="V85"/>
      <c r="W85"/>
      <c r="X85" s="788"/>
    </row>
    <row r="86" spans="1:24" outlineLevel="1">
      <c r="A86" s="183"/>
      <c r="B86" s="5"/>
      <c r="C86" s="21"/>
      <c r="D86"/>
      <c r="E86"/>
      <c r="F86"/>
      <c r="G86"/>
      <c r="H86"/>
      <c r="I86" s="789"/>
      <c r="J86"/>
      <c r="K86"/>
      <c r="L86"/>
      <c r="M86"/>
      <c r="N86"/>
      <c r="O86"/>
      <c r="P86"/>
      <c r="Q86"/>
      <c r="R86"/>
      <c r="S86"/>
      <c r="T86"/>
      <c r="U86"/>
      <c r="V86"/>
      <c r="W86"/>
      <c r="X86" s="788"/>
    </row>
    <row r="87" spans="1:24" outlineLevel="1">
      <c r="A87" s="790"/>
      <c r="B87" s="791"/>
      <c r="C87" s="21"/>
      <c r="D87" s="169" t="s">
        <v>176</v>
      </c>
      <c r="E87" s="167">
        <f t="shared" ref="E87:J87" si="61">E$5</f>
        <v>2027</v>
      </c>
      <c r="F87" s="167">
        <f t="shared" si="61"/>
        <v>2028</v>
      </c>
      <c r="G87" s="167">
        <f t="shared" si="61"/>
        <v>2029</v>
      </c>
      <c r="H87" s="167">
        <f t="shared" si="61"/>
        <v>2030</v>
      </c>
      <c r="I87" s="167">
        <f t="shared" si="61"/>
        <v>2031</v>
      </c>
      <c r="J87" s="168">
        <f t="shared" si="61"/>
        <v>2032</v>
      </c>
      <c r="K87"/>
      <c r="L87" s="170" t="s">
        <v>177</v>
      </c>
      <c r="M87" s="151">
        <f t="shared" ref="M87:R87" si="62">E$5</f>
        <v>2027</v>
      </c>
      <c r="N87" s="151">
        <f t="shared" si="62"/>
        <v>2028</v>
      </c>
      <c r="O87" s="151">
        <f t="shared" si="62"/>
        <v>2029</v>
      </c>
      <c r="P87" s="151">
        <f t="shared" si="62"/>
        <v>2030</v>
      </c>
      <c r="Q87" s="151">
        <f t="shared" si="62"/>
        <v>2031</v>
      </c>
      <c r="R87" s="158">
        <f t="shared" si="62"/>
        <v>2032</v>
      </c>
      <c r="S87"/>
      <c r="T87"/>
      <c r="U87"/>
      <c r="V87"/>
      <c r="W87"/>
      <c r="X87" s="788"/>
    </row>
    <row r="88" spans="1:24" outlineLevel="1">
      <c r="A88" s="753"/>
      <c r="B88"/>
      <c r="C88" s="21"/>
      <c r="D88" s="39" t="str">
        <f>INPUTS!$B$83</f>
        <v>Chief Executive Officer (CEO)/Executive Director</v>
      </c>
      <c r="E88" s="171">
        <f>$M13*((1+INPUTS!D83)^(STAFFING!E$87-STAFFING!$M$11))</f>
        <v>206000</v>
      </c>
      <c r="F88" s="171">
        <f>E88*(1+INPUTS!E$83)</f>
        <v>212180</v>
      </c>
      <c r="G88" s="171">
        <f>F88*(1+INPUTS!F$83)</f>
        <v>218545.4</v>
      </c>
      <c r="H88" s="171">
        <f>G88*(1+INPUTS!G$83)</f>
        <v>225101.76199999999</v>
      </c>
      <c r="I88" s="171">
        <f>H88*(1+INPUTS!H$83)</f>
        <v>231854.81485999998</v>
      </c>
      <c r="J88" s="171">
        <f>I88*(1+INPUTS!I$83)</f>
        <v>238810.4593058</v>
      </c>
      <c r="K88"/>
      <c r="L88" s="39" t="str">
        <f>INPUTS!$B$83</f>
        <v>Chief Executive Officer (CEO)/Executive Director</v>
      </c>
      <c r="M88" s="171">
        <f t="shared" ref="M88:M113" si="63">E88*E52</f>
        <v>206000</v>
      </c>
      <c r="N88" s="171">
        <f t="shared" ref="N88:N113" si="64">F88*F52</f>
        <v>212180</v>
      </c>
      <c r="O88" s="171">
        <f t="shared" ref="O88:O113" si="65">G88*G52</f>
        <v>218545.4</v>
      </c>
      <c r="P88" s="171">
        <f t="shared" ref="P88:P113" si="66">H88*H52</f>
        <v>225101.76199999999</v>
      </c>
      <c r="Q88" s="171">
        <f t="shared" ref="Q88:Q113" si="67">I88*I52</f>
        <v>231854.81485999998</v>
      </c>
      <c r="R88" s="171">
        <f t="shared" ref="R88:R113" si="68">J88*J52</f>
        <v>238810.4593058</v>
      </c>
      <c r="S88"/>
      <c r="T88"/>
      <c r="U88"/>
      <c r="V88"/>
      <c r="W88"/>
      <c r="X88" s="788"/>
    </row>
    <row r="89" spans="1:24" outlineLevel="1">
      <c r="A89" s="792"/>
      <c r="B89"/>
      <c r="C89" s="21"/>
      <c r="D89" s="39" t="str">
        <f>INPUTS!$B$84</f>
        <v>Principal/Head of School</v>
      </c>
      <c r="E89" s="171">
        <f>$M14*((1+INPUTS!D84)^(STAFFING!E$87-STAFFING!$M$11))</f>
        <v>133900</v>
      </c>
      <c r="F89" s="171">
        <f>E89*(1+INPUTS!E$84)</f>
        <v>137917</v>
      </c>
      <c r="G89" s="171">
        <f>F89*(1+INPUTS!F$84)</f>
        <v>142054.51</v>
      </c>
      <c r="H89" s="171">
        <f>G89*(1+INPUTS!G$84)</f>
        <v>146316.1453</v>
      </c>
      <c r="I89" s="171">
        <f>H89*(1+INPUTS!H$84)</f>
        <v>150705.629659</v>
      </c>
      <c r="J89" s="171">
        <f>I89*(1+INPUTS!I$84)</f>
        <v>155226.79854876999</v>
      </c>
      <c r="K89"/>
      <c r="L89" s="39" t="str">
        <f>INPUTS!$B$84</f>
        <v>Principal/Head of School</v>
      </c>
      <c r="M89" s="171">
        <f t="shared" si="63"/>
        <v>0</v>
      </c>
      <c r="N89" s="171">
        <f t="shared" si="64"/>
        <v>0</v>
      </c>
      <c r="O89" s="171">
        <f t="shared" si="65"/>
        <v>142054.51</v>
      </c>
      <c r="P89" s="171">
        <f t="shared" si="66"/>
        <v>146316.1453</v>
      </c>
      <c r="Q89" s="171">
        <f t="shared" si="67"/>
        <v>150705.629659</v>
      </c>
      <c r="R89" s="171">
        <f t="shared" si="68"/>
        <v>155226.79854876999</v>
      </c>
      <c r="S89"/>
      <c r="T89"/>
      <c r="U89"/>
      <c r="V89"/>
      <c r="W89"/>
      <c r="X89" s="788"/>
    </row>
    <row r="90" spans="1:24" outlineLevel="1">
      <c r="A90" s="793"/>
      <c r="B90" s="5"/>
      <c r="C90" s="21"/>
      <c r="D90" s="39" t="str">
        <f>INPUTS!$B$85</f>
        <v>Assistant/Vice Principal</v>
      </c>
      <c r="E90" s="171">
        <f>$M15*((1+INPUTS!D85)^(STAFFING!E$87-STAFFING!$M$11))</f>
        <v>97850</v>
      </c>
      <c r="F90" s="171">
        <f>E90*(1+INPUTS!E$85)</f>
        <v>100785.5</v>
      </c>
      <c r="G90" s="171">
        <f>F90*(1+INPUTS!F$85)</f>
        <v>103809.065</v>
      </c>
      <c r="H90" s="171">
        <f>G90*(1+INPUTS!G$85)</f>
        <v>106923.33695000001</v>
      </c>
      <c r="I90" s="171">
        <f>H90*(1+INPUTS!H$85)</f>
        <v>110131.03705850002</v>
      </c>
      <c r="J90" s="171">
        <f>I90*(1+INPUTS!I$85)</f>
        <v>113434.96817025503</v>
      </c>
      <c r="K90"/>
      <c r="L90" s="39" t="str">
        <f>INPUTS!$B$85</f>
        <v>Assistant/Vice Principal</v>
      </c>
      <c r="M90" s="171">
        <f t="shared" si="63"/>
        <v>0</v>
      </c>
      <c r="N90" s="171">
        <f t="shared" si="64"/>
        <v>100785.5</v>
      </c>
      <c r="O90" s="171">
        <f t="shared" si="65"/>
        <v>103809.065</v>
      </c>
      <c r="P90" s="171">
        <f t="shared" si="66"/>
        <v>213846.67390000002</v>
      </c>
      <c r="Q90" s="171">
        <f t="shared" si="67"/>
        <v>330393.11117550009</v>
      </c>
      <c r="R90" s="171">
        <f t="shared" si="68"/>
        <v>340304.9045107651</v>
      </c>
      <c r="S90"/>
      <c r="T90"/>
      <c r="U90"/>
      <c r="V90"/>
      <c r="W90"/>
      <c r="X90" s="788"/>
    </row>
    <row r="91" spans="1:24" outlineLevel="1">
      <c r="A91" s="790"/>
      <c r="B91" s="5"/>
      <c r="C91" s="21"/>
      <c r="D91" s="39" t="str">
        <f>INPUTS!$B$86</f>
        <v>Instructional Coach/Curriculum Specialist</v>
      </c>
      <c r="E91" s="171">
        <f>$M16*((1+INPUTS!D86)^(STAFFING!E$87-STAFFING!$M$11))</f>
        <v>87550</v>
      </c>
      <c r="F91" s="171">
        <f>E91*(1+INPUTS!E$86)</f>
        <v>90176.5</v>
      </c>
      <c r="G91" s="171">
        <f>F91*(1+INPUTS!F$86)</f>
        <v>92881.794999999998</v>
      </c>
      <c r="H91" s="171">
        <f>G91*(1+INPUTS!G$86)</f>
        <v>95668.248850000004</v>
      </c>
      <c r="I91" s="171">
        <f>H91*(1+INPUTS!H$86)</f>
        <v>98538.296315500003</v>
      </c>
      <c r="J91" s="171">
        <f>I91*(1+INPUTS!I$86)</f>
        <v>101494.445204965</v>
      </c>
      <c r="K91"/>
      <c r="L91" s="39" t="str">
        <f>INPUTS!$B$86</f>
        <v>Instructional Coach/Curriculum Specialist</v>
      </c>
      <c r="M91" s="171">
        <f t="shared" si="63"/>
        <v>0</v>
      </c>
      <c r="N91" s="171">
        <f>F91*F55</f>
        <v>0</v>
      </c>
      <c r="O91" s="171">
        <f t="shared" si="65"/>
        <v>92881.794999999998</v>
      </c>
      <c r="P91" s="171">
        <f t="shared" si="66"/>
        <v>191336.49770000001</v>
      </c>
      <c r="Q91" s="171">
        <f t="shared" si="67"/>
        <v>295614.88894650002</v>
      </c>
      <c r="R91" s="171">
        <f t="shared" si="68"/>
        <v>304483.33561489498</v>
      </c>
      <c r="S91"/>
      <c r="T91"/>
      <c r="U91"/>
      <c r="V91"/>
      <c r="W91"/>
      <c r="X91" s="788"/>
    </row>
    <row r="92" spans="1:24" outlineLevel="1">
      <c r="A92" s="790"/>
      <c r="B92" s="5"/>
      <c r="C92" s="21"/>
      <c r="D92" s="39" t="str">
        <f>INPUTS!$B$87</f>
        <v>Classroom Teacher - Elementary</v>
      </c>
      <c r="E92" s="171">
        <f>$M17*((1+INPUTS!D87)^(STAFFING!E$87-STAFFING!$M$11))</f>
        <v>0</v>
      </c>
      <c r="F92" s="171">
        <f>E92*(1+INPUTS!E$87)</f>
        <v>0</v>
      </c>
      <c r="G92" s="171">
        <f>F92*(1+INPUTS!F$87)</f>
        <v>0</v>
      </c>
      <c r="H92" s="171">
        <f>G92*(1+INPUTS!G$87)</f>
        <v>0</v>
      </c>
      <c r="I92" s="171">
        <f>H92*(1+INPUTS!H$87)</f>
        <v>0</v>
      </c>
      <c r="J92" s="171">
        <f>I92*(1+INPUTS!I$87)</f>
        <v>0</v>
      </c>
      <c r="K92"/>
      <c r="L92" s="39" t="str">
        <f>INPUTS!$B$87</f>
        <v>Classroom Teacher - Elementary</v>
      </c>
      <c r="M92" s="171">
        <f t="shared" si="63"/>
        <v>0</v>
      </c>
      <c r="N92" s="171">
        <f>F92*F56</f>
        <v>0</v>
      </c>
      <c r="O92" s="171">
        <f t="shared" si="65"/>
        <v>0</v>
      </c>
      <c r="P92" s="171">
        <f t="shared" si="66"/>
        <v>0</v>
      </c>
      <c r="Q92" s="171">
        <f t="shared" si="67"/>
        <v>0</v>
      </c>
      <c r="R92" s="171">
        <f t="shared" si="68"/>
        <v>0</v>
      </c>
      <c r="S92"/>
      <c r="T92"/>
      <c r="U92"/>
      <c r="V92"/>
      <c r="W92"/>
      <c r="X92" s="788"/>
    </row>
    <row r="93" spans="1:24" outlineLevel="1">
      <c r="A93" s="790"/>
      <c r="B93" s="5"/>
      <c r="C93" s="21"/>
      <c r="D93" s="39" t="str">
        <f>INPUTS!$B$88</f>
        <v>Classroom Teacher - Middle School</v>
      </c>
      <c r="E93" s="171">
        <f>$M18*((1+INPUTS!D88)^(STAFFING!E$87-STAFFING!$M$11))</f>
        <v>72100</v>
      </c>
      <c r="F93" s="171">
        <f>E93*(1+INPUTS!E$88)</f>
        <v>74263</v>
      </c>
      <c r="G93" s="171">
        <f>F93*(1+INPUTS!F$88)</f>
        <v>76490.89</v>
      </c>
      <c r="H93" s="171">
        <f>G93*(1+INPUTS!G$88)</f>
        <v>78785.616699999999</v>
      </c>
      <c r="I93" s="171">
        <f>H93*(1+INPUTS!H$88)</f>
        <v>81149.185201</v>
      </c>
      <c r="J93" s="171">
        <f>I93*(1+INPUTS!I$88)</f>
        <v>83583.660757029997</v>
      </c>
      <c r="K93"/>
      <c r="L93" s="39" t="str">
        <f>INPUTS!$B$88</f>
        <v>Classroom Teacher - Middle School</v>
      </c>
      <c r="M93" s="171">
        <f t="shared" si="63"/>
        <v>0</v>
      </c>
      <c r="N93" s="171">
        <f t="shared" si="64"/>
        <v>445578</v>
      </c>
      <c r="O93" s="171">
        <f t="shared" si="65"/>
        <v>994381.57</v>
      </c>
      <c r="P93" s="171">
        <f t="shared" si="66"/>
        <v>1418141.1006</v>
      </c>
      <c r="Q93" s="171">
        <f t="shared" si="67"/>
        <v>1460685.3336179999</v>
      </c>
      <c r="R93" s="171">
        <f t="shared" si="68"/>
        <v>1504505.89362654</v>
      </c>
      <c r="S93"/>
      <c r="T93"/>
      <c r="U93"/>
      <c r="V93"/>
      <c r="W93"/>
      <c r="X93" s="788"/>
    </row>
    <row r="94" spans="1:24" outlineLevel="1">
      <c r="A94" s="790"/>
      <c r="B94" s="5"/>
      <c r="C94" s="21"/>
      <c r="D94" s="39" t="str">
        <f>INPUTS!$B$89</f>
        <v>Classroom Teacher - High School</v>
      </c>
      <c r="E94" s="171">
        <f>$M19*((1+INPUTS!D89)^(STAFFING!E$87-STAFFING!$M$11))</f>
        <v>72100</v>
      </c>
      <c r="F94" s="171">
        <f>E94*(1+INPUTS!E$89)</f>
        <v>74263</v>
      </c>
      <c r="G94" s="171">
        <f>F94*(1+INPUTS!F$89)</f>
        <v>76490.89</v>
      </c>
      <c r="H94" s="171">
        <f>G94*(1+INPUTS!G$89)</f>
        <v>78785.616699999999</v>
      </c>
      <c r="I94" s="171">
        <f>H94*(1+INPUTS!H$89)</f>
        <v>81149.185201</v>
      </c>
      <c r="J94" s="171">
        <f>I94*(1+INPUTS!I$89)</f>
        <v>83583.660757029997</v>
      </c>
      <c r="K94"/>
      <c r="L94" s="39" t="str">
        <f>INPUTS!$B$89</f>
        <v>Classroom Teacher - High School</v>
      </c>
      <c r="M94" s="171">
        <f t="shared" si="63"/>
        <v>0</v>
      </c>
      <c r="N94" s="171">
        <f t="shared" si="64"/>
        <v>445578</v>
      </c>
      <c r="O94" s="171">
        <f t="shared" si="65"/>
        <v>994381.57</v>
      </c>
      <c r="P94" s="171">
        <f t="shared" si="66"/>
        <v>1418141.1006</v>
      </c>
      <c r="Q94" s="171">
        <f t="shared" si="67"/>
        <v>1947580.4448239999</v>
      </c>
      <c r="R94" s="171">
        <f t="shared" si="68"/>
        <v>2006007.8581687198</v>
      </c>
      <c r="S94"/>
      <c r="T94"/>
      <c r="U94"/>
      <c r="V94"/>
      <c r="W94"/>
      <c r="X94" s="788"/>
    </row>
    <row r="95" spans="1:24" outlineLevel="1">
      <c r="A95" s="790"/>
      <c r="B95" s="5"/>
      <c r="C95" s="21"/>
      <c r="D95" s="39" t="str">
        <f>INPUTS!$B$90</f>
        <v>Special Education (SPED) Teacher</v>
      </c>
      <c r="E95" s="171">
        <f>$M20*((1+INPUTS!D90)^(STAFFING!E$87-STAFFING!$M$11))</f>
        <v>87550</v>
      </c>
      <c r="F95" s="171">
        <f>E95*(1+INPUTS!E$90)</f>
        <v>90176.5</v>
      </c>
      <c r="G95" s="171">
        <f>F95*(1+INPUTS!F$90)</f>
        <v>92881.794999999998</v>
      </c>
      <c r="H95" s="171">
        <f>G95*(1+INPUTS!G$90)</f>
        <v>95668.248850000004</v>
      </c>
      <c r="I95" s="171">
        <f>H95*(1+INPUTS!H$90)</f>
        <v>98538.296315500003</v>
      </c>
      <c r="J95" s="171">
        <f>I95*(1+INPUTS!I$90)</f>
        <v>101494.445204965</v>
      </c>
      <c r="K95"/>
      <c r="L95" s="39" t="str">
        <f>INPUTS!$B$90</f>
        <v>Special Education (SPED) Teacher</v>
      </c>
      <c r="M95" s="171">
        <f t="shared" si="63"/>
        <v>0</v>
      </c>
      <c r="N95" s="171">
        <f t="shared" si="64"/>
        <v>90176.5</v>
      </c>
      <c r="O95" s="171">
        <f t="shared" si="65"/>
        <v>185763.59</v>
      </c>
      <c r="P95" s="171">
        <f t="shared" si="66"/>
        <v>287004.74655000004</v>
      </c>
      <c r="Q95" s="171">
        <f t="shared" si="67"/>
        <v>394153.18526200001</v>
      </c>
      <c r="R95" s="171">
        <f t="shared" si="68"/>
        <v>405977.78081986</v>
      </c>
      <c r="S95"/>
      <c r="T95"/>
      <c r="U95"/>
      <c r="V95"/>
      <c r="W95"/>
      <c r="X95" s="788"/>
    </row>
    <row r="96" spans="1:24" outlineLevel="1">
      <c r="A96" s="790"/>
      <c r="B96" s="5"/>
      <c r="C96" s="21"/>
      <c r="D96" s="39" t="str">
        <f>INPUTS!$B$91</f>
        <v>English Learner (EL) Specialist</v>
      </c>
      <c r="E96" s="171">
        <f>$M21*((1+INPUTS!D91)^(STAFFING!E$87-STAFFING!$M$11))</f>
        <v>82400</v>
      </c>
      <c r="F96" s="171">
        <f>E96*(1+INPUTS!E$91)</f>
        <v>84872</v>
      </c>
      <c r="G96" s="171">
        <f>F96*(1+INPUTS!F$91)</f>
        <v>87418.16</v>
      </c>
      <c r="H96" s="171">
        <f>G96*(1+INPUTS!G$91)</f>
        <v>90040.704800000007</v>
      </c>
      <c r="I96" s="171">
        <f>H96*(1+INPUTS!H$91)</f>
        <v>92741.925944000002</v>
      </c>
      <c r="J96" s="171">
        <f>I96*(1+INPUTS!I$91)</f>
        <v>95524.183722319998</v>
      </c>
      <c r="K96"/>
      <c r="L96" s="39" t="str">
        <f>INPUTS!$B$91</f>
        <v>English Learner (EL) Specialist</v>
      </c>
      <c r="M96" s="171">
        <f t="shared" si="63"/>
        <v>0</v>
      </c>
      <c r="N96" s="171">
        <f t="shared" si="64"/>
        <v>0</v>
      </c>
      <c r="O96" s="171">
        <f t="shared" si="65"/>
        <v>0</v>
      </c>
      <c r="P96" s="171">
        <f t="shared" si="66"/>
        <v>0</v>
      </c>
      <c r="Q96" s="171">
        <f t="shared" si="67"/>
        <v>0</v>
      </c>
      <c r="R96" s="171">
        <f t="shared" si="68"/>
        <v>0</v>
      </c>
      <c r="S96"/>
      <c r="T96"/>
      <c r="U96"/>
      <c r="V96"/>
      <c r="W96"/>
      <c r="X96" s="788"/>
    </row>
    <row r="97" spans="1:24" outlineLevel="1">
      <c r="A97" s="790"/>
      <c r="B97" s="5"/>
      <c r="C97" s="21"/>
      <c r="D97" s="39" t="str">
        <f>INPUTS!$B$92</f>
        <v>Intervention Specialist (Reading/Math)</v>
      </c>
      <c r="E97" s="171">
        <f>$M22*((1+INPUTS!D92)^(STAFFING!E$87-STAFFING!$M$11))</f>
        <v>70040</v>
      </c>
      <c r="F97" s="171">
        <f>E97*(1+INPUTS!E$92)</f>
        <v>72141.2</v>
      </c>
      <c r="G97" s="171">
        <f>F97*(1+INPUTS!F$92)</f>
        <v>74305.436000000002</v>
      </c>
      <c r="H97" s="171">
        <f>G97*(1+INPUTS!G$92)</f>
        <v>76534.59908</v>
      </c>
      <c r="I97" s="171">
        <f>H97*(1+INPUTS!H$92)</f>
        <v>78830.637052400009</v>
      </c>
      <c r="J97" s="171">
        <f>I97*(1+INPUTS!I$92)</f>
        <v>81195.556163972011</v>
      </c>
      <c r="K97"/>
      <c r="L97" s="39" t="str">
        <f>INPUTS!$B$92</f>
        <v>Intervention Specialist (Reading/Math)</v>
      </c>
      <c r="M97" s="171">
        <f t="shared" si="63"/>
        <v>0</v>
      </c>
      <c r="N97" s="171">
        <f t="shared" si="64"/>
        <v>0</v>
      </c>
      <c r="O97" s="171">
        <f t="shared" si="65"/>
        <v>0</v>
      </c>
      <c r="P97" s="171">
        <f t="shared" si="66"/>
        <v>0</v>
      </c>
      <c r="Q97" s="171">
        <f t="shared" si="67"/>
        <v>0</v>
      </c>
      <c r="R97" s="171">
        <f t="shared" si="68"/>
        <v>0</v>
      </c>
      <c r="S97"/>
      <c r="T97"/>
      <c r="U97"/>
      <c r="V97"/>
      <c r="W97"/>
      <c r="X97" s="788"/>
    </row>
    <row r="98" spans="1:24" outlineLevel="1">
      <c r="A98" s="790"/>
      <c r="B98" s="5"/>
      <c r="C98" s="21"/>
      <c r="D98" s="39" t="str">
        <f>INPUTS!$B$93</f>
        <v>Instructional Aides/Paraeducators</v>
      </c>
      <c r="E98" s="171">
        <f>$M23*((1+INPUTS!D93)^(STAFFING!E$87-STAFFING!$M$11))</f>
        <v>41200</v>
      </c>
      <c r="F98" s="171">
        <f>E98*(1+INPUTS!E$92)</f>
        <v>42436</v>
      </c>
      <c r="G98" s="171">
        <f>F98*(1+INPUTS!F$92)</f>
        <v>43709.08</v>
      </c>
      <c r="H98" s="171">
        <f>G98*(1+INPUTS!G$92)</f>
        <v>45020.352400000003</v>
      </c>
      <c r="I98" s="171">
        <f>H98*(1+INPUTS!H$92)</f>
        <v>46370.962972000001</v>
      </c>
      <c r="J98" s="171">
        <f>I98*(1+INPUTS!I$92)</f>
        <v>47762.091861159999</v>
      </c>
      <c r="K98"/>
      <c r="L98" s="39" t="str">
        <f>INPUTS!$B$93</f>
        <v>Instructional Aides/Paraeducators</v>
      </c>
      <c r="M98" s="171">
        <f t="shared" si="63"/>
        <v>0</v>
      </c>
      <c r="N98" s="171">
        <f t="shared" si="64"/>
        <v>84872</v>
      </c>
      <c r="O98" s="171">
        <f t="shared" si="65"/>
        <v>174836.32</v>
      </c>
      <c r="P98" s="171">
        <f t="shared" si="66"/>
        <v>270122.11440000002</v>
      </c>
      <c r="Q98" s="171">
        <f t="shared" si="67"/>
        <v>324596.740804</v>
      </c>
      <c r="R98" s="171">
        <f t="shared" si="68"/>
        <v>334334.64302811999</v>
      </c>
      <c r="S98"/>
      <c r="T98"/>
      <c r="U98"/>
      <c r="V98"/>
      <c r="W98"/>
      <c r="X98" s="788"/>
    </row>
    <row r="99" spans="1:24" outlineLevel="1">
      <c r="A99" s="790"/>
      <c r="B99" s="5"/>
      <c r="C99" s="21"/>
      <c r="D99" s="39" t="str">
        <f>INPUTS!$B$94</f>
        <v>School Counselor</v>
      </c>
      <c r="E99" s="171">
        <f>$M24*((1+INPUTS!D94)^(STAFFING!E$87-STAFFING!$M$11))</f>
        <v>77250</v>
      </c>
      <c r="F99" s="171">
        <f>E99*(1+INPUTS!E$94)</f>
        <v>79567.5</v>
      </c>
      <c r="G99" s="171">
        <f>F99*(1+INPUTS!F$94)</f>
        <v>81954.525000000009</v>
      </c>
      <c r="H99" s="171">
        <f>G99*(1+INPUTS!G$94)</f>
        <v>84413.16075000001</v>
      </c>
      <c r="I99" s="171">
        <f>H99*(1+INPUTS!H$94)</f>
        <v>86945.555572500016</v>
      </c>
      <c r="J99" s="171">
        <f>I99*(1+INPUTS!I$94)</f>
        <v>89553.922239675012</v>
      </c>
      <c r="K99"/>
      <c r="L99" s="39" t="str">
        <f>INPUTS!$B$94</f>
        <v>School Counselor</v>
      </c>
      <c r="M99" s="171">
        <f t="shared" si="63"/>
        <v>0</v>
      </c>
      <c r="N99" s="171">
        <f t="shared" si="64"/>
        <v>79567.5</v>
      </c>
      <c r="O99" s="171">
        <f t="shared" si="65"/>
        <v>81954.525000000009</v>
      </c>
      <c r="P99" s="171">
        <f t="shared" si="66"/>
        <v>84413.16075000001</v>
      </c>
      <c r="Q99" s="171">
        <f t="shared" si="67"/>
        <v>86945.555572500016</v>
      </c>
      <c r="R99" s="171">
        <f t="shared" si="68"/>
        <v>89553.922239675012</v>
      </c>
      <c r="S99"/>
      <c r="T99"/>
      <c r="U99"/>
      <c r="V99"/>
      <c r="W99"/>
      <c r="X99" s="788"/>
    </row>
    <row r="100" spans="1:24" outlineLevel="1">
      <c r="A100" s="790"/>
      <c r="B100" s="5"/>
      <c r="C100" s="21"/>
      <c r="D100" s="39" t="str">
        <f>INPUTS!$B$95</f>
        <v>School Psychologist</v>
      </c>
      <c r="E100" s="171">
        <f>$M25*((1+INPUTS!D95)^(STAFFING!E$87-STAFFING!$M$11))</f>
        <v>87550</v>
      </c>
      <c r="F100" s="171">
        <f>E100*(1+INPUTS!E$95)</f>
        <v>90176.5</v>
      </c>
      <c r="G100" s="171">
        <f>F100*(1+INPUTS!F$95)</f>
        <v>92881.794999999998</v>
      </c>
      <c r="H100" s="171">
        <f>G100*(1+INPUTS!G$95)</f>
        <v>95668.248850000004</v>
      </c>
      <c r="I100" s="171">
        <f>H100*(1+INPUTS!H$95)</f>
        <v>98538.296315500003</v>
      </c>
      <c r="J100" s="171">
        <f>I100*(1+INPUTS!I$95)</f>
        <v>101494.445204965</v>
      </c>
      <c r="K100"/>
      <c r="L100" s="39" t="str">
        <f>INPUTS!$B$95</f>
        <v>School Psychologist</v>
      </c>
      <c r="M100" s="171">
        <f t="shared" si="63"/>
        <v>0</v>
      </c>
      <c r="N100" s="171">
        <f t="shared" si="64"/>
        <v>0</v>
      </c>
      <c r="O100" s="171">
        <f t="shared" si="65"/>
        <v>0</v>
      </c>
      <c r="P100" s="171">
        <f t="shared" si="66"/>
        <v>95668.248850000004</v>
      </c>
      <c r="Q100" s="171">
        <f t="shared" si="67"/>
        <v>98538.296315500003</v>
      </c>
      <c r="R100" s="171">
        <f t="shared" si="68"/>
        <v>101494.445204965</v>
      </c>
      <c r="S100"/>
      <c r="T100"/>
      <c r="U100"/>
      <c r="V100"/>
      <c r="W100"/>
      <c r="X100" s="788"/>
    </row>
    <row r="101" spans="1:24" outlineLevel="1">
      <c r="A101" s="790"/>
      <c r="B101" s="5"/>
      <c r="C101" s="21"/>
      <c r="D101" s="39" t="str">
        <f>INPUTS!$B$96</f>
        <v>Registrar/Enrollment Manager</v>
      </c>
      <c r="E101" s="171">
        <f>$M26*((1+INPUTS!D96)^(STAFFING!E$87-STAFFING!$M$11))</f>
        <v>61800</v>
      </c>
      <c r="F101" s="171">
        <f>E101*(1+INPUTS!E$96)</f>
        <v>63654</v>
      </c>
      <c r="G101" s="171">
        <f>F101*(1+INPUTS!F$96)</f>
        <v>65563.62</v>
      </c>
      <c r="H101" s="171">
        <f>G101*(1+INPUTS!G$96)</f>
        <v>67530.528599999991</v>
      </c>
      <c r="I101" s="171">
        <f>H101*(1+INPUTS!H$96)</f>
        <v>69556.444457999998</v>
      </c>
      <c r="J101" s="171">
        <f>I101*(1+INPUTS!I$96)</f>
        <v>71643.137791739995</v>
      </c>
      <c r="K101"/>
      <c r="L101" s="39" t="str">
        <f>INPUTS!$B$96</f>
        <v>Registrar/Enrollment Manager</v>
      </c>
      <c r="M101" s="171">
        <f t="shared" si="63"/>
        <v>0</v>
      </c>
      <c r="N101" s="171">
        <f t="shared" si="64"/>
        <v>63654</v>
      </c>
      <c r="O101" s="171">
        <f t="shared" si="65"/>
        <v>65563.62</v>
      </c>
      <c r="P101" s="171">
        <f t="shared" si="66"/>
        <v>67530.528599999991</v>
      </c>
      <c r="Q101" s="171">
        <f t="shared" si="67"/>
        <v>69556.444457999998</v>
      </c>
      <c r="R101" s="171">
        <f t="shared" si="68"/>
        <v>71643.137791739995</v>
      </c>
      <c r="S101"/>
      <c r="T101"/>
      <c r="U101"/>
      <c r="V101"/>
      <c r="W101"/>
      <c r="X101" s="788"/>
    </row>
    <row r="102" spans="1:24" outlineLevel="1">
      <c r="A102" s="790"/>
      <c r="B102" s="5"/>
      <c r="C102" s="21"/>
      <c r="D102" s="39" t="str">
        <f>INPUTS!$B$97</f>
        <v>Chief Operations Officer (COO)/Ops. Manager</v>
      </c>
      <c r="E102" s="171">
        <f>$M27*((1+INPUTS!D97)^(STAFFING!E$87-STAFFING!$M$11))</f>
        <v>164800</v>
      </c>
      <c r="F102" s="171">
        <f>E102*(1+INPUTS!E$97)</f>
        <v>169744</v>
      </c>
      <c r="G102" s="171">
        <f>F102*(1+INPUTS!F$97)</f>
        <v>174836.32</v>
      </c>
      <c r="H102" s="171">
        <f>G102*(1+INPUTS!G$97)</f>
        <v>180081.40960000001</v>
      </c>
      <c r="I102" s="171">
        <f>H102*(1+INPUTS!H$97)</f>
        <v>185483.851888</v>
      </c>
      <c r="J102" s="171">
        <f>I102*(1+INPUTS!I$97)</f>
        <v>191048.36744464</v>
      </c>
      <c r="K102"/>
      <c r="L102" s="39" t="str">
        <f>INPUTS!$B$97</f>
        <v>Chief Operations Officer (COO)/Ops. Manager</v>
      </c>
      <c r="M102" s="171">
        <f t="shared" si="63"/>
        <v>0</v>
      </c>
      <c r="N102" s="171">
        <f t="shared" si="64"/>
        <v>169744</v>
      </c>
      <c r="O102" s="171">
        <f t="shared" si="65"/>
        <v>174836.32</v>
      </c>
      <c r="P102" s="171">
        <f t="shared" si="66"/>
        <v>180081.40960000001</v>
      </c>
      <c r="Q102" s="171">
        <f t="shared" si="67"/>
        <v>185483.851888</v>
      </c>
      <c r="R102" s="171">
        <f t="shared" si="68"/>
        <v>191048.36744464</v>
      </c>
      <c r="S102"/>
      <c r="T102"/>
      <c r="U102"/>
      <c r="V102"/>
      <c r="W102"/>
      <c r="X102" s="788"/>
    </row>
    <row r="103" spans="1:24" outlineLevel="1">
      <c r="A103" s="790"/>
      <c r="B103" s="5"/>
      <c r="C103" s="21"/>
      <c r="D103" s="39" t="str">
        <f>INPUTS!$B$98</f>
        <v>CFO/Finance Manager/Business Manager</v>
      </c>
      <c r="E103" s="171">
        <f>$M28*((1+INPUTS!D98)^(STAFFING!E$87-STAFFING!$M$11))</f>
        <v>144200</v>
      </c>
      <c r="F103" s="171">
        <f>E103*(1+INPUTS!E$98)</f>
        <v>148526</v>
      </c>
      <c r="G103" s="171">
        <f>F103*(1+INPUTS!F$98)</f>
        <v>152981.78</v>
      </c>
      <c r="H103" s="171">
        <f>G103*(1+INPUTS!G$98)</f>
        <v>157571.2334</v>
      </c>
      <c r="I103" s="171">
        <f>H103*(1+INPUTS!H$98)</f>
        <v>162298.370402</v>
      </c>
      <c r="J103" s="171">
        <f>I103*(1+INPUTS!I$98)</f>
        <v>167167.32151405999</v>
      </c>
      <c r="K103"/>
      <c r="L103" s="39" t="str">
        <f>INPUTS!$B$98</f>
        <v>CFO/Finance Manager/Business Manager</v>
      </c>
      <c r="M103" s="171">
        <f t="shared" si="63"/>
        <v>0</v>
      </c>
      <c r="N103" s="171">
        <f t="shared" si="64"/>
        <v>37131.5</v>
      </c>
      <c r="O103" s="171">
        <f t="shared" si="65"/>
        <v>38245.445</v>
      </c>
      <c r="P103" s="171">
        <f t="shared" si="66"/>
        <v>39392.808349999999</v>
      </c>
      <c r="Q103" s="171">
        <f t="shared" si="67"/>
        <v>40574.5926005</v>
      </c>
      <c r="R103" s="171">
        <f t="shared" si="68"/>
        <v>41791.830378514998</v>
      </c>
      <c r="S103"/>
      <c r="T103"/>
      <c r="U103"/>
      <c r="V103"/>
      <c r="W103"/>
      <c r="X103" s="788"/>
    </row>
    <row r="104" spans="1:24" outlineLevel="1">
      <c r="A104" s="790"/>
      <c r="B104" s="5"/>
      <c r="C104" s="21"/>
      <c r="D104" s="39" t="str">
        <f>INPUTS!$B$99</f>
        <v>Administrative Assistant/Office Manager</v>
      </c>
      <c r="E104" s="171">
        <f>$M29*((1+INPUTS!D99)^(STAFFING!E$87-STAFFING!$M$11))</f>
        <v>70040</v>
      </c>
      <c r="F104" s="171">
        <f>E104*(1+INPUTS!E$99)</f>
        <v>72141.2</v>
      </c>
      <c r="G104" s="171">
        <f>F104*(1+INPUTS!F$99)</f>
        <v>74305.436000000002</v>
      </c>
      <c r="H104" s="171">
        <f>G104*(1+INPUTS!G$99)</f>
        <v>76534.59908</v>
      </c>
      <c r="I104" s="171">
        <f>H104*(1+INPUTS!H$99)</f>
        <v>78830.637052400009</v>
      </c>
      <c r="J104" s="171">
        <f>I104*(1+INPUTS!I$99)</f>
        <v>81195.556163972011</v>
      </c>
      <c r="K104"/>
      <c r="L104" s="39" t="str">
        <f>INPUTS!$B$99</f>
        <v>Administrative Assistant/Office Manager</v>
      </c>
      <c r="M104" s="171">
        <f t="shared" si="63"/>
        <v>0</v>
      </c>
      <c r="N104" s="171">
        <f t="shared" si="64"/>
        <v>72141.2</v>
      </c>
      <c r="O104" s="171">
        <f t="shared" si="65"/>
        <v>74305.436000000002</v>
      </c>
      <c r="P104" s="171">
        <f t="shared" si="66"/>
        <v>153069.19816</v>
      </c>
      <c r="Q104" s="171">
        <f t="shared" si="67"/>
        <v>157661.27410480002</v>
      </c>
      <c r="R104" s="171">
        <f t="shared" si="68"/>
        <v>162391.11232794402</v>
      </c>
      <c r="S104"/>
      <c r="T104"/>
      <c r="U104"/>
      <c r="V104"/>
      <c r="W104"/>
      <c r="X104" s="788"/>
    </row>
    <row r="105" spans="1:24" outlineLevel="1">
      <c r="A105" s="790"/>
      <c r="B105" s="5"/>
      <c r="C105" s="21"/>
      <c r="D105" s="39" t="str">
        <f>INPUTS!$B$100</f>
        <v>Human Resources Specialist</v>
      </c>
      <c r="E105" s="171">
        <f>$M30*((1+INPUTS!D100)^(STAFFING!E$87-STAFFING!$M$11))</f>
        <v>70040</v>
      </c>
      <c r="F105" s="171">
        <f>E105*(1+INPUTS!E$100)</f>
        <v>72141.2</v>
      </c>
      <c r="G105" s="171">
        <f>F105*(1+INPUTS!F$100)</f>
        <v>74305.436000000002</v>
      </c>
      <c r="H105" s="171">
        <f>G105*(1+INPUTS!G$100)</f>
        <v>76534.59908</v>
      </c>
      <c r="I105" s="171">
        <f>H105*(1+INPUTS!H$100)</f>
        <v>78830.637052400009</v>
      </c>
      <c r="J105" s="171">
        <f>I105*(1+INPUTS!I$100)</f>
        <v>81195.556163972011</v>
      </c>
      <c r="K105"/>
      <c r="L105" s="39" t="str">
        <f>INPUTS!$B$100</f>
        <v>Human Resources Specialist</v>
      </c>
      <c r="M105" s="171">
        <f t="shared" si="63"/>
        <v>0</v>
      </c>
      <c r="N105" s="171">
        <f t="shared" si="64"/>
        <v>0</v>
      </c>
      <c r="O105" s="171">
        <f t="shared" si="65"/>
        <v>0</v>
      </c>
      <c r="P105" s="171">
        <f t="shared" si="66"/>
        <v>76534.59908</v>
      </c>
      <c r="Q105" s="171">
        <f t="shared" si="67"/>
        <v>78830.637052400009</v>
      </c>
      <c r="R105" s="171">
        <f t="shared" si="68"/>
        <v>81195.556163972011</v>
      </c>
      <c r="S105"/>
      <c r="T105"/>
      <c r="U105"/>
      <c r="V105"/>
      <c r="W105"/>
      <c r="X105" s="788"/>
    </row>
    <row r="106" spans="1:24" outlineLevel="1">
      <c r="A106" s="790"/>
      <c r="B106" s="5"/>
      <c r="C106" s="21"/>
      <c r="D106" s="39" t="str">
        <f>INPUTS!$B$101</f>
        <v>IT Coordinator/Instructional Technologist</v>
      </c>
      <c r="E106" s="171">
        <f>$M31*((1+INPUTS!D101)^(STAFFING!E$87-STAFFING!$M$11))</f>
        <v>82400</v>
      </c>
      <c r="F106" s="171">
        <f>E106*(1+INPUTS!E$101)</f>
        <v>84872</v>
      </c>
      <c r="G106" s="171">
        <f>F106*(1+INPUTS!F$101)</f>
        <v>87418.16</v>
      </c>
      <c r="H106" s="171">
        <f>G106*(1+INPUTS!G$101)</f>
        <v>90040.704800000007</v>
      </c>
      <c r="I106" s="171">
        <f>H106*(1+INPUTS!H$101)</f>
        <v>92741.925944000002</v>
      </c>
      <c r="J106" s="171">
        <f>I106*(1+INPUTS!I$101)</f>
        <v>95524.183722319998</v>
      </c>
      <c r="K106"/>
      <c r="L106" s="39" t="str">
        <f>INPUTS!$B$101</f>
        <v>IT Coordinator/Instructional Technologist</v>
      </c>
      <c r="M106" s="171">
        <f t="shared" si="63"/>
        <v>0</v>
      </c>
      <c r="N106" s="171">
        <f t="shared" si="64"/>
        <v>84872</v>
      </c>
      <c r="O106" s="171">
        <f t="shared" si="65"/>
        <v>87418.16</v>
      </c>
      <c r="P106" s="171">
        <f t="shared" si="66"/>
        <v>90040.704800000007</v>
      </c>
      <c r="Q106" s="171">
        <f t="shared" si="67"/>
        <v>92741.925944000002</v>
      </c>
      <c r="R106" s="171">
        <f t="shared" si="68"/>
        <v>95524.183722319998</v>
      </c>
      <c r="S106"/>
      <c r="T106"/>
      <c r="U106"/>
      <c r="V106"/>
      <c r="W106"/>
      <c r="X106" s="788"/>
    </row>
    <row r="107" spans="1:24" outlineLevel="1">
      <c r="A107" s="790"/>
      <c r="B107" s="5"/>
      <c r="C107" s="21"/>
      <c r="D107" s="39" t="str">
        <f>INPUTS!$B$102</f>
        <v>Facilities Manager</v>
      </c>
      <c r="E107" s="171">
        <f>$M32*((1+INPUTS!D102)^(STAFFING!E$87-STAFFING!$M$11))</f>
        <v>72100</v>
      </c>
      <c r="F107" s="171">
        <f>E107*(1+INPUTS!E$102)</f>
        <v>74263</v>
      </c>
      <c r="G107" s="171">
        <f>F107*(1+INPUTS!F$102)</f>
        <v>76490.89</v>
      </c>
      <c r="H107" s="171">
        <f>G107*(1+INPUTS!G$102)</f>
        <v>78785.616699999999</v>
      </c>
      <c r="I107" s="171">
        <f>H107*(1+INPUTS!H$102)</f>
        <v>81149.185201</v>
      </c>
      <c r="J107" s="171">
        <f>I107*(1+INPUTS!I$102)</f>
        <v>83583.660757029997</v>
      </c>
      <c r="K107"/>
      <c r="L107" s="39" t="str">
        <f>INPUTS!$B$102</f>
        <v>Facilities Manager</v>
      </c>
      <c r="M107" s="171">
        <f t="shared" si="63"/>
        <v>0</v>
      </c>
      <c r="N107" s="171">
        <f t="shared" si="64"/>
        <v>0</v>
      </c>
      <c r="O107" s="171">
        <f t="shared" si="65"/>
        <v>0</v>
      </c>
      <c r="P107" s="171">
        <f t="shared" si="66"/>
        <v>0</v>
      </c>
      <c r="Q107" s="171">
        <f t="shared" si="67"/>
        <v>0</v>
      </c>
      <c r="R107" s="171">
        <f t="shared" si="68"/>
        <v>0</v>
      </c>
      <c r="S107"/>
      <c r="T107"/>
      <c r="U107"/>
      <c r="V107"/>
      <c r="W107"/>
      <c r="X107" s="788"/>
    </row>
    <row r="108" spans="1:24" outlineLevel="1">
      <c r="A108" s="790"/>
      <c r="B108" s="5"/>
      <c r="C108" s="21"/>
      <c r="D108" s="39" t="str">
        <f>INPUTS!$B$103</f>
        <v>Custodian/Facilities Maintenance</v>
      </c>
      <c r="E108" s="171">
        <f>$M33*((1+INPUTS!D103)^(STAFFING!E$87-STAFFING!$M$11))</f>
        <v>43260</v>
      </c>
      <c r="F108" s="171">
        <f>E108*(1+INPUTS!E$103)</f>
        <v>44557.8</v>
      </c>
      <c r="G108" s="171">
        <f>F108*(1+INPUTS!F$103)</f>
        <v>45894.534000000007</v>
      </c>
      <c r="H108" s="171">
        <f>G108*(1+INPUTS!G$103)</f>
        <v>47271.370020000009</v>
      </c>
      <c r="I108" s="171">
        <f>H108*(1+INPUTS!H$103)</f>
        <v>48689.511120600007</v>
      </c>
      <c r="J108" s="171">
        <f>I108*(1+INPUTS!I$103)</f>
        <v>50150.196454218007</v>
      </c>
      <c r="K108"/>
      <c r="L108" s="39" t="str">
        <f>INPUTS!$B$103</f>
        <v>Custodian/Facilities Maintenance</v>
      </c>
      <c r="M108" s="171">
        <f t="shared" si="63"/>
        <v>0</v>
      </c>
      <c r="N108" s="171">
        <f t="shared" si="64"/>
        <v>44557.8</v>
      </c>
      <c r="O108" s="171">
        <f t="shared" si="65"/>
        <v>45894.534000000007</v>
      </c>
      <c r="P108" s="171">
        <f t="shared" si="66"/>
        <v>94542.740040000019</v>
      </c>
      <c r="Q108" s="171">
        <f t="shared" si="67"/>
        <v>97379.022241200015</v>
      </c>
      <c r="R108" s="171">
        <f t="shared" si="68"/>
        <v>100300.39290843601</v>
      </c>
      <c r="S108"/>
      <c r="T108"/>
      <c r="U108"/>
      <c r="V108"/>
      <c r="W108"/>
      <c r="X108" s="788"/>
    </row>
    <row r="109" spans="1:24" outlineLevel="1">
      <c r="A109" s="790"/>
      <c r="B109" s="5"/>
      <c r="C109" s="21"/>
      <c r="D109" s="39" t="str">
        <f>INPUTS!$B$104</f>
        <v>Security/Safety Coordinator</v>
      </c>
      <c r="E109" s="171">
        <f>$M34*((1+INPUTS!D104)^(STAFFING!E$87-STAFFING!$M$11))</f>
        <v>51500</v>
      </c>
      <c r="F109" s="171">
        <f>E109*(1+INPUTS!E$104)</f>
        <v>53045</v>
      </c>
      <c r="G109" s="171">
        <f>F109*(1+INPUTS!F$104)</f>
        <v>54636.35</v>
      </c>
      <c r="H109" s="171">
        <f>G109*(1+INPUTS!G$104)</f>
        <v>56275.440499999997</v>
      </c>
      <c r="I109" s="171">
        <f>H109*(1+INPUTS!H$104)</f>
        <v>57963.703714999996</v>
      </c>
      <c r="J109" s="171">
        <f>I109*(1+INPUTS!I$104)</f>
        <v>59702.614826450001</v>
      </c>
      <c r="K109"/>
      <c r="L109" s="39" t="str">
        <f>INPUTS!$B$104</f>
        <v>Security/Safety Coordinator</v>
      </c>
      <c r="M109" s="171">
        <f t="shared" si="63"/>
        <v>0</v>
      </c>
      <c r="N109" s="171">
        <f t="shared" si="64"/>
        <v>0</v>
      </c>
      <c r="O109" s="171">
        <f t="shared" si="65"/>
        <v>0</v>
      </c>
      <c r="P109" s="171">
        <f t="shared" si="66"/>
        <v>0</v>
      </c>
      <c r="Q109" s="171">
        <f t="shared" si="67"/>
        <v>0</v>
      </c>
      <c r="R109" s="171">
        <f t="shared" si="68"/>
        <v>0</v>
      </c>
      <c r="S109"/>
      <c r="T109"/>
      <c r="U109"/>
      <c r="V109"/>
      <c r="W109"/>
      <c r="X109" s="788"/>
    </row>
    <row r="110" spans="1:24" outlineLevel="1">
      <c r="A110" s="790"/>
      <c r="B110" s="5"/>
      <c r="C110" s="21"/>
      <c r="D110" s="39" t="str">
        <f>INPUTS!$B$105</f>
        <v>Nutrition Program Manager/Lead</v>
      </c>
      <c r="E110" s="171">
        <f>$M35*((1+INPUTS!D105)^(STAFFING!E$87-STAFFING!$M$11))</f>
        <v>61800</v>
      </c>
      <c r="F110" s="171">
        <f>E110*(1+INPUTS!E$105)</f>
        <v>63654</v>
      </c>
      <c r="G110" s="171">
        <f>F110*(1+INPUTS!F$105)</f>
        <v>65563.62</v>
      </c>
      <c r="H110" s="171">
        <f>G110*(1+INPUTS!G$105)</f>
        <v>67530.528599999991</v>
      </c>
      <c r="I110" s="171">
        <f>H110*(1+INPUTS!H$105)</f>
        <v>69556.444457999998</v>
      </c>
      <c r="J110" s="171">
        <f>I110*(1+INPUTS!I$105)</f>
        <v>71643.137791739995</v>
      </c>
      <c r="K110"/>
      <c r="L110" s="39" t="str">
        <f>INPUTS!$B$105</f>
        <v>Nutrition Program Manager/Lead</v>
      </c>
      <c r="M110" s="171">
        <f t="shared" si="63"/>
        <v>0</v>
      </c>
      <c r="N110" s="171">
        <f t="shared" si="64"/>
        <v>0</v>
      </c>
      <c r="O110" s="171">
        <f t="shared" si="65"/>
        <v>0</v>
      </c>
      <c r="P110" s="171">
        <f t="shared" si="66"/>
        <v>0</v>
      </c>
      <c r="Q110" s="171">
        <f t="shared" si="67"/>
        <v>0</v>
      </c>
      <c r="R110" s="171">
        <f t="shared" si="68"/>
        <v>0</v>
      </c>
      <c r="S110"/>
      <c r="T110"/>
      <c r="U110"/>
      <c r="V110"/>
      <c r="W110"/>
      <c r="X110" s="788"/>
    </row>
    <row r="111" spans="1:24" outlineLevel="1">
      <c r="A111" s="790"/>
      <c r="B111" s="5"/>
      <c r="C111" s="21"/>
      <c r="D111" s="39" t="str">
        <f>INPUTS!$B$106</f>
        <v>Food Service Staff (Cooks/Servers)</v>
      </c>
      <c r="E111" s="171">
        <f>$M36*((1+INPUTS!D106)^(STAFFING!E$87-STAFFING!$M$11))</f>
        <v>30900</v>
      </c>
      <c r="F111" s="171">
        <f>E111*(1+INPUTS!E$106)</f>
        <v>31827</v>
      </c>
      <c r="G111" s="171">
        <f>F111*(1+INPUTS!F$106)</f>
        <v>32781.81</v>
      </c>
      <c r="H111" s="171">
        <f>G111*(1+INPUTS!G$106)</f>
        <v>33765.264299999995</v>
      </c>
      <c r="I111" s="171">
        <f>H111*(1+INPUTS!H$106)</f>
        <v>34778.222228999999</v>
      </c>
      <c r="J111" s="171">
        <f>I111*(1+INPUTS!I$106)</f>
        <v>35821.568895869998</v>
      </c>
      <c r="K111"/>
      <c r="L111" s="39" t="str">
        <f>INPUTS!$B$106</f>
        <v>Food Service Staff (Cooks/Servers)</v>
      </c>
      <c r="M111" s="171">
        <f t="shared" si="63"/>
        <v>0</v>
      </c>
      <c r="N111" s="171">
        <f t="shared" si="64"/>
        <v>15913.5</v>
      </c>
      <c r="O111" s="171">
        <f t="shared" si="65"/>
        <v>32781.81</v>
      </c>
      <c r="P111" s="171">
        <f t="shared" si="66"/>
        <v>33765.264299999995</v>
      </c>
      <c r="Q111" s="171">
        <f t="shared" si="67"/>
        <v>34778.222228999999</v>
      </c>
      <c r="R111" s="171">
        <f t="shared" si="68"/>
        <v>35821.568895869998</v>
      </c>
      <c r="S111"/>
      <c r="T111"/>
      <c r="U111"/>
      <c r="V111"/>
      <c r="W111"/>
      <c r="X111" s="788"/>
    </row>
    <row r="112" spans="1:24" outlineLevel="1">
      <c r="A112" s="790"/>
      <c r="B112" s="5"/>
      <c r="C112" s="21"/>
      <c r="D112" s="39" t="str">
        <f>INPUTS!$B$107</f>
        <v>Transportation Coordinator</v>
      </c>
      <c r="E112" s="171">
        <f>$M37*((1+INPUTS!D107)^(STAFFING!E$87-STAFFING!$M$11))</f>
        <v>61800</v>
      </c>
      <c r="F112" s="171">
        <f>E112*(1+INPUTS!E$107)</f>
        <v>63654</v>
      </c>
      <c r="G112" s="171">
        <f>F112*(1+INPUTS!F$107)</f>
        <v>65563.62</v>
      </c>
      <c r="H112" s="171">
        <f>G112*(1+INPUTS!G$107)</f>
        <v>67530.528599999991</v>
      </c>
      <c r="I112" s="171">
        <f>H112*(1+INPUTS!H$107)</f>
        <v>69556.444457999998</v>
      </c>
      <c r="J112" s="171">
        <f>I112*(1+INPUTS!I$107)</f>
        <v>71643.137791739995</v>
      </c>
      <c r="K112"/>
      <c r="L112" s="39" t="str">
        <f>INPUTS!$B$107</f>
        <v>Transportation Coordinator</v>
      </c>
      <c r="M112" s="171">
        <f t="shared" si="63"/>
        <v>0</v>
      </c>
      <c r="N112" s="171">
        <f t="shared" si="64"/>
        <v>0</v>
      </c>
      <c r="O112" s="171">
        <f t="shared" si="65"/>
        <v>0</v>
      </c>
      <c r="P112" s="171">
        <f t="shared" si="66"/>
        <v>0</v>
      </c>
      <c r="Q112" s="171">
        <f t="shared" si="67"/>
        <v>0</v>
      </c>
      <c r="R112" s="171">
        <f t="shared" si="68"/>
        <v>0</v>
      </c>
      <c r="S112"/>
      <c r="T112"/>
      <c r="U112"/>
      <c r="V112"/>
      <c r="W112"/>
      <c r="X112" s="788"/>
    </row>
    <row r="113" spans="1:24" outlineLevel="1">
      <c r="A113" s="790"/>
      <c r="B113" s="5"/>
      <c r="C113" s="21"/>
      <c r="D113" s="39" t="str">
        <f>INPUTS!$B$108</f>
        <v>Substitute Teacher Pool</v>
      </c>
      <c r="E113" s="171">
        <f>$M38*((1+INPUTS!D108)^(STAFFING!E$87-STAFFING!$M$11))</f>
        <v>30900</v>
      </c>
      <c r="F113" s="171">
        <f>E113*(1+INPUTS!E$108)</f>
        <v>31827</v>
      </c>
      <c r="G113" s="171">
        <f>F113*(1+INPUTS!F$108)</f>
        <v>32781.81</v>
      </c>
      <c r="H113" s="171">
        <f>G113*(1+INPUTS!G$108)</f>
        <v>33765.264299999995</v>
      </c>
      <c r="I113" s="171">
        <f>H113*(1+INPUTS!H$108)</f>
        <v>34778.222228999999</v>
      </c>
      <c r="J113" s="171">
        <f>I113*(1+INPUTS!I$108)</f>
        <v>35821.568895869998</v>
      </c>
      <c r="K113"/>
      <c r="L113" s="39" t="str">
        <f>INPUTS!$B$108</f>
        <v>Substitute Teacher Pool</v>
      </c>
      <c r="M113" s="171">
        <f t="shared" si="63"/>
        <v>0</v>
      </c>
      <c r="N113" s="171">
        <f t="shared" si="64"/>
        <v>63654</v>
      </c>
      <c r="O113" s="171">
        <f t="shared" si="65"/>
        <v>131127.24</v>
      </c>
      <c r="P113" s="171">
        <f t="shared" si="66"/>
        <v>202591.58579999997</v>
      </c>
      <c r="Q113" s="171">
        <f t="shared" si="67"/>
        <v>243447.55560299999</v>
      </c>
      <c r="R113" s="171">
        <f t="shared" si="68"/>
        <v>250750.98227108998</v>
      </c>
      <c r="S113"/>
      <c r="T113"/>
      <c r="U113"/>
      <c r="V113"/>
      <c r="W113"/>
      <c r="X113" s="788"/>
    </row>
    <row r="114" spans="1:24" outlineLevel="1">
      <c r="A114" s="790"/>
      <c r="B114" s="5"/>
      <c r="C114" s="21"/>
      <c r="D114" s="39" t="str">
        <f>INPUTS!$B$109</f>
        <v>Nurse</v>
      </c>
      <c r="E114" s="171">
        <f>$M39*((1+INPUTS!D109)^(STAFFING!E$87-STAFFING!$M$11))</f>
        <v>66950</v>
      </c>
      <c r="F114" s="171">
        <f>E114*(1+INPUTS!E$108)</f>
        <v>68958.5</v>
      </c>
      <c r="G114" s="171">
        <f>F114*(1+INPUTS!F$108)</f>
        <v>71027.255000000005</v>
      </c>
      <c r="H114" s="171">
        <f>G114*(1+INPUTS!G$108)</f>
        <v>73158.072650000002</v>
      </c>
      <c r="I114" s="171">
        <f>H114*(1+INPUTS!H$108)</f>
        <v>75352.814829499999</v>
      </c>
      <c r="J114" s="171">
        <f>I114*(1+INPUTS!I$108)</f>
        <v>77613.399274384996</v>
      </c>
      <c r="K114"/>
      <c r="L114" s="39" t="str">
        <f>INPUTS!$B$109</f>
        <v>Nurse</v>
      </c>
      <c r="M114" s="171">
        <f t="shared" ref="M114:R114" si="69">E114*E78</f>
        <v>0</v>
      </c>
      <c r="N114" s="171">
        <f t="shared" si="69"/>
        <v>34479.25</v>
      </c>
      <c r="O114" s="171">
        <f t="shared" si="69"/>
        <v>71027.255000000005</v>
      </c>
      <c r="P114" s="171">
        <f t="shared" si="69"/>
        <v>73158.072650000002</v>
      </c>
      <c r="Q114" s="171">
        <f t="shared" si="69"/>
        <v>75352.814829499999</v>
      </c>
      <c r="R114" s="171">
        <f t="shared" si="69"/>
        <v>77613.399274384996</v>
      </c>
      <c r="S114"/>
      <c r="T114"/>
      <c r="U114"/>
      <c r="V114"/>
      <c r="W114"/>
      <c r="X114" s="788"/>
    </row>
    <row r="115" spans="1:24" outlineLevel="1">
      <c r="A115" s="790"/>
      <c r="B115" s="5"/>
      <c r="C115" s="21"/>
      <c r="D115" s="39" t="str">
        <f>INPUTS!$B$110</f>
        <v>Librarian</v>
      </c>
      <c r="E115" s="171">
        <f>$M40*((1+INPUTS!D110)^(STAFFING!E$87-STAFFING!$M$11))</f>
        <v>63860</v>
      </c>
      <c r="F115" s="171">
        <f>E115*(1+INPUTS!E$108)</f>
        <v>65775.8</v>
      </c>
      <c r="G115" s="171">
        <f>F115*(1+INPUTS!F$108)</f>
        <v>67749.074000000008</v>
      </c>
      <c r="H115" s="171">
        <f>G115*(1+INPUTS!G$108)</f>
        <v>69781.546220000004</v>
      </c>
      <c r="I115" s="171">
        <f>H115*(1+INPUTS!H$108)</f>
        <v>71874.992606600004</v>
      </c>
      <c r="J115" s="171">
        <f>I115*(1+INPUTS!I$108)</f>
        <v>74031.24238479801</v>
      </c>
      <c r="K115"/>
      <c r="L115" s="39" t="str">
        <f>INPUTS!$B$110</f>
        <v>Librarian</v>
      </c>
      <c r="M115" s="171">
        <f t="shared" ref="M115:R115" si="70">E115*E79</f>
        <v>0</v>
      </c>
      <c r="N115" s="171">
        <f t="shared" si="70"/>
        <v>0</v>
      </c>
      <c r="O115" s="171">
        <f t="shared" si="70"/>
        <v>0</v>
      </c>
      <c r="P115" s="171">
        <f t="shared" si="70"/>
        <v>0</v>
      </c>
      <c r="Q115" s="171">
        <f t="shared" si="70"/>
        <v>0</v>
      </c>
      <c r="R115" s="171">
        <f t="shared" si="70"/>
        <v>0</v>
      </c>
      <c r="S115"/>
      <c r="T115"/>
      <c r="U115"/>
      <c r="V115"/>
      <c r="W115"/>
      <c r="X115" s="788"/>
    </row>
    <row r="116" spans="1:24" outlineLevel="1">
      <c r="A116" s="790"/>
      <c r="B116" s="5"/>
      <c r="C116" s="21"/>
      <c r="D116" s="39" t="str">
        <f>INPUTS!$B$111</f>
        <v>Manager of Student Support</v>
      </c>
      <c r="E116" s="171">
        <f>$M41*((1+INPUTS!D111)^(STAFFING!E$87-STAFFING!$M$11))</f>
        <v>70040</v>
      </c>
      <c r="F116" s="171">
        <f>E116*(1+INPUTS!E$108)</f>
        <v>72141.2</v>
      </c>
      <c r="G116" s="171">
        <f>F116*(1+INPUTS!F$108)</f>
        <v>74305.436000000002</v>
      </c>
      <c r="H116" s="171">
        <f>G116*(1+INPUTS!G$108)</f>
        <v>76534.59908</v>
      </c>
      <c r="I116" s="171">
        <f>H116*(1+INPUTS!H$108)</f>
        <v>78830.637052400009</v>
      </c>
      <c r="J116" s="171">
        <f>I116*(1+INPUTS!I$108)</f>
        <v>81195.556163972011</v>
      </c>
      <c r="K116"/>
      <c r="L116" s="39" t="str">
        <f>INPUTS!$B$111</f>
        <v>Manager of Student Support</v>
      </c>
      <c r="M116" s="171">
        <f t="shared" ref="M116:R116" si="71">E116*E80</f>
        <v>0</v>
      </c>
      <c r="N116" s="171">
        <f t="shared" si="71"/>
        <v>0</v>
      </c>
      <c r="O116" s="171">
        <f t="shared" si="71"/>
        <v>0</v>
      </c>
      <c r="P116" s="171">
        <f t="shared" si="71"/>
        <v>0</v>
      </c>
      <c r="Q116" s="171">
        <f t="shared" si="71"/>
        <v>0</v>
      </c>
      <c r="R116" s="171">
        <f t="shared" si="71"/>
        <v>0</v>
      </c>
      <c r="S116"/>
      <c r="T116"/>
      <c r="U116"/>
      <c r="V116"/>
      <c r="W116"/>
      <c r="X116" s="788"/>
    </row>
    <row r="117" spans="1:24" outlineLevel="1">
      <c r="A117" s="790"/>
      <c r="B117" s="5"/>
      <c r="C117" s="21"/>
      <c r="D117" s="39" t="str">
        <f>INPUTS!$B$112</f>
        <v>College &amp; Athletics Director</v>
      </c>
      <c r="E117" s="171">
        <f>$M42*((1+INPUTS!D112)^(STAFFING!E$87-STAFFING!$M$11))</f>
        <v>70040</v>
      </c>
      <c r="F117" s="171">
        <f>E117*(1+INPUTS!E$108)</f>
        <v>72141.2</v>
      </c>
      <c r="G117" s="171">
        <f>F117*(1+INPUTS!F$108)</f>
        <v>74305.436000000002</v>
      </c>
      <c r="H117" s="171">
        <f>G117*(1+INPUTS!G$108)</f>
        <v>76534.59908</v>
      </c>
      <c r="I117" s="171">
        <f>H117*(1+INPUTS!H$108)</f>
        <v>78830.637052400009</v>
      </c>
      <c r="J117" s="171">
        <f>I117*(1+INPUTS!I$108)</f>
        <v>81195.556163972011</v>
      </c>
      <c r="K117"/>
      <c r="L117" s="39" t="str">
        <f>INPUTS!$B$112</f>
        <v>College &amp; Athletics Director</v>
      </c>
      <c r="M117" s="171">
        <f t="shared" ref="M117:R117" si="72">E117*E81</f>
        <v>0</v>
      </c>
      <c r="N117" s="171">
        <f t="shared" si="72"/>
        <v>72141.2</v>
      </c>
      <c r="O117" s="171">
        <f t="shared" si="72"/>
        <v>74305.436000000002</v>
      </c>
      <c r="P117" s="171">
        <f t="shared" si="72"/>
        <v>76534.59908</v>
      </c>
      <c r="Q117" s="171">
        <f t="shared" si="72"/>
        <v>78830.637052400009</v>
      </c>
      <c r="R117" s="171">
        <f t="shared" si="72"/>
        <v>81195.556163972011</v>
      </c>
      <c r="S117"/>
      <c r="T117"/>
      <c r="U117"/>
      <c r="V117"/>
      <c r="W117"/>
      <c r="X117" s="788"/>
    </row>
    <row r="118" spans="1:24" outlineLevel="1">
      <c r="A118" s="790"/>
      <c r="B118" s="5"/>
      <c r="C118" s="21"/>
      <c r="D118" s="39" t="str">
        <f>INPUTS!$B$113</f>
        <v>Manager of College Success</v>
      </c>
      <c r="E118" s="171">
        <f>$M43*((1+INPUTS!D113)^(STAFFING!E$87-STAFFING!$M$11))</f>
        <v>70040</v>
      </c>
      <c r="F118" s="171">
        <f>E118*(1+INPUTS!E$108)</f>
        <v>72141.2</v>
      </c>
      <c r="G118" s="171">
        <f>F118*(1+INPUTS!F$108)</f>
        <v>74305.436000000002</v>
      </c>
      <c r="H118" s="171">
        <f>G118*(1+INPUTS!G$108)</f>
        <v>76534.59908</v>
      </c>
      <c r="I118" s="171">
        <f>H118*(1+INPUTS!H$108)</f>
        <v>78830.637052400009</v>
      </c>
      <c r="J118" s="171">
        <f>I118*(1+INPUTS!I$108)</f>
        <v>81195.556163972011</v>
      </c>
      <c r="K118"/>
      <c r="L118" s="39" t="str">
        <f>INPUTS!$B$113</f>
        <v>Manager of College Success</v>
      </c>
      <c r="M118" s="171">
        <f t="shared" ref="M118:R118" si="73">E118*E82</f>
        <v>0</v>
      </c>
      <c r="N118" s="171">
        <f t="shared" si="73"/>
        <v>0</v>
      </c>
      <c r="O118" s="171">
        <f t="shared" si="73"/>
        <v>0</v>
      </c>
      <c r="P118" s="171">
        <f t="shared" si="73"/>
        <v>76534.59908</v>
      </c>
      <c r="Q118" s="171">
        <f t="shared" si="73"/>
        <v>78830.637052400009</v>
      </c>
      <c r="R118" s="171">
        <f t="shared" si="73"/>
        <v>81195.556163972011</v>
      </c>
      <c r="S118"/>
      <c r="T118"/>
      <c r="U118"/>
      <c r="V118"/>
      <c r="W118"/>
      <c r="X118" s="788"/>
    </row>
    <row r="119" spans="1:24" outlineLevel="1">
      <c r="A119" s="790"/>
      <c r="B119" s="5"/>
      <c r="C119" s="21"/>
      <c r="D119" s="39" t="str">
        <f>INPUTS!$B$114</f>
        <v>Coordinator of College Success</v>
      </c>
      <c r="E119" s="171">
        <f>$M44*((1+INPUTS!D114)^(STAFFING!E$87-STAFFING!$M$11))</f>
        <v>46350</v>
      </c>
      <c r="F119" s="171">
        <f>E119*(1+INPUTS!E$108)</f>
        <v>47740.5</v>
      </c>
      <c r="G119" s="171">
        <f>F119*(1+INPUTS!F$108)</f>
        <v>49172.715000000004</v>
      </c>
      <c r="H119" s="171">
        <f>G119*(1+INPUTS!G$108)</f>
        <v>50647.896450000007</v>
      </c>
      <c r="I119" s="171">
        <f>H119*(1+INPUTS!H$108)</f>
        <v>52167.33334350001</v>
      </c>
      <c r="J119" s="171">
        <f>I119*(1+INPUTS!I$108)</f>
        <v>53732.353343805014</v>
      </c>
      <c r="K119"/>
      <c r="L119" s="39" t="str">
        <f>INPUTS!$B$114</f>
        <v>Coordinator of College Success</v>
      </c>
      <c r="M119" s="171">
        <f t="shared" ref="M119:R119" si="74">E119*E83</f>
        <v>0</v>
      </c>
      <c r="N119" s="171">
        <f t="shared" si="74"/>
        <v>0</v>
      </c>
      <c r="O119" s="171">
        <f t="shared" si="74"/>
        <v>0</v>
      </c>
      <c r="P119" s="171">
        <f t="shared" si="74"/>
        <v>0</v>
      </c>
      <c r="Q119" s="171">
        <f t="shared" si="74"/>
        <v>52167.33334350001</v>
      </c>
      <c r="R119" s="171">
        <f t="shared" si="74"/>
        <v>53732.353343805014</v>
      </c>
      <c r="S119"/>
      <c r="T119"/>
      <c r="U119"/>
      <c r="V119"/>
      <c r="W119"/>
      <c r="X119" s="788"/>
    </row>
    <row r="120" spans="1:24" outlineLevel="1">
      <c r="A120" s="790"/>
      <c r="B120" s="5"/>
      <c r="C120" s="21"/>
      <c r="D120" s="39">
        <f>INPUTS!$B$115</f>
        <v>0</v>
      </c>
      <c r="E120" s="171">
        <f>$M45*((1+INPUTS!D115)^(STAFFING!E$87-STAFFING!$M$11))</f>
        <v>0</v>
      </c>
      <c r="F120" s="171">
        <f>E120*(1+INPUTS!E$108)</f>
        <v>0</v>
      </c>
      <c r="G120" s="171">
        <f>F120*(1+INPUTS!F$108)</f>
        <v>0</v>
      </c>
      <c r="H120" s="171">
        <f>G120*(1+INPUTS!G$108)</f>
        <v>0</v>
      </c>
      <c r="I120" s="171">
        <f>H120*(1+INPUTS!H$108)</f>
        <v>0</v>
      </c>
      <c r="J120" s="171">
        <f>I120*(1+INPUTS!I$108)</f>
        <v>0</v>
      </c>
      <c r="K120"/>
      <c r="L120" s="39">
        <f>INPUTS!$B$115</f>
        <v>0</v>
      </c>
      <c r="M120" s="171">
        <f t="shared" ref="M120:R120" si="75">E120*E84</f>
        <v>0</v>
      </c>
      <c r="N120" s="171">
        <f t="shared" si="75"/>
        <v>0</v>
      </c>
      <c r="O120" s="171">
        <f t="shared" si="75"/>
        <v>0</v>
      </c>
      <c r="P120" s="171">
        <f t="shared" si="75"/>
        <v>0</v>
      </c>
      <c r="Q120" s="171">
        <f t="shared" si="75"/>
        <v>0</v>
      </c>
      <c r="R120" s="171">
        <f t="shared" si="75"/>
        <v>0</v>
      </c>
      <c r="S120"/>
      <c r="T120"/>
      <c r="U120"/>
      <c r="V120"/>
      <c r="W120"/>
      <c r="X120" s="788"/>
    </row>
    <row r="121" spans="1:24" outlineLevel="1">
      <c r="A121" s="183"/>
      <c r="B121"/>
      <c r="C121" s="21"/>
      <c r="D121" s="5" t="s">
        <v>178</v>
      </c>
      <c r="E121" s="794">
        <f>M121/E85</f>
        <v>206000</v>
      </c>
      <c r="F121" s="794">
        <f>IFERROR(N121/F85, 0)</f>
        <v>78074</v>
      </c>
      <c r="G121" s="794">
        <f t="shared" ref="G121:J121" si="76">IFERROR(O121/G85, 0)</f>
        <v>77011.236190476178</v>
      </c>
      <c r="H121" s="794">
        <f t="shared" si="76"/>
        <v>77474.584459780221</v>
      </c>
      <c r="I121" s="794">
        <f t="shared" si="76"/>
        <v>79766.833150257429</v>
      </c>
      <c r="J121" s="794">
        <f t="shared" si="76"/>
        <v>82159.838144765134</v>
      </c>
      <c r="K121"/>
      <c r="L121" s="795" t="s">
        <v>179</v>
      </c>
      <c r="M121" s="162">
        <f t="shared" ref="M121:R121" si="77">SUM(M88:M113)</f>
        <v>206000</v>
      </c>
      <c r="N121" s="162">
        <f t="shared" si="77"/>
        <v>2010405.5</v>
      </c>
      <c r="O121" s="162">
        <f t="shared" si="77"/>
        <v>3638780.9099999992</v>
      </c>
      <c r="P121" s="162">
        <f t="shared" si="77"/>
        <v>5287640.3893799996</v>
      </c>
      <c r="Q121" s="162">
        <f t="shared" si="77"/>
        <v>6321521.5271579009</v>
      </c>
      <c r="R121" s="162">
        <f t="shared" si="77"/>
        <v>6511167.1729726372</v>
      </c>
      <c r="S121"/>
      <c r="T121"/>
      <c r="U121"/>
      <c r="V121"/>
      <c r="W121"/>
      <c r="X121" s="464"/>
    </row>
    <row r="122" spans="1:24">
      <c r="A122" s="305"/>
      <c r="B122" s="597"/>
      <c r="C122" s="796"/>
      <c r="D122" s="597"/>
      <c r="E122" s="597"/>
      <c r="F122" s="597"/>
      <c r="G122" s="597"/>
      <c r="H122" s="597"/>
      <c r="I122" s="597"/>
      <c r="J122" s="597"/>
      <c r="K122" s="597"/>
      <c r="L122" s="797"/>
      <c r="M122" s="597"/>
      <c r="N122" s="597"/>
      <c r="O122" s="597"/>
      <c r="P122" s="597"/>
      <c r="Q122" s="597"/>
      <c r="R122" s="597"/>
      <c r="S122" s="597"/>
      <c r="T122" s="597"/>
      <c r="U122" s="597"/>
      <c r="V122" s="597"/>
      <c r="W122" s="597"/>
      <c r="X122" s="598"/>
    </row>
  </sheetData>
  <mergeCells count="1">
    <mergeCell ref="O6:W10"/>
  </mergeCells>
  <conditionalFormatting sqref="E52:J84">
    <cfRule type="expression" dxfId="25" priority="3">
      <formula>$B52="Fixed"</formula>
    </cfRule>
  </conditionalFormatting>
  <conditionalFormatting sqref="M52:R84">
    <cfRule type="expression" dxfId="24" priority="1">
      <formula>$B52="Fixed"</formula>
    </cfRule>
  </conditionalFormatting>
  <dataValidations count="1">
    <dataValidation type="list" allowBlank="1" showInputMessage="1" showErrorMessage="1" sqref="R121 R51 R86:R87" xr:uid="{5A9AA48F-FE81-46EE-8C59-9BB717555DF1}">
      <formula1>#REF!</formula1>
    </dataValidation>
  </dataValidations>
  <hyperlinks>
    <hyperlink ref="L6" r:id="rId1" xr:uid="{AE647C1A-3F6A-4AA0-8AB6-7427A119465A}"/>
    <hyperlink ref="L10" r:id="rId2" xr:uid="{91F9CBFD-E539-476D-9DA8-D839EA1F7606}"/>
    <hyperlink ref="L8" r:id="rId3" xr:uid="{3B560D9F-AAA0-4293-8B5B-94278ADE55D0}"/>
  </hyperlinks>
  <pageMargins left="0.7" right="0.7" top="0.75" bottom="0.75" header="0.3" footer="0.3"/>
  <pageSetup orientation="portrait"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CA25-96E6-40FE-AD4A-781B2AA3E38F}">
  <sheetPr codeName="Sheet5">
    <tabColor theme="7" tint="0.59999389629810485"/>
  </sheetPr>
  <dimension ref="A1:X999"/>
  <sheetViews>
    <sheetView showGridLines="0" topLeftCell="E1" zoomScale="130" zoomScaleNormal="130" workbookViewId="0">
      <selection activeCell="S21" sqref="S21"/>
    </sheetView>
  </sheetViews>
  <sheetFormatPr baseColWidth="10" defaultColWidth="8.6640625" defaultRowHeight="15"/>
  <cols>
    <col min="1" max="1" width="3.5" style="519" customWidth="1"/>
    <col min="2" max="2" width="23.1640625" style="519" customWidth="1"/>
    <col min="3" max="3" width="13.6640625" style="519" customWidth="1"/>
    <col min="4" max="4" width="7.5" style="519" customWidth="1"/>
    <col min="5" max="5" width="3.5" style="519" customWidth="1"/>
    <col min="6" max="6" width="18.6640625" style="519" customWidth="1"/>
    <col min="7" max="7" width="15" style="519" customWidth="1"/>
    <col min="8" max="8" width="7.5" style="519" customWidth="1"/>
    <col min="9" max="9" width="3.5" style="519" customWidth="1"/>
    <col min="10" max="10" width="9.83203125" style="519" customWidth="1"/>
    <col min="11" max="11" width="12.1640625" style="519" customWidth="1"/>
    <col min="12" max="12" width="13.1640625" style="519" customWidth="1"/>
    <col min="13" max="15" width="3.5" style="519" customWidth="1"/>
    <col min="16" max="16" width="10.5" style="519" customWidth="1"/>
    <col min="17" max="17" width="15.83203125" style="519" customWidth="1"/>
    <col min="18" max="18" width="12.5" style="519" customWidth="1"/>
    <col min="19" max="19" width="17.33203125" style="519" customWidth="1"/>
    <col min="20" max="20" width="10.5" style="519" customWidth="1"/>
    <col min="21" max="21" width="12" style="519" customWidth="1"/>
    <col min="22" max="22" width="11.83203125" style="519" customWidth="1"/>
    <col min="23" max="24" width="3.5" style="519" customWidth="1"/>
    <col min="25" max="16384" width="8.6640625" style="513"/>
  </cols>
  <sheetData>
    <row r="1" spans="1:24" ht="15" customHeight="1">
      <c r="A1" s="316"/>
      <c r="B1" s="317"/>
      <c r="C1" s="317"/>
      <c r="D1" s="317"/>
      <c r="E1" s="317"/>
      <c r="F1" s="317"/>
      <c r="G1" s="317"/>
      <c r="H1" s="317"/>
      <c r="I1" s="317"/>
      <c r="J1" s="317"/>
      <c r="K1" s="317"/>
      <c r="L1" s="317"/>
      <c r="M1" s="317"/>
      <c r="N1" s="317"/>
      <c r="O1" s="317"/>
      <c r="P1" s="317"/>
      <c r="Q1" s="317"/>
      <c r="R1" s="317"/>
      <c r="S1" s="317"/>
      <c r="T1" s="317"/>
      <c r="U1" s="317"/>
      <c r="V1" s="317"/>
      <c r="W1" s="317"/>
      <c r="X1" s="756"/>
    </row>
    <row r="2" spans="1:24" ht="15.75" customHeight="1">
      <c r="A2" s="318"/>
      <c r="B2" s="319"/>
      <c r="C2" s="319"/>
      <c r="D2" s="319"/>
      <c r="E2" s="319"/>
      <c r="F2" s="319"/>
      <c r="G2" s="319"/>
      <c r="H2" s="319"/>
      <c r="I2" s="319"/>
      <c r="J2" s="319"/>
      <c r="K2" s="319"/>
      <c r="L2" s="319"/>
      <c r="M2" s="319"/>
      <c r="N2" s="319"/>
      <c r="O2" s="319"/>
      <c r="P2" s="319"/>
      <c r="Q2" s="319"/>
      <c r="R2" s="319"/>
      <c r="S2" s="319"/>
      <c r="T2" s="319"/>
      <c r="U2" s="319"/>
      <c r="V2" s="319"/>
      <c r="W2" s="319"/>
      <c r="X2" s="757"/>
    </row>
    <row r="3" spans="1:24" ht="15" customHeight="1" thickBot="1">
      <c r="A3" s="762"/>
      <c r="B3" s="48"/>
      <c r="C3" s="48"/>
      <c r="D3" s="48"/>
      <c r="E3" s="48"/>
      <c r="F3" s="48"/>
      <c r="G3" s="48"/>
      <c r="H3" s="48"/>
      <c r="I3" s="48"/>
      <c r="J3" s="48"/>
      <c r="K3" s="48"/>
      <c r="L3" s="48"/>
      <c r="M3" s="758"/>
      <c r="N3" s="758"/>
      <c r="O3" s="758"/>
      <c r="P3" s="758"/>
      <c r="Q3" s="758"/>
      <c r="R3" s="758"/>
      <c r="S3" s="758"/>
      <c r="T3" s="758"/>
      <c r="U3" s="758"/>
      <c r="V3" s="758"/>
      <c r="W3" s="758"/>
      <c r="X3" s="759"/>
    </row>
    <row r="4" spans="1:24" ht="16" thickBot="1">
      <c r="A4" s="762"/>
      <c r="B4" s="777" t="s">
        <v>22</v>
      </c>
      <c r="C4" s="760"/>
      <c r="D4" s="760"/>
      <c r="E4" s="760"/>
      <c r="F4" s="760"/>
      <c r="G4" s="760"/>
      <c r="H4" s="760"/>
      <c r="I4" s="760"/>
      <c r="J4" s="760"/>
      <c r="K4" s="760"/>
      <c r="L4" s="760"/>
      <c r="M4" s="320"/>
      <c r="N4" s="321"/>
      <c r="O4" s="320"/>
      <c r="P4" s="891" t="str">
        <f>B6</f>
        <v>Modeled Borrowing</v>
      </c>
      <c r="Q4" s="892"/>
      <c r="R4" s="892"/>
      <c r="S4" s="892"/>
      <c r="T4" s="892"/>
      <c r="U4" s="892"/>
      <c r="V4" s="893"/>
      <c r="W4" s="758"/>
      <c r="X4" s="761"/>
    </row>
    <row r="5" spans="1:24" ht="15" customHeight="1" thickBot="1">
      <c r="A5" s="762"/>
      <c r="B5" s="758"/>
      <c r="C5" s="758"/>
      <c r="D5" s="758"/>
      <c r="E5" s="758"/>
      <c r="F5" s="758"/>
      <c r="G5" s="758"/>
      <c r="H5" s="758"/>
      <c r="I5" s="758"/>
      <c r="J5" s="758"/>
      <c r="K5" s="758"/>
      <c r="L5" s="758"/>
      <c r="M5" s="320"/>
      <c r="N5" s="322"/>
      <c r="O5" s="758"/>
      <c r="P5" s="758"/>
      <c r="Q5" s="758"/>
      <c r="R5" s="323"/>
      <c r="S5" s="758"/>
      <c r="T5" s="758"/>
      <c r="U5" s="758"/>
      <c r="V5" s="758"/>
      <c r="W5" s="758"/>
      <c r="X5" s="763"/>
    </row>
    <row r="6" spans="1:24" ht="15" customHeight="1" thickBot="1">
      <c r="A6" s="762"/>
      <c r="B6" s="894" t="s">
        <v>363</v>
      </c>
      <c r="C6" s="895"/>
      <c r="D6" s="895"/>
      <c r="E6" s="896"/>
      <c r="F6" s="896"/>
      <c r="G6" s="896"/>
      <c r="H6" s="897"/>
      <c r="I6" s="758"/>
      <c r="J6" s="898" t="s">
        <v>331</v>
      </c>
      <c r="K6" s="899"/>
      <c r="L6" s="900"/>
      <c r="M6" s="320"/>
      <c r="N6" s="322"/>
      <c r="O6" s="758"/>
      <c r="P6" s="758"/>
      <c r="Q6" s="324"/>
      <c r="R6" s="325">
        <f>C8</f>
        <v>5175000</v>
      </c>
      <c r="S6" s="764" t="s">
        <v>332</v>
      </c>
      <c r="T6" s="758"/>
      <c r="U6" s="48"/>
      <c r="V6" s="48"/>
      <c r="W6" s="758"/>
      <c r="X6" s="763"/>
    </row>
    <row r="7" spans="1:24" ht="15" customHeight="1" thickBot="1">
      <c r="A7" s="762"/>
      <c r="B7" s="326" t="s">
        <v>334</v>
      </c>
      <c r="C7" s="765"/>
      <c r="D7" s="765"/>
      <c r="E7" s="410"/>
      <c r="F7" s="413" t="s">
        <v>335</v>
      </c>
      <c r="G7" s="414"/>
      <c r="H7" s="407"/>
      <c r="I7" s="758"/>
      <c r="J7" s="327" t="s">
        <v>349</v>
      </c>
      <c r="K7" s="766" t="s">
        <v>353</v>
      </c>
      <c r="L7" s="328" t="s">
        <v>354</v>
      </c>
      <c r="M7" s="320"/>
      <c r="N7" s="322"/>
      <c r="O7" s="758"/>
      <c r="P7" s="320"/>
      <c r="Q7" s="329">
        <f>J8</f>
        <v>0.05</v>
      </c>
      <c r="R7" s="329">
        <f>Q7/12</f>
        <v>4.1666666666666666E-3</v>
      </c>
      <c r="S7" s="625" t="s">
        <v>336</v>
      </c>
      <c r="T7" s="758"/>
      <c r="U7" s="758"/>
      <c r="V7" s="758"/>
      <c r="W7" s="758"/>
      <c r="X7" s="763"/>
    </row>
    <row r="8" spans="1:24" ht="15" customHeight="1" thickBot="1">
      <c r="A8" s="762"/>
      <c r="B8" s="330" t="s">
        <v>357</v>
      </c>
      <c r="C8" s="331">
        <f>C11-SUM(C10:C10)</f>
        <v>5175000</v>
      </c>
      <c r="D8" s="416">
        <v>1</v>
      </c>
      <c r="E8" s="411"/>
      <c r="F8" s="48" t="s">
        <v>358</v>
      </c>
      <c r="G8" s="576">
        <v>5000000</v>
      </c>
      <c r="H8" s="415">
        <f>G8/$G$11</f>
        <v>0.96618357487922701</v>
      </c>
      <c r="I8" s="758"/>
      <c r="J8" s="577">
        <v>0.05</v>
      </c>
      <c r="K8" s="575">
        <v>30</v>
      </c>
      <c r="L8" s="575">
        <v>30</v>
      </c>
      <c r="M8" s="320"/>
      <c r="N8" s="322"/>
      <c r="O8" s="758"/>
      <c r="P8" s="320"/>
      <c r="Q8" s="332">
        <f>L8</f>
        <v>30</v>
      </c>
      <c r="R8" s="332">
        <f>Q8*12</f>
        <v>360</v>
      </c>
      <c r="S8" s="625" t="s">
        <v>337</v>
      </c>
      <c r="T8" s="758"/>
      <c r="U8" s="758"/>
      <c r="V8" s="758"/>
      <c r="W8" s="758"/>
      <c r="X8" s="763"/>
    </row>
    <row r="9" spans="1:24" ht="15" customHeight="1" thickBot="1">
      <c r="A9" s="762"/>
      <c r="B9" s="333"/>
      <c r="C9" s="767"/>
      <c r="D9" s="768"/>
      <c r="E9" s="411"/>
      <c r="F9" s="48" t="s">
        <v>343</v>
      </c>
      <c r="G9" s="576"/>
      <c r="H9" s="415"/>
      <c r="I9" s="758"/>
      <c r="J9" s="334"/>
      <c r="K9" s="335" t="s">
        <v>359</v>
      </c>
      <c r="L9" s="336" t="s">
        <v>359</v>
      </c>
      <c r="M9" s="320"/>
      <c r="N9" s="322"/>
      <c r="O9" s="758"/>
      <c r="P9" s="758"/>
      <c r="Q9" s="758"/>
      <c r="R9" s="758"/>
      <c r="S9" s="625"/>
      <c r="T9" s="758"/>
      <c r="U9" s="758"/>
      <c r="V9" s="758"/>
      <c r="W9" s="758"/>
      <c r="X9" s="763"/>
    </row>
    <row r="10" spans="1:24" ht="15" customHeight="1" thickBot="1">
      <c r="A10" s="762"/>
      <c r="B10" s="337"/>
      <c r="C10" s="769"/>
      <c r="D10" s="768"/>
      <c r="E10" s="411"/>
      <c r="F10" s="758" t="s">
        <v>341</v>
      </c>
      <c r="G10" s="767">
        <f>SUM(G8:G9)*H10</f>
        <v>175000.00000000003</v>
      </c>
      <c r="H10" s="577">
        <v>3.5000000000000003E-2</v>
      </c>
      <c r="I10" s="758"/>
      <c r="J10" s="48"/>
      <c r="K10" s="48"/>
      <c r="L10" s="48"/>
      <c r="M10" s="320"/>
      <c r="N10" s="322"/>
      <c r="O10" s="758"/>
      <c r="P10" s="758"/>
      <c r="Q10" s="758"/>
      <c r="R10" s="758"/>
      <c r="S10" s="758"/>
      <c r="T10" s="758"/>
      <c r="U10" s="758"/>
      <c r="V10" s="758"/>
      <c r="W10" s="758"/>
      <c r="X10" s="763"/>
    </row>
    <row r="11" spans="1:24" ht="15" customHeight="1" thickBot="1">
      <c r="A11" s="762"/>
      <c r="B11" s="338" t="s">
        <v>345</v>
      </c>
      <c r="C11" s="339">
        <f>G11</f>
        <v>5175000</v>
      </c>
      <c r="D11" s="408">
        <v>1</v>
      </c>
      <c r="E11" s="412"/>
      <c r="F11" s="409" t="s">
        <v>346</v>
      </c>
      <c r="G11" s="339">
        <f>SUM(G8:G10)</f>
        <v>5175000</v>
      </c>
      <c r="H11" s="340">
        <f>SUM(H8:H10)</f>
        <v>1.001183574879227</v>
      </c>
      <c r="I11" s="758"/>
      <c r="J11" s="48"/>
      <c r="K11" s="48"/>
      <c r="L11" s="48"/>
      <c r="M11" s="320"/>
      <c r="N11" s="322"/>
      <c r="O11" s="758"/>
      <c r="P11" s="758"/>
      <c r="Q11" s="758"/>
      <c r="R11" s="48"/>
      <c r="S11" s="758"/>
      <c r="T11" s="48"/>
      <c r="U11" s="48"/>
      <c r="V11" s="758"/>
      <c r="W11" s="758"/>
      <c r="X11" s="763"/>
    </row>
    <row r="12" spans="1:24" ht="15" customHeight="1" thickBot="1">
      <c r="A12" s="762"/>
      <c r="B12" s="48"/>
      <c r="C12" s="48"/>
      <c r="D12" s="48"/>
      <c r="E12" s="48"/>
      <c r="F12" s="48"/>
      <c r="G12" s="48"/>
      <c r="H12" s="48"/>
      <c r="I12" s="48"/>
      <c r="J12" s="48"/>
      <c r="K12" s="48"/>
      <c r="L12" s="48"/>
      <c r="M12" s="320"/>
      <c r="N12" s="322"/>
      <c r="O12" s="758"/>
      <c r="P12" s="758"/>
      <c r="Q12" s="48"/>
      <c r="R12" s="48"/>
      <c r="S12" s="48"/>
      <c r="T12" s="341">
        <f>EDATE(K14, R8)</f>
        <v>57526</v>
      </c>
      <c r="U12" s="625" t="s">
        <v>339</v>
      </c>
      <c r="V12" s="758"/>
      <c r="W12" s="758"/>
      <c r="X12" s="763"/>
    </row>
    <row r="13" spans="1:24" ht="15" customHeight="1" thickBot="1">
      <c r="A13" s="762"/>
      <c r="B13" s="406" t="s">
        <v>360</v>
      </c>
      <c r="C13" s="407"/>
      <c r="D13" s="48"/>
      <c r="E13" s="48"/>
      <c r="F13" s="95" t="s">
        <v>361</v>
      </c>
      <c r="G13" s="767"/>
      <c r="H13" s="48"/>
      <c r="I13" s="48"/>
      <c r="J13" s="48"/>
      <c r="K13" s="48"/>
      <c r="L13" s="48"/>
      <c r="M13" s="320"/>
      <c r="N13" s="322"/>
      <c r="O13" s="758"/>
      <c r="P13" s="758"/>
      <c r="Q13" s="341">
        <f>EOMONTH(K14, 1)</f>
        <v>46599</v>
      </c>
      <c r="R13" s="625" t="s">
        <v>342</v>
      </c>
      <c r="S13" s="758"/>
      <c r="T13" s="342" cm="1">
        <f t="array" ref="T13">INDEX(V57:V447, _xlfn.XMATCH(TRUE, V57:V447&lt;&gt;"",,-1))</f>
        <v>2.4301698431372643E-9</v>
      </c>
      <c r="U13" s="625" t="s">
        <v>340</v>
      </c>
      <c r="V13" s="758"/>
      <c r="W13" s="758"/>
      <c r="X13" s="763"/>
    </row>
    <row r="14" spans="1:24" ht="15" customHeight="1" thickBot="1">
      <c r="A14" s="762"/>
      <c r="B14" s="814" t="s">
        <v>362</v>
      </c>
      <c r="C14" s="815">
        <f>SUM(G8:G10)</f>
        <v>5175000</v>
      </c>
      <c r="D14" s="48"/>
      <c r="E14" s="48"/>
      <c r="F14" s="575">
        <v>30</v>
      </c>
      <c r="G14" s="625" t="s">
        <v>359</v>
      </c>
      <c r="H14" s="48"/>
      <c r="I14" s="48"/>
      <c r="J14" s="48"/>
      <c r="K14" s="353">
        <v>46568</v>
      </c>
      <c r="L14" s="764" t="s">
        <v>338</v>
      </c>
      <c r="M14" s="320"/>
      <c r="N14" s="322"/>
      <c r="O14" s="758"/>
      <c r="P14" s="770"/>
      <c r="Q14" s="341">
        <f>EOMONTH(K14, 1)</f>
        <v>46599</v>
      </c>
      <c r="R14" s="625" t="s">
        <v>344</v>
      </c>
      <c r="S14" s="758"/>
      <c r="T14" s="758"/>
      <c r="U14" s="758"/>
      <c r="V14" s="758"/>
      <c r="W14" s="758"/>
      <c r="X14" s="763"/>
    </row>
    <row r="15" spans="1:24" ht="15" customHeight="1" thickBot="1">
      <c r="A15" s="778"/>
      <c r="B15" s="334" t="s">
        <v>432</v>
      </c>
      <c r="C15" s="816">
        <f>C14/F14</f>
        <v>172500</v>
      </c>
      <c r="D15" s="771"/>
      <c r="E15" s="48"/>
      <c r="F15" s="767"/>
      <c r="G15" s="758"/>
      <c r="H15" s="758"/>
      <c r="I15" s="758"/>
      <c r="J15" s="758"/>
      <c r="K15" s="766">
        <f>YEAR(K14)</f>
        <v>2027</v>
      </c>
      <c r="L15" s="764" t="s">
        <v>1506</v>
      </c>
      <c r="M15" s="320"/>
      <c r="N15" s="322"/>
      <c r="O15" s="48"/>
      <c r="P15" s="48"/>
      <c r="Q15" s="48"/>
      <c r="R15" s="48"/>
      <c r="S15" s="48"/>
      <c r="T15" s="48"/>
      <c r="U15" s="48"/>
      <c r="V15" s="48"/>
      <c r="W15" s="48"/>
      <c r="X15" s="763"/>
    </row>
    <row r="16" spans="1:24" ht="15" customHeight="1" thickBot="1">
      <c r="A16" s="762"/>
      <c r="B16" s="48"/>
      <c r="C16" s="48"/>
      <c r="D16" s="48"/>
      <c r="E16" s="48"/>
      <c r="F16" s="48"/>
      <c r="G16" s="48"/>
      <c r="H16" s="48"/>
      <c r="I16" s="48"/>
      <c r="J16" s="48"/>
      <c r="K16" s="48"/>
      <c r="L16" s="48"/>
      <c r="M16" s="320"/>
      <c r="N16" s="322"/>
      <c r="O16" s="48"/>
      <c r="P16" s="343">
        <v>2025</v>
      </c>
      <c r="Q16" s="48"/>
      <c r="R16" s="48"/>
      <c r="S16" s="48"/>
      <c r="T16" s="48"/>
      <c r="U16" s="901" t="s">
        <v>333</v>
      </c>
      <c r="V16" s="902"/>
      <c r="W16" s="48"/>
      <c r="X16" s="763"/>
    </row>
    <row r="17" spans="1:24" ht="15" customHeight="1">
      <c r="A17" s="762"/>
      <c r="B17" s="777"/>
      <c r="C17" s="760"/>
      <c r="D17" s="760"/>
      <c r="E17" s="760"/>
      <c r="F17" s="760"/>
      <c r="G17" s="760"/>
      <c r="H17" s="760"/>
      <c r="I17" s="760"/>
      <c r="J17" s="760"/>
      <c r="K17" s="760"/>
      <c r="L17" s="760"/>
      <c r="M17" s="320"/>
      <c r="N17" s="322"/>
      <c r="O17" s="758"/>
      <c r="P17" s="48"/>
      <c r="Q17" s="758"/>
      <c r="R17" s="758"/>
      <c r="S17" s="758"/>
      <c r="T17" s="758"/>
      <c r="U17" s="758"/>
      <c r="V17" s="758"/>
      <c r="W17" s="758"/>
      <c r="X17" s="763"/>
    </row>
    <row r="18" spans="1:24" ht="15" customHeight="1" thickBot="1">
      <c r="A18" s="762"/>
      <c r="B18" s="48"/>
      <c r="C18" s="48"/>
      <c r="D18" s="48"/>
      <c r="E18" s="48"/>
      <c r="F18" s="48"/>
      <c r="G18" s="767"/>
      <c r="H18" s="767"/>
      <c r="I18" s="758"/>
      <c r="J18" s="48"/>
      <c r="K18" s="48"/>
      <c r="L18" s="48"/>
      <c r="M18" s="320"/>
      <c r="N18" s="322"/>
      <c r="O18" s="758"/>
      <c r="P18" s="344" t="s">
        <v>347</v>
      </c>
      <c r="Q18" s="344" t="s">
        <v>348</v>
      </c>
      <c r="R18" s="344" t="s">
        <v>330</v>
      </c>
      <c r="S18" s="344" t="s">
        <v>378</v>
      </c>
      <c r="T18" s="344" t="s">
        <v>350</v>
      </c>
      <c r="U18" s="344" t="s">
        <v>351</v>
      </c>
      <c r="V18" s="344" t="s">
        <v>352</v>
      </c>
      <c r="W18" s="758"/>
      <c r="X18" s="763"/>
    </row>
    <row r="19" spans="1:24" ht="15" customHeight="1" thickBot="1">
      <c r="A19" s="626"/>
      <c r="B19" s="48"/>
      <c r="C19" s="48"/>
      <c r="D19" s="767"/>
      <c r="E19" s="767"/>
      <c r="F19" s="767"/>
      <c r="G19" s="767"/>
      <c r="H19" s="767"/>
      <c r="I19" s="758"/>
      <c r="J19" s="48"/>
      <c r="K19" s="48"/>
      <c r="L19" s="48"/>
      <c r="M19" s="320"/>
      <c r="N19" s="322"/>
      <c r="O19" s="320"/>
      <c r="P19" s="345">
        <v>2026</v>
      </c>
      <c r="Q19" s="346">
        <f>DATE(VALUE(P19),6,30)</f>
        <v>46203</v>
      </c>
      <c r="R19" s="347">
        <f>SUMIFS(R$57:R$447,$Q$57:$Q$447, "&gt;="&amp;$P16, $Q$57:$Q$447, "&lt;="&amp;$Q19)</f>
        <v>0</v>
      </c>
      <c r="S19" s="347">
        <f>SUMIFS(S$57:S$447,$Q$57:$Q$447, "&gt;="&amp;$P16, $Q$57:$Q$447, "&lt;="&amp;$Q19)</f>
        <v>0</v>
      </c>
      <c r="T19" s="347">
        <f t="shared" ref="T19:T54" si="0">R19+S19</f>
        <v>0</v>
      </c>
      <c r="U19" s="347">
        <f>R6</f>
        <v>5175000</v>
      </c>
      <c r="V19" s="347">
        <f>U19</f>
        <v>5175000</v>
      </c>
      <c r="W19" s="758"/>
      <c r="X19" s="763"/>
    </row>
    <row r="20" spans="1:24" ht="15" customHeight="1" thickBot="1">
      <c r="A20" s="626"/>
      <c r="B20" s="48"/>
      <c r="C20" s="48"/>
      <c r="D20" s="767"/>
      <c r="E20" s="767"/>
      <c r="F20" s="767"/>
      <c r="G20" s="767"/>
      <c r="H20" s="767"/>
      <c r="I20" s="758"/>
      <c r="J20" s="758"/>
      <c r="K20" s="758"/>
      <c r="L20" s="758"/>
      <c r="M20" s="320"/>
      <c r="N20" s="322"/>
      <c r="O20" s="320"/>
      <c r="P20" s="345">
        <f>P19+1</f>
        <v>2027</v>
      </c>
      <c r="Q20" s="346">
        <f>EDATE(Q19, 12)</f>
        <v>46568</v>
      </c>
      <c r="R20" s="347">
        <f t="shared" ref="R20:S35" si="1">SUMIFS(R$57:R$447,$Q$57:$Q$447, "&gt;"&amp;$Q19, $Q$57:$Q$447, "&lt;="&amp;$Q20)</f>
        <v>0</v>
      </c>
      <c r="S20" s="347">
        <f t="shared" si="1"/>
        <v>0</v>
      </c>
      <c r="T20" s="347">
        <f t="shared" si="0"/>
        <v>0</v>
      </c>
      <c r="U20" s="347">
        <f>U19</f>
        <v>5175000</v>
      </c>
      <c r="V20" s="347">
        <f t="shared" ref="V20:V54" si="2">IFERROR(INDEX($V$57:$V$447, MATCH(Q20,$Q$57:$Q$447, 0), 1), 0)</f>
        <v>0</v>
      </c>
      <c r="W20" s="758"/>
      <c r="X20" s="763"/>
    </row>
    <row r="21" spans="1:24" ht="15" customHeight="1" thickBot="1">
      <c r="A21" s="626"/>
      <c r="B21" s="48"/>
      <c r="C21" s="48"/>
      <c r="D21" s="48"/>
      <c r="E21" s="758"/>
      <c r="F21" s="758"/>
      <c r="G21" s="758"/>
      <c r="H21" s="758"/>
      <c r="I21" s="758"/>
      <c r="J21" s="758"/>
      <c r="K21" s="758"/>
      <c r="L21" s="758"/>
      <c r="M21" s="320"/>
      <c r="N21" s="322"/>
      <c r="O21" s="320"/>
      <c r="P21" s="345">
        <f t="shared" ref="P21:P54" si="3">P20+1</f>
        <v>2028</v>
      </c>
      <c r="Q21" s="346">
        <f t="shared" ref="Q21:Q54" si="4">EDATE(Q20, 12)</f>
        <v>46934</v>
      </c>
      <c r="R21" s="347">
        <f t="shared" si="1"/>
        <v>76350.156633117105</v>
      </c>
      <c r="S21" s="347">
        <f t="shared" si="1"/>
        <v>257016.07125742125</v>
      </c>
      <c r="T21" s="347">
        <f t="shared" si="0"/>
        <v>333366.22789053834</v>
      </c>
      <c r="U21" s="347">
        <f t="shared" ref="U21:U54" si="5">V20</f>
        <v>0</v>
      </c>
      <c r="V21" s="347">
        <f t="shared" si="2"/>
        <v>5098649.8433668837</v>
      </c>
      <c r="W21" s="758"/>
      <c r="X21" s="763"/>
    </row>
    <row r="22" spans="1:24" ht="15" customHeight="1" thickBot="1">
      <c r="A22" s="626"/>
      <c r="B22" s="48"/>
      <c r="C22" s="48"/>
      <c r="D22" s="48"/>
      <c r="E22" s="758"/>
      <c r="F22" s="758"/>
      <c r="G22" s="758"/>
      <c r="H22" s="758"/>
      <c r="I22" s="758"/>
      <c r="J22" s="758"/>
      <c r="K22" s="758"/>
      <c r="L22" s="758"/>
      <c r="M22" s="320"/>
      <c r="N22" s="322"/>
      <c r="O22" s="320"/>
      <c r="P22" s="345">
        <f t="shared" si="3"/>
        <v>2029</v>
      </c>
      <c r="Q22" s="346">
        <f t="shared" si="4"/>
        <v>47299</v>
      </c>
      <c r="R22" s="347">
        <f t="shared" si="1"/>
        <v>80256.375550034965</v>
      </c>
      <c r="S22" s="347">
        <f t="shared" si="1"/>
        <v>253109.85234050342</v>
      </c>
      <c r="T22" s="347">
        <f t="shared" si="0"/>
        <v>333366.2278905384</v>
      </c>
      <c r="U22" s="347">
        <f t="shared" si="5"/>
        <v>5098649.8433668837</v>
      </c>
      <c r="V22" s="347">
        <f t="shared" si="2"/>
        <v>5018393.4678168492</v>
      </c>
      <c r="W22" s="758"/>
      <c r="X22" s="763"/>
    </row>
    <row r="23" spans="1:24" ht="15" customHeight="1" thickBot="1">
      <c r="A23" s="762"/>
      <c r="B23" s="48"/>
      <c r="C23" s="48"/>
      <c r="D23" s="48"/>
      <c r="E23" s="758"/>
      <c r="F23" s="758"/>
      <c r="G23" s="758"/>
      <c r="H23" s="758"/>
      <c r="I23" s="758"/>
      <c r="J23" s="758"/>
      <c r="K23" s="758"/>
      <c r="L23" s="758"/>
      <c r="M23" s="320"/>
      <c r="N23" s="322"/>
      <c r="O23" s="320"/>
      <c r="P23" s="345">
        <f t="shared" si="3"/>
        <v>2030</v>
      </c>
      <c r="Q23" s="346">
        <f t="shared" si="4"/>
        <v>47664</v>
      </c>
      <c r="R23" s="347">
        <f t="shared" si="1"/>
        <v>84362.444040283881</v>
      </c>
      <c r="S23" s="347">
        <f t="shared" si="1"/>
        <v>249003.78385025455</v>
      </c>
      <c r="T23" s="347">
        <f t="shared" si="0"/>
        <v>333366.2278905384</v>
      </c>
      <c r="U23" s="347">
        <f t="shared" si="5"/>
        <v>5018393.4678168492</v>
      </c>
      <c r="V23" s="347">
        <f t="shared" si="2"/>
        <v>4934031.0237765666</v>
      </c>
      <c r="W23" s="758"/>
      <c r="X23" s="763"/>
    </row>
    <row r="24" spans="1:24" ht="15" customHeight="1" thickBot="1">
      <c r="A24" s="762"/>
      <c r="B24" s="48"/>
      <c r="C24" s="48"/>
      <c r="D24" s="48"/>
      <c r="E24" s="758"/>
      <c r="F24" s="758"/>
      <c r="G24" s="758"/>
      <c r="H24" s="758"/>
      <c r="I24" s="758"/>
      <c r="J24" s="758"/>
      <c r="K24" s="758"/>
      <c r="L24" s="758"/>
      <c r="M24" s="320"/>
      <c r="N24" s="322"/>
      <c r="O24" s="320"/>
      <c r="P24" s="345">
        <f t="shared" si="3"/>
        <v>2031</v>
      </c>
      <c r="Q24" s="346">
        <f t="shared" si="4"/>
        <v>48029</v>
      </c>
      <c r="R24" s="347">
        <f t="shared" si="1"/>
        <v>88678.586787326305</v>
      </c>
      <c r="S24" s="347">
        <f t="shared" si="1"/>
        <v>244687.64110321214</v>
      </c>
      <c r="T24" s="347">
        <f t="shared" si="0"/>
        <v>333366.22789053846</v>
      </c>
      <c r="U24" s="347">
        <f t="shared" si="5"/>
        <v>4934031.0237765666</v>
      </c>
      <c r="V24" s="347">
        <f t="shared" si="2"/>
        <v>4845352.4369892394</v>
      </c>
      <c r="W24" s="758"/>
      <c r="X24" s="763"/>
    </row>
    <row r="25" spans="1:24" ht="15" customHeight="1" thickBot="1">
      <c r="A25" s="762"/>
      <c r="B25" s="48"/>
      <c r="C25" s="48"/>
      <c r="D25" s="48"/>
      <c r="E25" s="758"/>
      <c r="F25" s="758"/>
      <c r="G25" s="758"/>
      <c r="H25" s="758"/>
      <c r="I25" s="758"/>
      <c r="J25" s="758"/>
      <c r="K25" s="758"/>
      <c r="L25" s="758"/>
      <c r="M25" s="320"/>
      <c r="N25" s="322"/>
      <c r="O25" s="320"/>
      <c r="P25" s="348">
        <f t="shared" si="3"/>
        <v>2032</v>
      </c>
      <c r="Q25" s="349">
        <f t="shared" si="4"/>
        <v>48395</v>
      </c>
      <c r="R25" s="350">
        <f t="shared" si="1"/>
        <v>93215.551588835908</v>
      </c>
      <c r="S25" s="350">
        <f t="shared" si="1"/>
        <v>240150.67630170251</v>
      </c>
      <c r="T25" s="350">
        <f t="shared" si="0"/>
        <v>333366.2278905384</v>
      </c>
      <c r="U25" s="350">
        <f t="shared" si="5"/>
        <v>4845352.4369892394</v>
      </c>
      <c r="V25" s="350">
        <f t="shared" si="2"/>
        <v>4752136.8854004042</v>
      </c>
      <c r="W25" s="758"/>
      <c r="X25" s="763"/>
    </row>
    <row r="26" spans="1:24" ht="15" customHeight="1" thickBot="1">
      <c r="A26" s="762"/>
      <c r="B26" s="758"/>
      <c r="C26" s="758"/>
      <c r="D26" s="758"/>
      <c r="E26" s="758"/>
      <c r="F26" s="758"/>
      <c r="G26" s="758"/>
      <c r="H26" s="758"/>
      <c r="I26" s="758"/>
      <c r="J26" s="758"/>
      <c r="K26" s="758"/>
      <c r="L26" s="758"/>
      <c r="M26" s="320"/>
      <c r="N26" s="322"/>
      <c r="O26" s="320"/>
      <c r="P26" s="348">
        <f t="shared" si="3"/>
        <v>2033</v>
      </c>
      <c r="Q26" s="349">
        <f t="shared" si="4"/>
        <v>48760</v>
      </c>
      <c r="R26" s="350">
        <f t="shared" si="1"/>
        <v>97984.63612021337</v>
      </c>
      <c r="S26" s="350">
        <f t="shared" si="1"/>
        <v>235381.59177032506</v>
      </c>
      <c r="T26" s="350">
        <f t="shared" si="0"/>
        <v>333366.2278905384</v>
      </c>
      <c r="U26" s="350">
        <f t="shared" si="5"/>
        <v>4752136.8854004042</v>
      </c>
      <c r="V26" s="350">
        <f t="shared" si="2"/>
        <v>4654152.249280191</v>
      </c>
      <c r="W26" s="758"/>
      <c r="X26" s="763"/>
    </row>
    <row r="27" spans="1:24" ht="16" thickBot="1">
      <c r="A27" s="762"/>
      <c r="B27" s="758"/>
      <c r="C27" s="758"/>
      <c r="D27" s="758"/>
      <c r="E27" s="758"/>
      <c r="F27" s="758"/>
      <c r="G27" s="758"/>
      <c r="H27" s="758"/>
      <c r="I27" s="758"/>
      <c r="J27" s="758"/>
      <c r="K27" s="758"/>
      <c r="L27" s="758"/>
      <c r="M27" s="320"/>
      <c r="N27" s="322"/>
      <c r="O27" s="320"/>
      <c r="P27" s="348">
        <f t="shared" si="3"/>
        <v>2034</v>
      </c>
      <c r="Q27" s="349">
        <f t="shared" si="4"/>
        <v>49125</v>
      </c>
      <c r="R27" s="350">
        <f t="shared" si="1"/>
        <v>102997.71606737452</v>
      </c>
      <c r="S27" s="350">
        <f t="shared" si="1"/>
        <v>230368.51182316395</v>
      </c>
      <c r="T27" s="350">
        <f t="shared" si="0"/>
        <v>333366.22789053846</v>
      </c>
      <c r="U27" s="350">
        <f t="shared" si="5"/>
        <v>4654152.249280191</v>
      </c>
      <c r="V27" s="350">
        <f t="shared" si="2"/>
        <v>4551154.5332128163</v>
      </c>
      <c r="W27" s="758"/>
      <c r="X27" s="763"/>
    </row>
    <row r="28" spans="1:24" ht="16" thickBot="1">
      <c r="A28" s="762"/>
      <c r="B28" s="758"/>
      <c r="C28" s="758"/>
      <c r="D28" s="758"/>
      <c r="E28" s="758"/>
      <c r="F28" s="758"/>
      <c r="G28" s="758"/>
      <c r="H28" s="758"/>
      <c r="I28" s="758"/>
      <c r="J28" s="758"/>
      <c r="K28" s="758"/>
      <c r="L28" s="758"/>
      <c r="M28" s="320"/>
      <c r="N28" s="322"/>
      <c r="O28" s="320"/>
      <c r="P28" s="348">
        <f t="shared" si="3"/>
        <v>2035</v>
      </c>
      <c r="Q28" s="349">
        <f t="shared" si="4"/>
        <v>49490</v>
      </c>
      <c r="R28" s="350">
        <f t="shared" si="1"/>
        <v>108267.27469886528</v>
      </c>
      <c r="S28" s="350">
        <f t="shared" si="1"/>
        <v>225098.95319167321</v>
      </c>
      <c r="T28" s="350">
        <f t="shared" si="0"/>
        <v>333366.22789053852</v>
      </c>
      <c r="U28" s="350">
        <f t="shared" si="5"/>
        <v>4551154.5332128163</v>
      </c>
      <c r="V28" s="350">
        <f t="shared" si="2"/>
        <v>4442887.2585139517</v>
      </c>
      <c r="W28" s="758"/>
      <c r="X28" s="763"/>
    </row>
    <row r="29" spans="1:24" ht="16" thickBot="1">
      <c r="A29" s="762"/>
      <c r="B29" s="758"/>
      <c r="C29" s="758"/>
      <c r="D29" s="758"/>
      <c r="E29" s="758"/>
      <c r="F29" s="758"/>
      <c r="G29" s="758"/>
      <c r="H29" s="758"/>
      <c r="I29" s="758"/>
      <c r="J29" s="758"/>
      <c r="K29" s="758"/>
      <c r="L29" s="758"/>
      <c r="M29" s="320"/>
      <c r="N29" s="322"/>
      <c r="O29" s="320"/>
      <c r="P29" s="348">
        <f t="shared" si="3"/>
        <v>2036</v>
      </c>
      <c r="Q29" s="349">
        <f t="shared" si="4"/>
        <v>49856</v>
      </c>
      <c r="R29" s="350">
        <f t="shared" si="1"/>
        <v>113806.43395094218</v>
      </c>
      <c r="S29" s="350">
        <f t="shared" si="1"/>
        <v>219559.79393959636</v>
      </c>
      <c r="T29" s="350">
        <f t="shared" si="0"/>
        <v>333366.22789053852</v>
      </c>
      <c r="U29" s="350">
        <f t="shared" si="5"/>
        <v>4442887.2585139517</v>
      </c>
      <c r="V29" s="350">
        <f t="shared" si="2"/>
        <v>4329080.8245630097</v>
      </c>
      <c r="W29" s="758"/>
      <c r="X29" s="763"/>
    </row>
    <row r="30" spans="1:24" ht="15.75" customHeight="1" thickBot="1">
      <c r="A30" s="762"/>
      <c r="B30" s="758"/>
      <c r="C30" s="758"/>
      <c r="D30" s="758"/>
      <c r="E30" s="758"/>
      <c r="F30" s="758"/>
      <c r="G30" s="758"/>
      <c r="H30" s="758"/>
      <c r="I30" s="758"/>
      <c r="J30" s="758"/>
      <c r="K30" s="758"/>
      <c r="L30" s="758"/>
      <c r="M30" s="320"/>
      <c r="N30" s="322"/>
      <c r="O30" s="320"/>
      <c r="P30" s="348">
        <f t="shared" si="3"/>
        <v>2037</v>
      </c>
      <c r="Q30" s="349">
        <f t="shared" si="4"/>
        <v>50221</v>
      </c>
      <c r="R30" s="350">
        <f t="shared" si="1"/>
        <v>119628.98710302448</v>
      </c>
      <c r="S30" s="350">
        <f t="shared" si="1"/>
        <v>213737.24078751402</v>
      </c>
      <c r="T30" s="350">
        <f t="shared" si="0"/>
        <v>333366.22789053852</v>
      </c>
      <c r="U30" s="350">
        <f t="shared" si="5"/>
        <v>4329080.8245630097</v>
      </c>
      <c r="V30" s="350">
        <f t="shared" si="2"/>
        <v>4209451.8374599852</v>
      </c>
      <c r="W30" s="758"/>
      <c r="X30" s="763"/>
    </row>
    <row r="31" spans="1:24" ht="15" customHeight="1" thickBot="1">
      <c r="A31" s="762"/>
      <c r="B31" s="758"/>
      <c r="C31" s="758"/>
      <c r="D31" s="758"/>
      <c r="E31" s="758"/>
      <c r="F31" s="758"/>
      <c r="G31" s="758"/>
      <c r="H31" s="758"/>
      <c r="I31" s="758"/>
      <c r="J31" s="758"/>
      <c r="K31" s="758"/>
      <c r="L31" s="758"/>
      <c r="M31" s="320"/>
      <c r="N31" s="322"/>
      <c r="O31" s="320"/>
      <c r="P31" s="348">
        <f t="shared" si="3"/>
        <v>2038</v>
      </c>
      <c r="Q31" s="349">
        <f t="shared" si="4"/>
        <v>50586</v>
      </c>
      <c r="R31" s="350">
        <f t="shared" si="1"/>
        <v>125749.43312488461</v>
      </c>
      <c r="S31" s="350">
        <f t="shared" si="1"/>
        <v>207616.7947656539</v>
      </c>
      <c r="T31" s="350">
        <f t="shared" si="0"/>
        <v>333366.22789053852</v>
      </c>
      <c r="U31" s="350">
        <f t="shared" si="5"/>
        <v>4209451.8374599852</v>
      </c>
      <c r="V31" s="350">
        <f t="shared" si="2"/>
        <v>4083702.4043351011</v>
      </c>
      <c r="W31" s="758"/>
      <c r="X31" s="763"/>
    </row>
    <row r="32" spans="1:24" ht="15" customHeight="1" thickBot="1">
      <c r="A32" s="762"/>
      <c r="B32" s="758"/>
      <c r="C32" s="758"/>
      <c r="D32" s="758"/>
      <c r="E32" s="758"/>
      <c r="F32" s="758"/>
      <c r="G32" s="758"/>
      <c r="H32" s="758"/>
      <c r="I32" s="758"/>
      <c r="J32" s="758"/>
      <c r="K32" s="758"/>
      <c r="L32" s="758"/>
      <c r="M32" s="320"/>
      <c r="N32" s="322"/>
      <c r="O32" s="320"/>
      <c r="P32" s="348">
        <f t="shared" si="3"/>
        <v>2039</v>
      </c>
      <c r="Q32" s="349">
        <f t="shared" si="4"/>
        <v>50951</v>
      </c>
      <c r="R32" s="350">
        <f t="shared" si="1"/>
        <v>132183.01278110579</v>
      </c>
      <c r="S32" s="350">
        <f t="shared" si="1"/>
        <v>201183.2151094327</v>
      </c>
      <c r="T32" s="350">
        <f t="shared" si="0"/>
        <v>333366.22789053852</v>
      </c>
      <c r="U32" s="350">
        <f t="shared" si="5"/>
        <v>4083702.4043351011</v>
      </c>
      <c r="V32" s="350">
        <f t="shared" si="2"/>
        <v>3951519.3915539957</v>
      </c>
      <c r="W32" s="758"/>
      <c r="X32" s="763"/>
    </row>
    <row r="33" spans="1:24" ht="15" customHeight="1" thickBot="1">
      <c r="A33" s="762"/>
      <c r="B33" s="758"/>
      <c r="C33" s="758"/>
      <c r="D33" s="758"/>
      <c r="E33" s="758"/>
      <c r="F33" s="758"/>
      <c r="G33" s="758"/>
      <c r="H33" s="758"/>
      <c r="I33" s="758"/>
      <c r="J33" s="758"/>
      <c r="K33" s="758"/>
      <c r="L33" s="758"/>
      <c r="M33" s="320"/>
      <c r="N33" s="322"/>
      <c r="O33" s="320"/>
      <c r="P33" s="348">
        <f t="shared" si="3"/>
        <v>2040</v>
      </c>
      <c r="Q33" s="349">
        <f t="shared" si="4"/>
        <v>51317</v>
      </c>
      <c r="R33" s="350">
        <f t="shared" si="1"/>
        <v>138945.74658271257</v>
      </c>
      <c r="S33" s="350">
        <f t="shared" si="1"/>
        <v>194420.48130782598</v>
      </c>
      <c r="T33" s="350">
        <f t="shared" si="0"/>
        <v>333366.22789053852</v>
      </c>
      <c r="U33" s="350">
        <f t="shared" si="5"/>
        <v>3951519.3915539957</v>
      </c>
      <c r="V33" s="350">
        <f t="shared" si="2"/>
        <v>3812573.6449712832</v>
      </c>
      <c r="W33" s="758"/>
      <c r="X33" s="763"/>
    </row>
    <row r="34" spans="1:24" ht="15" customHeight="1" thickBot="1">
      <c r="A34" s="762"/>
      <c r="B34" s="758"/>
      <c r="C34" s="758"/>
      <c r="D34" s="758"/>
      <c r="E34" s="758"/>
      <c r="F34" s="758"/>
      <c r="G34" s="758"/>
      <c r="H34" s="758"/>
      <c r="I34" s="758"/>
      <c r="J34" s="758"/>
      <c r="K34" s="758"/>
      <c r="L34" s="758"/>
      <c r="M34" s="320"/>
      <c r="N34" s="322"/>
      <c r="O34" s="320"/>
      <c r="P34" s="348">
        <f t="shared" si="3"/>
        <v>2041</v>
      </c>
      <c r="Q34" s="349">
        <f t="shared" si="4"/>
        <v>51682</v>
      </c>
      <c r="R34" s="350">
        <f t="shared" si="1"/>
        <v>146054.47468047848</v>
      </c>
      <c r="S34" s="350">
        <f t="shared" si="1"/>
        <v>187311.75321006007</v>
      </c>
      <c r="T34" s="350">
        <f t="shared" si="0"/>
        <v>333366.22789053852</v>
      </c>
      <c r="U34" s="350">
        <f t="shared" si="5"/>
        <v>3812573.6449712832</v>
      </c>
      <c r="V34" s="350">
        <f t="shared" si="2"/>
        <v>3666519.1702908045</v>
      </c>
      <c r="W34" s="758"/>
      <c r="X34" s="763"/>
    </row>
    <row r="35" spans="1:24" ht="15" customHeight="1" thickBot="1">
      <c r="A35" s="762"/>
      <c r="B35" s="758"/>
      <c r="C35" s="758"/>
      <c r="D35" s="758"/>
      <c r="E35" s="758"/>
      <c r="F35" s="758"/>
      <c r="G35" s="758"/>
      <c r="H35" s="758"/>
      <c r="I35" s="758"/>
      <c r="J35" s="758"/>
      <c r="K35" s="758"/>
      <c r="L35" s="758"/>
      <c r="M35" s="320"/>
      <c r="N35" s="322"/>
      <c r="O35" s="320"/>
      <c r="P35" s="348">
        <f t="shared" si="3"/>
        <v>2042</v>
      </c>
      <c r="Q35" s="349">
        <f t="shared" si="4"/>
        <v>52047</v>
      </c>
      <c r="R35" s="350">
        <f t="shared" si="1"/>
        <v>153526.8987992513</v>
      </c>
      <c r="S35" s="350">
        <f t="shared" si="1"/>
        <v>179839.32909128722</v>
      </c>
      <c r="T35" s="350">
        <f t="shared" si="0"/>
        <v>333366.22789053852</v>
      </c>
      <c r="U35" s="350">
        <f t="shared" si="5"/>
        <v>3666519.1702908045</v>
      </c>
      <c r="V35" s="350">
        <f t="shared" si="2"/>
        <v>3512992.2714915536</v>
      </c>
      <c r="W35" s="758"/>
      <c r="X35" s="763"/>
    </row>
    <row r="36" spans="1:24" ht="15" customHeight="1" thickBot="1">
      <c r="A36" s="762"/>
      <c r="B36" s="758"/>
      <c r="C36" s="758"/>
      <c r="D36" s="758"/>
      <c r="E36" s="758"/>
      <c r="F36" s="758"/>
      <c r="G36" s="758"/>
      <c r="H36" s="758"/>
      <c r="I36" s="758"/>
      <c r="J36" s="758"/>
      <c r="K36" s="758"/>
      <c r="L36" s="758"/>
      <c r="M36" s="320"/>
      <c r="N36" s="322"/>
      <c r="O36" s="320"/>
      <c r="P36" s="348">
        <f t="shared" si="3"/>
        <v>2043</v>
      </c>
      <c r="Q36" s="349">
        <f t="shared" si="4"/>
        <v>52412</v>
      </c>
      <c r="R36" s="350">
        <f t="shared" ref="R36:S51" si="6">SUMIFS(R$57:R$447,$Q$57:$Q$447, "&gt;"&amp;$Q35, $Q$57:$Q$447, "&lt;="&amp;$Q36)</f>
        <v>161381.62631771775</v>
      </c>
      <c r="S36" s="350">
        <f t="shared" si="6"/>
        <v>171984.60157282077</v>
      </c>
      <c r="T36" s="350">
        <f t="shared" si="0"/>
        <v>333366.22789053852</v>
      </c>
      <c r="U36" s="350">
        <f t="shared" si="5"/>
        <v>3512992.2714915536</v>
      </c>
      <c r="V36" s="350">
        <f t="shared" si="2"/>
        <v>3351610.6451738365</v>
      </c>
      <c r="W36" s="758"/>
      <c r="X36" s="763"/>
    </row>
    <row r="37" spans="1:24" ht="15" customHeight="1" thickBot="1">
      <c r="A37" s="762"/>
      <c r="B37" s="758"/>
      <c r="C37" s="758"/>
      <c r="D37" s="758"/>
      <c r="E37" s="758"/>
      <c r="F37" s="758"/>
      <c r="G37" s="758"/>
      <c r="H37" s="758"/>
      <c r="I37" s="758"/>
      <c r="J37" s="758"/>
      <c r="K37" s="758"/>
      <c r="L37" s="758"/>
      <c r="M37" s="320"/>
      <c r="N37" s="322"/>
      <c r="O37" s="320"/>
      <c r="P37" s="348">
        <f t="shared" si="3"/>
        <v>2044</v>
      </c>
      <c r="Q37" s="349">
        <f t="shared" si="4"/>
        <v>52778</v>
      </c>
      <c r="R37" s="350">
        <f t="shared" si="6"/>
        <v>169638.21660337286</v>
      </c>
      <c r="S37" s="350">
        <f t="shared" si="6"/>
        <v>163728.01128716572</v>
      </c>
      <c r="T37" s="350">
        <f t="shared" si="0"/>
        <v>333366.22789053858</v>
      </c>
      <c r="U37" s="350">
        <f t="shared" si="5"/>
        <v>3351610.6451738365</v>
      </c>
      <c r="V37" s="350">
        <f t="shared" si="2"/>
        <v>3181972.4285704633</v>
      </c>
      <c r="W37" s="758"/>
      <c r="X37" s="763"/>
    </row>
    <row r="38" spans="1:24" ht="15" customHeight="1" thickBot="1">
      <c r="A38" s="762"/>
      <c r="B38" s="758"/>
      <c r="C38" s="758"/>
      <c r="D38" s="758"/>
      <c r="E38" s="758"/>
      <c r="F38" s="758"/>
      <c r="G38" s="758"/>
      <c r="H38" s="758"/>
      <c r="I38" s="758"/>
      <c r="J38" s="758"/>
      <c r="K38" s="758"/>
      <c r="L38" s="758"/>
      <c r="M38" s="320"/>
      <c r="N38" s="322"/>
      <c r="O38" s="320"/>
      <c r="P38" s="348">
        <f t="shared" si="3"/>
        <v>2045</v>
      </c>
      <c r="Q38" s="349">
        <f t="shared" si="4"/>
        <v>53143</v>
      </c>
      <c r="R38" s="350">
        <f t="shared" si="6"/>
        <v>178317.229718074</v>
      </c>
      <c r="S38" s="350">
        <f t="shared" si="6"/>
        <v>155048.99817246458</v>
      </c>
      <c r="T38" s="350">
        <f t="shared" si="0"/>
        <v>333366.22789053858</v>
      </c>
      <c r="U38" s="350">
        <f t="shared" si="5"/>
        <v>3181972.4285704633</v>
      </c>
      <c r="V38" s="350">
        <f t="shared" si="2"/>
        <v>3003655.1988523891</v>
      </c>
      <c r="W38" s="758"/>
      <c r="X38" s="763"/>
    </row>
    <row r="39" spans="1:24" ht="16" thickBot="1">
      <c r="A39" s="762"/>
      <c r="B39" s="758"/>
      <c r="C39" s="758"/>
      <c r="D39" s="758"/>
      <c r="E39" s="758"/>
      <c r="F39" s="758"/>
      <c r="G39" s="758"/>
      <c r="H39" s="758"/>
      <c r="I39" s="758"/>
      <c r="J39" s="758"/>
      <c r="K39" s="758"/>
      <c r="L39" s="758"/>
      <c r="M39" s="320"/>
      <c r="N39" s="322"/>
      <c r="O39" s="320"/>
      <c r="P39" s="348">
        <f t="shared" si="3"/>
        <v>2046</v>
      </c>
      <c r="Q39" s="349">
        <f t="shared" si="4"/>
        <v>53508</v>
      </c>
      <c r="R39" s="350">
        <f t="shared" si="6"/>
        <v>187440.27761546362</v>
      </c>
      <c r="S39" s="350">
        <f t="shared" si="6"/>
        <v>145925.95027507495</v>
      </c>
      <c r="T39" s="350">
        <f t="shared" si="0"/>
        <v>333366.22789053858</v>
      </c>
      <c r="U39" s="350">
        <f t="shared" si="5"/>
        <v>3003655.1988523891</v>
      </c>
      <c r="V39" s="350">
        <f t="shared" si="2"/>
        <v>2816214.9212369258</v>
      </c>
      <c r="W39" s="758"/>
      <c r="X39" s="763"/>
    </row>
    <row r="40" spans="1:24" ht="16" thickBot="1">
      <c r="A40" s="762"/>
      <c r="B40" s="758"/>
      <c r="C40" s="758"/>
      <c r="D40" s="758"/>
      <c r="E40" s="758"/>
      <c r="F40" s="758"/>
      <c r="G40" s="758"/>
      <c r="H40" s="758"/>
      <c r="I40" s="758"/>
      <c r="J40" s="758"/>
      <c r="K40" s="758"/>
      <c r="L40" s="758"/>
      <c r="M40" s="320"/>
      <c r="N40" s="322"/>
      <c r="O40" s="320"/>
      <c r="P40" s="348">
        <f t="shared" si="3"/>
        <v>2047</v>
      </c>
      <c r="Q40" s="349">
        <f t="shared" si="4"/>
        <v>53873</v>
      </c>
      <c r="R40" s="350">
        <f t="shared" si="6"/>
        <v>197030.07795774975</v>
      </c>
      <c r="S40" s="350">
        <f t="shared" si="6"/>
        <v>136336.14993278886</v>
      </c>
      <c r="T40" s="350">
        <f t="shared" si="0"/>
        <v>333366.22789053863</v>
      </c>
      <c r="U40" s="350">
        <f t="shared" si="5"/>
        <v>2816214.9212369258</v>
      </c>
      <c r="V40" s="350">
        <f t="shared" si="2"/>
        <v>2619184.8432791759</v>
      </c>
      <c r="W40" s="758"/>
      <c r="X40" s="763"/>
    </row>
    <row r="41" spans="1:24" ht="16" thickBot="1">
      <c r="A41" s="762"/>
      <c r="B41" s="758"/>
      <c r="C41" s="758"/>
      <c r="D41" s="758"/>
      <c r="E41" s="758"/>
      <c r="F41" s="758"/>
      <c r="G41" s="758"/>
      <c r="H41" s="758"/>
      <c r="I41" s="758"/>
      <c r="J41" s="758"/>
      <c r="K41" s="758"/>
      <c r="L41" s="758"/>
      <c r="M41" s="320"/>
      <c r="N41" s="322"/>
      <c r="O41" s="320"/>
      <c r="P41" s="348">
        <f t="shared" si="3"/>
        <v>2048</v>
      </c>
      <c r="Q41" s="349">
        <f t="shared" si="4"/>
        <v>54239</v>
      </c>
      <c r="R41" s="350">
        <f t="shared" si="6"/>
        <v>207110.51068585398</v>
      </c>
      <c r="S41" s="350">
        <f t="shared" si="6"/>
        <v>126255.71720468452</v>
      </c>
      <c r="T41" s="350">
        <f t="shared" si="0"/>
        <v>333366.22789053852</v>
      </c>
      <c r="U41" s="350">
        <f t="shared" si="5"/>
        <v>2619184.8432791759</v>
      </c>
      <c r="V41" s="350">
        <f t="shared" si="2"/>
        <v>2412074.3325933218</v>
      </c>
      <c r="W41" s="758"/>
      <c r="X41" s="763"/>
    </row>
    <row r="42" spans="1:24" ht="16" thickBot="1">
      <c r="A42" s="762"/>
      <c r="B42" s="758"/>
      <c r="C42" s="758"/>
      <c r="D42" s="758"/>
      <c r="E42" s="758"/>
      <c r="F42" s="758"/>
      <c r="G42" s="758"/>
      <c r="H42" s="758"/>
      <c r="I42" s="758"/>
      <c r="J42" s="758"/>
      <c r="K42" s="758"/>
      <c r="L42" s="758"/>
      <c r="M42" s="320"/>
      <c r="N42" s="322"/>
      <c r="O42" s="320"/>
      <c r="P42" s="348">
        <f t="shared" si="3"/>
        <v>2049</v>
      </c>
      <c r="Q42" s="349">
        <f t="shared" si="4"/>
        <v>54604</v>
      </c>
      <c r="R42" s="350">
        <f t="shared" si="6"/>
        <v>217706.67748379725</v>
      </c>
      <c r="S42" s="350">
        <f t="shared" si="6"/>
        <v>115659.55040674124</v>
      </c>
      <c r="T42" s="350">
        <f t="shared" si="0"/>
        <v>333366.22789053852</v>
      </c>
      <c r="U42" s="350">
        <f t="shared" si="5"/>
        <v>2412074.3325933218</v>
      </c>
      <c r="V42" s="350">
        <f t="shared" si="2"/>
        <v>2194367.6551095247</v>
      </c>
      <c r="W42" s="758"/>
      <c r="X42" s="763"/>
    </row>
    <row r="43" spans="1:24" ht="16" thickBot="1">
      <c r="A43" s="762"/>
      <c r="B43" s="758"/>
      <c r="C43" s="758"/>
      <c r="D43" s="758"/>
      <c r="E43" s="758"/>
      <c r="F43" s="758"/>
      <c r="G43" s="758"/>
      <c r="H43" s="758"/>
      <c r="I43" s="758"/>
      <c r="J43" s="758"/>
      <c r="K43" s="758"/>
      <c r="L43" s="758"/>
      <c r="M43" s="320"/>
      <c r="N43" s="322"/>
      <c r="O43" s="320"/>
      <c r="P43" s="348">
        <f t="shared" si="3"/>
        <v>2050</v>
      </c>
      <c r="Q43" s="349">
        <f t="shared" si="4"/>
        <v>54969</v>
      </c>
      <c r="R43" s="350">
        <f t="shared" si="6"/>
        <v>228844.96428539473</v>
      </c>
      <c r="S43" s="350">
        <f t="shared" si="6"/>
        <v>104521.2636051438</v>
      </c>
      <c r="T43" s="350">
        <f t="shared" si="0"/>
        <v>333366.22789053852</v>
      </c>
      <c r="U43" s="350">
        <f t="shared" si="5"/>
        <v>2194367.6551095247</v>
      </c>
      <c r="V43" s="350">
        <f t="shared" si="2"/>
        <v>1965522.6908241301</v>
      </c>
      <c r="W43" s="758"/>
      <c r="X43" s="763"/>
    </row>
    <row r="44" spans="1:24" ht="16" thickBot="1">
      <c r="A44" s="762"/>
      <c r="B44" s="758"/>
      <c r="C44" s="758"/>
      <c r="D44" s="758"/>
      <c r="E44" s="758"/>
      <c r="F44" s="758"/>
      <c r="G44" s="758"/>
      <c r="H44" s="758"/>
      <c r="I44" s="758"/>
      <c r="J44" s="758"/>
      <c r="K44" s="758"/>
      <c r="L44" s="758"/>
      <c r="M44" s="320"/>
      <c r="N44" s="322"/>
      <c r="O44" s="320"/>
      <c r="P44" s="348">
        <f t="shared" si="3"/>
        <v>2051</v>
      </c>
      <c r="Q44" s="349">
        <f t="shared" si="4"/>
        <v>55334</v>
      </c>
      <c r="R44" s="350">
        <f t="shared" si="6"/>
        <v>240553.10697891298</v>
      </c>
      <c r="S44" s="350">
        <f t="shared" si="6"/>
        <v>92813.120911625563</v>
      </c>
      <c r="T44" s="350">
        <f t="shared" si="0"/>
        <v>333366.22789053852</v>
      </c>
      <c r="U44" s="350">
        <f t="shared" si="5"/>
        <v>1965522.6908241301</v>
      </c>
      <c r="V44" s="350">
        <f t="shared" si="2"/>
        <v>1724969.5838452168</v>
      </c>
      <c r="W44" s="758"/>
      <c r="X44" s="763"/>
    </row>
    <row r="45" spans="1:24" ht="16" thickBot="1">
      <c r="A45" s="762"/>
      <c r="B45" s="758"/>
      <c r="C45" s="758"/>
      <c r="D45" s="758"/>
      <c r="E45" s="758"/>
      <c r="F45" s="758"/>
      <c r="G45" s="758"/>
      <c r="H45" s="758"/>
      <c r="I45" s="758"/>
      <c r="J45" s="758"/>
      <c r="K45" s="758"/>
      <c r="L45" s="758"/>
      <c r="M45" s="320"/>
      <c r="N45" s="322"/>
      <c r="O45" s="320"/>
      <c r="P45" s="348">
        <f t="shared" si="3"/>
        <v>2052</v>
      </c>
      <c r="Q45" s="349">
        <f t="shared" si="4"/>
        <v>55700</v>
      </c>
      <c r="R45" s="350">
        <f t="shared" si="6"/>
        <v>252860.26047330178</v>
      </c>
      <c r="S45" s="350">
        <f t="shared" si="6"/>
        <v>80505.967417236738</v>
      </c>
      <c r="T45" s="350">
        <f t="shared" si="0"/>
        <v>333366.22789053852</v>
      </c>
      <c r="U45" s="350">
        <f t="shared" si="5"/>
        <v>1724969.5838452168</v>
      </c>
      <c r="V45" s="350">
        <f t="shared" si="2"/>
        <v>1472109.3233719147</v>
      </c>
      <c r="W45" s="758"/>
      <c r="X45" s="763"/>
    </row>
    <row r="46" spans="1:24" ht="16" thickBot="1">
      <c r="A46" s="762"/>
      <c r="B46" s="758"/>
      <c r="C46" s="758"/>
      <c r="D46" s="758"/>
      <c r="E46" s="758"/>
      <c r="F46" s="758"/>
      <c r="G46" s="758"/>
      <c r="H46" s="758"/>
      <c r="I46" s="758"/>
      <c r="J46" s="758"/>
      <c r="K46" s="758"/>
      <c r="L46" s="758"/>
      <c r="M46" s="320"/>
      <c r="N46" s="322"/>
      <c r="O46" s="320"/>
      <c r="P46" s="348">
        <f t="shared" si="3"/>
        <v>2053</v>
      </c>
      <c r="Q46" s="349">
        <f t="shared" si="4"/>
        <v>56065</v>
      </c>
      <c r="R46" s="350">
        <f t="shared" si="6"/>
        <v>265797.07129798527</v>
      </c>
      <c r="S46" s="350">
        <f t="shared" si="6"/>
        <v>67569.156592553249</v>
      </c>
      <c r="T46" s="350">
        <f t="shared" si="0"/>
        <v>333366.22789053852</v>
      </c>
      <c r="U46" s="350">
        <f t="shared" si="5"/>
        <v>1472109.3233719147</v>
      </c>
      <c r="V46" s="350">
        <f t="shared" si="2"/>
        <v>1206312.2520739296</v>
      </c>
      <c r="W46" s="758"/>
      <c r="X46" s="763"/>
    </row>
    <row r="47" spans="1:24" ht="16" thickBot="1">
      <c r="A47" s="762"/>
      <c r="B47" s="758"/>
      <c r="C47" s="758"/>
      <c r="D47" s="758"/>
      <c r="E47" s="758"/>
      <c r="F47" s="758"/>
      <c r="G47" s="758"/>
      <c r="H47" s="758"/>
      <c r="I47" s="758"/>
      <c r="J47" s="758"/>
      <c r="K47" s="758"/>
      <c r="L47" s="758"/>
      <c r="M47" s="320"/>
      <c r="N47" s="322"/>
      <c r="O47" s="320"/>
      <c r="P47" s="348">
        <f t="shared" si="3"/>
        <v>2054</v>
      </c>
      <c r="Q47" s="349">
        <f t="shared" si="4"/>
        <v>56430</v>
      </c>
      <c r="R47" s="350">
        <f t="shared" si="6"/>
        <v>279395.75391699653</v>
      </c>
      <c r="S47" s="350">
        <f t="shared" si="6"/>
        <v>53970.47397354195</v>
      </c>
      <c r="T47" s="350">
        <f t="shared" si="0"/>
        <v>333366.22789053846</v>
      </c>
      <c r="U47" s="350">
        <f t="shared" si="5"/>
        <v>1206312.2520739296</v>
      </c>
      <c r="V47" s="350">
        <f t="shared" si="2"/>
        <v>926916.49815693276</v>
      </c>
      <c r="W47" s="758"/>
      <c r="X47" s="763"/>
    </row>
    <row r="48" spans="1:24" ht="16" thickBot="1">
      <c r="A48" s="762"/>
      <c r="B48" s="758"/>
      <c r="C48" s="758"/>
      <c r="D48" s="758"/>
      <c r="E48" s="758"/>
      <c r="F48" s="758"/>
      <c r="G48" s="758"/>
      <c r="H48" s="758"/>
      <c r="I48" s="758"/>
      <c r="J48" s="758"/>
      <c r="K48" s="758"/>
      <c r="L48" s="758"/>
      <c r="M48" s="320"/>
      <c r="N48" s="322"/>
      <c r="O48" s="320"/>
      <c r="P48" s="348">
        <f t="shared" si="3"/>
        <v>2055</v>
      </c>
      <c r="Q48" s="349">
        <f t="shared" si="4"/>
        <v>56795</v>
      </c>
      <c r="R48" s="350">
        <f t="shared" si="6"/>
        <v>293690.17094748782</v>
      </c>
      <c r="S48" s="350">
        <f t="shared" si="6"/>
        <v>39676.056943050709</v>
      </c>
      <c r="T48" s="350">
        <f t="shared" si="0"/>
        <v>333366.22789053852</v>
      </c>
      <c r="U48" s="350">
        <f t="shared" si="5"/>
        <v>926916.49815693276</v>
      </c>
      <c r="V48" s="350">
        <f t="shared" si="2"/>
        <v>633226.32720944495</v>
      </c>
      <c r="W48" s="758"/>
      <c r="X48" s="763"/>
    </row>
    <row r="49" spans="1:24" ht="16" thickBot="1">
      <c r="A49" s="762"/>
      <c r="B49" s="758"/>
      <c r="C49" s="758"/>
      <c r="D49" s="758"/>
      <c r="E49" s="758"/>
      <c r="F49" s="758"/>
      <c r="G49" s="758"/>
      <c r="H49" s="758"/>
      <c r="I49" s="758"/>
      <c r="J49" s="758"/>
      <c r="K49" s="758"/>
      <c r="L49" s="758"/>
      <c r="M49" s="320"/>
      <c r="N49" s="322"/>
      <c r="O49" s="320"/>
      <c r="P49" s="348">
        <f t="shared" si="3"/>
        <v>2056</v>
      </c>
      <c r="Q49" s="349">
        <f t="shared" si="4"/>
        <v>57161</v>
      </c>
      <c r="R49" s="350">
        <f t="shared" si="6"/>
        <v>308715.91748237191</v>
      </c>
      <c r="S49" s="350">
        <f t="shared" si="6"/>
        <v>24650.310408166577</v>
      </c>
      <c r="T49" s="350">
        <f t="shared" si="0"/>
        <v>333366.22789053846</v>
      </c>
      <c r="U49" s="350">
        <f t="shared" si="5"/>
        <v>633226.32720944495</v>
      </c>
      <c r="V49" s="350">
        <f t="shared" si="2"/>
        <v>324510.40972707298</v>
      </c>
      <c r="W49" s="758"/>
      <c r="X49" s="763"/>
    </row>
    <row r="50" spans="1:24" ht="16" thickBot="1">
      <c r="A50" s="762"/>
      <c r="B50" s="758"/>
      <c r="C50" s="758"/>
      <c r="D50" s="758"/>
      <c r="E50" s="758"/>
      <c r="F50" s="758"/>
      <c r="G50" s="758"/>
      <c r="H50" s="758"/>
      <c r="I50" s="758"/>
      <c r="J50" s="758"/>
      <c r="K50" s="758"/>
      <c r="L50" s="758"/>
      <c r="M50" s="320"/>
      <c r="N50" s="322"/>
      <c r="O50" s="320"/>
      <c r="P50" s="348">
        <f t="shared" si="3"/>
        <v>2057</v>
      </c>
      <c r="Q50" s="349">
        <f t="shared" si="4"/>
        <v>57526</v>
      </c>
      <c r="R50" s="350">
        <f t="shared" si="6"/>
        <v>324510.40972707066</v>
      </c>
      <c r="S50" s="350">
        <f t="shared" si="6"/>
        <v>8855.8181634678967</v>
      </c>
      <c r="T50" s="350">
        <f t="shared" si="0"/>
        <v>333366.22789053858</v>
      </c>
      <c r="U50" s="350">
        <f t="shared" si="5"/>
        <v>324510.40972707298</v>
      </c>
      <c r="V50" s="350">
        <f t="shared" si="2"/>
        <v>2.4301698431372643E-9</v>
      </c>
      <c r="W50" s="758"/>
      <c r="X50" s="763"/>
    </row>
    <row r="51" spans="1:24" ht="17" thickBot="1">
      <c r="A51" s="762"/>
      <c r="B51" s="758"/>
      <c r="C51" s="758"/>
      <c r="D51" s="758"/>
      <c r="E51" s="758"/>
      <c r="F51" s="758"/>
      <c r="G51" s="758"/>
      <c r="H51" s="758"/>
      <c r="I51" s="758"/>
      <c r="J51" s="758"/>
      <c r="K51" s="758"/>
      <c r="L51" s="758"/>
      <c r="M51" s="320"/>
      <c r="N51" s="322"/>
      <c r="O51" s="320"/>
      <c r="P51" s="348">
        <f t="shared" si="3"/>
        <v>2058</v>
      </c>
      <c r="Q51" s="349">
        <f t="shared" si="4"/>
        <v>57891</v>
      </c>
      <c r="R51" s="350">
        <f t="shared" si="6"/>
        <v>0</v>
      </c>
      <c r="S51" s="350">
        <f t="shared" si="6"/>
        <v>0</v>
      </c>
      <c r="T51" s="350">
        <f t="shared" si="0"/>
        <v>0</v>
      </c>
      <c r="U51" s="350">
        <f t="shared" si="5"/>
        <v>2.4301698431372643E-9</v>
      </c>
      <c r="V51" s="350" t="str">
        <f t="shared" si="2"/>
        <v/>
      </c>
      <c r="W51" s="758"/>
      <c r="X51" s="763"/>
    </row>
    <row r="52" spans="1:24" ht="17" thickBot="1">
      <c r="A52" s="762"/>
      <c r="B52" s="758"/>
      <c r="C52" s="758"/>
      <c r="D52" s="758"/>
      <c r="E52" s="758"/>
      <c r="F52" s="758"/>
      <c r="G52" s="758"/>
      <c r="H52" s="758"/>
      <c r="I52" s="758"/>
      <c r="J52" s="758"/>
      <c r="K52" s="758"/>
      <c r="L52" s="758"/>
      <c r="M52" s="320"/>
      <c r="N52" s="322"/>
      <c r="O52" s="320"/>
      <c r="P52" s="348">
        <f t="shared" si="3"/>
        <v>2059</v>
      </c>
      <c r="Q52" s="349">
        <f t="shared" si="4"/>
        <v>58256</v>
      </c>
      <c r="R52" s="350">
        <f t="shared" ref="R52:S54" si="7">SUMIFS(R$57:R$447,$Q$57:$Q$447, "&gt;"&amp;$Q51, $Q$57:$Q$447, "&lt;="&amp;$Q52)</f>
        <v>0</v>
      </c>
      <c r="S52" s="350">
        <f t="shared" si="7"/>
        <v>0</v>
      </c>
      <c r="T52" s="350">
        <f t="shared" si="0"/>
        <v>0</v>
      </c>
      <c r="U52" s="350" t="str">
        <f t="shared" si="5"/>
        <v/>
      </c>
      <c r="V52" s="350" t="str">
        <f t="shared" si="2"/>
        <v/>
      </c>
      <c r="W52" s="758"/>
      <c r="X52" s="763"/>
    </row>
    <row r="53" spans="1:24" ht="17" thickBot="1">
      <c r="A53" s="762"/>
      <c r="B53" s="758"/>
      <c r="C53" s="758"/>
      <c r="D53" s="758"/>
      <c r="E53" s="758"/>
      <c r="F53" s="758"/>
      <c r="G53" s="758"/>
      <c r="H53" s="758"/>
      <c r="I53" s="758"/>
      <c r="J53" s="758"/>
      <c r="K53" s="758"/>
      <c r="L53" s="758"/>
      <c r="M53" s="320"/>
      <c r="N53" s="322"/>
      <c r="O53" s="320"/>
      <c r="P53" s="348">
        <f t="shared" si="3"/>
        <v>2060</v>
      </c>
      <c r="Q53" s="349">
        <f t="shared" si="4"/>
        <v>58622</v>
      </c>
      <c r="R53" s="350">
        <f t="shared" si="7"/>
        <v>0</v>
      </c>
      <c r="S53" s="350">
        <f t="shared" si="7"/>
        <v>0</v>
      </c>
      <c r="T53" s="350">
        <f t="shared" si="0"/>
        <v>0</v>
      </c>
      <c r="U53" s="350" t="str">
        <f t="shared" si="5"/>
        <v/>
      </c>
      <c r="V53" s="350">
        <f t="shared" si="2"/>
        <v>0</v>
      </c>
      <c r="W53" s="758"/>
      <c r="X53" s="763"/>
    </row>
    <row r="54" spans="1:24" ht="16" thickBot="1">
      <c r="A54" s="762"/>
      <c r="B54" s="758"/>
      <c r="C54" s="758"/>
      <c r="D54" s="758"/>
      <c r="E54" s="758"/>
      <c r="F54" s="758"/>
      <c r="G54" s="758"/>
      <c r="H54" s="758"/>
      <c r="I54" s="758"/>
      <c r="J54" s="758"/>
      <c r="K54" s="758"/>
      <c r="L54" s="758"/>
      <c r="M54" s="320"/>
      <c r="N54" s="322"/>
      <c r="O54" s="320"/>
      <c r="P54" s="348">
        <f t="shared" si="3"/>
        <v>2061</v>
      </c>
      <c r="Q54" s="349">
        <f t="shared" si="4"/>
        <v>58987</v>
      </c>
      <c r="R54" s="350">
        <f t="shared" si="7"/>
        <v>0</v>
      </c>
      <c r="S54" s="350">
        <f t="shared" si="7"/>
        <v>0</v>
      </c>
      <c r="T54" s="350">
        <f t="shared" si="0"/>
        <v>0</v>
      </c>
      <c r="U54" s="350">
        <f t="shared" si="5"/>
        <v>0</v>
      </c>
      <c r="V54" s="350">
        <f t="shared" si="2"/>
        <v>0</v>
      </c>
      <c r="W54" s="758"/>
      <c r="X54" s="763"/>
    </row>
    <row r="55" spans="1:24">
      <c r="A55" s="762"/>
      <c r="B55" s="758"/>
      <c r="C55" s="758"/>
      <c r="D55" s="758"/>
      <c r="E55" s="758"/>
      <c r="F55" s="758"/>
      <c r="G55" s="758"/>
      <c r="H55" s="758"/>
      <c r="I55" s="758"/>
      <c r="J55" s="758"/>
      <c r="K55" s="758"/>
      <c r="L55" s="758"/>
      <c r="M55" s="320"/>
      <c r="N55" s="322"/>
      <c r="O55" s="758"/>
      <c r="P55" s="758"/>
      <c r="Q55" s="758"/>
      <c r="R55" s="772">
        <f>SUM(R19:R54)</f>
        <v>5175000.0000000019</v>
      </c>
      <c r="S55" s="772">
        <f t="shared" ref="S55:T55" si="8">SUM(S19:S54)</f>
        <v>4825986.8367161527</v>
      </c>
      <c r="T55" s="772">
        <f t="shared" si="8"/>
        <v>10000986.836716151</v>
      </c>
      <c r="U55" s="758"/>
      <c r="V55" s="758"/>
      <c r="W55" s="758"/>
      <c r="X55" s="763"/>
    </row>
    <row r="56" spans="1:24" ht="17" thickBot="1">
      <c r="A56" s="762"/>
      <c r="B56" s="758"/>
      <c r="C56" s="758"/>
      <c r="D56" s="758"/>
      <c r="E56" s="758"/>
      <c r="F56" s="758"/>
      <c r="G56" s="758"/>
      <c r="H56" s="758"/>
      <c r="I56" s="758"/>
      <c r="J56" s="758"/>
      <c r="K56" s="758"/>
      <c r="L56" s="758"/>
      <c r="M56" s="320"/>
      <c r="N56" s="322"/>
      <c r="O56" s="758"/>
      <c r="P56" s="344" t="s">
        <v>355</v>
      </c>
      <c r="Q56" s="344" t="s">
        <v>356</v>
      </c>
      <c r="R56" s="344" t="s">
        <v>330</v>
      </c>
      <c r="S56" s="344" t="s">
        <v>349</v>
      </c>
      <c r="T56" s="344" t="s">
        <v>350</v>
      </c>
      <c r="U56" s="344" t="s">
        <v>351</v>
      </c>
      <c r="V56" s="344" t="s">
        <v>352</v>
      </c>
      <c r="W56" s="758"/>
      <c r="X56" s="763"/>
    </row>
    <row r="57" spans="1:24" ht="16" thickBot="1">
      <c r="A57" s="762"/>
      <c r="B57" s="758"/>
      <c r="C57" s="758"/>
      <c r="D57" s="758"/>
      <c r="E57" s="758"/>
      <c r="F57" s="758"/>
      <c r="G57" s="758"/>
      <c r="H57" s="758"/>
      <c r="I57" s="758"/>
      <c r="J57" s="758"/>
      <c r="K57" s="758"/>
      <c r="L57" s="758"/>
      <c r="M57" s="320"/>
      <c r="N57" s="322"/>
      <c r="O57" s="320"/>
      <c r="P57" s="348">
        <f>IF(Q57&lt;Q$14, 0, 1)</f>
        <v>1</v>
      </c>
      <c r="Q57" s="349">
        <f>EOMONTH(K14, 1)</f>
        <v>46599</v>
      </c>
      <c r="R57" s="351">
        <f t="shared" ref="R57:R120" si="9">IF(OR(Q57&lt;Q$14, Q57&gt;T$12),0, -IF(P57=0, 0, PPMT(R$7, P57, R$8, R$6)))</f>
        <v>6218.0189908781958</v>
      </c>
      <c r="S57" s="351">
        <f t="shared" ref="S57:S120" si="10">IF(OR(Q57&lt;Q$13, Q57&gt;T$12), 0, +U57*R$7)</f>
        <v>21562.5</v>
      </c>
      <c r="T57" s="351">
        <f>R57+S57</f>
        <v>27780.518990878198</v>
      </c>
      <c r="U57" s="351">
        <f>R6</f>
        <v>5175000</v>
      </c>
      <c r="V57" s="351">
        <f t="shared" ref="V57:V120" si="11">IF(Q57&gt;T$12, "", +U57-R57)</f>
        <v>5168781.981009122</v>
      </c>
      <c r="W57" s="758"/>
      <c r="X57" s="763"/>
    </row>
    <row r="58" spans="1:24" ht="16" thickBot="1">
      <c r="A58" s="762"/>
      <c r="B58" s="758"/>
      <c r="C58" s="758"/>
      <c r="D58" s="758"/>
      <c r="E58" s="758"/>
      <c r="F58" s="758"/>
      <c r="G58" s="758"/>
      <c r="H58" s="758"/>
      <c r="I58" s="758"/>
      <c r="J58" s="758"/>
      <c r="K58" s="758"/>
      <c r="L58" s="758"/>
      <c r="M58" s="320"/>
      <c r="N58" s="322"/>
      <c r="O58" s="320"/>
      <c r="P58" s="348">
        <f t="shared" ref="P58:P121" si="12">IF(Q58&lt;Q$14, 0, P57+1)</f>
        <v>2</v>
      </c>
      <c r="Q58" s="349">
        <f>EOMONTH(Q57, 1)</f>
        <v>46630</v>
      </c>
      <c r="R58" s="351">
        <f t="shared" si="9"/>
        <v>6243.9274033401871</v>
      </c>
      <c r="S58" s="351">
        <f t="shared" si="10"/>
        <v>21536.591587538009</v>
      </c>
      <c r="T58" s="351">
        <f>R58+S58</f>
        <v>27780.518990878198</v>
      </c>
      <c r="U58" s="351">
        <f t="shared" ref="U58:U121" si="13">IF(Q58&gt;T$12, 0, +V57)</f>
        <v>5168781.981009122</v>
      </c>
      <c r="V58" s="351">
        <f t="shared" si="11"/>
        <v>5162538.0536057819</v>
      </c>
      <c r="W58" s="758"/>
      <c r="X58" s="763"/>
    </row>
    <row r="59" spans="1:24" ht="16" thickBot="1">
      <c r="A59" s="762"/>
      <c r="B59" s="758"/>
      <c r="C59" s="758"/>
      <c r="D59" s="758"/>
      <c r="E59" s="758"/>
      <c r="F59" s="758"/>
      <c r="G59" s="758"/>
      <c r="H59" s="758"/>
      <c r="I59" s="758"/>
      <c r="J59" s="758"/>
      <c r="K59" s="758"/>
      <c r="L59" s="758"/>
      <c r="M59" s="320"/>
      <c r="N59" s="322"/>
      <c r="O59" s="320"/>
      <c r="P59" s="348">
        <f t="shared" si="12"/>
        <v>3</v>
      </c>
      <c r="Q59" s="349">
        <f t="shared" ref="Q59:Q122" si="14">EOMONTH(Q58, 1)</f>
        <v>46660</v>
      </c>
      <c r="R59" s="351">
        <f t="shared" si="9"/>
        <v>6269.9437675207719</v>
      </c>
      <c r="S59" s="351">
        <f t="shared" si="10"/>
        <v>21510.575223357424</v>
      </c>
      <c r="T59" s="351">
        <f t="shared" ref="T59:T122" si="15">R59+S59</f>
        <v>27780.518990878198</v>
      </c>
      <c r="U59" s="351">
        <f t="shared" si="13"/>
        <v>5162538.0536057819</v>
      </c>
      <c r="V59" s="351">
        <f t="shared" si="11"/>
        <v>5156268.1098382613</v>
      </c>
      <c r="W59" s="758"/>
      <c r="X59" s="763"/>
    </row>
    <row r="60" spans="1:24" ht="16" thickBot="1">
      <c r="A60" s="762"/>
      <c r="B60" s="758"/>
      <c r="C60" s="758"/>
      <c r="D60" s="758"/>
      <c r="E60" s="758"/>
      <c r="F60" s="758"/>
      <c r="G60" s="758"/>
      <c r="H60" s="758"/>
      <c r="I60" s="758"/>
      <c r="J60" s="758"/>
      <c r="K60" s="758"/>
      <c r="L60" s="758"/>
      <c r="M60" s="320"/>
      <c r="N60" s="322"/>
      <c r="O60" s="320"/>
      <c r="P60" s="348">
        <f t="shared" si="12"/>
        <v>4</v>
      </c>
      <c r="Q60" s="349">
        <f t="shared" si="14"/>
        <v>46691</v>
      </c>
      <c r="R60" s="351">
        <f t="shared" si="9"/>
        <v>6296.0685332187759</v>
      </c>
      <c r="S60" s="351">
        <f t="shared" si="10"/>
        <v>21484.450457659423</v>
      </c>
      <c r="T60" s="351">
        <f t="shared" si="15"/>
        <v>27780.518990878198</v>
      </c>
      <c r="U60" s="351">
        <f t="shared" si="13"/>
        <v>5156268.1098382613</v>
      </c>
      <c r="V60" s="351">
        <f t="shared" si="11"/>
        <v>5149972.0413050428</v>
      </c>
      <c r="W60" s="758"/>
      <c r="X60" s="763"/>
    </row>
    <row r="61" spans="1:24" ht="16" thickBot="1">
      <c r="A61" s="762"/>
      <c r="B61" s="758"/>
      <c r="C61" s="758"/>
      <c r="D61" s="758"/>
      <c r="E61" s="758"/>
      <c r="F61" s="758"/>
      <c r="G61" s="758"/>
      <c r="H61" s="758"/>
      <c r="I61" s="758"/>
      <c r="J61" s="758"/>
      <c r="K61" s="758"/>
      <c r="L61" s="758"/>
      <c r="M61" s="320"/>
      <c r="N61" s="322"/>
      <c r="O61" s="320"/>
      <c r="P61" s="348">
        <f t="shared" si="12"/>
        <v>5</v>
      </c>
      <c r="Q61" s="349">
        <f t="shared" si="14"/>
        <v>46721</v>
      </c>
      <c r="R61" s="351">
        <f t="shared" si="9"/>
        <v>6322.3021521071878</v>
      </c>
      <c r="S61" s="351">
        <f t="shared" si="10"/>
        <v>21458.216838771012</v>
      </c>
      <c r="T61" s="351">
        <f t="shared" si="15"/>
        <v>27780.518990878198</v>
      </c>
      <c r="U61" s="351">
        <f t="shared" si="13"/>
        <v>5149972.0413050428</v>
      </c>
      <c r="V61" s="351">
        <f t="shared" si="11"/>
        <v>5143649.7391529353</v>
      </c>
      <c r="W61" s="758"/>
      <c r="X61" s="763"/>
    </row>
    <row r="62" spans="1:24" ht="16" thickBot="1">
      <c r="A62" s="762"/>
      <c r="B62" s="758"/>
      <c r="C62" s="758"/>
      <c r="D62" s="758"/>
      <c r="E62" s="758"/>
      <c r="F62" s="758"/>
      <c r="G62" s="758"/>
      <c r="H62" s="758"/>
      <c r="I62" s="758"/>
      <c r="J62" s="758"/>
      <c r="K62" s="758"/>
      <c r="L62" s="758"/>
      <c r="M62" s="320"/>
      <c r="N62" s="322"/>
      <c r="O62" s="320"/>
      <c r="P62" s="348">
        <f t="shared" si="12"/>
        <v>6</v>
      </c>
      <c r="Q62" s="349">
        <f t="shared" si="14"/>
        <v>46752</v>
      </c>
      <c r="R62" s="351">
        <f t="shared" si="9"/>
        <v>6348.6450777409673</v>
      </c>
      <c r="S62" s="351">
        <f t="shared" si="10"/>
        <v>21431.873913137231</v>
      </c>
      <c r="T62" s="351">
        <f t="shared" si="15"/>
        <v>27780.518990878198</v>
      </c>
      <c r="U62" s="351">
        <f t="shared" si="13"/>
        <v>5143649.7391529353</v>
      </c>
      <c r="V62" s="351">
        <f t="shared" si="11"/>
        <v>5137301.0940751946</v>
      </c>
      <c r="W62" s="758"/>
      <c r="X62" s="763"/>
    </row>
    <row r="63" spans="1:24" ht="16" thickBot="1">
      <c r="A63" s="762"/>
      <c r="B63" s="758"/>
      <c r="C63" s="758"/>
      <c r="D63" s="758"/>
      <c r="E63" s="758"/>
      <c r="F63" s="758"/>
      <c r="G63" s="758"/>
      <c r="H63" s="758"/>
      <c r="I63" s="758"/>
      <c r="J63" s="758"/>
      <c r="K63" s="758"/>
      <c r="L63" s="758"/>
      <c r="M63" s="320"/>
      <c r="N63" s="322"/>
      <c r="O63" s="320"/>
      <c r="P63" s="348">
        <f t="shared" si="12"/>
        <v>7</v>
      </c>
      <c r="Q63" s="349">
        <f t="shared" si="14"/>
        <v>46783</v>
      </c>
      <c r="R63" s="351">
        <f t="shared" si="9"/>
        <v>6375.0977655648876</v>
      </c>
      <c r="S63" s="351">
        <f t="shared" si="10"/>
        <v>21405.421225313312</v>
      </c>
      <c r="T63" s="351">
        <f t="shared" si="15"/>
        <v>27780.518990878198</v>
      </c>
      <c r="U63" s="351">
        <f t="shared" si="13"/>
        <v>5137301.0940751946</v>
      </c>
      <c r="V63" s="351">
        <f t="shared" si="11"/>
        <v>5130925.9963096296</v>
      </c>
      <c r="W63" s="758"/>
      <c r="X63" s="763"/>
    </row>
    <row r="64" spans="1:24" ht="16" thickBot="1">
      <c r="A64" s="762"/>
      <c r="B64" s="758"/>
      <c r="C64" s="758"/>
      <c r="D64" s="758"/>
      <c r="E64" s="758"/>
      <c r="F64" s="758"/>
      <c r="G64" s="758"/>
      <c r="H64" s="758"/>
      <c r="I64" s="758"/>
      <c r="J64" s="758"/>
      <c r="K64" s="758"/>
      <c r="L64" s="758"/>
      <c r="M64" s="320"/>
      <c r="N64" s="322"/>
      <c r="O64" s="320"/>
      <c r="P64" s="348">
        <f t="shared" si="12"/>
        <v>8</v>
      </c>
      <c r="Q64" s="349">
        <f t="shared" si="14"/>
        <v>46812</v>
      </c>
      <c r="R64" s="351">
        <f t="shared" si="9"/>
        <v>6401.6606729214091</v>
      </c>
      <c r="S64" s="351">
        <f t="shared" si="10"/>
        <v>21378.85831795679</v>
      </c>
      <c r="T64" s="351">
        <f t="shared" si="15"/>
        <v>27780.518990878198</v>
      </c>
      <c r="U64" s="351">
        <f t="shared" si="13"/>
        <v>5130925.9963096296</v>
      </c>
      <c r="V64" s="351">
        <f t="shared" si="11"/>
        <v>5124524.335636708</v>
      </c>
      <c r="W64" s="758"/>
      <c r="X64" s="763"/>
    </row>
    <row r="65" spans="1:24" ht="16" thickBot="1">
      <c r="A65" s="762"/>
      <c r="B65" s="758"/>
      <c r="C65" s="758"/>
      <c r="D65" s="758"/>
      <c r="E65" s="758"/>
      <c r="F65" s="758"/>
      <c r="G65" s="758"/>
      <c r="H65" s="758"/>
      <c r="I65" s="758"/>
      <c r="J65" s="758"/>
      <c r="K65" s="758"/>
      <c r="L65" s="758"/>
      <c r="M65" s="320"/>
      <c r="N65" s="322"/>
      <c r="O65" s="320"/>
      <c r="P65" s="348">
        <f t="shared" si="12"/>
        <v>9</v>
      </c>
      <c r="Q65" s="349">
        <f t="shared" si="14"/>
        <v>46843</v>
      </c>
      <c r="R65" s="351">
        <f t="shared" si="9"/>
        <v>6428.3342590585808</v>
      </c>
      <c r="S65" s="351">
        <f t="shared" si="10"/>
        <v>21352.184731819616</v>
      </c>
      <c r="T65" s="351">
        <f t="shared" si="15"/>
        <v>27780.518990878198</v>
      </c>
      <c r="U65" s="351">
        <f t="shared" si="13"/>
        <v>5124524.335636708</v>
      </c>
      <c r="V65" s="351">
        <f t="shared" si="11"/>
        <v>5118096.0013776496</v>
      </c>
      <c r="W65" s="758"/>
      <c r="X65" s="763"/>
    </row>
    <row r="66" spans="1:24" ht="16" thickBot="1">
      <c r="A66" s="762"/>
      <c r="B66" s="758"/>
      <c r="C66" s="758"/>
      <c r="D66" s="758"/>
      <c r="E66" s="758"/>
      <c r="F66" s="758"/>
      <c r="G66" s="758"/>
      <c r="H66" s="758"/>
      <c r="I66" s="758"/>
      <c r="J66" s="758"/>
      <c r="K66" s="758"/>
      <c r="L66" s="758"/>
      <c r="M66" s="320"/>
      <c r="N66" s="322"/>
      <c r="O66" s="320"/>
      <c r="P66" s="348">
        <f t="shared" si="12"/>
        <v>10</v>
      </c>
      <c r="Q66" s="349">
        <f t="shared" si="14"/>
        <v>46873</v>
      </c>
      <c r="R66" s="351">
        <f t="shared" si="9"/>
        <v>6455.1189851379913</v>
      </c>
      <c r="S66" s="351">
        <f t="shared" si="10"/>
        <v>21325.400005740208</v>
      </c>
      <c r="T66" s="351">
        <f t="shared" si="15"/>
        <v>27780.518990878198</v>
      </c>
      <c r="U66" s="351">
        <f t="shared" si="13"/>
        <v>5118096.0013776496</v>
      </c>
      <c r="V66" s="351">
        <f t="shared" si="11"/>
        <v>5111640.8823925117</v>
      </c>
      <c r="W66" s="758"/>
      <c r="X66" s="763"/>
    </row>
    <row r="67" spans="1:24" ht="16" thickBot="1">
      <c r="A67" s="762"/>
      <c r="B67" s="758"/>
      <c r="C67" s="758"/>
      <c r="D67" s="758"/>
      <c r="E67" s="758"/>
      <c r="F67" s="758"/>
      <c r="G67" s="758"/>
      <c r="H67" s="758"/>
      <c r="I67" s="758"/>
      <c r="J67" s="758"/>
      <c r="K67" s="758"/>
      <c r="L67" s="758"/>
      <c r="M67" s="320"/>
      <c r="N67" s="322"/>
      <c r="O67" s="320"/>
      <c r="P67" s="348">
        <f t="shared" si="12"/>
        <v>11</v>
      </c>
      <c r="Q67" s="349">
        <f t="shared" si="14"/>
        <v>46904</v>
      </c>
      <c r="R67" s="351">
        <f t="shared" si="9"/>
        <v>6482.0153142427325</v>
      </c>
      <c r="S67" s="351">
        <f t="shared" si="10"/>
        <v>21298.503676635464</v>
      </c>
      <c r="T67" s="351">
        <f t="shared" si="15"/>
        <v>27780.518990878198</v>
      </c>
      <c r="U67" s="351">
        <f t="shared" si="13"/>
        <v>5111640.8823925117</v>
      </c>
      <c r="V67" s="351">
        <f t="shared" si="11"/>
        <v>5105158.8670782689</v>
      </c>
      <c r="W67" s="758"/>
      <c r="X67" s="763"/>
    </row>
    <row r="68" spans="1:24" ht="16" thickBot="1">
      <c r="A68" s="762"/>
      <c r="B68" s="758"/>
      <c r="C68" s="758"/>
      <c r="D68" s="758"/>
      <c r="E68" s="758"/>
      <c r="F68" s="758"/>
      <c r="G68" s="758"/>
      <c r="H68" s="758"/>
      <c r="I68" s="758"/>
      <c r="J68" s="758"/>
      <c r="K68" s="758"/>
      <c r="L68" s="758"/>
      <c r="M68" s="320"/>
      <c r="N68" s="322"/>
      <c r="O68" s="320"/>
      <c r="P68" s="348">
        <f t="shared" si="12"/>
        <v>12</v>
      </c>
      <c r="Q68" s="349">
        <f t="shared" si="14"/>
        <v>46934</v>
      </c>
      <c r="R68" s="351">
        <f t="shared" si="9"/>
        <v>6509.0237113854109</v>
      </c>
      <c r="S68" s="351">
        <f t="shared" si="10"/>
        <v>21271.495279492789</v>
      </c>
      <c r="T68" s="351">
        <f t="shared" si="15"/>
        <v>27780.518990878198</v>
      </c>
      <c r="U68" s="351">
        <f t="shared" si="13"/>
        <v>5105158.8670782689</v>
      </c>
      <c r="V68" s="351">
        <f t="shared" si="11"/>
        <v>5098649.8433668837</v>
      </c>
      <c r="W68" s="758"/>
      <c r="X68" s="763"/>
    </row>
    <row r="69" spans="1:24" ht="16" thickBot="1">
      <c r="A69" s="762"/>
      <c r="B69" s="758"/>
      <c r="C69" s="758"/>
      <c r="D69" s="758"/>
      <c r="E69" s="758"/>
      <c r="F69" s="758"/>
      <c r="G69" s="758"/>
      <c r="H69" s="758"/>
      <c r="I69" s="758"/>
      <c r="J69" s="758"/>
      <c r="K69" s="758"/>
      <c r="L69" s="758"/>
      <c r="M69" s="320"/>
      <c r="N69" s="322"/>
      <c r="O69" s="320"/>
      <c r="P69" s="348">
        <f t="shared" si="12"/>
        <v>13</v>
      </c>
      <c r="Q69" s="349">
        <f t="shared" si="14"/>
        <v>46965</v>
      </c>
      <c r="R69" s="351">
        <f t="shared" si="9"/>
        <v>6536.1446435161824</v>
      </c>
      <c r="S69" s="351">
        <f t="shared" si="10"/>
        <v>21244.374347362016</v>
      </c>
      <c r="T69" s="351">
        <f t="shared" si="15"/>
        <v>27780.518990878198</v>
      </c>
      <c r="U69" s="351">
        <f t="shared" si="13"/>
        <v>5098649.8433668837</v>
      </c>
      <c r="V69" s="351">
        <f t="shared" si="11"/>
        <v>5092113.6987233674</v>
      </c>
      <c r="W69" s="758"/>
      <c r="X69" s="763"/>
    </row>
    <row r="70" spans="1:24" ht="16" thickBot="1">
      <c r="A70" s="762"/>
      <c r="B70" s="758"/>
      <c r="C70" s="758"/>
      <c r="D70" s="758"/>
      <c r="E70" s="758"/>
      <c r="F70" s="758"/>
      <c r="G70" s="758"/>
      <c r="H70" s="758"/>
      <c r="I70" s="758"/>
      <c r="J70" s="758"/>
      <c r="K70" s="758"/>
      <c r="L70" s="758"/>
      <c r="M70" s="320"/>
      <c r="N70" s="322"/>
      <c r="O70" s="320"/>
      <c r="P70" s="348">
        <f t="shared" si="12"/>
        <v>14</v>
      </c>
      <c r="Q70" s="349">
        <f t="shared" si="14"/>
        <v>46996</v>
      </c>
      <c r="R70" s="351">
        <f t="shared" si="9"/>
        <v>6563.378579530834</v>
      </c>
      <c r="S70" s="351">
        <f t="shared" si="10"/>
        <v>21217.140411347365</v>
      </c>
      <c r="T70" s="351">
        <f t="shared" si="15"/>
        <v>27780.518990878198</v>
      </c>
      <c r="U70" s="351">
        <f t="shared" si="13"/>
        <v>5092113.6987233674</v>
      </c>
      <c r="V70" s="351">
        <f t="shared" si="11"/>
        <v>5085550.3201438366</v>
      </c>
      <c r="W70" s="758"/>
      <c r="X70" s="763"/>
    </row>
    <row r="71" spans="1:24" ht="16" thickBot="1">
      <c r="A71" s="762"/>
      <c r="B71" s="758"/>
      <c r="C71" s="758"/>
      <c r="D71" s="758"/>
      <c r="E71" s="758"/>
      <c r="F71" s="758"/>
      <c r="G71" s="758"/>
      <c r="H71" s="758"/>
      <c r="I71" s="758"/>
      <c r="J71" s="758"/>
      <c r="K71" s="758"/>
      <c r="L71" s="758"/>
      <c r="M71" s="320"/>
      <c r="N71" s="322"/>
      <c r="O71" s="320"/>
      <c r="P71" s="348">
        <f t="shared" si="12"/>
        <v>15</v>
      </c>
      <c r="Q71" s="349">
        <f t="shared" si="14"/>
        <v>47026</v>
      </c>
      <c r="R71" s="351">
        <f t="shared" si="9"/>
        <v>6590.7259902788783</v>
      </c>
      <c r="S71" s="351">
        <f t="shared" si="10"/>
        <v>21189.793000599318</v>
      </c>
      <c r="T71" s="351">
        <f t="shared" si="15"/>
        <v>27780.518990878198</v>
      </c>
      <c r="U71" s="351">
        <f t="shared" si="13"/>
        <v>5085550.3201438366</v>
      </c>
      <c r="V71" s="351">
        <f t="shared" si="11"/>
        <v>5078959.5941535579</v>
      </c>
      <c r="W71" s="758"/>
      <c r="X71" s="763"/>
    </row>
    <row r="72" spans="1:24" ht="16" thickBot="1">
      <c r="A72" s="762"/>
      <c r="B72" s="758"/>
      <c r="C72" s="758"/>
      <c r="D72" s="758"/>
      <c r="E72" s="758"/>
      <c r="F72" s="758"/>
      <c r="G72" s="758"/>
      <c r="H72" s="758"/>
      <c r="I72" s="758"/>
      <c r="J72" s="758"/>
      <c r="K72" s="758"/>
      <c r="L72" s="758"/>
      <c r="M72" s="320"/>
      <c r="N72" s="322"/>
      <c r="O72" s="320"/>
      <c r="P72" s="348">
        <f t="shared" si="12"/>
        <v>16</v>
      </c>
      <c r="Q72" s="349">
        <f t="shared" si="14"/>
        <v>47057</v>
      </c>
      <c r="R72" s="351">
        <f t="shared" si="9"/>
        <v>6618.1873485717078</v>
      </c>
      <c r="S72" s="351">
        <f t="shared" si="10"/>
        <v>21162.33164230649</v>
      </c>
      <c r="T72" s="351">
        <f t="shared" si="15"/>
        <v>27780.518990878198</v>
      </c>
      <c r="U72" s="351">
        <f t="shared" si="13"/>
        <v>5078959.5941535579</v>
      </c>
      <c r="V72" s="351">
        <f t="shared" si="11"/>
        <v>5072341.4068049863</v>
      </c>
      <c r="W72" s="758"/>
      <c r="X72" s="763"/>
    </row>
    <row r="73" spans="1:24" ht="16" thickBot="1">
      <c r="A73" s="762"/>
      <c r="B73" s="758"/>
      <c r="C73" s="758"/>
      <c r="D73" s="758"/>
      <c r="E73" s="758"/>
      <c r="F73" s="758"/>
      <c r="G73" s="758"/>
      <c r="H73" s="758"/>
      <c r="I73" s="758"/>
      <c r="J73" s="758"/>
      <c r="K73" s="758"/>
      <c r="L73" s="758"/>
      <c r="M73" s="320"/>
      <c r="N73" s="322"/>
      <c r="O73" s="320"/>
      <c r="P73" s="348">
        <f t="shared" si="12"/>
        <v>17</v>
      </c>
      <c r="Q73" s="349">
        <f t="shared" si="14"/>
        <v>47087</v>
      </c>
      <c r="R73" s="351">
        <f t="shared" si="9"/>
        <v>6645.7631291907574</v>
      </c>
      <c r="S73" s="351">
        <f t="shared" si="10"/>
        <v>21134.755861687441</v>
      </c>
      <c r="T73" s="351">
        <f t="shared" si="15"/>
        <v>27780.518990878198</v>
      </c>
      <c r="U73" s="351">
        <f t="shared" si="13"/>
        <v>5072341.4068049863</v>
      </c>
      <c r="V73" s="351">
        <f t="shared" si="11"/>
        <v>5065695.6436757958</v>
      </c>
      <c r="W73" s="758"/>
      <c r="X73" s="763"/>
    </row>
    <row r="74" spans="1:24" ht="16" thickBot="1">
      <c r="A74" s="762"/>
      <c r="B74" s="758"/>
      <c r="C74" s="758"/>
      <c r="D74" s="758"/>
      <c r="E74" s="758"/>
      <c r="F74" s="758"/>
      <c r="G74" s="758"/>
      <c r="H74" s="758"/>
      <c r="I74" s="758"/>
      <c r="J74" s="758"/>
      <c r="K74" s="758"/>
      <c r="L74" s="758"/>
      <c r="M74" s="320"/>
      <c r="N74" s="322"/>
      <c r="O74" s="320"/>
      <c r="P74" s="348">
        <f t="shared" si="12"/>
        <v>18</v>
      </c>
      <c r="Q74" s="349">
        <f t="shared" si="14"/>
        <v>47118</v>
      </c>
      <c r="R74" s="351">
        <f t="shared" si="9"/>
        <v>6673.4538088957188</v>
      </c>
      <c r="S74" s="351">
        <f t="shared" si="10"/>
        <v>21107.065181982482</v>
      </c>
      <c r="T74" s="351">
        <f t="shared" si="15"/>
        <v>27780.518990878201</v>
      </c>
      <c r="U74" s="351">
        <f t="shared" si="13"/>
        <v>5065695.6436757958</v>
      </c>
      <c r="V74" s="351">
        <f t="shared" si="11"/>
        <v>5059022.1898669004</v>
      </c>
      <c r="W74" s="758"/>
      <c r="X74" s="763"/>
    </row>
    <row r="75" spans="1:24" ht="16" thickBot="1">
      <c r="A75" s="762"/>
      <c r="B75" s="758"/>
      <c r="C75" s="758"/>
      <c r="D75" s="758"/>
      <c r="E75" s="758"/>
      <c r="F75" s="758"/>
      <c r="G75" s="758"/>
      <c r="H75" s="758"/>
      <c r="I75" s="758"/>
      <c r="J75" s="758"/>
      <c r="K75" s="758"/>
      <c r="L75" s="758"/>
      <c r="M75" s="320"/>
      <c r="N75" s="322"/>
      <c r="O75" s="320"/>
      <c r="P75" s="348">
        <f t="shared" si="12"/>
        <v>19</v>
      </c>
      <c r="Q75" s="349">
        <f t="shared" si="14"/>
        <v>47149</v>
      </c>
      <c r="R75" s="351">
        <f t="shared" si="9"/>
        <v>6701.2598664327843</v>
      </c>
      <c r="S75" s="351">
        <f t="shared" si="10"/>
        <v>21079.25912444542</v>
      </c>
      <c r="T75" s="351">
        <f t="shared" si="15"/>
        <v>27780.518990878205</v>
      </c>
      <c r="U75" s="351">
        <f t="shared" si="13"/>
        <v>5059022.1898669004</v>
      </c>
      <c r="V75" s="351">
        <f t="shared" si="11"/>
        <v>5052320.9300004672</v>
      </c>
      <c r="W75" s="758"/>
      <c r="X75" s="763"/>
    </row>
    <row r="76" spans="1:24" ht="16" thickBot="1">
      <c r="A76" s="762"/>
      <c r="B76" s="758"/>
      <c r="C76" s="758"/>
      <c r="D76" s="758"/>
      <c r="E76" s="758"/>
      <c r="F76" s="758"/>
      <c r="G76" s="758"/>
      <c r="H76" s="758"/>
      <c r="I76" s="758"/>
      <c r="J76" s="758"/>
      <c r="K76" s="758"/>
      <c r="L76" s="758"/>
      <c r="M76" s="320"/>
      <c r="N76" s="322"/>
      <c r="O76" s="320"/>
      <c r="P76" s="348">
        <f t="shared" si="12"/>
        <v>20</v>
      </c>
      <c r="Q76" s="349">
        <f t="shared" si="14"/>
        <v>47177</v>
      </c>
      <c r="R76" s="351">
        <f t="shared" si="9"/>
        <v>6729.1817825429198</v>
      </c>
      <c r="S76" s="351">
        <f t="shared" si="10"/>
        <v>21051.337208335281</v>
      </c>
      <c r="T76" s="351">
        <f t="shared" si="15"/>
        <v>27780.518990878201</v>
      </c>
      <c r="U76" s="351">
        <f t="shared" si="13"/>
        <v>5052320.9300004672</v>
      </c>
      <c r="V76" s="351">
        <f t="shared" si="11"/>
        <v>5045591.7482179245</v>
      </c>
      <c r="W76" s="758"/>
      <c r="X76" s="763"/>
    </row>
    <row r="77" spans="1:24" ht="16" thickBot="1">
      <c r="A77" s="762"/>
      <c r="B77" s="758"/>
      <c r="C77" s="758"/>
      <c r="D77" s="758"/>
      <c r="E77" s="758"/>
      <c r="F77" s="758"/>
      <c r="G77" s="758"/>
      <c r="H77" s="758"/>
      <c r="I77" s="758"/>
      <c r="J77" s="758"/>
      <c r="K77" s="758"/>
      <c r="L77" s="758"/>
      <c r="M77" s="320"/>
      <c r="N77" s="322"/>
      <c r="O77" s="320"/>
      <c r="P77" s="348">
        <f t="shared" si="12"/>
        <v>21</v>
      </c>
      <c r="Q77" s="349">
        <f t="shared" si="14"/>
        <v>47208</v>
      </c>
      <c r="R77" s="351">
        <f t="shared" si="9"/>
        <v>6757.2200399701833</v>
      </c>
      <c r="S77" s="351">
        <f t="shared" si="10"/>
        <v>21023.298950908018</v>
      </c>
      <c r="T77" s="351">
        <f t="shared" si="15"/>
        <v>27780.518990878201</v>
      </c>
      <c r="U77" s="351">
        <f t="shared" si="13"/>
        <v>5045591.7482179245</v>
      </c>
      <c r="V77" s="351">
        <f t="shared" si="11"/>
        <v>5038834.5281779543</v>
      </c>
      <c r="W77" s="758"/>
      <c r="X77" s="763"/>
    </row>
    <row r="78" spans="1:24" ht="16" thickBot="1">
      <c r="A78" s="762"/>
      <c r="B78" s="758"/>
      <c r="C78" s="758"/>
      <c r="D78" s="758"/>
      <c r="E78" s="758"/>
      <c r="F78" s="758"/>
      <c r="G78" s="758"/>
      <c r="H78" s="758"/>
      <c r="I78" s="758"/>
      <c r="J78" s="758"/>
      <c r="K78" s="758"/>
      <c r="L78" s="758"/>
      <c r="M78" s="320"/>
      <c r="N78" s="322"/>
      <c r="O78" s="320"/>
      <c r="P78" s="348">
        <f t="shared" si="12"/>
        <v>22</v>
      </c>
      <c r="Q78" s="349">
        <f t="shared" si="14"/>
        <v>47238</v>
      </c>
      <c r="R78" s="351">
        <f t="shared" si="9"/>
        <v>6785.3751234700585</v>
      </c>
      <c r="S78" s="351">
        <f t="shared" si="10"/>
        <v>20995.143867408144</v>
      </c>
      <c r="T78" s="351">
        <f t="shared" si="15"/>
        <v>27780.518990878201</v>
      </c>
      <c r="U78" s="351">
        <f t="shared" si="13"/>
        <v>5038834.5281779543</v>
      </c>
      <c r="V78" s="351">
        <f t="shared" si="11"/>
        <v>5032049.1530544842</v>
      </c>
      <c r="W78" s="758"/>
      <c r="X78" s="763"/>
    </row>
    <row r="79" spans="1:24" ht="16" thickBot="1">
      <c r="A79" s="762"/>
      <c r="B79" s="758"/>
      <c r="C79" s="758"/>
      <c r="D79" s="758"/>
      <c r="E79" s="758"/>
      <c r="F79" s="758"/>
      <c r="G79" s="758"/>
      <c r="H79" s="758"/>
      <c r="I79" s="758"/>
      <c r="J79" s="758"/>
      <c r="K79" s="758"/>
      <c r="L79" s="758"/>
      <c r="M79" s="320"/>
      <c r="N79" s="322"/>
      <c r="O79" s="320"/>
      <c r="P79" s="348">
        <f t="shared" si="12"/>
        <v>23</v>
      </c>
      <c r="Q79" s="349">
        <f t="shared" si="14"/>
        <v>47269</v>
      </c>
      <c r="R79" s="351">
        <f t="shared" si="9"/>
        <v>6813.6475198178505</v>
      </c>
      <c r="S79" s="351">
        <f t="shared" si="10"/>
        <v>20966.871471060349</v>
      </c>
      <c r="T79" s="351">
        <f t="shared" si="15"/>
        <v>27780.518990878198</v>
      </c>
      <c r="U79" s="351">
        <f t="shared" si="13"/>
        <v>5032049.1530544842</v>
      </c>
      <c r="V79" s="351">
        <f t="shared" si="11"/>
        <v>5025235.5055346666</v>
      </c>
      <c r="W79" s="758"/>
      <c r="X79" s="763"/>
    </row>
    <row r="80" spans="1:24" ht="16" thickBot="1">
      <c r="A80" s="762"/>
      <c r="B80" s="758"/>
      <c r="C80" s="758"/>
      <c r="D80" s="758"/>
      <c r="E80" s="758"/>
      <c r="F80" s="758"/>
      <c r="G80" s="758"/>
      <c r="H80" s="758"/>
      <c r="I80" s="758"/>
      <c r="J80" s="758"/>
      <c r="K80" s="758"/>
      <c r="L80" s="758"/>
      <c r="M80" s="320"/>
      <c r="N80" s="322"/>
      <c r="O80" s="320"/>
      <c r="P80" s="348">
        <f t="shared" si="12"/>
        <v>24</v>
      </c>
      <c r="Q80" s="349">
        <f t="shared" si="14"/>
        <v>47299</v>
      </c>
      <c r="R80" s="351">
        <f t="shared" si="9"/>
        <v>6842.0377178170911</v>
      </c>
      <c r="S80" s="351">
        <f t="shared" si="10"/>
        <v>20938.481273061112</v>
      </c>
      <c r="T80" s="351">
        <f t="shared" si="15"/>
        <v>27780.518990878205</v>
      </c>
      <c r="U80" s="351">
        <f t="shared" si="13"/>
        <v>5025235.5055346666</v>
      </c>
      <c r="V80" s="351">
        <f t="shared" si="11"/>
        <v>5018393.4678168492</v>
      </c>
      <c r="W80" s="758"/>
      <c r="X80" s="763"/>
    </row>
    <row r="81" spans="1:24" ht="16" thickBot="1">
      <c r="A81" s="762"/>
      <c r="B81" s="758"/>
      <c r="C81" s="758"/>
      <c r="D81" s="758"/>
      <c r="E81" s="758"/>
      <c r="F81" s="758"/>
      <c r="G81" s="758"/>
      <c r="H81" s="758"/>
      <c r="I81" s="758"/>
      <c r="J81" s="758"/>
      <c r="K81" s="758"/>
      <c r="L81" s="758"/>
      <c r="M81" s="320"/>
      <c r="N81" s="322"/>
      <c r="O81" s="320"/>
      <c r="P81" s="348">
        <f t="shared" si="12"/>
        <v>25</v>
      </c>
      <c r="Q81" s="349">
        <f t="shared" si="14"/>
        <v>47330</v>
      </c>
      <c r="R81" s="351">
        <f t="shared" si="9"/>
        <v>6870.5462083079956</v>
      </c>
      <c r="S81" s="351">
        <f t="shared" si="10"/>
        <v>20909.972782570207</v>
      </c>
      <c r="T81" s="351">
        <f t="shared" si="15"/>
        <v>27780.518990878201</v>
      </c>
      <c r="U81" s="351">
        <f t="shared" si="13"/>
        <v>5018393.4678168492</v>
      </c>
      <c r="V81" s="351">
        <f t="shared" si="11"/>
        <v>5011522.9216085412</v>
      </c>
      <c r="W81" s="758"/>
      <c r="X81" s="763"/>
    </row>
    <row r="82" spans="1:24" ht="16" thickBot="1">
      <c r="A82" s="762"/>
      <c r="B82" s="758"/>
      <c r="C82" s="758"/>
      <c r="D82" s="758"/>
      <c r="E82" s="758"/>
      <c r="F82" s="758"/>
      <c r="G82" s="758"/>
      <c r="H82" s="758"/>
      <c r="I82" s="758"/>
      <c r="J82" s="758"/>
      <c r="K82" s="758"/>
      <c r="L82" s="758"/>
      <c r="M82" s="320"/>
      <c r="N82" s="322"/>
      <c r="O82" s="320"/>
      <c r="P82" s="348">
        <f t="shared" si="12"/>
        <v>26</v>
      </c>
      <c r="Q82" s="349">
        <f t="shared" si="14"/>
        <v>47361</v>
      </c>
      <c r="R82" s="351">
        <f t="shared" si="9"/>
        <v>6899.1734841759453</v>
      </c>
      <c r="S82" s="351">
        <f t="shared" si="10"/>
        <v>20881.345506702255</v>
      </c>
      <c r="T82" s="351">
        <f t="shared" si="15"/>
        <v>27780.518990878201</v>
      </c>
      <c r="U82" s="351">
        <f t="shared" si="13"/>
        <v>5011522.9216085412</v>
      </c>
      <c r="V82" s="351">
        <f t="shared" si="11"/>
        <v>5004623.7481243648</v>
      </c>
      <c r="W82" s="758"/>
      <c r="X82" s="763"/>
    </row>
    <row r="83" spans="1:24" ht="16" thickBot="1">
      <c r="A83" s="762"/>
      <c r="B83" s="758"/>
      <c r="C83" s="758"/>
      <c r="D83" s="758"/>
      <c r="E83" s="758"/>
      <c r="F83" s="758"/>
      <c r="G83" s="758"/>
      <c r="H83" s="758"/>
      <c r="I83" s="758"/>
      <c r="J83" s="758"/>
      <c r="K83" s="758"/>
      <c r="L83" s="758"/>
      <c r="M83" s="320"/>
      <c r="N83" s="322"/>
      <c r="O83" s="320"/>
      <c r="P83" s="348">
        <f t="shared" si="12"/>
        <v>27</v>
      </c>
      <c r="Q83" s="349">
        <f t="shared" si="14"/>
        <v>47391</v>
      </c>
      <c r="R83" s="351">
        <f t="shared" si="9"/>
        <v>6927.9200403600125</v>
      </c>
      <c r="S83" s="351">
        <f t="shared" si="10"/>
        <v>20852.598950518186</v>
      </c>
      <c r="T83" s="351">
        <f t="shared" si="15"/>
        <v>27780.518990878198</v>
      </c>
      <c r="U83" s="351">
        <f t="shared" si="13"/>
        <v>5004623.7481243648</v>
      </c>
      <c r="V83" s="351">
        <f t="shared" si="11"/>
        <v>4997695.828084005</v>
      </c>
      <c r="W83" s="758"/>
      <c r="X83" s="763"/>
    </row>
    <row r="84" spans="1:24" ht="16" thickBot="1">
      <c r="A84" s="762"/>
      <c r="B84" s="758"/>
      <c r="C84" s="758"/>
      <c r="D84" s="758"/>
      <c r="E84" s="758"/>
      <c r="F84" s="758"/>
      <c r="G84" s="758"/>
      <c r="H84" s="758"/>
      <c r="I84" s="758"/>
      <c r="J84" s="758"/>
      <c r="K84" s="758"/>
      <c r="L84" s="758"/>
      <c r="M84" s="320"/>
      <c r="N84" s="322"/>
      <c r="O84" s="320"/>
      <c r="P84" s="348">
        <f t="shared" si="12"/>
        <v>28</v>
      </c>
      <c r="Q84" s="349">
        <f t="shared" si="14"/>
        <v>47422</v>
      </c>
      <c r="R84" s="351">
        <f t="shared" si="9"/>
        <v>6956.7863738615115</v>
      </c>
      <c r="S84" s="351">
        <f t="shared" si="10"/>
        <v>20823.732617016689</v>
      </c>
      <c r="T84" s="351">
        <f t="shared" si="15"/>
        <v>27780.518990878201</v>
      </c>
      <c r="U84" s="351">
        <f t="shared" si="13"/>
        <v>4997695.828084005</v>
      </c>
      <c r="V84" s="351">
        <f t="shared" si="11"/>
        <v>4990739.0417101439</v>
      </c>
      <c r="W84" s="758"/>
      <c r="X84" s="763"/>
    </row>
    <row r="85" spans="1:24" ht="16" thickBot="1">
      <c r="A85" s="762"/>
      <c r="B85" s="758"/>
      <c r="C85" s="758"/>
      <c r="D85" s="758"/>
      <c r="E85" s="758"/>
      <c r="F85" s="758"/>
      <c r="G85" s="758"/>
      <c r="H85" s="758"/>
      <c r="I85" s="758"/>
      <c r="J85" s="758"/>
      <c r="K85" s="758"/>
      <c r="L85" s="758"/>
      <c r="M85" s="320"/>
      <c r="N85" s="322"/>
      <c r="O85" s="320"/>
      <c r="P85" s="348">
        <f t="shared" si="12"/>
        <v>29</v>
      </c>
      <c r="Q85" s="349">
        <f t="shared" si="14"/>
        <v>47452</v>
      </c>
      <c r="R85" s="351">
        <f t="shared" si="9"/>
        <v>6985.7729837526012</v>
      </c>
      <c r="S85" s="351">
        <f t="shared" si="10"/>
        <v>20794.746007125599</v>
      </c>
      <c r="T85" s="351">
        <f t="shared" si="15"/>
        <v>27780.518990878201</v>
      </c>
      <c r="U85" s="351">
        <f t="shared" si="13"/>
        <v>4990739.0417101439</v>
      </c>
      <c r="V85" s="351">
        <f t="shared" si="11"/>
        <v>4983753.2687263917</v>
      </c>
      <c r="W85" s="758"/>
      <c r="X85" s="763"/>
    </row>
    <row r="86" spans="1:24" ht="16" thickBot="1">
      <c r="A86" s="762"/>
      <c r="B86" s="758"/>
      <c r="C86" s="758"/>
      <c r="D86" s="758"/>
      <c r="E86" s="758"/>
      <c r="F86" s="758"/>
      <c r="G86" s="758"/>
      <c r="H86" s="758"/>
      <c r="I86" s="758"/>
      <c r="J86" s="758"/>
      <c r="K86" s="758"/>
      <c r="L86" s="758"/>
      <c r="M86" s="320"/>
      <c r="N86" s="322"/>
      <c r="O86" s="320"/>
      <c r="P86" s="348">
        <f t="shared" si="12"/>
        <v>30</v>
      </c>
      <c r="Q86" s="349">
        <f t="shared" si="14"/>
        <v>47483</v>
      </c>
      <c r="R86" s="351">
        <f t="shared" si="9"/>
        <v>7014.880371184905</v>
      </c>
      <c r="S86" s="351">
        <f t="shared" si="10"/>
        <v>20765.638619693298</v>
      </c>
      <c r="T86" s="351">
        <f t="shared" si="15"/>
        <v>27780.518990878205</v>
      </c>
      <c r="U86" s="351">
        <f t="shared" si="13"/>
        <v>4983753.2687263917</v>
      </c>
      <c r="V86" s="351">
        <f t="shared" si="11"/>
        <v>4976738.3883552067</v>
      </c>
      <c r="W86" s="758"/>
      <c r="X86" s="763"/>
    </row>
    <row r="87" spans="1:24" ht="16" thickBot="1">
      <c r="A87" s="762"/>
      <c r="B87" s="758"/>
      <c r="C87" s="758"/>
      <c r="D87" s="758"/>
      <c r="E87" s="758"/>
      <c r="F87" s="758"/>
      <c r="G87" s="758"/>
      <c r="H87" s="758"/>
      <c r="I87" s="758"/>
      <c r="J87" s="758"/>
      <c r="K87" s="758"/>
      <c r="L87" s="758"/>
      <c r="M87" s="320"/>
      <c r="N87" s="322"/>
      <c r="O87" s="320"/>
      <c r="P87" s="348">
        <f t="shared" si="12"/>
        <v>31</v>
      </c>
      <c r="Q87" s="349">
        <f t="shared" si="14"/>
        <v>47514</v>
      </c>
      <c r="R87" s="351">
        <f t="shared" si="9"/>
        <v>7044.109039398174</v>
      </c>
      <c r="S87" s="351">
        <f t="shared" si="10"/>
        <v>20736.409951480029</v>
      </c>
      <c r="T87" s="351">
        <f t="shared" si="15"/>
        <v>27780.518990878205</v>
      </c>
      <c r="U87" s="351">
        <f t="shared" si="13"/>
        <v>4976738.3883552067</v>
      </c>
      <c r="V87" s="351">
        <f t="shared" si="11"/>
        <v>4969694.2793158088</v>
      </c>
      <c r="W87" s="758"/>
      <c r="X87" s="763"/>
    </row>
    <row r="88" spans="1:24" ht="16" thickBot="1">
      <c r="A88" s="762"/>
      <c r="B88" s="758"/>
      <c r="C88" s="758"/>
      <c r="D88" s="758"/>
      <c r="E88" s="758"/>
      <c r="F88" s="758"/>
      <c r="G88" s="758"/>
      <c r="H88" s="758"/>
      <c r="I88" s="758"/>
      <c r="J88" s="758"/>
      <c r="K88" s="758"/>
      <c r="L88" s="758"/>
      <c r="M88" s="320"/>
      <c r="N88" s="322"/>
      <c r="O88" s="320"/>
      <c r="P88" s="348">
        <f t="shared" si="12"/>
        <v>32</v>
      </c>
      <c r="Q88" s="349">
        <f t="shared" si="14"/>
        <v>47542</v>
      </c>
      <c r="R88" s="351">
        <f t="shared" si="9"/>
        <v>7073.4594937290003</v>
      </c>
      <c r="S88" s="351">
        <f t="shared" si="10"/>
        <v>20707.059497149203</v>
      </c>
      <c r="T88" s="351">
        <f t="shared" si="15"/>
        <v>27780.518990878205</v>
      </c>
      <c r="U88" s="351">
        <f t="shared" si="13"/>
        <v>4969694.2793158088</v>
      </c>
      <c r="V88" s="351">
        <f t="shared" si="11"/>
        <v>4962620.8198220795</v>
      </c>
      <c r="W88" s="758"/>
      <c r="X88" s="763"/>
    </row>
    <row r="89" spans="1:24" ht="16" thickBot="1">
      <c r="A89" s="762"/>
      <c r="B89" s="758"/>
      <c r="C89" s="758"/>
      <c r="D89" s="758"/>
      <c r="E89" s="758"/>
      <c r="F89" s="758"/>
      <c r="G89" s="758"/>
      <c r="H89" s="758"/>
      <c r="I89" s="758"/>
      <c r="J89" s="758"/>
      <c r="K89" s="758"/>
      <c r="L89" s="758"/>
      <c r="M89" s="320"/>
      <c r="N89" s="322"/>
      <c r="O89" s="320"/>
      <c r="P89" s="348">
        <f t="shared" si="12"/>
        <v>33</v>
      </c>
      <c r="Q89" s="349">
        <f t="shared" si="14"/>
        <v>47573</v>
      </c>
      <c r="R89" s="351">
        <f t="shared" si="9"/>
        <v>7102.9322416195382</v>
      </c>
      <c r="S89" s="351">
        <f t="shared" si="10"/>
        <v>20677.586749258666</v>
      </c>
      <c r="T89" s="351">
        <f t="shared" si="15"/>
        <v>27780.518990878205</v>
      </c>
      <c r="U89" s="351">
        <f t="shared" si="13"/>
        <v>4962620.8198220795</v>
      </c>
      <c r="V89" s="351">
        <f t="shared" si="11"/>
        <v>4955517.8875804599</v>
      </c>
      <c r="W89" s="758"/>
      <c r="X89" s="763"/>
    </row>
    <row r="90" spans="1:24" ht="16" thickBot="1">
      <c r="A90" s="762"/>
      <c r="B90" s="758"/>
      <c r="C90" s="758"/>
      <c r="D90" s="758"/>
      <c r="E90" s="758"/>
      <c r="F90" s="758"/>
      <c r="G90" s="758"/>
      <c r="H90" s="758"/>
      <c r="I90" s="758"/>
      <c r="J90" s="758"/>
      <c r="K90" s="758"/>
      <c r="L90" s="758"/>
      <c r="M90" s="320"/>
      <c r="N90" s="322"/>
      <c r="O90" s="320"/>
      <c r="P90" s="348">
        <f t="shared" si="12"/>
        <v>34</v>
      </c>
      <c r="Q90" s="349">
        <f t="shared" si="14"/>
        <v>47603</v>
      </c>
      <c r="R90" s="351">
        <f t="shared" si="9"/>
        <v>7132.5277926262861</v>
      </c>
      <c r="S90" s="351">
        <f t="shared" si="10"/>
        <v>20647.991198251915</v>
      </c>
      <c r="T90" s="351">
        <f t="shared" si="15"/>
        <v>27780.518990878201</v>
      </c>
      <c r="U90" s="351">
        <f t="shared" si="13"/>
        <v>4955517.8875804599</v>
      </c>
      <c r="V90" s="351">
        <f t="shared" si="11"/>
        <v>4948385.3597878339</v>
      </c>
      <c r="W90" s="758"/>
      <c r="X90" s="763"/>
    </row>
    <row r="91" spans="1:24" ht="16" thickBot="1">
      <c r="A91" s="762"/>
      <c r="B91" s="758"/>
      <c r="C91" s="758"/>
      <c r="D91" s="758"/>
      <c r="E91" s="758"/>
      <c r="F91" s="758"/>
      <c r="G91" s="758"/>
      <c r="H91" s="758"/>
      <c r="I91" s="758"/>
      <c r="J91" s="758"/>
      <c r="K91" s="758"/>
      <c r="L91" s="758"/>
      <c r="M91" s="320"/>
      <c r="N91" s="322"/>
      <c r="O91" s="320"/>
      <c r="P91" s="348">
        <f t="shared" si="12"/>
        <v>35</v>
      </c>
      <c r="Q91" s="349">
        <f t="shared" si="14"/>
        <v>47634</v>
      </c>
      <c r="R91" s="351">
        <f t="shared" si="9"/>
        <v>7162.2466584288959</v>
      </c>
      <c r="S91" s="351">
        <f t="shared" si="10"/>
        <v>20618.272332449309</v>
      </c>
      <c r="T91" s="351">
        <f t="shared" si="15"/>
        <v>27780.518990878205</v>
      </c>
      <c r="U91" s="351">
        <f t="shared" si="13"/>
        <v>4948385.3597878339</v>
      </c>
      <c r="V91" s="351">
        <f t="shared" si="11"/>
        <v>4941223.1131294053</v>
      </c>
      <c r="W91" s="758"/>
      <c r="X91" s="763"/>
    </row>
    <row r="92" spans="1:24" ht="16" thickBot="1">
      <c r="A92" s="762"/>
      <c r="B92" s="758"/>
      <c r="C92" s="758"/>
      <c r="D92" s="758"/>
      <c r="E92" s="758"/>
      <c r="F92" s="758"/>
      <c r="G92" s="758"/>
      <c r="H92" s="758"/>
      <c r="I92" s="758"/>
      <c r="J92" s="758"/>
      <c r="K92" s="758"/>
      <c r="L92" s="758"/>
      <c r="M92" s="320"/>
      <c r="N92" s="322"/>
      <c r="O92" s="320"/>
      <c r="P92" s="348">
        <f t="shared" si="12"/>
        <v>36</v>
      </c>
      <c r="Q92" s="349">
        <f t="shared" si="14"/>
        <v>47664</v>
      </c>
      <c r="R92" s="351">
        <f t="shared" si="9"/>
        <v>7192.0893528390161</v>
      </c>
      <c r="S92" s="351">
        <f t="shared" si="10"/>
        <v>20588.42963803919</v>
      </c>
      <c r="T92" s="351">
        <f t="shared" si="15"/>
        <v>27780.518990878205</v>
      </c>
      <c r="U92" s="351">
        <f t="shared" si="13"/>
        <v>4941223.1131294053</v>
      </c>
      <c r="V92" s="351">
        <f t="shared" si="11"/>
        <v>4934031.0237765666</v>
      </c>
      <c r="W92" s="758"/>
      <c r="X92" s="763"/>
    </row>
    <row r="93" spans="1:24" ht="16" thickBot="1">
      <c r="A93" s="762"/>
      <c r="B93" s="758"/>
      <c r="C93" s="758"/>
      <c r="D93" s="758"/>
      <c r="E93" s="758"/>
      <c r="F93" s="758"/>
      <c r="G93" s="758"/>
      <c r="H93" s="758"/>
      <c r="I93" s="758"/>
      <c r="J93" s="758"/>
      <c r="K93" s="758"/>
      <c r="L93" s="758"/>
      <c r="M93" s="320"/>
      <c r="N93" s="322"/>
      <c r="O93" s="320"/>
      <c r="P93" s="348">
        <f t="shared" si="12"/>
        <v>37</v>
      </c>
      <c r="Q93" s="349">
        <f t="shared" si="14"/>
        <v>47695</v>
      </c>
      <c r="R93" s="351">
        <f t="shared" si="9"/>
        <v>7222.0563918091775</v>
      </c>
      <c r="S93" s="351">
        <f t="shared" si="10"/>
        <v>20558.462599069026</v>
      </c>
      <c r="T93" s="351">
        <f t="shared" si="15"/>
        <v>27780.518990878205</v>
      </c>
      <c r="U93" s="351">
        <f t="shared" si="13"/>
        <v>4934031.0237765666</v>
      </c>
      <c r="V93" s="351">
        <f t="shared" si="11"/>
        <v>4926808.9673847575</v>
      </c>
      <c r="W93" s="758"/>
      <c r="X93" s="763"/>
    </row>
    <row r="94" spans="1:24" ht="16" thickBot="1">
      <c r="A94" s="762"/>
      <c r="B94" s="758"/>
      <c r="C94" s="758"/>
      <c r="D94" s="758"/>
      <c r="E94" s="758"/>
      <c r="F94" s="758"/>
      <c r="G94" s="758"/>
      <c r="H94" s="758"/>
      <c r="I94" s="758"/>
      <c r="J94" s="758"/>
      <c r="K94" s="758"/>
      <c r="L94" s="758"/>
      <c r="M94" s="320"/>
      <c r="N94" s="322"/>
      <c r="O94" s="320"/>
      <c r="P94" s="348">
        <f t="shared" si="12"/>
        <v>38</v>
      </c>
      <c r="Q94" s="349">
        <f t="shared" si="14"/>
        <v>47726</v>
      </c>
      <c r="R94" s="351">
        <f t="shared" si="9"/>
        <v>7252.1482934417172</v>
      </c>
      <c r="S94" s="351">
        <f t="shared" si="10"/>
        <v>20528.37069743649</v>
      </c>
      <c r="T94" s="351">
        <f t="shared" si="15"/>
        <v>27780.518990878209</v>
      </c>
      <c r="U94" s="351">
        <f t="shared" si="13"/>
        <v>4926808.9673847575</v>
      </c>
      <c r="V94" s="351">
        <f t="shared" si="11"/>
        <v>4919556.8190913154</v>
      </c>
      <c r="W94" s="758"/>
      <c r="X94" s="763"/>
    </row>
    <row r="95" spans="1:24" ht="16" thickBot="1">
      <c r="A95" s="762"/>
      <c r="B95" s="758"/>
      <c r="C95" s="758"/>
      <c r="D95" s="758"/>
      <c r="E95" s="758"/>
      <c r="F95" s="758"/>
      <c r="G95" s="758"/>
      <c r="H95" s="758"/>
      <c r="I95" s="758"/>
      <c r="J95" s="758"/>
      <c r="K95" s="758"/>
      <c r="L95" s="758"/>
      <c r="M95" s="320"/>
      <c r="N95" s="322"/>
      <c r="O95" s="320"/>
      <c r="P95" s="348">
        <f t="shared" si="12"/>
        <v>39</v>
      </c>
      <c r="Q95" s="349">
        <f t="shared" si="14"/>
        <v>47756</v>
      </c>
      <c r="R95" s="351">
        <f t="shared" si="9"/>
        <v>7282.3655779977244</v>
      </c>
      <c r="S95" s="351">
        <f t="shared" si="10"/>
        <v>20498.153412880481</v>
      </c>
      <c r="T95" s="351">
        <f t="shared" si="15"/>
        <v>27780.518990878205</v>
      </c>
      <c r="U95" s="351">
        <f t="shared" si="13"/>
        <v>4919556.8190913154</v>
      </c>
      <c r="V95" s="351">
        <f t="shared" si="11"/>
        <v>4912274.4535133177</v>
      </c>
      <c r="W95" s="758"/>
      <c r="X95" s="763"/>
    </row>
    <row r="96" spans="1:24" ht="16" thickBot="1">
      <c r="A96" s="762"/>
      <c r="B96" s="758"/>
      <c r="C96" s="758"/>
      <c r="D96" s="758"/>
      <c r="E96" s="758"/>
      <c r="F96" s="758"/>
      <c r="G96" s="758"/>
      <c r="H96" s="758"/>
      <c r="I96" s="758"/>
      <c r="J96" s="758"/>
      <c r="K96" s="758"/>
      <c r="L96" s="758"/>
      <c r="M96" s="320"/>
      <c r="N96" s="322"/>
      <c r="O96" s="320"/>
      <c r="P96" s="348">
        <f t="shared" si="12"/>
        <v>40</v>
      </c>
      <c r="Q96" s="349">
        <f t="shared" si="14"/>
        <v>47787</v>
      </c>
      <c r="R96" s="351">
        <f t="shared" si="9"/>
        <v>7312.7087679060478</v>
      </c>
      <c r="S96" s="351">
        <f t="shared" si="10"/>
        <v>20467.810222972155</v>
      </c>
      <c r="T96" s="351">
        <f t="shared" si="15"/>
        <v>27780.518990878205</v>
      </c>
      <c r="U96" s="351">
        <f t="shared" si="13"/>
        <v>4912274.4535133177</v>
      </c>
      <c r="V96" s="351">
        <f t="shared" si="11"/>
        <v>4904961.7447454119</v>
      </c>
      <c r="W96" s="758"/>
      <c r="X96" s="763"/>
    </row>
    <row r="97" spans="1:24" ht="16" thickBot="1">
      <c r="A97" s="762"/>
      <c r="B97" s="758"/>
      <c r="C97" s="758"/>
      <c r="D97" s="758"/>
      <c r="E97" s="758"/>
      <c r="F97" s="758"/>
      <c r="G97" s="758"/>
      <c r="H97" s="758"/>
      <c r="I97" s="758"/>
      <c r="J97" s="758"/>
      <c r="K97" s="758"/>
      <c r="L97" s="758"/>
      <c r="M97" s="320"/>
      <c r="N97" s="322"/>
      <c r="O97" s="320"/>
      <c r="P97" s="348">
        <f t="shared" si="12"/>
        <v>41</v>
      </c>
      <c r="Q97" s="349">
        <f t="shared" si="14"/>
        <v>47817</v>
      </c>
      <c r="R97" s="351">
        <f t="shared" si="9"/>
        <v>7343.1783877723237</v>
      </c>
      <c r="S97" s="351">
        <f t="shared" si="10"/>
        <v>20437.340603105884</v>
      </c>
      <c r="T97" s="351">
        <f t="shared" si="15"/>
        <v>27780.518990878209</v>
      </c>
      <c r="U97" s="351">
        <f t="shared" si="13"/>
        <v>4904961.7447454119</v>
      </c>
      <c r="V97" s="351">
        <f t="shared" si="11"/>
        <v>4897618.5663576396</v>
      </c>
      <c r="W97" s="758"/>
      <c r="X97" s="763"/>
    </row>
    <row r="98" spans="1:24" ht="16" thickBot="1">
      <c r="A98" s="762"/>
      <c r="B98" s="758"/>
      <c r="C98" s="758"/>
      <c r="D98" s="758"/>
      <c r="E98" s="758"/>
      <c r="F98" s="758"/>
      <c r="G98" s="758"/>
      <c r="H98" s="758"/>
      <c r="I98" s="758"/>
      <c r="J98" s="758"/>
      <c r="K98" s="758"/>
      <c r="L98" s="758"/>
      <c r="M98" s="320"/>
      <c r="N98" s="322"/>
      <c r="O98" s="320"/>
      <c r="P98" s="348">
        <f t="shared" si="12"/>
        <v>42</v>
      </c>
      <c r="Q98" s="349">
        <f t="shared" si="14"/>
        <v>47848</v>
      </c>
      <c r="R98" s="351">
        <f t="shared" si="9"/>
        <v>7373.7749643880416</v>
      </c>
      <c r="S98" s="351">
        <f t="shared" si="10"/>
        <v>20406.744026490163</v>
      </c>
      <c r="T98" s="351">
        <f t="shared" si="15"/>
        <v>27780.518990878205</v>
      </c>
      <c r="U98" s="351">
        <f t="shared" si="13"/>
        <v>4897618.5663576396</v>
      </c>
      <c r="V98" s="351">
        <f t="shared" si="11"/>
        <v>4890244.7913932512</v>
      </c>
      <c r="W98" s="758"/>
      <c r="X98" s="763"/>
    </row>
    <row r="99" spans="1:24" ht="16" thickBot="1">
      <c r="A99" s="762"/>
      <c r="B99" s="758"/>
      <c r="C99" s="758"/>
      <c r="D99" s="758"/>
      <c r="E99" s="758"/>
      <c r="F99" s="758"/>
      <c r="G99" s="758"/>
      <c r="H99" s="758"/>
      <c r="I99" s="758"/>
      <c r="J99" s="758"/>
      <c r="K99" s="758"/>
      <c r="L99" s="758"/>
      <c r="M99" s="320"/>
      <c r="N99" s="322"/>
      <c r="O99" s="320"/>
      <c r="P99" s="348">
        <f t="shared" si="12"/>
        <v>43</v>
      </c>
      <c r="Q99" s="349">
        <f t="shared" si="14"/>
        <v>47879</v>
      </c>
      <c r="R99" s="351">
        <f t="shared" si="9"/>
        <v>7404.4990267396579</v>
      </c>
      <c r="S99" s="351">
        <f t="shared" si="10"/>
        <v>20376.019964138548</v>
      </c>
      <c r="T99" s="351">
        <f t="shared" si="15"/>
        <v>27780.518990878205</v>
      </c>
      <c r="U99" s="351">
        <f t="shared" si="13"/>
        <v>4890244.7913932512</v>
      </c>
      <c r="V99" s="351">
        <f t="shared" si="11"/>
        <v>4882840.2923665112</v>
      </c>
      <c r="W99" s="758"/>
      <c r="X99" s="763"/>
    </row>
    <row r="100" spans="1:24" ht="16" thickBot="1">
      <c r="A100" s="762"/>
      <c r="B100" s="758"/>
      <c r="C100" s="758"/>
      <c r="D100" s="758"/>
      <c r="E100" s="758"/>
      <c r="F100" s="758"/>
      <c r="G100" s="758"/>
      <c r="H100" s="758"/>
      <c r="I100" s="758"/>
      <c r="J100" s="758"/>
      <c r="K100" s="758"/>
      <c r="L100" s="758"/>
      <c r="M100" s="320"/>
      <c r="N100" s="322"/>
      <c r="O100" s="320"/>
      <c r="P100" s="348">
        <f t="shared" si="12"/>
        <v>44</v>
      </c>
      <c r="Q100" s="349">
        <f t="shared" si="14"/>
        <v>47907</v>
      </c>
      <c r="R100" s="351">
        <f t="shared" si="9"/>
        <v>7435.3511060177398</v>
      </c>
      <c r="S100" s="351">
        <f t="shared" si="10"/>
        <v>20345.167884860464</v>
      </c>
      <c r="T100" s="351">
        <f t="shared" si="15"/>
        <v>27780.518990878205</v>
      </c>
      <c r="U100" s="351">
        <f t="shared" si="13"/>
        <v>4882840.2923665112</v>
      </c>
      <c r="V100" s="351">
        <f t="shared" si="11"/>
        <v>4875404.9412604934</v>
      </c>
      <c r="W100" s="758"/>
      <c r="X100" s="763"/>
    </row>
    <row r="101" spans="1:24" ht="16" thickBot="1">
      <c r="A101" s="762"/>
      <c r="B101" s="758"/>
      <c r="C101" s="758"/>
      <c r="D101" s="758"/>
      <c r="E101" s="758"/>
      <c r="F101" s="758"/>
      <c r="G101" s="758"/>
      <c r="H101" s="758"/>
      <c r="I101" s="758"/>
      <c r="J101" s="758"/>
      <c r="K101" s="758"/>
      <c r="L101" s="758"/>
      <c r="M101" s="320"/>
      <c r="N101" s="322"/>
      <c r="O101" s="320"/>
      <c r="P101" s="348">
        <f t="shared" si="12"/>
        <v>45</v>
      </c>
      <c r="Q101" s="349">
        <f t="shared" si="14"/>
        <v>47938</v>
      </c>
      <c r="R101" s="351">
        <f t="shared" si="9"/>
        <v>7466.3317356261468</v>
      </c>
      <c r="S101" s="351">
        <f t="shared" si="10"/>
        <v>20314.187255252054</v>
      </c>
      <c r="T101" s="351">
        <f t="shared" si="15"/>
        <v>27780.518990878201</v>
      </c>
      <c r="U101" s="351">
        <f t="shared" si="13"/>
        <v>4875404.9412604934</v>
      </c>
      <c r="V101" s="351">
        <f t="shared" si="11"/>
        <v>4867938.6095248675</v>
      </c>
      <c r="W101" s="758"/>
      <c r="X101" s="763"/>
    </row>
    <row r="102" spans="1:24" ht="16" thickBot="1">
      <c r="A102" s="762"/>
      <c r="B102" s="758"/>
      <c r="C102" s="758"/>
      <c r="D102" s="758"/>
      <c r="E102" s="758"/>
      <c r="F102" s="758"/>
      <c r="G102" s="758"/>
      <c r="H102" s="758"/>
      <c r="I102" s="758"/>
      <c r="J102" s="758"/>
      <c r="K102" s="758"/>
      <c r="L102" s="758"/>
      <c r="M102" s="320"/>
      <c r="N102" s="322"/>
      <c r="O102" s="320"/>
      <c r="P102" s="348">
        <f t="shared" si="12"/>
        <v>46</v>
      </c>
      <c r="Q102" s="349">
        <f t="shared" si="14"/>
        <v>47968</v>
      </c>
      <c r="R102" s="351">
        <f t="shared" si="9"/>
        <v>7497.4414511912546</v>
      </c>
      <c r="S102" s="351">
        <f t="shared" si="10"/>
        <v>20283.077539686947</v>
      </c>
      <c r="T102" s="351">
        <f t="shared" si="15"/>
        <v>27780.518990878201</v>
      </c>
      <c r="U102" s="351">
        <f t="shared" si="13"/>
        <v>4867938.6095248675</v>
      </c>
      <c r="V102" s="351">
        <f t="shared" si="11"/>
        <v>4860441.1680736765</v>
      </c>
      <c r="W102" s="758"/>
      <c r="X102" s="763"/>
    </row>
    <row r="103" spans="1:24" ht="16" thickBot="1">
      <c r="A103" s="762"/>
      <c r="B103" s="758"/>
      <c r="C103" s="758"/>
      <c r="D103" s="758"/>
      <c r="E103" s="758"/>
      <c r="F103" s="758"/>
      <c r="G103" s="758"/>
      <c r="H103" s="758"/>
      <c r="I103" s="758"/>
      <c r="J103" s="758"/>
      <c r="K103" s="758"/>
      <c r="L103" s="758"/>
      <c r="M103" s="320"/>
      <c r="N103" s="322"/>
      <c r="O103" s="320"/>
      <c r="P103" s="348">
        <f t="shared" si="12"/>
        <v>47</v>
      </c>
      <c r="Q103" s="349">
        <f t="shared" si="14"/>
        <v>47999</v>
      </c>
      <c r="R103" s="351">
        <f t="shared" si="9"/>
        <v>7528.6807905712203</v>
      </c>
      <c r="S103" s="351">
        <f t="shared" si="10"/>
        <v>20251.838200306986</v>
      </c>
      <c r="T103" s="351">
        <f t="shared" si="15"/>
        <v>27780.518990878205</v>
      </c>
      <c r="U103" s="351">
        <f t="shared" si="13"/>
        <v>4860441.1680736765</v>
      </c>
      <c r="V103" s="351">
        <f t="shared" si="11"/>
        <v>4852912.487283105</v>
      </c>
      <c r="W103" s="758"/>
      <c r="X103" s="763"/>
    </row>
    <row r="104" spans="1:24" ht="16" thickBot="1">
      <c r="A104" s="762"/>
      <c r="B104" s="758"/>
      <c r="C104" s="758"/>
      <c r="D104" s="758"/>
      <c r="E104" s="758"/>
      <c r="F104" s="758"/>
      <c r="G104" s="758"/>
      <c r="H104" s="758"/>
      <c r="I104" s="758"/>
      <c r="J104" s="758"/>
      <c r="K104" s="758"/>
      <c r="L104" s="758"/>
      <c r="M104" s="320"/>
      <c r="N104" s="322"/>
      <c r="O104" s="320"/>
      <c r="P104" s="348">
        <f t="shared" si="12"/>
        <v>48</v>
      </c>
      <c r="Q104" s="349">
        <f t="shared" si="14"/>
        <v>48029</v>
      </c>
      <c r="R104" s="351">
        <f t="shared" si="9"/>
        <v>7560.0502938652653</v>
      </c>
      <c r="S104" s="351">
        <f t="shared" si="10"/>
        <v>20220.468697012937</v>
      </c>
      <c r="T104" s="351">
        <f t="shared" si="15"/>
        <v>27780.518990878201</v>
      </c>
      <c r="U104" s="351">
        <f t="shared" si="13"/>
        <v>4852912.487283105</v>
      </c>
      <c r="V104" s="351">
        <f t="shared" si="11"/>
        <v>4845352.4369892394</v>
      </c>
      <c r="W104" s="758"/>
      <c r="X104" s="763"/>
    </row>
    <row r="105" spans="1:24" ht="16" thickBot="1">
      <c r="A105" s="762"/>
      <c r="B105" s="758"/>
      <c r="C105" s="758"/>
      <c r="D105" s="758"/>
      <c r="E105" s="758"/>
      <c r="F105" s="758"/>
      <c r="G105" s="758"/>
      <c r="H105" s="758"/>
      <c r="I105" s="758"/>
      <c r="J105" s="758"/>
      <c r="K105" s="758"/>
      <c r="L105" s="758"/>
      <c r="M105" s="320"/>
      <c r="N105" s="322"/>
      <c r="O105" s="320"/>
      <c r="P105" s="348">
        <f t="shared" si="12"/>
        <v>49</v>
      </c>
      <c r="Q105" s="349">
        <f t="shared" si="14"/>
        <v>48060</v>
      </c>
      <c r="R105" s="351">
        <f t="shared" si="9"/>
        <v>7591.5505034230382</v>
      </c>
      <c r="S105" s="351">
        <f t="shared" si="10"/>
        <v>20188.968487455164</v>
      </c>
      <c r="T105" s="351">
        <f t="shared" si="15"/>
        <v>27780.518990878201</v>
      </c>
      <c r="U105" s="351">
        <f t="shared" si="13"/>
        <v>4845352.4369892394</v>
      </c>
      <c r="V105" s="351">
        <f t="shared" si="11"/>
        <v>4837760.886485816</v>
      </c>
      <c r="W105" s="758"/>
      <c r="X105" s="763"/>
    </row>
    <row r="106" spans="1:24" ht="16" thickBot="1">
      <c r="A106" s="762"/>
      <c r="B106" s="758"/>
      <c r="C106" s="758"/>
      <c r="D106" s="758"/>
      <c r="E106" s="758"/>
      <c r="F106" s="758"/>
      <c r="G106" s="758"/>
      <c r="H106" s="758"/>
      <c r="I106" s="758"/>
      <c r="J106" s="758"/>
      <c r="K106" s="758"/>
      <c r="L106" s="758"/>
      <c r="M106" s="320"/>
      <c r="N106" s="322"/>
      <c r="O106" s="320"/>
      <c r="P106" s="348">
        <f t="shared" si="12"/>
        <v>50</v>
      </c>
      <c r="Q106" s="349">
        <f t="shared" si="14"/>
        <v>48091</v>
      </c>
      <c r="R106" s="351">
        <f t="shared" si="9"/>
        <v>7623.1819638539655</v>
      </c>
      <c r="S106" s="351">
        <f t="shared" si="10"/>
        <v>20157.337027024234</v>
      </c>
      <c r="T106" s="351">
        <f t="shared" si="15"/>
        <v>27780.518990878198</v>
      </c>
      <c r="U106" s="351">
        <f t="shared" si="13"/>
        <v>4837760.886485816</v>
      </c>
      <c r="V106" s="351">
        <f t="shared" si="11"/>
        <v>4830137.7045219624</v>
      </c>
      <c r="W106" s="758"/>
      <c r="X106" s="763"/>
    </row>
    <row r="107" spans="1:24" ht="16" thickBot="1">
      <c r="A107" s="762"/>
      <c r="B107" s="758"/>
      <c r="C107" s="758"/>
      <c r="D107" s="758"/>
      <c r="E107" s="758"/>
      <c r="F107" s="758"/>
      <c r="G107" s="758"/>
      <c r="H107" s="758"/>
      <c r="I107" s="758"/>
      <c r="J107" s="758"/>
      <c r="K107" s="758"/>
      <c r="L107" s="758"/>
      <c r="M107" s="320"/>
      <c r="N107" s="322"/>
      <c r="O107" s="320"/>
      <c r="P107" s="348">
        <f t="shared" si="12"/>
        <v>51</v>
      </c>
      <c r="Q107" s="349">
        <f t="shared" si="14"/>
        <v>48121</v>
      </c>
      <c r="R107" s="351">
        <f t="shared" si="9"/>
        <v>7654.9452220366929</v>
      </c>
      <c r="S107" s="351">
        <f t="shared" si="10"/>
        <v>20125.57376884151</v>
      </c>
      <c r="T107" s="351">
        <f t="shared" si="15"/>
        <v>27780.518990878205</v>
      </c>
      <c r="U107" s="351">
        <f t="shared" si="13"/>
        <v>4830137.7045219624</v>
      </c>
      <c r="V107" s="351">
        <f t="shared" si="11"/>
        <v>4822482.7592999255</v>
      </c>
      <c r="W107" s="758"/>
      <c r="X107" s="763"/>
    </row>
    <row r="108" spans="1:24" ht="16" thickBot="1">
      <c r="A108" s="762"/>
      <c r="B108" s="758"/>
      <c r="C108" s="758"/>
      <c r="D108" s="758"/>
      <c r="E108" s="758"/>
      <c r="F108" s="758"/>
      <c r="G108" s="758"/>
      <c r="H108" s="758"/>
      <c r="I108" s="758"/>
      <c r="J108" s="758"/>
      <c r="K108" s="758"/>
      <c r="L108" s="758"/>
      <c r="M108" s="320"/>
      <c r="N108" s="322"/>
      <c r="O108" s="320"/>
      <c r="P108" s="348">
        <f t="shared" si="12"/>
        <v>52</v>
      </c>
      <c r="Q108" s="349">
        <f t="shared" si="14"/>
        <v>48152</v>
      </c>
      <c r="R108" s="351">
        <f t="shared" si="9"/>
        <v>7686.8408271285116</v>
      </c>
      <c r="S108" s="351">
        <f t="shared" si="10"/>
        <v>20093.67816374969</v>
      </c>
      <c r="T108" s="351">
        <f t="shared" si="15"/>
        <v>27780.518990878201</v>
      </c>
      <c r="U108" s="351">
        <f t="shared" si="13"/>
        <v>4822482.7592999255</v>
      </c>
      <c r="V108" s="351">
        <f t="shared" si="11"/>
        <v>4814795.9184727967</v>
      </c>
      <c r="W108" s="758"/>
      <c r="X108" s="763"/>
    </row>
    <row r="109" spans="1:24" ht="16" thickBot="1">
      <c r="A109" s="762"/>
      <c r="B109" s="758"/>
      <c r="C109" s="758"/>
      <c r="D109" s="758"/>
      <c r="E109" s="758"/>
      <c r="F109" s="758"/>
      <c r="G109" s="758"/>
      <c r="H109" s="758"/>
      <c r="I109" s="758"/>
      <c r="J109" s="758"/>
      <c r="K109" s="758"/>
      <c r="L109" s="758"/>
      <c r="M109" s="320"/>
      <c r="N109" s="322"/>
      <c r="O109" s="320"/>
      <c r="P109" s="348">
        <f t="shared" si="12"/>
        <v>53</v>
      </c>
      <c r="Q109" s="349">
        <f t="shared" si="14"/>
        <v>48182</v>
      </c>
      <c r="R109" s="351">
        <f t="shared" si="9"/>
        <v>7718.8693305748811</v>
      </c>
      <c r="S109" s="351">
        <f t="shared" si="10"/>
        <v>20061.649660303319</v>
      </c>
      <c r="T109" s="351">
        <f t="shared" si="15"/>
        <v>27780.518990878201</v>
      </c>
      <c r="U109" s="351">
        <f t="shared" si="13"/>
        <v>4814795.9184727967</v>
      </c>
      <c r="V109" s="351">
        <f t="shared" si="11"/>
        <v>4807077.0491422219</v>
      </c>
      <c r="W109" s="758"/>
      <c r="X109" s="763"/>
    </row>
    <row r="110" spans="1:24" ht="16" thickBot="1">
      <c r="A110" s="762"/>
      <c r="B110" s="758"/>
      <c r="C110" s="758"/>
      <c r="D110" s="758"/>
      <c r="E110" s="758"/>
      <c r="F110" s="758"/>
      <c r="G110" s="758"/>
      <c r="H110" s="758"/>
      <c r="I110" s="758"/>
      <c r="J110" s="758"/>
      <c r="K110" s="758"/>
      <c r="L110" s="758"/>
      <c r="M110" s="320"/>
      <c r="N110" s="322"/>
      <c r="O110" s="320"/>
      <c r="P110" s="348">
        <f t="shared" si="12"/>
        <v>54</v>
      </c>
      <c r="Q110" s="349">
        <f t="shared" si="14"/>
        <v>48213</v>
      </c>
      <c r="R110" s="351">
        <f t="shared" si="9"/>
        <v>7751.0312861189441</v>
      </c>
      <c r="S110" s="351">
        <f t="shared" si="10"/>
        <v>20029.487704759256</v>
      </c>
      <c r="T110" s="351">
        <f t="shared" si="15"/>
        <v>27780.518990878201</v>
      </c>
      <c r="U110" s="351">
        <f t="shared" si="13"/>
        <v>4807077.0491422219</v>
      </c>
      <c r="V110" s="351">
        <f t="shared" si="11"/>
        <v>4799326.0178561034</v>
      </c>
      <c r="W110" s="758"/>
      <c r="X110" s="763"/>
    </row>
    <row r="111" spans="1:24" ht="16" thickBot="1">
      <c r="A111" s="762"/>
      <c r="B111" s="758"/>
      <c r="C111" s="758"/>
      <c r="D111" s="758"/>
      <c r="E111" s="758"/>
      <c r="F111" s="758"/>
      <c r="G111" s="758"/>
      <c r="H111" s="758"/>
      <c r="I111" s="758"/>
      <c r="J111" s="758"/>
      <c r="K111" s="758"/>
      <c r="L111" s="758"/>
      <c r="M111" s="320"/>
      <c r="N111" s="322"/>
      <c r="O111" s="320"/>
      <c r="P111" s="348">
        <f t="shared" si="12"/>
        <v>55</v>
      </c>
      <c r="Q111" s="349">
        <f t="shared" si="14"/>
        <v>48244</v>
      </c>
      <c r="R111" s="351">
        <f t="shared" si="9"/>
        <v>7783.3272498111046</v>
      </c>
      <c r="S111" s="351">
        <f t="shared" si="10"/>
        <v>19997.191741067098</v>
      </c>
      <c r="T111" s="351">
        <f t="shared" si="15"/>
        <v>27780.518990878201</v>
      </c>
      <c r="U111" s="351">
        <f t="shared" si="13"/>
        <v>4799326.0178561034</v>
      </c>
      <c r="V111" s="351">
        <f t="shared" si="11"/>
        <v>4791542.6906062923</v>
      </c>
      <c r="W111" s="758"/>
      <c r="X111" s="763"/>
    </row>
    <row r="112" spans="1:24" ht="16" thickBot="1">
      <c r="A112" s="762"/>
      <c r="B112" s="758"/>
      <c r="C112" s="758"/>
      <c r="D112" s="758"/>
      <c r="E112" s="758"/>
      <c r="F112" s="758"/>
      <c r="G112" s="758"/>
      <c r="H112" s="758"/>
      <c r="I112" s="758"/>
      <c r="J112" s="758"/>
      <c r="K112" s="758"/>
      <c r="L112" s="758"/>
      <c r="M112" s="320"/>
      <c r="N112" s="322"/>
      <c r="O112" s="320"/>
      <c r="P112" s="348">
        <f t="shared" si="12"/>
        <v>56</v>
      </c>
      <c r="Q112" s="349">
        <f t="shared" si="14"/>
        <v>48273</v>
      </c>
      <c r="R112" s="351">
        <f t="shared" si="9"/>
        <v>7815.7577800186518</v>
      </c>
      <c r="S112" s="351">
        <f t="shared" si="10"/>
        <v>19964.761210859549</v>
      </c>
      <c r="T112" s="351">
        <f t="shared" si="15"/>
        <v>27780.518990878201</v>
      </c>
      <c r="U112" s="351">
        <f t="shared" si="13"/>
        <v>4791542.6906062923</v>
      </c>
      <c r="V112" s="351">
        <f t="shared" si="11"/>
        <v>4783726.9328262741</v>
      </c>
      <c r="W112" s="758"/>
      <c r="X112" s="763"/>
    </row>
    <row r="113" spans="1:24" ht="16" thickBot="1">
      <c r="A113" s="762"/>
      <c r="B113" s="758"/>
      <c r="C113" s="758"/>
      <c r="D113" s="758"/>
      <c r="E113" s="758"/>
      <c r="F113" s="758"/>
      <c r="G113" s="758"/>
      <c r="H113" s="758"/>
      <c r="I113" s="758"/>
      <c r="J113" s="758"/>
      <c r="K113" s="758"/>
      <c r="L113" s="758"/>
      <c r="M113" s="320"/>
      <c r="N113" s="322"/>
      <c r="O113" s="320"/>
      <c r="P113" s="348">
        <f t="shared" si="12"/>
        <v>57</v>
      </c>
      <c r="Q113" s="349">
        <f t="shared" si="14"/>
        <v>48304</v>
      </c>
      <c r="R113" s="351">
        <f t="shared" si="9"/>
        <v>7848.3234374353951</v>
      </c>
      <c r="S113" s="351">
        <f t="shared" si="10"/>
        <v>19932.195553442809</v>
      </c>
      <c r="T113" s="351">
        <f t="shared" si="15"/>
        <v>27780.518990878205</v>
      </c>
      <c r="U113" s="351">
        <f t="shared" si="13"/>
        <v>4783726.9328262741</v>
      </c>
      <c r="V113" s="351">
        <f t="shared" si="11"/>
        <v>4775878.6093888385</v>
      </c>
      <c r="W113" s="758"/>
      <c r="X113" s="763"/>
    </row>
    <row r="114" spans="1:24" ht="16" thickBot="1">
      <c r="A114" s="762"/>
      <c r="B114" s="758"/>
      <c r="C114" s="758"/>
      <c r="D114" s="758"/>
      <c r="E114" s="758"/>
      <c r="F114" s="758"/>
      <c r="G114" s="758"/>
      <c r="H114" s="758"/>
      <c r="I114" s="758"/>
      <c r="J114" s="758"/>
      <c r="K114" s="758"/>
      <c r="L114" s="758"/>
      <c r="M114" s="320"/>
      <c r="N114" s="322"/>
      <c r="O114" s="320"/>
      <c r="P114" s="348">
        <f t="shared" si="12"/>
        <v>58</v>
      </c>
      <c r="Q114" s="349">
        <f t="shared" si="14"/>
        <v>48334</v>
      </c>
      <c r="R114" s="351">
        <f t="shared" si="9"/>
        <v>7881.0247850913775</v>
      </c>
      <c r="S114" s="351">
        <f t="shared" si="10"/>
        <v>19899.494205786828</v>
      </c>
      <c r="T114" s="351">
        <f t="shared" si="15"/>
        <v>27780.518990878205</v>
      </c>
      <c r="U114" s="351">
        <f t="shared" si="13"/>
        <v>4775878.6093888385</v>
      </c>
      <c r="V114" s="351">
        <f t="shared" si="11"/>
        <v>4767997.5846037474</v>
      </c>
      <c r="W114" s="758"/>
      <c r="X114" s="763"/>
    </row>
    <row r="115" spans="1:24" ht="16" thickBot="1">
      <c r="A115" s="762"/>
      <c r="B115" s="758"/>
      <c r="C115" s="758"/>
      <c r="D115" s="758"/>
      <c r="E115" s="758"/>
      <c r="F115" s="758"/>
      <c r="G115" s="758"/>
      <c r="H115" s="758"/>
      <c r="I115" s="758"/>
      <c r="J115" s="758"/>
      <c r="K115" s="758"/>
      <c r="L115" s="758"/>
      <c r="M115" s="320"/>
      <c r="N115" s="322"/>
      <c r="O115" s="320"/>
      <c r="P115" s="348">
        <f t="shared" si="12"/>
        <v>59</v>
      </c>
      <c r="Q115" s="349">
        <f t="shared" si="14"/>
        <v>48365</v>
      </c>
      <c r="R115" s="351">
        <f t="shared" si="9"/>
        <v>7913.8623883625887</v>
      </c>
      <c r="S115" s="351">
        <f t="shared" si="10"/>
        <v>19866.656602515613</v>
      </c>
      <c r="T115" s="351">
        <f t="shared" si="15"/>
        <v>27780.518990878201</v>
      </c>
      <c r="U115" s="351">
        <f t="shared" si="13"/>
        <v>4767997.5846037474</v>
      </c>
      <c r="V115" s="351">
        <f t="shared" si="11"/>
        <v>4760083.7222153852</v>
      </c>
      <c r="W115" s="758"/>
      <c r="X115" s="763"/>
    </row>
    <row r="116" spans="1:24" ht="16" thickBot="1">
      <c r="A116" s="762"/>
      <c r="B116" s="758"/>
      <c r="C116" s="758"/>
      <c r="D116" s="758"/>
      <c r="E116" s="758"/>
      <c r="F116" s="758"/>
      <c r="G116" s="758"/>
      <c r="H116" s="758"/>
      <c r="I116" s="758"/>
      <c r="J116" s="758"/>
      <c r="K116" s="758"/>
      <c r="L116" s="758"/>
      <c r="M116" s="320"/>
      <c r="N116" s="322"/>
      <c r="O116" s="320"/>
      <c r="P116" s="348">
        <f t="shared" si="12"/>
        <v>60</v>
      </c>
      <c r="Q116" s="349">
        <f t="shared" si="14"/>
        <v>48395</v>
      </c>
      <c r="R116" s="351">
        <f t="shared" si="9"/>
        <v>7946.8368149807684</v>
      </c>
      <c r="S116" s="351">
        <f t="shared" si="10"/>
        <v>19833.682175897437</v>
      </c>
      <c r="T116" s="351">
        <f t="shared" si="15"/>
        <v>27780.518990878205</v>
      </c>
      <c r="U116" s="351">
        <f t="shared" si="13"/>
        <v>4760083.7222153852</v>
      </c>
      <c r="V116" s="351">
        <f t="shared" si="11"/>
        <v>4752136.8854004042</v>
      </c>
      <c r="W116" s="758"/>
      <c r="X116" s="763"/>
    </row>
    <row r="117" spans="1:24" ht="16" thickBot="1">
      <c r="A117" s="762"/>
      <c r="B117" s="758"/>
      <c r="C117" s="758"/>
      <c r="D117" s="758"/>
      <c r="E117" s="758"/>
      <c r="F117" s="758"/>
      <c r="G117" s="758"/>
      <c r="H117" s="758"/>
      <c r="I117" s="758"/>
      <c r="J117" s="758"/>
      <c r="K117" s="758"/>
      <c r="L117" s="758"/>
      <c r="M117" s="320"/>
      <c r="N117" s="322"/>
      <c r="O117" s="320"/>
      <c r="P117" s="348">
        <f t="shared" si="12"/>
        <v>61</v>
      </c>
      <c r="Q117" s="349">
        <f t="shared" si="14"/>
        <v>48426</v>
      </c>
      <c r="R117" s="351">
        <f t="shared" si="9"/>
        <v>7979.9486350431871</v>
      </c>
      <c r="S117" s="351">
        <f t="shared" si="10"/>
        <v>19800.570355835018</v>
      </c>
      <c r="T117" s="351">
        <f t="shared" si="15"/>
        <v>27780.518990878205</v>
      </c>
      <c r="U117" s="351">
        <f t="shared" si="13"/>
        <v>4752136.8854004042</v>
      </c>
      <c r="V117" s="351">
        <f t="shared" si="11"/>
        <v>4744156.9367653606</v>
      </c>
      <c r="W117" s="758"/>
      <c r="X117" s="763"/>
    </row>
    <row r="118" spans="1:24" ht="16" thickBot="1">
      <c r="A118" s="762"/>
      <c r="B118" s="758"/>
      <c r="C118" s="758"/>
      <c r="D118" s="758"/>
      <c r="E118" s="758"/>
      <c r="F118" s="758"/>
      <c r="G118" s="758"/>
      <c r="H118" s="758"/>
      <c r="I118" s="758"/>
      <c r="J118" s="758"/>
      <c r="K118" s="758"/>
      <c r="L118" s="758"/>
      <c r="M118" s="320"/>
      <c r="N118" s="322"/>
      <c r="O118" s="320"/>
      <c r="P118" s="348">
        <f t="shared" si="12"/>
        <v>62</v>
      </c>
      <c r="Q118" s="349">
        <f t="shared" si="14"/>
        <v>48457</v>
      </c>
      <c r="R118" s="351">
        <f t="shared" si="9"/>
        <v>8013.1984210225337</v>
      </c>
      <c r="S118" s="351">
        <f t="shared" si="10"/>
        <v>19767.32056985567</v>
      </c>
      <c r="T118" s="351">
        <f t="shared" si="15"/>
        <v>27780.518990878205</v>
      </c>
      <c r="U118" s="351">
        <f t="shared" si="13"/>
        <v>4744156.9367653606</v>
      </c>
      <c r="V118" s="351">
        <f t="shared" si="11"/>
        <v>4736143.7383443378</v>
      </c>
      <c r="W118" s="758"/>
      <c r="X118" s="763"/>
    </row>
    <row r="119" spans="1:24" ht="16" thickBot="1">
      <c r="A119" s="762"/>
      <c r="B119" s="758"/>
      <c r="C119" s="758"/>
      <c r="D119" s="758"/>
      <c r="E119" s="758"/>
      <c r="F119" s="758"/>
      <c r="G119" s="758"/>
      <c r="H119" s="758"/>
      <c r="I119" s="758"/>
      <c r="J119" s="758"/>
      <c r="K119" s="758"/>
      <c r="L119" s="758"/>
      <c r="M119" s="320"/>
      <c r="N119" s="322"/>
      <c r="O119" s="320"/>
      <c r="P119" s="348">
        <f t="shared" si="12"/>
        <v>63</v>
      </c>
      <c r="Q119" s="349">
        <f t="shared" si="14"/>
        <v>48487</v>
      </c>
      <c r="R119" s="351">
        <f t="shared" si="9"/>
        <v>8046.5867477767943</v>
      </c>
      <c r="S119" s="351">
        <f t="shared" si="10"/>
        <v>19733.932243101408</v>
      </c>
      <c r="T119" s="351">
        <f t="shared" si="15"/>
        <v>27780.518990878201</v>
      </c>
      <c r="U119" s="351">
        <f t="shared" si="13"/>
        <v>4736143.7383443378</v>
      </c>
      <c r="V119" s="351">
        <f t="shared" si="11"/>
        <v>4728097.1515965611</v>
      </c>
      <c r="W119" s="758"/>
      <c r="X119" s="763"/>
    </row>
    <row r="120" spans="1:24" ht="16" thickBot="1">
      <c r="A120" s="762"/>
      <c r="B120" s="758"/>
      <c r="C120" s="758"/>
      <c r="D120" s="758"/>
      <c r="E120" s="758"/>
      <c r="F120" s="758"/>
      <c r="G120" s="758"/>
      <c r="H120" s="758"/>
      <c r="I120" s="758"/>
      <c r="J120" s="758"/>
      <c r="K120" s="758"/>
      <c r="L120" s="758"/>
      <c r="M120" s="320"/>
      <c r="N120" s="322"/>
      <c r="O120" s="320"/>
      <c r="P120" s="348">
        <f t="shared" si="12"/>
        <v>64</v>
      </c>
      <c r="Q120" s="349">
        <f t="shared" si="14"/>
        <v>48518</v>
      </c>
      <c r="R120" s="351">
        <f t="shared" si="9"/>
        <v>8080.1141925591974</v>
      </c>
      <c r="S120" s="351">
        <f t="shared" si="10"/>
        <v>19700.404798319003</v>
      </c>
      <c r="T120" s="351">
        <f t="shared" si="15"/>
        <v>27780.518990878201</v>
      </c>
      <c r="U120" s="351">
        <f t="shared" si="13"/>
        <v>4728097.1515965611</v>
      </c>
      <c r="V120" s="351">
        <f t="shared" si="11"/>
        <v>4720017.0374040017</v>
      </c>
      <c r="W120" s="758"/>
      <c r="X120" s="763"/>
    </row>
    <row r="121" spans="1:24" ht="16" thickBot="1">
      <c r="A121" s="762"/>
      <c r="B121" s="758"/>
      <c r="C121" s="758"/>
      <c r="D121" s="758"/>
      <c r="E121" s="758"/>
      <c r="F121" s="758"/>
      <c r="G121" s="758"/>
      <c r="H121" s="758"/>
      <c r="I121" s="758"/>
      <c r="J121" s="758"/>
      <c r="K121" s="758"/>
      <c r="L121" s="758"/>
      <c r="M121" s="320"/>
      <c r="N121" s="322"/>
      <c r="O121" s="320"/>
      <c r="P121" s="348">
        <f t="shared" si="12"/>
        <v>65</v>
      </c>
      <c r="Q121" s="349">
        <f t="shared" si="14"/>
        <v>48548</v>
      </c>
      <c r="R121" s="351">
        <f t="shared" ref="R121:R184" si="16">IF(OR(Q121&lt;Q$14, Q121&gt;T$12),0, -IF(P121=0, 0, PPMT(R$7, P121, R$8, R$6)))</f>
        <v>8113.781335028194</v>
      </c>
      <c r="S121" s="351">
        <f t="shared" ref="S121:S184" si="17">IF(OR(Q121&lt;Q$13, Q121&gt;T$12), 0, +U121*R$7)</f>
        <v>19666.737655850007</v>
      </c>
      <c r="T121" s="351">
        <f t="shared" si="15"/>
        <v>27780.518990878201</v>
      </c>
      <c r="U121" s="351">
        <f t="shared" si="13"/>
        <v>4720017.0374040017</v>
      </c>
      <c r="V121" s="351">
        <f t="shared" ref="V121:V184" si="18">IF(Q121&gt;T$12, "", +U121-R121)</f>
        <v>4711903.2560689738</v>
      </c>
      <c r="W121" s="758"/>
      <c r="X121" s="763"/>
    </row>
    <row r="122" spans="1:24" ht="16" thickBot="1">
      <c r="A122" s="762"/>
      <c r="B122" s="758"/>
      <c r="C122" s="758"/>
      <c r="D122" s="758"/>
      <c r="E122" s="758"/>
      <c r="F122" s="758"/>
      <c r="G122" s="758"/>
      <c r="H122" s="758"/>
      <c r="I122" s="758"/>
      <c r="J122" s="758"/>
      <c r="K122" s="758"/>
      <c r="L122" s="758"/>
      <c r="M122" s="320"/>
      <c r="N122" s="322"/>
      <c r="O122" s="320"/>
      <c r="P122" s="348">
        <f t="shared" ref="P122:P185" si="19">IF(Q122&lt;Q$14, 0, P121+1)</f>
        <v>66</v>
      </c>
      <c r="Q122" s="349">
        <f t="shared" si="14"/>
        <v>48579</v>
      </c>
      <c r="R122" s="351">
        <f t="shared" si="16"/>
        <v>8147.5887572574784</v>
      </c>
      <c r="S122" s="351">
        <f t="shared" si="17"/>
        <v>19632.930233620726</v>
      </c>
      <c r="T122" s="351">
        <f t="shared" si="15"/>
        <v>27780.518990878205</v>
      </c>
      <c r="U122" s="351">
        <f t="shared" ref="U122:U185" si="20">IF(Q122&gt;T$12, 0, +V121)</f>
        <v>4711903.2560689738</v>
      </c>
      <c r="V122" s="351">
        <f t="shared" si="18"/>
        <v>4703755.6673117159</v>
      </c>
      <c r="W122" s="758"/>
      <c r="X122" s="763"/>
    </row>
    <row r="123" spans="1:24" ht="16" thickBot="1">
      <c r="A123" s="762"/>
      <c r="B123" s="758"/>
      <c r="C123" s="758"/>
      <c r="D123" s="758"/>
      <c r="E123" s="758"/>
      <c r="F123" s="758"/>
      <c r="G123" s="758"/>
      <c r="H123" s="758"/>
      <c r="I123" s="758"/>
      <c r="J123" s="758"/>
      <c r="K123" s="758"/>
      <c r="L123" s="758"/>
      <c r="M123" s="320"/>
      <c r="N123" s="322"/>
      <c r="O123" s="320"/>
      <c r="P123" s="348">
        <f t="shared" si="19"/>
        <v>67</v>
      </c>
      <c r="Q123" s="349">
        <f t="shared" ref="Q123:Q186" si="21">EOMONTH(Q122, 1)</f>
        <v>48610</v>
      </c>
      <c r="R123" s="351">
        <f t="shared" si="16"/>
        <v>8181.5370437460533</v>
      </c>
      <c r="S123" s="351">
        <f t="shared" si="17"/>
        <v>19598.98194713215</v>
      </c>
      <c r="T123" s="351">
        <f t="shared" ref="T123:T186" si="22">R123+S123</f>
        <v>27780.518990878205</v>
      </c>
      <c r="U123" s="351">
        <f t="shared" si="20"/>
        <v>4703755.6673117159</v>
      </c>
      <c r="V123" s="351">
        <f t="shared" si="18"/>
        <v>4695574.1302679703</v>
      </c>
      <c r="W123" s="758"/>
      <c r="X123" s="763"/>
    </row>
    <row r="124" spans="1:24" ht="16" thickBot="1">
      <c r="A124" s="762"/>
      <c r="B124" s="758"/>
      <c r="C124" s="758"/>
      <c r="D124" s="758"/>
      <c r="E124" s="758"/>
      <c r="F124" s="758"/>
      <c r="G124" s="758"/>
      <c r="H124" s="758"/>
      <c r="I124" s="758"/>
      <c r="J124" s="758"/>
      <c r="K124" s="758"/>
      <c r="L124" s="758"/>
      <c r="M124" s="320"/>
      <c r="N124" s="322"/>
      <c r="O124" s="320"/>
      <c r="P124" s="348">
        <f t="shared" si="19"/>
        <v>68</v>
      </c>
      <c r="Q124" s="349">
        <f t="shared" si="21"/>
        <v>48638</v>
      </c>
      <c r="R124" s="351">
        <f t="shared" si="16"/>
        <v>8215.6267814283274</v>
      </c>
      <c r="S124" s="351">
        <f t="shared" si="17"/>
        <v>19564.892209449878</v>
      </c>
      <c r="T124" s="351">
        <f t="shared" si="22"/>
        <v>27780.518990878205</v>
      </c>
      <c r="U124" s="351">
        <f t="shared" si="20"/>
        <v>4695574.1302679703</v>
      </c>
      <c r="V124" s="351">
        <f t="shared" si="18"/>
        <v>4687358.503486542</v>
      </c>
      <c r="W124" s="758"/>
      <c r="X124" s="763"/>
    </row>
    <row r="125" spans="1:24" ht="16" thickBot="1">
      <c r="A125" s="762"/>
      <c r="B125" s="758"/>
      <c r="C125" s="758"/>
      <c r="D125" s="758"/>
      <c r="E125" s="758"/>
      <c r="F125" s="758"/>
      <c r="G125" s="758"/>
      <c r="H125" s="758"/>
      <c r="I125" s="758"/>
      <c r="J125" s="758"/>
      <c r="K125" s="758"/>
      <c r="L125" s="758"/>
      <c r="M125" s="320"/>
      <c r="N125" s="322"/>
      <c r="O125" s="320"/>
      <c r="P125" s="348">
        <f t="shared" si="19"/>
        <v>69</v>
      </c>
      <c r="Q125" s="349">
        <f t="shared" si="21"/>
        <v>48669</v>
      </c>
      <c r="R125" s="351">
        <f t="shared" si="16"/>
        <v>8249.8585596842804</v>
      </c>
      <c r="S125" s="351">
        <f t="shared" si="17"/>
        <v>19530.660431193926</v>
      </c>
      <c r="T125" s="351">
        <f t="shared" si="22"/>
        <v>27780.518990878205</v>
      </c>
      <c r="U125" s="351">
        <f t="shared" si="20"/>
        <v>4687358.503486542</v>
      </c>
      <c r="V125" s="351">
        <f t="shared" si="18"/>
        <v>4679108.6449268581</v>
      </c>
      <c r="W125" s="758"/>
      <c r="X125" s="763"/>
    </row>
    <row r="126" spans="1:24" ht="16" thickBot="1">
      <c r="A126" s="762"/>
      <c r="B126" s="758"/>
      <c r="C126" s="758"/>
      <c r="D126" s="758"/>
      <c r="E126" s="758"/>
      <c r="F126" s="758"/>
      <c r="G126" s="758"/>
      <c r="H126" s="758"/>
      <c r="I126" s="758"/>
      <c r="J126" s="758"/>
      <c r="K126" s="758"/>
      <c r="L126" s="758"/>
      <c r="M126" s="320"/>
      <c r="N126" s="322"/>
      <c r="O126" s="320"/>
      <c r="P126" s="348">
        <f t="shared" si="19"/>
        <v>70</v>
      </c>
      <c r="Q126" s="349">
        <f t="shared" si="21"/>
        <v>48699</v>
      </c>
      <c r="R126" s="351">
        <f t="shared" si="16"/>
        <v>8284.2329703496289</v>
      </c>
      <c r="S126" s="351">
        <f t="shared" si="17"/>
        <v>19496.286020528576</v>
      </c>
      <c r="T126" s="351">
        <f t="shared" si="22"/>
        <v>27780.518990878205</v>
      </c>
      <c r="U126" s="351">
        <f t="shared" si="20"/>
        <v>4679108.6449268581</v>
      </c>
      <c r="V126" s="351">
        <f t="shared" si="18"/>
        <v>4670824.4119565086</v>
      </c>
      <c r="W126" s="758"/>
      <c r="X126" s="763"/>
    </row>
    <row r="127" spans="1:24" ht="16" thickBot="1">
      <c r="A127" s="762"/>
      <c r="B127" s="758"/>
      <c r="C127" s="758"/>
      <c r="D127" s="758"/>
      <c r="E127" s="758"/>
      <c r="F127" s="758"/>
      <c r="G127" s="758"/>
      <c r="H127" s="758"/>
      <c r="I127" s="758"/>
      <c r="J127" s="758"/>
      <c r="K127" s="758"/>
      <c r="L127" s="758"/>
      <c r="M127" s="320"/>
      <c r="N127" s="322"/>
      <c r="O127" s="320"/>
      <c r="P127" s="348">
        <f t="shared" si="19"/>
        <v>71</v>
      </c>
      <c r="Q127" s="349">
        <f t="shared" si="21"/>
        <v>48730</v>
      </c>
      <c r="R127" s="351">
        <f t="shared" si="16"/>
        <v>8318.7506077260859</v>
      </c>
      <c r="S127" s="351">
        <f t="shared" si="17"/>
        <v>19461.768383152121</v>
      </c>
      <c r="T127" s="351">
        <f t="shared" si="22"/>
        <v>27780.518990878205</v>
      </c>
      <c r="U127" s="351">
        <f t="shared" si="20"/>
        <v>4670824.4119565086</v>
      </c>
      <c r="V127" s="351">
        <f t="shared" si="18"/>
        <v>4662505.6613487825</v>
      </c>
      <c r="W127" s="758"/>
      <c r="X127" s="763"/>
    </row>
    <row r="128" spans="1:24" ht="16" thickBot="1">
      <c r="A128" s="762"/>
      <c r="B128" s="758"/>
      <c r="C128" s="758"/>
      <c r="D128" s="758"/>
      <c r="E128" s="758"/>
      <c r="F128" s="758"/>
      <c r="G128" s="758"/>
      <c r="H128" s="758"/>
      <c r="I128" s="758"/>
      <c r="J128" s="758"/>
      <c r="K128" s="758"/>
      <c r="L128" s="758"/>
      <c r="M128" s="320"/>
      <c r="N128" s="322"/>
      <c r="O128" s="320"/>
      <c r="P128" s="348">
        <f t="shared" si="19"/>
        <v>72</v>
      </c>
      <c r="Q128" s="349">
        <f t="shared" si="21"/>
        <v>48760</v>
      </c>
      <c r="R128" s="351">
        <f t="shared" si="16"/>
        <v>8353.4120685916114</v>
      </c>
      <c r="S128" s="351">
        <f t="shared" si="17"/>
        <v>19427.106922286592</v>
      </c>
      <c r="T128" s="351">
        <f t="shared" si="22"/>
        <v>27780.518990878205</v>
      </c>
      <c r="U128" s="351">
        <f t="shared" si="20"/>
        <v>4662505.6613487825</v>
      </c>
      <c r="V128" s="351">
        <f t="shared" si="18"/>
        <v>4654152.249280191</v>
      </c>
      <c r="W128" s="758"/>
      <c r="X128" s="763"/>
    </row>
    <row r="129" spans="1:24" ht="16" thickBot="1">
      <c r="A129" s="762"/>
      <c r="B129" s="758"/>
      <c r="C129" s="758"/>
      <c r="D129" s="758"/>
      <c r="E129" s="758"/>
      <c r="F129" s="758"/>
      <c r="G129" s="758"/>
      <c r="H129" s="758"/>
      <c r="I129" s="758"/>
      <c r="J129" s="758"/>
      <c r="K129" s="758"/>
      <c r="L129" s="758"/>
      <c r="M129" s="320"/>
      <c r="N129" s="322"/>
      <c r="O129" s="320"/>
      <c r="P129" s="348">
        <f t="shared" si="19"/>
        <v>73</v>
      </c>
      <c r="Q129" s="349">
        <f t="shared" si="21"/>
        <v>48791</v>
      </c>
      <c r="R129" s="351">
        <f t="shared" si="16"/>
        <v>8388.2179522107435</v>
      </c>
      <c r="S129" s="351">
        <f t="shared" si="17"/>
        <v>19392.301038667461</v>
      </c>
      <c r="T129" s="351">
        <f t="shared" si="22"/>
        <v>27780.518990878205</v>
      </c>
      <c r="U129" s="351">
        <f t="shared" si="20"/>
        <v>4654152.249280191</v>
      </c>
      <c r="V129" s="351">
        <f t="shared" si="18"/>
        <v>4645764.0313279806</v>
      </c>
      <c r="W129" s="758"/>
      <c r="X129" s="763"/>
    </row>
    <row r="130" spans="1:24" ht="16" thickBot="1">
      <c r="A130" s="762"/>
      <c r="B130" s="758"/>
      <c r="C130" s="758"/>
      <c r="D130" s="758"/>
      <c r="E130" s="758"/>
      <c r="F130" s="758"/>
      <c r="G130" s="758"/>
      <c r="H130" s="758"/>
      <c r="I130" s="758"/>
      <c r="J130" s="758"/>
      <c r="K130" s="758"/>
      <c r="L130" s="758"/>
      <c r="M130" s="320"/>
      <c r="N130" s="322"/>
      <c r="O130" s="320"/>
      <c r="P130" s="348">
        <f t="shared" si="19"/>
        <v>74</v>
      </c>
      <c r="Q130" s="349">
        <f t="shared" si="21"/>
        <v>48822</v>
      </c>
      <c r="R130" s="351">
        <f t="shared" si="16"/>
        <v>8423.1688603449547</v>
      </c>
      <c r="S130" s="351">
        <f t="shared" si="17"/>
        <v>19357.350130533254</v>
      </c>
      <c r="T130" s="351">
        <f t="shared" si="22"/>
        <v>27780.518990878209</v>
      </c>
      <c r="U130" s="351">
        <f t="shared" si="20"/>
        <v>4645764.0313279806</v>
      </c>
      <c r="V130" s="351">
        <f t="shared" si="18"/>
        <v>4637340.8624676354</v>
      </c>
      <c r="W130" s="758"/>
      <c r="X130" s="763"/>
    </row>
    <row r="131" spans="1:24" ht="16" thickBot="1">
      <c r="A131" s="762"/>
      <c r="B131" s="758"/>
      <c r="C131" s="758"/>
      <c r="D131" s="758"/>
      <c r="E131" s="758"/>
      <c r="F131" s="758"/>
      <c r="G131" s="758"/>
      <c r="H131" s="758"/>
      <c r="I131" s="758"/>
      <c r="J131" s="758"/>
      <c r="K131" s="758"/>
      <c r="L131" s="758"/>
      <c r="M131" s="320"/>
      <c r="N131" s="322"/>
      <c r="O131" s="320"/>
      <c r="P131" s="348">
        <f t="shared" si="19"/>
        <v>75</v>
      </c>
      <c r="Q131" s="349">
        <f t="shared" si="21"/>
        <v>48852</v>
      </c>
      <c r="R131" s="351">
        <f t="shared" si="16"/>
        <v>8458.2653972630596</v>
      </c>
      <c r="S131" s="351">
        <f t="shared" si="17"/>
        <v>19322.253593615147</v>
      </c>
      <c r="T131" s="351">
        <f t="shared" si="22"/>
        <v>27780.518990878205</v>
      </c>
      <c r="U131" s="351">
        <f t="shared" si="20"/>
        <v>4637340.8624676354</v>
      </c>
      <c r="V131" s="351">
        <f t="shared" si="18"/>
        <v>4628882.5970703727</v>
      </c>
      <c r="W131" s="758"/>
      <c r="X131" s="763"/>
    </row>
    <row r="132" spans="1:24" ht="16" thickBot="1">
      <c r="A132" s="762"/>
      <c r="B132" s="758"/>
      <c r="C132" s="758"/>
      <c r="D132" s="758"/>
      <c r="E132" s="758"/>
      <c r="F132" s="758"/>
      <c r="G132" s="758"/>
      <c r="H132" s="758"/>
      <c r="I132" s="758"/>
      <c r="J132" s="758"/>
      <c r="K132" s="758"/>
      <c r="L132" s="758"/>
      <c r="M132" s="320"/>
      <c r="N132" s="322"/>
      <c r="O132" s="320"/>
      <c r="P132" s="348">
        <f t="shared" si="19"/>
        <v>76</v>
      </c>
      <c r="Q132" s="349">
        <f t="shared" si="21"/>
        <v>48883</v>
      </c>
      <c r="R132" s="351">
        <f t="shared" si="16"/>
        <v>8493.5081697516543</v>
      </c>
      <c r="S132" s="351">
        <f t="shared" si="17"/>
        <v>19287.010821126554</v>
      </c>
      <c r="T132" s="351">
        <f t="shared" si="22"/>
        <v>27780.518990878209</v>
      </c>
      <c r="U132" s="351">
        <f t="shared" si="20"/>
        <v>4628882.5970703727</v>
      </c>
      <c r="V132" s="351">
        <f t="shared" si="18"/>
        <v>4620389.088900621</v>
      </c>
      <c r="W132" s="758"/>
      <c r="X132" s="763"/>
    </row>
    <row r="133" spans="1:24" ht="16" thickBot="1">
      <c r="A133" s="762"/>
      <c r="B133" s="758"/>
      <c r="C133" s="758"/>
      <c r="D133" s="758"/>
      <c r="E133" s="758"/>
      <c r="F133" s="758"/>
      <c r="G133" s="758"/>
      <c r="H133" s="758"/>
      <c r="I133" s="758"/>
      <c r="J133" s="758"/>
      <c r="K133" s="758"/>
      <c r="L133" s="758"/>
      <c r="M133" s="320"/>
      <c r="N133" s="322"/>
      <c r="O133" s="320"/>
      <c r="P133" s="348">
        <f t="shared" si="19"/>
        <v>77</v>
      </c>
      <c r="Q133" s="349">
        <f t="shared" si="21"/>
        <v>48913</v>
      </c>
      <c r="R133" s="351">
        <f t="shared" si="16"/>
        <v>8528.8977871256193</v>
      </c>
      <c r="S133" s="351">
        <f t="shared" si="17"/>
        <v>19251.621203752587</v>
      </c>
      <c r="T133" s="351">
        <f t="shared" si="22"/>
        <v>27780.518990878205</v>
      </c>
      <c r="U133" s="351">
        <f t="shared" si="20"/>
        <v>4620389.088900621</v>
      </c>
      <c r="V133" s="351">
        <f t="shared" si="18"/>
        <v>4611860.1911134953</v>
      </c>
      <c r="W133" s="758"/>
      <c r="X133" s="763"/>
    </row>
    <row r="134" spans="1:24" ht="16" thickBot="1">
      <c r="A134" s="762"/>
      <c r="B134" s="758"/>
      <c r="C134" s="758"/>
      <c r="D134" s="758"/>
      <c r="E134" s="758"/>
      <c r="F134" s="758"/>
      <c r="G134" s="758"/>
      <c r="H134" s="758"/>
      <c r="I134" s="758"/>
      <c r="J134" s="758"/>
      <c r="K134" s="758"/>
      <c r="L134" s="758"/>
      <c r="M134" s="320"/>
      <c r="N134" s="322"/>
      <c r="O134" s="320"/>
      <c r="P134" s="348">
        <f t="shared" si="19"/>
        <v>78</v>
      </c>
      <c r="Q134" s="349">
        <f t="shared" si="21"/>
        <v>48944</v>
      </c>
      <c r="R134" s="351">
        <f t="shared" si="16"/>
        <v>8564.4348612386439</v>
      </c>
      <c r="S134" s="351">
        <f t="shared" si="17"/>
        <v>19216.084129639563</v>
      </c>
      <c r="T134" s="351">
        <f t="shared" si="22"/>
        <v>27780.518990878205</v>
      </c>
      <c r="U134" s="351">
        <f t="shared" si="20"/>
        <v>4611860.1911134953</v>
      </c>
      <c r="V134" s="351">
        <f t="shared" si="18"/>
        <v>4603295.7562522562</v>
      </c>
      <c r="W134" s="758"/>
      <c r="X134" s="763"/>
    </row>
    <row r="135" spans="1:24" ht="16" thickBot="1">
      <c r="A135" s="762"/>
      <c r="B135" s="758"/>
      <c r="C135" s="758"/>
      <c r="D135" s="758"/>
      <c r="E135" s="758"/>
      <c r="F135" s="758"/>
      <c r="G135" s="758"/>
      <c r="H135" s="758"/>
      <c r="I135" s="758"/>
      <c r="J135" s="758"/>
      <c r="K135" s="758"/>
      <c r="L135" s="758"/>
      <c r="M135" s="320"/>
      <c r="N135" s="322"/>
      <c r="O135" s="320"/>
      <c r="P135" s="348">
        <f t="shared" si="19"/>
        <v>79</v>
      </c>
      <c r="Q135" s="349">
        <f t="shared" si="21"/>
        <v>48975</v>
      </c>
      <c r="R135" s="351">
        <f t="shared" si="16"/>
        <v>8600.1200064938057</v>
      </c>
      <c r="S135" s="351">
        <f t="shared" si="17"/>
        <v>19180.398984384399</v>
      </c>
      <c r="T135" s="351">
        <f t="shared" si="22"/>
        <v>27780.518990878205</v>
      </c>
      <c r="U135" s="351">
        <f t="shared" si="20"/>
        <v>4603295.7562522562</v>
      </c>
      <c r="V135" s="351">
        <f t="shared" si="18"/>
        <v>4594695.636245762</v>
      </c>
      <c r="W135" s="758"/>
      <c r="X135" s="763"/>
    </row>
    <row r="136" spans="1:24" ht="16" thickBot="1">
      <c r="A136" s="762"/>
      <c r="B136" s="758"/>
      <c r="C136" s="758"/>
      <c r="D136" s="758"/>
      <c r="E136" s="758"/>
      <c r="F136" s="758"/>
      <c r="G136" s="758"/>
      <c r="H136" s="758"/>
      <c r="I136" s="758"/>
      <c r="J136" s="758"/>
      <c r="K136" s="758"/>
      <c r="L136" s="758"/>
      <c r="M136" s="320"/>
      <c r="N136" s="322"/>
      <c r="O136" s="320"/>
      <c r="P136" s="348">
        <f t="shared" si="19"/>
        <v>80</v>
      </c>
      <c r="Q136" s="349">
        <f t="shared" si="21"/>
        <v>49003</v>
      </c>
      <c r="R136" s="351">
        <f t="shared" si="16"/>
        <v>8635.9538398541972</v>
      </c>
      <c r="S136" s="351">
        <f t="shared" si="17"/>
        <v>19144.56515102401</v>
      </c>
      <c r="T136" s="351">
        <f t="shared" si="22"/>
        <v>27780.518990878205</v>
      </c>
      <c r="U136" s="351">
        <f t="shared" si="20"/>
        <v>4594695.636245762</v>
      </c>
      <c r="V136" s="351">
        <f t="shared" si="18"/>
        <v>4586059.6824059077</v>
      </c>
      <c r="W136" s="758"/>
      <c r="X136" s="763"/>
    </row>
    <row r="137" spans="1:24" ht="16" thickBot="1">
      <c r="A137" s="762"/>
      <c r="B137" s="758"/>
      <c r="C137" s="758"/>
      <c r="D137" s="758"/>
      <c r="E137" s="758"/>
      <c r="F137" s="758"/>
      <c r="G137" s="758"/>
      <c r="H137" s="758"/>
      <c r="I137" s="758"/>
      <c r="J137" s="758"/>
      <c r="K137" s="758"/>
      <c r="L137" s="758"/>
      <c r="M137" s="320"/>
      <c r="N137" s="322"/>
      <c r="O137" s="320"/>
      <c r="P137" s="348">
        <f t="shared" si="19"/>
        <v>81</v>
      </c>
      <c r="Q137" s="349">
        <f t="shared" si="21"/>
        <v>49034</v>
      </c>
      <c r="R137" s="351">
        <f t="shared" si="16"/>
        <v>8671.9369808535885</v>
      </c>
      <c r="S137" s="351">
        <f t="shared" si="17"/>
        <v>19108.582010024616</v>
      </c>
      <c r="T137" s="351">
        <f t="shared" si="22"/>
        <v>27780.518990878205</v>
      </c>
      <c r="U137" s="351">
        <f t="shared" si="20"/>
        <v>4586059.6824059077</v>
      </c>
      <c r="V137" s="351">
        <f t="shared" si="18"/>
        <v>4577387.7454250539</v>
      </c>
      <c r="W137" s="758"/>
      <c r="X137" s="763"/>
    </row>
    <row r="138" spans="1:24" ht="16" thickBot="1">
      <c r="A138" s="762"/>
      <c r="B138" s="758"/>
      <c r="C138" s="758"/>
      <c r="D138" s="758"/>
      <c r="E138" s="758"/>
      <c r="F138" s="758"/>
      <c r="G138" s="758"/>
      <c r="H138" s="758"/>
      <c r="I138" s="758"/>
      <c r="J138" s="758"/>
      <c r="K138" s="758"/>
      <c r="L138" s="758"/>
      <c r="M138" s="320"/>
      <c r="N138" s="322"/>
      <c r="O138" s="320"/>
      <c r="P138" s="348">
        <f t="shared" si="19"/>
        <v>82</v>
      </c>
      <c r="Q138" s="349">
        <f t="shared" si="21"/>
        <v>49064</v>
      </c>
      <c r="R138" s="351">
        <f t="shared" si="16"/>
        <v>8708.0700516071447</v>
      </c>
      <c r="S138" s="351">
        <f t="shared" si="17"/>
        <v>19072.448939271057</v>
      </c>
      <c r="T138" s="351">
        <f t="shared" si="22"/>
        <v>27780.518990878201</v>
      </c>
      <c r="U138" s="351">
        <f t="shared" si="20"/>
        <v>4577387.7454250539</v>
      </c>
      <c r="V138" s="351">
        <f t="shared" si="18"/>
        <v>4568679.6753734471</v>
      </c>
      <c r="W138" s="758"/>
      <c r="X138" s="763"/>
    </row>
    <row r="139" spans="1:24" ht="16" thickBot="1">
      <c r="A139" s="762"/>
      <c r="B139" s="758"/>
      <c r="C139" s="758"/>
      <c r="D139" s="758"/>
      <c r="E139" s="758"/>
      <c r="F139" s="758"/>
      <c r="G139" s="758"/>
      <c r="H139" s="758"/>
      <c r="I139" s="758"/>
      <c r="J139" s="758"/>
      <c r="K139" s="758"/>
      <c r="L139" s="758"/>
      <c r="M139" s="320"/>
      <c r="N139" s="322"/>
      <c r="O139" s="320"/>
      <c r="P139" s="348">
        <f t="shared" si="19"/>
        <v>83</v>
      </c>
      <c r="Q139" s="349">
        <f t="shared" si="21"/>
        <v>49095</v>
      </c>
      <c r="R139" s="351">
        <f t="shared" si="16"/>
        <v>8744.3536768221747</v>
      </c>
      <c r="S139" s="351">
        <f t="shared" si="17"/>
        <v>19036.16531405603</v>
      </c>
      <c r="T139" s="351">
        <f t="shared" si="22"/>
        <v>27780.518990878205</v>
      </c>
      <c r="U139" s="351">
        <f t="shared" si="20"/>
        <v>4568679.6753734471</v>
      </c>
      <c r="V139" s="351">
        <f t="shared" si="18"/>
        <v>4559935.3216966251</v>
      </c>
      <c r="W139" s="758"/>
      <c r="X139" s="763"/>
    </row>
    <row r="140" spans="1:24" ht="16" thickBot="1">
      <c r="A140" s="762"/>
      <c r="B140" s="758"/>
      <c r="C140" s="758"/>
      <c r="D140" s="758"/>
      <c r="E140" s="758"/>
      <c r="F140" s="758"/>
      <c r="G140" s="758"/>
      <c r="H140" s="758"/>
      <c r="I140" s="758"/>
      <c r="J140" s="758"/>
      <c r="K140" s="758"/>
      <c r="L140" s="758"/>
      <c r="M140" s="320"/>
      <c r="N140" s="322"/>
      <c r="O140" s="320"/>
      <c r="P140" s="348">
        <f t="shared" si="19"/>
        <v>84</v>
      </c>
      <c r="Q140" s="349">
        <f t="shared" si="21"/>
        <v>49125</v>
      </c>
      <c r="R140" s="351">
        <f t="shared" si="16"/>
        <v>8780.788483808934</v>
      </c>
      <c r="S140" s="351">
        <f t="shared" si="17"/>
        <v>18999.730507069271</v>
      </c>
      <c r="T140" s="351">
        <f t="shared" si="22"/>
        <v>27780.518990878205</v>
      </c>
      <c r="U140" s="351">
        <f t="shared" si="20"/>
        <v>4559935.3216966251</v>
      </c>
      <c r="V140" s="351">
        <f t="shared" si="18"/>
        <v>4551154.5332128163</v>
      </c>
      <c r="W140" s="758"/>
      <c r="X140" s="763"/>
    </row>
    <row r="141" spans="1:24" ht="16" thickBot="1">
      <c r="A141" s="762"/>
      <c r="B141" s="758"/>
      <c r="C141" s="758"/>
      <c r="D141" s="758"/>
      <c r="E141" s="758"/>
      <c r="F141" s="758"/>
      <c r="G141" s="758"/>
      <c r="H141" s="758"/>
      <c r="I141" s="758"/>
      <c r="J141" s="758"/>
      <c r="K141" s="758"/>
      <c r="L141" s="758"/>
      <c r="M141" s="320"/>
      <c r="N141" s="322"/>
      <c r="O141" s="320"/>
      <c r="P141" s="348">
        <f t="shared" si="19"/>
        <v>85</v>
      </c>
      <c r="Q141" s="349">
        <f t="shared" si="21"/>
        <v>49156</v>
      </c>
      <c r="R141" s="351">
        <f t="shared" si="16"/>
        <v>8817.3751024914691</v>
      </c>
      <c r="S141" s="351">
        <f t="shared" si="17"/>
        <v>18963.143888386734</v>
      </c>
      <c r="T141" s="351">
        <f t="shared" si="22"/>
        <v>27780.518990878205</v>
      </c>
      <c r="U141" s="351">
        <f t="shared" si="20"/>
        <v>4551154.5332128163</v>
      </c>
      <c r="V141" s="351">
        <f t="shared" si="18"/>
        <v>4542337.1581103252</v>
      </c>
      <c r="W141" s="758"/>
      <c r="X141" s="763"/>
    </row>
    <row r="142" spans="1:24" ht="16" thickBot="1">
      <c r="A142" s="762"/>
      <c r="B142" s="758"/>
      <c r="C142" s="758"/>
      <c r="D142" s="758"/>
      <c r="E142" s="758"/>
      <c r="F142" s="758"/>
      <c r="G142" s="758"/>
      <c r="H142" s="758"/>
      <c r="I142" s="758"/>
      <c r="J142" s="758"/>
      <c r="K142" s="758"/>
      <c r="L142" s="758"/>
      <c r="M142" s="320"/>
      <c r="N142" s="322"/>
      <c r="O142" s="320"/>
      <c r="P142" s="348">
        <f t="shared" si="19"/>
        <v>86</v>
      </c>
      <c r="Q142" s="349">
        <f t="shared" si="21"/>
        <v>49187</v>
      </c>
      <c r="R142" s="351">
        <f t="shared" si="16"/>
        <v>8854.1141654185194</v>
      </c>
      <c r="S142" s="351">
        <f t="shared" si="17"/>
        <v>18926.404825459689</v>
      </c>
      <c r="T142" s="351">
        <f t="shared" si="22"/>
        <v>27780.518990878209</v>
      </c>
      <c r="U142" s="351">
        <f t="shared" si="20"/>
        <v>4542337.1581103252</v>
      </c>
      <c r="V142" s="351">
        <f t="shared" si="18"/>
        <v>4533483.0439449064</v>
      </c>
      <c r="W142" s="758"/>
      <c r="X142" s="763"/>
    </row>
    <row r="143" spans="1:24" ht="16" thickBot="1">
      <c r="A143" s="762"/>
      <c r="B143" s="758"/>
      <c r="C143" s="758"/>
      <c r="D143" s="758"/>
      <c r="E143" s="758"/>
      <c r="F143" s="758"/>
      <c r="G143" s="758"/>
      <c r="H143" s="758"/>
      <c r="I143" s="758"/>
      <c r="J143" s="758"/>
      <c r="K143" s="758"/>
      <c r="L143" s="758"/>
      <c r="M143" s="320"/>
      <c r="N143" s="322"/>
      <c r="O143" s="320"/>
      <c r="P143" s="348">
        <f t="shared" si="19"/>
        <v>87</v>
      </c>
      <c r="Q143" s="349">
        <f t="shared" si="21"/>
        <v>49217</v>
      </c>
      <c r="R143" s="351">
        <f t="shared" si="16"/>
        <v>8891.0063077744289</v>
      </c>
      <c r="S143" s="351">
        <f t="shared" si="17"/>
        <v>18889.512683103778</v>
      </c>
      <c r="T143" s="351">
        <f t="shared" si="22"/>
        <v>27780.518990878205</v>
      </c>
      <c r="U143" s="351">
        <f t="shared" si="20"/>
        <v>4533483.0439449064</v>
      </c>
      <c r="V143" s="351">
        <f t="shared" si="18"/>
        <v>4524592.0376371322</v>
      </c>
      <c r="W143" s="758"/>
      <c r="X143" s="763"/>
    </row>
    <row r="144" spans="1:24" ht="16" thickBot="1">
      <c r="A144" s="762"/>
      <c r="B144" s="758"/>
      <c r="C144" s="758"/>
      <c r="D144" s="758"/>
      <c r="E144" s="758"/>
      <c r="F144" s="758"/>
      <c r="G144" s="758"/>
      <c r="H144" s="758"/>
      <c r="I144" s="758"/>
      <c r="J144" s="758"/>
      <c r="K144" s="758"/>
      <c r="L144" s="758"/>
      <c r="M144" s="320"/>
      <c r="N144" s="322"/>
      <c r="O144" s="320"/>
      <c r="P144" s="348">
        <f t="shared" si="19"/>
        <v>88</v>
      </c>
      <c r="Q144" s="349">
        <f t="shared" si="21"/>
        <v>49248</v>
      </c>
      <c r="R144" s="351">
        <f t="shared" si="16"/>
        <v>8928.0521673901549</v>
      </c>
      <c r="S144" s="351">
        <f t="shared" si="17"/>
        <v>18852.466823488052</v>
      </c>
      <c r="T144" s="351">
        <f t="shared" si="22"/>
        <v>27780.518990878205</v>
      </c>
      <c r="U144" s="351">
        <f t="shared" si="20"/>
        <v>4524592.0376371322</v>
      </c>
      <c r="V144" s="351">
        <f t="shared" si="18"/>
        <v>4515663.9854697417</v>
      </c>
      <c r="W144" s="758"/>
      <c r="X144" s="763"/>
    </row>
    <row r="145" spans="1:24" ht="16" thickBot="1">
      <c r="A145" s="762"/>
      <c r="B145" s="758"/>
      <c r="C145" s="758"/>
      <c r="D145" s="758"/>
      <c r="E145" s="758"/>
      <c r="F145" s="758"/>
      <c r="G145" s="758"/>
      <c r="H145" s="758"/>
      <c r="I145" s="758"/>
      <c r="J145" s="758"/>
      <c r="K145" s="758"/>
      <c r="L145" s="758"/>
      <c r="M145" s="320"/>
      <c r="N145" s="322"/>
      <c r="O145" s="320"/>
      <c r="P145" s="348">
        <f t="shared" si="19"/>
        <v>89</v>
      </c>
      <c r="Q145" s="349">
        <f t="shared" si="21"/>
        <v>49278</v>
      </c>
      <c r="R145" s="351">
        <f t="shared" si="16"/>
        <v>8965.2523847542798</v>
      </c>
      <c r="S145" s="351">
        <f t="shared" si="17"/>
        <v>18815.266606123925</v>
      </c>
      <c r="T145" s="351">
        <f t="shared" si="22"/>
        <v>27780.518990878205</v>
      </c>
      <c r="U145" s="351">
        <f t="shared" si="20"/>
        <v>4515663.9854697417</v>
      </c>
      <c r="V145" s="351">
        <f t="shared" si="18"/>
        <v>4506698.7330849878</v>
      </c>
      <c r="W145" s="758"/>
      <c r="X145" s="763"/>
    </row>
    <row r="146" spans="1:24" ht="16" thickBot="1">
      <c r="A146" s="762"/>
      <c r="B146" s="758"/>
      <c r="C146" s="758"/>
      <c r="D146" s="758"/>
      <c r="E146" s="758"/>
      <c r="F146" s="758"/>
      <c r="G146" s="758"/>
      <c r="H146" s="758"/>
      <c r="I146" s="758"/>
      <c r="J146" s="758"/>
      <c r="K146" s="758"/>
      <c r="L146" s="758"/>
      <c r="M146" s="320"/>
      <c r="N146" s="322"/>
      <c r="O146" s="320"/>
      <c r="P146" s="348">
        <f t="shared" si="19"/>
        <v>90</v>
      </c>
      <c r="Q146" s="349">
        <f t="shared" si="21"/>
        <v>49309</v>
      </c>
      <c r="R146" s="351">
        <f t="shared" si="16"/>
        <v>9002.6076030240911</v>
      </c>
      <c r="S146" s="351">
        <f t="shared" si="17"/>
        <v>18777.911387854117</v>
      </c>
      <c r="T146" s="351">
        <f t="shared" si="22"/>
        <v>27780.518990878209</v>
      </c>
      <c r="U146" s="351">
        <f t="shared" si="20"/>
        <v>4506698.7330849878</v>
      </c>
      <c r="V146" s="351">
        <f t="shared" si="18"/>
        <v>4497696.1254819641</v>
      </c>
      <c r="W146" s="758"/>
      <c r="X146" s="763"/>
    </row>
    <row r="147" spans="1:24" ht="16" thickBot="1">
      <c r="A147" s="762"/>
      <c r="B147" s="758"/>
      <c r="C147" s="758"/>
      <c r="D147" s="758"/>
      <c r="E147" s="758"/>
      <c r="F147" s="758"/>
      <c r="G147" s="758"/>
      <c r="H147" s="758"/>
      <c r="I147" s="758"/>
      <c r="J147" s="758"/>
      <c r="K147" s="758"/>
      <c r="L147" s="758"/>
      <c r="M147" s="320"/>
      <c r="N147" s="322"/>
      <c r="O147" s="320"/>
      <c r="P147" s="348">
        <f t="shared" si="19"/>
        <v>91</v>
      </c>
      <c r="Q147" s="349">
        <f t="shared" si="21"/>
        <v>49340</v>
      </c>
      <c r="R147" s="351">
        <f t="shared" si="16"/>
        <v>9040.1184680366896</v>
      </c>
      <c r="S147" s="351">
        <f t="shared" si="17"/>
        <v>18740.400522841515</v>
      </c>
      <c r="T147" s="351">
        <f t="shared" si="22"/>
        <v>27780.518990878205</v>
      </c>
      <c r="U147" s="351">
        <f t="shared" si="20"/>
        <v>4497696.1254819641</v>
      </c>
      <c r="V147" s="351">
        <f t="shared" si="18"/>
        <v>4488656.0070139272</v>
      </c>
      <c r="W147" s="758"/>
      <c r="X147" s="763"/>
    </row>
    <row r="148" spans="1:24" ht="16" thickBot="1">
      <c r="A148" s="762"/>
      <c r="B148" s="758"/>
      <c r="C148" s="758"/>
      <c r="D148" s="758"/>
      <c r="E148" s="758"/>
      <c r="F148" s="758"/>
      <c r="G148" s="758"/>
      <c r="H148" s="758"/>
      <c r="I148" s="758"/>
      <c r="J148" s="758"/>
      <c r="K148" s="758"/>
      <c r="L148" s="758"/>
      <c r="M148" s="320"/>
      <c r="N148" s="322"/>
      <c r="O148" s="320"/>
      <c r="P148" s="348">
        <f t="shared" si="19"/>
        <v>92</v>
      </c>
      <c r="Q148" s="349">
        <f t="shared" si="21"/>
        <v>49368</v>
      </c>
      <c r="R148" s="351">
        <f t="shared" si="16"/>
        <v>9077.7856283201781</v>
      </c>
      <c r="S148" s="351">
        <f t="shared" si="17"/>
        <v>18702.733362558029</v>
      </c>
      <c r="T148" s="351">
        <f t="shared" si="22"/>
        <v>27780.518990878205</v>
      </c>
      <c r="U148" s="351">
        <f t="shared" si="20"/>
        <v>4488656.0070139272</v>
      </c>
      <c r="V148" s="351">
        <f t="shared" si="18"/>
        <v>4479578.2213856075</v>
      </c>
      <c r="W148" s="758"/>
      <c r="X148" s="763"/>
    </row>
    <row r="149" spans="1:24" ht="16" thickBot="1">
      <c r="A149" s="762"/>
      <c r="B149" s="758"/>
      <c r="C149" s="758"/>
      <c r="D149" s="758"/>
      <c r="E149" s="758"/>
      <c r="F149" s="758"/>
      <c r="G149" s="758"/>
      <c r="H149" s="758"/>
      <c r="I149" s="758"/>
      <c r="J149" s="758"/>
      <c r="K149" s="758"/>
      <c r="L149" s="758"/>
      <c r="M149" s="320"/>
      <c r="N149" s="322"/>
      <c r="O149" s="320"/>
      <c r="P149" s="348">
        <f t="shared" si="19"/>
        <v>93</v>
      </c>
      <c r="Q149" s="349">
        <f t="shared" si="21"/>
        <v>49399</v>
      </c>
      <c r="R149" s="351">
        <f t="shared" si="16"/>
        <v>9115.6097351048447</v>
      </c>
      <c r="S149" s="351">
        <f t="shared" si="17"/>
        <v>18664.909255773364</v>
      </c>
      <c r="T149" s="351">
        <f t="shared" si="22"/>
        <v>27780.518990878209</v>
      </c>
      <c r="U149" s="351">
        <f t="shared" si="20"/>
        <v>4479578.2213856075</v>
      </c>
      <c r="V149" s="351">
        <f t="shared" si="18"/>
        <v>4470462.6116505023</v>
      </c>
      <c r="W149" s="758"/>
      <c r="X149" s="763"/>
    </row>
    <row r="150" spans="1:24" ht="16" thickBot="1">
      <c r="A150" s="762"/>
      <c r="B150" s="758"/>
      <c r="C150" s="758"/>
      <c r="D150" s="758"/>
      <c r="E150" s="758"/>
      <c r="F150" s="758"/>
      <c r="G150" s="758"/>
      <c r="H150" s="758"/>
      <c r="I150" s="758"/>
      <c r="J150" s="758"/>
      <c r="K150" s="758"/>
      <c r="L150" s="758"/>
      <c r="M150" s="320"/>
      <c r="N150" s="322"/>
      <c r="O150" s="320"/>
      <c r="P150" s="348">
        <f t="shared" si="19"/>
        <v>94</v>
      </c>
      <c r="Q150" s="349">
        <f t="shared" si="21"/>
        <v>49429</v>
      </c>
      <c r="R150" s="351">
        <f t="shared" si="16"/>
        <v>9153.5914423344475</v>
      </c>
      <c r="S150" s="351">
        <f t="shared" si="17"/>
        <v>18626.927548543761</v>
      </c>
      <c r="T150" s="351">
        <f t="shared" si="22"/>
        <v>27780.518990878209</v>
      </c>
      <c r="U150" s="351">
        <f t="shared" si="20"/>
        <v>4470462.6116505023</v>
      </c>
      <c r="V150" s="351">
        <f t="shared" si="18"/>
        <v>4461309.0202081678</v>
      </c>
      <c r="W150" s="758"/>
      <c r="X150" s="763"/>
    </row>
    <row r="151" spans="1:24" ht="16" thickBot="1">
      <c r="A151" s="762"/>
      <c r="B151" s="758"/>
      <c r="C151" s="758"/>
      <c r="D151" s="758"/>
      <c r="E151" s="758"/>
      <c r="F151" s="758"/>
      <c r="G151" s="758"/>
      <c r="H151" s="758"/>
      <c r="I151" s="758"/>
      <c r="J151" s="758"/>
      <c r="K151" s="758"/>
      <c r="L151" s="758"/>
      <c r="M151" s="320"/>
      <c r="N151" s="322"/>
      <c r="O151" s="320"/>
      <c r="P151" s="348">
        <f t="shared" si="19"/>
        <v>95</v>
      </c>
      <c r="Q151" s="349">
        <f t="shared" si="21"/>
        <v>49460</v>
      </c>
      <c r="R151" s="351">
        <f t="shared" si="16"/>
        <v>9191.7314066775107</v>
      </c>
      <c r="S151" s="351">
        <f t="shared" si="17"/>
        <v>18588.787584200698</v>
      </c>
      <c r="T151" s="351">
        <f t="shared" si="22"/>
        <v>27780.518990878209</v>
      </c>
      <c r="U151" s="351">
        <f t="shared" si="20"/>
        <v>4461309.0202081678</v>
      </c>
      <c r="V151" s="351">
        <f t="shared" si="18"/>
        <v>4452117.2888014903</v>
      </c>
      <c r="W151" s="758"/>
      <c r="X151" s="763"/>
    </row>
    <row r="152" spans="1:24" ht="16" thickBot="1">
      <c r="A152" s="762"/>
      <c r="B152" s="758"/>
      <c r="C152" s="758"/>
      <c r="D152" s="758"/>
      <c r="E152" s="758"/>
      <c r="F152" s="758"/>
      <c r="G152" s="758"/>
      <c r="H152" s="758"/>
      <c r="I152" s="758"/>
      <c r="J152" s="758"/>
      <c r="K152" s="758"/>
      <c r="L152" s="758"/>
      <c r="M152" s="320"/>
      <c r="N152" s="322"/>
      <c r="O152" s="320"/>
      <c r="P152" s="348">
        <f t="shared" si="19"/>
        <v>96</v>
      </c>
      <c r="Q152" s="349">
        <f t="shared" si="21"/>
        <v>49490</v>
      </c>
      <c r="R152" s="351">
        <f t="shared" si="16"/>
        <v>9230.0302875386624</v>
      </c>
      <c r="S152" s="351">
        <f t="shared" si="17"/>
        <v>18550.488703339543</v>
      </c>
      <c r="T152" s="351">
        <f t="shared" si="22"/>
        <v>27780.518990878205</v>
      </c>
      <c r="U152" s="351">
        <f t="shared" si="20"/>
        <v>4452117.2888014903</v>
      </c>
      <c r="V152" s="351">
        <f t="shared" si="18"/>
        <v>4442887.2585139517</v>
      </c>
      <c r="W152" s="758"/>
      <c r="X152" s="763"/>
    </row>
    <row r="153" spans="1:24" ht="16" thickBot="1">
      <c r="A153" s="762"/>
      <c r="B153" s="758"/>
      <c r="C153" s="758"/>
      <c r="D153" s="758"/>
      <c r="E153" s="758"/>
      <c r="F153" s="758"/>
      <c r="G153" s="758"/>
      <c r="H153" s="758"/>
      <c r="I153" s="758"/>
      <c r="J153" s="758"/>
      <c r="K153" s="758"/>
      <c r="L153" s="758"/>
      <c r="M153" s="320"/>
      <c r="N153" s="322"/>
      <c r="O153" s="320"/>
      <c r="P153" s="348">
        <f t="shared" si="19"/>
        <v>97</v>
      </c>
      <c r="Q153" s="349">
        <f t="shared" si="21"/>
        <v>49521</v>
      </c>
      <c r="R153" s="351">
        <f t="shared" si="16"/>
        <v>9268.488747070076</v>
      </c>
      <c r="S153" s="351">
        <f t="shared" si="17"/>
        <v>18512.030243808131</v>
      </c>
      <c r="T153" s="351">
        <f t="shared" si="22"/>
        <v>27780.518990878205</v>
      </c>
      <c r="U153" s="351">
        <f t="shared" si="20"/>
        <v>4442887.2585139517</v>
      </c>
      <c r="V153" s="351">
        <f t="shared" si="18"/>
        <v>4433618.7697668821</v>
      </c>
      <c r="W153" s="758"/>
      <c r="X153" s="763"/>
    </row>
    <row r="154" spans="1:24" ht="16" thickBot="1">
      <c r="A154" s="762"/>
      <c r="B154" s="758"/>
      <c r="C154" s="758"/>
      <c r="D154" s="758"/>
      <c r="E154" s="758"/>
      <c r="F154" s="758"/>
      <c r="G154" s="758"/>
      <c r="H154" s="758"/>
      <c r="I154" s="758"/>
      <c r="J154" s="758"/>
      <c r="K154" s="758"/>
      <c r="L154" s="758"/>
      <c r="M154" s="320"/>
      <c r="N154" s="322"/>
      <c r="O154" s="320"/>
      <c r="P154" s="348">
        <f t="shared" si="19"/>
        <v>98</v>
      </c>
      <c r="Q154" s="349">
        <f t="shared" si="21"/>
        <v>49552</v>
      </c>
      <c r="R154" s="351">
        <f t="shared" si="16"/>
        <v>9307.107450182868</v>
      </c>
      <c r="S154" s="351">
        <f t="shared" si="17"/>
        <v>18473.411540695342</v>
      </c>
      <c r="T154" s="351">
        <f t="shared" si="22"/>
        <v>27780.518990878212</v>
      </c>
      <c r="U154" s="351">
        <f t="shared" si="20"/>
        <v>4433618.7697668821</v>
      </c>
      <c r="V154" s="351">
        <f t="shared" si="18"/>
        <v>4424311.6623166995</v>
      </c>
      <c r="W154" s="758"/>
      <c r="X154" s="763"/>
    </row>
    <row r="155" spans="1:24" ht="16" thickBot="1">
      <c r="A155" s="762"/>
      <c r="B155" s="758"/>
      <c r="C155" s="758"/>
      <c r="D155" s="758"/>
      <c r="E155" s="758"/>
      <c r="F155" s="758"/>
      <c r="G155" s="758"/>
      <c r="H155" s="758"/>
      <c r="I155" s="758"/>
      <c r="J155" s="758"/>
      <c r="K155" s="758"/>
      <c r="L155" s="758"/>
      <c r="M155" s="320"/>
      <c r="N155" s="322"/>
      <c r="O155" s="320"/>
      <c r="P155" s="348">
        <f t="shared" si="19"/>
        <v>99</v>
      </c>
      <c r="Q155" s="349">
        <f t="shared" si="21"/>
        <v>49582</v>
      </c>
      <c r="R155" s="351">
        <f t="shared" si="16"/>
        <v>9345.8870645586303</v>
      </c>
      <c r="S155" s="351">
        <f t="shared" si="17"/>
        <v>18434.63192631958</v>
      </c>
      <c r="T155" s="351">
        <f t="shared" si="22"/>
        <v>27780.518990878212</v>
      </c>
      <c r="U155" s="351">
        <f t="shared" si="20"/>
        <v>4424311.6623166995</v>
      </c>
      <c r="V155" s="351">
        <f t="shared" si="18"/>
        <v>4414965.7752521411</v>
      </c>
      <c r="W155" s="758"/>
      <c r="X155" s="763"/>
    </row>
    <row r="156" spans="1:24" ht="16" thickBot="1">
      <c r="A156" s="762"/>
      <c r="B156" s="758"/>
      <c r="C156" s="758"/>
      <c r="D156" s="758"/>
      <c r="E156" s="758"/>
      <c r="F156" s="758"/>
      <c r="G156" s="758"/>
      <c r="H156" s="758"/>
      <c r="I156" s="758"/>
      <c r="J156" s="758"/>
      <c r="K156" s="758"/>
      <c r="L156" s="758"/>
      <c r="M156" s="320"/>
      <c r="N156" s="322"/>
      <c r="O156" s="320"/>
      <c r="P156" s="348">
        <f t="shared" si="19"/>
        <v>100</v>
      </c>
      <c r="Q156" s="349">
        <f t="shared" si="21"/>
        <v>49613</v>
      </c>
      <c r="R156" s="351">
        <f t="shared" si="16"/>
        <v>9384.8282606609573</v>
      </c>
      <c r="S156" s="351">
        <f t="shared" si="17"/>
        <v>18395.690730217255</v>
      </c>
      <c r="T156" s="351">
        <f t="shared" si="22"/>
        <v>27780.518990878212</v>
      </c>
      <c r="U156" s="351">
        <f t="shared" si="20"/>
        <v>4414965.7752521411</v>
      </c>
      <c r="V156" s="351">
        <f t="shared" si="18"/>
        <v>4405580.94699148</v>
      </c>
      <c r="W156" s="758"/>
      <c r="X156" s="763"/>
    </row>
    <row r="157" spans="1:24" ht="16" thickBot="1">
      <c r="A157" s="762"/>
      <c r="B157" s="758"/>
      <c r="C157" s="758"/>
      <c r="D157" s="758"/>
      <c r="E157" s="758"/>
      <c r="F157" s="758"/>
      <c r="G157" s="758"/>
      <c r="H157" s="758"/>
      <c r="I157" s="758"/>
      <c r="J157" s="758"/>
      <c r="K157" s="758"/>
      <c r="L157" s="758"/>
      <c r="M157" s="320"/>
      <c r="N157" s="322"/>
      <c r="O157" s="320"/>
      <c r="P157" s="348">
        <f t="shared" si="19"/>
        <v>101</v>
      </c>
      <c r="Q157" s="349">
        <f t="shared" si="21"/>
        <v>49643</v>
      </c>
      <c r="R157" s="351">
        <f t="shared" si="16"/>
        <v>9423.9317117470455</v>
      </c>
      <c r="S157" s="351">
        <f t="shared" si="17"/>
        <v>18356.587279131167</v>
      </c>
      <c r="T157" s="351">
        <f t="shared" si="22"/>
        <v>27780.518990878212</v>
      </c>
      <c r="U157" s="351">
        <f t="shared" si="20"/>
        <v>4405580.94699148</v>
      </c>
      <c r="V157" s="351">
        <f t="shared" si="18"/>
        <v>4396157.0152797326</v>
      </c>
      <c r="W157" s="758"/>
      <c r="X157" s="763"/>
    </row>
    <row r="158" spans="1:24" ht="16" thickBot="1">
      <c r="A158" s="762"/>
      <c r="B158" s="758"/>
      <c r="C158" s="758"/>
      <c r="D158" s="758"/>
      <c r="E158" s="758"/>
      <c r="F158" s="758"/>
      <c r="G158" s="758"/>
      <c r="H158" s="758"/>
      <c r="I158" s="758"/>
      <c r="J158" s="758"/>
      <c r="K158" s="758"/>
      <c r="L158" s="758"/>
      <c r="M158" s="320"/>
      <c r="N158" s="322"/>
      <c r="O158" s="320"/>
      <c r="P158" s="348">
        <f t="shared" si="19"/>
        <v>102</v>
      </c>
      <c r="Q158" s="349">
        <f t="shared" si="21"/>
        <v>49674</v>
      </c>
      <c r="R158" s="351">
        <f t="shared" si="16"/>
        <v>9463.198093879324</v>
      </c>
      <c r="S158" s="351">
        <f t="shared" si="17"/>
        <v>18317.320896998885</v>
      </c>
      <c r="T158" s="351">
        <f t="shared" si="22"/>
        <v>27780.518990878209</v>
      </c>
      <c r="U158" s="351">
        <f t="shared" si="20"/>
        <v>4396157.0152797326</v>
      </c>
      <c r="V158" s="351">
        <f t="shared" si="18"/>
        <v>4386693.8171858536</v>
      </c>
      <c r="W158" s="758"/>
      <c r="X158" s="763"/>
    </row>
    <row r="159" spans="1:24" ht="16" thickBot="1">
      <c r="A159" s="762"/>
      <c r="B159" s="758"/>
      <c r="C159" s="758"/>
      <c r="D159" s="758"/>
      <c r="E159" s="758"/>
      <c r="F159" s="758"/>
      <c r="G159" s="758"/>
      <c r="H159" s="758"/>
      <c r="I159" s="758"/>
      <c r="J159" s="758"/>
      <c r="K159" s="758"/>
      <c r="L159" s="758"/>
      <c r="M159" s="320"/>
      <c r="N159" s="322"/>
      <c r="O159" s="320"/>
      <c r="P159" s="348">
        <f t="shared" si="19"/>
        <v>103</v>
      </c>
      <c r="Q159" s="349">
        <f t="shared" si="21"/>
        <v>49705</v>
      </c>
      <c r="R159" s="351">
        <f t="shared" si="16"/>
        <v>9502.6280859371545</v>
      </c>
      <c r="S159" s="351">
        <f t="shared" si="17"/>
        <v>18277.890904941058</v>
      </c>
      <c r="T159" s="351">
        <f t="shared" si="22"/>
        <v>27780.518990878212</v>
      </c>
      <c r="U159" s="351">
        <f t="shared" si="20"/>
        <v>4386693.8171858536</v>
      </c>
      <c r="V159" s="351">
        <f t="shared" si="18"/>
        <v>4377191.1890999163</v>
      </c>
      <c r="W159" s="758"/>
      <c r="X159" s="763"/>
    </row>
    <row r="160" spans="1:24" ht="16" thickBot="1">
      <c r="A160" s="762"/>
      <c r="B160" s="758"/>
      <c r="C160" s="758"/>
      <c r="D160" s="758"/>
      <c r="E160" s="758"/>
      <c r="F160" s="758"/>
      <c r="G160" s="758"/>
      <c r="H160" s="758"/>
      <c r="I160" s="758"/>
      <c r="J160" s="758"/>
      <c r="K160" s="758"/>
      <c r="L160" s="758"/>
      <c r="M160" s="320"/>
      <c r="N160" s="322"/>
      <c r="O160" s="320"/>
      <c r="P160" s="348">
        <f t="shared" si="19"/>
        <v>104</v>
      </c>
      <c r="Q160" s="349">
        <f t="shared" si="21"/>
        <v>49734</v>
      </c>
      <c r="R160" s="351">
        <f t="shared" si="16"/>
        <v>9542.2223696285582</v>
      </c>
      <c r="S160" s="351">
        <f t="shared" si="17"/>
        <v>18238.29662124965</v>
      </c>
      <c r="T160" s="351">
        <f t="shared" si="22"/>
        <v>27780.518990878209</v>
      </c>
      <c r="U160" s="351">
        <f t="shared" si="20"/>
        <v>4377191.1890999163</v>
      </c>
      <c r="V160" s="351">
        <f t="shared" si="18"/>
        <v>4367648.9667302873</v>
      </c>
      <c r="W160" s="758"/>
      <c r="X160" s="763"/>
    </row>
    <row r="161" spans="1:24" ht="16" thickBot="1">
      <c r="A161" s="762"/>
      <c r="B161" s="758"/>
      <c r="C161" s="758"/>
      <c r="D161" s="758"/>
      <c r="E161" s="758"/>
      <c r="F161" s="758"/>
      <c r="G161" s="758"/>
      <c r="H161" s="758"/>
      <c r="I161" s="758"/>
      <c r="J161" s="758"/>
      <c r="K161" s="758"/>
      <c r="L161" s="758"/>
      <c r="M161" s="320"/>
      <c r="N161" s="322"/>
      <c r="O161" s="320"/>
      <c r="P161" s="348">
        <f t="shared" si="19"/>
        <v>105</v>
      </c>
      <c r="Q161" s="349">
        <f t="shared" si="21"/>
        <v>49765</v>
      </c>
      <c r="R161" s="351">
        <f t="shared" si="16"/>
        <v>9581.98162950201</v>
      </c>
      <c r="S161" s="351">
        <f t="shared" si="17"/>
        <v>18198.537361376199</v>
      </c>
      <c r="T161" s="351">
        <f t="shared" si="22"/>
        <v>27780.518990878209</v>
      </c>
      <c r="U161" s="351">
        <f t="shared" si="20"/>
        <v>4367648.9667302873</v>
      </c>
      <c r="V161" s="351">
        <f t="shared" si="18"/>
        <v>4358066.9851007853</v>
      </c>
      <c r="W161" s="758"/>
      <c r="X161" s="763"/>
    </row>
    <row r="162" spans="1:24" ht="16" thickBot="1">
      <c r="A162" s="762"/>
      <c r="B162" s="758"/>
      <c r="C162" s="758"/>
      <c r="D162" s="758"/>
      <c r="E162" s="758"/>
      <c r="F162" s="758"/>
      <c r="G162" s="758"/>
      <c r="H162" s="758"/>
      <c r="I162" s="758"/>
      <c r="J162" s="758"/>
      <c r="K162" s="758"/>
      <c r="L162" s="758"/>
      <c r="M162" s="320"/>
      <c r="N162" s="322"/>
      <c r="O162" s="320"/>
      <c r="P162" s="348">
        <f t="shared" si="19"/>
        <v>106</v>
      </c>
      <c r="Q162" s="349">
        <f t="shared" si="21"/>
        <v>49795</v>
      </c>
      <c r="R162" s="351">
        <f t="shared" si="16"/>
        <v>9621.9065529582713</v>
      </c>
      <c r="S162" s="351">
        <f t="shared" si="17"/>
        <v>18158.612437919939</v>
      </c>
      <c r="T162" s="351">
        <f t="shared" si="22"/>
        <v>27780.518990878212</v>
      </c>
      <c r="U162" s="351">
        <f t="shared" si="20"/>
        <v>4358066.9851007853</v>
      </c>
      <c r="V162" s="351">
        <f t="shared" si="18"/>
        <v>4348445.078547827</v>
      </c>
      <c r="W162" s="758"/>
      <c r="X162" s="763"/>
    </row>
    <row r="163" spans="1:24" ht="16" thickBot="1">
      <c r="A163" s="762"/>
      <c r="B163" s="758"/>
      <c r="C163" s="758"/>
      <c r="D163" s="758"/>
      <c r="E163" s="758"/>
      <c r="F163" s="758"/>
      <c r="G163" s="758"/>
      <c r="H163" s="758"/>
      <c r="I163" s="758"/>
      <c r="J163" s="758"/>
      <c r="K163" s="758"/>
      <c r="L163" s="758"/>
      <c r="M163" s="320"/>
      <c r="N163" s="322"/>
      <c r="O163" s="320"/>
      <c r="P163" s="348">
        <f t="shared" si="19"/>
        <v>107</v>
      </c>
      <c r="Q163" s="349">
        <f t="shared" si="21"/>
        <v>49826</v>
      </c>
      <c r="R163" s="351">
        <f t="shared" si="16"/>
        <v>9661.9978302622621</v>
      </c>
      <c r="S163" s="351">
        <f t="shared" si="17"/>
        <v>18118.521160615946</v>
      </c>
      <c r="T163" s="351">
        <f t="shared" si="22"/>
        <v>27780.518990878209</v>
      </c>
      <c r="U163" s="351">
        <f t="shared" si="20"/>
        <v>4348445.078547827</v>
      </c>
      <c r="V163" s="351">
        <f t="shared" si="18"/>
        <v>4338783.0807175646</v>
      </c>
      <c r="W163" s="758"/>
      <c r="X163" s="763"/>
    </row>
    <row r="164" spans="1:24" ht="16" thickBot="1">
      <c r="A164" s="762"/>
      <c r="B164" s="758"/>
      <c r="C164" s="758"/>
      <c r="D164" s="758"/>
      <c r="E164" s="758"/>
      <c r="F164" s="758"/>
      <c r="G164" s="758"/>
      <c r="H164" s="758"/>
      <c r="I164" s="758"/>
      <c r="J164" s="758"/>
      <c r="K164" s="758"/>
      <c r="L164" s="758"/>
      <c r="M164" s="320"/>
      <c r="N164" s="322"/>
      <c r="O164" s="320"/>
      <c r="P164" s="348">
        <f t="shared" si="19"/>
        <v>108</v>
      </c>
      <c r="Q164" s="349">
        <f t="shared" si="21"/>
        <v>49856</v>
      </c>
      <c r="R164" s="351">
        <f t="shared" si="16"/>
        <v>9702.2561545550216</v>
      </c>
      <c r="S164" s="351">
        <f t="shared" si="17"/>
        <v>18078.262836323185</v>
      </c>
      <c r="T164" s="351">
        <f t="shared" si="22"/>
        <v>27780.518990878205</v>
      </c>
      <c r="U164" s="351">
        <f t="shared" si="20"/>
        <v>4338783.0807175646</v>
      </c>
      <c r="V164" s="351">
        <f t="shared" si="18"/>
        <v>4329080.8245630097</v>
      </c>
      <c r="W164" s="758"/>
      <c r="X164" s="763"/>
    </row>
    <row r="165" spans="1:24" ht="16" thickBot="1">
      <c r="A165" s="762"/>
      <c r="B165" s="758"/>
      <c r="C165" s="758"/>
      <c r="D165" s="758"/>
      <c r="E165" s="758"/>
      <c r="F165" s="758"/>
      <c r="G165" s="758"/>
      <c r="H165" s="758"/>
      <c r="I165" s="758"/>
      <c r="J165" s="758"/>
      <c r="K165" s="758"/>
      <c r="L165" s="758"/>
      <c r="M165" s="320"/>
      <c r="N165" s="322"/>
      <c r="O165" s="320"/>
      <c r="P165" s="348">
        <f t="shared" si="19"/>
        <v>109</v>
      </c>
      <c r="Q165" s="349">
        <f t="shared" si="21"/>
        <v>49887</v>
      </c>
      <c r="R165" s="351">
        <f t="shared" si="16"/>
        <v>9742.6822218656671</v>
      </c>
      <c r="S165" s="351">
        <f t="shared" si="17"/>
        <v>18037.836769012541</v>
      </c>
      <c r="T165" s="351">
        <f t="shared" si="22"/>
        <v>27780.518990878209</v>
      </c>
      <c r="U165" s="351">
        <f t="shared" si="20"/>
        <v>4329080.8245630097</v>
      </c>
      <c r="V165" s="351">
        <f t="shared" si="18"/>
        <v>4319338.1423411444</v>
      </c>
      <c r="W165" s="758"/>
      <c r="X165" s="763"/>
    </row>
    <row r="166" spans="1:24" ht="16" thickBot="1">
      <c r="A166" s="762"/>
      <c r="B166" s="758"/>
      <c r="C166" s="758"/>
      <c r="D166" s="758"/>
      <c r="E166" s="758"/>
      <c r="F166" s="758"/>
      <c r="G166" s="758"/>
      <c r="H166" s="758"/>
      <c r="I166" s="758"/>
      <c r="J166" s="758"/>
      <c r="K166" s="758"/>
      <c r="L166" s="758"/>
      <c r="M166" s="320"/>
      <c r="N166" s="322"/>
      <c r="O166" s="320"/>
      <c r="P166" s="348">
        <f t="shared" si="19"/>
        <v>110</v>
      </c>
      <c r="Q166" s="349">
        <f t="shared" si="21"/>
        <v>49918</v>
      </c>
      <c r="R166" s="351">
        <f t="shared" si="16"/>
        <v>9783.2767311234438</v>
      </c>
      <c r="S166" s="351">
        <f t="shared" si="17"/>
        <v>17997.242259754767</v>
      </c>
      <c r="T166" s="351">
        <f t="shared" si="22"/>
        <v>27780.518990878212</v>
      </c>
      <c r="U166" s="351">
        <f t="shared" si="20"/>
        <v>4319338.1423411444</v>
      </c>
      <c r="V166" s="351">
        <f t="shared" si="18"/>
        <v>4309554.8656100212</v>
      </c>
      <c r="W166" s="758"/>
      <c r="X166" s="763"/>
    </row>
    <row r="167" spans="1:24" ht="16" thickBot="1">
      <c r="A167" s="762"/>
      <c r="B167" s="758"/>
      <c r="C167" s="758"/>
      <c r="D167" s="758"/>
      <c r="E167" s="758"/>
      <c r="F167" s="758"/>
      <c r="G167" s="758"/>
      <c r="H167" s="758"/>
      <c r="I167" s="758"/>
      <c r="J167" s="758"/>
      <c r="K167" s="758"/>
      <c r="L167" s="758"/>
      <c r="M167" s="320"/>
      <c r="N167" s="322"/>
      <c r="O167" s="320"/>
      <c r="P167" s="348">
        <f t="shared" si="19"/>
        <v>111</v>
      </c>
      <c r="Q167" s="349">
        <f t="shared" si="21"/>
        <v>49948</v>
      </c>
      <c r="R167" s="351">
        <f t="shared" si="16"/>
        <v>9824.0403841697898</v>
      </c>
      <c r="S167" s="351">
        <f t="shared" si="17"/>
        <v>17956.478606708421</v>
      </c>
      <c r="T167" s="351">
        <f t="shared" si="22"/>
        <v>27780.518990878212</v>
      </c>
      <c r="U167" s="351">
        <f t="shared" si="20"/>
        <v>4309554.8656100212</v>
      </c>
      <c r="V167" s="351">
        <f t="shared" si="18"/>
        <v>4299730.8252258515</v>
      </c>
      <c r="W167" s="758"/>
      <c r="X167" s="763"/>
    </row>
    <row r="168" spans="1:24" ht="16" thickBot="1">
      <c r="A168" s="762"/>
      <c r="B168" s="758"/>
      <c r="C168" s="758"/>
      <c r="D168" s="758"/>
      <c r="E168" s="758"/>
      <c r="F168" s="758"/>
      <c r="G168" s="758"/>
      <c r="H168" s="758"/>
      <c r="I168" s="758"/>
      <c r="J168" s="758"/>
      <c r="K168" s="758"/>
      <c r="L168" s="758"/>
      <c r="M168" s="320"/>
      <c r="N168" s="322"/>
      <c r="O168" s="320"/>
      <c r="P168" s="348">
        <f t="shared" si="19"/>
        <v>112</v>
      </c>
      <c r="Q168" s="349">
        <f t="shared" si="21"/>
        <v>49979</v>
      </c>
      <c r="R168" s="351">
        <f t="shared" si="16"/>
        <v>9864.9738857704979</v>
      </c>
      <c r="S168" s="351">
        <f t="shared" si="17"/>
        <v>17915.545105107714</v>
      </c>
      <c r="T168" s="351">
        <f t="shared" si="22"/>
        <v>27780.518990878212</v>
      </c>
      <c r="U168" s="351">
        <f t="shared" si="20"/>
        <v>4299730.8252258515</v>
      </c>
      <c r="V168" s="351">
        <f t="shared" si="18"/>
        <v>4289865.8513400806</v>
      </c>
      <c r="W168" s="758"/>
      <c r="X168" s="763"/>
    </row>
    <row r="169" spans="1:24" ht="16" thickBot="1">
      <c r="A169" s="762"/>
      <c r="B169" s="758"/>
      <c r="C169" s="758"/>
      <c r="D169" s="758"/>
      <c r="E169" s="758"/>
      <c r="F169" s="758"/>
      <c r="G169" s="758"/>
      <c r="H169" s="758"/>
      <c r="I169" s="758"/>
      <c r="J169" s="758"/>
      <c r="K169" s="758"/>
      <c r="L169" s="758"/>
      <c r="M169" s="320"/>
      <c r="N169" s="322"/>
      <c r="O169" s="320"/>
      <c r="P169" s="348">
        <f t="shared" si="19"/>
        <v>113</v>
      </c>
      <c r="Q169" s="349">
        <f t="shared" si="21"/>
        <v>50009</v>
      </c>
      <c r="R169" s="351">
        <f t="shared" si="16"/>
        <v>9906.0779436278717</v>
      </c>
      <c r="S169" s="351">
        <f t="shared" si="17"/>
        <v>17874.441047250337</v>
      </c>
      <c r="T169" s="351">
        <f t="shared" si="22"/>
        <v>27780.518990878209</v>
      </c>
      <c r="U169" s="351">
        <f t="shared" si="20"/>
        <v>4289865.8513400806</v>
      </c>
      <c r="V169" s="351">
        <f t="shared" si="18"/>
        <v>4279959.7733964529</v>
      </c>
      <c r="W169" s="758"/>
      <c r="X169" s="763"/>
    </row>
    <row r="170" spans="1:24" ht="16" thickBot="1">
      <c r="A170" s="762"/>
      <c r="B170" s="758"/>
      <c r="C170" s="758"/>
      <c r="D170" s="758"/>
      <c r="E170" s="758"/>
      <c r="F170" s="758"/>
      <c r="G170" s="758"/>
      <c r="H170" s="758"/>
      <c r="I170" s="758"/>
      <c r="J170" s="758"/>
      <c r="K170" s="758"/>
      <c r="L170" s="758"/>
      <c r="M170" s="320"/>
      <c r="N170" s="322"/>
      <c r="O170" s="320"/>
      <c r="P170" s="348">
        <f t="shared" si="19"/>
        <v>114</v>
      </c>
      <c r="Q170" s="349">
        <f t="shared" si="21"/>
        <v>50040</v>
      </c>
      <c r="R170" s="351">
        <f t="shared" si="16"/>
        <v>9947.3532683929916</v>
      </c>
      <c r="S170" s="351">
        <f t="shared" si="17"/>
        <v>17833.165722485221</v>
      </c>
      <c r="T170" s="351">
        <f t="shared" si="22"/>
        <v>27780.518990878212</v>
      </c>
      <c r="U170" s="351">
        <f t="shared" si="20"/>
        <v>4279959.7733964529</v>
      </c>
      <c r="V170" s="351">
        <f t="shared" si="18"/>
        <v>4270012.4201280596</v>
      </c>
      <c r="W170" s="758"/>
      <c r="X170" s="763"/>
    </row>
    <row r="171" spans="1:24" ht="16" thickBot="1">
      <c r="A171" s="762"/>
      <c r="B171" s="758"/>
      <c r="C171" s="758"/>
      <c r="D171" s="758"/>
      <c r="E171" s="758"/>
      <c r="F171" s="758"/>
      <c r="G171" s="758"/>
      <c r="H171" s="758"/>
      <c r="I171" s="758"/>
      <c r="J171" s="758"/>
      <c r="K171" s="758"/>
      <c r="L171" s="758"/>
      <c r="M171" s="320"/>
      <c r="N171" s="322"/>
      <c r="O171" s="320"/>
      <c r="P171" s="348">
        <f t="shared" si="19"/>
        <v>115</v>
      </c>
      <c r="Q171" s="349">
        <f t="shared" si="21"/>
        <v>50071</v>
      </c>
      <c r="R171" s="351">
        <f t="shared" si="16"/>
        <v>9988.8005736779596</v>
      </c>
      <c r="S171" s="351">
        <f t="shared" si="17"/>
        <v>17791.718417200249</v>
      </c>
      <c r="T171" s="351">
        <f t="shared" si="22"/>
        <v>27780.518990878209</v>
      </c>
      <c r="U171" s="351">
        <f t="shared" si="20"/>
        <v>4270012.4201280596</v>
      </c>
      <c r="V171" s="351">
        <f t="shared" si="18"/>
        <v>4260023.6195543818</v>
      </c>
      <c r="W171" s="758"/>
      <c r="X171" s="763"/>
    </row>
    <row r="172" spans="1:24" ht="16" thickBot="1">
      <c r="A172" s="762"/>
      <c r="B172" s="758"/>
      <c r="C172" s="758"/>
      <c r="D172" s="758"/>
      <c r="E172" s="758"/>
      <c r="F172" s="758"/>
      <c r="G172" s="758"/>
      <c r="H172" s="758"/>
      <c r="I172" s="758"/>
      <c r="J172" s="758"/>
      <c r="K172" s="758"/>
      <c r="L172" s="758"/>
      <c r="M172" s="320"/>
      <c r="N172" s="322"/>
      <c r="O172" s="320"/>
      <c r="P172" s="348">
        <f t="shared" si="19"/>
        <v>116</v>
      </c>
      <c r="Q172" s="349">
        <f t="shared" si="21"/>
        <v>50099</v>
      </c>
      <c r="R172" s="351">
        <f t="shared" si="16"/>
        <v>10030.420576068285</v>
      </c>
      <c r="S172" s="351">
        <f t="shared" si="17"/>
        <v>17750.098414809923</v>
      </c>
      <c r="T172" s="351">
        <f t="shared" si="22"/>
        <v>27780.518990878209</v>
      </c>
      <c r="U172" s="351">
        <f t="shared" si="20"/>
        <v>4260023.6195543818</v>
      </c>
      <c r="V172" s="351">
        <f t="shared" si="18"/>
        <v>4249993.1989783132</v>
      </c>
      <c r="W172" s="758"/>
      <c r="X172" s="763"/>
    </row>
    <row r="173" spans="1:24" ht="16" thickBot="1">
      <c r="A173" s="762"/>
      <c r="B173" s="758"/>
      <c r="C173" s="758"/>
      <c r="D173" s="758"/>
      <c r="E173" s="758"/>
      <c r="F173" s="758"/>
      <c r="G173" s="758"/>
      <c r="H173" s="758"/>
      <c r="I173" s="758"/>
      <c r="J173" s="758"/>
      <c r="K173" s="758"/>
      <c r="L173" s="758"/>
      <c r="M173" s="320"/>
      <c r="N173" s="322"/>
      <c r="O173" s="320"/>
      <c r="P173" s="348">
        <f t="shared" si="19"/>
        <v>117</v>
      </c>
      <c r="Q173" s="349">
        <f t="shared" si="21"/>
        <v>50130</v>
      </c>
      <c r="R173" s="351">
        <f t="shared" si="16"/>
        <v>10072.213995135235</v>
      </c>
      <c r="S173" s="351">
        <f t="shared" si="17"/>
        <v>17708.304995742972</v>
      </c>
      <c r="T173" s="351">
        <f t="shared" si="22"/>
        <v>27780.518990878205</v>
      </c>
      <c r="U173" s="351">
        <f t="shared" si="20"/>
        <v>4249993.1989783132</v>
      </c>
      <c r="V173" s="351">
        <f t="shared" si="18"/>
        <v>4239920.9849831779</v>
      </c>
      <c r="W173" s="758"/>
      <c r="X173" s="763"/>
    </row>
    <row r="174" spans="1:24" ht="16" thickBot="1">
      <c r="A174" s="762"/>
      <c r="B174" s="758"/>
      <c r="C174" s="758"/>
      <c r="D174" s="758"/>
      <c r="E174" s="758"/>
      <c r="F174" s="758"/>
      <c r="G174" s="758"/>
      <c r="H174" s="758"/>
      <c r="I174" s="758"/>
      <c r="J174" s="758"/>
      <c r="K174" s="758"/>
      <c r="L174" s="758"/>
      <c r="M174" s="320"/>
      <c r="N174" s="322"/>
      <c r="O174" s="320"/>
      <c r="P174" s="348">
        <f t="shared" si="19"/>
        <v>118</v>
      </c>
      <c r="Q174" s="349">
        <f t="shared" si="21"/>
        <v>50160</v>
      </c>
      <c r="R174" s="351">
        <f t="shared" si="16"/>
        <v>10114.181553448299</v>
      </c>
      <c r="S174" s="351">
        <f t="shared" si="17"/>
        <v>17666.337437429909</v>
      </c>
      <c r="T174" s="351">
        <f t="shared" si="22"/>
        <v>27780.518990878209</v>
      </c>
      <c r="U174" s="351">
        <f t="shared" si="20"/>
        <v>4239920.9849831779</v>
      </c>
      <c r="V174" s="351">
        <f t="shared" si="18"/>
        <v>4229806.8034297293</v>
      </c>
      <c r="W174" s="758"/>
      <c r="X174" s="763"/>
    </row>
    <row r="175" spans="1:24" ht="16" thickBot="1">
      <c r="A175" s="762"/>
      <c r="B175" s="758"/>
      <c r="C175" s="758"/>
      <c r="D175" s="758"/>
      <c r="E175" s="758"/>
      <c r="F175" s="758"/>
      <c r="G175" s="758"/>
      <c r="H175" s="758"/>
      <c r="I175" s="758"/>
      <c r="J175" s="758"/>
      <c r="K175" s="758"/>
      <c r="L175" s="758"/>
      <c r="M175" s="320"/>
      <c r="N175" s="322"/>
      <c r="O175" s="320"/>
      <c r="P175" s="348">
        <f t="shared" si="19"/>
        <v>119</v>
      </c>
      <c r="Q175" s="349">
        <f t="shared" si="21"/>
        <v>50191</v>
      </c>
      <c r="R175" s="351">
        <f t="shared" si="16"/>
        <v>10156.32397658767</v>
      </c>
      <c r="S175" s="351">
        <f t="shared" si="17"/>
        <v>17624.195014290537</v>
      </c>
      <c r="T175" s="351">
        <f t="shared" si="22"/>
        <v>27780.518990878205</v>
      </c>
      <c r="U175" s="351">
        <f t="shared" si="20"/>
        <v>4229806.8034297293</v>
      </c>
      <c r="V175" s="351">
        <f t="shared" si="18"/>
        <v>4219650.4794531418</v>
      </c>
      <c r="W175" s="758"/>
      <c r="X175" s="763"/>
    </row>
    <row r="176" spans="1:24" ht="16" thickBot="1">
      <c r="A176" s="762"/>
      <c r="B176" s="758"/>
      <c r="C176" s="758"/>
      <c r="D176" s="758"/>
      <c r="E176" s="758"/>
      <c r="F176" s="758"/>
      <c r="G176" s="758"/>
      <c r="H176" s="758"/>
      <c r="I176" s="758"/>
      <c r="J176" s="758"/>
      <c r="K176" s="758"/>
      <c r="L176" s="758"/>
      <c r="M176" s="320"/>
      <c r="N176" s="322"/>
      <c r="O176" s="320"/>
      <c r="P176" s="348">
        <f t="shared" si="19"/>
        <v>120</v>
      </c>
      <c r="Q176" s="349">
        <f t="shared" si="21"/>
        <v>50221</v>
      </c>
      <c r="R176" s="351">
        <f t="shared" si="16"/>
        <v>10198.641993156783</v>
      </c>
      <c r="S176" s="351">
        <f t="shared" si="17"/>
        <v>17581.876997721425</v>
      </c>
      <c r="T176" s="351">
        <f t="shared" si="22"/>
        <v>27780.518990878209</v>
      </c>
      <c r="U176" s="351">
        <f t="shared" si="20"/>
        <v>4219650.4794531418</v>
      </c>
      <c r="V176" s="351">
        <f t="shared" si="18"/>
        <v>4209451.8374599852</v>
      </c>
      <c r="W176" s="758"/>
      <c r="X176" s="763"/>
    </row>
    <row r="177" spans="1:24" ht="16" thickBot="1">
      <c r="A177" s="762"/>
      <c r="B177" s="758"/>
      <c r="C177" s="758"/>
      <c r="D177" s="758"/>
      <c r="E177" s="758"/>
      <c r="F177" s="758"/>
      <c r="G177" s="758"/>
      <c r="H177" s="758"/>
      <c r="I177" s="758"/>
      <c r="J177" s="758"/>
      <c r="K177" s="758"/>
      <c r="L177" s="758"/>
      <c r="M177" s="320"/>
      <c r="N177" s="322"/>
      <c r="O177" s="320"/>
      <c r="P177" s="348">
        <f t="shared" si="19"/>
        <v>121</v>
      </c>
      <c r="Q177" s="349">
        <f t="shared" si="21"/>
        <v>50252</v>
      </c>
      <c r="R177" s="351">
        <f t="shared" si="16"/>
        <v>10241.136334794935</v>
      </c>
      <c r="S177" s="351">
        <f t="shared" si="17"/>
        <v>17539.382656083271</v>
      </c>
      <c r="T177" s="351">
        <f t="shared" si="22"/>
        <v>27780.518990878205</v>
      </c>
      <c r="U177" s="351">
        <f t="shared" si="20"/>
        <v>4209451.8374599852</v>
      </c>
      <c r="V177" s="351">
        <f t="shared" si="18"/>
        <v>4199210.7011251906</v>
      </c>
      <c r="W177" s="758"/>
      <c r="X177" s="763"/>
    </row>
    <row r="178" spans="1:24" ht="16" thickBot="1">
      <c r="A178" s="762"/>
      <c r="B178" s="758"/>
      <c r="C178" s="758"/>
      <c r="D178" s="758"/>
      <c r="E178" s="758"/>
      <c r="F178" s="758"/>
      <c r="G178" s="758"/>
      <c r="H178" s="758"/>
      <c r="I178" s="758"/>
      <c r="J178" s="758"/>
      <c r="K178" s="758"/>
      <c r="L178" s="758"/>
      <c r="M178" s="320"/>
      <c r="N178" s="322"/>
      <c r="O178" s="320"/>
      <c r="P178" s="348">
        <f t="shared" si="19"/>
        <v>122</v>
      </c>
      <c r="Q178" s="349">
        <f t="shared" si="21"/>
        <v>50283</v>
      </c>
      <c r="R178" s="351">
        <f t="shared" si="16"/>
        <v>10283.807736189916</v>
      </c>
      <c r="S178" s="351">
        <f t="shared" si="17"/>
        <v>17496.711254688293</v>
      </c>
      <c r="T178" s="351">
        <f t="shared" si="22"/>
        <v>27780.518990878209</v>
      </c>
      <c r="U178" s="351">
        <f t="shared" si="20"/>
        <v>4199210.7011251906</v>
      </c>
      <c r="V178" s="351">
        <f t="shared" si="18"/>
        <v>4188926.8933890006</v>
      </c>
      <c r="W178" s="758"/>
      <c r="X178" s="763"/>
    </row>
    <row r="179" spans="1:24" ht="16" thickBot="1">
      <c r="A179" s="762"/>
      <c r="B179" s="758"/>
      <c r="C179" s="758"/>
      <c r="D179" s="758"/>
      <c r="E179" s="758"/>
      <c r="F179" s="758"/>
      <c r="G179" s="758"/>
      <c r="H179" s="758"/>
      <c r="I179" s="758"/>
      <c r="J179" s="758"/>
      <c r="K179" s="758"/>
      <c r="L179" s="758"/>
      <c r="M179" s="320"/>
      <c r="N179" s="322"/>
      <c r="O179" s="320"/>
      <c r="P179" s="348">
        <f t="shared" si="19"/>
        <v>123</v>
      </c>
      <c r="Q179" s="349">
        <f t="shared" si="21"/>
        <v>50313</v>
      </c>
      <c r="R179" s="351">
        <f t="shared" si="16"/>
        <v>10326.656935090707</v>
      </c>
      <c r="S179" s="351">
        <f t="shared" si="17"/>
        <v>17453.862055787504</v>
      </c>
      <c r="T179" s="351">
        <f t="shared" si="22"/>
        <v>27780.518990878212</v>
      </c>
      <c r="U179" s="351">
        <f t="shared" si="20"/>
        <v>4188926.8933890006</v>
      </c>
      <c r="V179" s="351">
        <f t="shared" si="18"/>
        <v>4178600.2364539099</v>
      </c>
      <c r="W179" s="758"/>
      <c r="X179" s="763"/>
    </row>
    <row r="180" spans="1:24" ht="16" thickBot="1">
      <c r="A180" s="762"/>
      <c r="B180" s="758"/>
      <c r="C180" s="758"/>
      <c r="D180" s="758"/>
      <c r="E180" s="758"/>
      <c r="F180" s="758"/>
      <c r="G180" s="758"/>
      <c r="H180" s="758"/>
      <c r="I180" s="758"/>
      <c r="J180" s="758"/>
      <c r="K180" s="758"/>
      <c r="L180" s="758"/>
      <c r="M180" s="320"/>
      <c r="N180" s="322"/>
      <c r="O180" s="320"/>
      <c r="P180" s="348">
        <f t="shared" si="19"/>
        <v>124</v>
      </c>
      <c r="Q180" s="349">
        <f t="shared" si="21"/>
        <v>50344</v>
      </c>
      <c r="R180" s="351">
        <f t="shared" si="16"/>
        <v>10369.684672320253</v>
      </c>
      <c r="S180" s="351">
        <f t="shared" si="17"/>
        <v>17410.834318557958</v>
      </c>
      <c r="T180" s="351">
        <f t="shared" si="22"/>
        <v>27780.518990878212</v>
      </c>
      <c r="U180" s="351">
        <f t="shared" si="20"/>
        <v>4178600.2364539099</v>
      </c>
      <c r="V180" s="351">
        <f t="shared" si="18"/>
        <v>4168230.5517815896</v>
      </c>
      <c r="W180" s="758"/>
      <c r="X180" s="763"/>
    </row>
    <row r="181" spans="1:24" ht="16" thickBot="1">
      <c r="A181" s="762"/>
      <c r="B181" s="758"/>
      <c r="C181" s="758"/>
      <c r="D181" s="758"/>
      <c r="E181" s="758"/>
      <c r="F181" s="758"/>
      <c r="G181" s="758"/>
      <c r="H181" s="758"/>
      <c r="I181" s="758"/>
      <c r="J181" s="758"/>
      <c r="K181" s="758"/>
      <c r="L181" s="758"/>
      <c r="M181" s="320"/>
      <c r="N181" s="322"/>
      <c r="O181" s="320"/>
      <c r="P181" s="348">
        <f t="shared" si="19"/>
        <v>125</v>
      </c>
      <c r="Q181" s="349">
        <f t="shared" si="21"/>
        <v>50374</v>
      </c>
      <c r="R181" s="351">
        <f t="shared" si="16"/>
        <v>10412.891691788253</v>
      </c>
      <c r="S181" s="351">
        <f t="shared" si="17"/>
        <v>17367.627299089956</v>
      </c>
      <c r="T181" s="351">
        <f t="shared" si="22"/>
        <v>27780.518990878209</v>
      </c>
      <c r="U181" s="351">
        <f t="shared" si="20"/>
        <v>4168230.5517815896</v>
      </c>
      <c r="V181" s="351">
        <f t="shared" si="18"/>
        <v>4157817.6600898015</v>
      </c>
      <c r="W181" s="758"/>
      <c r="X181" s="763"/>
    </row>
    <row r="182" spans="1:24" ht="16" thickBot="1">
      <c r="A182" s="762"/>
      <c r="B182" s="758"/>
      <c r="C182" s="758"/>
      <c r="D182" s="758"/>
      <c r="E182" s="758"/>
      <c r="F182" s="758"/>
      <c r="G182" s="758"/>
      <c r="H182" s="758"/>
      <c r="I182" s="758"/>
      <c r="J182" s="758"/>
      <c r="K182" s="758"/>
      <c r="L182" s="758"/>
      <c r="M182" s="320"/>
      <c r="N182" s="322"/>
      <c r="O182" s="320"/>
      <c r="P182" s="348">
        <f t="shared" si="19"/>
        <v>126</v>
      </c>
      <c r="Q182" s="349">
        <f t="shared" si="21"/>
        <v>50405</v>
      </c>
      <c r="R182" s="351">
        <f t="shared" si="16"/>
        <v>10456.278740504038</v>
      </c>
      <c r="S182" s="351">
        <f t="shared" si="17"/>
        <v>17324.240250374172</v>
      </c>
      <c r="T182" s="351">
        <f t="shared" si="22"/>
        <v>27780.518990878212</v>
      </c>
      <c r="U182" s="351">
        <f t="shared" si="20"/>
        <v>4157817.6600898015</v>
      </c>
      <c r="V182" s="351">
        <f t="shared" si="18"/>
        <v>4147361.3813492977</v>
      </c>
      <c r="W182" s="758"/>
      <c r="X182" s="763"/>
    </row>
    <row r="183" spans="1:24" ht="16" thickBot="1">
      <c r="A183" s="762"/>
      <c r="B183" s="758"/>
      <c r="C183" s="758"/>
      <c r="D183" s="758"/>
      <c r="E183" s="758"/>
      <c r="F183" s="758"/>
      <c r="G183" s="758"/>
      <c r="H183" s="758"/>
      <c r="I183" s="758"/>
      <c r="J183" s="758"/>
      <c r="K183" s="758"/>
      <c r="L183" s="758"/>
      <c r="M183" s="320"/>
      <c r="N183" s="322"/>
      <c r="O183" s="320"/>
      <c r="P183" s="348">
        <f t="shared" si="19"/>
        <v>127</v>
      </c>
      <c r="Q183" s="349">
        <f t="shared" si="21"/>
        <v>50436</v>
      </c>
      <c r="R183" s="351">
        <f t="shared" si="16"/>
        <v>10499.846568589472</v>
      </c>
      <c r="S183" s="351">
        <f t="shared" si="17"/>
        <v>17280.672422288739</v>
      </c>
      <c r="T183" s="351">
        <f t="shared" si="22"/>
        <v>27780.518990878212</v>
      </c>
      <c r="U183" s="351">
        <f t="shared" si="20"/>
        <v>4147361.3813492977</v>
      </c>
      <c r="V183" s="351">
        <f t="shared" si="18"/>
        <v>4136861.5347807081</v>
      </c>
      <c r="W183" s="758"/>
      <c r="X183" s="763"/>
    </row>
    <row r="184" spans="1:24" ht="16" thickBot="1">
      <c r="A184" s="762"/>
      <c r="B184" s="758"/>
      <c r="C184" s="758"/>
      <c r="D184" s="758"/>
      <c r="E184" s="758"/>
      <c r="F184" s="758"/>
      <c r="G184" s="758"/>
      <c r="H184" s="758"/>
      <c r="I184" s="758"/>
      <c r="J184" s="758"/>
      <c r="K184" s="758"/>
      <c r="L184" s="758"/>
      <c r="M184" s="320"/>
      <c r="N184" s="322"/>
      <c r="O184" s="320"/>
      <c r="P184" s="348">
        <f t="shared" si="19"/>
        <v>128</v>
      </c>
      <c r="Q184" s="349">
        <f t="shared" si="21"/>
        <v>50464</v>
      </c>
      <c r="R184" s="351">
        <f t="shared" si="16"/>
        <v>10543.595929291927</v>
      </c>
      <c r="S184" s="351">
        <f t="shared" si="17"/>
        <v>17236.923061586283</v>
      </c>
      <c r="T184" s="351">
        <f t="shared" si="22"/>
        <v>27780.518990878212</v>
      </c>
      <c r="U184" s="351">
        <f t="shared" si="20"/>
        <v>4136861.5347807081</v>
      </c>
      <c r="V184" s="351">
        <f t="shared" si="18"/>
        <v>4126317.9388514161</v>
      </c>
      <c r="W184" s="758"/>
      <c r="X184" s="763"/>
    </row>
    <row r="185" spans="1:24" ht="16" thickBot="1">
      <c r="A185" s="762"/>
      <c r="B185" s="758"/>
      <c r="C185" s="758"/>
      <c r="D185" s="758"/>
      <c r="E185" s="758"/>
      <c r="F185" s="758"/>
      <c r="G185" s="758"/>
      <c r="H185" s="758"/>
      <c r="I185" s="758"/>
      <c r="J185" s="758"/>
      <c r="K185" s="758"/>
      <c r="L185" s="758"/>
      <c r="M185" s="320"/>
      <c r="N185" s="322"/>
      <c r="O185" s="320"/>
      <c r="P185" s="348">
        <f t="shared" si="19"/>
        <v>129</v>
      </c>
      <c r="Q185" s="349">
        <f t="shared" si="21"/>
        <v>50495</v>
      </c>
      <c r="R185" s="351">
        <f t="shared" ref="R185:R248" si="23">IF(OR(Q185&lt;Q$14, Q185&gt;T$12),0, -IF(P185=0, 0, PPMT(R$7, P185, R$8, R$6)))</f>
        <v>10587.527578997309</v>
      </c>
      <c r="S185" s="351">
        <f t="shared" ref="S185:S248" si="24">IF(OR(Q185&lt;Q$13, Q185&gt;T$12), 0, +U185*R$7)</f>
        <v>17192.991411880899</v>
      </c>
      <c r="T185" s="351">
        <f t="shared" si="22"/>
        <v>27780.518990878209</v>
      </c>
      <c r="U185" s="351">
        <f t="shared" si="20"/>
        <v>4126317.9388514161</v>
      </c>
      <c r="V185" s="351">
        <f t="shared" ref="V185:V248" si="25">IF(Q185&gt;T$12, "", +U185-R185)</f>
        <v>4115730.4112724187</v>
      </c>
      <c r="W185" s="758"/>
      <c r="X185" s="763"/>
    </row>
    <row r="186" spans="1:24" ht="16" thickBot="1">
      <c r="A186" s="762"/>
      <c r="B186" s="758"/>
      <c r="C186" s="758"/>
      <c r="D186" s="758"/>
      <c r="E186" s="758"/>
      <c r="F186" s="758"/>
      <c r="G186" s="758"/>
      <c r="H186" s="758"/>
      <c r="I186" s="758"/>
      <c r="J186" s="758"/>
      <c r="K186" s="758"/>
      <c r="L186" s="758"/>
      <c r="M186" s="320"/>
      <c r="N186" s="322"/>
      <c r="O186" s="320"/>
      <c r="P186" s="348">
        <f t="shared" ref="P186:P249" si="26">IF(Q186&lt;Q$14, 0, P185+1)</f>
        <v>130</v>
      </c>
      <c r="Q186" s="349">
        <f t="shared" si="21"/>
        <v>50525</v>
      </c>
      <c r="R186" s="351">
        <f t="shared" si="23"/>
        <v>10631.642277243132</v>
      </c>
      <c r="S186" s="351">
        <f t="shared" si="24"/>
        <v>17148.876713635076</v>
      </c>
      <c r="T186" s="351">
        <f t="shared" si="22"/>
        <v>27780.518990878209</v>
      </c>
      <c r="U186" s="351">
        <f t="shared" ref="U186:U249" si="27">IF(Q186&gt;T$12, 0, +V185)</f>
        <v>4115730.4112724187</v>
      </c>
      <c r="V186" s="351">
        <f t="shared" si="25"/>
        <v>4105098.7689951756</v>
      </c>
      <c r="W186" s="758"/>
      <c r="X186" s="763"/>
    </row>
    <row r="187" spans="1:24" ht="16" thickBot="1">
      <c r="A187" s="762"/>
      <c r="B187" s="758"/>
      <c r="C187" s="758"/>
      <c r="D187" s="758"/>
      <c r="E187" s="758"/>
      <c r="F187" s="758"/>
      <c r="G187" s="758"/>
      <c r="H187" s="758"/>
      <c r="I187" s="758"/>
      <c r="J187" s="758"/>
      <c r="K187" s="758"/>
      <c r="L187" s="758"/>
      <c r="M187" s="320"/>
      <c r="N187" s="322"/>
      <c r="O187" s="320"/>
      <c r="P187" s="348">
        <f t="shared" si="26"/>
        <v>131</v>
      </c>
      <c r="Q187" s="349">
        <f t="shared" ref="Q187:Q250" si="28">EOMONTH(Q186, 1)</f>
        <v>50556</v>
      </c>
      <c r="R187" s="351">
        <f t="shared" si="23"/>
        <v>10675.940786731644</v>
      </c>
      <c r="S187" s="351">
        <f t="shared" si="24"/>
        <v>17104.578204146565</v>
      </c>
      <c r="T187" s="351">
        <f t="shared" ref="T187:T250" si="29">R187+S187</f>
        <v>27780.518990878209</v>
      </c>
      <c r="U187" s="351">
        <f t="shared" si="27"/>
        <v>4105098.7689951756</v>
      </c>
      <c r="V187" s="351">
        <f t="shared" si="25"/>
        <v>4094422.8282084442</v>
      </c>
      <c r="W187" s="758"/>
      <c r="X187" s="763"/>
    </row>
    <row r="188" spans="1:24" ht="16" thickBot="1">
      <c r="A188" s="762"/>
      <c r="B188" s="758"/>
      <c r="C188" s="758"/>
      <c r="D188" s="758"/>
      <c r="E188" s="758"/>
      <c r="F188" s="758"/>
      <c r="G188" s="758"/>
      <c r="H188" s="758"/>
      <c r="I188" s="758"/>
      <c r="J188" s="758"/>
      <c r="K188" s="758"/>
      <c r="L188" s="758"/>
      <c r="M188" s="320"/>
      <c r="N188" s="322"/>
      <c r="O188" s="320"/>
      <c r="P188" s="348">
        <f t="shared" si="26"/>
        <v>132</v>
      </c>
      <c r="Q188" s="349">
        <f t="shared" si="28"/>
        <v>50586</v>
      </c>
      <c r="R188" s="351">
        <f t="shared" si="23"/>
        <v>10720.423873343028</v>
      </c>
      <c r="S188" s="351">
        <f t="shared" si="24"/>
        <v>17060.095117535184</v>
      </c>
      <c r="T188" s="351">
        <f t="shared" si="29"/>
        <v>27780.518990878212</v>
      </c>
      <c r="U188" s="351">
        <f t="shared" si="27"/>
        <v>4094422.8282084442</v>
      </c>
      <c r="V188" s="351">
        <f t="shared" si="25"/>
        <v>4083702.4043351011</v>
      </c>
      <c r="W188" s="758"/>
      <c r="X188" s="763"/>
    </row>
    <row r="189" spans="1:24" ht="16" thickBot="1">
      <c r="A189" s="762"/>
      <c r="B189" s="758"/>
      <c r="C189" s="758"/>
      <c r="D189" s="758"/>
      <c r="E189" s="758"/>
      <c r="F189" s="758"/>
      <c r="G189" s="758"/>
      <c r="H189" s="758"/>
      <c r="I189" s="758"/>
      <c r="J189" s="758"/>
      <c r="K189" s="758"/>
      <c r="L189" s="758"/>
      <c r="M189" s="320"/>
      <c r="N189" s="322"/>
      <c r="O189" s="320"/>
      <c r="P189" s="348">
        <f t="shared" si="26"/>
        <v>133</v>
      </c>
      <c r="Q189" s="349">
        <f t="shared" si="28"/>
        <v>50617</v>
      </c>
      <c r="R189" s="351">
        <f t="shared" si="23"/>
        <v>10765.092306148621</v>
      </c>
      <c r="S189" s="351">
        <f t="shared" si="24"/>
        <v>17015.426684729588</v>
      </c>
      <c r="T189" s="351">
        <f t="shared" si="29"/>
        <v>27780.518990878209</v>
      </c>
      <c r="U189" s="351">
        <f t="shared" si="27"/>
        <v>4083702.4043351011</v>
      </c>
      <c r="V189" s="351">
        <f t="shared" si="25"/>
        <v>4072937.3120289524</v>
      </c>
      <c r="W189" s="758"/>
      <c r="X189" s="763"/>
    </row>
    <row r="190" spans="1:24" ht="16" thickBot="1">
      <c r="A190" s="762"/>
      <c r="B190" s="758"/>
      <c r="C190" s="758"/>
      <c r="D190" s="758"/>
      <c r="E190" s="758"/>
      <c r="F190" s="758"/>
      <c r="G190" s="758"/>
      <c r="H190" s="758"/>
      <c r="I190" s="758"/>
      <c r="J190" s="758"/>
      <c r="K190" s="758"/>
      <c r="L190" s="758"/>
      <c r="M190" s="320"/>
      <c r="N190" s="322"/>
      <c r="O190" s="320"/>
      <c r="P190" s="348">
        <f t="shared" si="26"/>
        <v>134</v>
      </c>
      <c r="Q190" s="349">
        <f t="shared" si="28"/>
        <v>50648</v>
      </c>
      <c r="R190" s="351">
        <f t="shared" si="23"/>
        <v>10809.946857424242</v>
      </c>
      <c r="S190" s="351">
        <f t="shared" si="24"/>
        <v>16970.572133453967</v>
      </c>
      <c r="T190" s="351">
        <f t="shared" si="29"/>
        <v>27780.518990878209</v>
      </c>
      <c r="U190" s="351">
        <f t="shared" si="27"/>
        <v>4072937.3120289524</v>
      </c>
      <c r="V190" s="351">
        <f t="shared" si="25"/>
        <v>4062127.365171528</v>
      </c>
      <c r="W190" s="758"/>
      <c r="X190" s="763"/>
    </row>
    <row r="191" spans="1:24" ht="16" thickBot="1">
      <c r="A191" s="762"/>
      <c r="B191" s="758"/>
      <c r="C191" s="758"/>
      <c r="D191" s="758"/>
      <c r="E191" s="758"/>
      <c r="F191" s="758"/>
      <c r="G191" s="758"/>
      <c r="H191" s="758"/>
      <c r="I191" s="758"/>
      <c r="J191" s="758"/>
      <c r="K191" s="758"/>
      <c r="L191" s="758"/>
      <c r="M191" s="320"/>
      <c r="N191" s="322"/>
      <c r="O191" s="320"/>
      <c r="P191" s="348">
        <f t="shared" si="26"/>
        <v>135</v>
      </c>
      <c r="Q191" s="349">
        <f t="shared" si="28"/>
        <v>50678</v>
      </c>
      <c r="R191" s="351">
        <f t="shared" si="23"/>
        <v>10854.988302663507</v>
      </c>
      <c r="S191" s="351">
        <f t="shared" si="24"/>
        <v>16925.530688214698</v>
      </c>
      <c r="T191" s="351">
        <f t="shared" si="29"/>
        <v>27780.518990878205</v>
      </c>
      <c r="U191" s="351">
        <f t="shared" si="27"/>
        <v>4062127.365171528</v>
      </c>
      <c r="V191" s="351">
        <f t="shared" si="25"/>
        <v>4051272.3768688645</v>
      </c>
      <c r="W191" s="758"/>
      <c r="X191" s="763"/>
    </row>
    <row r="192" spans="1:24" ht="16" thickBot="1">
      <c r="A192" s="762"/>
      <c r="B192" s="758"/>
      <c r="C192" s="758"/>
      <c r="D192" s="758"/>
      <c r="E192" s="758"/>
      <c r="F192" s="758"/>
      <c r="G192" s="758"/>
      <c r="H192" s="758"/>
      <c r="I192" s="758"/>
      <c r="J192" s="758"/>
      <c r="K192" s="758"/>
      <c r="L192" s="758"/>
      <c r="M192" s="320"/>
      <c r="N192" s="322"/>
      <c r="O192" s="320"/>
      <c r="P192" s="348">
        <f t="shared" si="26"/>
        <v>136</v>
      </c>
      <c r="Q192" s="349">
        <f t="shared" si="28"/>
        <v>50709</v>
      </c>
      <c r="R192" s="351">
        <f t="shared" si="23"/>
        <v>10900.217420591274</v>
      </c>
      <c r="S192" s="351">
        <f t="shared" si="24"/>
        <v>16880.301570286934</v>
      </c>
      <c r="T192" s="351">
        <f t="shared" si="29"/>
        <v>27780.518990878209</v>
      </c>
      <c r="U192" s="351">
        <f t="shared" si="27"/>
        <v>4051272.3768688645</v>
      </c>
      <c r="V192" s="351">
        <f t="shared" si="25"/>
        <v>4040372.1594482735</v>
      </c>
      <c r="W192" s="758"/>
      <c r="X192" s="763"/>
    </row>
    <row r="193" spans="1:24" ht="16" thickBot="1">
      <c r="A193" s="762"/>
      <c r="B193" s="758"/>
      <c r="C193" s="758"/>
      <c r="D193" s="758"/>
      <c r="E193" s="758"/>
      <c r="F193" s="758"/>
      <c r="G193" s="758"/>
      <c r="H193" s="758"/>
      <c r="I193" s="758"/>
      <c r="J193" s="758"/>
      <c r="K193" s="758"/>
      <c r="L193" s="758"/>
      <c r="M193" s="320"/>
      <c r="N193" s="322"/>
      <c r="O193" s="320"/>
      <c r="P193" s="348">
        <f t="shared" si="26"/>
        <v>137</v>
      </c>
      <c r="Q193" s="349">
        <f t="shared" si="28"/>
        <v>50739</v>
      </c>
      <c r="R193" s="351">
        <f t="shared" si="23"/>
        <v>10945.634993177071</v>
      </c>
      <c r="S193" s="351">
        <f t="shared" si="24"/>
        <v>16834.883997701138</v>
      </c>
      <c r="T193" s="351">
        <f t="shared" si="29"/>
        <v>27780.518990878209</v>
      </c>
      <c r="U193" s="351">
        <f t="shared" si="27"/>
        <v>4040372.1594482735</v>
      </c>
      <c r="V193" s="351">
        <f t="shared" si="25"/>
        <v>4029426.5244550966</v>
      </c>
      <c r="W193" s="758"/>
      <c r="X193" s="763"/>
    </row>
    <row r="194" spans="1:24" ht="16" thickBot="1">
      <c r="A194" s="762"/>
      <c r="B194" s="758"/>
      <c r="C194" s="758"/>
      <c r="D194" s="758"/>
      <c r="E194" s="758"/>
      <c r="F194" s="758"/>
      <c r="G194" s="758"/>
      <c r="H194" s="758"/>
      <c r="I194" s="758"/>
      <c r="J194" s="758"/>
      <c r="K194" s="758"/>
      <c r="L194" s="758"/>
      <c r="M194" s="320"/>
      <c r="N194" s="322"/>
      <c r="O194" s="320"/>
      <c r="P194" s="348">
        <f t="shared" si="26"/>
        <v>138</v>
      </c>
      <c r="Q194" s="349">
        <f t="shared" si="28"/>
        <v>50770</v>
      </c>
      <c r="R194" s="351">
        <f t="shared" si="23"/>
        <v>10991.241805648642</v>
      </c>
      <c r="S194" s="351">
        <f t="shared" si="24"/>
        <v>16789.27718522957</v>
      </c>
      <c r="T194" s="351">
        <f t="shared" si="29"/>
        <v>27780.518990878212</v>
      </c>
      <c r="U194" s="351">
        <f t="shared" si="27"/>
        <v>4029426.5244550966</v>
      </c>
      <c r="V194" s="351">
        <f t="shared" si="25"/>
        <v>4018435.2826494481</v>
      </c>
      <c r="W194" s="758"/>
      <c r="X194" s="763"/>
    </row>
    <row r="195" spans="1:24" ht="16" thickBot="1">
      <c r="A195" s="762"/>
      <c r="B195" s="758"/>
      <c r="C195" s="758"/>
      <c r="D195" s="758"/>
      <c r="E195" s="758"/>
      <c r="F195" s="758"/>
      <c r="G195" s="758"/>
      <c r="H195" s="758"/>
      <c r="I195" s="758"/>
      <c r="J195" s="758"/>
      <c r="K195" s="758"/>
      <c r="L195" s="758"/>
      <c r="M195" s="320"/>
      <c r="N195" s="322"/>
      <c r="O195" s="320"/>
      <c r="P195" s="348">
        <f t="shared" si="26"/>
        <v>139</v>
      </c>
      <c r="Q195" s="349">
        <f t="shared" si="28"/>
        <v>50801</v>
      </c>
      <c r="R195" s="351">
        <f t="shared" si="23"/>
        <v>11037.038646505511</v>
      </c>
      <c r="S195" s="351">
        <f t="shared" si="24"/>
        <v>16743.4803443727</v>
      </c>
      <c r="T195" s="351">
        <f t="shared" si="29"/>
        <v>27780.518990878212</v>
      </c>
      <c r="U195" s="351">
        <f t="shared" si="27"/>
        <v>4018435.2826494481</v>
      </c>
      <c r="V195" s="351">
        <f t="shared" si="25"/>
        <v>4007398.2440029425</v>
      </c>
      <c r="W195" s="758"/>
      <c r="X195" s="763"/>
    </row>
    <row r="196" spans="1:24" ht="16" thickBot="1">
      <c r="A196" s="762"/>
      <c r="B196" s="758"/>
      <c r="C196" s="758"/>
      <c r="D196" s="758"/>
      <c r="E196" s="758"/>
      <c r="F196" s="758"/>
      <c r="G196" s="758"/>
      <c r="H196" s="758"/>
      <c r="I196" s="758"/>
      <c r="J196" s="758"/>
      <c r="K196" s="758"/>
      <c r="L196" s="758"/>
      <c r="M196" s="320"/>
      <c r="N196" s="322"/>
      <c r="O196" s="320"/>
      <c r="P196" s="348">
        <f t="shared" si="26"/>
        <v>140</v>
      </c>
      <c r="Q196" s="349">
        <f t="shared" si="28"/>
        <v>50829</v>
      </c>
      <c r="R196" s="351">
        <f t="shared" si="23"/>
        <v>11083.026307532618</v>
      </c>
      <c r="S196" s="351">
        <f t="shared" si="24"/>
        <v>16697.492683345594</v>
      </c>
      <c r="T196" s="351">
        <f t="shared" si="29"/>
        <v>27780.518990878212</v>
      </c>
      <c r="U196" s="351">
        <f t="shared" si="27"/>
        <v>4007398.2440029425</v>
      </c>
      <c r="V196" s="351">
        <f t="shared" si="25"/>
        <v>3996315.2176954099</v>
      </c>
      <c r="W196" s="758"/>
      <c r="X196" s="763"/>
    </row>
    <row r="197" spans="1:24" ht="16" thickBot="1">
      <c r="A197" s="762"/>
      <c r="B197" s="758"/>
      <c r="C197" s="758"/>
      <c r="D197" s="758"/>
      <c r="E197" s="758"/>
      <c r="F197" s="758"/>
      <c r="G197" s="758"/>
      <c r="H197" s="758"/>
      <c r="I197" s="758"/>
      <c r="J197" s="758"/>
      <c r="K197" s="758"/>
      <c r="L197" s="758"/>
      <c r="M197" s="320"/>
      <c r="N197" s="322"/>
      <c r="O197" s="320"/>
      <c r="P197" s="348">
        <f t="shared" si="26"/>
        <v>141</v>
      </c>
      <c r="Q197" s="349">
        <f t="shared" si="28"/>
        <v>50860</v>
      </c>
      <c r="R197" s="351">
        <f t="shared" si="23"/>
        <v>11129.205583814004</v>
      </c>
      <c r="S197" s="351">
        <f t="shared" si="24"/>
        <v>16651.313407064208</v>
      </c>
      <c r="T197" s="351">
        <f t="shared" si="29"/>
        <v>27780.518990878212</v>
      </c>
      <c r="U197" s="351">
        <f t="shared" si="27"/>
        <v>3996315.2176954099</v>
      </c>
      <c r="V197" s="351">
        <f t="shared" si="25"/>
        <v>3985186.0121115958</v>
      </c>
      <c r="W197" s="758"/>
      <c r="X197" s="763"/>
    </row>
    <row r="198" spans="1:24" ht="16" thickBot="1">
      <c r="A198" s="762"/>
      <c r="B198" s="758"/>
      <c r="C198" s="758"/>
      <c r="D198" s="758"/>
      <c r="E198" s="758"/>
      <c r="F198" s="758"/>
      <c r="G198" s="758"/>
      <c r="H198" s="758"/>
      <c r="I198" s="758"/>
      <c r="J198" s="758"/>
      <c r="K198" s="758"/>
      <c r="L198" s="758"/>
      <c r="M198" s="320"/>
      <c r="N198" s="322"/>
      <c r="O198" s="320"/>
      <c r="P198" s="348">
        <f t="shared" si="26"/>
        <v>142</v>
      </c>
      <c r="Q198" s="349">
        <f t="shared" si="28"/>
        <v>50890</v>
      </c>
      <c r="R198" s="351">
        <f t="shared" si="23"/>
        <v>11175.577273746563</v>
      </c>
      <c r="S198" s="351">
        <f t="shared" si="24"/>
        <v>16604.941717131649</v>
      </c>
      <c r="T198" s="351">
        <f t="shared" si="29"/>
        <v>27780.518990878212</v>
      </c>
      <c r="U198" s="351">
        <f t="shared" si="27"/>
        <v>3985186.0121115958</v>
      </c>
      <c r="V198" s="351">
        <f t="shared" si="25"/>
        <v>3974010.4348378493</v>
      </c>
      <c r="W198" s="758"/>
      <c r="X198" s="763"/>
    </row>
    <row r="199" spans="1:24" ht="16" thickBot="1">
      <c r="A199" s="762"/>
      <c r="B199" s="758"/>
      <c r="C199" s="758"/>
      <c r="D199" s="758"/>
      <c r="E199" s="758"/>
      <c r="F199" s="758"/>
      <c r="G199" s="758"/>
      <c r="H199" s="758"/>
      <c r="I199" s="758"/>
      <c r="J199" s="758"/>
      <c r="K199" s="758"/>
      <c r="L199" s="758"/>
      <c r="M199" s="320"/>
      <c r="N199" s="322"/>
      <c r="O199" s="320"/>
      <c r="P199" s="348">
        <f t="shared" si="26"/>
        <v>143</v>
      </c>
      <c r="Q199" s="349">
        <f t="shared" si="28"/>
        <v>50921</v>
      </c>
      <c r="R199" s="351">
        <f t="shared" si="23"/>
        <v>11222.142179053839</v>
      </c>
      <c r="S199" s="351">
        <f t="shared" si="24"/>
        <v>16558.376811824372</v>
      </c>
      <c r="T199" s="351">
        <f t="shared" si="29"/>
        <v>27780.518990878212</v>
      </c>
      <c r="U199" s="351">
        <f t="shared" si="27"/>
        <v>3974010.4348378493</v>
      </c>
      <c r="V199" s="351">
        <f t="shared" si="25"/>
        <v>3962788.2926587956</v>
      </c>
      <c r="W199" s="758"/>
      <c r="X199" s="763"/>
    </row>
    <row r="200" spans="1:24" ht="16" thickBot="1">
      <c r="A200" s="762"/>
      <c r="B200" s="758"/>
      <c r="C200" s="758"/>
      <c r="D200" s="758"/>
      <c r="E200" s="758"/>
      <c r="F200" s="758"/>
      <c r="G200" s="758"/>
      <c r="H200" s="758"/>
      <c r="I200" s="758"/>
      <c r="J200" s="758"/>
      <c r="K200" s="758"/>
      <c r="L200" s="758"/>
      <c r="M200" s="320"/>
      <c r="N200" s="322"/>
      <c r="O200" s="320"/>
      <c r="P200" s="348">
        <f t="shared" si="26"/>
        <v>144</v>
      </c>
      <c r="Q200" s="349">
        <f t="shared" si="28"/>
        <v>50951</v>
      </c>
      <c r="R200" s="351">
        <f t="shared" si="23"/>
        <v>11268.901104799897</v>
      </c>
      <c r="S200" s="351">
        <f t="shared" si="24"/>
        <v>16511.617886078315</v>
      </c>
      <c r="T200" s="351">
        <f t="shared" si="29"/>
        <v>27780.518990878212</v>
      </c>
      <c r="U200" s="351">
        <f t="shared" si="27"/>
        <v>3962788.2926587956</v>
      </c>
      <c r="V200" s="351">
        <f t="shared" si="25"/>
        <v>3951519.3915539957</v>
      </c>
      <c r="W200" s="758"/>
      <c r="X200" s="763"/>
    </row>
    <row r="201" spans="1:24" ht="16" thickBot="1">
      <c r="A201" s="762"/>
      <c r="B201" s="758"/>
      <c r="C201" s="758"/>
      <c r="D201" s="758"/>
      <c r="E201" s="758"/>
      <c r="F201" s="758"/>
      <c r="G201" s="758"/>
      <c r="H201" s="758"/>
      <c r="I201" s="758"/>
      <c r="J201" s="758"/>
      <c r="K201" s="758"/>
      <c r="L201" s="758"/>
      <c r="M201" s="320"/>
      <c r="N201" s="322"/>
      <c r="O201" s="320"/>
      <c r="P201" s="348">
        <f t="shared" si="26"/>
        <v>145</v>
      </c>
      <c r="Q201" s="349">
        <f t="shared" si="28"/>
        <v>50982</v>
      </c>
      <c r="R201" s="351">
        <f t="shared" si="23"/>
        <v>11315.854859403229</v>
      </c>
      <c r="S201" s="351">
        <f t="shared" si="24"/>
        <v>16464.664131474983</v>
      </c>
      <c r="T201" s="351">
        <f t="shared" si="29"/>
        <v>27780.518990878212</v>
      </c>
      <c r="U201" s="351">
        <f t="shared" si="27"/>
        <v>3951519.3915539957</v>
      </c>
      <c r="V201" s="351">
        <f t="shared" si="25"/>
        <v>3940203.5366945923</v>
      </c>
      <c r="W201" s="758"/>
      <c r="X201" s="763"/>
    </row>
    <row r="202" spans="1:24" ht="16" thickBot="1">
      <c r="A202" s="762"/>
      <c r="B202" s="758"/>
      <c r="C202" s="758"/>
      <c r="D202" s="758"/>
      <c r="E202" s="758"/>
      <c r="F202" s="758"/>
      <c r="G202" s="758"/>
      <c r="H202" s="758"/>
      <c r="I202" s="758"/>
      <c r="J202" s="758"/>
      <c r="K202" s="758"/>
      <c r="L202" s="758"/>
      <c r="M202" s="320"/>
      <c r="N202" s="322"/>
      <c r="O202" s="320"/>
      <c r="P202" s="348">
        <f t="shared" si="26"/>
        <v>146</v>
      </c>
      <c r="Q202" s="349">
        <f t="shared" si="28"/>
        <v>51013</v>
      </c>
      <c r="R202" s="351">
        <f t="shared" si="23"/>
        <v>11363.004254650741</v>
      </c>
      <c r="S202" s="351">
        <f t="shared" si="24"/>
        <v>16417.514736227469</v>
      </c>
      <c r="T202" s="351">
        <f t="shared" si="29"/>
        <v>27780.518990878212</v>
      </c>
      <c r="U202" s="351">
        <f t="shared" si="27"/>
        <v>3940203.5366945923</v>
      </c>
      <c r="V202" s="351">
        <f t="shared" si="25"/>
        <v>3928840.5324399415</v>
      </c>
      <c r="W202" s="758"/>
      <c r="X202" s="763"/>
    </row>
    <row r="203" spans="1:24" ht="16" thickBot="1">
      <c r="A203" s="762"/>
      <c r="B203" s="758"/>
      <c r="C203" s="758"/>
      <c r="D203" s="758"/>
      <c r="E203" s="758"/>
      <c r="F203" s="758"/>
      <c r="G203" s="758"/>
      <c r="H203" s="758"/>
      <c r="I203" s="758"/>
      <c r="J203" s="758"/>
      <c r="K203" s="758"/>
      <c r="L203" s="758"/>
      <c r="M203" s="320"/>
      <c r="N203" s="322"/>
      <c r="O203" s="320"/>
      <c r="P203" s="348">
        <f t="shared" si="26"/>
        <v>147</v>
      </c>
      <c r="Q203" s="349">
        <f t="shared" si="28"/>
        <v>51043</v>
      </c>
      <c r="R203" s="351">
        <f t="shared" si="23"/>
        <v>11410.350105711786</v>
      </c>
      <c r="S203" s="351">
        <f t="shared" si="24"/>
        <v>16370.168885166422</v>
      </c>
      <c r="T203" s="351">
        <f t="shared" si="29"/>
        <v>27780.518990878209</v>
      </c>
      <c r="U203" s="351">
        <f t="shared" si="27"/>
        <v>3928840.5324399415</v>
      </c>
      <c r="V203" s="351">
        <f t="shared" si="25"/>
        <v>3917430.1823342298</v>
      </c>
      <c r="W203" s="758"/>
      <c r="X203" s="763"/>
    </row>
    <row r="204" spans="1:24" ht="16" thickBot="1">
      <c r="A204" s="762"/>
      <c r="B204" s="758"/>
      <c r="C204" s="758"/>
      <c r="D204" s="758"/>
      <c r="E204" s="758"/>
      <c r="F204" s="758"/>
      <c r="G204" s="758"/>
      <c r="H204" s="758"/>
      <c r="I204" s="758"/>
      <c r="J204" s="758"/>
      <c r="K204" s="758"/>
      <c r="L204" s="758"/>
      <c r="M204" s="320"/>
      <c r="N204" s="322"/>
      <c r="O204" s="320"/>
      <c r="P204" s="348">
        <f t="shared" si="26"/>
        <v>148</v>
      </c>
      <c r="Q204" s="349">
        <f t="shared" si="28"/>
        <v>51074</v>
      </c>
      <c r="R204" s="351">
        <f t="shared" si="23"/>
        <v>11457.893231152251</v>
      </c>
      <c r="S204" s="351">
        <f t="shared" si="24"/>
        <v>16322.625759725957</v>
      </c>
      <c r="T204" s="351">
        <f t="shared" si="29"/>
        <v>27780.518990878209</v>
      </c>
      <c r="U204" s="351">
        <f t="shared" si="27"/>
        <v>3917430.1823342298</v>
      </c>
      <c r="V204" s="351">
        <f t="shared" si="25"/>
        <v>3905972.2891030777</v>
      </c>
      <c r="W204" s="758"/>
      <c r="X204" s="763"/>
    </row>
    <row r="205" spans="1:24" ht="16" thickBot="1">
      <c r="A205" s="762"/>
      <c r="B205" s="758"/>
      <c r="C205" s="758"/>
      <c r="D205" s="758"/>
      <c r="E205" s="758"/>
      <c r="F205" s="758"/>
      <c r="G205" s="758"/>
      <c r="H205" s="758"/>
      <c r="I205" s="758"/>
      <c r="J205" s="758"/>
      <c r="K205" s="758"/>
      <c r="L205" s="758"/>
      <c r="M205" s="320"/>
      <c r="N205" s="322"/>
      <c r="O205" s="320"/>
      <c r="P205" s="348">
        <f t="shared" si="26"/>
        <v>149</v>
      </c>
      <c r="Q205" s="349">
        <f t="shared" si="28"/>
        <v>51104</v>
      </c>
      <c r="R205" s="351">
        <f t="shared" si="23"/>
        <v>11505.634452948721</v>
      </c>
      <c r="S205" s="351">
        <f t="shared" si="24"/>
        <v>16274.884537929491</v>
      </c>
      <c r="T205" s="351">
        <f t="shared" si="29"/>
        <v>27780.518990878212</v>
      </c>
      <c r="U205" s="351">
        <f t="shared" si="27"/>
        <v>3905972.2891030777</v>
      </c>
      <c r="V205" s="351">
        <f t="shared" si="25"/>
        <v>3894466.6546501289</v>
      </c>
      <c r="W205" s="758"/>
      <c r="X205" s="763"/>
    </row>
    <row r="206" spans="1:24" ht="16" thickBot="1">
      <c r="A206" s="762"/>
      <c r="B206" s="758"/>
      <c r="C206" s="758"/>
      <c r="D206" s="758"/>
      <c r="E206" s="758"/>
      <c r="F206" s="758"/>
      <c r="G206" s="758"/>
      <c r="H206" s="758"/>
      <c r="I206" s="758"/>
      <c r="J206" s="758"/>
      <c r="K206" s="758"/>
      <c r="L206" s="758"/>
      <c r="M206" s="320"/>
      <c r="N206" s="322"/>
      <c r="O206" s="320"/>
      <c r="P206" s="348">
        <f t="shared" si="26"/>
        <v>150</v>
      </c>
      <c r="Q206" s="349">
        <f t="shared" si="28"/>
        <v>51135</v>
      </c>
      <c r="R206" s="351">
        <f t="shared" si="23"/>
        <v>11553.574596502674</v>
      </c>
      <c r="S206" s="351">
        <f t="shared" si="24"/>
        <v>16226.944394375538</v>
      </c>
      <c r="T206" s="351">
        <f t="shared" si="29"/>
        <v>27780.518990878212</v>
      </c>
      <c r="U206" s="351">
        <f t="shared" si="27"/>
        <v>3894466.6546501289</v>
      </c>
      <c r="V206" s="351">
        <f t="shared" si="25"/>
        <v>3882913.0800536261</v>
      </c>
      <c r="W206" s="758"/>
      <c r="X206" s="763"/>
    </row>
    <row r="207" spans="1:24" ht="16" thickBot="1">
      <c r="A207" s="762"/>
      <c r="B207" s="758"/>
      <c r="C207" s="758"/>
      <c r="D207" s="758"/>
      <c r="E207" s="758"/>
      <c r="F207" s="758"/>
      <c r="G207" s="758"/>
      <c r="H207" s="758"/>
      <c r="I207" s="758"/>
      <c r="J207" s="758"/>
      <c r="K207" s="758"/>
      <c r="L207" s="758"/>
      <c r="M207" s="320"/>
      <c r="N207" s="322"/>
      <c r="O207" s="320"/>
      <c r="P207" s="348">
        <f t="shared" si="26"/>
        <v>151</v>
      </c>
      <c r="Q207" s="349">
        <f t="shared" si="28"/>
        <v>51166</v>
      </c>
      <c r="R207" s="351">
        <f t="shared" si="23"/>
        <v>11601.714490654769</v>
      </c>
      <c r="S207" s="351">
        <f t="shared" si="24"/>
        <v>16178.804500223441</v>
      </c>
      <c r="T207" s="351">
        <f t="shared" si="29"/>
        <v>27780.518990878212</v>
      </c>
      <c r="U207" s="351">
        <f t="shared" si="27"/>
        <v>3882913.0800536261</v>
      </c>
      <c r="V207" s="351">
        <f t="shared" si="25"/>
        <v>3871311.3655629712</v>
      </c>
      <c r="W207" s="758"/>
      <c r="X207" s="763"/>
    </row>
    <row r="208" spans="1:24" ht="16" thickBot="1">
      <c r="A208" s="762"/>
      <c r="B208" s="758"/>
      <c r="C208" s="758"/>
      <c r="D208" s="758"/>
      <c r="E208" s="758"/>
      <c r="F208" s="758"/>
      <c r="G208" s="758"/>
      <c r="H208" s="758"/>
      <c r="I208" s="758"/>
      <c r="J208" s="758"/>
      <c r="K208" s="758"/>
      <c r="L208" s="758"/>
      <c r="M208" s="320"/>
      <c r="N208" s="322"/>
      <c r="O208" s="320"/>
      <c r="P208" s="348">
        <f t="shared" si="26"/>
        <v>152</v>
      </c>
      <c r="Q208" s="349">
        <f t="shared" si="28"/>
        <v>51195</v>
      </c>
      <c r="R208" s="351">
        <f t="shared" si="23"/>
        <v>11650.054967699165</v>
      </c>
      <c r="S208" s="351">
        <f t="shared" si="24"/>
        <v>16130.464023179047</v>
      </c>
      <c r="T208" s="351">
        <f t="shared" si="29"/>
        <v>27780.518990878212</v>
      </c>
      <c r="U208" s="351">
        <f t="shared" si="27"/>
        <v>3871311.3655629712</v>
      </c>
      <c r="V208" s="351">
        <f t="shared" si="25"/>
        <v>3859661.3105952721</v>
      </c>
      <c r="W208" s="758"/>
      <c r="X208" s="763"/>
    </row>
    <row r="209" spans="1:24" ht="16" thickBot="1">
      <c r="A209" s="762"/>
      <c r="B209" s="758"/>
      <c r="C209" s="758"/>
      <c r="D209" s="758"/>
      <c r="E209" s="758"/>
      <c r="F209" s="758"/>
      <c r="G209" s="758"/>
      <c r="H209" s="758"/>
      <c r="I209" s="758"/>
      <c r="J209" s="758"/>
      <c r="K209" s="758"/>
      <c r="L209" s="758"/>
      <c r="M209" s="320"/>
      <c r="N209" s="322"/>
      <c r="O209" s="320"/>
      <c r="P209" s="348">
        <f t="shared" si="26"/>
        <v>153</v>
      </c>
      <c r="Q209" s="349">
        <f t="shared" si="28"/>
        <v>51226</v>
      </c>
      <c r="R209" s="351">
        <f t="shared" si="23"/>
        <v>11698.596863397912</v>
      </c>
      <c r="S209" s="351">
        <f t="shared" si="24"/>
        <v>16081.9221274803</v>
      </c>
      <c r="T209" s="351">
        <f t="shared" si="29"/>
        <v>27780.518990878212</v>
      </c>
      <c r="U209" s="351">
        <f t="shared" si="27"/>
        <v>3859661.3105952721</v>
      </c>
      <c r="V209" s="351">
        <f t="shared" si="25"/>
        <v>3847962.7137318742</v>
      </c>
      <c r="W209" s="758"/>
      <c r="X209" s="763"/>
    </row>
    <row r="210" spans="1:24" ht="16" thickBot="1">
      <c r="A210" s="762"/>
      <c r="B210" s="758"/>
      <c r="C210" s="758"/>
      <c r="D210" s="758"/>
      <c r="E210" s="758"/>
      <c r="F210" s="758"/>
      <c r="G210" s="758"/>
      <c r="H210" s="758"/>
      <c r="I210" s="758"/>
      <c r="J210" s="758"/>
      <c r="K210" s="758"/>
      <c r="L210" s="758"/>
      <c r="M210" s="320"/>
      <c r="N210" s="322"/>
      <c r="O210" s="320"/>
      <c r="P210" s="348">
        <f t="shared" si="26"/>
        <v>154</v>
      </c>
      <c r="Q210" s="349">
        <f t="shared" si="28"/>
        <v>51256</v>
      </c>
      <c r="R210" s="351">
        <f t="shared" si="23"/>
        <v>11747.341016995402</v>
      </c>
      <c r="S210" s="351">
        <f t="shared" si="24"/>
        <v>16033.17797388281</v>
      </c>
      <c r="T210" s="351">
        <f t="shared" si="29"/>
        <v>27780.518990878212</v>
      </c>
      <c r="U210" s="351">
        <f t="shared" si="27"/>
        <v>3847962.7137318742</v>
      </c>
      <c r="V210" s="351">
        <f t="shared" si="25"/>
        <v>3836215.372714879</v>
      </c>
      <c r="W210" s="758"/>
      <c r="X210" s="763"/>
    </row>
    <row r="211" spans="1:24" ht="16" thickBot="1">
      <c r="A211" s="762"/>
      <c r="B211" s="758"/>
      <c r="C211" s="758"/>
      <c r="D211" s="758"/>
      <c r="E211" s="758"/>
      <c r="F211" s="758"/>
      <c r="G211" s="758"/>
      <c r="H211" s="758"/>
      <c r="I211" s="758"/>
      <c r="J211" s="758"/>
      <c r="K211" s="758"/>
      <c r="L211" s="758"/>
      <c r="M211" s="320"/>
      <c r="N211" s="322"/>
      <c r="O211" s="320"/>
      <c r="P211" s="348">
        <f t="shared" si="26"/>
        <v>155</v>
      </c>
      <c r="Q211" s="349">
        <f t="shared" si="28"/>
        <v>51287</v>
      </c>
      <c r="R211" s="351">
        <f t="shared" si="23"/>
        <v>11796.288271232883</v>
      </c>
      <c r="S211" s="351">
        <f t="shared" si="24"/>
        <v>15984.230719645329</v>
      </c>
      <c r="T211" s="351">
        <f t="shared" si="29"/>
        <v>27780.518990878212</v>
      </c>
      <c r="U211" s="351">
        <f t="shared" si="27"/>
        <v>3836215.372714879</v>
      </c>
      <c r="V211" s="351">
        <f t="shared" si="25"/>
        <v>3824419.084443646</v>
      </c>
      <c r="W211" s="758"/>
      <c r="X211" s="763"/>
    </row>
    <row r="212" spans="1:24" ht="16" thickBot="1">
      <c r="A212" s="762"/>
      <c r="B212" s="758"/>
      <c r="C212" s="758"/>
      <c r="D212" s="758"/>
      <c r="E212" s="758"/>
      <c r="F212" s="758"/>
      <c r="G212" s="758"/>
      <c r="H212" s="758"/>
      <c r="I212" s="758"/>
      <c r="J212" s="758"/>
      <c r="K212" s="758"/>
      <c r="L212" s="758"/>
      <c r="M212" s="320"/>
      <c r="N212" s="322"/>
      <c r="O212" s="320"/>
      <c r="P212" s="348">
        <f t="shared" si="26"/>
        <v>156</v>
      </c>
      <c r="Q212" s="349">
        <f t="shared" si="28"/>
        <v>51317</v>
      </c>
      <c r="R212" s="351">
        <f t="shared" si="23"/>
        <v>11845.439472363019</v>
      </c>
      <c r="S212" s="351">
        <f t="shared" si="24"/>
        <v>15935.079518515191</v>
      </c>
      <c r="T212" s="351">
        <f t="shared" si="29"/>
        <v>27780.518990878212</v>
      </c>
      <c r="U212" s="351">
        <f t="shared" si="27"/>
        <v>3824419.084443646</v>
      </c>
      <c r="V212" s="351">
        <f t="shared" si="25"/>
        <v>3812573.6449712832</v>
      </c>
      <c r="W212" s="758"/>
      <c r="X212" s="763"/>
    </row>
    <row r="213" spans="1:24" ht="16" thickBot="1">
      <c r="A213" s="762"/>
      <c r="B213" s="758"/>
      <c r="C213" s="758"/>
      <c r="D213" s="758"/>
      <c r="E213" s="758"/>
      <c r="F213" s="758"/>
      <c r="G213" s="758"/>
      <c r="H213" s="758"/>
      <c r="I213" s="758"/>
      <c r="J213" s="758"/>
      <c r="K213" s="758"/>
      <c r="L213" s="758"/>
      <c r="M213" s="320"/>
      <c r="N213" s="322"/>
      <c r="O213" s="320"/>
      <c r="P213" s="348">
        <f t="shared" si="26"/>
        <v>157</v>
      </c>
      <c r="Q213" s="349">
        <f t="shared" si="28"/>
        <v>51348</v>
      </c>
      <c r="R213" s="351">
        <f t="shared" si="23"/>
        <v>11894.795470164532</v>
      </c>
      <c r="S213" s="351">
        <f t="shared" si="24"/>
        <v>15885.72352071368</v>
      </c>
      <c r="T213" s="351">
        <f t="shared" si="29"/>
        <v>27780.518990878212</v>
      </c>
      <c r="U213" s="351">
        <f t="shared" si="27"/>
        <v>3812573.6449712832</v>
      </c>
      <c r="V213" s="351">
        <f t="shared" si="25"/>
        <v>3800678.8495011185</v>
      </c>
      <c r="W213" s="758"/>
      <c r="X213" s="763"/>
    </row>
    <row r="214" spans="1:24" ht="16" thickBot="1">
      <c r="A214" s="762"/>
      <c r="B214" s="758"/>
      <c r="C214" s="758"/>
      <c r="D214" s="758"/>
      <c r="E214" s="758"/>
      <c r="F214" s="758"/>
      <c r="G214" s="758"/>
      <c r="H214" s="758"/>
      <c r="I214" s="758"/>
      <c r="J214" s="758"/>
      <c r="K214" s="758"/>
      <c r="L214" s="758"/>
      <c r="M214" s="320"/>
      <c r="N214" s="322"/>
      <c r="O214" s="320"/>
      <c r="P214" s="348">
        <f t="shared" si="26"/>
        <v>158</v>
      </c>
      <c r="Q214" s="349">
        <f t="shared" si="28"/>
        <v>51379</v>
      </c>
      <c r="R214" s="351">
        <f t="shared" si="23"/>
        <v>11944.357117956884</v>
      </c>
      <c r="S214" s="351">
        <f t="shared" si="24"/>
        <v>15836.161872921328</v>
      </c>
      <c r="T214" s="351">
        <f t="shared" si="29"/>
        <v>27780.518990878212</v>
      </c>
      <c r="U214" s="351">
        <f t="shared" si="27"/>
        <v>3800678.8495011185</v>
      </c>
      <c r="V214" s="351">
        <f t="shared" si="25"/>
        <v>3788734.4923831616</v>
      </c>
      <c r="W214" s="758"/>
      <c r="X214" s="763"/>
    </row>
    <row r="215" spans="1:24" ht="16" thickBot="1">
      <c r="A215" s="762"/>
      <c r="B215" s="758"/>
      <c r="C215" s="758"/>
      <c r="D215" s="758"/>
      <c r="E215" s="758"/>
      <c r="F215" s="758"/>
      <c r="G215" s="758"/>
      <c r="H215" s="758"/>
      <c r="I215" s="758"/>
      <c r="J215" s="758"/>
      <c r="K215" s="758"/>
      <c r="L215" s="758"/>
      <c r="M215" s="320"/>
      <c r="N215" s="322"/>
      <c r="O215" s="320"/>
      <c r="P215" s="348">
        <f t="shared" si="26"/>
        <v>159</v>
      </c>
      <c r="Q215" s="349">
        <f t="shared" si="28"/>
        <v>51409</v>
      </c>
      <c r="R215" s="351">
        <f t="shared" si="23"/>
        <v>11994.125272615038</v>
      </c>
      <c r="S215" s="351">
        <f t="shared" si="24"/>
        <v>15786.393718263173</v>
      </c>
      <c r="T215" s="351">
        <f t="shared" si="29"/>
        <v>27780.518990878212</v>
      </c>
      <c r="U215" s="351">
        <f t="shared" si="27"/>
        <v>3788734.4923831616</v>
      </c>
      <c r="V215" s="351">
        <f t="shared" si="25"/>
        <v>3776740.3671105467</v>
      </c>
      <c r="W215" s="758"/>
      <c r="X215" s="763"/>
    </row>
    <row r="216" spans="1:24" ht="16" thickBot="1">
      <c r="A216" s="762"/>
      <c r="B216" s="758"/>
      <c r="C216" s="758"/>
      <c r="D216" s="758"/>
      <c r="E216" s="758"/>
      <c r="F216" s="758"/>
      <c r="G216" s="758"/>
      <c r="H216" s="758"/>
      <c r="I216" s="758"/>
      <c r="J216" s="758"/>
      <c r="K216" s="758"/>
      <c r="L216" s="758"/>
      <c r="M216" s="320"/>
      <c r="N216" s="322"/>
      <c r="O216" s="320"/>
      <c r="P216" s="348">
        <f t="shared" si="26"/>
        <v>160</v>
      </c>
      <c r="Q216" s="349">
        <f t="shared" si="28"/>
        <v>51440</v>
      </c>
      <c r="R216" s="351">
        <f t="shared" si="23"/>
        <v>12044.100794584267</v>
      </c>
      <c r="S216" s="351">
        <f t="shared" si="24"/>
        <v>15736.418196293944</v>
      </c>
      <c r="T216" s="351">
        <f t="shared" si="29"/>
        <v>27780.518990878212</v>
      </c>
      <c r="U216" s="351">
        <f t="shared" si="27"/>
        <v>3776740.3671105467</v>
      </c>
      <c r="V216" s="351">
        <f t="shared" si="25"/>
        <v>3764696.2663159622</v>
      </c>
      <c r="W216" s="758"/>
      <c r="X216" s="763"/>
    </row>
    <row r="217" spans="1:24" ht="16" thickBot="1">
      <c r="A217" s="762"/>
      <c r="B217" s="758"/>
      <c r="C217" s="758"/>
      <c r="D217" s="758"/>
      <c r="E217" s="758"/>
      <c r="F217" s="758"/>
      <c r="G217" s="758"/>
      <c r="H217" s="758"/>
      <c r="I217" s="758"/>
      <c r="J217" s="758"/>
      <c r="K217" s="758"/>
      <c r="L217" s="758"/>
      <c r="M217" s="320"/>
      <c r="N217" s="322"/>
      <c r="O217" s="320"/>
      <c r="P217" s="348">
        <f t="shared" si="26"/>
        <v>161</v>
      </c>
      <c r="Q217" s="349">
        <f t="shared" si="28"/>
        <v>51470</v>
      </c>
      <c r="R217" s="351">
        <f t="shared" si="23"/>
        <v>12094.284547895033</v>
      </c>
      <c r="S217" s="351">
        <f t="shared" si="24"/>
        <v>15686.234442983176</v>
      </c>
      <c r="T217" s="351">
        <f t="shared" si="29"/>
        <v>27780.518990878209</v>
      </c>
      <c r="U217" s="351">
        <f t="shared" si="27"/>
        <v>3764696.2663159622</v>
      </c>
      <c r="V217" s="351">
        <f t="shared" si="25"/>
        <v>3752601.981768067</v>
      </c>
      <c r="W217" s="758"/>
      <c r="X217" s="763"/>
    </row>
    <row r="218" spans="1:24" ht="16" thickBot="1">
      <c r="A218" s="762"/>
      <c r="B218" s="758"/>
      <c r="C218" s="758"/>
      <c r="D218" s="758"/>
      <c r="E218" s="758"/>
      <c r="F218" s="758"/>
      <c r="G218" s="758"/>
      <c r="H218" s="758"/>
      <c r="I218" s="758"/>
      <c r="J218" s="758"/>
      <c r="K218" s="758"/>
      <c r="L218" s="758"/>
      <c r="M218" s="320"/>
      <c r="N218" s="322"/>
      <c r="O218" s="320"/>
      <c r="P218" s="348">
        <f t="shared" si="26"/>
        <v>162</v>
      </c>
      <c r="Q218" s="349">
        <f t="shared" si="28"/>
        <v>51501</v>
      </c>
      <c r="R218" s="351">
        <f t="shared" si="23"/>
        <v>12144.67740017793</v>
      </c>
      <c r="S218" s="351">
        <f t="shared" si="24"/>
        <v>15635.841590700278</v>
      </c>
      <c r="T218" s="351">
        <f t="shared" si="29"/>
        <v>27780.518990878209</v>
      </c>
      <c r="U218" s="351">
        <f t="shared" si="27"/>
        <v>3752601.981768067</v>
      </c>
      <c r="V218" s="351">
        <f t="shared" si="25"/>
        <v>3740457.3043678892</v>
      </c>
      <c r="W218" s="758"/>
      <c r="X218" s="763"/>
    </row>
    <row r="219" spans="1:24" ht="16" thickBot="1">
      <c r="A219" s="762"/>
      <c r="B219" s="758"/>
      <c r="C219" s="758"/>
      <c r="D219" s="758"/>
      <c r="E219" s="758"/>
      <c r="F219" s="758"/>
      <c r="G219" s="758"/>
      <c r="H219" s="758"/>
      <c r="I219" s="758"/>
      <c r="J219" s="758"/>
      <c r="K219" s="758"/>
      <c r="L219" s="758"/>
      <c r="M219" s="320"/>
      <c r="N219" s="322"/>
      <c r="O219" s="320"/>
      <c r="P219" s="348">
        <f t="shared" si="26"/>
        <v>163</v>
      </c>
      <c r="Q219" s="349">
        <f t="shared" si="28"/>
        <v>51532</v>
      </c>
      <c r="R219" s="351">
        <f t="shared" si="23"/>
        <v>12195.280222678673</v>
      </c>
      <c r="S219" s="351">
        <f t="shared" si="24"/>
        <v>15585.238768199539</v>
      </c>
      <c r="T219" s="351">
        <f t="shared" si="29"/>
        <v>27780.518990878212</v>
      </c>
      <c r="U219" s="351">
        <f t="shared" si="27"/>
        <v>3740457.3043678892</v>
      </c>
      <c r="V219" s="351">
        <f t="shared" si="25"/>
        <v>3728262.0241452106</v>
      </c>
      <c r="W219" s="758"/>
      <c r="X219" s="763"/>
    </row>
    <row r="220" spans="1:24" ht="16" thickBot="1">
      <c r="A220" s="762"/>
      <c r="B220" s="758"/>
      <c r="C220" s="758"/>
      <c r="D220" s="758"/>
      <c r="E220" s="758"/>
      <c r="F220" s="758"/>
      <c r="G220" s="758"/>
      <c r="H220" s="758"/>
      <c r="I220" s="758"/>
      <c r="J220" s="758"/>
      <c r="K220" s="758"/>
      <c r="L220" s="758"/>
      <c r="M220" s="320"/>
      <c r="N220" s="322"/>
      <c r="O220" s="320"/>
      <c r="P220" s="348">
        <f t="shared" si="26"/>
        <v>164</v>
      </c>
      <c r="Q220" s="349">
        <f t="shared" si="28"/>
        <v>51560</v>
      </c>
      <c r="R220" s="351">
        <f t="shared" si="23"/>
        <v>12246.093890273167</v>
      </c>
      <c r="S220" s="351">
        <f t="shared" si="24"/>
        <v>15534.425100605044</v>
      </c>
      <c r="T220" s="351">
        <f t="shared" si="29"/>
        <v>27780.518990878212</v>
      </c>
      <c r="U220" s="351">
        <f t="shared" si="27"/>
        <v>3728262.0241452106</v>
      </c>
      <c r="V220" s="351">
        <f t="shared" si="25"/>
        <v>3716015.9302549376</v>
      </c>
      <c r="W220" s="758"/>
      <c r="X220" s="763"/>
    </row>
    <row r="221" spans="1:24" ht="16" thickBot="1">
      <c r="A221" s="762"/>
      <c r="B221" s="758"/>
      <c r="C221" s="758"/>
      <c r="D221" s="758"/>
      <c r="E221" s="758"/>
      <c r="F221" s="758"/>
      <c r="G221" s="758"/>
      <c r="H221" s="758"/>
      <c r="I221" s="758"/>
      <c r="J221" s="758"/>
      <c r="K221" s="758"/>
      <c r="L221" s="758"/>
      <c r="M221" s="320"/>
      <c r="N221" s="322"/>
      <c r="O221" s="320"/>
      <c r="P221" s="348">
        <f t="shared" si="26"/>
        <v>165</v>
      </c>
      <c r="Q221" s="349">
        <f t="shared" si="28"/>
        <v>51591</v>
      </c>
      <c r="R221" s="351">
        <f t="shared" si="23"/>
        <v>12297.119281482639</v>
      </c>
      <c r="S221" s="351">
        <f t="shared" si="24"/>
        <v>15483.399709395573</v>
      </c>
      <c r="T221" s="351">
        <f t="shared" si="29"/>
        <v>27780.518990878212</v>
      </c>
      <c r="U221" s="351">
        <f t="shared" si="27"/>
        <v>3716015.9302549376</v>
      </c>
      <c r="V221" s="351">
        <f t="shared" si="25"/>
        <v>3703718.8109734552</v>
      </c>
      <c r="W221" s="758"/>
      <c r="X221" s="763"/>
    </row>
    <row r="222" spans="1:24" ht="16" thickBot="1">
      <c r="A222" s="762"/>
      <c r="B222" s="758"/>
      <c r="C222" s="758"/>
      <c r="D222" s="758"/>
      <c r="E222" s="758"/>
      <c r="F222" s="758"/>
      <c r="G222" s="758"/>
      <c r="H222" s="758"/>
      <c r="I222" s="758"/>
      <c r="J222" s="758"/>
      <c r="K222" s="758"/>
      <c r="L222" s="758"/>
      <c r="M222" s="320"/>
      <c r="N222" s="322"/>
      <c r="O222" s="320"/>
      <c r="P222" s="348">
        <f t="shared" si="26"/>
        <v>166</v>
      </c>
      <c r="Q222" s="349">
        <f t="shared" si="28"/>
        <v>51621</v>
      </c>
      <c r="R222" s="351">
        <f t="shared" si="23"/>
        <v>12348.357278488815</v>
      </c>
      <c r="S222" s="351">
        <f t="shared" si="24"/>
        <v>15432.161712389396</v>
      </c>
      <c r="T222" s="351">
        <f t="shared" si="29"/>
        <v>27780.518990878212</v>
      </c>
      <c r="U222" s="351">
        <f t="shared" si="27"/>
        <v>3703718.8109734552</v>
      </c>
      <c r="V222" s="351">
        <f t="shared" si="25"/>
        <v>3691370.4536949662</v>
      </c>
      <c r="W222" s="758"/>
      <c r="X222" s="763"/>
    </row>
    <row r="223" spans="1:24" ht="16" thickBot="1">
      <c r="A223" s="762"/>
      <c r="B223" s="758"/>
      <c r="C223" s="758"/>
      <c r="D223" s="758"/>
      <c r="E223" s="758"/>
      <c r="F223" s="758"/>
      <c r="G223" s="758"/>
      <c r="H223" s="758"/>
      <c r="I223" s="758"/>
      <c r="J223" s="758"/>
      <c r="K223" s="758"/>
      <c r="L223" s="758"/>
      <c r="M223" s="320"/>
      <c r="N223" s="322"/>
      <c r="O223" s="320"/>
      <c r="P223" s="348">
        <f t="shared" si="26"/>
        <v>167</v>
      </c>
      <c r="Q223" s="349">
        <f t="shared" si="28"/>
        <v>51652</v>
      </c>
      <c r="R223" s="351">
        <f t="shared" si="23"/>
        <v>12399.808767149187</v>
      </c>
      <c r="S223" s="351">
        <f t="shared" si="24"/>
        <v>15380.710223729026</v>
      </c>
      <c r="T223" s="351">
        <f t="shared" si="29"/>
        <v>27780.518990878212</v>
      </c>
      <c r="U223" s="351">
        <f t="shared" si="27"/>
        <v>3691370.4536949662</v>
      </c>
      <c r="V223" s="351">
        <f t="shared" si="25"/>
        <v>3678970.6449278169</v>
      </c>
      <c r="W223" s="758"/>
      <c r="X223" s="763"/>
    </row>
    <row r="224" spans="1:24" ht="16" thickBot="1">
      <c r="A224" s="762"/>
      <c r="B224" s="758"/>
      <c r="C224" s="758"/>
      <c r="D224" s="758"/>
      <c r="E224" s="758"/>
      <c r="F224" s="758"/>
      <c r="G224" s="758"/>
      <c r="H224" s="758"/>
      <c r="I224" s="758"/>
      <c r="J224" s="758"/>
      <c r="K224" s="758"/>
      <c r="L224" s="758"/>
      <c r="M224" s="320"/>
      <c r="N224" s="322"/>
      <c r="O224" s="320"/>
      <c r="P224" s="348">
        <f t="shared" si="26"/>
        <v>168</v>
      </c>
      <c r="Q224" s="349">
        <f t="shared" si="28"/>
        <v>51682</v>
      </c>
      <c r="R224" s="351">
        <f t="shared" si="23"/>
        <v>12451.474637012308</v>
      </c>
      <c r="S224" s="351">
        <f t="shared" si="24"/>
        <v>15329.044353865904</v>
      </c>
      <c r="T224" s="351">
        <f t="shared" si="29"/>
        <v>27780.518990878212</v>
      </c>
      <c r="U224" s="351">
        <f t="shared" si="27"/>
        <v>3678970.6449278169</v>
      </c>
      <c r="V224" s="351">
        <f t="shared" si="25"/>
        <v>3666519.1702908045</v>
      </c>
      <c r="W224" s="758"/>
      <c r="X224" s="763"/>
    </row>
    <row r="225" spans="1:24" ht="16" thickBot="1">
      <c r="A225" s="762"/>
      <c r="B225" s="758"/>
      <c r="C225" s="758"/>
      <c r="D225" s="758"/>
      <c r="E225" s="758"/>
      <c r="F225" s="758"/>
      <c r="G225" s="758"/>
      <c r="H225" s="758"/>
      <c r="I225" s="758"/>
      <c r="J225" s="758"/>
      <c r="K225" s="758"/>
      <c r="L225" s="758"/>
      <c r="M225" s="320"/>
      <c r="N225" s="322"/>
      <c r="O225" s="320"/>
      <c r="P225" s="348">
        <f t="shared" si="26"/>
        <v>169</v>
      </c>
      <c r="Q225" s="349">
        <f t="shared" si="28"/>
        <v>51713</v>
      </c>
      <c r="R225" s="351">
        <f t="shared" si="23"/>
        <v>12503.355781333194</v>
      </c>
      <c r="S225" s="351">
        <f t="shared" si="24"/>
        <v>15277.163209545019</v>
      </c>
      <c r="T225" s="351">
        <f t="shared" si="29"/>
        <v>27780.518990878212</v>
      </c>
      <c r="U225" s="351">
        <f t="shared" si="27"/>
        <v>3666519.1702908045</v>
      </c>
      <c r="V225" s="351">
        <f t="shared" si="25"/>
        <v>3654015.8145094714</v>
      </c>
      <c r="W225" s="758"/>
      <c r="X225" s="763"/>
    </row>
    <row r="226" spans="1:24" ht="16" thickBot="1">
      <c r="A226" s="762"/>
      <c r="B226" s="758"/>
      <c r="C226" s="758"/>
      <c r="D226" s="758"/>
      <c r="E226" s="758"/>
      <c r="F226" s="758"/>
      <c r="G226" s="758"/>
      <c r="H226" s="758"/>
      <c r="I226" s="758"/>
      <c r="J226" s="758"/>
      <c r="K226" s="758"/>
      <c r="L226" s="758"/>
      <c r="M226" s="320"/>
      <c r="N226" s="322"/>
      <c r="O226" s="320"/>
      <c r="P226" s="348">
        <f t="shared" si="26"/>
        <v>170</v>
      </c>
      <c r="Q226" s="349">
        <f t="shared" si="28"/>
        <v>51744</v>
      </c>
      <c r="R226" s="351">
        <f t="shared" si="23"/>
        <v>12555.453097088748</v>
      </c>
      <c r="S226" s="351">
        <f t="shared" si="24"/>
        <v>15225.065893789464</v>
      </c>
      <c r="T226" s="351">
        <f t="shared" si="29"/>
        <v>27780.518990878212</v>
      </c>
      <c r="U226" s="351">
        <f t="shared" si="27"/>
        <v>3654015.8145094714</v>
      </c>
      <c r="V226" s="351">
        <f t="shared" si="25"/>
        <v>3641460.3614123827</v>
      </c>
      <c r="W226" s="758"/>
      <c r="X226" s="763"/>
    </row>
    <row r="227" spans="1:24" ht="16" thickBot="1">
      <c r="A227" s="762"/>
      <c r="B227" s="758"/>
      <c r="C227" s="758"/>
      <c r="D227" s="758"/>
      <c r="E227" s="758"/>
      <c r="F227" s="758"/>
      <c r="G227" s="758"/>
      <c r="H227" s="758"/>
      <c r="I227" s="758"/>
      <c r="J227" s="758"/>
      <c r="K227" s="758"/>
      <c r="L227" s="758"/>
      <c r="M227" s="320"/>
      <c r="N227" s="322"/>
      <c r="O227" s="320"/>
      <c r="P227" s="348">
        <f t="shared" si="26"/>
        <v>171</v>
      </c>
      <c r="Q227" s="349">
        <f t="shared" si="28"/>
        <v>51774</v>
      </c>
      <c r="R227" s="351">
        <f t="shared" si="23"/>
        <v>12607.767484993285</v>
      </c>
      <c r="S227" s="351">
        <f t="shared" si="24"/>
        <v>15172.751505884928</v>
      </c>
      <c r="T227" s="351">
        <f t="shared" si="29"/>
        <v>27780.518990878212</v>
      </c>
      <c r="U227" s="351">
        <f t="shared" si="27"/>
        <v>3641460.3614123827</v>
      </c>
      <c r="V227" s="351">
        <f t="shared" si="25"/>
        <v>3628852.5939273895</v>
      </c>
      <c r="W227" s="758"/>
      <c r="X227" s="763"/>
    </row>
    <row r="228" spans="1:24" ht="16" thickBot="1">
      <c r="A228" s="762"/>
      <c r="B228" s="758"/>
      <c r="C228" s="758"/>
      <c r="D228" s="758"/>
      <c r="E228" s="758"/>
      <c r="F228" s="758"/>
      <c r="G228" s="758"/>
      <c r="H228" s="758"/>
      <c r="I228" s="758"/>
      <c r="J228" s="758"/>
      <c r="K228" s="758"/>
      <c r="L228" s="758"/>
      <c r="M228" s="320"/>
      <c r="N228" s="322"/>
      <c r="O228" s="320"/>
      <c r="P228" s="348">
        <f t="shared" si="26"/>
        <v>172</v>
      </c>
      <c r="Q228" s="349">
        <f t="shared" si="28"/>
        <v>51805</v>
      </c>
      <c r="R228" s="351">
        <f t="shared" si="23"/>
        <v>12660.299849514089</v>
      </c>
      <c r="S228" s="351">
        <f t="shared" si="24"/>
        <v>15120.219141364123</v>
      </c>
      <c r="T228" s="351">
        <f t="shared" si="29"/>
        <v>27780.518990878212</v>
      </c>
      <c r="U228" s="351">
        <f t="shared" si="27"/>
        <v>3628852.5939273895</v>
      </c>
      <c r="V228" s="351">
        <f t="shared" si="25"/>
        <v>3616192.2940778756</v>
      </c>
      <c r="W228" s="758"/>
      <c r="X228" s="763"/>
    </row>
    <row r="229" spans="1:24" ht="16" thickBot="1">
      <c r="A229" s="762"/>
      <c r="B229" s="758"/>
      <c r="C229" s="758"/>
      <c r="D229" s="758"/>
      <c r="E229" s="758"/>
      <c r="F229" s="758"/>
      <c r="G229" s="758"/>
      <c r="H229" s="758"/>
      <c r="I229" s="758"/>
      <c r="J229" s="758"/>
      <c r="K229" s="758"/>
      <c r="L229" s="758"/>
      <c r="M229" s="320"/>
      <c r="N229" s="322"/>
      <c r="O229" s="320"/>
      <c r="P229" s="348">
        <f t="shared" si="26"/>
        <v>173</v>
      </c>
      <c r="Q229" s="349">
        <f t="shared" si="28"/>
        <v>51835</v>
      </c>
      <c r="R229" s="351">
        <f t="shared" si="23"/>
        <v>12713.051098887063</v>
      </c>
      <c r="S229" s="351">
        <f t="shared" si="24"/>
        <v>15067.467891991148</v>
      </c>
      <c r="T229" s="351">
        <f t="shared" si="29"/>
        <v>27780.518990878212</v>
      </c>
      <c r="U229" s="351">
        <f t="shared" si="27"/>
        <v>3616192.2940778756</v>
      </c>
      <c r="V229" s="351">
        <f t="shared" si="25"/>
        <v>3603479.2429789887</v>
      </c>
      <c r="W229" s="758"/>
      <c r="X229" s="763"/>
    </row>
    <row r="230" spans="1:24" ht="16" thickBot="1">
      <c r="A230" s="762"/>
      <c r="B230" s="758"/>
      <c r="C230" s="758"/>
      <c r="D230" s="758"/>
      <c r="E230" s="758"/>
      <c r="F230" s="758"/>
      <c r="G230" s="758"/>
      <c r="H230" s="758"/>
      <c r="I230" s="758"/>
      <c r="J230" s="758"/>
      <c r="K230" s="758"/>
      <c r="L230" s="758"/>
      <c r="M230" s="320"/>
      <c r="N230" s="322"/>
      <c r="O230" s="320"/>
      <c r="P230" s="348">
        <f t="shared" si="26"/>
        <v>174</v>
      </c>
      <c r="Q230" s="349">
        <f t="shared" si="28"/>
        <v>51866</v>
      </c>
      <c r="R230" s="351">
        <f t="shared" si="23"/>
        <v>12766.022145132427</v>
      </c>
      <c r="S230" s="351">
        <f t="shared" si="24"/>
        <v>15014.496845745785</v>
      </c>
      <c r="T230" s="351">
        <f t="shared" si="29"/>
        <v>27780.518990878212</v>
      </c>
      <c r="U230" s="351">
        <f t="shared" si="27"/>
        <v>3603479.2429789887</v>
      </c>
      <c r="V230" s="351">
        <f t="shared" si="25"/>
        <v>3590713.2208338561</v>
      </c>
      <c r="W230" s="758"/>
      <c r="X230" s="763"/>
    </row>
    <row r="231" spans="1:24" ht="16" thickBot="1">
      <c r="A231" s="762"/>
      <c r="B231" s="758"/>
      <c r="C231" s="758"/>
      <c r="D231" s="758"/>
      <c r="E231" s="758"/>
      <c r="F231" s="758"/>
      <c r="G231" s="758"/>
      <c r="H231" s="758"/>
      <c r="I231" s="758"/>
      <c r="J231" s="758"/>
      <c r="K231" s="758"/>
      <c r="L231" s="758"/>
      <c r="M231" s="320"/>
      <c r="N231" s="322"/>
      <c r="O231" s="320"/>
      <c r="P231" s="348">
        <f t="shared" si="26"/>
        <v>175</v>
      </c>
      <c r="Q231" s="349">
        <f t="shared" si="28"/>
        <v>51897</v>
      </c>
      <c r="R231" s="351">
        <f t="shared" si="23"/>
        <v>12819.213904070477</v>
      </c>
      <c r="S231" s="351">
        <f t="shared" si="24"/>
        <v>14961.305086807733</v>
      </c>
      <c r="T231" s="351">
        <f t="shared" si="29"/>
        <v>27780.518990878212</v>
      </c>
      <c r="U231" s="351">
        <f t="shared" si="27"/>
        <v>3590713.2208338561</v>
      </c>
      <c r="V231" s="351">
        <f t="shared" si="25"/>
        <v>3577894.0069297855</v>
      </c>
      <c r="W231" s="758"/>
      <c r="X231" s="763"/>
    </row>
    <row r="232" spans="1:24" ht="16" thickBot="1">
      <c r="A232" s="762"/>
      <c r="B232" s="758"/>
      <c r="C232" s="758"/>
      <c r="D232" s="758"/>
      <c r="E232" s="758"/>
      <c r="F232" s="758"/>
      <c r="G232" s="758"/>
      <c r="H232" s="758"/>
      <c r="I232" s="758"/>
      <c r="J232" s="758"/>
      <c r="K232" s="758"/>
      <c r="L232" s="758"/>
      <c r="M232" s="320"/>
      <c r="N232" s="322"/>
      <c r="O232" s="320"/>
      <c r="P232" s="348">
        <f t="shared" si="26"/>
        <v>176</v>
      </c>
      <c r="Q232" s="349">
        <f t="shared" si="28"/>
        <v>51925</v>
      </c>
      <c r="R232" s="351">
        <f t="shared" si="23"/>
        <v>12872.627295337439</v>
      </c>
      <c r="S232" s="351">
        <f t="shared" si="24"/>
        <v>14907.891695540773</v>
      </c>
      <c r="T232" s="351">
        <f t="shared" si="29"/>
        <v>27780.518990878212</v>
      </c>
      <c r="U232" s="351">
        <f t="shared" si="27"/>
        <v>3577894.0069297855</v>
      </c>
      <c r="V232" s="351">
        <f t="shared" si="25"/>
        <v>3565021.3796344479</v>
      </c>
      <c r="W232" s="758"/>
      <c r="X232" s="763"/>
    </row>
    <row r="233" spans="1:24" ht="16" thickBot="1">
      <c r="A233" s="762"/>
      <c r="B233" s="758"/>
      <c r="C233" s="758"/>
      <c r="D233" s="758"/>
      <c r="E233" s="758"/>
      <c r="F233" s="758"/>
      <c r="G233" s="758"/>
      <c r="H233" s="758"/>
      <c r="I233" s="758"/>
      <c r="J233" s="758"/>
      <c r="K233" s="758"/>
      <c r="L233" s="758"/>
      <c r="M233" s="320"/>
      <c r="N233" s="322"/>
      <c r="O233" s="320"/>
      <c r="P233" s="348">
        <f t="shared" si="26"/>
        <v>177</v>
      </c>
      <c r="Q233" s="349">
        <f t="shared" si="28"/>
        <v>51956</v>
      </c>
      <c r="R233" s="351">
        <f t="shared" si="23"/>
        <v>12926.263242401346</v>
      </c>
      <c r="S233" s="351">
        <f t="shared" si="24"/>
        <v>14854.255748476866</v>
      </c>
      <c r="T233" s="351">
        <f t="shared" si="29"/>
        <v>27780.518990878212</v>
      </c>
      <c r="U233" s="351">
        <f t="shared" si="27"/>
        <v>3565021.3796344479</v>
      </c>
      <c r="V233" s="351">
        <f t="shared" si="25"/>
        <v>3552095.1163920467</v>
      </c>
      <c r="W233" s="758"/>
      <c r="X233" s="763"/>
    </row>
    <row r="234" spans="1:24" ht="16" thickBot="1">
      <c r="A234" s="762"/>
      <c r="B234" s="758"/>
      <c r="C234" s="758"/>
      <c r="D234" s="758"/>
      <c r="E234" s="758"/>
      <c r="F234" s="758"/>
      <c r="G234" s="758"/>
      <c r="H234" s="758"/>
      <c r="I234" s="758"/>
      <c r="J234" s="758"/>
      <c r="K234" s="758"/>
      <c r="L234" s="758"/>
      <c r="M234" s="320"/>
      <c r="N234" s="322"/>
      <c r="O234" s="320"/>
      <c r="P234" s="348">
        <f t="shared" si="26"/>
        <v>178</v>
      </c>
      <c r="Q234" s="349">
        <f t="shared" si="28"/>
        <v>51986</v>
      </c>
      <c r="R234" s="351">
        <f t="shared" si="23"/>
        <v>12980.12267257802</v>
      </c>
      <c r="S234" s="351">
        <f t="shared" si="24"/>
        <v>14800.396318300194</v>
      </c>
      <c r="T234" s="351">
        <f t="shared" si="29"/>
        <v>27780.518990878212</v>
      </c>
      <c r="U234" s="351">
        <f t="shared" si="27"/>
        <v>3552095.1163920467</v>
      </c>
      <c r="V234" s="351">
        <f t="shared" si="25"/>
        <v>3539114.9937194688</v>
      </c>
      <c r="W234" s="758"/>
      <c r="X234" s="763"/>
    </row>
    <row r="235" spans="1:24" ht="16" thickBot="1">
      <c r="A235" s="762"/>
      <c r="B235" s="758"/>
      <c r="C235" s="758"/>
      <c r="D235" s="758"/>
      <c r="E235" s="758"/>
      <c r="F235" s="758"/>
      <c r="G235" s="758"/>
      <c r="H235" s="758"/>
      <c r="I235" s="758"/>
      <c r="J235" s="758"/>
      <c r="K235" s="758"/>
      <c r="L235" s="758"/>
      <c r="M235" s="320"/>
      <c r="N235" s="322"/>
      <c r="O235" s="320"/>
      <c r="P235" s="348">
        <f t="shared" si="26"/>
        <v>179</v>
      </c>
      <c r="Q235" s="349">
        <f t="shared" si="28"/>
        <v>52017</v>
      </c>
      <c r="R235" s="351">
        <f t="shared" si="23"/>
        <v>13034.206517047094</v>
      </c>
      <c r="S235" s="351">
        <f t="shared" si="24"/>
        <v>14746.31247383112</v>
      </c>
      <c r="T235" s="351">
        <f t="shared" si="29"/>
        <v>27780.518990878212</v>
      </c>
      <c r="U235" s="351">
        <f t="shared" si="27"/>
        <v>3539114.9937194688</v>
      </c>
      <c r="V235" s="351">
        <f t="shared" si="25"/>
        <v>3526080.7872024216</v>
      </c>
      <c r="W235" s="758"/>
      <c r="X235" s="763"/>
    </row>
    <row r="236" spans="1:24" ht="16" thickBot="1">
      <c r="A236" s="762"/>
      <c r="B236" s="758"/>
      <c r="C236" s="758"/>
      <c r="D236" s="758"/>
      <c r="E236" s="758"/>
      <c r="F236" s="758"/>
      <c r="G236" s="758"/>
      <c r="H236" s="758"/>
      <c r="I236" s="758"/>
      <c r="J236" s="758"/>
      <c r="K236" s="758"/>
      <c r="L236" s="758"/>
      <c r="M236" s="320"/>
      <c r="N236" s="322"/>
      <c r="O236" s="320"/>
      <c r="P236" s="348">
        <f t="shared" si="26"/>
        <v>180</v>
      </c>
      <c r="Q236" s="349">
        <f t="shared" si="28"/>
        <v>52047</v>
      </c>
      <c r="R236" s="351">
        <f t="shared" si="23"/>
        <v>13088.515710868121</v>
      </c>
      <c r="S236" s="351">
        <f t="shared" si="24"/>
        <v>14692.003280010089</v>
      </c>
      <c r="T236" s="351">
        <f t="shared" si="29"/>
        <v>27780.518990878212</v>
      </c>
      <c r="U236" s="351">
        <f t="shared" si="27"/>
        <v>3526080.7872024216</v>
      </c>
      <c r="V236" s="351">
        <f t="shared" si="25"/>
        <v>3512992.2714915536</v>
      </c>
      <c r="W236" s="758"/>
      <c r="X236" s="763"/>
    </row>
    <row r="237" spans="1:24" ht="16" thickBot="1">
      <c r="A237" s="762"/>
      <c r="B237" s="758"/>
      <c r="C237" s="758"/>
      <c r="D237" s="758"/>
      <c r="E237" s="758"/>
      <c r="F237" s="758"/>
      <c r="G237" s="758"/>
      <c r="H237" s="758"/>
      <c r="I237" s="758"/>
      <c r="J237" s="758"/>
      <c r="K237" s="758"/>
      <c r="L237" s="758"/>
      <c r="M237" s="320"/>
      <c r="N237" s="322"/>
      <c r="O237" s="320"/>
      <c r="P237" s="348">
        <f t="shared" si="26"/>
        <v>181</v>
      </c>
      <c r="Q237" s="349">
        <f t="shared" si="28"/>
        <v>52078</v>
      </c>
      <c r="R237" s="351">
        <f t="shared" si="23"/>
        <v>13143.051192996738</v>
      </c>
      <c r="S237" s="351">
        <f t="shared" si="24"/>
        <v>14637.467797881473</v>
      </c>
      <c r="T237" s="351">
        <f t="shared" si="29"/>
        <v>27780.518990878212</v>
      </c>
      <c r="U237" s="351">
        <f t="shared" si="27"/>
        <v>3512992.2714915536</v>
      </c>
      <c r="V237" s="351">
        <f t="shared" si="25"/>
        <v>3499849.2202985571</v>
      </c>
      <c r="W237" s="758"/>
      <c r="X237" s="763"/>
    </row>
    <row r="238" spans="1:24" ht="16" thickBot="1">
      <c r="A238" s="762"/>
      <c r="B238" s="758"/>
      <c r="C238" s="758"/>
      <c r="D238" s="758"/>
      <c r="E238" s="758"/>
      <c r="F238" s="758"/>
      <c r="G238" s="758"/>
      <c r="H238" s="758"/>
      <c r="I238" s="758"/>
      <c r="J238" s="758"/>
      <c r="K238" s="758"/>
      <c r="L238" s="758"/>
      <c r="M238" s="320"/>
      <c r="N238" s="322"/>
      <c r="O238" s="320"/>
      <c r="P238" s="348">
        <f t="shared" si="26"/>
        <v>182</v>
      </c>
      <c r="Q238" s="349">
        <f t="shared" si="28"/>
        <v>52109</v>
      </c>
      <c r="R238" s="351">
        <f t="shared" si="23"/>
        <v>13197.813906300893</v>
      </c>
      <c r="S238" s="351">
        <f t="shared" si="24"/>
        <v>14582.705084577321</v>
      </c>
      <c r="T238" s="351">
        <f t="shared" si="29"/>
        <v>27780.518990878212</v>
      </c>
      <c r="U238" s="351">
        <f t="shared" si="27"/>
        <v>3499849.2202985571</v>
      </c>
      <c r="V238" s="351">
        <f t="shared" si="25"/>
        <v>3486651.4063922563</v>
      </c>
      <c r="W238" s="758"/>
      <c r="X238" s="763"/>
    </row>
    <row r="239" spans="1:24" ht="16" thickBot="1">
      <c r="A239" s="762"/>
      <c r="B239" s="758"/>
      <c r="C239" s="758"/>
      <c r="D239" s="758"/>
      <c r="E239" s="758"/>
      <c r="F239" s="758"/>
      <c r="G239" s="758"/>
      <c r="H239" s="758"/>
      <c r="I239" s="758"/>
      <c r="J239" s="758"/>
      <c r="K239" s="758"/>
      <c r="L239" s="758"/>
      <c r="M239" s="320"/>
      <c r="N239" s="322"/>
      <c r="O239" s="320"/>
      <c r="P239" s="348">
        <f t="shared" si="26"/>
        <v>183</v>
      </c>
      <c r="Q239" s="349">
        <f t="shared" si="28"/>
        <v>52139</v>
      </c>
      <c r="R239" s="351">
        <f t="shared" si="23"/>
        <v>13252.804797577146</v>
      </c>
      <c r="S239" s="351">
        <f t="shared" si="24"/>
        <v>14527.714193301068</v>
      </c>
      <c r="T239" s="351">
        <f t="shared" si="29"/>
        <v>27780.518990878212</v>
      </c>
      <c r="U239" s="351">
        <f t="shared" si="27"/>
        <v>3486651.4063922563</v>
      </c>
      <c r="V239" s="351">
        <f t="shared" si="25"/>
        <v>3473398.6015946791</v>
      </c>
      <c r="W239" s="758"/>
      <c r="X239" s="763"/>
    </row>
    <row r="240" spans="1:24" ht="16" thickBot="1">
      <c r="A240" s="762"/>
      <c r="B240" s="758"/>
      <c r="C240" s="758"/>
      <c r="D240" s="758"/>
      <c r="E240" s="758"/>
      <c r="F240" s="758"/>
      <c r="G240" s="758"/>
      <c r="H240" s="758"/>
      <c r="I240" s="758"/>
      <c r="J240" s="758"/>
      <c r="K240" s="758"/>
      <c r="L240" s="758"/>
      <c r="M240" s="320"/>
      <c r="N240" s="322"/>
      <c r="O240" s="320"/>
      <c r="P240" s="348">
        <f t="shared" si="26"/>
        <v>184</v>
      </c>
      <c r="Q240" s="349">
        <f t="shared" si="28"/>
        <v>52170</v>
      </c>
      <c r="R240" s="351">
        <f t="shared" si="23"/>
        <v>13308.024817567051</v>
      </c>
      <c r="S240" s="351">
        <f t="shared" si="24"/>
        <v>14472.494173311163</v>
      </c>
      <c r="T240" s="351">
        <f t="shared" si="29"/>
        <v>27780.518990878212</v>
      </c>
      <c r="U240" s="351">
        <f t="shared" si="27"/>
        <v>3473398.6015946791</v>
      </c>
      <c r="V240" s="351">
        <f t="shared" si="25"/>
        <v>3460090.5767771122</v>
      </c>
      <c r="W240" s="758"/>
      <c r="X240" s="763"/>
    </row>
    <row r="241" spans="1:24" ht="16" thickBot="1">
      <c r="A241" s="762"/>
      <c r="B241" s="758"/>
      <c r="C241" s="758"/>
      <c r="D241" s="758"/>
      <c r="E241" s="758"/>
      <c r="F241" s="758"/>
      <c r="G241" s="758"/>
      <c r="H241" s="758"/>
      <c r="I241" s="758"/>
      <c r="J241" s="758"/>
      <c r="K241" s="758"/>
      <c r="L241" s="758"/>
      <c r="M241" s="320"/>
      <c r="N241" s="322"/>
      <c r="O241" s="320"/>
      <c r="P241" s="348">
        <f t="shared" si="26"/>
        <v>185</v>
      </c>
      <c r="Q241" s="349">
        <f t="shared" si="28"/>
        <v>52200</v>
      </c>
      <c r="R241" s="351">
        <f t="shared" si="23"/>
        <v>13363.47492097358</v>
      </c>
      <c r="S241" s="351">
        <f t="shared" si="24"/>
        <v>14417.044069904634</v>
      </c>
      <c r="T241" s="351">
        <f t="shared" si="29"/>
        <v>27780.518990878212</v>
      </c>
      <c r="U241" s="351">
        <f t="shared" si="27"/>
        <v>3460090.5767771122</v>
      </c>
      <c r="V241" s="351">
        <f t="shared" si="25"/>
        <v>3446727.1018561386</v>
      </c>
      <c r="W241" s="758"/>
      <c r="X241" s="763"/>
    </row>
    <row r="242" spans="1:24" ht="16" thickBot="1">
      <c r="A242" s="762"/>
      <c r="B242" s="758"/>
      <c r="C242" s="758"/>
      <c r="D242" s="758"/>
      <c r="E242" s="758"/>
      <c r="F242" s="758"/>
      <c r="G242" s="758"/>
      <c r="H242" s="758"/>
      <c r="I242" s="758"/>
      <c r="J242" s="758"/>
      <c r="K242" s="758"/>
      <c r="L242" s="758"/>
      <c r="M242" s="320"/>
      <c r="N242" s="322"/>
      <c r="O242" s="320"/>
      <c r="P242" s="348">
        <f t="shared" si="26"/>
        <v>186</v>
      </c>
      <c r="Q242" s="349">
        <f t="shared" si="28"/>
        <v>52231</v>
      </c>
      <c r="R242" s="351">
        <f t="shared" si="23"/>
        <v>13419.156066477635</v>
      </c>
      <c r="S242" s="351">
        <f t="shared" si="24"/>
        <v>14361.362924400577</v>
      </c>
      <c r="T242" s="351">
        <f t="shared" si="29"/>
        <v>27780.518990878212</v>
      </c>
      <c r="U242" s="351">
        <f t="shared" si="27"/>
        <v>3446727.1018561386</v>
      </c>
      <c r="V242" s="351">
        <f t="shared" si="25"/>
        <v>3433307.9457896608</v>
      </c>
      <c r="W242" s="758"/>
      <c r="X242" s="763"/>
    </row>
    <row r="243" spans="1:24" ht="16" thickBot="1">
      <c r="A243" s="762"/>
      <c r="B243" s="758"/>
      <c r="C243" s="758"/>
      <c r="D243" s="758"/>
      <c r="E243" s="758"/>
      <c r="F243" s="758"/>
      <c r="G243" s="758"/>
      <c r="H243" s="758"/>
      <c r="I243" s="758"/>
      <c r="J243" s="758"/>
      <c r="K243" s="758"/>
      <c r="L243" s="758"/>
      <c r="M243" s="320"/>
      <c r="N243" s="322"/>
      <c r="O243" s="320"/>
      <c r="P243" s="348">
        <f t="shared" si="26"/>
        <v>187</v>
      </c>
      <c r="Q243" s="349">
        <f t="shared" si="28"/>
        <v>52262</v>
      </c>
      <c r="R243" s="351">
        <f t="shared" si="23"/>
        <v>13475.069216754628</v>
      </c>
      <c r="S243" s="351">
        <f t="shared" si="24"/>
        <v>14305.449774123586</v>
      </c>
      <c r="T243" s="351">
        <f t="shared" si="29"/>
        <v>27780.518990878212</v>
      </c>
      <c r="U243" s="351">
        <f t="shared" si="27"/>
        <v>3433307.9457896608</v>
      </c>
      <c r="V243" s="351">
        <f t="shared" si="25"/>
        <v>3419832.876572906</v>
      </c>
      <c r="W243" s="758"/>
      <c r="X243" s="763"/>
    </row>
    <row r="244" spans="1:24" ht="16" thickBot="1">
      <c r="A244" s="762"/>
      <c r="B244" s="758"/>
      <c r="C244" s="758"/>
      <c r="D244" s="758"/>
      <c r="E244" s="758"/>
      <c r="F244" s="758"/>
      <c r="G244" s="758"/>
      <c r="H244" s="758"/>
      <c r="I244" s="758"/>
      <c r="J244" s="758"/>
      <c r="K244" s="758"/>
      <c r="L244" s="758"/>
      <c r="M244" s="320"/>
      <c r="N244" s="322"/>
      <c r="O244" s="320"/>
      <c r="P244" s="348">
        <f t="shared" si="26"/>
        <v>188</v>
      </c>
      <c r="Q244" s="349">
        <f t="shared" si="28"/>
        <v>52290</v>
      </c>
      <c r="R244" s="351">
        <f t="shared" si="23"/>
        <v>13531.215338491103</v>
      </c>
      <c r="S244" s="351">
        <f t="shared" si="24"/>
        <v>14249.303652387109</v>
      </c>
      <c r="T244" s="351">
        <f t="shared" si="29"/>
        <v>27780.518990878212</v>
      </c>
      <c r="U244" s="351">
        <f t="shared" si="27"/>
        <v>3419832.876572906</v>
      </c>
      <c r="V244" s="351">
        <f t="shared" si="25"/>
        <v>3406301.6612344151</v>
      </c>
      <c r="W244" s="758"/>
      <c r="X244" s="763"/>
    </row>
    <row r="245" spans="1:24" ht="16" thickBot="1">
      <c r="A245" s="762"/>
      <c r="B245" s="758"/>
      <c r="C245" s="758"/>
      <c r="D245" s="758"/>
      <c r="E245" s="758"/>
      <c r="F245" s="758"/>
      <c r="G245" s="758"/>
      <c r="H245" s="758"/>
      <c r="I245" s="758"/>
      <c r="J245" s="758"/>
      <c r="K245" s="758"/>
      <c r="L245" s="758"/>
      <c r="M245" s="320"/>
      <c r="N245" s="322"/>
      <c r="O245" s="320"/>
      <c r="P245" s="348">
        <f t="shared" si="26"/>
        <v>189</v>
      </c>
      <c r="Q245" s="349">
        <f t="shared" si="28"/>
        <v>52321</v>
      </c>
      <c r="R245" s="351">
        <f t="shared" si="23"/>
        <v>13587.595402401485</v>
      </c>
      <c r="S245" s="351">
        <f t="shared" si="24"/>
        <v>14192.923588476729</v>
      </c>
      <c r="T245" s="351">
        <f t="shared" si="29"/>
        <v>27780.518990878212</v>
      </c>
      <c r="U245" s="351">
        <f t="shared" si="27"/>
        <v>3406301.6612344151</v>
      </c>
      <c r="V245" s="351">
        <f t="shared" si="25"/>
        <v>3392714.0658320137</v>
      </c>
      <c r="W245" s="758"/>
      <c r="X245" s="763"/>
    </row>
    <row r="246" spans="1:24" ht="16" thickBot="1">
      <c r="A246" s="762"/>
      <c r="B246" s="758"/>
      <c r="C246" s="758"/>
      <c r="D246" s="758"/>
      <c r="E246" s="758"/>
      <c r="F246" s="758"/>
      <c r="G246" s="758"/>
      <c r="H246" s="758"/>
      <c r="I246" s="758"/>
      <c r="J246" s="758"/>
      <c r="K246" s="758"/>
      <c r="L246" s="758"/>
      <c r="M246" s="320"/>
      <c r="N246" s="322"/>
      <c r="O246" s="320"/>
      <c r="P246" s="348">
        <f t="shared" si="26"/>
        <v>190</v>
      </c>
      <c r="Q246" s="349">
        <f t="shared" si="28"/>
        <v>52351</v>
      </c>
      <c r="R246" s="351">
        <f t="shared" si="23"/>
        <v>13644.210383244823</v>
      </c>
      <c r="S246" s="351">
        <f t="shared" si="24"/>
        <v>14136.308607633391</v>
      </c>
      <c r="T246" s="351">
        <f t="shared" si="29"/>
        <v>27780.518990878212</v>
      </c>
      <c r="U246" s="351">
        <f t="shared" si="27"/>
        <v>3392714.0658320137</v>
      </c>
      <c r="V246" s="351">
        <f t="shared" si="25"/>
        <v>3379069.8554487689</v>
      </c>
      <c r="W246" s="758"/>
      <c r="X246" s="763"/>
    </row>
    <row r="247" spans="1:24" ht="16" thickBot="1">
      <c r="A247" s="762"/>
      <c r="B247" s="758"/>
      <c r="C247" s="758"/>
      <c r="D247" s="758"/>
      <c r="E247" s="758"/>
      <c r="F247" s="758"/>
      <c r="G247" s="758"/>
      <c r="H247" s="758"/>
      <c r="I247" s="758"/>
      <c r="J247" s="758"/>
      <c r="K247" s="758"/>
      <c r="L247" s="758"/>
      <c r="M247" s="320"/>
      <c r="N247" s="322"/>
      <c r="O247" s="320"/>
      <c r="P247" s="348">
        <f t="shared" si="26"/>
        <v>191</v>
      </c>
      <c r="Q247" s="349">
        <f t="shared" si="28"/>
        <v>52382</v>
      </c>
      <c r="R247" s="351">
        <f t="shared" si="23"/>
        <v>13701.061259841676</v>
      </c>
      <c r="S247" s="351">
        <f t="shared" si="24"/>
        <v>14079.457731036537</v>
      </c>
      <c r="T247" s="351">
        <f t="shared" si="29"/>
        <v>27780.518990878212</v>
      </c>
      <c r="U247" s="351">
        <f t="shared" si="27"/>
        <v>3379069.8554487689</v>
      </c>
      <c r="V247" s="351">
        <f t="shared" si="25"/>
        <v>3365368.7941889274</v>
      </c>
      <c r="W247" s="758"/>
      <c r="X247" s="763"/>
    </row>
    <row r="248" spans="1:24" ht="16" thickBot="1">
      <c r="A248" s="762"/>
      <c r="B248" s="758"/>
      <c r="C248" s="758"/>
      <c r="D248" s="758"/>
      <c r="E248" s="758"/>
      <c r="F248" s="758"/>
      <c r="G248" s="758"/>
      <c r="H248" s="758"/>
      <c r="I248" s="758"/>
      <c r="J248" s="758"/>
      <c r="K248" s="758"/>
      <c r="L248" s="758"/>
      <c r="M248" s="320"/>
      <c r="N248" s="322"/>
      <c r="O248" s="320"/>
      <c r="P248" s="348">
        <f t="shared" si="26"/>
        <v>192</v>
      </c>
      <c r="Q248" s="349">
        <f t="shared" si="28"/>
        <v>52412</v>
      </c>
      <c r="R248" s="351">
        <f t="shared" si="23"/>
        <v>13758.149015091018</v>
      </c>
      <c r="S248" s="351">
        <f t="shared" si="24"/>
        <v>14022.369975787196</v>
      </c>
      <c r="T248" s="351">
        <f t="shared" si="29"/>
        <v>27780.518990878212</v>
      </c>
      <c r="U248" s="351">
        <f t="shared" si="27"/>
        <v>3365368.7941889274</v>
      </c>
      <c r="V248" s="351">
        <f t="shared" si="25"/>
        <v>3351610.6451738365</v>
      </c>
      <c r="W248" s="758"/>
      <c r="X248" s="763"/>
    </row>
    <row r="249" spans="1:24" ht="16" thickBot="1">
      <c r="A249" s="762"/>
      <c r="B249" s="758"/>
      <c r="C249" s="758"/>
      <c r="D249" s="758"/>
      <c r="E249" s="758"/>
      <c r="F249" s="758"/>
      <c r="G249" s="758"/>
      <c r="H249" s="758"/>
      <c r="I249" s="758"/>
      <c r="J249" s="758"/>
      <c r="K249" s="758"/>
      <c r="L249" s="758"/>
      <c r="M249" s="320"/>
      <c r="N249" s="322"/>
      <c r="O249" s="320"/>
      <c r="P249" s="348">
        <f t="shared" si="26"/>
        <v>193</v>
      </c>
      <c r="Q249" s="349">
        <f t="shared" si="28"/>
        <v>52443</v>
      </c>
      <c r="R249" s="351">
        <f t="shared" ref="R249:R312" si="30">IF(OR(Q249&lt;Q$14, Q249&gt;T$12),0, -IF(P249=0, 0, PPMT(R$7, P249, R$8, R$6)))</f>
        <v>13815.474635987228</v>
      </c>
      <c r="S249" s="351">
        <f t="shared" ref="S249:S312" si="31">IF(OR(Q249&lt;Q$13, Q249&gt;T$12), 0, +U249*R$7)</f>
        <v>13965.044354890984</v>
      </c>
      <c r="T249" s="351">
        <f t="shared" si="29"/>
        <v>27780.518990878212</v>
      </c>
      <c r="U249" s="351">
        <f t="shared" si="27"/>
        <v>3351610.6451738365</v>
      </c>
      <c r="V249" s="351">
        <f t="shared" ref="V249:V312" si="32">IF(Q249&gt;T$12, "", +U249-R249)</f>
        <v>3337795.1705378494</v>
      </c>
      <c r="W249" s="758"/>
      <c r="X249" s="763"/>
    </row>
    <row r="250" spans="1:24" ht="16" thickBot="1">
      <c r="A250" s="762"/>
      <c r="B250" s="758"/>
      <c r="C250" s="758"/>
      <c r="D250" s="758"/>
      <c r="E250" s="758"/>
      <c r="F250" s="758"/>
      <c r="G250" s="758"/>
      <c r="H250" s="758"/>
      <c r="I250" s="758"/>
      <c r="J250" s="758"/>
      <c r="K250" s="758"/>
      <c r="L250" s="758"/>
      <c r="M250" s="320"/>
      <c r="N250" s="322"/>
      <c r="O250" s="320"/>
      <c r="P250" s="348">
        <f t="shared" ref="P250:P313" si="33">IF(Q250&lt;Q$14, 0, P249+1)</f>
        <v>194</v>
      </c>
      <c r="Q250" s="349">
        <f t="shared" si="28"/>
        <v>52474</v>
      </c>
      <c r="R250" s="351">
        <f t="shared" si="30"/>
        <v>13873.039113637176</v>
      </c>
      <c r="S250" s="351">
        <f t="shared" si="31"/>
        <v>13907.47987724104</v>
      </c>
      <c r="T250" s="351">
        <f t="shared" si="29"/>
        <v>27780.518990878216</v>
      </c>
      <c r="U250" s="351">
        <f t="shared" ref="U250:U313" si="34">IF(Q250&gt;T$12, 0, +V249)</f>
        <v>3337795.1705378494</v>
      </c>
      <c r="V250" s="351">
        <f t="shared" si="32"/>
        <v>3323922.1314242124</v>
      </c>
      <c r="W250" s="758"/>
      <c r="X250" s="763"/>
    </row>
    <row r="251" spans="1:24" ht="16" thickBot="1">
      <c r="A251" s="762"/>
      <c r="B251" s="758"/>
      <c r="C251" s="758"/>
      <c r="D251" s="758"/>
      <c r="E251" s="758"/>
      <c r="F251" s="758"/>
      <c r="G251" s="758"/>
      <c r="H251" s="758"/>
      <c r="I251" s="758"/>
      <c r="J251" s="758"/>
      <c r="K251" s="758"/>
      <c r="L251" s="758"/>
      <c r="M251" s="320"/>
      <c r="N251" s="322"/>
      <c r="O251" s="320"/>
      <c r="P251" s="348">
        <f t="shared" si="33"/>
        <v>195</v>
      </c>
      <c r="Q251" s="349">
        <f t="shared" ref="Q251:Q314" si="35">EOMONTH(Q250, 1)</f>
        <v>52504</v>
      </c>
      <c r="R251" s="351">
        <f t="shared" si="30"/>
        <v>13930.84344327733</v>
      </c>
      <c r="S251" s="351">
        <f t="shared" si="31"/>
        <v>13849.675547600884</v>
      </c>
      <c r="T251" s="351">
        <f t="shared" ref="T251:T314" si="36">R251+S251</f>
        <v>27780.518990878212</v>
      </c>
      <c r="U251" s="351">
        <f t="shared" si="34"/>
        <v>3323922.1314242124</v>
      </c>
      <c r="V251" s="351">
        <f t="shared" si="32"/>
        <v>3309991.2879809351</v>
      </c>
      <c r="W251" s="758"/>
      <c r="X251" s="763"/>
    </row>
    <row r="252" spans="1:24" ht="16" thickBot="1">
      <c r="A252" s="762"/>
      <c r="B252" s="758"/>
      <c r="C252" s="758"/>
      <c r="D252" s="758"/>
      <c r="E252" s="758"/>
      <c r="F252" s="758"/>
      <c r="G252" s="758"/>
      <c r="H252" s="758"/>
      <c r="I252" s="758"/>
      <c r="J252" s="758"/>
      <c r="K252" s="758"/>
      <c r="L252" s="758"/>
      <c r="M252" s="320"/>
      <c r="N252" s="322"/>
      <c r="O252" s="320"/>
      <c r="P252" s="348">
        <f t="shared" si="33"/>
        <v>196</v>
      </c>
      <c r="Q252" s="349">
        <f t="shared" si="35"/>
        <v>52535</v>
      </c>
      <c r="R252" s="351">
        <f t="shared" si="30"/>
        <v>13988.888624290987</v>
      </c>
      <c r="S252" s="351">
        <f t="shared" si="31"/>
        <v>13791.630366587229</v>
      </c>
      <c r="T252" s="351">
        <f t="shared" si="36"/>
        <v>27780.518990878216</v>
      </c>
      <c r="U252" s="351">
        <f t="shared" si="34"/>
        <v>3309991.2879809351</v>
      </c>
      <c r="V252" s="351">
        <f t="shared" si="32"/>
        <v>3296002.3993566441</v>
      </c>
      <c r="W252" s="758"/>
      <c r="X252" s="763"/>
    </row>
    <row r="253" spans="1:24" ht="16" thickBot="1">
      <c r="A253" s="762"/>
      <c r="B253" s="758"/>
      <c r="C253" s="758"/>
      <c r="D253" s="758"/>
      <c r="E253" s="758"/>
      <c r="F253" s="758"/>
      <c r="G253" s="758"/>
      <c r="H253" s="758"/>
      <c r="I253" s="758"/>
      <c r="J253" s="758"/>
      <c r="K253" s="758"/>
      <c r="L253" s="758"/>
      <c r="M253" s="320"/>
      <c r="N253" s="322"/>
      <c r="O253" s="320"/>
      <c r="P253" s="348">
        <f t="shared" si="33"/>
        <v>197</v>
      </c>
      <c r="Q253" s="349">
        <f t="shared" si="35"/>
        <v>52565</v>
      </c>
      <c r="R253" s="351">
        <f t="shared" si="30"/>
        <v>14047.175660225534</v>
      </c>
      <c r="S253" s="351">
        <f t="shared" si="31"/>
        <v>13733.343330652684</v>
      </c>
      <c r="T253" s="351">
        <f t="shared" si="36"/>
        <v>27780.518990878219</v>
      </c>
      <c r="U253" s="351">
        <f t="shared" si="34"/>
        <v>3296002.3993566441</v>
      </c>
      <c r="V253" s="351">
        <f t="shared" si="32"/>
        <v>3281955.2236964186</v>
      </c>
      <c r="W253" s="758"/>
      <c r="X253" s="763"/>
    </row>
    <row r="254" spans="1:24" ht="16" thickBot="1">
      <c r="A254" s="762"/>
      <c r="B254" s="758"/>
      <c r="C254" s="758"/>
      <c r="D254" s="758"/>
      <c r="E254" s="758"/>
      <c r="F254" s="758"/>
      <c r="G254" s="758"/>
      <c r="H254" s="758"/>
      <c r="I254" s="758"/>
      <c r="J254" s="758"/>
      <c r="K254" s="758"/>
      <c r="L254" s="758"/>
      <c r="M254" s="320"/>
      <c r="N254" s="322"/>
      <c r="O254" s="320"/>
      <c r="P254" s="348">
        <f t="shared" si="33"/>
        <v>198</v>
      </c>
      <c r="Q254" s="349">
        <f t="shared" si="35"/>
        <v>52596</v>
      </c>
      <c r="R254" s="351">
        <f t="shared" si="30"/>
        <v>14105.705558809806</v>
      </c>
      <c r="S254" s="351">
        <f t="shared" si="31"/>
        <v>13674.813432068411</v>
      </c>
      <c r="T254" s="351">
        <f t="shared" si="36"/>
        <v>27780.518990878219</v>
      </c>
      <c r="U254" s="351">
        <f t="shared" si="34"/>
        <v>3281955.2236964186</v>
      </c>
      <c r="V254" s="351">
        <f t="shared" si="32"/>
        <v>3267849.5181376087</v>
      </c>
      <c r="W254" s="758"/>
      <c r="X254" s="763"/>
    </row>
    <row r="255" spans="1:24" ht="16" thickBot="1">
      <c r="A255" s="762"/>
      <c r="B255" s="758"/>
      <c r="C255" s="758"/>
      <c r="D255" s="758"/>
      <c r="E255" s="758"/>
      <c r="F255" s="758"/>
      <c r="G255" s="758"/>
      <c r="H255" s="758"/>
      <c r="I255" s="758"/>
      <c r="J255" s="758"/>
      <c r="K255" s="758"/>
      <c r="L255" s="758"/>
      <c r="M255" s="320"/>
      <c r="N255" s="322"/>
      <c r="O255" s="320"/>
      <c r="P255" s="348">
        <f t="shared" si="33"/>
        <v>199</v>
      </c>
      <c r="Q255" s="349">
        <f t="shared" si="35"/>
        <v>52627</v>
      </c>
      <c r="R255" s="351">
        <f t="shared" si="30"/>
        <v>14164.479331971515</v>
      </c>
      <c r="S255" s="351">
        <f t="shared" si="31"/>
        <v>13616.039658906702</v>
      </c>
      <c r="T255" s="351">
        <f t="shared" si="36"/>
        <v>27780.518990878219</v>
      </c>
      <c r="U255" s="351">
        <f t="shared" si="34"/>
        <v>3267849.5181376087</v>
      </c>
      <c r="V255" s="351">
        <f t="shared" si="32"/>
        <v>3253685.038805637</v>
      </c>
      <c r="W255" s="758"/>
      <c r="X255" s="763"/>
    </row>
    <row r="256" spans="1:24" ht="16" thickBot="1">
      <c r="A256" s="762"/>
      <c r="B256" s="758"/>
      <c r="C256" s="758"/>
      <c r="D256" s="758"/>
      <c r="E256" s="758"/>
      <c r="F256" s="758"/>
      <c r="G256" s="758"/>
      <c r="H256" s="758"/>
      <c r="I256" s="758"/>
      <c r="J256" s="758"/>
      <c r="K256" s="758"/>
      <c r="L256" s="758"/>
      <c r="M256" s="320"/>
      <c r="N256" s="322"/>
      <c r="O256" s="320"/>
      <c r="P256" s="348">
        <f t="shared" si="33"/>
        <v>200</v>
      </c>
      <c r="Q256" s="349">
        <f t="shared" si="35"/>
        <v>52656</v>
      </c>
      <c r="R256" s="351">
        <f t="shared" si="30"/>
        <v>14223.497995854726</v>
      </c>
      <c r="S256" s="351">
        <f t="shared" si="31"/>
        <v>13557.020995023488</v>
      </c>
      <c r="T256" s="351">
        <f t="shared" si="36"/>
        <v>27780.518990878212</v>
      </c>
      <c r="U256" s="351">
        <f t="shared" si="34"/>
        <v>3253685.038805637</v>
      </c>
      <c r="V256" s="351">
        <f t="shared" si="32"/>
        <v>3239461.5408097822</v>
      </c>
      <c r="W256" s="758"/>
      <c r="X256" s="763"/>
    </row>
    <row r="257" spans="1:24" ht="16" thickBot="1">
      <c r="A257" s="762"/>
      <c r="B257" s="758"/>
      <c r="C257" s="758"/>
      <c r="D257" s="758"/>
      <c r="E257" s="758"/>
      <c r="F257" s="758"/>
      <c r="G257" s="758"/>
      <c r="H257" s="758"/>
      <c r="I257" s="758"/>
      <c r="J257" s="758"/>
      <c r="K257" s="758"/>
      <c r="L257" s="758"/>
      <c r="M257" s="320"/>
      <c r="N257" s="322"/>
      <c r="O257" s="320"/>
      <c r="P257" s="348">
        <f t="shared" si="33"/>
        <v>201</v>
      </c>
      <c r="Q257" s="349">
        <f t="shared" si="35"/>
        <v>52687</v>
      </c>
      <c r="R257" s="351">
        <f t="shared" si="30"/>
        <v>14282.762570837458</v>
      </c>
      <c r="S257" s="351">
        <f t="shared" si="31"/>
        <v>13497.75642004076</v>
      </c>
      <c r="T257" s="351">
        <f t="shared" si="36"/>
        <v>27780.518990878219</v>
      </c>
      <c r="U257" s="351">
        <f t="shared" si="34"/>
        <v>3239461.5408097822</v>
      </c>
      <c r="V257" s="351">
        <f t="shared" si="32"/>
        <v>3225178.7782389447</v>
      </c>
      <c r="W257" s="758"/>
      <c r="X257" s="763"/>
    </row>
    <row r="258" spans="1:24" ht="16" thickBot="1">
      <c r="A258" s="762"/>
      <c r="B258" s="758"/>
      <c r="C258" s="758"/>
      <c r="D258" s="758"/>
      <c r="E258" s="758"/>
      <c r="F258" s="758"/>
      <c r="G258" s="758"/>
      <c r="H258" s="758"/>
      <c r="I258" s="758"/>
      <c r="J258" s="758"/>
      <c r="K258" s="758"/>
      <c r="L258" s="758"/>
      <c r="M258" s="320"/>
      <c r="N258" s="322"/>
      <c r="O258" s="320"/>
      <c r="P258" s="348">
        <f t="shared" si="33"/>
        <v>202</v>
      </c>
      <c r="Q258" s="349">
        <f t="shared" si="35"/>
        <v>52717</v>
      </c>
      <c r="R258" s="351">
        <f t="shared" si="30"/>
        <v>14342.27408154928</v>
      </c>
      <c r="S258" s="351">
        <f t="shared" si="31"/>
        <v>13438.244909328936</v>
      </c>
      <c r="T258" s="351">
        <f t="shared" si="36"/>
        <v>27780.518990878216</v>
      </c>
      <c r="U258" s="351">
        <f t="shared" si="34"/>
        <v>3225178.7782389447</v>
      </c>
      <c r="V258" s="351">
        <f t="shared" si="32"/>
        <v>3210836.5041573956</v>
      </c>
      <c r="W258" s="758"/>
      <c r="X258" s="763"/>
    </row>
    <row r="259" spans="1:24" ht="16" thickBot="1">
      <c r="A259" s="762"/>
      <c r="B259" s="758"/>
      <c r="C259" s="758"/>
      <c r="D259" s="758"/>
      <c r="E259" s="758"/>
      <c r="F259" s="758"/>
      <c r="G259" s="758"/>
      <c r="H259" s="758"/>
      <c r="I259" s="758"/>
      <c r="J259" s="758"/>
      <c r="K259" s="758"/>
      <c r="L259" s="758"/>
      <c r="M259" s="320"/>
      <c r="N259" s="322"/>
      <c r="O259" s="320"/>
      <c r="P259" s="348">
        <f t="shared" si="33"/>
        <v>203</v>
      </c>
      <c r="Q259" s="349">
        <f t="shared" si="35"/>
        <v>52748</v>
      </c>
      <c r="R259" s="351">
        <f t="shared" si="30"/>
        <v>14402.03355688907</v>
      </c>
      <c r="S259" s="351">
        <f t="shared" si="31"/>
        <v>13378.485433989148</v>
      </c>
      <c r="T259" s="351">
        <f t="shared" si="36"/>
        <v>27780.518990878219</v>
      </c>
      <c r="U259" s="351">
        <f t="shared" si="34"/>
        <v>3210836.5041573956</v>
      </c>
      <c r="V259" s="351">
        <f t="shared" si="32"/>
        <v>3196434.4706005063</v>
      </c>
      <c r="W259" s="758"/>
      <c r="X259" s="763"/>
    </row>
    <row r="260" spans="1:24" ht="16" thickBot="1">
      <c r="A260" s="762"/>
      <c r="B260" s="758"/>
      <c r="C260" s="758"/>
      <c r="D260" s="758"/>
      <c r="E260" s="758"/>
      <c r="F260" s="758"/>
      <c r="G260" s="758"/>
      <c r="H260" s="758"/>
      <c r="I260" s="758"/>
      <c r="J260" s="758"/>
      <c r="K260" s="758"/>
      <c r="L260" s="758"/>
      <c r="M260" s="320"/>
      <c r="N260" s="322"/>
      <c r="O260" s="320"/>
      <c r="P260" s="348">
        <f t="shared" si="33"/>
        <v>204</v>
      </c>
      <c r="Q260" s="349">
        <f t="shared" si="35"/>
        <v>52778</v>
      </c>
      <c r="R260" s="351">
        <f t="shared" si="30"/>
        <v>14462.042030042772</v>
      </c>
      <c r="S260" s="351">
        <f t="shared" si="31"/>
        <v>13318.476960835442</v>
      </c>
      <c r="T260" s="351">
        <f t="shared" si="36"/>
        <v>27780.518990878212</v>
      </c>
      <c r="U260" s="351">
        <f t="shared" si="34"/>
        <v>3196434.4706005063</v>
      </c>
      <c r="V260" s="351">
        <f t="shared" si="32"/>
        <v>3181972.4285704633</v>
      </c>
      <c r="W260" s="758"/>
      <c r="X260" s="763"/>
    </row>
    <row r="261" spans="1:24" ht="16" thickBot="1">
      <c r="A261" s="762"/>
      <c r="B261" s="758"/>
      <c r="C261" s="758"/>
      <c r="D261" s="758"/>
      <c r="E261" s="758"/>
      <c r="F261" s="758"/>
      <c r="G261" s="758"/>
      <c r="H261" s="758"/>
      <c r="I261" s="758"/>
      <c r="J261" s="758"/>
      <c r="K261" s="758"/>
      <c r="L261" s="758"/>
      <c r="M261" s="320"/>
      <c r="N261" s="322"/>
      <c r="O261" s="320"/>
      <c r="P261" s="348">
        <f t="shared" si="33"/>
        <v>205</v>
      </c>
      <c r="Q261" s="349">
        <f t="shared" si="35"/>
        <v>52809</v>
      </c>
      <c r="R261" s="351">
        <f t="shared" si="30"/>
        <v>14522.300538501286</v>
      </c>
      <c r="S261" s="351">
        <f t="shared" si="31"/>
        <v>13258.21845237693</v>
      </c>
      <c r="T261" s="351">
        <f t="shared" si="36"/>
        <v>27780.518990878216</v>
      </c>
      <c r="U261" s="351">
        <f t="shared" si="34"/>
        <v>3181972.4285704633</v>
      </c>
      <c r="V261" s="351">
        <f t="shared" si="32"/>
        <v>3167450.1280319621</v>
      </c>
      <c r="W261" s="758"/>
      <c r="X261" s="763"/>
    </row>
    <row r="262" spans="1:24" ht="16" thickBot="1">
      <c r="A262" s="762"/>
      <c r="B262" s="758"/>
      <c r="C262" s="758"/>
      <c r="D262" s="758"/>
      <c r="E262" s="758"/>
      <c r="F262" s="758"/>
      <c r="G262" s="758"/>
      <c r="H262" s="758"/>
      <c r="I262" s="758"/>
      <c r="J262" s="758"/>
      <c r="K262" s="758"/>
      <c r="L262" s="758"/>
      <c r="M262" s="320"/>
      <c r="N262" s="322"/>
      <c r="O262" s="320"/>
      <c r="P262" s="348">
        <f t="shared" si="33"/>
        <v>206</v>
      </c>
      <c r="Q262" s="349">
        <f t="shared" si="35"/>
        <v>52840</v>
      </c>
      <c r="R262" s="351">
        <f t="shared" si="30"/>
        <v>14582.810124078373</v>
      </c>
      <c r="S262" s="351">
        <f t="shared" si="31"/>
        <v>13197.708866799841</v>
      </c>
      <c r="T262" s="351">
        <f t="shared" si="36"/>
        <v>27780.518990878212</v>
      </c>
      <c r="U262" s="351">
        <f t="shared" si="34"/>
        <v>3167450.1280319621</v>
      </c>
      <c r="V262" s="351">
        <f t="shared" si="32"/>
        <v>3152867.3179078838</v>
      </c>
      <c r="W262" s="758"/>
      <c r="X262" s="763"/>
    </row>
    <row r="263" spans="1:24" ht="16" thickBot="1">
      <c r="A263" s="762"/>
      <c r="B263" s="758"/>
      <c r="C263" s="758"/>
      <c r="D263" s="758"/>
      <c r="E263" s="758"/>
      <c r="F263" s="758"/>
      <c r="G263" s="758"/>
      <c r="H263" s="758"/>
      <c r="I263" s="758"/>
      <c r="J263" s="758"/>
      <c r="K263" s="758"/>
      <c r="L263" s="758"/>
      <c r="M263" s="320"/>
      <c r="N263" s="322"/>
      <c r="O263" s="320"/>
      <c r="P263" s="348">
        <f t="shared" si="33"/>
        <v>207</v>
      </c>
      <c r="Q263" s="349">
        <f t="shared" si="35"/>
        <v>52870</v>
      </c>
      <c r="R263" s="351">
        <f t="shared" si="30"/>
        <v>14643.571832928697</v>
      </c>
      <c r="S263" s="351">
        <f t="shared" si="31"/>
        <v>13136.947157949515</v>
      </c>
      <c r="T263" s="351">
        <f t="shared" si="36"/>
        <v>27780.518990878212</v>
      </c>
      <c r="U263" s="351">
        <f t="shared" si="34"/>
        <v>3152867.3179078838</v>
      </c>
      <c r="V263" s="351">
        <f t="shared" si="32"/>
        <v>3138223.746074955</v>
      </c>
      <c r="W263" s="758"/>
      <c r="X263" s="763"/>
    </row>
    <row r="264" spans="1:24" ht="16" thickBot="1">
      <c r="A264" s="762"/>
      <c r="B264" s="758"/>
      <c r="C264" s="758"/>
      <c r="D264" s="758"/>
      <c r="E264" s="758"/>
      <c r="F264" s="758"/>
      <c r="G264" s="758"/>
      <c r="H264" s="758"/>
      <c r="I264" s="758"/>
      <c r="J264" s="758"/>
      <c r="K264" s="758"/>
      <c r="L264" s="758"/>
      <c r="M264" s="320"/>
      <c r="N264" s="322"/>
      <c r="O264" s="320"/>
      <c r="P264" s="348">
        <f t="shared" si="33"/>
        <v>208</v>
      </c>
      <c r="Q264" s="349">
        <f t="shared" si="35"/>
        <v>52901</v>
      </c>
      <c r="R264" s="351">
        <f t="shared" si="30"/>
        <v>14704.586715565902</v>
      </c>
      <c r="S264" s="351">
        <f t="shared" si="31"/>
        <v>13075.932275312312</v>
      </c>
      <c r="T264" s="351">
        <f t="shared" si="36"/>
        <v>27780.518990878212</v>
      </c>
      <c r="U264" s="351">
        <f t="shared" si="34"/>
        <v>3138223.746074955</v>
      </c>
      <c r="V264" s="351">
        <f t="shared" si="32"/>
        <v>3123519.159359389</v>
      </c>
      <c r="W264" s="758"/>
      <c r="X264" s="763"/>
    </row>
    <row r="265" spans="1:24" ht="16" thickBot="1">
      <c r="A265" s="762"/>
      <c r="B265" s="758"/>
      <c r="C265" s="758"/>
      <c r="D265" s="758"/>
      <c r="E265" s="758"/>
      <c r="F265" s="758"/>
      <c r="G265" s="758"/>
      <c r="H265" s="758"/>
      <c r="I265" s="758"/>
      <c r="J265" s="758"/>
      <c r="K265" s="758"/>
      <c r="L265" s="758"/>
      <c r="M265" s="320"/>
      <c r="N265" s="322"/>
      <c r="O265" s="320"/>
      <c r="P265" s="348">
        <f t="shared" si="33"/>
        <v>209</v>
      </c>
      <c r="Q265" s="349">
        <f t="shared" si="35"/>
        <v>52931</v>
      </c>
      <c r="R265" s="351">
        <f t="shared" si="30"/>
        <v>14765.855826880759</v>
      </c>
      <c r="S265" s="351">
        <f t="shared" si="31"/>
        <v>13014.663163997455</v>
      </c>
      <c r="T265" s="351">
        <f t="shared" si="36"/>
        <v>27780.518990878212</v>
      </c>
      <c r="U265" s="351">
        <f t="shared" si="34"/>
        <v>3123519.159359389</v>
      </c>
      <c r="V265" s="351">
        <f t="shared" si="32"/>
        <v>3108753.3035325082</v>
      </c>
      <c r="W265" s="758"/>
      <c r="X265" s="763"/>
    </row>
    <row r="266" spans="1:24" ht="16" thickBot="1">
      <c r="A266" s="762"/>
      <c r="B266" s="758"/>
      <c r="C266" s="758"/>
      <c r="D266" s="758"/>
      <c r="E266" s="758"/>
      <c r="F266" s="758"/>
      <c r="G266" s="758"/>
      <c r="H266" s="758"/>
      <c r="I266" s="758"/>
      <c r="J266" s="758"/>
      <c r="K266" s="758"/>
      <c r="L266" s="758"/>
      <c r="M266" s="320"/>
      <c r="N266" s="322"/>
      <c r="O266" s="320"/>
      <c r="P266" s="348">
        <f t="shared" si="33"/>
        <v>210</v>
      </c>
      <c r="Q266" s="349">
        <f t="shared" si="35"/>
        <v>52962</v>
      </c>
      <c r="R266" s="351">
        <f t="shared" si="30"/>
        <v>14827.380226159426</v>
      </c>
      <c r="S266" s="351">
        <f t="shared" si="31"/>
        <v>12953.138764718784</v>
      </c>
      <c r="T266" s="351">
        <f t="shared" si="36"/>
        <v>27780.518990878212</v>
      </c>
      <c r="U266" s="351">
        <f t="shared" si="34"/>
        <v>3108753.3035325082</v>
      </c>
      <c r="V266" s="351">
        <f t="shared" si="32"/>
        <v>3093925.9233063487</v>
      </c>
      <c r="W266" s="758"/>
      <c r="X266" s="763"/>
    </row>
    <row r="267" spans="1:24" ht="16" thickBot="1">
      <c r="A267" s="762"/>
      <c r="B267" s="758"/>
      <c r="C267" s="758"/>
      <c r="D267" s="758"/>
      <c r="E267" s="758"/>
      <c r="F267" s="758"/>
      <c r="G267" s="758"/>
      <c r="H267" s="758"/>
      <c r="I267" s="758"/>
      <c r="J267" s="758"/>
      <c r="K267" s="758"/>
      <c r="L267" s="758"/>
      <c r="M267" s="320"/>
      <c r="N267" s="322"/>
      <c r="O267" s="320"/>
      <c r="P267" s="348">
        <f t="shared" si="33"/>
        <v>211</v>
      </c>
      <c r="Q267" s="349">
        <f t="shared" si="35"/>
        <v>52993</v>
      </c>
      <c r="R267" s="351">
        <f t="shared" si="30"/>
        <v>14889.160977101759</v>
      </c>
      <c r="S267" s="351">
        <f t="shared" si="31"/>
        <v>12891.358013776453</v>
      </c>
      <c r="T267" s="351">
        <f t="shared" si="36"/>
        <v>27780.518990878212</v>
      </c>
      <c r="U267" s="351">
        <f t="shared" si="34"/>
        <v>3093925.9233063487</v>
      </c>
      <c r="V267" s="351">
        <f t="shared" si="32"/>
        <v>3079036.7623292468</v>
      </c>
      <c r="W267" s="758"/>
      <c r="X267" s="763"/>
    </row>
    <row r="268" spans="1:24" ht="16" thickBot="1">
      <c r="A268" s="762"/>
      <c r="B268" s="758"/>
      <c r="C268" s="758"/>
      <c r="D268" s="758"/>
      <c r="E268" s="758"/>
      <c r="F268" s="758"/>
      <c r="G268" s="758"/>
      <c r="H268" s="758"/>
      <c r="I268" s="758"/>
      <c r="J268" s="758"/>
      <c r="K268" s="758"/>
      <c r="L268" s="758"/>
      <c r="M268" s="320"/>
      <c r="N268" s="322"/>
      <c r="O268" s="320"/>
      <c r="P268" s="348">
        <f t="shared" si="33"/>
        <v>212</v>
      </c>
      <c r="Q268" s="349">
        <f t="shared" si="35"/>
        <v>53021</v>
      </c>
      <c r="R268" s="351">
        <f t="shared" si="30"/>
        <v>14951.199147839683</v>
      </c>
      <c r="S268" s="351">
        <f t="shared" si="31"/>
        <v>12829.319843038529</v>
      </c>
      <c r="T268" s="351">
        <f t="shared" si="36"/>
        <v>27780.518990878212</v>
      </c>
      <c r="U268" s="351">
        <f t="shared" si="34"/>
        <v>3079036.7623292468</v>
      </c>
      <c r="V268" s="351">
        <f t="shared" si="32"/>
        <v>3064085.5631814073</v>
      </c>
      <c r="W268" s="758"/>
      <c r="X268" s="763"/>
    </row>
    <row r="269" spans="1:24" ht="16" thickBot="1">
      <c r="A269" s="762"/>
      <c r="B269" s="758"/>
      <c r="C269" s="758"/>
      <c r="D269" s="758"/>
      <c r="E269" s="758"/>
      <c r="F269" s="758"/>
      <c r="G269" s="758"/>
      <c r="H269" s="758"/>
      <c r="I269" s="758"/>
      <c r="J269" s="758"/>
      <c r="K269" s="758"/>
      <c r="L269" s="758"/>
      <c r="M269" s="320"/>
      <c r="N269" s="322"/>
      <c r="O269" s="320"/>
      <c r="P269" s="348">
        <f t="shared" si="33"/>
        <v>213</v>
      </c>
      <c r="Q269" s="349">
        <f t="shared" si="35"/>
        <v>53052</v>
      </c>
      <c r="R269" s="351">
        <f t="shared" si="30"/>
        <v>15013.495810955681</v>
      </c>
      <c r="S269" s="351">
        <f t="shared" si="31"/>
        <v>12767.023179922529</v>
      </c>
      <c r="T269" s="351">
        <f t="shared" si="36"/>
        <v>27780.518990878212</v>
      </c>
      <c r="U269" s="351">
        <f t="shared" si="34"/>
        <v>3064085.5631814073</v>
      </c>
      <c r="V269" s="351">
        <f t="shared" si="32"/>
        <v>3049072.0673704515</v>
      </c>
      <c r="W269" s="758"/>
      <c r="X269" s="763"/>
    </row>
    <row r="270" spans="1:24" ht="16" thickBot="1">
      <c r="A270" s="762"/>
      <c r="B270" s="758"/>
      <c r="C270" s="758"/>
      <c r="D270" s="758"/>
      <c r="E270" s="758"/>
      <c r="F270" s="758"/>
      <c r="G270" s="758"/>
      <c r="H270" s="758"/>
      <c r="I270" s="758"/>
      <c r="J270" s="758"/>
      <c r="K270" s="758"/>
      <c r="L270" s="758"/>
      <c r="M270" s="320"/>
      <c r="N270" s="322"/>
      <c r="O270" s="320"/>
      <c r="P270" s="348">
        <f t="shared" si="33"/>
        <v>214</v>
      </c>
      <c r="Q270" s="349">
        <f t="shared" si="35"/>
        <v>53082</v>
      </c>
      <c r="R270" s="351">
        <f t="shared" si="30"/>
        <v>15076.052043501333</v>
      </c>
      <c r="S270" s="351">
        <f t="shared" si="31"/>
        <v>12704.466947376881</v>
      </c>
      <c r="T270" s="351">
        <f t="shared" si="36"/>
        <v>27780.518990878212</v>
      </c>
      <c r="U270" s="351">
        <f t="shared" si="34"/>
        <v>3049072.0673704515</v>
      </c>
      <c r="V270" s="351">
        <f t="shared" si="32"/>
        <v>3033996.0153269502</v>
      </c>
      <c r="W270" s="758"/>
      <c r="X270" s="763"/>
    </row>
    <row r="271" spans="1:24" ht="16" thickBot="1">
      <c r="A271" s="762"/>
      <c r="B271" s="758"/>
      <c r="C271" s="758"/>
      <c r="D271" s="758"/>
      <c r="E271" s="758"/>
      <c r="F271" s="758"/>
      <c r="G271" s="758"/>
      <c r="H271" s="758"/>
      <c r="I271" s="758"/>
      <c r="J271" s="758"/>
      <c r="K271" s="758"/>
      <c r="L271" s="758"/>
      <c r="M271" s="320"/>
      <c r="N271" s="322"/>
      <c r="O271" s="320"/>
      <c r="P271" s="348">
        <f t="shared" si="33"/>
        <v>215</v>
      </c>
      <c r="Q271" s="349">
        <f t="shared" si="35"/>
        <v>53113</v>
      </c>
      <c r="R271" s="351">
        <f t="shared" si="30"/>
        <v>15138.868927015923</v>
      </c>
      <c r="S271" s="351">
        <f t="shared" si="31"/>
        <v>12641.650063862293</v>
      </c>
      <c r="T271" s="351">
        <f t="shared" si="36"/>
        <v>27780.518990878216</v>
      </c>
      <c r="U271" s="351">
        <f t="shared" si="34"/>
        <v>3033996.0153269502</v>
      </c>
      <c r="V271" s="351">
        <f t="shared" si="32"/>
        <v>3018857.1463999343</v>
      </c>
      <c r="W271" s="758"/>
      <c r="X271" s="763"/>
    </row>
    <row r="272" spans="1:24" ht="16" thickBot="1">
      <c r="A272" s="762"/>
      <c r="B272" s="758"/>
      <c r="C272" s="758"/>
      <c r="D272" s="758"/>
      <c r="E272" s="758"/>
      <c r="F272" s="758"/>
      <c r="G272" s="758"/>
      <c r="H272" s="758"/>
      <c r="I272" s="758"/>
      <c r="J272" s="758"/>
      <c r="K272" s="758"/>
      <c r="L272" s="758"/>
      <c r="M272" s="320"/>
      <c r="N272" s="322"/>
      <c r="O272" s="320"/>
      <c r="P272" s="348">
        <f t="shared" si="33"/>
        <v>216</v>
      </c>
      <c r="Q272" s="349">
        <f t="shared" si="35"/>
        <v>53143</v>
      </c>
      <c r="R272" s="351">
        <f t="shared" si="30"/>
        <v>15201.947547545153</v>
      </c>
      <c r="S272" s="351">
        <f t="shared" si="31"/>
        <v>12578.57144333306</v>
      </c>
      <c r="T272" s="351">
        <f t="shared" si="36"/>
        <v>27780.518990878212</v>
      </c>
      <c r="U272" s="351">
        <f t="shared" si="34"/>
        <v>3018857.1463999343</v>
      </c>
      <c r="V272" s="351">
        <f t="shared" si="32"/>
        <v>3003655.1988523891</v>
      </c>
      <c r="W272" s="758"/>
      <c r="X272" s="763"/>
    </row>
    <row r="273" spans="1:24" ht="16" thickBot="1">
      <c r="A273" s="762"/>
      <c r="B273" s="758"/>
      <c r="C273" s="758"/>
      <c r="D273" s="758"/>
      <c r="E273" s="758"/>
      <c r="F273" s="758"/>
      <c r="G273" s="758"/>
      <c r="H273" s="758"/>
      <c r="I273" s="758"/>
      <c r="J273" s="758"/>
      <c r="K273" s="758"/>
      <c r="L273" s="758"/>
      <c r="M273" s="320"/>
      <c r="N273" s="322"/>
      <c r="O273" s="320"/>
      <c r="P273" s="348">
        <f t="shared" si="33"/>
        <v>217</v>
      </c>
      <c r="Q273" s="349">
        <f t="shared" si="35"/>
        <v>53174</v>
      </c>
      <c r="R273" s="351">
        <f t="shared" si="30"/>
        <v>15265.288995659925</v>
      </c>
      <c r="S273" s="351">
        <f t="shared" si="31"/>
        <v>12515.229995218288</v>
      </c>
      <c r="T273" s="351">
        <f t="shared" si="36"/>
        <v>27780.518990878212</v>
      </c>
      <c r="U273" s="351">
        <f t="shared" si="34"/>
        <v>3003655.1988523891</v>
      </c>
      <c r="V273" s="351">
        <f t="shared" si="32"/>
        <v>2988389.9098567292</v>
      </c>
      <c r="W273" s="758"/>
      <c r="X273" s="763"/>
    </row>
    <row r="274" spans="1:24" ht="16" thickBot="1">
      <c r="A274" s="762"/>
      <c r="B274" s="758"/>
      <c r="C274" s="758"/>
      <c r="D274" s="758"/>
      <c r="E274" s="758"/>
      <c r="F274" s="758"/>
      <c r="G274" s="758"/>
      <c r="H274" s="758"/>
      <c r="I274" s="758"/>
      <c r="J274" s="758"/>
      <c r="K274" s="758"/>
      <c r="L274" s="758"/>
      <c r="M274" s="320"/>
      <c r="N274" s="322"/>
      <c r="O274" s="320"/>
      <c r="P274" s="348">
        <f t="shared" si="33"/>
        <v>218</v>
      </c>
      <c r="Q274" s="349">
        <f t="shared" si="35"/>
        <v>53205</v>
      </c>
      <c r="R274" s="351">
        <f t="shared" si="30"/>
        <v>15328.894366475175</v>
      </c>
      <c r="S274" s="351">
        <f t="shared" si="31"/>
        <v>12451.624624403039</v>
      </c>
      <c r="T274" s="351">
        <f t="shared" si="36"/>
        <v>27780.518990878212</v>
      </c>
      <c r="U274" s="351">
        <f t="shared" si="34"/>
        <v>2988389.9098567292</v>
      </c>
      <c r="V274" s="351">
        <f t="shared" si="32"/>
        <v>2973061.0154902539</v>
      </c>
      <c r="W274" s="758"/>
      <c r="X274" s="763"/>
    </row>
    <row r="275" spans="1:24" ht="16" thickBot="1">
      <c r="A275" s="762"/>
      <c r="B275" s="758"/>
      <c r="C275" s="758"/>
      <c r="D275" s="758"/>
      <c r="E275" s="758"/>
      <c r="F275" s="758"/>
      <c r="G275" s="758"/>
      <c r="H275" s="758"/>
      <c r="I275" s="758"/>
      <c r="J275" s="758"/>
      <c r="K275" s="758"/>
      <c r="L275" s="758"/>
      <c r="M275" s="320"/>
      <c r="N275" s="322"/>
      <c r="O275" s="320"/>
      <c r="P275" s="348">
        <f t="shared" si="33"/>
        <v>219</v>
      </c>
      <c r="Q275" s="349">
        <f t="shared" si="35"/>
        <v>53235</v>
      </c>
      <c r="R275" s="351">
        <f t="shared" si="30"/>
        <v>15392.76475966882</v>
      </c>
      <c r="S275" s="351">
        <f t="shared" si="31"/>
        <v>12387.754231209392</v>
      </c>
      <c r="T275" s="351">
        <f t="shared" si="36"/>
        <v>27780.518990878212</v>
      </c>
      <c r="U275" s="351">
        <f t="shared" si="34"/>
        <v>2973061.0154902539</v>
      </c>
      <c r="V275" s="351">
        <f t="shared" si="32"/>
        <v>2957668.2507305853</v>
      </c>
      <c r="W275" s="758"/>
      <c r="X275" s="763"/>
    </row>
    <row r="276" spans="1:24" ht="16" thickBot="1">
      <c r="A276" s="762"/>
      <c r="B276" s="758"/>
      <c r="C276" s="758"/>
      <c r="D276" s="758"/>
      <c r="E276" s="758"/>
      <c r="F276" s="758"/>
      <c r="G276" s="758"/>
      <c r="H276" s="758"/>
      <c r="I276" s="758"/>
      <c r="J276" s="758"/>
      <c r="K276" s="758"/>
      <c r="L276" s="758"/>
      <c r="M276" s="320"/>
      <c r="N276" s="322"/>
      <c r="O276" s="320"/>
      <c r="P276" s="348">
        <f t="shared" si="33"/>
        <v>220</v>
      </c>
      <c r="Q276" s="349">
        <f t="shared" si="35"/>
        <v>53266</v>
      </c>
      <c r="R276" s="351">
        <f t="shared" si="30"/>
        <v>15456.901279500775</v>
      </c>
      <c r="S276" s="351">
        <f t="shared" si="31"/>
        <v>12323.617711377439</v>
      </c>
      <c r="T276" s="351">
        <f t="shared" si="36"/>
        <v>27780.518990878212</v>
      </c>
      <c r="U276" s="351">
        <f t="shared" si="34"/>
        <v>2957668.2507305853</v>
      </c>
      <c r="V276" s="351">
        <f t="shared" si="32"/>
        <v>2942211.3494510846</v>
      </c>
      <c r="W276" s="758"/>
      <c r="X276" s="763"/>
    </row>
    <row r="277" spans="1:24" ht="16" thickBot="1">
      <c r="A277" s="762"/>
      <c r="B277" s="758"/>
      <c r="C277" s="758"/>
      <c r="D277" s="758"/>
      <c r="E277" s="758"/>
      <c r="F277" s="758"/>
      <c r="G277" s="758"/>
      <c r="H277" s="758"/>
      <c r="I277" s="758"/>
      <c r="J277" s="758"/>
      <c r="K277" s="758"/>
      <c r="L277" s="758"/>
      <c r="M277" s="320"/>
      <c r="N277" s="322"/>
      <c r="O277" s="320"/>
      <c r="P277" s="348">
        <f t="shared" si="33"/>
        <v>221</v>
      </c>
      <c r="Q277" s="349">
        <f t="shared" si="35"/>
        <v>53296</v>
      </c>
      <c r="R277" s="351">
        <f t="shared" si="30"/>
        <v>15521.305034832025</v>
      </c>
      <c r="S277" s="351">
        <f t="shared" si="31"/>
        <v>12259.213956046186</v>
      </c>
      <c r="T277" s="351">
        <f t="shared" si="36"/>
        <v>27780.518990878212</v>
      </c>
      <c r="U277" s="351">
        <f t="shared" si="34"/>
        <v>2942211.3494510846</v>
      </c>
      <c r="V277" s="351">
        <f t="shared" si="32"/>
        <v>2926690.0444162525</v>
      </c>
      <c r="W277" s="758"/>
      <c r="X277" s="763"/>
    </row>
    <row r="278" spans="1:24" ht="16" thickBot="1">
      <c r="A278" s="762"/>
      <c r="B278" s="758"/>
      <c r="C278" s="758"/>
      <c r="D278" s="758"/>
      <c r="E278" s="758"/>
      <c r="F278" s="758"/>
      <c r="G278" s="758"/>
      <c r="H278" s="758"/>
      <c r="I278" s="758"/>
      <c r="J278" s="758"/>
      <c r="K278" s="758"/>
      <c r="L278" s="758"/>
      <c r="M278" s="320"/>
      <c r="N278" s="322"/>
      <c r="O278" s="320"/>
      <c r="P278" s="348">
        <f t="shared" si="33"/>
        <v>222</v>
      </c>
      <c r="Q278" s="349">
        <f t="shared" si="35"/>
        <v>53327</v>
      </c>
      <c r="R278" s="351">
        <f t="shared" si="30"/>
        <v>15585.977139143826</v>
      </c>
      <c r="S278" s="351">
        <f t="shared" si="31"/>
        <v>12194.541851734386</v>
      </c>
      <c r="T278" s="351">
        <f t="shared" si="36"/>
        <v>27780.518990878212</v>
      </c>
      <c r="U278" s="351">
        <f t="shared" si="34"/>
        <v>2926690.0444162525</v>
      </c>
      <c r="V278" s="351">
        <f t="shared" si="32"/>
        <v>2911104.0672771088</v>
      </c>
      <c r="W278" s="758"/>
      <c r="X278" s="763"/>
    </row>
    <row r="279" spans="1:24" ht="16" thickBot="1">
      <c r="A279" s="762"/>
      <c r="B279" s="758"/>
      <c r="C279" s="758"/>
      <c r="D279" s="758"/>
      <c r="E279" s="758"/>
      <c r="F279" s="758"/>
      <c r="G279" s="758"/>
      <c r="H279" s="758"/>
      <c r="I279" s="758"/>
      <c r="J279" s="758"/>
      <c r="K279" s="758"/>
      <c r="L279" s="758"/>
      <c r="M279" s="320"/>
      <c r="N279" s="322"/>
      <c r="O279" s="320"/>
      <c r="P279" s="348">
        <f t="shared" si="33"/>
        <v>223</v>
      </c>
      <c r="Q279" s="349">
        <f t="shared" si="35"/>
        <v>53358</v>
      </c>
      <c r="R279" s="351">
        <f t="shared" si="30"/>
        <v>15650.918710556927</v>
      </c>
      <c r="S279" s="351">
        <f t="shared" si="31"/>
        <v>12129.600280321287</v>
      </c>
      <c r="T279" s="351">
        <f t="shared" si="36"/>
        <v>27780.518990878212</v>
      </c>
      <c r="U279" s="351">
        <f t="shared" si="34"/>
        <v>2911104.0672771088</v>
      </c>
      <c r="V279" s="351">
        <f t="shared" si="32"/>
        <v>2895453.148566552</v>
      </c>
      <c r="W279" s="758"/>
      <c r="X279" s="763"/>
    </row>
    <row r="280" spans="1:24" ht="16" thickBot="1">
      <c r="A280" s="762"/>
      <c r="B280" s="758"/>
      <c r="C280" s="758"/>
      <c r="D280" s="758"/>
      <c r="E280" s="758"/>
      <c r="F280" s="758"/>
      <c r="G280" s="758"/>
      <c r="H280" s="758"/>
      <c r="I280" s="758"/>
      <c r="J280" s="758"/>
      <c r="K280" s="758"/>
      <c r="L280" s="758"/>
      <c r="M280" s="320"/>
      <c r="N280" s="322"/>
      <c r="O280" s="320"/>
      <c r="P280" s="348">
        <f t="shared" si="33"/>
        <v>224</v>
      </c>
      <c r="Q280" s="349">
        <f t="shared" si="35"/>
        <v>53386</v>
      </c>
      <c r="R280" s="351">
        <f t="shared" si="30"/>
        <v>15716.130871850912</v>
      </c>
      <c r="S280" s="351">
        <f t="shared" si="31"/>
        <v>12064.3881190273</v>
      </c>
      <c r="T280" s="351">
        <f t="shared" si="36"/>
        <v>27780.518990878212</v>
      </c>
      <c r="U280" s="351">
        <f t="shared" si="34"/>
        <v>2895453.148566552</v>
      </c>
      <c r="V280" s="351">
        <f t="shared" si="32"/>
        <v>2879737.017694701</v>
      </c>
      <c r="W280" s="758"/>
      <c r="X280" s="763"/>
    </row>
    <row r="281" spans="1:24" ht="16" thickBot="1">
      <c r="A281" s="762"/>
      <c r="B281" s="758"/>
      <c r="C281" s="758"/>
      <c r="D281" s="758"/>
      <c r="E281" s="758"/>
      <c r="F281" s="758"/>
      <c r="G281" s="758"/>
      <c r="H281" s="758"/>
      <c r="I281" s="758"/>
      <c r="J281" s="758"/>
      <c r="K281" s="758"/>
      <c r="L281" s="758"/>
      <c r="M281" s="320"/>
      <c r="N281" s="322"/>
      <c r="O281" s="320"/>
      <c r="P281" s="348">
        <f t="shared" si="33"/>
        <v>225</v>
      </c>
      <c r="Q281" s="349">
        <f t="shared" si="35"/>
        <v>53417</v>
      </c>
      <c r="R281" s="351">
        <f t="shared" si="30"/>
        <v>15781.614750483626</v>
      </c>
      <c r="S281" s="351">
        <f t="shared" si="31"/>
        <v>11998.904240394588</v>
      </c>
      <c r="T281" s="351">
        <f t="shared" si="36"/>
        <v>27780.518990878212</v>
      </c>
      <c r="U281" s="351">
        <f t="shared" si="34"/>
        <v>2879737.017694701</v>
      </c>
      <c r="V281" s="351">
        <f t="shared" si="32"/>
        <v>2863955.4029442174</v>
      </c>
      <c r="W281" s="758"/>
      <c r="X281" s="763"/>
    </row>
    <row r="282" spans="1:24" ht="16" thickBot="1">
      <c r="A282" s="762"/>
      <c r="B282" s="758"/>
      <c r="C282" s="758"/>
      <c r="D282" s="758"/>
      <c r="E282" s="758"/>
      <c r="F282" s="758"/>
      <c r="G282" s="758"/>
      <c r="H282" s="758"/>
      <c r="I282" s="758"/>
      <c r="J282" s="758"/>
      <c r="K282" s="758"/>
      <c r="L282" s="758"/>
      <c r="M282" s="320"/>
      <c r="N282" s="322"/>
      <c r="O282" s="320"/>
      <c r="P282" s="348">
        <f t="shared" si="33"/>
        <v>226</v>
      </c>
      <c r="Q282" s="349">
        <f t="shared" si="35"/>
        <v>53447</v>
      </c>
      <c r="R282" s="351">
        <f t="shared" si="30"/>
        <v>15847.371478610641</v>
      </c>
      <c r="S282" s="351">
        <f t="shared" si="31"/>
        <v>11933.147512267573</v>
      </c>
      <c r="T282" s="351">
        <f t="shared" si="36"/>
        <v>27780.518990878212</v>
      </c>
      <c r="U282" s="351">
        <f t="shared" si="34"/>
        <v>2863955.4029442174</v>
      </c>
      <c r="V282" s="351">
        <f t="shared" si="32"/>
        <v>2848108.0314656068</v>
      </c>
      <c r="W282" s="758"/>
      <c r="X282" s="763"/>
    </row>
    <row r="283" spans="1:24" ht="16" thickBot="1">
      <c r="A283" s="762"/>
      <c r="B283" s="758"/>
      <c r="C283" s="758"/>
      <c r="D283" s="758"/>
      <c r="E283" s="758"/>
      <c r="F283" s="758"/>
      <c r="G283" s="758"/>
      <c r="H283" s="758"/>
      <c r="I283" s="758"/>
      <c r="J283" s="758"/>
      <c r="K283" s="758"/>
      <c r="L283" s="758"/>
      <c r="M283" s="320"/>
      <c r="N283" s="322"/>
      <c r="O283" s="320"/>
      <c r="P283" s="348">
        <f t="shared" si="33"/>
        <v>227</v>
      </c>
      <c r="Q283" s="349">
        <f t="shared" si="35"/>
        <v>53478</v>
      </c>
      <c r="R283" s="351">
        <f t="shared" si="30"/>
        <v>15913.402193104852</v>
      </c>
      <c r="S283" s="351">
        <f t="shared" si="31"/>
        <v>11867.116797773362</v>
      </c>
      <c r="T283" s="351">
        <f t="shared" si="36"/>
        <v>27780.518990878212</v>
      </c>
      <c r="U283" s="351">
        <f t="shared" si="34"/>
        <v>2848108.0314656068</v>
      </c>
      <c r="V283" s="351">
        <f t="shared" si="32"/>
        <v>2832194.6292725019</v>
      </c>
      <c r="W283" s="758"/>
      <c r="X283" s="763"/>
    </row>
    <row r="284" spans="1:24" ht="16" thickBot="1">
      <c r="A284" s="762"/>
      <c r="B284" s="758"/>
      <c r="C284" s="758"/>
      <c r="D284" s="758"/>
      <c r="E284" s="758"/>
      <c r="F284" s="758"/>
      <c r="G284" s="758"/>
      <c r="H284" s="758"/>
      <c r="I284" s="758"/>
      <c r="J284" s="758"/>
      <c r="K284" s="758"/>
      <c r="L284" s="758"/>
      <c r="M284" s="320"/>
      <c r="N284" s="322"/>
      <c r="O284" s="320"/>
      <c r="P284" s="348">
        <f t="shared" si="33"/>
        <v>228</v>
      </c>
      <c r="Q284" s="349">
        <f t="shared" si="35"/>
        <v>53508</v>
      </c>
      <c r="R284" s="351">
        <f t="shared" si="30"/>
        <v>15979.708035576125</v>
      </c>
      <c r="S284" s="351">
        <f t="shared" si="31"/>
        <v>11800.810955302091</v>
      </c>
      <c r="T284" s="351">
        <f t="shared" si="36"/>
        <v>27780.518990878216</v>
      </c>
      <c r="U284" s="351">
        <f t="shared" si="34"/>
        <v>2832194.6292725019</v>
      </c>
      <c r="V284" s="351">
        <f t="shared" si="32"/>
        <v>2816214.9212369258</v>
      </c>
      <c r="W284" s="758"/>
      <c r="X284" s="763"/>
    </row>
    <row r="285" spans="1:24" ht="16" thickBot="1">
      <c r="A285" s="762"/>
      <c r="B285" s="758"/>
      <c r="C285" s="758"/>
      <c r="D285" s="758"/>
      <c r="E285" s="758"/>
      <c r="F285" s="758"/>
      <c r="G285" s="758"/>
      <c r="H285" s="758"/>
      <c r="I285" s="758"/>
      <c r="J285" s="758"/>
      <c r="K285" s="758"/>
      <c r="L285" s="758"/>
      <c r="M285" s="320"/>
      <c r="N285" s="322"/>
      <c r="O285" s="320"/>
      <c r="P285" s="348">
        <f t="shared" si="33"/>
        <v>229</v>
      </c>
      <c r="Q285" s="349">
        <f t="shared" si="35"/>
        <v>53539</v>
      </c>
      <c r="R285" s="351">
        <f t="shared" si="30"/>
        <v>16046.290152391022</v>
      </c>
      <c r="S285" s="351">
        <f t="shared" si="31"/>
        <v>11734.22883848719</v>
      </c>
      <c r="T285" s="351">
        <f t="shared" si="36"/>
        <v>27780.518990878212</v>
      </c>
      <c r="U285" s="351">
        <f t="shared" si="34"/>
        <v>2816214.9212369258</v>
      </c>
      <c r="V285" s="351">
        <f t="shared" si="32"/>
        <v>2800168.6310845348</v>
      </c>
      <c r="W285" s="758"/>
      <c r="X285" s="763"/>
    </row>
    <row r="286" spans="1:24" ht="16" thickBot="1">
      <c r="A286" s="762"/>
      <c r="B286" s="758"/>
      <c r="C286" s="758"/>
      <c r="D286" s="758"/>
      <c r="E286" s="758"/>
      <c r="F286" s="758"/>
      <c r="G286" s="758"/>
      <c r="H286" s="758"/>
      <c r="I286" s="758"/>
      <c r="J286" s="758"/>
      <c r="K286" s="758"/>
      <c r="L286" s="758"/>
      <c r="M286" s="320"/>
      <c r="N286" s="322"/>
      <c r="O286" s="320"/>
      <c r="P286" s="348">
        <f t="shared" si="33"/>
        <v>230</v>
      </c>
      <c r="Q286" s="349">
        <f t="shared" si="35"/>
        <v>53570</v>
      </c>
      <c r="R286" s="351">
        <f t="shared" si="30"/>
        <v>16113.149694692651</v>
      </c>
      <c r="S286" s="351">
        <f t="shared" si="31"/>
        <v>11667.369296185561</v>
      </c>
      <c r="T286" s="351">
        <f t="shared" si="36"/>
        <v>27780.518990878212</v>
      </c>
      <c r="U286" s="351">
        <f t="shared" si="34"/>
        <v>2800168.6310845348</v>
      </c>
      <c r="V286" s="351">
        <f t="shared" si="32"/>
        <v>2784055.481389842</v>
      </c>
      <c r="W286" s="758"/>
      <c r="X286" s="763"/>
    </row>
    <row r="287" spans="1:24" ht="16" thickBot="1">
      <c r="A287" s="762"/>
      <c r="B287" s="758"/>
      <c r="C287" s="758"/>
      <c r="D287" s="758"/>
      <c r="E287" s="758"/>
      <c r="F287" s="758"/>
      <c r="G287" s="758"/>
      <c r="H287" s="758"/>
      <c r="I287" s="758"/>
      <c r="J287" s="758"/>
      <c r="K287" s="758"/>
      <c r="L287" s="758"/>
      <c r="M287" s="320"/>
      <c r="N287" s="322"/>
      <c r="O287" s="320"/>
      <c r="P287" s="348">
        <f t="shared" si="33"/>
        <v>231</v>
      </c>
      <c r="Q287" s="349">
        <f t="shared" si="35"/>
        <v>53600</v>
      </c>
      <c r="R287" s="351">
        <f t="shared" si="30"/>
        <v>16180.287818420538</v>
      </c>
      <c r="S287" s="351">
        <f t="shared" si="31"/>
        <v>11600.231172457676</v>
      </c>
      <c r="T287" s="351">
        <f t="shared" si="36"/>
        <v>27780.518990878212</v>
      </c>
      <c r="U287" s="351">
        <f t="shared" si="34"/>
        <v>2784055.481389842</v>
      </c>
      <c r="V287" s="351">
        <f t="shared" si="32"/>
        <v>2767875.1935714213</v>
      </c>
      <c r="W287" s="758"/>
      <c r="X287" s="763"/>
    </row>
    <row r="288" spans="1:24" ht="16" thickBot="1">
      <c r="A288" s="762"/>
      <c r="B288" s="758"/>
      <c r="C288" s="758"/>
      <c r="D288" s="758"/>
      <c r="E288" s="758"/>
      <c r="F288" s="758"/>
      <c r="G288" s="758"/>
      <c r="H288" s="758"/>
      <c r="I288" s="758"/>
      <c r="J288" s="758"/>
      <c r="K288" s="758"/>
      <c r="L288" s="758"/>
      <c r="M288" s="320"/>
      <c r="N288" s="322"/>
      <c r="O288" s="320"/>
      <c r="P288" s="348">
        <f t="shared" si="33"/>
        <v>232</v>
      </c>
      <c r="Q288" s="349">
        <f t="shared" si="35"/>
        <v>53631</v>
      </c>
      <c r="R288" s="351">
        <f t="shared" si="30"/>
        <v>16247.705684330625</v>
      </c>
      <c r="S288" s="351">
        <f t="shared" si="31"/>
        <v>11532.813306547589</v>
      </c>
      <c r="T288" s="351">
        <f t="shared" si="36"/>
        <v>27780.518990878212</v>
      </c>
      <c r="U288" s="351">
        <f t="shared" si="34"/>
        <v>2767875.1935714213</v>
      </c>
      <c r="V288" s="351">
        <f t="shared" si="32"/>
        <v>2751627.4878870905</v>
      </c>
      <c r="W288" s="758"/>
      <c r="X288" s="763"/>
    </row>
    <row r="289" spans="1:24" ht="16" thickBot="1">
      <c r="A289" s="762"/>
      <c r="B289" s="758"/>
      <c r="C289" s="758"/>
      <c r="D289" s="758"/>
      <c r="E289" s="758"/>
      <c r="F289" s="758"/>
      <c r="G289" s="758"/>
      <c r="H289" s="758"/>
      <c r="I289" s="758"/>
      <c r="J289" s="758"/>
      <c r="K289" s="758"/>
      <c r="L289" s="758"/>
      <c r="M289" s="320"/>
      <c r="N289" s="322"/>
      <c r="O289" s="320"/>
      <c r="P289" s="348">
        <f t="shared" si="33"/>
        <v>233</v>
      </c>
      <c r="Q289" s="349">
        <f t="shared" si="35"/>
        <v>53661</v>
      </c>
      <c r="R289" s="351">
        <f t="shared" si="30"/>
        <v>16315.404458015337</v>
      </c>
      <c r="S289" s="351">
        <f t="shared" si="31"/>
        <v>11465.114532862877</v>
      </c>
      <c r="T289" s="351">
        <f t="shared" si="36"/>
        <v>27780.518990878212</v>
      </c>
      <c r="U289" s="351">
        <f t="shared" si="34"/>
        <v>2751627.4878870905</v>
      </c>
      <c r="V289" s="351">
        <f t="shared" si="32"/>
        <v>2735312.0834290753</v>
      </c>
      <c r="W289" s="758"/>
      <c r="X289" s="763"/>
    </row>
    <row r="290" spans="1:24" ht="16" thickBot="1">
      <c r="A290" s="762"/>
      <c r="B290" s="758"/>
      <c r="C290" s="758"/>
      <c r="D290" s="758"/>
      <c r="E290" s="758"/>
      <c r="F290" s="758"/>
      <c r="G290" s="758"/>
      <c r="H290" s="758"/>
      <c r="I290" s="758"/>
      <c r="J290" s="758"/>
      <c r="K290" s="758"/>
      <c r="L290" s="758"/>
      <c r="M290" s="320"/>
      <c r="N290" s="322"/>
      <c r="O290" s="320"/>
      <c r="P290" s="348">
        <f t="shared" si="33"/>
        <v>234</v>
      </c>
      <c r="Q290" s="349">
        <f t="shared" si="35"/>
        <v>53692</v>
      </c>
      <c r="R290" s="351">
        <f t="shared" si="30"/>
        <v>16383.385309923731</v>
      </c>
      <c r="S290" s="351">
        <f t="shared" si="31"/>
        <v>11397.133680954481</v>
      </c>
      <c r="T290" s="351">
        <f t="shared" si="36"/>
        <v>27780.518990878212</v>
      </c>
      <c r="U290" s="351">
        <f t="shared" si="34"/>
        <v>2735312.0834290753</v>
      </c>
      <c r="V290" s="351">
        <f t="shared" si="32"/>
        <v>2718928.6981191514</v>
      </c>
      <c r="W290" s="758"/>
      <c r="X290" s="763"/>
    </row>
    <row r="291" spans="1:24" ht="16" thickBot="1">
      <c r="A291" s="762"/>
      <c r="B291" s="758"/>
      <c r="C291" s="758"/>
      <c r="D291" s="758"/>
      <c r="E291" s="758"/>
      <c r="F291" s="758"/>
      <c r="G291" s="758"/>
      <c r="H291" s="758"/>
      <c r="I291" s="758"/>
      <c r="J291" s="758"/>
      <c r="K291" s="758"/>
      <c r="L291" s="758"/>
      <c r="M291" s="320"/>
      <c r="N291" s="322"/>
      <c r="O291" s="320"/>
      <c r="P291" s="348">
        <f t="shared" si="33"/>
        <v>235</v>
      </c>
      <c r="Q291" s="349">
        <f t="shared" si="35"/>
        <v>53723</v>
      </c>
      <c r="R291" s="351">
        <f t="shared" si="30"/>
        <v>16451.649415381748</v>
      </c>
      <c r="S291" s="351">
        <f t="shared" si="31"/>
        <v>11328.869575496465</v>
      </c>
      <c r="T291" s="351">
        <f t="shared" si="36"/>
        <v>27780.518990878212</v>
      </c>
      <c r="U291" s="351">
        <f t="shared" si="34"/>
        <v>2718928.6981191514</v>
      </c>
      <c r="V291" s="351">
        <f t="shared" si="32"/>
        <v>2702477.0487037697</v>
      </c>
      <c r="W291" s="758"/>
      <c r="X291" s="763"/>
    </row>
    <row r="292" spans="1:24" ht="16" thickBot="1">
      <c r="A292" s="762"/>
      <c r="B292" s="758"/>
      <c r="C292" s="758"/>
      <c r="D292" s="758"/>
      <c r="E292" s="758"/>
      <c r="F292" s="758"/>
      <c r="G292" s="758"/>
      <c r="H292" s="758"/>
      <c r="I292" s="758"/>
      <c r="J292" s="758"/>
      <c r="K292" s="758"/>
      <c r="L292" s="758"/>
      <c r="M292" s="320"/>
      <c r="N292" s="322"/>
      <c r="O292" s="320"/>
      <c r="P292" s="348">
        <f t="shared" si="33"/>
        <v>236</v>
      </c>
      <c r="Q292" s="349">
        <f t="shared" si="35"/>
        <v>53751</v>
      </c>
      <c r="R292" s="351">
        <f t="shared" si="30"/>
        <v>16520.197954612504</v>
      </c>
      <c r="S292" s="351">
        <f t="shared" si="31"/>
        <v>11260.321036265706</v>
      </c>
      <c r="T292" s="351">
        <f t="shared" si="36"/>
        <v>27780.518990878212</v>
      </c>
      <c r="U292" s="351">
        <f t="shared" si="34"/>
        <v>2702477.0487037697</v>
      </c>
      <c r="V292" s="351">
        <f t="shared" si="32"/>
        <v>2685956.8507491574</v>
      </c>
      <c r="W292" s="758"/>
      <c r="X292" s="763"/>
    </row>
    <row r="293" spans="1:24" ht="16" thickBot="1">
      <c r="A293" s="762"/>
      <c r="B293" s="758"/>
      <c r="C293" s="758"/>
      <c r="D293" s="758"/>
      <c r="E293" s="758"/>
      <c r="F293" s="758"/>
      <c r="G293" s="758"/>
      <c r="H293" s="758"/>
      <c r="I293" s="758"/>
      <c r="J293" s="758"/>
      <c r="K293" s="758"/>
      <c r="L293" s="758"/>
      <c r="M293" s="320"/>
      <c r="N293" s="322"/>
      <c r="O293" s="320"/>
      <c r="P293" s="348">
        <f t="shared" si="33"/>
        <v>237</v>
      </c>
      <c r="Q293" s="349">
        <f t="shared" si="35"/>
        <v>53782</v>
      </c>
      <c r="R293" s="351">
        <f t="shared" si="30"/>
        <v>16589.032112756726</v>
      </c>
      <c r="S293" s="351">
        <f t="shared" si="31"/>
        <v>11191.486878121488</v>
      </c>
      <c r="T293" s="351">
        <f t="shared" si="36"/>
        <v>27780.518990878212</v>
      </c>
      <c r="U293" s="351">
        <f t="shared" si="34"/>
        <v>2685956.8507491574</v>
      </c>
      <c r="V293" s="351">
        <f t="shared" si="32"/>
        <v>2669367.8186364006</v>
      </c>
      <c r="W293" s="758"/>
      <c r="X293" s="763"/>
    </row>
    <row r="294" spans="1:24" ht="16" thickBot="1">
      <c r="A294" s="762"/>
      <c r="B294" s="758"/>
      <c r="C294" s="758"/>
      <c r="D294" s="758"/>
      <c r="E294" s="758"/>
      <c r="F294" s="758"/>
      <c r="G294" s="758"/>
      <c r="H294" s="758"/>
      <c r="I294" s="758"/>
      <c r="J294" s="758"/>
      <c r="K294" s="758"/>
      <c r="L294" s="758"/>
      <c r="M294" s="320"/>
      <c r="N294" s="322"/>
      <c r="O294" s="320"/>
      <c r="P294" s="348">
        <f t="shared" si="33"/>
        <v>238</v>
      </c>
      <c r="Q294" s="349">
        <f t="shared" si="35"/>
        <v>53812</v>
      </c>
      <c r="R294" s="351">
        <f t="shared" si="30"/>
        <v>16658.153079893207</v>
      </c>
      <c r="S294" s="351">
        <f t="shared" si="31"/>
        <v>11122.365910985003</v>
      </c>
      <c r="T294" s="351">
        <f t="shared" si="36"/>
        <v>27780.518990878212</v>
      </c>
      <c r="U294" s="351">
        <f t="shared" si="34"/>
        <v>2669367.8186364006</v>
      </c>
      <c r="V294" s="351">
        <f t="shared" si="32"/>
        <v>2652709.6655565072</v>
      </c>
      <c r="W294" s="758"/>
      <c r="X294" s="763"/>
    </row>
    <row r="295" spans="1:24" ht="16" thickBot="1">
      <c r="A295" s="762"/>
      <c r="B295" s="758"/>
      <c r="C295" s="758"/>
      <c r="D295" s="758"/>
      <c r="E295" s="758"/>
      <c r="F295" s="758"/>
      <c r="G295" s="758"/>
      <c r="H295" s="758"/>
      <c r="I295" s="758"/>
      <c r="J295" s="758"/>
      <c r="K295" s="758"/>
      <c r="L295" s="758"/>
      <c r="M295" s="320"/>
      <c r="N295" s="322"/>
      <c r="O295" s="320"/>
      <c r="P295" s="348">
        <f t="shared" si="33"/>
        <v>239</v>
      </c>
      <c r="Q295" s="349">
        <f t="shared" si="35"/>
        <v>53843</v>
      </c>
      <c r="R295" s="351">
        <f t="shared" si="30"/>
        <v>16727.562051059431</v>
      </c>
      <c r="S295" s="351">
        <f t="shared" si="31"/>
        <v>11052.95693981878</v>
      </c>
      <c r="T295" s="351">
        <f t="shared" si="36"/>
        <v>27780.518990878212</v>
      </c>
      <c r="U295" s="351">
        <f t="shared" si="34"/>
        <v>2652709.6655565072</v>
      </c>
      <c r="V295" s="351">
        <f t="shared" si="32"/>
        <v>2635982.103505448</v>
      </c>
      <c r="W295" s="758"/>
      <c r="X295" s="763"/>
    </row>
    <row r="296" spans="1:24" ht="16" thickBot="1">
      <c r="A296" s="762"/>
      <c r="B296" s="758"/>
      <c r="C296" s="758"/>
      <c r="D296" s="758"/>
      <c r="E296" s="758"/>
      <c r="F296" s="758"/>
      <c r="G296" s="758"/>
      <c r="H296" s="758"/>
      <c r="I296" s="758"/>
      <c r="J296" s="758"/>
      <c r="K296" s="758"/>
      <c r="L296" s="758"/>
      <c r="M296" s="320"/>
      <c r="N296" s="322"/>
      <c r="O296" s="320"/>
      <c r="P296" s="348">
        <f t="shared" si="33"/>
        <v>240</v>
      </c>
      <c r="Q296" s="349">
        <f t="shared" si="35"/>
        <v>53873</v>
      </c>
      <c r="R296" s="351">
        <f t="shared" si="30"/>
        <v>16797.260226272181</v>
      </c>
      <c r="S296" s="351">
        <f t="shared" si="31"/>
        <v>10983.258764606033</v>
      </c>
      <c r="T296" s="351">
        <f t="shared" si="36"/>
        <v>27780.518990878212</v>
      </c>
      <c r="U296" s="351">
        <f t="shared" si="34"/>
        <v>2635982.103505448</v>
      </c>
      <c r="V296" s="351">
        <f t="shared" si="32"/>
        <v>2619184.8432791759</v>
      </c>
      <c r="W296" s="758"/>
      <c r="X296" s="763"/>
    </row>
    <row r="297" spans="1:24" ht="16" thickBot="1">
      <c r="A297" s="762"/>
      <c r="B297" s="758"/>
      <c r="C297" s="758"/>
      <c r="D297" s="758"/>
      <c r="E297" s="758"/>
      <c r="F297" s="758"/>
      <c r="G297" s="758"/>
      <c r="H297" s="758"/>
      <c r="I297" s="758"/>
      <c r="J297" s="758"/>
      <c r="K297" s="758"/>
      <c r="L297" s="758"/>
      <c r="M297" s="320"/>
      <c r="N297" s="322"/>
      <c r="O297" s="320"/>
      <c r="P297" s="348">
        <f t="shared" si="33"/>
        <v>241</v>
      </c>
      <c r="Q297" s="349">
        <f t="shared" si="35"/>
        <v>53904</v>
      </c>
      <c r="R297" s="351">
        <f t="shared" si="30"/>
        <v>16867.248810548313</v>
      </c>
      <c r="S297" s="351">
        <f t="shared" si="31"/>
        <v>10913.270180329899</v>
      </c>
      <c r="T297" s="351">
        <f t="shared" si="36"/>
        <v>27780.518990878212</v>
      </c>
      <c r="U297" s="351">
        <f t="shared" si="34"/>
        <v>2619184.8432791759</v>
      </c>
      <c r="V297" s="351">
        <f t="shared" si="32"/>
        <v>2602317.5944686276</v>
      </c>
      <c r="W297" s="758"/>
      <c r="X297" s="763"/>
    </row>
    <row r="298" spans="1:24" ht="16" thickBot="1">
      <c r="A298" s="762"/>
      <c r="B298" s="758"/>
      <c r="C298" s="758"/>
      <c r="D298" s="758"/>
      <c r="E298" s="758"/>
      <c r="F298" s="758"/>
      <c r="G298" s="758"/>
      <c r="H298" s="758"/>
      <c r="I298" s="758"/>
      <c r="J298" s="758"/>
      <c r="K298" s="758"/>
      <c r="L298" s="758"/>
      <c r="M298" s="320"/>
      <c r="N298" s="322"/>
      <c r="O298" s="320"/>
      <c r="P298" s="348">
        <f t="shared" si="33"/>
        <v>242</v>
      </c>
      <c r="Q298" s="349">
        <f t="shared" si="35"/>
        <v>53935</v>
      </c>
      <c r="R298" s="351">
        <f t="shared" si="30"/>
        <v>16937.529013925596</v>
      </c>
      <c r="S298" s="351">
        <f t="shared" si="31"/>
        <v>10842.989976952615</v>
      </c>
      <c r="T298" s="351">
        <f t="shared" si="36"/>
        <v>27780.518990878212</v>
      </c>
      <c r="U298" s="351">
        <f t="shared" si="34"/>
        <v>2602317.5944686276</v>
      </c>
      <c r="V298" s="351">
        <f t="shared" si="32"/>
        <v>2585380.0654547019</v>
      </c>
      <c r="W298" s="758"/>
      <c r="X298" s="763"/>
    </row>
    <row r="299" spans="1:24" ht="16" thickBot="1">
      <c r="A299" s="762"/>
      <c r="B299" s="758"/>
      <c r="C299" s="758"/>
      <c r="D299" s="758"/>
      <c r="E299" s="758"/>
      <c r="F299" s="758"/>
      <c r="G299" s="758"/>
      <c r="H299" s="758"/>
      <c r="I299" s="758"/>
      <c r="J299" s="758"/>
      <c r="K299" s="758"/>
      <c r="L299" s="758"/>
      <c r="M299" s="320"/>
      <c r="N299" s="322"/>
      <c r="O299" s="320"/>
      <c r="P299" s="348">
        <f t="shared" si="33"/>
        <v>243</v>
      </c>
      <c r="Q299" s="349">
        <f t="shared" si="35"/>
        <v>53965</v>
      </c>
      <c r="R299" s="351">
        <f t="shared" si="30"/>
        <v>17008.10205148362</v>
      </c>
      <c r="S299" s="351">
        <f t="shared" si="31"/>
        <v>10772.41693939459</v>
      </c>
      <c r="T299" s="351">
        <f t="shared" si="36"/>
        <v>27780.518990878212</v>
      </c>
      <c r="U299" s="351">
        <f t="shared" si="34"/>
        <v>2585380.0654547019</v>
      </c>
      <c r="V299" s="351">
        <f t="shared" si="32"/>
        <v>2568371.9634032184</v>
      </c>
      <c r="W299" s="758"/>
      <c r="X299" s="763"/>
    </row>
    <row r="300" spans="1:24" ht="16" thickBot="1">
      <c r="A300" s="762"/>
      <c r="B300" s="758"/>
      <c r="C300" s="758"/>
      <c r="D300" s="758"/>
      <c r="E300" s="758"/>
      <c r="F300" s="758"/>
      <c r="G300" s="758"/>
      <c r="H300" s="758"/>
      <c r="I300" s="758"/>
      <c r="J300" s="758"/>
      <c r="K300" s="758"/>
      <c r="L300" s="758"/>
      <c r="M300" s="320"/>
      <c r="N300" s="322"/>
      <c r="O300" s="320"/>
      <c r="P300" s="348">
        <f t="shared" si="33"/>
        <v>244</v>
      </c>
      <c r="Q300" s="349">
        <f t="shared" si="35"/>
        <v>53996</v>
      </c>
      <c r="R300" s="351">
        <f t="shared" si="30"/>
        <v>17078.969143364804</v>
      </c>
      <c r="S300" s="351">
        <f t="shared" si="31"/>
        <v>10701.54984751341</v>
      </c>
      <c r="T300" s="351">
        <f t="shared" si="36"/>
        <v>27780.518990878212</v>
      </c>
      <c r="U300" s="351">
        <f t="shared" si="34"/>
        <v>2568371.9634032184</v>
      </c>
      <c r="V300" s="351">
        <f t="shared" si="32"/>
        <v>2551292.9942598538</v>
      </c>
      <c r="W300" s="758"/>
      <c r="X300" s="763"/>
    </row>
    <row r="301" spans="1:24" ht="16" thickBot="1">
      <c r="A301" s="762"/>
      <c r="B301" s="758"/>
      <c r="C301" s="758"/>
      <c r="D301" s="758"/>
      <c r="E301" s="758"/>
      <c r="F301" s="758"/>
      <c r="G301" s="758"/>
      <c r="H301" s="758"/>
      <c r="I301" s="758"/>
      <c r="J301" s="758"/>
      <c r="K301" s="758"/>
      <c r="L301" s="758"/>
      <c r="M301" s="320"/>
      <c r="N301" s="322"/>
      <c r="O301" s="320"/>
      <c r="P301" s="348">
        <f t="shared" si="33"/>
        <v>245</v>
      </c>
      <c r="Q301" s="349">
        <f t="shared" si="35"/>
        <v>54026</v>
      </c>
      <c r="R301" s="351">
        <f t="shared" si="30"/>
        <v>17150.131514795488</v>
      </c>
      <c r="S301" s="351">
        <f t="shared" si="31"/>
        <v>10630.387476082724</v>
      </c>
      <c r="T301" s="351">
        <f t="shared" si="36"/>
        <v>27780.518990878212</v>
      </c>
      <c r="U301" s="351">
        <f t="shared" si="34"/>
        <v>2551292.9942598538</v>
      </c>
      <c r="V301" s="351">
        <f t="shared" si="32"/>
        <v>2534142.8627450583</v>
      </c>
      <c r="W301" s="758"/>
      <c r="X301" s="763"/>
    </row>
    <row r="302" spans="1:24" ht="16" thickBot="1">
      <c r="A302" s="762"/>
      <c r="B302" s="758"/>
      <c r="C302" s="758"/>
      <c r="D302" s="758"/>
      <c r="E302" s="758"/>
      <c r="F302" s="758"/>
      <c r="G302" s="758"/>
      <c r="H302" s="758"/>
      <c r="I302" s="758"/>
      <c r="J302" s="758"/>
      <c r="K302" s="758"/>
      <c r="L302" s="758"/>
      <c r="M302" s="320"/>
      <c r="N302" s="322"/>
      <c r="O302" s="320"/>
      <c r="P302" s="348">
        <f t="shared" si="33"/>
        <v>246</v>
      </c>
      <c r="Q302" s="349">
        <f t="shared" si="35"/>
        <v>54057</v>
      </c>
      <c r="R302" s="351">
        <f t="shared" si="30"/>
        <v>17221.590396107138</v>
      </c>
      <c r="S302" s="351">
        <f t="shared" si="31"/>
        <v>10558.928594771076</v>
      </c>
      <c r="T302" s="351">
        <f t="shared" si="36"/>
        <v>27780.518990878212</v>
      </c>
      <c r="U302" s="351">
        <f t="shared" si="34"/>
        <v>2534142.8627450583</v>
      </c>
      <c r="V302" s="351">
        <f t="shared" si="32"/>
        <v>2516921.2723489511</v>
      </c>
      <c r="W302" s="758"/>
      <c r="X302" s="763"/>
    </row>
    <row r="303" spans="1:24" ht="16" thickBot="1">
      <c r="A303" s="762"/>
      <c r="B303" s="758"/>
      <c r="C303" s="758"/>
      <c r="D303" s="758"/>
      <c r="E303" s="758"/>
      <c r="F303" s="758"/>
      <c r="G303" s="758"/>
      <c r="H303" s="758"/>
      <c r="I303" s="758"/>
      <c r="J303" s="758"/>
      <c r="K303" s="758"/>
      <c r="L303" s="758"/>
      <c r="M303" s="320"/>
      <c r="N303" s="322"/>
      <c r="O303" s="320"/>
      <c r="P303" s="348">
        <f t="shared" si="33"/>
        <v>247</v>
      </c>
      <c r="Q303" s="349">
        <f t="shared" si="35"/>
        <v>54088</v>
      </c>
      <c r="R303" s="351">
        <f t="shared" si="30"/>
        <v>17293.347022757582</v>
      </c>
      <c r="S303" s="351">
        <f t="shared" si="31"/>
        <v>10487.171968120629</v>
      </c>
      <c r="T303" s="351">
        <f t="shared" si="36"/>
        <v>27780.518990878212</v>
      </c>
      <c r="U303" s="351">
        <f t="shared" si="34"/>
        <v>2516921.2723489511</v>
      </c>
      <c r="V303" s="351">
        <f t="shared" si="32"/>
        <v>2499627.9253261937</v>
      </c>
      <c r="W303" s="758"/>
      <c r="X303" s="763"/>
    </row>
    <row r="304" spans="1:24" ht="16" thickBot="1">
      <c r="A304" s="762"/>
      <c r="B304" s="758"/>
      <c r="C304" s="758"/>
      <c r="D304" s="758"/>
      <c r="E304" s="758"/>
      <c r="F304" s="758"/>
      <c r="G304" s="758"/>
      <c r="H304" s="758"/>
      <c r="I304" s="758"/>
      <c r="J304" s="758"/>
      <c r="K304" s="758"/>
      <c r="L304" s="758"/>
      <c r="M304" s="320"/>
      <c r="N304" s="322"/>
      <c r="O304" s="320"/>
      <c r="P304" s="348">
        <f t="shared" si="33"/>
        <v>248</v>
      </c>
      <c r="Q304" s="349">
        <f t="shared" si="35"/>
        <v>54117</v>
      </c>
      <c r="R304" s="351">
        <f t="shared" si="30"/>
        <v>17365.402635352406</v>
      </c>
      <c r="S304" s="351">
        <f t="shared" si="31"/>
        <v>10415.116355525806</v>
      </c>
      <c r="T304" s="351">
        <f t="shared" si="36"/>
        <v>27780.518990878212</v>
      </c>
      <c r="U304" s="351">
        <f t="shared" si="34"/>
        <v>2499627.9253261937</v>
      </c>
      <c r="V304" s="351">
        <f t="shared" si="32"/>
        <v>2482262.5226908415</v>
      </c>
      <c r="W304" s="758"/>
      <c r="X304" s="763"/>
    </row>
    <row r="305" spans="1:24" ht="16" thickBot="1">
      <c r="A305" s="762"/>
      <c r="B305" s="758"/>
      <c r="C305" s="758"/>
      <c r="D305" s="758"/>
      <c r="E305" s="758"/>
      <c r="F305" s="758"/>
      <c r="G305" s="758"/>
      <c r="H305" s="758"/>
      <c r="I305" s="758"/>
      <c r="J305" s="758"/>
      <c r="K305" s="758"/>
      <c r="L305" s="758"/>
      <c r="M305" s="320"/>
      <c r="N305" s="322"/>
      <c r="O305" s="320"/>
      <c r="P305" s="348">
        <f t="shared" si="33"/>
        <v>249</v>
      </c>
      <c r="Q305" s="349">
        <f t="shared" si="35"/>
        <v>54148</v>
      </c>
      <c r="R305" s="351">
        <f t="shared" si="30"/>
        <v>17437.758479666372</v>
      </c>
      <c r="S305" s="351">
        <f t="shared" si="31"/>
        <v>10342.76051121184</v>
      </c>
      <c r="T305" s="351">
        <f t="shared" si="36"/>
        <v>27780.518990878212</v>
      </c>
      <c r="U305" s="351">
        <f t="shared" si="34"/>
        <v>2482262.5226908415</v>
      </c>
      <c r="V305" s="351">
        <f t="shared" si="32"/>
        <v>2464824.764211175</v>
      </c>
      <c r="W305" s="758"/>
      <c r="X305" s="763"/>
    </row>
    <row r="306" spans="1:24" ht="16" thickBot="1">
      <c r="A306" s="762"/>
      <c r="B306" s="758"/>
      <c r="C306" s="758"/>
      <c r="D306" s="758"/>
      <c r="E306" s="758"/>
      <c r="F306" s="758"/>
      <c r="G306" s="758"/>
      <c r="H306" s="758"/>
      <c r="I306" s="758"/>
      <c r="J306" s="758"/>
      <c r="K306" s="758"/>
      <c r="L306" s="758"/>
      <c r="M306" s="320"/>
      <c r="N306" s="322"/>
      <c r="O306" s="320"/>
      <c r="P306" s="348">
        <f t="shared" si="33"/>
        <v>250</v>
      </c>
      <c r="Q306" s="349">
        <f t="shared" si="35"/>
        <v>54178</v>
      </c>
      <c r="R306" s="351">
        <f t="shared" si="30"/>
        <v>17510.415806664983</v>
      </c>
      <c r="S306" s="351">
        <f t="shared" si="31"/>
        <v>10270.103184213229</v>
      </c>
      <c r="T306" s="351">
        <f t="shared" si="36"/>
        <v>27780.518990878212</v>
      </c>
      <c r="U306" s="351">
        <f t="shared" si="34"/>
        <v>2464824.764211175</v>
      </c>
      <c r="V306" s="351">
        <f t="shared" si="32"/>
        <v>2447314.3484045099</v>
      </c>
      <c r="W306" s="758"/>
      <c r="X306" s="763"/>
    </row>
    <row r="307" spans="1:24" ht="16" thickBot="1">
      <c r="A307" s="762"/>
      <c r="B307" s="758"/>
      <c r="C307" s="758"/>
      <c r="D307" s="758"/>
      <c r="E307" s="758"/>
      <c r="F307" s="758"/>
      <c r="G307" s="758"/>
      <c r="H307" s="758"/>
      <c r="I307" s="758"/>
      <c r="J307" s="758"/>
      <c r="K307" s="758"/>
      <c r="L307" s="758"/>
      <c r="M307" s="320"/>
      <c r="N307" s="322"/>
      <c r="O307" s="320"/>
      <c r="P307" s="348">
        <f t="shared" si="33"/>
        <v>251</v>
      </c>
      <c r="Q307" s="349">
        <f t="shared" si="35"/>
        <v>54209</v>
      </c>
      <c r="R307" s="351">
        <f t="shared" si="30"/>
        <v>17583.375872526092</v>
      </c>
      <c r="S307" s="351">
        <f t="shared" si="31"/>
        <v>10197.143118352125</v>
      </c>
      <c r="T307" s="351">
        <f t="shared" si="36"/>
        <v>27780.518990878219</v>
      </c>
      <c r="U307" s="351">
        <f t="shared" si="34"/>
        <v>2447314.3484045099</v>
      </c>
      <c r="V307" s="351">
        <f t="shared" si="32"/>
        <v>2429730.9725319836</v>
      </c>
      <c r="W307" s="758"/>
      <c r="X307" s="763"/>
    </row>
    <row r="308" spans="1:24" ht="16" thickBot="1">
      <c r="A308" s="762"/>
      <c r="B308" s="758"/>
      <c r="C308" s="758"/>
      <c r="D308" s="758"/>
      <c r="E308" s="758"/>
      <c r="F308" s="758"/>
      <c r="G308" s="758"/>
      <c r="H308" s="758"/>
      <c r="I308" s="758"/>
      <c r="J308" s="758"/>
      <c r="K308" s="758"/>
      <c r="L308" s="758"/>
      <c r="M308" s="320"/>
      <c r="N308" s="322"/>
      <c r="O308" s="320"/>
      <c r="P308" s="348">
        <f t="shared" si="33"/>
        <v>252</v>
      </c>
      <c r="Q308" s="349">
        <f t="shared" si="35"/>
        <v>54239</v>
      </c>
      <c r="R308" s="351">
        <f t="shared" si="30"/>
        <v>17656.639938661614</v>
      </c>
      <c r="S308" s="351">
        <f t="shared" si="31"/>
        <v>10123.879052216598</v>
      </c>
      <c r="T308" s="351">
        <f t="shared" si="36"/>
        <v>27780.518990878212</v>
      </c>
      <c r="U308" s="351">
        <f t="shared" si="34"/>
        <v>2429730.9725319836</v>
      </c>
      <c r="V308" s="351">
        <f t="shared" si="32"/>
        <v>2412074.3325933218</v>
      </c>
      <c r="W308" s="758"/>
      <c r="X308" s="763"/>
    </row>
    <row r="309" spans="1:24" ht="16" thickBot="1">
      <c r="A309" s="762"/>
      <c r="B309" s="758"/>
      <c r="C309" s="758"/>
      <c r="D309" s="758"/>
      <c r="E309" s="758"/>
      <c r="F309" s="758"/>
      <c r="G309" s="758"/>
      <c r="H309" s="758"/>
      <c r="I309" s="758"/>
      <c r="J309" s="758"/>
      <c r="K309" s="758"/>
      <c r="L309" s="758"/>
      <c r="M309" s="320"/>
      <c r="N309" s="322"/>
      <c r="O309" s="320"/>
      <c r="P309" s="348">
        <f t="shared" si="33"/>
        <v>253</v>
      </c>
      <c r="Q309" s="349">
        <f t="shared" si="35"/>
        <v>54270</v>
      </c>
      <c r="R309" s="351">
        <f t="shared" si="30"/>
        <v>17730.209271739372</v>
      </c>
      <c r="S309" s="351">
        <f t="shared" si="31"/>
        <v>10050.309719138841</v>
      </c>
      <c r="T309" s="351">
        <f t="shared" si="36"/>
        <v>27780.518990878212</v>
      </c>
      <c r="U309" s="351">
        <f t="shared" si="34"/>
        <v>2412074.3325933218</v>
      </c>
      <c r="V309" s="351">
        <f t="shared" si="32"/>
        <v>2394344.1233215826</v>
      </c>
      <c r="W309" s="758"/>
      <c r="X309" s="763"/>
    </row>
    <row r="310" spans="1:24" ht="16" thickBot="1">
      <c r="A310" s="762"/>
      <c r="B310" s="758"/>
      <c r="C310" s="758"/>
      <c r="D310" s="758"/>
      <c r="E310" s="758"/>
      <c r="F310" s="758"/>
      <c r="G310" s="758"/>
      <c r="H310" s="758"/>
      <c r="I310" s="758"/>
      <c r="J310" s="758"/>
      <c r="K310" s="758"/>
      <c r="L310" s="758"/>
      <c r="M310" s="320"/>
      <c r="N310" s="322"/>
      <c r="O310" s="320"/>
      <c r="P310" s="348">
        <f t="shared" si="33"/>
        <v>254</v>
      </c>
      <c r="Q310" s="349">
        <f t="shared" si="35"/>
        <v>54301</v>
      </c>
      <c r="R310" s="351">
        <f t="shared" si="30"/>
        <v>17804.085143704953</v>
      </c>
      <c r="S310" s="351">
        <f t="shared" si="31"/>
        <v>9976.4338471732608</v>
      </c>
      <c r="T310" s="351">
        <f t="shared" si="36"/>
        <v>27780.518990878212</v>
      </c>
      <c r="U310" s="351">
        <f t="shared" si="34"/>
        <v>2394344.1233215826</v>
      </c>
      <c r="V310" s="351">
        <f t="shared" si="32"/>
        <v>2376540.0381778777</v>
      </c>
      <c r="W310" s="758"/>
      <c r="X310" s="763"/>
    </row>
    <row r="311" spans="1:24" ht="16" thickBot="1">
      <c r="A311" s="762"/>
      <c r="B311" s="758"/>
      <c r="C311" s="758"/>
      <c r="D311" s="758"/>
      <c r="E311" s="758"/>
      <c r="F311" s="758"/>
      <c r="G311" s="758"/>
      <c r="H311" s="758"/>
      <c r="I311" s="758"/>
      <c r="J311" s="758"/>
      <c r="K311" s="758"/>
      <c r="L311" s="758"/>
      <c r="M311" s="320"/>
      <c r="N311" s="322"/>
      <c r="O311" s="320"/>
      <c r="P311" s="348">
        <f t="shared" si="33"/>
        <v>255</v>
      </c>
      <c r="Q311" s="349">
        <f t="shared" si="35"/>
        <v>54331</v>
      </c>
      <c r="R311" s="351">
        <f t="shared" si="30"/>
        <v>17878.268831803722</v>
      </c>
      <c r="S311" s="351">
        <f t="shared" si="31"/>
        <v>9902.2501590744905</v>
      </c>
      <c r="T311" s="351">
        <f t="shared" si="36"/>
        <v>27780.518990878212</v>
      </c>
      <c r="U311" s="351">
        <f t="shared" si="34"/>
        <v>2376540.0381778777</v>
      </c>
      <c r="V311" s="351">
        <f t="shared" si="32"/>
        <v>2358661.7693460737</v>
      </c>
      <c r="W311" s="758"/>
      <c r="X311" s="763"/>
    </row>
    <row r="312" spans="1:24" ht="16" thickBot="1">
      <c r="A312" s="762"/>
      <c r="B312" s="758"/>
      <c r="C312" s="758"/>
      <c r="D312" s="758"/>
      <c r="E312" s="758"/>
      <c r="F312" s="758"/>
      <c r="G312" s="758"/>
      <c r="H312" s="758"/>
      <c r="I312" s="758"/>
      <c r="J312" s="758"/>
      <c r="K312" s="758"/>
      <c r="L312" s="758"/>
      <c r="M312" s="320"/>
      <c r="N312" s="322"/>
      <c r="O312" s="320"/>
      <c r="P312" s="348">
        <f t="shared" si="33"/>
        <v>256</v>
      </c>
      <c r="Q312" s="349">
        <f t="shared" si="35"/>
        <v>54362</v>
      </c>
      <c r="R312" s="351">
        <f t="shared" si="30"/>
        <v>17952.761618602904</v>
      </c>
      <c r="S312" s="351">
        <f t="shared" si="31"/>
        <v>9827.7573722753077</v>
      </c>
      <c r="T312" s="351">
        <f t="shared" si="36"/>
        <v>27780.518990878212</v>
      </c>
      <c r="U312" s="351">
        <f t="shared" si="34"/>
        <v>2358661.7693460737</v>
      </c>
      <c r="V312" s="351">
        <f t="shared" si="32"/>
        <v>2340709.0077274707</v>
      </c>
      <c r="W312" s="758"/>
      <c r="X312" s="763"/>
    </row>
    <row r="313" spans="1:24" ht="16" thickBot="1">
      <c r="A313" s="762"/>
      <c r="B313" s="758"/>
      <c r="C313" s="758"/>
      <c r="D313" s="758"/>
      <c r="E313" s="758"/>
      <c r="F313" s="758"/>
      <c r="G313" s="758"/>
      <c r="H313" s="758"/>
      <c r="I313" s="758"/>
      <c r="J313" s="758"/>
      <c r="K313" s="758"/>
      <c r="L313" s="758"/>
      <c r="M313" s="320"/>
      <c r="N313" s="322"/>
      <c r="O313" s="320"/>
      <c r="P313" s="348">
        <f t="shared" si="33"/>
        <v>257</v>
      </c>
      <c r="Q313" s="349">
        <f t="shared" si="35"/>
        <v>54392</v>
      </c>
      <c r="R313" s="351">
        <f t="shared" ref="R313:R376" si="37">IF(OR(Q313&lt;Q$14, Q313&gt;T$12),0, -IF(P313=0, 0, PPMT(R$7, P313, R$8, R$6)))</f>
        <v>18027.564792013749</v>
      </c>
      <c r="S313" s="351">
        <f t="shared" ref="S313:S376" si="38">IF(OR(Q313&lt;Q$13, Q313&gt;T$12), 0, +U313*R$7)</f>
        <v>9752.9541988644614</v>
      </c>
      <c r="T313" s="351">
        <f t="shared" si="36"/>
        <v>27780.518990878212</v>
      </c>
      <c r="U313" s="351">
        <f t="shared" si="34"/>
        <v>2340709.0077274707</v>
      </c>
      <c r="V313" s="351">
        <f t="shared" ref="V313:V376" si="39">IF(Q313&gt;T$12, "", +U313-R313)</f>
        <v>2322681.442935457</v>
      </c>
      <c r="W313" s="758"/>
      <c r="X313" s="763"/>
    </row>
    <row r="314" spans="1:24" ht="16" thickBot="1">
      <c r="A314" s="762"/>
      <c r="B314" s="758"/>
      <c r="C314" s="758"/>
      <c r="D314" s="758"/>
      <c r="E314" s="758"/>
      <c r="F314" s="758"/>
      <c r="G314" s="758"/>
      <c r="H314" s="758"/>
      <c r="I314" s="758"/>
      <c r="J314" s="758"/>
      <c r="K314" s="758"/>
      <c r="L314" s="758"/>
      <c r="M314" s="320"/>
      <c r="N314" s="322"/>
      <c r="O314" s="320"/>
      <c r="P314" s="348">
        <f t="shared" ref="P314:P377" si="40">IF(Q314&lt;Q$14, 0, P313+1)</f>
        <v>258</v>
      </c>
      <c r="Q314" s="349">
        <f t="shared" si="35"/>
        <v>54423</v>
      </c>
      <c r="R314" s="351">
        <f t="shared" si="37"/>
        <v>18102.679645313809</v>
      </c>
      <c r="S314" s="351">
        <f t="shared" si="38"/>
        <v>9677.8393455644036</v>
      </c>
      <c r="T314" s="351">
        <f t="shared" si="36"/>
        <v>27780.518990878212</v>
      </c>
      <c r="U314" s="351">
        <f t="shared" ref="U314:U377" si="41">IF(Q314&gt;T$12, 0, +V313)</f>
        <v>2322681.442935457</v>
      </c>
      <c r="V314" s="351">
        <f t="shared" si="39"/>
        <v>2304578.7632901431</v>
      </c>
      <c r="W314" s="758"/>
      <c r="X314" s="763"/>
    </row>
    <row r="315" spans="1:24" ht="16" thickBot="1">
      <c r="A315" s="762"/>
      <c r="B315" s="758"/>
      <c r="C315" s="758"/>
      <c r="D315" s="758"/>
      <c r="E315" s="758"/>
      <c r="F315" s="758"/>
      <c r="G315" s="758"/>
      <c r="H315" s="758"/>
      <c r="I315" s="758"/>
      <c r="J315" s="758"/>
      <c r="K315" s="758"/>
      <c r="L315" s="758"/>
      <c r="M315" s="320"/>
      <c r="N315" s="322"/>
      <c r="O315" s="320"/>
      <c r="P315" s="348">
        <f t="shared" si="40"/>
        <v>259</v>
      </c>
      <c r="Q315" s="349">
        <f t="shared" ref="Q315:Q378" si="42">EOMONTH(Q314, 1)</f>
        <v>54454</v>
      </c>
      <c r="R315" s="351">
        <f t="shared" si="37"/>
        <v>18178.10747716928</v>
      </c>
      <c r="S315" s="351">
        <f t="shared" si="38"/>
        <v>9602.4115137089302</v>
      </c>
      <c r="T315" s="351">
        <f t="shared" ref="T315:T378" si="43">R315+S315</f>
        <v>27780.518990878212</v>
      </c>
      <c r="U315" s="351">
        <f t="shared" si="41"/>
        <v>2304578.7632901431</v>
      </c>
      <c r="V315" s="351">
        <f t="shared" si="39"/>
        <v>2286400.6558129736</v>
      </c>
      <c r="W315" s="758"/>
      <c r="X315" s="763"/>
    </row>
    <row r="316" spans="1:24" ht="16" thickBot="1">
      <c r="A316" s="762"/>
      <c r="B316" s="758"/>
      <c r="C316" s="758"/>
      <c r="D316" s="758"/>
      <c r="E316" s="758"/>
      <c r="F316" s="758"/>
      <c r="G316" s="758"/>
      <c r="H316" s="758"/>
      <c r="I316" s="758"/>
      <c r="J316" s="758"/>
      <c r="K316" s="758"/>
      <c r="L316" s="758"/>
      <c r="M316" s="320"/>
      <c r="N316" s="322"/>
      <c r="O316" s="320"/>
      <c r="P316" s="348">
        <f t="shared" si="40"/>
        <v>260</v>
      </c>
      <c r="Q316" s="349">
        <f t="shared" si="42"/>
        <v>54482</v>
      </c>
      <c r="R316" s="351">
        <f t="shared" si="37"/>
        <v>18253.849591657483</v>
      </c>
      <c r="S316" s="351">
        <f t="shared" si="38"/>
        <v>9526.6693992207238</v>
      </c>
      <c r="T316" s="351">
        <f t="shared" si="43"/>
        <v>27780.518990878205</v>
      </c>
      <c r="U316" s="351">
        <f t="shared" si="41"/>
        <v>2286400.6558129736</v>
      </c>
      <c r="V316" s="351">
        <f t="shared" si="39"/>
        <v>2268146.8062213161</v>
      </c>
      <c r="W316" s="758"/>
      <c r="X316" s="763"/>
    </row>
    <row r="317" spans="1:24" ht="16" thickBot="1">
      <c r="A317" s="762"/>
      <c r="B317" s="758"/>
      <c r="C317" s="758"/>
      <c r="D317" s="758"/>
      <c r="E317" s="758"/>
      <c r="F317" s="758"/>
      <c r="G317" s="758"/>
      <c r="H317" s="758"/>
      <c r="I317" s="758"/>
      <c r="J317" s="758"/>
      <c r="K317" s="758"/>
      <c r="L317" s="758"/>
      <c r="M317" s="320"/>
      <c r="N317" s="322"/>
      <c r="O317" s="320"/>
      <c r="P317" s="348">
        <f t="shared" si="40"/>
        <v>261</v>
      </c>
      <c r="Q317" s="349">
        <f t="shared" si="42"/>
        <v>54513</v>
      </c>
      <c r="R317" s="351">
        <f t="shared" si="37"/>
        <v>18329.907298289396</v>
      </c>
      <c r="S317" s="351">
        <f t="shared" si="38"/>
        <v>9450.6116925888164</v>
      </c>
      <c r="T317" s="351">
        <f t="shared" si="43"/>
        <v>27780.518990878212</v>
      </c>
      <c r="U317" s="351">
        <f t="shared" si="41"/>
        <v>2268146.8062213161</v>
      </c>
      <c r="V317" s="351">
        <f t="shared" si="39"/>
        <v>2249816.8989230269</v>
      </c>
      <c r="W317" s="758"/>
      <c r="X317" s="763"/>
    </row>
    <row r="318" spans="1:24" ht="16" thickBot="1">
      <c r="A318" s="762"/>
      <c r="B318" s="758"/>
      <c r="C318" s="758"/>
      <c r="D318" s="758"/>
      <c r="E318" s="758"/>
      <c r="F318" s="758"/>
      <c r="G318" s="758"/>
      <c r="H318" s="758"/>
      <c r="I318" s="758"/>
      <c r="J318" s="758"/>
      <c r="K318" s="758"/>
      <c r="L318" s="758"/>
      <c r="M318" s="320"/>
      <c r="N318" s="322"/>
      <c r="O318" s="320"/>
      <c r="P318" s="348">
        <f t="shared" si="40"/>
        <v>262</v>
      </c>
      <c r="Q318" s="349">
        <f t="shared" si="42"/>
        <v>54543</v>
      </c>
      <c r="R318" s="351">
        <f t="shared" si="37"/>
        <v>18406.281912032267</v>
      </c>
      <c r="S318" s="351">
        <f t="shared" si="38"/>
        <v>9374.2370788459448</v>
      </c>
      <c r="T318" s="351">
        <f t="shared" si="43"/>
        <v>27780.518990878212</v>
      </c>
      <c r="U318" s="351">
        <f t="shared" si="41"/>
        <v>2249816.8989230269</v>
      </c>
      <c r="V318" s="351">
        <f t="shared" si="39"/>
        <v>2231410.6170109948</v>
      </c>
      <c r="W318" s="758"/>
      <c r="X318" s="763"/>
    </row>
    <row r="319" spans="1:24" ht="16" thickBot="1">
      <c r="A319" s="762"/>
      <c r="B319" s="758"/>
      <c r="C319" s="758"/>
      <c r="D319" s="758"/>
      <c r="E319" s="758"/>
      <c r="F319" s="758"/>
      <c r="G319" s="758"/>
      <c r="H319" s="758"/>
      <c r="I319" s="758"/>
      <c r="J319" s="758"/>
      <c r="K319" s="758"/>
      <c r="L319" s="758"/>
      <c r="M319" s="320"/>
      <c r="N319" s="322"/>
      <c r="O319" s="320"/>
      <c r="P319" s="348">
        <f t="shared" si="40"/>
        <v>263</v>
      </c>
      <c r="Q319" s="349">
        <f t="shared" si="42"/>
        <v>54574</v>
      </c>
      <c r="R319" s="351">
        <f t="shared" si="37"/>
        <v>18482.974753332397</v>
      </c>
      <c r="S319" s="351">
        <f t="shared" si="38"/>
        <v>9297.5442375458115</v>
      </c>
      <c r="T319" s="351">
        <f t="shared" si="43"/>
        <v>27780.518990878209</v>
      </c>
      <c r="U319" s="351">
        <f t="shared" si="41"/>
        <v>2231410.6170109948</v>
      </c>
      <c r="V319" s="351">
        <f t="shared" si="39"/>
        <v>2212927.6422576625</v>
      </c>
      <c r="W319" s="758"/>
      <c r="X319" s="763"/>
    </row>
    <row r="320" spans="1:24" ht="16" thickBot="1">
      <c r="A320" s="762"/>
      <c r="B320" s="758"/>
      <c r="C320" s="758"/>
      <c r="D320" s="758"/>
      <c r="E320" s="758"/>
      <c r="F320" s="758"/>
      <c r="G320" s="758"/>
      <c r="H320" s="758"/>
      <c r="I320" s="758"/>
      <c r="J320" s="758"/>
      <c r="K320" s="758"/>
      <c r="L320" s="758"/>
      <c r="M320" s="320"/>
      <c r="N320" s="322"/>
      <c r="O320" s="320"/>
      <c r="P320" s="348">
        <f t="shared" si="40"/>
        <v>264</v>
      </c>
      <c r="Q320" s="349">
        <f t="shared" si="42"/>
        <v>54604</v>
      </c>
      <c r="R320" s="351">
        <f t="shared" si="37"/>
        <v>18559.987148137952</v>
      </c>
      <c r="S320" s="351">
        <f t="shared" si="38"/>
        <v>9220.5318427402599</v>
      </c>
      <c r="T320" s="351">
        <f t="shared" si="43"/>
        <v>27780.518990878212</v>
      </c>
      <c r="U320" s="351">
        <f t="shared" si="41"/>
        <v>2212927.6422576625</v>
      </c>
      <c r="V320" s="351">
        <f t="shared" si="39"/>
        <v>2194367.6551095247</v>
      </c>
      <c r="W320" s="758"/>
      <c r="X320" s="763"/>
    </row>
    <row r="321" spans="1:24" ht="16" thickBot="1">
      <c r="A321" s="762"/>
      <c r="B321" s="758"/>
      <c r="C321" s="758"/>
      <c r="D321" s="758"/>
      <c r="E321" s="758"/>
      <c r="F321" s="758"/>
      <c r="G321" s="758"/>
      <c r="H321" s="758"/>
      <c r="I321" s="758"/>
      <c r="J321" s="758"/>
      <c r="K321" s="758"/>
      <c r="L321" s="758"/>
      <c r="M321" s="320"/>
      <c r="N321" s="322"/>
      <c r="O321" s="320"/>
      <c r="P321" s="348">
        <f t="shared" si="40"/>
        <v>265</v>
      </c>
      <c r="Q321" s="349">
        <f t="shared" si="42"/>
        <v>54635</v>
      </c>
      <c r="R321" s="351">
        <f t="shared" si="37"/>
        <v>18637.320427921859</v>
      </c>
      <c r="S321" s="351">
        <f t="shared" si="38"/>
        <v>9143.1985629563533</v>
      </c>
      <c r="T321" s="351">
        <f t="shared" si="43"/>
        <v>27780.518990878212</v>
      </c>
      <c r="U321" s="351">
        <f t="shared" si="41"/>
        <v>2194367.6551095247</v>
      </c>
      <c r="V321" s="351">
        <f t="shared" si="39"/>
        <v>2175730.3346816027</v>
      </c>
      <c r="W321" s="758"/>
      <c r="X321" s="763"/>
    </row>
    <row r="322" spans="1:24" ht="16" thickBot="1">
      <c r="A322" s="762"/>
      <c r="B322" s="758"/>
      <c r="C322" s="758"/>
      <c r="D322" s="758"/>
      <c r="E322" s="758"/>
      <c r="F322" s="758"/>
      <c r="G322" s="758"/>
      <c r="H322" s="758"/>
      <c r="I322" s="758"/>
      <c r="J322" s="758"/>
      <c r="K322" s="758"/>
      <c r="L322" s="758"/>
      <c r="M322" s="320"/>
      <c r="N322" s="322"/>
      <c r="O322" s="320"/>
      <c r="P322" s="348">
        <f t="shared" si="40"/>
        <v>266</v>
      </c>
      <c r="Q322" s="349">
        <f t="shared" si="42"/>
        <v>54666</v>
      </c>
      <c r="R322" s="351">
        <f t="shared" si="37"/>
        <v>18714.975929704866</v>
      </c>
      <c r="S322" s="351">
        <f t="shared" si="38"/>
        <v>9065.5430611733445</v>
      </c>
      <c r="T322" s="351">
        <f t="shared" si="43"/>
        <v>27780.518990878212</v>
      </c>
      <c r="U322" s="351">
        <f t="shared" si="41"/>
        <v>2175730.3346816027</v>
      </c>
      <c r="V322" s="351">
        <f t="shared" si="39"/>
        <v>2157015.3587518977</v>
      </c>
      <c r="W322" s="758"/>
      <c r="X322" s="763"/>
    </row>
    <row r="323" spans="1:24" ht="16" thickBot="1">
      <c r="A323" s="762"/>
      <c r="B323" s="758"/>
      <c r="C323" s="758"/>
      <c r="D323" s="758"/>
      <c r="E323" s="758"/>
      <c r="F323" s="758"/>
      <c r="G323" s="758"/>
      <c r="H323" s="758"/>
      <c r="I323" s="758"/>
      <c r="J323" s="758"/>
      <c r="K323" s="758"/>
      <c r="L323" s="758"/>
      <c r="M323" s="320"/>
      <c r="N323" s="322"/>
      <c r="O323" s="320"/>
      <c r="P323" s="348">
        <f t="shared" si="40"/>
        <v>267</v>
      </c>
      <c r="Q323" s="349">
        <f t="shared" si="42"/>
        <v>54696</v>
      </c>
      <c r="R323" s="351">
        <f t="shared" si="37"/>
        <v>18792.954996078635</v>
      </c>
      <c r="S323" s="351">
        <f t="shared" si="38"/>
        <v>8987.5639947995733</v>
      </c>
      <c r="T323" s="351">
        <f t="shared" si="43"/>
        <v>27780.518990878209</v>
      </c>
      <c r="U323" s="351">
        <f t="shared" si="41"/>
        <v>2157015.3587518977</v>
      </c>
      <c r="V323" s="351">
        <f t="shared" si="39"/>
        <v>2138222.403755819</v>
      </c>
      <c r="W323" s="758"/>
      <c r="X323" s="763"/>
    </row>
    <row r="324" spans="1:24" ht="16" thickBot="1">
      <c r="A324" s="762"/>
      <c r="B324" s="758"/>
      <c r="C324" s="758"/>
      <c r="D324" s="758"/>
      <c r="E324" s="758"/>
      <c r="F324" s="758"/>
      <c r="G324" s="758"/>
      <c r="H324" s="758"/>
      <c r="I324" s="758"/>
      <c r="J324" s="758"/>
      <c r="K324" s="758"/>
      <c r="L324" s="758"/>
      <c r="M324" s="320"/>
      <c r="N324" s="322"/>
      <c r="O324" s="320"/>
      <c r="P324" s="348">
        <f t="shared" si="40"/>
        <v>268</v>
      </c>
      <c r="Q324" s="349">
        <f t="shared" si="42"/>
        <v>54727</v>
      </c>
      <c r="R324" s="351">
        <f t="shared" si="37"/>
        <v>18871.25897522896</v>
      </c>
      <c r="S324" s="351">
        <f t="shared" si="38"/>
        <v>8909.2600156492463</v>
      </c>
      <c r="T324" s="351">
        <f t="shared" si="43"/>
        <v>27780.518990878205</v>
      </c>
      <c r="U324" s="351">
        <f t="shared" si="41"/>
        <v>2138222.403755819</v>
      </c>
      <c r="V324" s="351">
        <f t="shared" si="39"/>
        <v>2119351.1447805902</v>
      </c>
      <c r="W324" s="758"/>
      <c r="X324" s="763"/>
    </row>
    <row r="325" spans="1:24" ht="16" thickBot="1">
      <c r="A325" s="762"/>
      <c r="B325" s="758"/>
      <c r="C325" s="758"/>
      <c r="D325" s="758"/>
      <c r="E325" s="758"/>
      <c r="F325" s="758"/>
      <c r="G325" s="758"/>
      <c r="H325" s="758"/>
      <c r="I325" s="758"/>
      <c r="J325" s="758"/>
      <c r="K325" s="758"/>
      <c r="L325" s="758"/>
      <c r="M325" s="320"/>
      <c r="N325" s="322"/>
      <c r="O325" s="320"/>
      <c r="P325" s="348">
        <f t="shared" si="40"/>
        <v>269</v>
      </c>
      <c r="Q325" s="349">
        <f t="shared" si="42"/>
        <v>54757</v>
      </c>
      <c r="R325" s="351">
        <f t="shared" si="37"/>
        <v>18949.889220959089</v>
      </c>
      <c r="S325" s="351">
        <f t="shared" si="38"/>
        <v>8830.6297699191255</v>
      </c>
      <c r="T325" s="351">
        <f t="shared" si="43"/>
        <v>27780.518990878212</v>
      </c>
      <c r="U325" s="351">
        <f t="shared" si="41"/>
        <v>2119351.1447805902</v>
      </c>
      <c r="V325" s="351">
        <f t="shared" si="39"/>
        <v>2100401.2555596312</v>
      </c>
      <c r="W325" s="758"/>
      <c r="X325" s="763"/>
    </row>
    <row r="326" spans="1:24" ht="16" thickBot="1">
      <c r="A326" s="762"/>
      <c r="B326" s="758"/>
      <c r="C326" s="758"/>
      <c r="D326" s="758"/>
      <c r="E326" s="758"/>
      <c r="F326" s="758"/>
      <c r="G326" s="758"/>
      <c r="H326" s="758"/>
      <c r="I326" s="758"/>
      <c r="J326" s="758"/>
      <c r="K326" s="758"/>
      <c r="L326" s="758"/>
      <c r="M326" s="320"/>
      <c r="N326" s="322"/>
      <c r="O326" s="320"/>
      <c r="P326" s="348">
        <f t="shared" si="40"/>
        <v>270</v>
      </c>
      <c r="Q326" s="349">
        <f t="shared" si="42"/>
        <v>54788</v>
      </c>
      <c r="R326" s="351">
        <f t="shared" si="37"/>
        <v>19028.84709271308</v>
      </c>
      <c r="S326" s="351">
        <f t="shared" si="38"/>
        <v>8751.6718981651302</v>
      </c>
      <c r="T326" s="351">
        <f t="shared" si="43"/>
        <v>27780.518990878212</v>
      </c>
      <c r="U326" s="351">
        <f t="shared" si="41"/>
        <v>2100401.2555596312</v>
      </c>
      <c r="V326" s="351">
        <f t="shared" si="39"/>
        <v>2081372.4084669182</v>
      </c>
      <c r="W326" s="758"/>
      <c r="X326" s="763"/>
    </row>
    <row r="327" spans="1:24" ht="16" thickBot="1">
      <c r="A327" s="762"/>
      <c r="B327" s="758"/>
      <c r="C327" s="758"/>
      <c r="D327" s="758"/>
      <c r="E327" s="758"/>
      <c r="F327" s="758"/>
      <c r="G327" s="758"/>
      <c r="H327" s="758"/>
      <c r="I327" s="758"/>
      <c r="J327" s="758"/>
      <c r="K327" s="758"/>
      <c r="L327" s="758"/>
      <c r="M327" s="320"/>
      <c r="N327" s="322"/>
      <c r="O327" s="320"/>
      <c r="P327" s="348">
        <f t="shared" si="40"/>
        <v>271</v>
      </c>
      <c r="Q327" s="349">
        <f t="shared" si="42"/>
        <v>54819</v>
      </c>
      <c r="R327" s="351">
        <f t="shared" si="37"/>
        <v>19108.133955599387</v>
      </c>
      <c r="S327" s="351">
        <f t="shared" si="38"/>
        <v>8672.3850352788249</v>
      </c>
      <c r="T327" s="351">
        <f t="shared" si="43"/>
        <v>27780.518990878212</v>
      </c>
      <c r="U327" s="351">
        <f t="shared" si="41"/>
        <v>2081372.4084669182</v>
      </c>
      <c r="V327" s="351">
        <f t="shared" si="39"/>
        <v>2062264.2745113189</v>
      </c>
      <c r="W327" s="758"/>
      <c r="X327" s="763"/>
    </row>
    <row r="328" spans="1:24" ht="16" thickBot="1">
      <c r="A328" s="762"/>
      <c r="B328" s="758"/>
      <c r="C328" s="758"/>
      <c r="D328" s="758"/>
      <c r="E328" s="758"/>
      <c r="F328" s="758"/>
      <c r="G328" s="758"/>
      <c r="H328" s="758"/>
      <c r="I328" s="758"/>
      <c r="J328" s="758"/>
      <c r="K328" s="758"/>
      <c r="L328" s="758"/>
      <c r="M328" s="320"/>
      <c r="N328" s="322"/>
      <c r="O328" s="320"/>
      <c r="P328" s="348">
        <f t="shared" si="40"/>
        <v>272</v>
      </c>
      <c r="Q328" s="349">
        <f t="shared" si="42"/>
        <v>54847</v>
      </c>
      <c r="R328" s="351">
        <f t="shared" si="37"/>
        <v>19187.751180414387</v>
      </c>
      <c r="S328" s="351">
        <f t="shared" si="38"/>
        <v>8592.7678104638289</v>
      </c>
      <c r="T328" s="351">
        <f t="shared" si="43"/>
        <v>27780.518990878216</v>
      </c>
      <c r="U328" s="351">
        <f t="shared" si="41"/>
        <v>2062264.2745113189</v>
      </c>
      <c r="V328" s="351">
        <f t="shared" si="39"/>
        <v>2043076.5233309045</v>
      </c>
      <c r="W328" s="758"/>
      <c r="X328" s="763"/>
    </row>
    <row r="329" spans="1:24" ht="16" thickBot="1">
      <c r="A329" s="762"/>
      <c r="B329" s="758"/>
      <c r="C329" s="758"/>
      <c r="D329" s="758"/>
      <c r="E329" s="758"/>
      <c r="F329" s="758"/>
      <c r="G329" s="758"/>
      <c r="H329" s="758"/>
      <c r="I329" s="758"/>
      <c r="J329" s="758"/>
      <c r="K329" s="758"/>
      <c r="L329" s="758"/>
      <c r="M329" s="320"/>
      <c r="N329" s="322"/>
      <c r="O329" s="320"/>
      <c r="P329" s="348">
        <f t="shared" si="40"/>
        <v>273</v>
      </c>
      <c r="Q329" s="349">
        <f t="shared" si="42"/>
        <v>54878</v>
      </c>
      <c r="R329" s="351">
        <f t="shared" si="37"/>
        <v>19267.700143666112</v>
      </c>
      <c r="S329" s="351">
        <f t="shared" si="38"/>
        <v>8512.8188472121019</v>
      </c>
      <c r="T329" s="351">
        <f t="shared" si="43"/>
        <v>27780.518990878212</v>
      </c>
      <c r="U329" s="351">
        <f t="shared" si="41"/>
        <v>2043076.5233309045</v>
      </c>
      <c r="V329" s="351">
        <f t="shared" si="39"/>
        <v>2023808.8231872385</v>
      </c>
      <c r="W329" s="758"/>
      <c r="X329" s="763"/>
    </row>
    <row r="330" spans="1:24" ht="16" thickBot="1">
      <c r="A330" s="762"/>
      <c r="B330" s="758"/>
      <c r="C330" s="758"/>
      <c r="D330" s="758"/>
      <c r="E330" s="758"/>
      <c r="F330" s="758"/>
      <c r="G330" s="758"/>
      <c r="H330" s="758"/>
      <c r="I330" s="758"/>
      <c r="J330" s="758"/>
      <c r="K330" s="758"/>
      <c r="L330" s="758"/>
      <c r="M330" s="320"/>
      <c r="N330" s="322"/>
      <c r="O330" s="320"/>
      <c r="P330" s="348">
        <f t="shared" si="40"/>
        <v>274</v>
      </c>
      <c r="Q330" s="349">
        <f t="shared" si="42"/>
        <v>54908</v>
      </c>
      <c r="R330" s="351">
        <f t="shared" si="37"/>
        <v>19347.982227598051</v>
      </c>
      <c r="S330" s="351">
        <f t="shared" si="38"/>
        <v>8432.5367632801608</v>
      </c>
      <c r="T330" s="351">
        <f t="shared" si="43"/>
        <v>27780.518990878212</v>
      </c>
      <c r="U330" s="351">
        <f t="shared" si="41"/>
        <v>2023808.8231872385</v>
      </c>
      <c r="V330" s="351">
        <f t="shared" si="39"/>
        <v>2004460.8409596405</v>
      </c>
      <c r="W330" s="758"/>
      <c r="X330" s="763"/>
    </row>
    <row r="331" spans="1:24" ht="16" thickBot="1">
      <c r="A331" s="762"/>
      <c r="B331" s="758"/>
      <c r="C331" s="758"/>
      <c r="D331" s="758"/>
      <c r="E331" s="758"/>
      <c r="F331" s="758"/>
      <c r="G331" s="758"/>
      <c r="H331" s="758"/>
      <c r="I331" s="758"/>
      <c r="J331" s="758"/>
      <c r="K331" s="758"/>
      <c r="L331" s="758"/>
      <c r="M331" s="320"/>
      <c r="N331" s="322"/>
      <c r="O331" s="320"/>
      <c r="P331" s="348">
        <f t="shared" si="40"/>
        <v>275</v>
      </c>
      <c r="Q331" s="349">
        <f t="shared" si="42"/>
        <v>54939</v>
      </c>
      <c r="R331" s="351">
        <f t="shared" si="37"/>
        <v>19428.598820213047</v>
      </c>
      <c r="S331" s="351">
        <f t="shared" si="38"/>
        <v>8351.9201706651693</v>
      </c>
      <c r="T331" s="351">
        <f t="shared" si="43"/>
        <v>27780.518990878216</v>
      </c>
      <c r="U331" s="351">
        <f t="shared" si="41"/>
        <v>2004460.8409596405</v>
      </c>
      <c r="V331" s="351">
        <f t="shared" si="39"/>
        <v>1985032.2421394275</v>
      </c>
      <c r="W331" s="758"/>
      <c r="X331" s="763"/>
    </row>
    <row r="332" spans="1:24" ht="16" thickBot="1">
      <c r="A332" s="762"/>
      <c r="B332" s="758"/>
      <c r="C332" s="758"/>
      <c r="D332" s="758"/>
      <c r="E332" s="758"/>
      <c r="F332" s="758"/>
      <c r="G332" s="758"/>
      <c r="H332" s="758"/>
      <c r="I332" s="758"/>
      <c r="J332" s="758"/>
      <c r="K332" s="758"/>
      <c r="L332" s="758"/>
      <c r="M332" s="320"/>
      <c r="N332" s="322"/>
      <c r="O332" s="320"/>
      <c r="P332" s="348">
        <f t="shared" si="40"/>
        <v>276</v>
      </c>
      <c r="Q332" s="349">
        <f t="shared" si="42"/>
        <v>54969</v>
      </c>
      <c r="R332" s="351">
        <f t="shared" si="37"/>
        <v>19509.551315297263</v>
      </c>
      <c r="S332" s="351">
        <f t="shared" si="38"/>
        <v>8270.9676755809469</v>
      </c>
      <c r="T332" s="351">
        <f t="shared" si="43"/>
        <v>27780.518990878212</v>
      </c>
      <c r="U332" s="351">
        <f t="shared" si="41"/>
        <v>1985032.2421394275</v>
      </c>
      <c r="V332" s="351">
        <f t="shared" si="39"/>
        <v>1965522.6908241301</v>
      </c>
      <c r="W332" s="758"/>
      <c r="X332" s="763"/>
    </row>
    <row r="333" spans="1:24" ht="16" thickBot="1">
      <c r="A333" s="762"/>
      <c r="B333" s="758"/>
      <c r="C333" s="758"/>
      <c r="D333" s="758"/>
      <c r="E333" s="758"/>
      <c r="F333" s="758"/>
      <c r="G333" s="758"/>
      <c r="H333" s="758"/>
      <c r="I333" s="758"/>
      <c r="J333" s="758"/>
      <c r="K333" s="758"/>
      <c r="L333" s="758"/>
      <c r="M333" s="320"/>
      <c r="N333" s="322"/>
      <c r="O333" s="320"/>
      <c r="P333" s="348">
        <f t="shared" si="40"/>
        <v>277</v>
      </c>
      <c r="Q333" s="349">
        <f t="shared" si="42"/>
        <v>55000</v>
      </c>
      <c r="R333" s="351">
        <f t="shared" si="37"/>
        <v>19590.841112444337</v>
      </c>
      <c r="S333" s="351">
        <f t="shared" si="38"/>
        <v>8189.6778784338749</v>
      </c>
      <c r="T333" s="351">
        <f t="shared" si="43"/>
        <v>27780.518990878212</v>
      </c>
      <c r="U333" s="351">
        <f t="shared" si="41"/>
        <v>1965522.6908241301</v>
      </c>
      <c r="V333" s="351">
        <f t="shared" si="39"/>
        <v>1945931.8497116857</v>
      </c>
      <c r="W333" s="758"/>
      <c r="X333" s="763"/>
    </row>
    <row r="334" spans="1:24" ht="16" thickBot="1">
      <c r="A334" s="762"/>
      <c r="B334" s="758"/>
      <c r="C334" s="758"/>
      <c r="D334" s="758"/>
      <c r="E334" s="758"/>
      <c r="F334" s="758"/>
      <c r="G334" s="758"/>
      <c r="H334" s="758"/>
      <c r="I334" s="758"/>
      <c r="J334" s="758"/>
      <c r="K334" s="758"/>
      <c r="L334" s="758"/>
      <c r="M334" s="320"/>
      <c r="N334" s="322"/>
      <c r="O334" s="320"/>
      <c r="P334" s="348">
        <f t="shared" si="40"/>
        <v>278</v>
      </c>
      <c r="Q334" s="349">
        <f t="shared" si="42"/>
        <v>55031</v>
      </c>
      <c r="R334" s="351">
        <f t="shared" si="37"/>
        <v>19672.469617079525</v>
      </c>
      <c r="S334" s="351">
        <f t="shared" si="38"/>
        <v>8108.0493737986899</v>
      </c>
      <c r="T334" s="351">
        <f t="shared" si="43"/>
        <v>27780.518990878216</v>
      </c>
      <c r="U334" s="351">
        <f t="shared" si="41"/>
        <v>1945931.8497116857</v>
      </c>
      <c r="V334" s="351">
        <f t="shared" si="39"/>
        <v>1926259.3800946062</v>
      </c>
      <c r="W334" s="758"/>
      <c r="X334" s="763"/>
    </row>
    <row r="335" spans="1:24" ht="16" thickBot="1">
      <c r="A335" s="762"/>
      <c r="B335" s="758"/>
      <c r="C335" s="758"/>
      <c r="D335" s="758"/>
      <c r="E335" s="758"/>
      <c r="F335" s="758"/>
      <c r="G335" s="758"/>
      <c r="H335" s="758"/>
      <c r="I335" s="758"/>
      <c r="J335" s="758"/>
      <c r="K335" s="758"/>
      <c r="L335" s="758"/>
      <c r="M335" s="320"/>
      <c r="N335" s="322"/>
      <c r="O335" s="320"/>
      <c r="P335" s="348">
        <f t="shared" si="40"/>
        <v>279</v>
      </c>
      <c r="Q335" s="349">
        <f t="shared" si="42"/>
        <v>55061</v>
      </c>
      <c r="R335" s="351">
        <f t="shared" si="37"/>
        <v>19754.438240484022</v>
      </c>
      <c r="S335" s="351">
        <f t="shared" si="38"/>
        <v>8026.0807503941924</v>
      </c>
      <c r="T335" s="351">
        <f t="shared" si="43"/>
        <v>27780.518990878212</v>
      </c>
      <c r="U335" s="351">
        <f t="shared" si="41"/>
        <v>1926259.3800946062</v>
      </c>
      <c r="V335" s="351">
        <f t="shared" si="39"/>
        <v>1906504.9418541221</v>
      </c>
      <c r="W335" s="758"/>
      <c r="X335" s="763"/>
    </row>
    <row r="336" spans="1:24" ht="16" thickBot="1">
      <c r="A336" s="762"/>
      <c r="B336" s="758"/>
      <c r="C336" s="758"/>
      <c r="D336" s="758"/>
      <c r="E336" s="758"/>
      <c r="F336" s="758"/>
      <c r="G336" s="758"/>
      <c r="H336" s="758"/>
      <c r="I336" s="758"/>
      <c r="J336" s="758"/>
      <c r="K336" s="758"/>
      <c r="L336" s="758"/>
      <c r="M336" s="320"/>
      <c r="N336" s="322"/>
      <c r="O336" s="320"/>
      <c r="P336" s="348">
        <f t="shared" si="40"/>
        <v>280</v>
      </c>
      <c r="Q336" s="349">
        <f t="shared" si="42"/>
        <v>55092</v>
      </c>
      <c r="R336" s="351">
        <f t="shared" si="37"/>
        <v>19836.748399819371</v>
      </c>
      <c r="S336" s="351">
        <f t="shared" si="38"/>
        <v>7943.770591058842</v>
      </c>
      <c r="T336" s="351">
        <f t="shared" si="43"/>
        <v>27780.518990878212</v>
      </c>
      <c r="U336" s="351">
        <f t="shared" si="41"/>
        <v>1906504.9418541221</v>
      </c>
      <c r="V336" s="351">
        <f t="shared" si="39"/>
        <v>1886668.1934543026</v>
      </c>
      <c r="W336" s="758"/>
      <c r="X336" s="763"/>
    </row>
    <row r="337" spans="1:24" ht="16" thickBot="1">
      <c r="A337" s="762"/>
      <c r="B337" s="758"/>
      <c r="C337" s="758"/>
      <c r="D337" s="758"/>
      <c r="E337" s="758"/>
      <c r="F337" s="758"/>
      <c r="G337" s="758"/>
      <c r="H337" s="758"/>
      <c r="I337" s="758"/>
      <c r="J337" s="758"/>
      <c r="K337" s="758"/>
      <c r="L337" s="758"/>
      <c r="M337" s="320"/>
      <c r="N337" s="322"/>
      <c r="O337" s="320"/>
      <c r="P337" s="348">
        <f t="shared" si="40"/>
        <v>281</v>
      </c>
      <c r="Q337" s="349">
        <f t="shared" si="42"/>
        <v>55122</v>
      </c>
      <c r="R337" s="351">
        <f t="shared" si="37"/>
        <v>19919.40151815195</v>
      </c>
      <c r="S337" s="351">
        <f t="shared" si="38"/>
        <v>7861.1174727262605</v>
      </c>
      <c r="T337" s="351">
        <f t="shared" si="43"/>
        <v>27780.518990878212</v>
      </c>
      <c r="U337" s="351">
        <f t="shared" si="41"/>
        <v>1886668.1934543026</v>
      </c>
      <c r="V337" s="351">
        <f t="shared" si="39"/>
        <v>1866748.7919361508</v>
      </c>
      <c r="W337" s="758"/>
      <c r="X337" s="763"/>
    </row>
    <row r="338" spans="1:24" ht="16" thickBot="1">
      <c r="A338" s="762"/>
      <c r="B338" s="758"/>
      <c r="C338" s="758"/>
      <c r="D338" s="758"/>
      <c r="E338" s="758"/>
      <c r="F338" s="758"/>
      <c r="G338" s="758"/>
      <c r="H338" s="758"/>
      <c r="I338" s="758"/>
      <c r="J338" s="758"/>
      <c r="K338" s="758"/>
      <c r="L338" s="758"/>
      <c r="M338" s="320"/>
      <c r="N338" s="322"/>
      <c r="O338" s="320"/>
      <c r="P338" s="348">
        <f t="shared" si="40"/>
        <v>282</v>
      </c>
      <c r="Q338" s="349">
        <f t="shared" si="42"/>
        <v>55153</v>
      </c>
      <c r="R338" s="351">
        <f t="shared" si="37"/>
        <v>20002.399024477585</v>
      </c>
      <c r="S338" s="351">
        <f t="shared" si="38"/>
        <v>7778.1199664006281</v>
      </c>
      <c r="T338" s="351">
        <f t="shared" si="43"/>
        <v>27780.518990878212</v>
      </c>
      <c r="U338" s="351">
        <f t="shared" si="41"/>
        <v>1866748.7919361508</v>
      </c>
      <c r="V338" s="351">
        <f t="shared" si="39"/>
        <v>1846746.3929116731</v>
      </c>
      <c r="W338" s="758"/>
      <c r="X338" s="763"/>
    </row>
    <row r="339" spans="1:24" ht="16" thickBot="1">
      <c r="A339" s="762"/>
      <c r="B339" s="758"/>
      <c r="C339" s="758"/>
      <c r="D339" s="758"/>
      <c r="E339" s="758"/>
      <c r="F339" s="758"/>
      <c r="G339" s="758"/>
      <c r="H339" s="758"/>
      <c r="I339" s="758"/>
      <c r="J339" s="758"/>
      <c r="K339" s="758"/>
      <c r="L339" s="758"/>
      <c r="M339" s="320"/>
      <c r="N339" s="322"/>
      <c r="O339" s="320"/>
      <c r="P339" s="348">
        <f t="shared" si="40"/>
        <v>283</v>
      </c>
      <c r="Q339" s="349">
        <f t="shared" si="42"/>
        <v>55184</v>
      </c>
      <c r="R339" s="351">
        <f t="shared" si="37"/>
        <v>20085.742353746242</v>
      </c>
      <c r="S339" s="351">
        <f t="shared" si="38"/>
        <v>7694.7766371319713</v>
      </c>
      <c r="T339" s="351">
        <f t="shared" si="43"/>
        <v>27780.518990878212</v>
      </c>
      <c r="U339" s="351">
        <f t="shared" si="41"/>
        <v>1846746.3929116731</v>
      </c>
      <c r="V339" s="351">
        <f t="shared" si="39"/>
        <v>1826660.6505579269</v>
      </c>
      <c r="W339" s="758"/>
      <c r="X339" s="763"/>
    </row>
    <row r="340" spans="1:24" ht="16" thickBot="1">
      <c r="A340" s="762"/>
      <c r="B340" s="758"/>
      <c r="C340" s="758"/>
      <c r="D340" s="758"/>
      <c r="E340" s="758"/>
      <c r="F340" s="758"/>
      <c r="G340" s="758"/>
      <c r="H340" s="758"/>
      <c r="I340" s="758"/>
      <c r="J340" s="758"/>
      <c r="K340" s="758"/>
      <c r="L340" s="758"/>
      <c r="M340" s="320"/>
      <c r="N340" s="322"/>
      <c r="O340" s="320"/>
      <c r="P340" s="348">
        <f t="shared" si="40"/>
        <v>284</v>
      </c>
      <c r="Q340" s="349">
        <f t="shared" si="42"/>
        <v>55212</v>
      </c>
      <c r="R340" s="351">
        <f t="shared" si="37"/>
        <v>20169.432946886849</v>
      </c>
      <c r="S340" s="351">
        <f t="shared" si="38"/>
        <v>7611.0860439913622</v>
      </c>
      <c r="T340" s="351">
        <f t="shared" si="43"/>
        <v>27780.518990878212</v>
      </c>
      <c r="U340" s="351">
        <f t="shared" si="41"/>
        <v>1826660.6505579269</v>
      </c>
      <c r="V340" s="351">
        <f t="shared" si="39"/>
        <v>1806491.21761104</v>
      </c>
      <c r="W340" s="758"/>
      <c r="X340" s="763"/>
    </row>
    <row r="341" spans="1:24" ht="16" thickBot="1">
      <c r="A341" s="762"/>
      <c r="B341" s="758"/>
      <c r="C341" s="758"/>
      <c r="D341" s="758"/>
      <c r="E341" s="758"/>
      <c r="F341" s="758"/>
      <c r="G341" s="758"/>
      <c r="H341" s="758"/>
      <c r="I341" s="758"/>
      <c r="J341" s="758"/>
      <c r="K341" s="758"/>
      <c r="L341" s="758"/>
      <c r="M341" s="320"/>
      <c r="N341" s="322"/>
      <c r="O341" s="320"/>
      <c r="P341" s="348">
        <f t="shared" si="40"/>
        <v>285</v>
      </c>
      <c r="Q341" s="349">
        <f t="shared" si="42"/>
        <v>55243</v>
      </c>
      <c r="R341" s="351">
        <f t="shared" si="37"/>
        <v>20253.472250832208</v>
      </c>
      <c r="S341" s="351">
        <f t="shared" si="38"/>
        <v>7527.0467400460002</v>
      </c>
      <c r="T341" s="351">
        <f t="shared" si="43"/>
        <v>27780.518990878209</v>
      </c>
      <c r="U341" s="351">
        <f t="shared" si="41"/>
        <v>1806491.21761104</v>
      </c>
      <c r="V341" s="351">
        <f t="shared" si="39"/>
        <v>1786237.7453602077</v>
      </c>
      <c r="W341" s="758"/>
      <c r="X341" s="763"/>
    </row>
    <row r="342" spans="1:24" ht="16" thickBot="1">
      <c r="A342" s="762"/>
      <c r="B342" s="758"/>
      <c r="C342" s="758"/>
      <c r="D342" s="758"/>
      <c r="E342" s="758"/>
      <c r="F342" s="758"/>
      <c r="G342" s="758"/>
      <c r="H342" s="758"/>
      <c r="I342" s="758"/>
      <c r="J342" s="758"/>
      <c r="K342" s="758"/>
      <c r="L342" s="758"/>
      <c r="M342" s="320"/>
      <c r="N342" s="322"/>
      <c r="O342" s="320"/>
      <c r="P342" s="348">
        <f t="shared" si="40"/>
        <v>286</v>
      </c>
      <c r="Q342" s="349">
        <f t="shared" si="42"/>
        <v>55273</v>
      </c>
      <c r="R342" s="351">
        <f t="shared" si="37"/>
        <v>20337.861718544016</v>
      </c>
      <c r="S342" s="351">
        <f t="shared" si="38"/>
        <v>7442.6572723341988</v>
      </c>
      <c r="T342" s="351">
        <f t="shared" si="43"/>
        <v>27780.518990878216</v>
      </c>
      <c r="U342" s="351">
        <f t="shared" si="41"/>
        <v>1786237.7453602077</v>
      </c>
      <c r="V342" s="351">
        <f t="shared" si="39"/>
        <v>1765899.8836416637</v>
      </c>
      <c r="W342" s="758"/>
      <c r="X342" s="763"/>
    </row>
    <row r="343" spans="1:24" ht="16" thickBot="1">
      <c r="A343" s="762"/>
      <c r="B343" s="758"/>
      <c r="C343" s="758"/>
      <c r="D343" s="758"/>
      <c r="E343" s="758"/>
      <c r="F343" s="758"/>
      <c r="G343" s="758"/>
      <c r="H343" s="758"/>
      <c r="I343" s="758"/>
      <c r="J343" s="758"/>
      <c r="K343" s="758"/>
      <c r="L343" s="758"/>
      <c r="M343" s="320"/>
      <c r="N343" s="322"/>
      <c r="O343" s="320"/>
      <c r="P343" s="348">
        <f t="shared" si="40"/>
        <v>287</v>
      </c>
      <c r="Q343" s="349">
        <f t="shared" si="42"/>
        <v>55304</v>
      </c>
      <c r="R343" s="351">
        <f t="shared" si="37"/>
        <v>20422.602809037948</v>
      </c>
      <c r="S343" s="351">
        <f t="shared" si="38"/>
        <v>7357.9161818402654</v>
      </c>
      <c r="T343" s="351">
        <f t="shared" si="43"/>
        <v>27780.518990878212</v>
      </c>
      <c r="U343" s="351">
        <f t="shared" si="41"/>
        <v>1765899.8836416637</v>
      </c>
      <c r="V343" s="351">
        <f t="shared" si="39"/>
        <v>1745477.2808326257</v>
      </c>
      <c r="W343" s="758"/>
      <c r="X343" s="763"/>
    </row>
    <row r="344" spans="1:24" ht="16" thickBot="1">
      <c r="A344" s="762"/>
      <c r="B344" s="758"/>
      <c r="C344" s="758"/>
      <c r="D344" s="758"/>
      <c r="E344" s="758"/>
      <c r="F344" s="758"/>
      <c r="G344" s="758"/>
      <c r="H344" s="758"/>
      <c r="I344" s="758"/>
      <c r="J344" s="758"/>
      <c r="K344" s="758"/>
      <c r="L344" s="758"/>
      <c r="M344" s="320"/>
      <c r="N344" s="322"/>
      <c r="O344" s="320"/>
      <c r="P344" s="348">
        <f t="shared" si="40"/>
        <v>288</v>
      </c>
      <c r="Q344" s="349">
        <f t="shared" si="42"/>
        <v>55334</v>
      </c>
      <c r="R344" s="351">
        <f t="shared" si="37"/>
        <v>20507.696987408937</v>
      </c>
      <c r="S344" s="351">
        <f t="shared" si="38"/>
        <v>7272.822003469274</v>
      </c>
      <c r="T344" s="351">
        <f t="shared" si="43"/>
        <v>27780.518990878212</v>
      </c>
      <c r="U344" s="351">
        <f t="shared" si="41"/>
        <v>1745477.2808326257</v>
      </c>
      <c r="V344" s="351">
        <f t="shared" si="39"/>
        <v>1724969.5838452168</v>
      </c>
      <c r="W344" s="758"/>
      <c r="X344" s="763"/>
    </row>
    <row r="345" spans="1:24" ht="16" thickBot="1">
      <c r="A345" s="762"/>
      <c r="B345" s="758"/>
      <c r="C345" s="758"/>
      <c r="D345" s="758"/>
      <c r="E345" s="758"/>
      <c r="F345" s="758"/>
      <c r="G345" s="758"/>
      <c r="H345" s="758"/>
      <c r="I345" s="758"/>
      <c r="J345" s="758"/>
      <c r="K345" s="758"/>
      <c r="L345" s="758"/>
      <c r="M345" s="320"/>
      <c r="N345" s="322"/>
      <c r="O345" s="320"/>
      <c r="P345" s="348">
        <f t="shared" si="40"/>
        <v>289</v>
      </c>
      <c r="Q345" s="349">
        <f t="shared" si="42"/>
        <v>55365</v>
      </c>
      <c r="R345" s="351">
        <f t="shared" si="37"/>
        <v>20593.145724856477</v>
      </c>
      <c r="S345" s="351">
        <f t="shared" si="38"/>
        <v>7187.3732660217365</v>
      </c>
      <c r="T345" s="351">
        <f t="shared" si="43"/>
        <v>27780.518990878212</v>
      </c>
      <c r="U345" s="351">
        <f t="shared" si="41"/>
        <v>1724969.5838452168</v>
      </c>
      <c r="V345" s="351">
        <f t="shared" si="39"/>
        <v>1704376.4381203603</v>
      </c>
      <c r="W345" s="758"/>
      <c r="X345" s="763"/>
    </row>
    <row r="346" spans="1:24" ht="16" thickBot="1">
      <c r="A346" s="762"/>
      <c r="B346" s="758"/>
      <c r="C346" s="758"/>
      <c r="D346" s="758"/>
      <c r="E346" s="758"/>
      <c r="F346" s="758"/>
      <c r="G346" s="758"/>
      <c r="H346" s="758"/>
      <c r="I346" s="758"/>
      <c r="J346" s="758"/>
      <c r="K346" s="758"/>
      <c r="L346" s="758"/>
      <c r="M346" s="320"/>
      <c r="N346" s="322"/>
      <c r="O346" s="320"/>
      <c r="P346" s="348">
        <f t="shared" si="40"/>
        <v>290</v>
      </c>
      <c r="Q346" s="349">
        <f t="shared" si="42"/>
        <v>55396</v>
      </c>
      <c r="R346" s="351">
        <f t="shared" si="37"/>
        <v>20678.950498710044</v>
      </c>
      <c r="S346" s="351">
        <f t="shared" si="38"/>
        <v>7101.5684921681677</v>
      </c>
      <c r="T346" s="351">
        <f t="shared" si="43"/>
        <v>27780.518990878212</v>
      </c>
      <c r="U346" s="351">
        <f t="shared" si="41"/>
        <v>1704376.4381203603</v>
      </c>
      <c r="V346" s="351">
        <f t="shared" si="39"/>
        <v>1683697.4876216501</v>
      </c>
      <c r="W346" s="758"/>
      <c r="X346" s="763"/>
    </row>
    <row r="347" spans="1:24" ht="16" thickBot="1">
      <c r="A347" s="762"/>
      <c r="B347" s="758"/>
      <c r="C347" s="758"/>
      <c r="D347" s="758"/>
      <c r="E347" s="758"/>
      <c r="F347" s="758"/>
      <c r="G347" s="758"/>
      <c r="H347" s="758"/>
      <c r="I347" s="758"/>
      <c r="J347" s="758"/>
      <c r="K347" s="758"/>
      <c r="L347" s="758"/>
      <c r="M347" s="320"/>
      <c r="N347" s="322"/>
      <c r="O347" s="320"/>
      <c r="P347" s="348">
        <f t="shared" si="40"/>
        <v>291</v>
      </c>
      <c r="Q347" s="349">
        <f t="shared" si="42"/>
        <v>55426</v>
      </c>
      <c r="R347" s="351">
        <f t="shared" si="37"/>
        <v>20765.112792454667</v>
      </c>
      <c r="S347" s="351">
        <f t="shared" si="38"/>
        <v>7015.4061984235423</v>
      </c>
      <c r="T347" s="351">
        <f t="shared" si="43"/>
        <v>27780.518990878209</v>
      </c>
      <c r="U347" s="351">
        <f t="shared" si="41"/>
        <v>1683697.4876216501</v>
      </c>
      <c r="V347" s="351">
        <f t="shared" si="39"/>
        <v>1662932.3748291954</v>
      </c>
      <c r="W347" s="758"/>
      <c r="X347" s="763"/>
    </row>
    <row r="348" spans="1:24" ht="16" thickBot="1">
      <c r="A348" s="762"/>
      <c r="B348" s="758"/>
      <c r="C348" s="758"/>
      <c r="D348" s="758"/>
      <c r="E348" s="758"/>
      <c r="F348" s="758"/>
      <c r="G348" s="758"/>
      <c r="H348" s="758"/>
      <c r="I348" s="758"/>
      <c r="J348" s="758"/>
      <c r="K348" s="758"/>
      <c r="L348" s="758"/>
      <c r="M348" s="320"/>
      <c r="N348" s="322"/>
      <c r="O348" s="320"/>
      <c r="P348" s="348">
        <f t="shared" si="40"/>
        <v>292</v>
      </c>
      <c r="Q348" s="349">
        <f t="shared" si="42"/>
        <v>55457</v>
      </c>
      <c r="R348" s="351">
        <f t="shared" si="37"/>
        <v>20851.634095756563</v>
      </c>
      <c r="S348" s="351">
        <f t="shared" si="38"/>
        <v>6928.8848951216478</v>
      </c>
      <c r="T348" s="351">
        <f t="shared" si="43"/>
        <v>27780.518990878212</v>
      </c>
      <c r="U348" s="351">
        <f t="shared" si="41"/>
        <v>1662932.3748291954</v>
      </c>
      <c r="V348" s="351">
        <f t="shared" si="39"/>
        <v>1642080.7407334389</v>
      </c>
      <c r="W348" s="758"/>
      <c r="X348" s="763"/>
    </row>
    <row r="349" spans="1:24" ht="16" thickBot="1">
      <c r="A349" s="762"/>
      <c r="B349" s="758"/>
      <c r="C349" s="758"/>
      <c r="D349" s="758"/>
      <c r="E349" s="758"/>
      <c r="F349" s="758"/>
      <c r="G349" s="758"/>
      <c r="H349" s="758"/>
      <c r="I349" s="758"/>
      <c r="J349" s="758"/>
      <c r="K349" s="758"/>
      <c r="L349" s="758"/>
      <c r="M349" s="320"/>
      <c r="N349" s="322"/>
      <c r="O349" s="320"/>
      <c r="P349" s="348">
        <f t="shared" si="40"/>
        <v>293</v>
      </c>
      <c r="Q349" s="349">
        <f t="shared" si="42"/>
        <v>55487</v>
      </c>
      <c r="R349" s="351">
        <f t="shared" si="37"/>
        <v>20938.515904488879</v>
      </c>
      <c r="S349" s="351">
        <f t="shared" si="38"/>
        <v>6842.0030863893289</v>
      </c>
      <c r="T349" s="351">
        <f t="shared" si="43"/>
        <v>27780.518990878209</v>
      </c>
      <c r="U349" s="351">
        <f t="shared" si="41"/>
        <v>1642080.7407334389</v>
      </c>
      <c r="V349" s="351">
        <f t="shared" si="39"/>
        <v>1621142.2248289499</v>
      </c>
      <c r="W349" s="758"/>
      <c r="X349" s="763"/>
    </row>
    <row r="350" spans="1:24" ht="16" thickBot="1">
      <c r="A350" s="762"/>
      <c r="B350" s="758"/>
      <c r="C350" s="758"/>
      <c r="D350" s="758"/>
      <c r="E350" s="758"/>
      <c r="F350" s="758"/>
      <c r="G350" s="758"/>
      <c r="H350" s="758"/>
      <c r="I350" s="758"/>
      <c r="J350" s="758"/>
      <c r="K350" s="758"/>
      <c r="L350" s="758"/>
      <c r="M350" s="320"/>
      <c r="N350" s="322"/>
      <c r="O350" s="320"/>
      <c r="P350" s="348">
        <f t="shared" si="40"/>
        <v>294</v>
      </c>
      <c r="Q350" s="349">
        <f t="shared" si="42"/>
        <v>55518</v>
      </c>
      <c r="R350" s="351">
        <f t="shared" si="37"/>
        <v>21025.759720757589</v>
      </c>
      <c r="S350" s="351">
        <f t="shared" si="38"/>
        <v>6754.759270120624</v>
      </c>
      <c r="T350" s="351">
        <f t="shared" si="43"/>
        <v>27780.518990878212</v>
      </c>
      <c r="U350" s="351">
        <f t="shared" si="41"/>
        <v>1621142.2248289499</v>
      </c>
      <c r="V350" s="351">
        <f t="shared" si="39"/>
        <v>1600116.4651081923</v>
      </c>
      <c r="W350" s="758"/>
      <c r="X350" s="763"/>
    </row>
    <row r="351" spans="1:24" ht="16" thickBot="1">
      <c r="A351" s="762"/>
      <c r="B351" s="758"/>
      <c r="C351" s="758"/>
      <c r="D351" s="758"/>
      <c r="E351" s="758"/>
      <c r="F351" s="758"/>
      <c r="G351" s="758"/>
      <c r="H351" s="758"/>
      <c r="I351" s="758"/>
      <c r="J351" s="758"/>
      <c r="K351" s="758"/>
      <c r="L351" s="758"/>
      <c r="M351" s="320"/>
      <c r="N351" s="322"/>
      <c r="O351" s="320"/>
      <c r="P351" s="348">
        <f t="shared" si="40"/>
        <v>295</v>
      </c>
      <c r="Q351" s="349">
        <f t="shared" si="42"/>
        <v>55549</v>
      </c>
      <c r="R351" s="351">
        <f t="shared" si="37"/>
        <v>21113.36705292741</v>
      </c>
      <c r="S351" s="351">
        <f t="shared" si="38"/>
        <v>6667.1519379508009</v>
      </c>
      <c r="T351" s="351">
        <f t="shared" si="43"/>
        <v>27780.518990878212</v>
      </c>
      <c r="U351" s="351">
        <f t="shared" si="41"/>
        <v>1600116.4651081923</v>
      </c>
      <c r="V351" s="351">
        <f t="shared" si="39"/>
        <v>1579003.0980552649</v>
      </c>
      <c r="W351" s="758"/>
      <c r="X351" s="763"/>
    </row>
    <row r="352" spans="1:24" ht="16" thickBot="1">
      <c r="A352" s="762"/>
      <c r="B352" s="758"/>
      <c r="C352" s="758"/>
      <c r="D352" s="758"/>
      <c r="E352" s="758"/>
      <c r="F352" s="758"/>
      <c r="G352" s="758"/>
      <c r="H352" s="758"/>
      <c r="I352" s="758"/>
      <c r="J352" s="758"/>
      <c r="K352" s="758"/>
      <c r="L352" s="758"/>
      <c r="M352" s="320"/>
      <c r="N352" s="322"/>
      <c r="O352" s="320"/>
      <c r="P352" s="348">
        <f t="shared" si="40"/>
        <v>296</v>
      </c>
      <c r="Q352" s="349">
        <f t="shared" si="42"/>
        <v>55578</v>
      </c>
      <c r="R352" s="351">
        <f t="shared" si="37"/>
        <v>21201.339415647941</v>
      </c>
      <c r="S352" s="351">
        <f t="shared" si="38"/>
        <v>6579.1795752302705</v>
      </c>
      <c r="T352" s="351">
        <f t="shared" si="43"/>
        <v>27780.518990878212</v>
      </c>
      <c r="U352" s="351">
        <f t="shared" si="41"/>
        <v>1579003.0980552649</v>
      </c>
      <c r="V352" s="351">
        <f t="shared" si="39"/>
        <v>1557801.7586396169</v>
      </c>
      <c r="W352" s="758"/>
      <c r="X352" s="763"/>
    </row>
    <row r="353" spans="1:24" ht="16" thickBot="1">
      <c r="A353" s="762"/>
      <c r="B353" s="758"/>
      <c r="C353" s="758"/>
      <c r="D353" s="758"/>
      <c r="E353" s="758"/>
      <c r="F353" s="758"/>
      <c r="G353" s="758"/>
      <c r="H353" s="758"/>
      <c r="I353" s="758"/>
      <c r="J353" s="758"/>
      <c r="K353" s="758"/>
      <c r="L353" s="758"/>
      <c r="M353" s="320"/>
      <c r="N353" s="322"/>
      <c r="O353" s="320"/>
      <c r="P353" s="348">
        <f t="shared" si="40"/>
        <v>297</v>
      </c>
      <c r="Q353" s="349">
        <f t="shared" si="42"/>
        <v>55609</v>
      </c>
      <c r="R353" s="351">
        <f t="shared" si="37"/>
        <v>21289.678329879807</v>
      </c>
      <c r="S353" s="351">
        <f t="shared" si="38"/>
        <v>6490.840660998404</v>
      </c>
      <c r="T353" s="351">
        <f t="shared" si="43"/>
        <v>27780.518990878212</v>
      </c>
      <c r="U353" s="351">
        <f t="shared" si="41"/>
        <v>1557801.7586396169</v>
      </c>
      <c r="V353" s="351">
        <f t="shared" si="39"/>
        <v>1536512.080309737</v>
      </c>
      <c r="W353" s="758"/>
      <c r="X353" s="763"/>
    </row>
    <row r="354" spans="1:24" ht="16" thickBot="1">
      <c r="A354" s="762"/>
      <c r="B354" s="758"/>
      <c r="C354" s="758"/>
      <c r="D354" s="758"/>
      <c r="E354" s="758"/>
      <c r="F354" s="758"/>
      <c r="G354" s="758"/>
      <c r="H354" s="758"/>
      <c r="I354" s="758"/>
      <c r="J354" s="758"/>
      <c r="K354" s="758"/>
      <c r="L354" s="758"/>
      <c r="M354" s="320"/>
      <c r="N354" s="322"/>
      <c r="O354" s="320"/>
      <c r="P354" s="348">
        <f t="shared" si="40"/>
        <v>298</v>
      </c>
      <c r="Q354" s="349">
        <f t="shared" si="42"/>
        <v>55639</v>
      </c>
      <c r="R354" s="351">
        <f t="shared" si="37"/>
        <v>21378.385322920974</v>
      </c>
      <c r="S354" s="351">
        <f t="shared" si="38"/>
        <v>6402.1336679572378</v>
      </c>
      <c r="T354" s="351">
        <f t="shared" si="43"/>
        <v>27780.518990878212</v>
      </c>
      <c r="U354" s="351">
        <f t="shared" si="41"/>
        <v>1536512.080309737</v>
      </c>
      <c r="V354" s="351">
        <f t="shared" si="39"/>
        <v>1515133.694986816</v>
      </c>
      <c r="W354" s="758"/>
      <c r="X354" s="763"/>
    </row>
    <row r="355" spans="1:24" ht="16" thickBot="1">
      <c r="A355" s="762"/>
      <c r="B355" s="758"/>
      <c r="C355" s="758"/>
      <c r="D355" s="758"/>
      <c r="E355" s="758"/>
      <c r="F355" s="758"/>
      <c r="G355" s="758"/>
      <c r="H355" s="758"/>
      <c r="I355" s="758"/>
      <c r="J355" s="758"/>
      <c r="K355" s="758"/>
      <c r="L355" s="758"/>
      <c r="M355" s="320"/>
      <c r="N355" s="322"/>
      <c r="O355" s="320"/>
      <c r="P355" s="348">
        <f t="shared" si="40"/>
        <v>299</v>
      </c>
      <c r="Q355" s="349">
        <f t="shared" si="42"/>
        <v>55670</v>
      </c>
      <c r="R355" s="351">
        <f t="shared" si="37"/>
        <v>21467.461928433142</v>
      </c>
      <c r="S355" s="351">
        <f t="shared" si="38"/>
        <v>6313.0570624450665</v>
      </c>
      <c r="T355" s="351">
        <f t="shared" si="43"/>
        <v>27780.518990878209</v>
      </c>
      <c r="U355" s="351">
        <f t="shared" si="41"/>
        <v>1515133.694986816</v>
      </c>
      <c r="V355" s="351">
        <f t="shared" si="39"/>
        <v>1493666.233058383</v>
      </c>
      <c r="W355" s="758"/>
      <c r="X355" s="763"/>
    </row>
    <row r="356" spans="1:24" ht="16" thickBot="1">
      <c r="A356" s="762"/>
      <c r="B356" s="758"/>
      <c r="C356" s="758"/>
      <c r="D356" s="758"/>
      <c r="E356" s="758"/>
      <c r="F356" s="758"/>
      <c r="G356" s="758"/>
      <c r="H356" s="758"/>
      <c r="I356" s="758"/>
      <c r="J356" s="758"/>
      <c r="K356" s="758"/>
      <c r="L356" s="758"/>
      <c r="M356" s="320"/>
      <c r="N356" s="322"/>
      <c r="O356" s="320"/>
      <c r="P356" s="348">
        <f t="shared" si="40"/>
        <v>300</v>
      </c>
      <c r="Q356" s="349">
        <f t="shared" si="42"/>
        <v>55700</v>
      </c>
      <c r="R356" s="351">
        <f t="shared" si="37"/>
        <v>21556.909686468276</v>
      </c>
      <c r="S356" s="351">
        <f t="shared" si="38"/>
        <v>6223.6093044099289</v>
      </c>
      <c r="T356" s="351">
        <f t="shared" si="43"/>
        <v>27780.518990878205</v>
      </c>
      <c r="U356" s="351">
        <f t="shared" si="41"/>
        <v>1493666.233058383</v>
      </c>
      <c r="V356" s="351">
        <f t="shared" si="39"/>
        <v>1472109.3233719147</v>
      </c>
      <c r="W356" s="758"/>
      <c r="X356" s="763"/>
    </row>
    <row r="357" spans="1:24" ht="16" thickBot="1">
      <c r="A357" s="762"/>
      <c r="B357" s="758"/>
      <c r="C357" s="758"/>
      <c r="D357" s="758"/>
      <c r="E357" s="758"/>
      <c r="F357" s="758"/>
      <c r="G357" s="758"/>
      <c r="H357" s="758"/>
      <c r="I357" s="758"/>
      <c r="J357" s="758"/>
      <c r="K357" s="758"/>
      <c r="L357" s="758"/>
      <c r="M357" s="320"/>
      <c r="N357" s="322"/>
      <c r="O357" s="320"/>
      <c r="P357" s="348">
        <f t="shared" si="40"/>
        <v>301</v>
      </c>
      <c r="Q357" s="349">
        <f t="shared" si="42"/>
        <v>55731</v>
      </c>
      <c r="R357" s="351">
        <f t="shared" si="37"/>
        <v>21646.730143495231</v>
      </c>
      <c r="S357" s="351">
        <f t="shared" si="38"/>
        <v>6133.788847382978</v>
      </c>
      <c r="T357" s="351">
        <f t="shared" si="43"/>
        <v>27780.518990878209</v>
      </c>
      <c r="U357" s="351">
        <f t="shared" si="41"/>
        <v>1472109.3233719147</v>
      </c>
      <c r="V357" s="351">
        <f t="shared" si="39"/>
        <v>1450462.5932284195</v>
      </c>
      <c r="W357" s="758"/>
      <c r="X357" s="763"/>
    </row>
    <row r="358" spans="1:24" ht="16" thickBot="1">
      <c r="A358" s="762"/>
      <c r="B358" s="758"/>
      <c r="C358" s="758"/>
      <c r="D358" s="758"/>
      <c r="E358" s="758"/>
      <c r="F358" s="758"/>
      <c r="G358" s="758"/>
      <c r="H358" s="758"/>
      <c r="I358" s="758"/>
      <c r="J358" s="758"/>
      <c r="K358" s="758"/>
      <c r="L358" s="758"/>
      <c r="M358" s="320"/>
      <c r="N358" s="322"/>
      <c r="O358" s="320"/>
      <c r="P358" s="348">
        <f t="shared" si="40"/>
        <v>302</v>
      </c>
      <c r="Q358" s="349">
        <f t="shared" si="42"/>
        <v>55762</v>
      </c>
      <c r="R358" s="351">
        <f t="shared" si="37"/>
        <v>21736.924852426462</v>
      </c>
      <c r="S358" s="351">
        <f t="shared" si="38"/>
        <v>6043.5941384517482</v>
      </c>
      <c r="T358" s="351">
        <f t="shared" si="43"/>
        <v>27780.518990878212</v>
      </c>
      <c r="U358" s="351">
        <f t="shared" si="41"/>
        <v>1450462.5932284195</v>
      </c>
      <c r="V358" s="351">
        <f t="shared" si="39"/>
        <v>1428725.6683759931</v>
      </c>
      <c r="W358" s="758"/>
      <c r="X358" s="763"/>
    </row>
    <row r="359" spans="1:24" ht="16" thickBot="1">
      <c r="A359" s="762"/>
      <c r="B359" s="758"/>
      <c r="C359" s="758"/>
      <c r="D359" s="758"/>
      <c r="E359" s="758"/>
      <c r="F359" s="758"/>
      <c r="G359" s="758"/>
      <c r="H359" s="758"/>
      <c r="I359" s="758"/>
      <c r="J359" s="758"/>
      <c r="K359" s="758"/>
      <c r="L359" s="758"/>
      <c r="M359" s="320"/>
      <c r="N359" s="322"/>
      <c r="O359" s="320"/>
      <c r="P359" s="348">
        <f t="shared" si="40"/>
        <v>303</v>
      </c>
      <c r="Q359" s="349">
        <f t="shared" si="42"/>
        <v>55792</v>
      </c>
      <c r="R359" s="351">
        <f t="shared" si="37"/>
        <v>21827.495372644906</v>
      </c>
      <c r="S359" s="351">
        <f t="shared" si="38"/>
        <v>5953.0236182333047</v>
      </c>
      <c r="T359" s="351">
        <f t="shared" si="43"/>
        <v>27780.518990878212</v>
      </c>
      <c r="U359" s="351">
        <f t="shared" si="41"/>
        <v>1428725.6683759931</v>
      </c>
      <c r="V359" s="351">
        <f t="shared" si="39"/>
        <v>1406898.1730033483</v>
      </c>
      <c r="W359" s="758"/>
      <c r="X359" s="763"/>
    </row>
    <row r="360" spans="1:24" ht="16" thickBot="1">
      <c r="A360" s="762"/>
      <c r="B360" s="758"/>
      <c r="C360" s="758"/>
      <c r="D360" s="758"/>
      <c r="E360" s="758"/>
      <c r="F360" s="758"/>
      <c r="G360" s="758"/>
      <c r="H360" s="758"/>
      <c r="I360" s="758"/>
      <c r="J360" s="758"/>
      <c r="K360" s="758"/>
      <c r="L360" s="758"/>
      <c r="M360" s="320"/>
      <c r="N360" s="322"/>
      <c r="O360" s="320"/>
      <c r="P360" s="348">
        <f t="shared" si="40"/>
        <v>304</v>
      </c>
      <c r="Q360" s="349">
        <f t="shared" si="42"/>
        <v>55823</v>
      </c>
      <c r="R360" s="351">
        <f t="shared" si="37"/>
        <v>21918.443270030923</v>
      </c>
      <c r="S360" s="351">
        <f t="shared" si="38"/>
        <v>5862.0757208472842</v>
      </c>
      <c r="T360" s="351">
        <f t="shared" si="43"/>
        <v>27780.518990878205</v>
      </c>
      <c r="U360" s="351">
        <f t="shared" si="41"/>
        <v>1406898.1730033483</v>
      </c>
      <c r="V360" s="351">
        <f t="shared" si="39"/>
        <v>1384979.7297333174</v>
      </c>
      <c r="W360" s="758"/>
      <c r="X360" s="763"/>
    </row>
    <row r="361" spans="1:24" ht="16" thickBot="1">
      <c r="A361" s="762"/>
      <c r="B361" s="758"/>
      <c r="C361" s="758"/>
      <c r="D361" s="758"/>
      <c r="E361" s="758"/>
      <c r="F361" s="758"/>
      <c r="G361" s="758"/>
      <c r="H361" s="758"/>
      <c r="I361" s="758"/>
      <c r="J361" s="758"/>
      <c r="K361" s="758"/>
      <c r="L361" s="758"/>
      <c r="M361" s="320"/>
      <c r="N361" s="322"/>
      <c r="O361" s="320"/>
      <c r="P361" s="348">
        <f t="shared" si="40"/>
        <v>305</v>
      </c>
      <c r="Q361" s="349">
        <f t="shared" si="42"/>
        <v>55853</v>
      </c>
      <c r="R361" s="351">
        <f t="shared" si="37"/>
        <v>22009.770116989388</v>
      </c>
      <c r="S361" s="351">
        <f t="shared" si="38"/>
        <v>5770.7488738888223</v>
      </c>
      <c r="T361" s="351">
        <f t="shared" si="43"/>
        <v>27780.518990878212</v>
      </c>
      <c r="U361" s="351">
        <f t="shared" si="41"/>
        <v>1384979.7297333174</v>
      </c>
      <c r="V361" s="351">
        <f t="shared" si="39"/>
        <v>1362969.9596163279</v>
      </c>
      <c r="W361" s="758"/>
      <c r="X361" s="763"/>
    </row>
    <row r="362" spans="1:24" ht="16" thickBot="1">
      <c r="A362" s="762"/>
      <c r="B362" s="758"/>
      <c r="C362" s="758"/>
      <c r="D362" s="758"/>
      <c r="E362" s="758"/>
      <c r="F362" s="758"/>
      <c r="G362" s="758"/>
      <c r="H362" s="758"/>
      <c r="I362" s="758"/>
      <c r="J362" s="758"/>
      <c r="K362" s="758"/>
      <c r="L362" s="758"/>
      <c r="M362" s="320"/>
      <c r="N362" s="322"/>
      <c r="O362" s="320"/>
      <c r="P362" s="348">
        <f t="shared" si="40"/>
        <v>306</v>
      </c>
      <c r="Q362" s="349">
        <f t="shared" si="42"/>
        <v>55884</v>
      </c>
      <c r="R362" s="351">
        <f t="shared" si="37"/>
        <v>22101.477492476843</v>
      </c>
      <c r="S362" s="351">
        <f t="shared" si="38"/>
        <v>5679.041498401366</v>
      </c>
      <c r="T362" s="351">
        <f t="shared" si="43"/>
        <v>27780.518990878209</v>
      </c>
      <c r="U362" s="351">
        <f t="shared" si="41"/>
        <v>1362969.9596163279</v>
      </c>
      <c r="V362" s="351">
        <f t="shared" si="39"/>
        <v>1340868.4821238511</v>
      </c>
      <c r="W362" s="758"/>
      <c r="X362" s="763"/>
    </row>
    <row r="363" spans="1:24" ht="16" thickBot="1">
      <c r="A363" s="762"/>
      <c r="B363" s="758"/>
      <c r="C363" s="758"/>
      <c r="D363" s="758"/>
      <c r="E363" s="758"/>
      <c r="F363" s="758"/>
      <c r="G363" s="758"/>
      <c r="H363" s="758"/>
      <c r="I363" s="758"/>
      <c r="J363" s="758"/>
      <c r="K363" s="758"/>
      <c r="L363" s="758"/>
      <c r="M363" s="320"/>
      <c r="N363" s="322"/>
      <c r="O363" s="320"/>
      <c r="P363" s="348">
        <f t="shared" si="40"/>
        <v>307</v>
      </c>
      <c r="Q363" s="349">
        <f t="shared" si="42"/>
        <v>55915</v>
      </c>
      <c r="R363" s="351">
        <f t="shared" si="37"/>
        <v>22193.566982028831</v>
      </c>
      <c r="S363" s="351">
        <f t="shared" si="38"/>
        <v>5586.9520088493791</v>
      </c>
      <c r="T363" s="351">
        <f t="shared" si="43"/>
        <v>27780.518990878212</v>
      </c>
      <c r="U363" s="351">
        <f t="shared" si="41"/>
        <v>1340868.4821238511</v>
      </c>
      <c r="V363" s="351">
        <f t="shared" si="39"/>
        <v>1318674.9151418223</v>
      </c>
      <c r="W363" s="758"/>
      <c r="X363" s="763"/>
    </row>
    <row r="364" spans="1:24" ht="16" thickBot="1">
      <c r="A364" s="762"/>
      <c r="B364" s="758"/>
      <c r="C364" s="758"/>
      <c r="D364" s="758"/>
      <c r="E364" s="758"/>
      <c r="F364" s="758"/>
      <c r="G364" s="758"/>
      <c r="H364" s="758"/>
      <c r="I364" s="758"/>
      <c r="J364" s="758"/>
      <c r="K364" s="758"/>
      <c r="L364" s="758"/>
      <c r="M364" s="320"/>
      <c r="N364" s="322"/>
      <c r="O364" s="320"/>
      <c r="P364" s="348">
        <f t="shared" si="40"/>
        <v>308</v>
      </c>
      <c r="Q364" s="349">
        <f t="shared" si="42"/>
        <v>55943</v>
      </c>
      <c r="R364" s="351">
        <f t="shared" si="37"/>
        <v>22286.040177787283</v>
      </c>
      <c r="S364" s="351">
        <f t="shared" si="38"/>
        <v>5494.4788130909265</v>
      </c>
      <c r="T364" s="351">
        <f t="shared" si="43"/>
        <v>27780.518990878209</v>
      </c>
      <c r="U364" s="351">
        <f t="shared" si="41"/>
        <v>1318674.9151418223</v>
      </c>
      <c r="V364" s="351">
        <f t="shared" si="39"/>
        <v>1296388.8749640351</v>
      </c>
      <c r="W364" s="758"/>
      <c r="X364" s="763"/>
    </row>
    <row r="365" spans="1:24" ht="16" thickBot="1">
      <c r="A365" s="762"/>
      <c r="B365" s="758"/>
      <c r="C365" s="758"/>
      <c r="D365" s="758"/>
      <c r="E365" s="758"/>
      <c r="F365" s="758"/>
      <c r="G365" s="758"/>
      <c r="H365" s="758"/>
      <c r="I365" s="758"/>
      <c r="J365" s="758"/>
      <c r="K365" s="758"/>
      <c r="L365" s="758"/>
      <c r="M365" s="320"/>
      <c r="N365" s="322"/>
      <c r="O365" s="320"/>
      <c r="P365" s="348">
        <f t="shared" si="40"/>
        <v>309</v>
      </c>
      <c r="Q365" s="349">
        <f t="shared" si="42"/>
        <v>55974</v>
      </c>
      <c r="R365" s="351">
        <f t="shared" si="37"/>
        <v>22378.898678528065</v>
      </c>
      <c r="S365" s="351">
        <f t="shared" si="38"/>
        <v>5401.6203123501464</v>
      </c>
      <c r="T365" s="351">
        <f t="shared" si="43"/>
        <v>27780.518990878212</v>
      </c>
      <c r="U365" s="351">
        <f t="shared" si="41"/>
        <v>1296388.8749640351</v>
      </c>
      <c r="V365" s="351">
        <f t="shared" si="39"/>
        <v>1274009.976285507</v>
      </c>
      <c r="W365" s="758"/>
      <c r="X365" s="763"/>
    </row>
    <row r="366" spans="1:24" ht="16" thickBot="1">
      <c r="A366" s="762"/>
      <c r="B366" s="758"/>
      <c r="C366" s="758"/>
      <c r="D366" s="758"/>
      <c r="E366" s="758"/>
      <c r="F366" s="758"/>
      <c r="G366" s="758"/>
      <c r="H366" s="758"/>
      <c r="I366" s="758"/>
      <c r="J366" s="758"/>
      <c r="K366" s="758"/>
      <c r="L366" s="758"/>
      <c r="M366" s="320"/>
      <c r="N366" s="322"/>
      <c r="O366" s="320"/>
      <c r="P366" s="348">
        <f t="shared" si="40"/>
        <v>310</v>
      </c>
      <c r="Q366" s="349">
        <f t="shared" si="42"/>
        <v>56004</v>
      </c>
      <c r="R366" s="351">
        <f t="shared" si="37"/>
        <v>22472.144089688602</v>
      </c>
      <c r="S366" s="351">
        <f t="shared" si="38"/>
        <v>5308.3749011896125</v>
      </c>
      <c r="T366" s="351">
        <f t="shared" si="43"/>
        <v>27780.518990878212</v>
      </c>
      <c r="U366" s="351">
        <f t="shared" si="41"/>
        <v>1274009.976285507</v>
      </c>
      <c r="V366" s="351">
        <f t="shared" si="39"/>
        <v>1251537.8321958184</v>
      </c>
      <c r="W366" s="758"/>
      <c r="X366" s="763"/>
    </row>
    <row r="367" spans="1:24" ht="16" thickBot="1">
      <c r="A367" s="762"/>
      <c r="B367" s="758"/>
      <c r="C367" s="758"/>
      <c r="D367" s="758"/>
      <c r="E367" s="758"/>
      <c r="F367" s="758"/>
      <c r="G367" s="758"/>
      <c r="H367" s="758"/>
      <c r="I367" s="758"/>
      <c r="J367" s="758"/>
      <c r="K367" s="758"/>
      <c r="L367" s="758"/>
      <c r="M367" s="320"/>
      <c r="N367" s="322"/>
      <c r="O367" s="320"/>
      <c r="P367" s="348">
        <f t="shared" si="40"/>
        <v>311</v>
      </c>
      <c r="Q367" s="349">
        <f t="shared" si="42"/>
        <v>56035</v>
      </c>
      <c r="R367" s="351">
        <f t="shared" si="37"/>
        <v>22565.778023395636</v>
      </c>
      <c r="S367" s="351">
        <f t="shared" si="38"/>
        <v>5214.7409674825767</v>
      </c>
      <c r="T367" s="351">
        <f t="shared" si="43"/>
        <v>27780.518990878212</v>
      </c>
      <c r="U367" s="351">
        <f t="shared" si="41"/>
        <v>1251537.8321958184</v>
      </c>
      <c r="V367" s="351">
        <f t="shared" si="39"/>
        <v>1228972.0541724227</v>
      </c>
      <c r="W367" s="758"/>
      <c r="X367" s="763"/>
    </row>
    <row r="368" spans="1:24" ht="16" thickBot="1">
      <c r="A368" s="762"/>
      <c r="B368" s="758"/>
      <c r="C368" s="758"/>
      <c r="D368" s="758"/>
      <c r="E368" s="758"/>
      <c r="F368" s="758"/>
      <c r="G368" s="758"/>
      <c r="H368" s="758"/>
      <c r="I368" s="758"/>
      <c r="J368" s="758"/>
      <c r="K368" s="758"/>
      <c r="L368" s="758"/>
      <c r="M368" s="320"/>
      <c r="N368" s="322"/>
      <c r="O368" s="320"/>
      <c r="P368" s="348">
        <f t="shared" si="40"/>
        <v>312</v>
      </c>
      <c r="Q368" s="349">
        <f t="shared" si="42"/>
        <v>56065</v>
      </c>
      <c r="R368" s="351">
        <f t="shared" si="37"/>
        <v>22659.802098493117</v>
      </c>
      <c r="S368" s="351">
        <f t="shared" si="38"/>
        <v>5120.716892385095</v>
      </c>
      <c r="T368" s="351">
        <f t="shared" si="43"/>
        <v>27780.518990878212</v>
      </c>
      <c r="U368" s="351">
        <f t="shared" si="41"/>
        <v>1228972.0541724227</v>
      </c>
      <c r="V368" s="351">
        <f t="shared" si="39"/>
        <v>1206312.2520739296</v>
      </c>
      <c r="W368" s="758"/>
      <c r="X368" s="763"/>
    </row>
    <row r="369" spans="1:24" ht="16" thickBot="1">
      <c r="A369" s="762"/>
      <c r="B369" s="758"/>
      <c r="C369" s="758"/>
      <c r="D369" s="758"/>
      <c r="E369" s="758"/>
      <c r="F369" s="758"/>
      <c r="G369" s="758"/>
      <c r="H369" s="758"/>
      <c r="I369" s="758"/>
      <c r="J369" s="758"/>
      <c r="K369" s="758"/>
      <c r="L369" s="758"/>
      <c r="M369" s="320"/>
      <c r="N369" s="322"/>
      <c r="O369" s="320"/>
      <c r="P369" s="348">
        <f t="shared" si="40"/>
        <v>313</v>
      </c>
      <c r="Q369" s="349">
        <f t="shared" si="42"/>
        <v>56096</v>
      </c>
      <c r="R369" s="351">
        <f t="shared" si="37"/>
        <v>22754.217940570168</v>
      </c>
      <c r="S369" s="351">
        <f t="shared" si="38"/>
        <v>5026.3010503080404</v>
      </c>
      <c r="T369" s="351">
        <f t="shared" si="43"/>
        <v>27780.518990878209</v>
      </c>
      <c r="U369" s="351">
        <f t="shared" si="41"/>
        <v>1206312.2520739296</v>
      </c>
      <c r="V369" s="351">
        <f t="shared" si="39"/>
        <v>1183558.0341333596</v>
      </c>
      <c r="W369" s="758"/>
      <c r="X369" s="763"/>
    </row>
    <row r="370" spans="1:24" ht="16" thickBot="1">
      <c r="A370" s="762"/>
      <c r="B370" s="758"/>
      <c r="C370" s="758"/>
      <c r="D370" s="758"/>
      <c r="E370" s="758"/>
      <c r="F370" s="758"/>
      <c r="G370" s="758"/>
      <c r="H370" s="758"/>
      <c r="I370" s="758"/>
      <c r="J370" s="758"/>
      <c r="K370" s="758"/>
      <c r="L370" s="758"/>
      <c r="M370" s="320"/>
      <c r="N370" s="322"/>
      <c r="O370" s="320"/>
      <c r="P370" s="348">
        <f t="shared" si="40"/>
        <v>314</v>
      </c>
      <c r="Q370" s="349">
        <f t="shared" si="42"/>
        <v>56127</v>
      </c>
      <c r="R370" s="351">
        <f t="shared" si="37"/>
        <v>22849.027181989211</v>
      </c>
      <c r="S370" s="351">
        <f t="shared" si="38"/>
        <v>4931.4918088889981</v>
      </c>
      <c r="T370" s="351">
        <f t="shared" si="43"/>
        <v>27780.518990878209</v>
      </c>
      <c r="U370" s="351">
        <f t="shared" si="41"/>
        <v>1183558.0341333596</v>
      </c>
      <c r="V370" s="351">
        <f t="shared" si="39"/>
        <v>1160709.0069513703</v>
      </c>
      <c r="W370" s="758"/>
      <c r="X370" s="763"/>
    </row>
    <row r="371" spans="1:24" ht="16" thickBot="1">
      <c r="A371" s="762"/>
      <c r="B371" s="758"/>
      <c r="C371" s="758"/>
      <c r="D371" s="758"/>
      <c r="E371" s="758"/>
      <c r="F371" s="758"/>
      <c r="G371" s="758"/>
      <c r="H371" s="758"/>
      <c r="I371" s="758"/>
      <c r="J371" s="758"/>
      <c r="K371" s="758"/>
      <c r="L371" s="758"/>
      <c r="M371" s="320"/>
      <c r="N371" s="322"/>
      <c r="O371" s="320"/>
      <c r="P371" s="348">
        <f t="shared" si="40"/>
        <v>315</v>
      </c>
      <c r="Q371" s="349">
        <f t="shared" si="42"/>
        <v>56157</v>
      </c>
      <c r="R371" s="351">
        <f t="shared" si="37"/>
        <v>22944.231461914169</v>
      </c>
      <c r="S371" s="351">
        <f t="shared" si="38"/>
        <v>4836.2875289640424</v>
      </c>
      <c r="T371" s="351">
        <f t="shared" si="43"/>
        <v>27780.518990878212</v>
      </c>
      <c r="U371" s="351">
        <f t="shared" si="41"/>
        <v>1160709.0069513703</v>
      </c>
      <c r="V371" s="351">
        <f t="shared" si="39"/>
        <v>1137764.775489456</v>
      </c>
      <c r="W371" s="758"/>
      <c r="X371" s="763"/>
    </row>
    <row r="372" spans="1:24" ht="16" thickBot="1">
      <c r="A372" s="762"/>
      <c r="B372" s="758"/>
      <c r="C372" s="758"/>
      <c r="D372" s="758"/>
      <c r="E372" s="758"/>
      <c r="F372" s="758"/>
      <c r="G372" s="758"/>
      <c r="H372" s="758"/>
      <c r="I372" s="758"/>
      <c r="J372" s="758"/>
      <c r="K372" s="758"/>
      <c r="L372" s="758"/>
      <c r="M372" s="320"/>
      <c r="N372" s="322"/>
      <c r="O372" s="320"/>
      <c r="P372" s="348">
        <f t="shared" si="40"/>
        <v>316</v>
      </c>
      <c r="Q372" s="349">
        <f t="shared" si="42"/>
        <v>56188</v>
      </c>
      <c r="R372" s="351">
        <f t="shared" si="37"/>
        <v>23039.832426338809</v>
      </c>
      <c r="S372" s="351">
        <f t="shared" si="38"/>
        <v>4740.6865645394</v>
      </c>
      <c r="T372" s="351">
        <f t="shared" si="43"/>
        <v>27780.518990878209</v>
      </c>
      <c r="U372" s="351">
        <f t="shared" si="41"/>
        <v>1137764.775489456</v>
      </c>
      <c r="V372" s="351">
        <f t="shared" si="39"/>
        <v>1114724.9430631171</v>
      </c>
      <c r="W372" s="758"/>
      <c r="X372" s="763"/>
    </row>
    <row r="373" spans="1:24" ht="16" thickBot="1">
      <c r="A373" s="762"/>
      <c r="B373" s="758"/>
      <c r="C373" s="758"/>
      <c r="D373" s="758"/>
      <c r="E373" s="758"/>
      <c r="F373" s="758"/>
      <c r="G373" s="758"/>
      <c r="H373" s="758"/>
      <c r="I373" s="758"/>
      <c r="J373" s="758"/>
      <c r="K373" s="758"/>
      <c r="L373" s="758"/>
      <c r="M373" s="320"/>
      <c r="N373" s="322"/>
      <c r="O373" s="320"/>
      <c r="P373" s="348">
        <f t="shared" si="40"/>
        <v>317</v>
      </c>
      <c r="Q373" s="349">
        <f t="shared" si="42"/>
        <v>56218</v>
      </c>
      <c r="R373" s="351">
        <f t="shared" si="37"/>
        <v>23135.831728115219</v>
      </c>
      <c r="S373" s="351">
        <f t="shared" si="38"/>
        <v>4644.6872627629882</v>
      </c>
      <c r="T373" s="351">
        <f t="shared" si="43"/>
        <v>27780.518990878209</v>
      </c>
      <c r="U373" s="351">
        <f t="shared" si="41"/>
        <v>1114724.9430631171</v>
      </c>
      <c r="V373" s="351">
        <f t="shared" si="39"/>
        <v>1091589.1113350019</v>
      </c>
      <c r="W373" s="758"/>
      <c r="X373" s="763"/>
    </row>
    <row r="374" spans="1:24" ht="16" thickBot="1">
      <c r="A374" s="762"/>
      <c r="B374" s="758"/>
      <c r="C374" s="758"/>
      <c r="D374" s="758"/>
      <c r="E374" s="758"/>
      <c r="F374" s="758"/>
      <c r="G374" s="758"/>
      <c r="H374" s="758"/>
      <c r="I374" s="758"/>
      <c r="J374" s="758"/>
      <c r="K374" s="758"/>
      <c r="L374" s="758"/>
      <c r="M374" s="320"/>
      <c r="N374" s="322"/>
      <c r="O374" s="320"/>
      <c r="P374" s="348">
        <f t="shared" si="40"/>
        <v>318</v>
      </c>
      <c r="Q374" s="349">
        <f t="shared" si="42"/>
        <v>56249</v>
      </c>
      <c r="R374" s="351">
        <f t="shared" si="37"/>
        <v>23232.231026982368</v>
      </c>
      <c r="S374" s="351">
        <f t="shared" si="38"/>
        <v>4548.2879638958411</v>
      </c>
      <c r="T374" s="351">
        <f t="shared" si="43"/>
        <v>27780.518990878209</v>
      </c>
      <c r="U374" s="351">
        <f t="shared" si="41"/>
        <v>1091589.1113350019</v>
      </c>
      <c r="V374" s="351">
        <f t="shared" si="39"/>
        <v>1068356.8803080195</v>
      </c>
      <c r="W374" s="758"/>
      <c r="X374" s="763"/>
    </row>
    <row r="375" spans="1:24" ht="16" thickBot="1">
      <c r="A375" s="762"/>
      <c r="B375" s="758"/>
      <c r="C375" s="758"/>
      <c r="D375" s="758"/>
      <c r="E375" s="758"/>
      <c r="F375" s="758"/>
      <c r="G375" s="758"/>
      <c r="H375" s="758"/>
      <c r="I375" s="758"/>
      <c r="J375" s="758"/>
      <c r="K375" s="758"/>
      <c r="L375" s="758"/>
      <c r="M375" s="320"/>
      <c r="N375" s="322"/>
      <c r="O375" s="320"/>
      <c r="P375" s="348">
        <f t="shared" si="40"/>
        <v>319</v>
      </c>
      <c r="Q375" s="349">
        <f t="shared" si="42"/>
        <v>56280</v>
      </c>
      <c r="R375" s="351">
        <f t="shared" si="37"/>
        <v>23329.031989594798</v>
      </c>
      <c r="S375" s="351">
        <f t="shared" si="38"/>
        <v>4451.4870012834144</v>
      </c>
      <c r="T375" s="351">
        <f t="shared" si="43"/>
        <v>27780.518990878212</v>
      </c>
      <c r="U375" s="351">
        <f t="shared" si="41"/>
        <v>1068356.8803080195</v>
      </c>
      <c r="V375" s="351">
        <f t="shared" si="39"/>
        <v>1045027.8483184247</v>
      </c>
      <c r="W375" s="758"/>
      <c r="X375" s="763"/>
    </row>
    <row r="376" spans="1:24" ht="16" thickBot="1">
      <c r="A376" s="762"/>
      <c r="B376" s="758"/>
      <c r="C376" s="758"/>
      <c r="D376" s="758"/>
      <c r="E376" s="758"/>
      <c r="F376" s="758"/>
      <c r="G376" s="758"/>
      <c r="H376" s="758"/>
      <c r="I376" s="758"/>
      <c r="J376" s="758"/>
      <c r="K376" s="758"/>
      <c r="L376" s="758"/>
      <c r="M376" s="320"/>
      <c r="N376" s="322"/>
      <c r="O376" s="320"/>
      <c r="P376" s="348">
        <f t="shared" si="40"/>
        <v>320</v>
      </c>
      <c r="Q376" s="349">
        <f t="shared" si="42"/>
        <v>56308</v>
      </c>
      <c r="R376" s="351">
        <f t="shared" si="37"/>
        <v>23426.236289551438</v>
      </c>
      <c r="S376" s="351">
        <f t="shared" si="38"/>
        <v>4354.2827013267697</v>
      </c>
      <c r="T376" s="351">
        <f t="shared" si="43"/>
        <v>27780.518990878209</v>
      </c>
      <c r="U376" s="351">
        <f t="shared" si="41"/>
        <v>1045027.8483184247</v>
      </c>
      <c r="V376" s="351">
        <f t="shared" si="39"/>
        <v>1021601.6120288732</v>
      </c>
      <c r="W376" s="758"/>
      <c r="X376" s="763"/>
    </row>
    <row r="377" spans="1:24" ht="16" thickBot="1">
      <c r="A377" s="762"/>
      <c r="B377" s="758"/>
      <c r="C377" s="758"/>
      <c r="D377" s="758"/>
      <c r="E377" s="758"/>
      <c r="F377" s="758"/>
      <c r="G377" s="758"/>
      <c r="H377" s="758"/>
      <c r="I377" s="758"/>
      <c r="J377" s="758"/>
      <c r="K377" s="758"/>
      <c r="L377" s="758"/>
      <c r="M377" s="320"/>
      <c r="N377" s="322"/>
      <c r="O377" s="320"/>
      <c r="P377" s="348">
        <f t="shared" si="40"/>
        <v>321</v>
      </c>
      <c r="Q377" s="349">
        <f t="shared" si="42"/>
        <v>56339</v>
      </c>
      <c r="R377" s="351">
        <f t="shared" ref="R377:R440" si="44">IF(OR(Q377&lt;Q$14, Q377&gt;T$12),0, -IF(P377=0, 0, PPMT(R$7, P377, R$8, R$6)))</f>
        <v>23523.84560742457</v>
      </c>
      <c r="S377" s="351">
        <f t="shared" ref="S377:S440" si="45">IF(OR(Q377&lt;Q$13, Q377&gt;T$12), 0, +U377*R$7)</f>
        <v>4256.6733834536381</v>
      </c>
      <c r="T377" s="351">
        <f t="shared" si="43"/>
        <v>27780.518990878209</v>
      </c>
      <c r="U377" s="351">
        <f t="shared" si="41"/>
        <v>1021601.6120288732</v>
      </c>
      <c r="V377" s="351">
        <f t="shared" ref="V377:V440" si="46">IF(Q377&gt;T$12, "", +U377-R377)</f>
        <v>998077.76642144856</v>
      </c>
      <c r="W377" s="758"/>
      <c r="X377" s="763"/>
    </row>
    <row r="378" spans="1:24" ht="16" thickBot="1">
      <c r="A378" s="762"/>
      <c r="B378" s="758"/>
      <c r="C378" s="758"/>
      <c r="D378" s="758"/>
      <c r="E378" s="758"/>
      <c r="F378" s="758"/>
      <c r="G378" s="758"/>
      <c r="H378" s="758"/>
      <c r="I378" s="758"/>
      <c r="J378" s="758"/>
      <c r="K378" s="758"/>
      <c r="L378" s="758"/>
      <c r="M378" s="320"/>
      <c r="N378" s="322"/>
      <c r="O378" s="320"/>
      <c r="P378" s="348">
        <f t="shared" ref="P378:P441" si="47">IF(Q378&lt;Q$14, 0, P377+1)</f>
        <v>322</v>
      </c>
      <c r="Q378" s="349">
        <f t="shared" si="42"/>
        <v>56369</v>
      </c>
      <c r="R378" s="351">
        <f t="shared" si="44"/>
        <v>23621.861630788841</v>
      </c>
      <c r="S378" s="351">
        <f t="shared" si="45"/>
        <v>4158.6573600893689</v>
      </c>
      <c r="T378" s="351">
        <f t="shared" si="43"/>
        <v>27780.518990878209</v>
      </c>
      <c r="U378" s="351">
        <f t="shared" ref="U378:U441" si="48">IF(Q378&gt;T$12, 0, +V377)</f>
        <v>998077.76642144856</v>
      </c>
      <c r="V378" s="351">
        <f t="shared" si="46"/>
        <v>974455.90479065967</v>
      </c>
      <c r="W378" s="758"/>
      <c r="X378" s="763"/>
    </row>
    <row r="379" spans="1:24" ht="16" thickBot="1">
      <c r="A379" s="762"/>
      <c r="B379" s="758"/>
      <c r="C379" s="758"/>
      <c r="D379" s="758"/>
      <c r="E379" s="758"/>
      <c r="F379" s="758"/>
      <c r="G379" s="758"/>
      <c r="H379" s="758"/>
      <c r="I379" s="758"/>
      <c r="J379" s="758"/>
      <c r="K379" s="758"/>
      <c r="L379" s="758"/>
      <c r="M379" s="320"/>
      <c r="N379" s="322"/>
      <c r="O379" s="320"/>
      <c r="P379" s="348">
        <f t="shared" si="47"/>
        <v>323</v>
      </c>
      <c r="Q379" s="349">
        <f t="shared" ref="Q379:Q416" si="49">EOMONTH(Q378, 1)</f>
        <v>56400</v>
      </c>
      <c r="R379" s="351">
        <f t="shared" si="44"/>
        <v>23720.28605425046</v>
      </c>
      <c r="S379" s="351">
        <f t="shared" si="45"/>
        <v>4060.2329366277486</v>
      </c>
      <c r="T379" s="351">
        <f t="shared" ref="T379:T416" si="50">R379+S379</f>
        <v>27780.518990878209</v>
      </c>
      <c r="U379" s="351">
        <f t="shared" si="48"/>
        <v>974455.90479065967</v>
      </c>
      <c r="V379" s="351">
        <f t="shared" si="46"/>
        <v>950735.61873640923</v>
      </c>
      <c r="W379" s="758"/>
      <c r="X379" s="763"/>
    </row>
    <row r="380" spans="1:24" ht="16" thickBot="1">
      <c r="A380" s="762"/>
      <c r="B380" s="758"/>
      <c r="C380" s="758"/>
      <c r="D380" s="758"/>
      <c r="E380" s="758"/>
      <c r="F380" s="758"/>
      <c r="G380" s="758"/>
      <c r="H380" s="758"/>
      <c r="I380" s="758"/>
      <c r="J380" s="758"/>
      <c r="K380" s="758"/>
      <c r="L380" s="758"/>
      <c r="M380" s="320"/>
      <c r="N380" s="322"/>
      <c r="O380" s="320"/>
      <c r="P380" s="348">
        <f t="shared" si="47"/>
        <v>324</v>
      </c>
      <c r="Q380" s="349">
        <f t="shared" si="49"/>
        <v>56430</v>
      </c>
      <c r="R380" s="351">
        <f t="shared" si="44"/>
        <v>23819.120579476505</v>
      </c>
      <c r="S380" s="351">
        <f t="shared" si="45"/>
        <v>3961.3984114017053</v>
      </c>
      <c r="T380" s="351">
        <f t="shared" si="50"/>
        <v>27780.518990878209</v>
      </c>
      <c r="U380" s="351">
        <f t="shared" si="48"/>
        <v>950735.61873640923</v>
      </c>
      <c r="V380" s="351">
        <f t="shared" si="46"/>
        <v>926916.49815693276</v>
      </c>
      <c r="W380" s="758"/>
      <c r="X380" s="763"/>
    </row>
    <row r="381" spans="1:24" ht="16" thickBot="1">
      <c r="A381" s="762"/>
      <c r="B381" s="758"/>
      <c r="C381" s="758"/>
      <c r="D381" s="758"/>
      <c r="E381" s="758"/>
      <c r="F381" s="758"/>
      <c r="G381" s="758"/>
      <c r="H381" s="758"/>
      <c r="I381" s="758"/>
      <c r="J381" s="758"/>
      <c r="K381" s="758"/>
      <c r="L381" s="758"/>
      <c r="M381" s="320"/>
      <c r="N381" s="322"/>
      <c r="O381" s="320"/>
      <c r="P381" s="348">
        <f t="shared" si="47"/>
        <v>325</v>
      </c>
      <c r="Q381" s="349">
        <f t="shared" si="49"/>
        <v>56461</v>
      </c>
      <c r="R381" s="351">
        <f t="shared" si="44"/>
        <v>23918.36691522432</v>
      </c>
      <c r="S381" s="351">
        <f t="shared" si="45"/>
        <v>3862.1520756538866</v>
      </c>
      <c r="T381" s="351">
        <f t="shared" si="50"/>
        <v>27780.518990878205</v>
      </c>
      <c r="U381" s="351">
        <f t="shared" si="48"/>
        <v>926916.49815693276</v>
      </c>
      <c r="V381" s="351">
        <f t="shared" si="46"/>
        <v>902998.13124170841</v>
      </c>
      <c r="W381" s="758"/>
      <c r="X381" s="763"/>
    </row>
    <row r="382" spans="1:24" ht="16" thickBot="1">
      <c r="A382" s="762"/>
      <c r="B382" s="758"/>
      <c r="C382" s="758"/>
      <c r="D382" s="758"/>
      <c r="E382" s="758"/>
      <c r="F382" s="758"/>
      <c r="G382" s="758"/>
      <c r="H382" s="758"/>
      <c r="I382" s="758"/>
      <c r="J382" s="758"/>
      <c r="K382" s="758"/>
      <c r="L382" s="758"/>
      <c r="M382" s="320"/>
      <c r="N382" s="322"/>
      <c r="O382" s="320"/>
      <c r="P382" s="348">
        <f t="shared" si="47"/>
        <v>326</v>
      </c>
      <c r="Q382" s="349">
        <f t="shared" si="49"/>
        <v>56492</v>
      </c>
      <c r="R382" s="351">
        <f t="shared" si="44"/>
        <v>24018.026777371088</v>
      </c>
      <c r="S382" s="351">
        <f t="shared" si="45"/>
        <v>3762.4922135071183</v>
      </c>
      <c r="T382" s="351">
        <f t="shared" si="50"/>
        <v>27780.518990878205</v>
      </c>
      <c r="U382" s="351">
        <f t="shared" si="48"/>
        <v>902998.13124170841</v>
      </c>
      <c r="V382" s="351">
        <f t="shared" si="46"/>
        <v>878980.10446433735</v>
      </c>
      <c r="W382" s="758"/>
      <c r="X382" s="763"/>
    </row>
    <row r="383" spans="1:24" ht="16" thickBot="1">
      <c r="A383" s="762"/>
      <c r="B383" s="758"/>
      <c r="C383" s="758"/>
      <c r="D383" s="758"/>
      <c r="E383" s="758"/>
      <c r="F383" s="758"/>
      <c r="G383" s="758"/>
      <c r="H383" s="758"/>
      <c r="I383" s="758"/>
      <c r="J383" s="758"/>
      <c r="K383" s="758"/>
      <c r="L383" s="758"/>
      <c r="M383" s="320"/>
      <c r="N383" s="322"/>
      <c r="O383" s="320"/>
      <c r="P383" s="348">
        <f t="shared" si="47"/>
        <v>327</v>
      </c>
      <c r="Q383" s="349">
        <f t="shared" si="49"/>
        <v>56522</v>
      </c>
      <c r="R383" s="351">
        <f t="shared" si="44"/>
        <v>24118.101888943471</v>
      </c>
      <c r="S383" s="351">
        <f t="shared" si="45"/>
        <v>3662.4171019347391</v>
      </c>
      <c r="T383" s="351">
        <f t="shared" si="50"/>
        <v>27780.518990878209</v>
      </c>
      <c r="U383" s="351">
        <f t="shared" si="48"/>
        <v>878980.10446433735</v>
      </c>
      <c r="V383" s="351">
        <f t="shared" si="46"/>
        <v>854862.00257539388</v>
      </c>
      <c r="W383" s="758"/>
      <c r="X383" s="763"/>
    </row>
    <row r="384" spans="1:24" ht="16" thickBot="1">
      <c r="A384" s="762"/>
      <c r="B384" s="758"/>
      <c r="C384" s="758"/>
      <c r="D384" s="758"/>
      <c r="E384" s="758"/>
      <c r="F384" s="758"/>
      <c r="G384" s="758"/>
      <c r="H384" s="758"/>
      <c r="I384" s="758"/>
      <c r="J384" s="758"/>
      <c r="K384" s="758"/>
      <c r="L384" s="758"/>
      <c r="M384" s="320"/>
      <c r="N384" s="322"/>
      <c r="O384" s="320"/>
      <c r="P384" s="348">
        <f t="shared" si="47"/>
        <v>328</v>
      </c>
      <c r="Q384" s="349">
        <f t="shared" si="49"/>
        <v>56553</v>
      </c>
      <c r="R384" s="351">
        <f t="shared" si="44"/>
        <v>24218.593980147401</v>
      </c>
      <c r="S384" s="351">
        <f t="shared" si="45"/>
        <v>3561.9250107308076</v>
      </c>
      <c r="T384" s="351">
        <f t="shared" si="50"/>
        <v>27780.518990878209</v>
      </c>
      <c r="U384" s="351">
        <f t="shared" si="48"/>
        <v>854862.00257539388</v>
      </c>
      <c r="V384" s="351">
        <f t="shared" si="46"/>
        <v>830643.4085952465</v>
      </c>
      <c r="W384" s="758"/>
      <c r="X384" s="763"/>
    </row>
    <row r="385" spans="1:24" ht="16" thickBot="1">
      <c r="A385" s="762"/>
      <c r="B385" s="758"/>
      <c r="C385" s="758"/>
      <c r="D385" s="758"/>
      <c r="E385" s="758"/>
      <c r="F385" s="758"/>
      <c r="G385" s="758"/>
      <c r="H385" s="758"/>
      <c r="I385" s="758"/>
      <c r="J385" s="758"/>
      <c r="K385" s="758"/>
      <c r="L385" s="758"/>
      <c r="M385" s="320"/>
      <c r="N385" s="322"/>
      <c r="O385" s="320"/>
      <c r="P385" s="348">
        <f t="shared" si="47"/>
        <v>329</v>
      </c>
      <c r="Q385" s="349">
        <f t="shared" si="49"/>
        <v>56583</v>
      </c>
      <c r="R385" s="351">
        <f t="shared" si="44"/>
        <v>24319.504788398015</v>
      </c>
      <c r="S385" s="351">
        <f t="shared" si="45"/>
        <v>3461.0142024801935</v>
      </c>
      <c r="T385" s="351">
        <f t="shared" si="50"/>
        <v>27780.518990878209</v>
      </c>
      <c r="U385" s="351">
        <f t="shared" si="48"/>
        <v>830643.4085952465</v>
      </c>
      <c r="V385" s="351">
        <f t="shared" si="46"/>
        <v>806323.90380684845</v>
      </c>
      <c r="W385" s="758"/>
      <c r="X385" s="763"/>
    </row>
    <row r="386" spans="1:24" ht="16" thickBot="1">
      <c r="A386" s="762"/>
      <c r="B386" s="758"/>
      <c r="C386" s="758"/>
      <c r="D386" s="758"/>
      <c r="E386" s="758"/>
      <c r="F386" s="758"/>
      <c r="G386" s="758"/>
      <c r="H386" s="758"/>
      <c r="I386" s="758"/>
      <c r="J386" s="758"/>
      <c r="K386" s="758"/>
      <c r="L386" s="758"/>
      <c r="M386" s="320"/>
      <c r="N386" s="322"/>
      <c r="O386" s="320"/>
      <c r="P386" s="348">
        <f t="shared" si="47"/>
        <v>330</v>
      </c>
      <c r="Q386" s="349">
        <f t="shared" si="49"/>
        <v>56614</v>
      </c>
      <c r="R386" s="351">
        <f t="shared" si="44"/>
        <v>24420.836058349676</v>
      </c>
      <c r="S386" s="351">
        <f t="shared" si="45"/>
        <v>3359.6829325285353</v>
      </c>
      <c r="T386" s="351">
        <f t="shared" si="50"/>
        <v>27780.518990878212</v>
      </c>
      <c r="U386" s="351">
        <f t="shared" si="48"/>
        <v>806323.90380684845</v>
      </c>
      <c r="V386" s="351">
        <f t="shared" si="46"/>
        <v>781903.06774849875</v>
      </c>
      <c r="W386" s="758"/>
      <c r="X386" s="763"/>
    </row>
    <row r="387" spans="1:24" ht="16" thickBot="1">
      <c r="A387" s="762"/>
      <c r="B387" s="758"/>
      <c r="C387" s="758"/>
      <c r="D387" s="758"/>
      <c r="E387" s="758"/>
      <c r="F387" s="758"/>
      <c r="G387" s="758"/>
      <c r="H387" s="758"/>
      <c r="I387" s="758"/>
      <c r="J387" s="758"/>
      <c r="K387" s="758"/>
      <c r="L387" s="758"/>
      <c r="M387" s="320"/>
      <c r="N387" s="322"/>
      <c r="O387" s="320"/>
      <c r="P387" s="348">
        <f t="shared" si="47"/>
        <v>331</v>
      </c>
      <c r="Q387" s="349">
        <f t="shared" si="49"/>
        <v>56645</v>
      </c>
      <c r="R387" s="351">
        <f t="shared" si="44"/>
        <v>24522.589541926129</v>
      </c>
      <c r="S387" s="351">
        <f t="shared" si="45"/>
        <v>3257.929448952078</v>
      </c>
      <c r="T387" s="351">
        <f t="shared" si="50"/>
        <v>27780.518990878205</v>
      </c>
      <c r="U387" s="351">
        <f t="shared" si="48"/>
        <v>781903.06774849875</v>
      </c>
      <c r="V387" s="351">
        <f t="shared" si="46"/>
        <v>757380.47820657259</v>
      </c>
      <c r="W387" s="758"/>
      <c r="X387" s="763"/>
    </row>
    <row r="388" spans="1:24" ht="16" thickBot="1">
      <c r="A388" s="762"/>
      <c r="B388" s="758"/>
      <c r="C388" s="758"/>
      <c r="D388" s="758"/>
      <c r="E388" s="758"/>
      <c r="F388" s="758"/>
      <c r="G388" s="758"/>
      <c r="H388" s="758"/>
      <c r="I388" s="758"/>
      <c r="J388" s="758"/>
      <c r="K388" s="758"/>
      <c r="L388" s="758"/>
      <c r="M388" s="320"/>
      <c r="N388" s="322"/>
      <c r="O388" s="320"/>
      <c r="P388" s="348">
        <f t="shared" si="47"/>
        <v>332</v>
      </c>
      <c r="Q388" s="349">
        <f t="shared" si="49"/>
        <v>56673</v>
      </c>
      <c r="R388" s="351">
        <f t="shared" si="44"/>
        <v>24624.766998350824</v>
      </c>
      <c r="S388" s="351">
        <f t="shared" si="45"/>
        <v>3155.7519925273859</v>
      </c>
      <c r="T388" s="351">
        <f t="shared" si="50"/>
        <v>27780.518990878209</v>
      </c>
      <c r="U388" s="351">
        <f t="shared" si="48"/>
        <v>757380.47820657259</v>
      </c>
      <c r="V388" s="351">
        <f t="shared" si="46"/>
        <v>732755.71120822174</v>
      </c>
      <c r="W388" s="758"/>
      <c r="X388" s="763"/>
    </row>
    <row r="389" spans="1:24" ht="16" thickBot="1">
      <c r="A389" s="762"/>
      <c r="B389" s="758"/>
      <c r="C389" s="758"/>
      <c r="D389" s="758"/>
      <c r="E389" s="758"/>
      <c r="F389" s="758"/>
      <c r="G389" s="758"/>
      <c r="H389" s="758"/>
      <c r="I389" s="758"/>
      <c r="J389" s="758"/>
      <c r="K389" s="758"/>
      <c r="L389" s="758"/>
      <c r="M389" s="320"/>
      <c r="N389" s="322"/>
      <c r="O389" s="320"/>
      <c r="P389" s="348">
        <f t="shared" si="47"/>
        <v>333</v>
      </c>
      <c r="Q389" s="349">
        <f t="shared" si="49"/>
        <v>56704</v>
      </c>
      <c r="R389" s="351">
        <f t="shared" si="44"/>
        <v>24727.370194177282</v>
      </c>
      <c r="S389" s="351">
        <f t="shared" si="45"/>
        <v>3053.1487967009239</v>
      </c>
      <c r="T389" s="351">
        <f t="shared" si="50"/>
        <v>27780.518990878205</v>
      </c>
      <c r="U389" s="351">
        <f t="shared" si="48"/>
        <v>732755.71120822174</v>
      </c>
      <c r="V389" s="351">
        <f t="shared" si="46"/>
        <v>708028.34101404448</v>
      </c>
      <c r="W389" s="758"/>
      <c r="X389" s="763"/>
    </row>
    <row r="390" spans="1:24" ht="16" thickBot="1">
      <c r="A390" s="762"/>
      <c r="B390" s="758"/>
      <c r="C390" s="758"/>
      <c r="D390" s="758"/>
      <c r="E390" s="758"/>
      <c r="F390" s="758"/>
      <c r="G390" s="758"/>
      <c r="H390" s="758"/>
      <c r="I390" s="758"/>
      <c r="J390" s="758"/>
      <c r="K390" s="758"/>
      <c r="L390" s="758"/>
      <c r="M390" s="320"/>
      <c r="N390" s="322"/>
      <c r="O390" s="320"/>
      <c r="P390" s="348">
        <f t="shared" si="47"/>
        <v>334</v>
      </c>
      <c r="Q390" s="349">
        <f t="shared" si="49"/>
        <v>56734</v>
      </c>
      <c r="R390" s="351">
        <f t="shared" si="44"/>
        <v>24830.400903319693</v>
      </c>
      <c r="S390" s="351">
        <f t="shared" si="45"/>
        <v>2950.1180875585187</v>
      </c>
      <c r="T390" s="351">
        <f t="shared" si="50"/>
        <v>27780.518990878212</v>
      </c>
      <c r="U390" s="351">
        <f t="shared" si="48"/>
        <v>708028.34101404448</v>
      </c>
      <c r="V390" s="351">
        <f t="shared" si="46"/>
        <v>683197.94011072477</v>
      </c>
      <c r="W390" s="758"/>
      <c r="X390" s="763"/>
    </row>
    <row r="391" spans="1:24" ht="16" thickBot="1">
      <c r="A391" s="762"/>
      <c r="B391" s="758"/>
      <c r="C391" s="758"/>
      <c r="D391" s="758"/>
      <c r="E391" s="758"/>
      <c r="F391" s="758"/>
      <c r="G391" s="758"/>
      <c r="H391" s="758"/>
      <c r="I391" s="758"/>
      <c r="J391" s="758"/>
      <c r="K391" s="758"/>
      <c r="L391" s="758"/>
      <c r="M391" s="320"/>
      <c r="N391" s="322"/>
      <c r="O391" s="320"/>
      <c r="P391" s="348">
        <f t="shared" si="47"/>
        <v>335</v>
      </c>
      <c r="Q391" s="349">
        <f t="shared" si="49"/>
        <v>56765</v>
      </c>
      <c r="R391" s="351">
        <f t="shared" si="44"/>
        <v>24933.860907083519</v>
      </c>
      <c r="S391" s="351">
        <f t="shared" si="45"/>
        <v>2846.6580837946867</v>
      </c>
      <c r="T391" s="351">
        <f t="shared" si="50"/>
        <v>27780.518990878205</v>
      </c>
      <c r="U391" s="351">
        <f t="shared" si="48"/>
        <v>683197.94011072477</v>
      </c>
      <c r="V391" s="351">
        <f t="shared" si="46"/>
        <v>658264.07920364127</v>
      </c>
      <c r="W391" s="758"/>
      <c r="X391" s="763"/>
    </row>
    <row r="392" spans="1:24" ht="16" thickBot="1">
      <c r="A392" s="762"/>
      <c r="B392" s="758"/>
      <c r="C392" s="758"/>
      <c r="D392" s="758"/>
      <c r="E392" s="758"/>
      <c r="F392" s="758"/>
      <c r="G392" s="758"/>
      <c r="H392" s="758"/>
      <c r="I392" s="758"/>
      <c r="J392" s="758"/>
      <c r="K392" s="758"/>
      <c r="L392" s="758"/>
      <c r="M392" s="320"/>
      <c r="N392" s="322"/>
      <c r="O392" s="320"/>
      <c r="P392" s="348">
        <f t="shared" si="47"/>
        <v>336</v>
      </c>
      <c r="Q392" s="349">
        <f t="shared" si="49"/>
        <v>56795</v>
      </c>
      <c r="R392" s="351">
        <f t="shared" si="44"/>
        <v>25037.751994196373</v>
      </c>
      <c r="S392" s="351">
        <f t="shared" si="45"/>
        <v>2742.7669966818385</v>
      </c>
      <c r="T392" s="351">
        <f t="shared" si="50"/>
        <v>27780.518990878212</v>
      </c>
      <c r="U392" s="351">
        <f t="shared" si="48"/>
        <v>658264.07920364127</v>
      </c>
      <c r="V392" s="351">
        <f t="shared" si="46"/>
        <v>633226.32720944495</v>
      </c>
      <c r="W392" s="758"/>
      <c r="X392" s="763"/>
    </row>
    <row r="393" spans="1:24" ht="16" thickBot="1">
      <c r="A393" s="762"/>
      <c r="B393" s="758"/>
      <c r="C393" s="758"/>
      <c r="D393" s="758"/>
      <c r="E393" s="758"/>
      <c r="F393" s="758"/>
      <c r="G393" s="758"/>
      <c r="H393" s="758"/>
      <c r="I393" s="758"/>
      <c r="J393" s="758"/>
      <c r="K393" s="758"/>
      <c r="L393" s="758"/>
      <c r="M393" s="320"/>
      <c r="N393" s="322"/>
      <c r="O393" s="320"/>
      <c r="P393" s="348">
        <f t="shared" si="47"/>
        <v>337</v>
      </c>
      <c r="Q393" s="349">
        <f t="shared" si="49"/>
        <v>56826</v>
      </c>
      <c r="R393" s="351">
        <f t="shared" si="44"/>
        <v>25142.075960838858</v>
      </c>
      <c r="S393" s="351">
        <f t="shared" si="45"/>
        <v>2638.4430300393537</v>
      </c>
      <c r="T393" s="351">
        <f t="shared" si="50"/>
        <v>27780.518990878212</v>
      </c>
      <c r="U393" s="351">
        <f t="shared" si="48"/>
        <v>633226.32720944495</v>
      </c>
      <c r="V393" s="351">
        <f t="shared" si="46"/>
        <v>608084.25124860613</v>
      </c>
      <c r="W393" s="758"/>
      <c r="X393" s="763"/>
    </row>
    <row r="394" spans="1:24" ht="16" thickBot="1">
      <c r="A394" s="762"/>
      <c r="B394" s="758"/>
      <c r="C394" s="758"/>
      <c r="D394" s="758"/>
      <c r="E394" s="758"/>
      <c r="F394" s="758"/>
      <c r="G394" s="758"/>
      <c r="H394" s="758"/>
      <c r="I394" s="758"/>
      <c r="J394" s="758"/>
      <c r="K394" s="758"/>
      <c r="L394" s="758"/>
      <c r="M394" s="320"/>
      <c r="N394" s="322"/>
      <c r="O394" s="320"/>
      <c r="P394" s="348">
        <f t="shared" si="47"/>
        <v>338</v>
      </c>
      <c r="Q394" s="349">
        <f t="shared" si="49"/>
        <v>56857</v>
      </c>
      <c r="R394" s="351">
        <f t="shared" si="44"/>
        <v>25246.834610675684</v>
      </c>
      <c r="S394" s="351">
        <f t="shared" si="45"/>
        <v>2533.6843802025255</v>
      </c>
      <c r="T394" s="351">
        <f t="shared" si="50"/>
        <v>27780.518990878209</v>
      </c>
      <c r="U394" s="351">
        <f t="shared" si="48"/>
        <v>608084.25124860613</v>
      </c>
      <c r="V394" s="351">
        <f t="shared" si="46"/>
        <v>582837.41663793044</v>
      </c>
      <c r="W394" s="758"/>
      <c r="X394" s="763"/>
    </row>
    <row r="395" spans="1:24" ht="16" thickBot="1">
      <c r="A395" s="762"/>
      <c r="B395" s="758"/>
      <c r="C395" s="758"/>
      <c r="D395" s="758"/>
      <c r="E395" s="758"/>
      <c r="F395" s="758"/>
      <c r="G395" s="758"/>
      <c r="H395" s="758"/>
      <c r="I395" s="758"/>
      <c r="J395" s="758"/>
      <c r="K395" s="758"/>
      <c r="L395" s="758"/>
      <c r="M395" s="320"/>
      <c r="N395" s="322"/>
      <c r="O395" s="320"/>
      <c r="P395" s="348">
        <f t="shared" si="47"/>
        <v>339</v>
      </c>
      <c r="Q395" s="349">
        <f t="shared" si="49"/>
        <v>56887</v>
      </c>
      <c r="R395" s="351">
        <f t="shared" si="44"/>
        <v>25352.029754886829</v>
      </c>
      <c r="S395" s="351">
        <f t="shared" si="45"/>
        <v>2428.489235991377</v>
      </c>
      <c r="T395" s="351">
        <f t="shared" si="50"/>
        <v>27780.518990878205</v>
      </c>
      <c r="U395" s="351">
        <f t="shared" si="48"/>
        <v>582837.41663793044</v>
      </c>
      <c r="V395" s="351">
        <f t="shared" si="46"/>
        <v>557485.38688304357</v>
      </c>
      <c r="W395" s="758"/>
      <c r="X395" s="763"/>
    </row>
    <row r="396" spans="1:24" ht="16" thickBot="1">
      <c r="A396" s="762"/>
      <c r="B396" s="758"/>
      <c r="C396" s="758"/>
      <c r="D396" s="758"/>
      <c r="E396" s="758"/>
      <c r="F396" s="758"/>
      <c r="G396" s="758"/>
      <c r="H396" s="758"/>
      <c r="I396" s="758"/>
      <c r="J396" s="758"/>
      <c r="K396" s="758"/>
      <c r="L396" s="758"/>
      <c r="M396" s="320"/>
      <c r="N396" s="322"/>
      <c r="O396" s="320"/>
      <c r="P396" s="348">
        <f t="shared" si="47"/>
        <v>340</v>
      </c>
      <c r="Q396" s="349">
        <f t="shared" si="49"/>
        <v>56918</v>
      </c>
      <c r="R396" s="351">
        <f t="shared" si="44"/>
        <v>25457.663212198862</v>
      </c>
      <c r="S396" s="351">
        <f t="shared" si="45"/>
        <v>2322.8557786793481</v>
      </c>
      <c r="T396" s="351">
        <f t="shared" si="50"/>
        <v>27780.518990878212</v>
      </c>
      <c r="U396" s="351">
        <f t="shared" si="48"/>
        <v>557485.38688304357</v>
      </c>
      <c r="V396" s="351">
        <f t="shared" si="46"/>
        <v>532027.72367084469</v>
      </c>
      <c r="W396" s="758"/>
      <c r="X396" s="763"/>
    </row>
    <row r="397" spans="1:24" ht="16" thickBot="1">
      <c r="A397" s="762"/>
      <c r="B397" s="758"/>
      <c r="C397" s="758"/>
      <c r="D397" s="758"/>
      <c r="E397" s="758"/>
      <c r="F397" s="758"/>
      <c r="G397" s="758"/>
      <c r="H397" s="758"/>
      <c r="I397" s="758"/>
      <c r="J397" s="758"/>
      <c r="K397" s="758"/>
      <c r="L397" s="758"/>
      <c r="M397" s="320"/>
      <c r="N397" s="322"/>
      <c r="O397" s="320"/>
      <c r="P397" s="348">
        <f t="shared" si="47"/>
        <v>341</v>
      </c>
      <c r="Q397" s="349">
        <f t="shared" si="49"/>
        <v>56948</v>
      </c>
      <c r="R397" s="351">
        <f t="shared" si="44"/>
        <v>25563.736808916357</v>
      </c>
      <c r="S397" s="351">
        <f t="shared" si="45"/>
        <v>2216.782181961853</v>
      </c>
      <c r="T397" s="351">
        <f t="shared" si="50"/>
        <v>27780.518990878212</v>
      </c>
      <c r="U397" s="351">
        <f t="shared" si="48"/>
        <v>532027.72367084469</v>
      </c>
      <c r="V397" s="351">
        <f t="shared" si="46"/>
        <v>506463.98686192831</v>
      </c>
      <c r="W397" s="758"/>
      <c r="X397" s="763"/>
    </row>
    <row r="398" spans="1:24" ht="16" thickBot="1">
      <c r="A398" s="762"/>
      <c r="B398" s="758"/>
      <c r="C398" s="758"/>
      <c r="D398" s="758"/>
      <c r="E398" s="758"/>
      <c r="F398" s="758"/>
      <c r="G398" s="758"/>
      <c r="H398" s="758"/>
      <c r="I398" s="758"/>
      <c r="J398" s="758"/>
      <c r="K398" s="758"/>
      <c r="L398" s="758"/>
      <c r="M398" s="320"/>
      <c r="N398" s="322"/>
      <c r="O398" s="320"/>
      <c r="P398" s="348">
        <f t="shared" si="47"/>
        <v>342</v>
      </c>
      <c r="Q398" s="349">
        <f t="shared" si="49"/>
        <v>56979</v>
      </c>
      <c r="R398" s="351">
        <f t="shared" si="44"/>
        <v>25670.252378953508</v>
      </c>
      <c r="S398" s="351">
        <f t="shared" si="45"/>
        <v>2110.2666119247015</v>
      </c>
      <c r="T398" s="351">
        <f t="shared" si="50"/>
        <v>27780.518990878209</v>
      </c>
      <c r="U398" s="351">
        <f t="shared" si="48"/>
        <v>506463.98686192831</v>
      </c>
      <c r="V398" s="351">
        <f t="shared" si="46"/>
        <v>480793.7344829748</v>
      </c>
      <c r="W398" s="758"/>
      <c r="X398" s="763"/>
    </row>
    <row r="399" spans="1:24" ht="16" thickBot="1">
      <c r="A399" s="762"/>
      <c r="B399" s="758"/>
      <c r="C399" s="758"/>
      <c r="D399" s="758"/>
      <c r="E399" s="758"/>
      <c r="F399" s="758"/>
      <c r="G399" s="758"/>
      <c r="H399" s="758"/>
      <c r="I399" s="758"/>
      <c r="J399" s="758"/>
      <c r="K399" s="758"/>
      <c r="L399" s="758"/>
      <c r="M399" s="320"/>
      <c r="N399" s="322"/>
      <c r="O399" s="320"/>
      <c r="P399" s="348">
        <f t="shared" si="47"/>
        <v>343</v>
      </c>
      <c r="Q399" s="349">
        <f t="shared" si="49"/>
        <v>57010</v>
      </c>
      <c r="R399" s="351">
        <f t="shared" si="44"/>
        <v>25777.211763865816</v>
      </c>
      <c r="S399" s="351">
        <f t="shared" si="45"/>
        <v>2003.3072270123951</v>
      </c>
      <c r="T399" s="351">
        <f t="shared" si="50"/>
        <v>27780.518990878212</v>
      </c>
      <c r="U399" s="351">
        <f t="shared" si="48"/>
        <v>480793.7344829748</v>
      </c>
      <c r="V399" s="351">
        <f t="shared" si="46"/>
        <v>455016.52271910897</v>
      </c>
      <c r="W399" s="758"/>
      <c r="X399" s="763"/>
    </row>
    <row r="400" spans="1:24" ht="16" thickBot="1">
      <c r="A400" s="762"/>
      <c r="B400" s="758"/>
      <c r="C400" s="758"/>
      <c r="D400" s="758"/>
      <c r="E400" s="758"/>
      <c r="F400" s="758"/>
      <c r="G400" s="758"/>
      <c r="H400" s="758"/>
      <c r="I400" s="758"/>
      <c r="J400" s="758"/>
      <c r="K400" s="758"/>
      <c r="L400" s="758"/>
      <c r="M400" s="320"/>
      <c r="N400" s="322"/>
      <c r="O400" s="320"/>
      <c r="P400" s="348">
        <f t="shared" si="47"/>
        <v>344</v>
      </c>
      <c r="Q400" s="349">
        <f t="shared" si="49"/>
        <v>57039</v>
      </c>
      <c r="R400" s="351">
        <f t="shared" si="44"/>
        <v>25884.616812881919</v>
      </c>
      <c r="S400" s="351">
        <f t="shared" si="45"/>
        <v>1895.9021779962873</v>
      </c>
      <c r="T400" s="351">
        <f t="shared" si="50"/>
        <v>27780.518990878205</v>
      </c>
      <c r="U400" s="351">
        <f t="shared" si="48"/>
        <v>455016.52271910897</v>
      </c>
      <c r="V400" s="351">
        <f t="shared" si="46"/>
        <v>429131.90590622707</v>
      </c>
      <c r="W400" s="758"/>
      <c r="X400" s="763"/>
    </row>
    <row r="401" spans="1:24" ht="16" thickBot="1">
      <c r="A401" s="762"/>
      <c r="B401" s="758"/>
      <c r="C401" s="758"/>
      <c r="D401" s="758"/>
      <c r="E401" s="758"/>
      <c r="F401" s="758"/>
      <c r="G401" s="758"/>
      <c r="H401" s="758"/>
      <c r="I401" s="758"/>
      <c r="J401" s="758"/>
      <c r="K401" s="758"/>
      <c r="L401" s="758"/>
      <c r="M401" s="320"/>
      <c r="N401" s="322"/>
      <c r="O401" s="320"/>
      <c r="P401" s="348">
        <f t="shared" si="47"/>
        <v>345</v>
      </c>
      <c r="Q401" s="349">
        <f t="shared" si="49"/>
        <v>57070</v>
      </c>
      <c r="R401" s="351">
        <f t="shared" si="44"/>
        <v>25992.469382935597</v>
      </c>
      <c r="S401" s="351">
        <f t="shared" si="45"/>
        <v>1788.0496079426127</v>
      </c>
      <c r="T401" s="351">
        <f t="shared" si="50"/>
        <v>27780.518990878209</v>
      </c>
      <c r="U401" s="351">
        <f t="shared" si="48"/>
        <v>429131.90590622707</v>
      </c>
      <c r="V401" s="351">
        <f t="shared" si="46"/>
        <v>403139.43652329146</v>
      </c>
      <c r="W401" s="758"/>
      <c r="X401" s="763"/>
    </row>
    <row r="402" spans="1:24" ht="16" thickBot="1">
      <c r="A402" s="762"/>
      <c r="B402" s="758"/>
      <c r="C402" s="758"/>
      <c r="D402" s="758"/>
      <c r="E402" s="758"/>
      <c r="F402" s="758"/>
      <c r="G402" s="758"/>
      <c r="H402" s="758"/>
      <c r="I402" s="758"/>
      <c r="J402" s="758"/>
      <c r="K402" s="758"/>
      <c r="L402" s="758"/>
      <c r="M402" s="320"/>
      <c r="N402" s="322"/>
      <c r="O402" s="320"/>
      <c r="P402" s="348">
        <f t="shared" si="47"/>
        <v>346</v>
      </c>
      <c r="Q402" s="349">
        <f t="shared" si="49"/>
        <v>57100</v>
      </c>
      <c r="R402" s="351">
        <f t="shared" si="44"/>
        <v>26100.771338697828</v>
      </c>
      <c r="S402" s="351">
        <f t="shared" si="45"/>
        <v>1679.747652180381</v>
      </c>
      <c r="T402" s="351">
        <f t="shared" si="50"/>
        <v>27780.518990878209</v>
      </c>
      <c r="U402" s="351">
        <f t="shared" si="48"/>
        <v>403139.43652329146</v>
      </c>
      <c r="V402" s="351">
        <f t="shared" si="46"/>
        <v>377038.66518459364</v>
      </c>
      <c r="W402" s="758"/>
      <c r="X402" s="763"/>
    </row>
    <row r="403" spans="1:24" ht="16" thickBot="1">
      <c r="A403" s="762"/>
      <c r="B403" s="758"/>
      <c r="C403" s="758"/>
      <c r="D403" s="758"/>
      <c r="E403" s="758"/>
      <c r="F403" s="758"/>
      <c r="G403" s="758"/>
      <c r="H403" s="758"/>
      <c r="I403" s="758"/>
      <c r="J403" s="758"/>
      <c r="K403" s="758"/>
      <c r="L403" s="758"/>
      <c r="M403" s="320"/>
      <c r="N403" s="322"/>
      <c r="O403" s="320"/>
      <c r="P403" s="348">
        <f t="shared" si="47"/>
        <v>347</v>
      </c>
      <c r="Q403" s="349">
        <f t="shared" si="49"/>
        <v>57131</v>
      </c>
      <c r="R403" s="351">
        <f t="shared" si="44"/>
        <v>26209.524552609069</v>
      </c>
      <c r="S403" s="351">
        <f t="shared" si="45"/>
        <v>1570.9944382691401</v>
      </c>
      <c r="T403" s="351">
        <f t="shared" si="50"/>
        <v>27780.518990878209</v>
      </c>
      <c r="U403" s="351">
        <f t="shared" si="48"/>
        <v>377038.66518459364</v>
      </c>
      <c r="V403" s="351">
        <f t="shared" si="46"/>
        <v>350829.14063198457</v>
      </c>
      <c r="W403" s="758"/>
      <c r="X403" s="763"/>
    </row>
    <row r="404" spans="1:24" ht="16" thickBot="1">
      <c r="A404" s="762"/>
      <c r="B404" s="758"/>
      <c r="C404" s="758"/>
      <c r="D404" s="758"/>
      <c r="E404" s="758"/>
      <c r="F404" s="758"/>
      <c r="G404" s="758"/>
      <c r="H404" s="758"/>
      <c r="I404" s="758"/>
      <c r="J404" s="758"/>
      <c r="K404" s="758"/>
      <c r="L404" s="758"/>
      <c r="M404" s="320"/>
      <c r="N404" s="322"/>
      <c r="O404" s="320"/>
      <c r="P404" s="348">
        <f t="shared" si="47"/>
        <v>348</v>
      </c>
      <c r="Q404" s="349">
        <f t="shared" si="49"/>
        <v>57161</v>
      </c>
      <c r="R404" s="351">
        <f t="shared" si="44"/>
        <v>26318.730904911605</v>
      </c>
      <c r="S404" s="351">
        <f t="shared" si="45"/>
        <v>1461.7880859666025</v>
      </c>
      <c r="T404" s="351">
        <f t="shared" si="50"/>
        <v>27780.518990878209</v>
      </c>
      <c r="U404" s="351">
        <f t="shared" si="48"/>
        <v>350829.14063198457</v>
      </c>
      <c r="V404" s="351">
        <f t="shared" si="46"/>
        <v>324510.40972707298</v>
      </c>
      <c r="W404" s="758"/>
      <c r="X404" s="763"/>
    </row>
    <row r="405" spans="1:24" ht="16" thickBot="1">
      <c r="A405" s="762"/>
      <c r="B405" s="758"/>
      <c r="C405" s="758"/>
      <c r="D405" s="758"/>
      <c r="E405" s="758"/>
      <c r="F405" s="758"/>
      <c r="G405" s="758"/>
      <c r="H405" s="758"/>
      <c r="I405" s="758"/>
      <c r="J405" s="758"/>
      <c r="K405" s="758"/>
      <c r="L405" s="758"/>
      <c r="M405" s="320"/>
      <c r="N405" s="322"/>
      <c r="O405" s="320"/>
      <c r="P405" s="348">
        <f t="shared" si="47"/>
        <v>349</v>
      </c>
      <c r="Q405" s="349">
        <f t="shared" si="49"/>
        <v>57192</v>
      </c>
      <c r="R405" s="351">
        <f t="shared" si="44"/>
        <v>26428.392283682071</v>
      </c>
      <c r="S405" s="351">
        <f t="shared" si="45"/>
        <v>1352.1267071961374</v>
      </c>
      <c r="T405" s="351">
        <f t="shared" si="50"/>
        <v>27780.518990878209</v>
      </c>
      <c r="U405" s="351">
        <f t="shared" si="48"/>
        <v>324510.40972707298</v>
      </c>
      <c r="V405" s="351">
        <f t="shared" si="46"/>
        <v>298082.01744339091</v>
      </c>
      <c r="W405" s="758"/>
      <c r="X405" s="763"/>
    </row>
    <row r="406" spans="1:24" ht="16" thickBot="1">
      <c r="A406" s="762"/>
      <c r="B406" s="758"/>
      <c r="C406" s="758"/>
      <c r="D406" s="758"/>
      <c r="E406" s="758"/>
      <c r="F406" s="758"/>
      <c r="G406" s="758"/>
      <c r="H406" s="758"/>
      <c r="I406" s="758"/>
      <c r="J406" s="758"/>
      <c r="K406" s="758"/>
      <c r="L406" s="758"/>
      <c r="M406" s="320"/>
      <c r="N406" s="322"/>
      <c r="O406" s="320"/>
      <c r="P406" s="348">
        <f t="shared" si="47"/>
        <v>350</v>
      </c>
      <c r="Q406" s="349">
        <f t="shared" si="49"/>
        <v>57223</v>
      </c>
      <c r="R406" s="351">
        <f t="shared" si="44"/>
        <v>26538.510584864081</v>
      </c>
      <c r="S406" s="351">
        <f t="shared" si="45"/>
        <v>1242.0084060141287</v>
      </c>
      <c r="T406" s="351">
        <f t="shared" si="50"/>
        <v>27780.518990878209</v>
      </c>
      <c r="U406" s="351">
        <f t="shared" si="48"/>
        <v>298082.01744339091</v>
      </c>
      <c r="V406" s="351">
        <f t="shared" si="46"/>
        <v>271543.50685852685</v>
      </c>
      <c r="W406" s="758"/>
      <c r="X406" s="763"/>
    </row>
    <row r="407" spans="1:24" ht="16" thickBot="1">
      <c r="A407" s="762"/>
      <c r="B407" s="758"/>
      <c r="C407" s="758"/>
      <c r="D407" s="758"/>
      <c r="E407" s="758"/>
      <c r="F407" s="758"/>
      <c r="G407" s="758"/>
      <c r="H407" s="758"/>
      <c r="I407" s="758"/>
      <c r="J407" s="758"/>
      <c r="K407" s="758"/>
      <c r="L407" s="758"/>
      <c r="M407" s="320"/>
      <c r="N407" s="322"/>
      <c r="O407" s="320"/>
      <c r="P407" s="348">
        <f t="shared" si="47"/>
        <v>351</v>
      </c>
      <c r="Q407" s="349">
        <f t="shared" si="49"/>
        <v>57253</v>
      </c>
      <c r="R407" s="351">
        <f t="shared" si="44"/>
        <v>26649.08771230101</v>
      </c>
      <c r="S407" s="351">
        <f t="shared" si="45"/>
        <v>1131.4312785771951</v>
      </c>
      <c r="T407" s="351">
        <f t="shared" si="50"/>
        <v>27780.518990878205</v>
      </c>
      <c r="U407" s="351">
        <f t="shared" si="48"/>
        <v>271543.50685852685</v>
      </c>
      <c r="V407" s="351">
        <f t="shared" si="46"/>
        <v>244894.41914622585</v>
      </c>
      <c r="W407" s="758"/>
      <c r="X407" s="763"/>
    </row>
    <row r="408" spans="1:24" ht="16" thickBot="1">
      <c r="A408" s="762"/>
      <c r="B408" s="758"/>
      <c r="C408" s="758"/>
      <c r="D408" s="758"/>
      <c r="E408" s="758"/>
      <c r="F408" s="758"/>
      <c r="G408" s="758"/>
      <c r="H408" s="758"/>
      <c r="I408" s="758"/>
      <c r="J408" s="758"/>
      <c r="K408" s="758"/>
      <c r="L408" s="758"/>
      <c r="M408" s="320"/>
      <c r="N408" s="322"/>
      <c r="O408" s="320"/>
      <c r="P408" s="348">
        <f t="shared" si="47"/>
        <v>352</v>
      </c>
      <c r="Q408" s="349">
        <f t="shared" si="49"/>
        <v>57284</v>
      </c>
      <c r="R408" s="351">
        <f t="shared" si="44"/>
        <v>26760.125577768933</v>
      </c>
      <c r="S408" s="351">
        <f t="shared" si="45"/>
        <v>1020.3934131092743</v>
      </c>
      <c r="T408" s="351">
        <f t="shared" si="50"/>
        <v>27780.518990878209</v>
      </c>
      <c r="U408" s="351">
        <f t="shared" si="48"/>
        <v>244894.41914622585</v>
      </c>
      <c r="V408" s="351">
        <f t="shared" si="46"/>
        <v>218134.29356845692</v>
      </c>
      <c r="W408" s="758"/>
      <c r="X408" s="763"/>
    </row>
    <row r="409" spans="1:24" ht="16" thickBot="1">
      <c r="A409" s="762"/>
      <c r="B409" s="758"/>
      <c r="C409" s="758"/>
      <c r="D409" s="758"/>
      <c r="E409" s="758"/>
      <c r="F409" s="758"/>
      <c r="G409" s="758"/>
      <c r="H409" s="758"/>
      <c r="I409" s="758"/>
      <c r="J409" s="758"/>
      <c r="K409" s="758"/>
      <c r="L409" s="758"/>
      <c r="M409" s="320"/>
      <c r="N409" s="322"/>
      <c r="O409" s="320"/>
      <c r="P409" s="348">
        <f t="shared" si="47"/>
        <v>353</v>
      </c>
      <c r="Q409" s="349">
        <f t="shared" si="49"/>
        <v>57314</v>
      </c>
      <c r="R409" s="351">
        <f t="shared" si="44"/>
        <v>26871.626101009635</v>
      </c>
      <c r="S409" s="351">
        <f t="shared" si="45"/>
        <v>908.89288986857048</v>
      </c>
      <c r="T409" s="351">
        <f t="shared" si="50"/>
        <v>27780.518990878205</v>
      </c>
      <c r="U409" s="351">
        <f t="shared" si="48"/>
        <v>218134.29356845692</v>
      </c>
      <c r="V409" s="351">
        <f t="shared" si="46"/>
        <v>191262.66746744729</v>
      </c>
      <c r="W409" s="758"/>
      <c r="X409" s="763"/>
    </row>
    <row r="410" spans="1:24" ht="16" thickBot="1">
      <c r="A410" s="762"/>
      <c r="B410" s="758"/>
      <c r="C410" s="758"/>
      <c r="D410" s="758"/>
      <c r="E410" s="758"/>
      <c r="F410" s="758"/>
      <c r="G410" s="758"/>
      <c r="H410" s="758"/>
      <c r="I410" s="758"/>
      <c r="J410" s="758"/>
      <c r="K410" s="758"/>
      <c r="L410" s="758"/>
      <c r="M410" s="320"/>
      <c r="N410" s="322"/>
      <c r="O410" s="320"/>
      <c r="P410" s="348">
        <f t="shared" si="47"/>
        <v>354</v>
      </c>
      <c r="Q410" s="349">
        <f t="shared" si="49"/>
        <v>57345</v>
      </c>
      <c r="R410" s="351">
        <f t="shared" si="44"/>
        <v>26983.591209763847</v>
      </c>
      <c r="S410" s="351">
        <f t="shared" si="45"/>
        <v>796.92778111436371</v>
      </c>
      <c r="T410" s="351">
        <f t="shared" si="50"/>
        <v>27780.518990878209</v>
      </c>
      <c r="U410" s="351">
        <f t="shared" si="48"/>
        <v>191262.66746744729</v>
      </c>
      <c r="V410" s="351">
        <f t="shared" si="46"/>
        <v>164279.07625768345</v>
      </c>
      <c r="W410" s="758"/>
      <c r="X410" s="763"/>
    </row>
    <row r="411" spans="1:24" ht="16" thickBot="1">
      <c r="A411" s="762"/>
      <c r="B411" s="758"/>
      <c r="C411" s="758"/>
      <c r="D411" s="758"/>
      <c r="E411" s="758"/>
      <c r="F411" s="758"/>
      <c r="G411" s="758"/>
      <c r="H411" s="758"/>
      <c r="I411" s="758"/>
      <c r="J411" s="758"/>
      <c r="K411" s="758"/>
      <c r="L411" s="758"/>
      <c r="M411" s="320"/>
      <c r="N411" s="322"/>
      <c r="O411" s="320"/>
      <c r="P411" s="348">
        <f t="shared" si="47"/>
        <v>355</v>
      </c>
      <c r="Q411" s="349">
        <f t="shared" si="49"/>
        <v>57376</v>
      </c>
      <c r="R411" s="351">
        <f t="shared" si="44"/>
        <v>27096.022839804529</v>
      </c>
      <c r="S411" s="351">
        <f t="shared" si="45"/>
        <v>684.49615107368106</v>
      </c>
      <c r="T411" s="351">
        <f t="shared" si="50"/>
        <v>27780.518990878209</v>
      </c>
      <c r="U411" s="351">
        <f t="shared" si="48"/>
        <v>164279.07625768345</v>
      </c>
      <c r="V411" s="351">
        <f t="shared" si="46"/>
        <v>137183.05341787892</v>
      </c>
      <c r="W411" s="758"/>
      <c r="X411" s="763"/>
    </row>
    <row r="412" spans="1:24" ht="16" thickBot="1">
      <c r="A412" s="762"/>
      <c r="B412" s="758"/>
      <c r="C412" s="758"/>
      <c r="D412" s="758"/>
      <c r="E412" s="758"/>
      <c r="F412" s="758"/>
      <c r="G412" s="758"/>
      <c r="H412" s="758"/>
      <c r="I412" s="758"/>
      <c r="J412" s="758"/>
      <c r="K412" s="758"/>
      <c r="L412" s="758"/>
      <c r="M412" s="320"/>
      <c r="N412" s="322"/>
      <c r="O412" s="320"/>
      <c r="P412" s="348">
        <f t="shared" si="47"/>
        <v>356</v>
      </c>
      <c r="Q412" s="349">
        <f t="shared" si="49"/>
        <v>57404</v>
      </c>
      <c r="R412" s="351">
        <f t="shared" si="44"/>
        <v>27208.922934970378</v>
      </c>
      <c r="S412" s="351">
        <f t="shared" si="45"/>
        <v>571.59605590782883</v>
      </c>
      <c r="T412" s="351">
        <f t="shared" si="50"/>
        <v>27780.518990878209</v>
      </c>
      <c r="U412" s="351">
        <f t="shared" si="48"/>
        <v>137183.05341787892</v>
      </c>
      <c r="V412" s="351">
        <f t="shared" si="46"/>
        <v>109974.13048290854</v>
      </c>
      <c r="W412" s="758"/>
      <c r="X412" s="763"/>
    </row>
    <row r="413" spans="1:24" ht="16" thickBot="1">
      <c r="A413" s="762"/>
      <c r="B413" s="758"/>
      <c r="C413" s="758"/>
      <c r="D413" s="758"/>
      <c r="E413" s="758"/>
      <c r="F413" s="758"/>
      <c r="G413" s="758"/>
      <c r="H413" s="758"/>
      <c r="I413" s="758"/>
      <c r="J413" s="758"/>
      <c r="K413" s="758"/>
      <c r="L413" s="758"/>
      <c r="M413" s="320"/>
      <c r="N413" s="322"/>
      <c r="O413" s="320"/>
      <c r="P413" s="348">
        <f t="shared" si="47"/>
        <v>357</v>
      </c>
      <c r="Q413" s="349">
        <f t="shared" si="49"/>
        <v>57435</v>
      </c>
      <c r="R413" s="351">
        <f t="shared" si="44"/>
        <v>27322.293447199419</v>
      </c>
      <c r="S413" s="351">
        <f t="shared" si="45"/>
        <v>458.22554367878558</v>
      </c>
      <c r="T413" s="351">
        <f t="shared" si="50"/>
        <v>27780.518990878205</v>
      </c>
      <c r="U413" s="351">
        <f t="shared" si="48"/>
        <v>109974.13048290854</v>
      </c>
      <c r="V413" s="351">
        <f t="shared" si="46"/>
        <v>82651.837035709119</v>
      </c>
      <c r="W413" s="758"/>
      <c r="X413" s="763"/>
    </row>
    <row r="414" spans="1:24" ht="16" thickBot="1">
      <c r="A414" s="762"/>
      <c r="B414" s="758"/>
      <c r="C414" s="758"/>
      <c r="D414" s="758"/>
      <c r="E414" s="758"/>
      <c r="F414" s="758"/>
      <c r="G414" s="758"/>
      <c r="H414" s="758"/>
      <c r="I414" s="758"/>
      <c r="J414" s="758"/>
      <c r="K414" s="758"/>
      <c r="L414" s="758"/>
      <c r="M414" s="320"/>
      <c r="N414" s="322"/>
      <c r="O414" s="320"/>
      <c r="P414" s="348">
        <f t="shared" si="47"/>
        <v>358</v>
      </c>
      <c r="Q414" s="349">
        <f t="shared" si="49"/>
        <v>57465</v>
      </c>
      <c r="R414" s="351">
        <f t="shared" si="44"/>
        <v>27436.136336562751</v>
      </c>
      <c r="S414" s="351">
        <f t="shared" si="45"/>
        <v>344.38265431545466</v>
      </c>
      <c r="T414" s="351">
        <f t="shared" si="50"/>
        <v>27780.518990878205</v>
      </c>
      <c r="U414" s="351">
        <f t="shared" si="48"/>
        <v>82651.837035709119</v>
      </c>
      <c r="V414" s="351">
        <f t="shared" si="46"/>
        <v>55215.700699146371</v>
      </c>
      <c r="W414" s="758"/>
      <c r="X414" s="763"/>
    </row>
    <row r="415" spans="1:24" ht="16" thickBot="1">
      <c r="A415" s="762"/>
      <c r="B415" s="758"/>
      <c r="C415" s="758"/>
      <c r="D415" s="758"/>
      <c r="E415" s="758"/>
      <c r="F415" s="758"/>
      <c r="G415" s="758"/>
      <c r="H415" s="758"/>
      <c r="I415" s="758"/>
      <c r="J415" s="758"/>
      <c r="K415" s="758"/>
      <c r="L415" s="758"/>
      <c r="M415" s="320"/>
      <c r="N415" s="322"/>
      <c r="O415" s="320"/>
      <c r="P415" s="348">
        <f t="shared" si="47"/>
        <v>359</v>
      </c>
      <c r="Q415" s="349">
        <f t="shared" si="49"/>
        <v>57496</v>
      </c>
      <c r="R415" s="351">
        <f t="shared" si="44"/>
        <v>27550.453571298433</v>
      </c>
      <c r="S415" s="351">
        <f t="shared" si="45"/>
        <v>230.06541957977655</v>
      </c>
      <c r="T415" s="351">
        <f t="shared" si="50"/>
        <v>27780.518990878209</v>
      </c>
      <c r="U415" s="351">
        <f t="shared" si="48"/>
        <v>55215.700699146371</v>
      </c>
      <c r="V415" s="351">
        <f t="shared" si="46"/>
        <v>27665.247127847939</v>
      </c>
      <c r="W415" s="758"/>
      <c r="X415" s="763"/>
    </row>
    <row r="416" spans="1:24" ht="16" thickBot="1">
      <c r="A416" s="762"/>
      <c r="B416" s="758"/>
      <c r="C416" s="758"/>
      <c r="D416" s="758"/>
      <c r="E416" s="758"/>
      <c r="F416" s="758"/>
      <c r="G416" s="758"/>
      <c r="H416" s="758"/>
      <c r="I416" s="758"/>
      <c r="J416" s="758"/>
      <c r="K416" s="758"/>
      <c r="L416" s="758"/>
      <c r="M416" s="320"/>
      <c r="N416" s="322"/>
      <c r="O416" s="320"/>
      <c r="P416" s="348">
        <f t="shared" si="47"/>
        <v>360</v>
      </c>
      <c r="Q416" s="349">
        <f t="shared" si="49"/>
        <v>57526</v>
      </c>
      <c r="R416" s="351">
        <f t="shared" si="44"/>
        <v>27665.247127845509</v>
      </c>
      <c r="S416" s="351">
        <f t="shared" si="45"/>
        <v>115.27186303269974</v>
      </c>
      <c r="T416" s="351">
        <f t="shared" si="50"/>
        <v>27780.518990878209</v>
      </c>
      <c r="U416" s="351">
        <f t="shared" si="48"/>
        <v>27665.247127847939</v>
      </c>
      <c r="V416" s="351">
        <f t="shared" si="46"/>
        <v>2.4301698431372643E-9</v>
      </c>
      <c r="W416" s="758"/>
      <c r="X416" s="763"/>
    </row>
    <row r="417" spans="1:24" ht="17" thickBot="1">
      <c r="A417" s="762"/>
      <c r="B417" s="758"/>
      <c r="C417" s="758"/>
      <c r="D417" s="758"/>
      <c r="E417" s="758"/>
      <c r="F417" s="758"/>
      <c r="G417" s="758"/>
      <c r="H417" s="758"/>
      <c r="I417" s="758"/>
      <c r="J417" s="758"/>
      <c r="K417" s="758"/>
      <c r="L417" s="758"/>
      <c r="M417" s="320"/>
      <c r="N417" s="322"/>
      <c r="O417" s="320"/>
      <c r="P417" s="348">
        <f t="shared" si="47"/>
        <v>361</v>
      </c>
      <c r="Q417" s="349">
        <f>EOMONTH(Q416, 1)</f>
        <v>57557</v>
      </c>
      <c r="R417" s="351">
        <f t="shared" si="44"/>
        <v>0</v>
      </c>
      <c r="S417" s="351">
        <f t="shared" si="45"/>
        <v>0</v>
      </c>
      <c r="T417" s="351">
        <f>R417+S417</f>
        <v>0</v>
      </c>
      <c r="U417" s="351">
        <f t="shared" si="48"/>
        <v>0</v>
      </c>
      <c r="V417" s="351" t="str">
        <f t="shared" si="46"/>
        <v/>
      </c>
      <c r="W417" s="758"/>
      <c r="X417" s="763"/>
    </row>
    <row r="418" spans="1:24" ht="17" thickBot="1">
      <c r="A418" s="762"/>
      <c r="B418" s="758"/>
      <c r="C418" s="758"/>
      <c r="D418" s="758"/>
      <c r="E418" s="758"/>
      <c r="F418" s="758"/>
      <c r="G418" s="758"/>
      <c r="H418" s="758"/>
      <c r="I418" s="758"/>
      <c r="J418" s="758"/>
      <c r="K418" s="758"/>
      <c r="L418" s="758"/>
      <c r="M418" s="320"/>
      <c r="N418" s="322"/>
      <c r="O418" s="320"/>
      <c r="P418" s="348">
        <f t="shared" si="47"/>
        <v>362</v>
      </c>
      <c r="Q418" s="349">
        <f t="shared" ref="Q418:Q447" si="51">EOMONTH(Q417, 1)</f>
        <v>57588</v>
      </c>
      <c r="R418" s="351">
        <f t="shared" si="44"/>
        <v>0</v>
      </c>
      <c r="S418" s="351">
        <f t="shared" si="45"/>
        <v>0</v>
      </c>
      <c r="T418" s="351">
        <f t="shared" ref="T418:T447" si="52">R418+S418</f>
        <v>0</v>
      </c>
      <c r="U418" s="351">
        <f t="shared" si="48"/>
        <v>0</v>
      </c>
      <c r="V418" s="351" t="str">
        <f t="shared" si="46"/>
        <v/>
      </c>
      <c r="W418" s="758"/>
      <c r="X418" s="763"/>
    </row>
    <row r="419" spans="1:24" ht="17" thickBot="1">
      <c r="A419" s="762"/>
      <c r="B419" s="758"/>
      <c r="C419" s="758"/>
      <c r="D419" s="758"/>
      <c r="E419" s="758"/>
      <c r="F419" s="758"/>
      <c r="G419" s="758"/>
      <c r="H419" s="758"/>
      <c r="I419" s="758"/>
      <c r="J419" s="758"/>
      <c r="K419" s="758"/>
      <c r="L419" s="758"/>
      <c r="M419" s="320"/>
      <c r="N419" s="322"/>
      <c r="O419" s="320"/>
      <c r="P419" s="348">
        <f t="shared" si="47"/>
        <v>363</v>
      </c>
      <c r="Q419" s="349">
        <f t="shared" si="51"/>
        <v>57618</v>
      </c>
      <c r="R419" s="351">
        <f t="shared" si="44"/>
        <v>0</v>
      </c>
      <c r="S419" s="351">
        <f t="shared" si="45"/>
        <v>0</v>
      </c>
      <c r="T419" s="351">
        <f t="shared" si="52"/>
        <v>0</v>
      </c>
      <c r="U419" s="351">
        <f t="shared" si="48"/>
        <v>0</v>
      </c>
      <c r="V419" s="351" t="str">
        <f t="shared" si="46"/>
        <v/>
      </c>
      <c r="W419" s="758"/>
      <c r="X419" s="763"/>
    </row>
    <row r="420" spans="1:24" ht="17" thickBot="1">
      <c r="A420" s="762"/>
      <c r="B420" s="758"/>
      <c r="C420" s="758"/>
      <c r="D420" s="758"/>
      <c r="E420" s="758"/>
      <c r="F420" s="758"/>
      <c r="G420" s="758"/>
      <c r="H420" s="758"/>
      <c r="I420" s="758"/>
      <c r="J420" s="758"/>
      <c r="K420" s="758"/>
      <c r="L420" s="758"/>
      <c r="M420" s="320"/>
      <c r="N420" s="322"/>
      <c r="O420" s="320"/>
      <c r="P420" s="348">
        <f t="shared" si="47"/>
        <v>364</v>
      </c>
      <c r="Q420" s="349">
        <f t="shared" si="51"/>
        <v>57649</v>
      </c>
      <c r="R420" s="351">
        <f t="shared" si="44"/>
        <v>0</v>
      </c>
      <c r="S420" s="351">
        <f t="shared" si="45"/>
        <v>0</v>
      </c>
      <c r="T420" s="351">
        <f t="shared" si="52"/>
        <v>0</v>
      </c>
      <c r="U420" s="351">
        <f t="shared" si="48"/>
        <v>0</v>
      </c>
      <c r="V420" s="351" t="str">
        <f t="shared" si="46"/>
        <v/>
      </c>
      <c r="W420" s="758"/>
      <c r="X420" s="763"/>
    </row>
    <row r="421" spans="1:24" ht="17" thickBot="1">
      <c r="A421" s="762"/>
      <c r="B421" s="758"/>
      <c r="C421" s="758"/>
      <c r="D421" s="758"/>
      <c r="E421" s="758"/>
      <c r="F421" s="758"/>
      <c r="G421" s="758"/>
      <c r="H421" s="758"/>
      <c r="I421" s="758"/>
      <c r="J421" s="758"/>
      <c r="K421" s="758"/>
      <c r="L421" s="758"/>
      <c r="M421" s="320"/>
      <c r="N421" s="322"/>
      <c r="O421" s="320"/>
      <c r="P421" s="348">
        <f t="shared" si="47"/>
        <v>365</v>
      </c>
      <c r="Q421" s="349">
        <f t="shared" si="51"/>
        <v>57679</v>
      </c>
      <c r="R421" s="351">
        <f t="shared" si="44"/>
        <v>0</v>
      </c>
      <c r="S421" s="351">
        <f t="shared" si="45"/>
        <v>0</v>
      </c>
      <c r="T421" s="351">
        <f t="shared" si="52"/>
        <v>0</v>
      </c>
      <c r="U421" s="351">
        <f t="shared" si="48"/>
        <v>0</v>
      </c>
      <c r="V421" s="351" t="str">
        <f t="shared" si="46"/>
        <v/>
      </c>
      <c r="W421" s="758"/>
      <c r="X421" s="763"/>
    </row>
    <row r="422" spans="1:24" ht="17" thickBot="1">
      <c r="A422" s="762"/>
      <c r="B422" s="758"/>
      <c r="C422" s="758"/>
      <c r="D422" s="758"/>
      <c r="E422" s="758"/>
      <c r="F422" s="758"/>
      <c r="G422" s="758"/>
      <c r="H422" s="758"/>
      <c r="I422" s="758"/>
      <c r="J422" s="758"/>
      <c r="K422" s="758"/>
      <c r="L422" s="758"/>
      <c r="M422" s="320"/>
      <c r="N422" s="322"/>
      <c r="O422" s="320"/>
      <c r="P422" s="348">
        <f t="shared" si="47"/>
        <v>366</v>
      </c>
      <c r="Q422" s="349">
        <f t="shared" si="51"/>
        <v>57710</v>
      </c>
      <c r="R422" s="351">
        <f t="shared" si="44"/>
        <v>0</v>
      </c>
      <c r="S422" s="351">
        <f t="shared" si="45"/>
        <v>0</v>
      </c>
      <c r="T422" s="351">
        <f t="shared" si="52"/>
        <v>0</v>
      </c>
      <c r="U422" s="351">
        <f t="shared" si="48"/>
        <v>0</v>
      </c>
      <c r="V422" s="351" t="str">
        <f t="shared" si="46"/>
        <v/>
      </c>
      <c r="W422" s="758"/>
      <c r="X422" s="763"/>
    </row>
    <row r="423" spans="1:24" ht="17" thickBot="1">
      <c r="A423" s="762"/>
      <c r="B423" s="758"/>
      <c r="C423" s="758"/>
      <c r="D423" s="758"/>
      <c r="E423" s="758"/>
      <c r="F423" s="758"/>
      <c r="G423" s="758"/>
      <c r="H423" s="758"/>
      <c r="I423" s="758"/>
      <c r="J423" s="758"/>
      <c r="K423" s="758"/>
      <c r="L423" s="758"/>
      <c r="M423" s="320"/>
      <c r="N423" s="322"/>
      <c r="O423" s="320"/>
      <c r="P423" s="348">
        <f t="shared" si="47"/>
        <v>367</v>
      </c>
      <c r="Q423" s="349">
        <f t="shared" si="51"/>
        <v>57741</v>
      </c>
      <c r="R423" s="351">
        <f t="shared" si="44"/>
        <v>0</v>
      </c>
      <c r="S423" s="351">
        <f t="shared" si="45"/>
        <v>0</v>
      </c>
      <c r="T423" s="351">
        <f t="shared" si="52"/>
        <v>0</v>
      </c>
      <c r="U423" s="351">
        <f t="shared" si="48"/>
        <v>0</v>
      </c>
      <c r="V423" s="351" t="str">
        <f t="shared" si="46"/>
        <v/>
      </c>
      <c r="W423" s="758"/>
      <c r="X423" s="763"/>
    </row>
    <row r="424" spans="1:24" ht="17" thickBot="1">
      <c r="A424" s="762"/>
      <c r="B424" s="758"/>
      <c r="C424" s="758"/>
      <c r="D424" s="758"/>
      <c r="E424" s="758"/>
      <c r="F424" s="758"/>
      <c r="G424" s="758"/>
      <c r="H424" s="758"/>
      <c r="I424" s="758"/>
      <c r="J424" s="758"/>
      <c r="K424" s="758"/>
      <c r="L424" s="758"/>
      <c r="M424" s="320"/>
      <c r="N424" s="322"/>
      <c r="O424" s="320"/>
      <c r="P424" s="348">
        <f t="shared" si="47"/>
        <v>368</v>
      </c>
      <c r="Q424" s="349">
        <f t="shared" si="51"/>
        <v>57769</v>
      </c>
      <c r="R424" s="351">
        <f t="shared" si="44"/>
        <v>0</v>
      </c>
      <c r="S424" s="351">
        <f t="shared" si="45"/>
        <v>0</v>
      </c>
      <c r="T424" s="351">
        <f t="shared" si="52"/>
        <v>0</v>
      </c>
      <c r="U424" s="351">
        <f t="shared" si="48"/>
        <v>0</v>
      </c>
      <c r="V424" s="351" t="str">
        <f t="shared" si="46"/>
        <v/>
      </c>
      <c r="W424" s="758"/>
      <c r="X424" s="763"/>
    </row>
    <row r="425" spans="1:24" ht="17" thickBot="1">
      <c r="A425" s="762"/>
      <c r="B425" s="758"/>
      <c r="C425" s="758"/>
      <c r="D425" s="758"/>
      <c r="E425" s="758"/>
      <c r="F425" s="758"/>
      <c r="G425" s="758"/>
      <c r="H425" s="758"/>
      <c r="I425" s="758"/>
      <c r="J425" s="758"/>
      <c r="K425" s="758"/>
      <c r="L425" s="758"/>
      <c r="M425" s="320"/>
      <c r="N425" s="322"/>
      <c r="O425" s="320"/>
      <c r="P425" s="348">
        <f t="shared" si="47"/>
        <v>369</v>
      </c>
      <c r="Q425" s="349">
        <f t="shared" si="51"/>
        <v>57800</v>
      </c>
      <c r="R425" s="351">
        <f t="shared" si="44"/>
        <v>0</v>
      </c>
      <c r="S425" s="351">
        <f t="shared" si="45"/>
        <v>0</v>
      </c>
      <c r="T425" s="351">
        <f t="shared" si="52"/>
        <v>0</v>
      </c>
      <c r="U425" s="351">
        <f t="shared" si="48"/>
        <v>0</v>
      </c>
      <c r="V425" s="351" t="str">
        <f t="shared" si="46"/>
        <v/>
      </c>
      <c r="W425" s="758"/>
      <c r="X425" s="763"/>
    </row>
    <row r="426" spans="1:24" ht="17" thickBot="1">
      <c r="A426" s="762"/>
      <c r="B426" s="758"/>
      <c r="C426" s="758"/>
      <c r="D426" s="758"/>
      <c r="E426" s="758"/>
      <c r="F426" s="758"/>
      <c r="G426" s="758"/>
      <c r="H426" s="758"/>
      <c r="I426" s="758"/>
      <c r="J426" s="758"/>
      <c r="K426" s="758"/>
      <c r="L426" s="758"/>
      <c r="M426" s="320"/>
      <c r="N426" s="322"/>
      <c r="O426" s="320"/>
      <c r="P426" s="348">
        <f t="shared" si="47"/>
        <v>370</v>
      </c>
      <c r="Q426" s="349">
        <f t="shared" si="51"/>
        <v>57830</v>
      </c>
      <c r="R426" s="351">
        <f t="shared" si="44"/>
        <v>0</v>
      </c>
      <c r="S426" s="351">
        <f t="shared" si="45"/>
        <v>0</v>
      </c>
      <c r="T426" s="351">
        <f t="shared" si="52"/>
        <v>0</v>
      </c>
      <c r="U426" s="351">
        <f t="shared" si="48"/>
        <v>0</v>
      </c>
      <c r="V426" s="351" t="str">
        <f t="shared" si="46"/>
        <v/>
      </c>
      <c r="W426" s="758"/>
      <c r="X426" s="763"/>
    </row>
    <row r="427" spans="1:24" ht="17" thickBot="1">
      <c r="A427" s="762"/>
      <c r="B427" s="758"/>
      <c r="C427" s="758"/>
      <c r="D427" s="758"/>
      <c r="E427" s="758"/>
      <c r="F427" s="758"/>
      <c r="G427" s="758"/>
      <c r="H427" s="758"/>
      <c r="I427" s="758"/>
      <c r="J427" s="758"/>
      <c r="K427" s="758"/>
      <c r="L427" s="758"/>
      <c r="M427" s="320"/>
      <c r="N427" s="322"/>
      <c r="O427" s="320"/>
      <c r="P427" s="348">
        <f t="shared" si="47"/>
        <v>371</v>
      </c>
      <c r="Q427" s="349">
        <f t="shared" si="51"/>
        <v>57861</v>
      </c>
      <c r="R427" s="351">
        <f t="shared" si="44"/>
        <v>0</v>
      </c>
      <c r="S427" s="351">
        <f t="shared" si="45"/>
        <v>0</v>
      </c>
      <c r="T427" s="351">
        <f t="shared" si="52"/>
        <v>0</v>
      </c>
      <c r="U427" s="351">
        <f t="shared" si="48"/>
        <v>0</v>
      </c>
      <c r="V427" s="351" t="str">
        <f t="shared" si="46"/>
        <v/>
      </c>
      <c r="W427" s="758"/>
      <c r="X427" s="763"/>
    </row>
    <row r="428" spans="1:24" ht="17" thickBot="1">
      <c r="A428" s="762"/>
      <c r="B428" s="758"/>
      <c r="C428" s="758"/>
      <c r="D428" s="758"/>
      <c r="E428" s="758"/>
      <c r="F428" s="758"/>
      <c r="G428" s="758"/>
      <c r="H428" s="758"/>
      <c r="I428" s="758"/>
      <c r="J428" s="758"/>
      <c r="K428" s="758"/>
      <c r="L428" s="758"/>
      <c r="M428" s="320"/>
      <c r="N428" s="322"/>
      <c r="O428" s="320"/>
      <c r="P428" s="348">
        <f t="shared" si="47"/>
        <v>372</v>
      </c>
      <c r="Q428" s="349">
        <f t="shared" si="51"/>
        <v>57891</v>
      </c>
      <c r="R428" s="351">
        <f t="shared" si="44"/>
        <v>0</v>
      </c>
      <c r="S428" s="351">
        <f t="shared" si="45"/>
        <v>0</v>
      </c>
      <c r="T428" s="351">
        <f t="shared" si="52"/>
        <v>0</v>
      </c>
      <c r="U428" s="351">
        <f t="shared" si="48"/>
        <v>0</v>
      </c>
      <c r="V428" s="351" t="str">
        <f t="shared" si="46"/>
        <v/>
      </c>
      <c r="W428" s="758"/>
      <c r="X428" s="763"/>
    </row>
    <row r="429" spans="1:24" ht="17" thickBot="1">
      <c r="A429" s="762"/>
      <c r="B429" s="758"/>
      <c r="C429" s="758"/>
      <c r="D429" s="758"/>
      <c r="E429" s="758"/>
      <c r="F429" s="758"/>
      <c r="G429" s="758"/>
      <c r="H429" s="758"/>
      <c r="I429" s="758"/>
      <c r="J429" s="758"/>
      <c r="K429" s="758"/>
      <c r="L429" s="758"/>
      <c r="M429" s="320"/>
      <c r="N429" s="322"/>
      <c r="O429" s="320"/>
      <c r="P429" s="348">
        <f t="shared" si="47"/>
        <v>373</v>
      </c>
      <c r="Q429" s="349">
        <f t="shared" si="51"/>
        <v>57922</v>
      </c>
      <c r="R429" s="351">
        <f t="shared" si="44"/>
        <v>0</v>
      </c>
      <c r="S429" s="351">
        <f t="shared" si="45"/>
        <v>0</v>
      </c>
      <c r="T429" s="351">
        <f t="shared" si="52"/>
        <v>0</v>
      </c>
      <c r="U429" s="351">
        <f t="shared" si="48"/>
        <v>0</v>
      </c>
      <c r="V429" s="351" t="str">
        <f t="shared" si="46"/>
        <v/>
      </c>
      <c r="W429" s="758"/>
      <c r="X429" s="763"/>
    </row>
    <row r="430" spans="1:24" ht="17" thickBot="1">
      <c r="A430" s="762"/>
      <c r="B430" s="758"/>
      <c r="C430" s="758"/>
      <c r="D430" s="758"/>
      <c r="E430" s="758"/>
      <c r="F430" s="758"/>
      <c r="G430" s="758"/>
      <c r="H430" s="758"/>
      <c r="I430" s="758"/>
      <c r="J430" s="758"/>
      <c r="K430" s="758"/>
      <c r="L430" s="758"/>
      <c r="M430" s="320"/>
      <c r="N430" s="322"/>
      <c r="O430" s="320"/>
      <c r="P430" s="348">
        <f t="shared" si="47"/>
        <v>374</v>
      </c>
      <c r="Q430" s="349">
        <f t="shared" si="51"/>
        <v>57953</v>
      </c>
      <c r="R430" s="351">
        <f t="shared" si="44"/>
        <v>0</v>
      </c>
      <c r="S430" s="351">
        <f t="shared" si="45"/>
        <v>0</v>
      </c>
      <c r="T430" s="351">
        <f t="shared" si="52"/>
        <v>0</v>
      </c>
      <c r="U430" s="351">
        <f t="shared" si="48"/>
        <v>0</v>
      </c>
      <c r="V430" s="351" t="str">
        <f t="shared" si="46"/>
        <v/>
      </c>
      <c r="W430" s="758"/>
      <c r="X430" s="763"/>
    </row>
    <row r="431" spans="1:24" ht="17" thickBot="1">
      <c r="A431" s="762"/>
      <c r="B431" s="758"/>
      <c r="C431" s="758"/>
      <c r="D431" s="758"/>
      <c r="E431" s="758"/>
      <c r="F431" s="758"/>
      <c r="G431" s="758"/>
      <c r="H431" s="758"/>
      <c r="I431" s="758"/>
      <c r="J431" s="758"/>
      <c r="K431" s="758"/>
      <c r="L431" s="758"/>
      <c r="M431" s="320"/>
      <c r="N431" s="322"/>
      <c r="O431" s="320"/>
      <c r="P431" s="348">
        <f t="shared" si="47"/>
        <v>375</v>
      </c>
      <c r="Q431" s="349">
        <f t="shared" si="51"/>
        <v>57983</v>
      </c>
      <c r="R431" s="351">
        <f t="shared" si="44"/>
        <v>0</v>
      </c>
      <c r="S431" s="351">
        <f t="shared" si="45"/>
        <v>0</v>
      </c>
      <c r="T431" s="351">
        <f t="shared" si="52"/>
        <v>0</v>
      </c>
      <c r="U431" s="351">
        <f t="shared" si="48"/>
        <v>0</v>
      </c>
      <c r="V431" s="351" t="str">
        <f t="shared" si="46"/>
        <v/>
      </c>
      <c r="W431" s="758"/>
      <c r="X431" s="763"/>
    </row>
    <row r="432" spans="1:24" ht="17" thickBot="1">
      <c r="A432" s="762"/>
      <c r="B432" s="758"/>
      <c r="C432" s="758"/>
      <c r="D432" s="758"/>
      <c r="E432" s="758"/>
      <c r="F432" s="758"/>
      <c r="G432" s="758"/>
      <c r="H432" s="758"/>
      <c r="I432" s="758"/>
      <c r="J432" s="758"/>
      <c r="K432" s="758"/>
      <c r="L432" s="758"/>
      <c r="M432" s="320"/>
      <c r="N432" s="322"/>
      <c r="O432" s="320"/>
      <c r="P432" s="348">
        <f t="shared" si="47"/>
        <v>376</v>
      </c>
      <c r="Q432" s="349">
        <f t="shared" si="51"/>
        <v>58014</v>
      </c>
      <c r="R432" s="351">
        <f t="shared" si="44"/>
        <v>0</v>
      </c>
      <c r="S432" s="351">
        <f t="shared" si="45"/>
        <v>0</v>
      </c>
      <c r="T432" s="351">
        <f t="shared" si="52"/>
        <v>0</v>
      </c>
      <c r="U432" s="351">
        <f t="shared" si="48"/>
        <v>0</v>
      </c>
      <c r="V432" s="351" t="str">
        <f t="shared" si="46"/>
        <v/>
      </c>
      <c r="W432" s="758"/>
      <c r="X432" s="763"/>
    </row>
    <row r="433" spans="1:24" ht="17" thickBot="1">
      <c r="A433" s="762"/>
      <c r="B433" s="758"/>
      <c r="C433" s="758"/>
      <c r="D433" s="758"/>
      <c r="E433" s="758"/>
      <c r="F433" s="758"/>
      <c r="G433" s="758"/>
      <c r="H433" s="758"/>
      <c r="I433" s="758"/>
      <c r="J433" s="758"/>
      <c r="K433" s="758"/>
      <c r="L433" s="758"/>
      <c r="M433" s="320"/>
      <c r="N433" s="322"/>
      <c r="O433" s="320"/>
      <c r="P433" s="348">
        <f t="shared" si="47"/>
        <v>377</v>
      </c>
      <c r="Q433" s="349">
        <f t="shared" si="51"/>
        <v>58044</v>
      </c>
      <c r="R433" s="351">
        <f t="shared" si="44"/>
        <v>0</v>
      </c>
      <c r="S433" s="351">
        <f t="shared" si="45"/>
        <v>0</v>
      </c>
      <c r="T433" s="351">
        <f t="shared" si="52"/>
        <v>0</v>
      </c>
      <c r="U433" s="351">
        <f t="shared" si="48"/>
        <v>0</v>
      </c>
      <c r="V433" s="351" t="str">
        <f t="shared" si="46"/>
        <v/>
      </c>
      <c r="W433" s="758"/>
      <c r="X433" s="763"/>
    </row>
    <row r="434" spans="1:24" ht="17" thickBot="1">
      <c r="A434" s="762"/>
      <c r="B434" s="758"/>
      <c r="C434" s="758"/>
      <c r="D434" s="758"/>
      <c r="E434" s="758"/>
      <c r="F434" s="758"/>
      <c r="G434" s="758"/>
      <c r="H434" s="758"/>
      <c r="I434" s="758"/>
      <c r="J434" s="758"/>
      <c r="K434" s="758"/>
      <c r="L434" s="758"/>
      <c r="M434" s="320"/>
      <c r="N434" s="322"/>
      <c r="O434" s="320"/>
      <c r="P434" s="348">
        <f t="shared" si="47"/>
        <v>378</v>
      </c>
      <c r="Q434" s="349">
        <f t="shared" si="51"/>
        <v>58075</v>
      </c>
      <c r="R434" s="351">
        <f t="shared" si="44"/>
        <v>0</v>
      </c>
      <c r="S434" s="351">
        <f t="shared" si="45"/>
        <v>0</v>
      </c>
      <c r="T434" s="351">
        <f t="shared" si="52"/>
        <v>0</v>
      </c>
      <c r="U434" s="351">
        <f t="shared" si="48"/>
        <v>0</v>
      </c>
      <c r="V434" s="351" t="str">
        <f t="shared" si="46"/>
        <v/>
      </c>
      <c r="W434" s="758"/>
      <c r="X434" s="763"/>
    </row>
    <row r="435" spans="1:24" ht="17" thickBot="1">
      <c r="A435" s="762"/>
      <c r="B435" s="758"/>
      <c r="C435" s="758"/>
      <c r="D435" s="758"/>
      <c r="E435" s="758"/>
      <c r="F435" s="758"/>
      <c r="G435" s="758"/>
      <c r="H435" s="758"/>
      <c r="I435" s="758"/>
      <c r="J435" s="758"/>
      <c r="K435" s="758"/>
      <c r="L435" s="758"/>
      <c r="M435" s="320"/>
      <c r="N435" s="322"/>
      <c r="O435" s="320"/>
      <c r="P435" s="348">
        <f t="shared" si="47"/>
        <v>379</v>
      </c>
      <c r="Q435" s="349">
        <f t="shared" si="51"/>
        <v>58106</v>
      </c>
      <c r="R435" s="351">
        <f t="shared" si="44"/>
        <v>0</v>
      </c>
      <c r="S435" s="351">
        <f t="shared" si="45"/>
        <v>0</v>
      </c>
      <c r="T435" s="351">
        <f t="shared" si="52"/>
        <v>0</v>
      </c>
      <c r="U435" s="351">
        <f t="shared" si="48"/>
        <v>0</v>
      </c>
      <c r="V435" s="351" t="str">
        <f t="shared" si="46"/>
        <v/>
      </c>
      <c r="W435" s="758"/>
      <c r="X435" s="763"/>
    </row>
    <row r="436" spans="1:24" ht="17" thickBot="1">
      <c r="A436" s="762"/>
      <c r="B436" s="758"/>
      <c r="C436" s="758"/>
      <c r="D436" s="758"/>
      <c r="E436" s="758"/>
      <c r="F436" s="758"/>
      <c r="G436" s="758"/>
      <c r="H436" s="758"/>
      <c r="I436" s="758"/>
      <c r="J436" s="758"/>
      <c r="K436" s="758"/>
      <c r="L436" s="758"/>
      <c r="M436" s="320"/>
      <c r="N436" s="322"/>
      <c r="O436" s="320"/>
      <c r="P436" s="348">
        <f t="shared" si="47"/>
        <v>380</v>
      </c>
      <c r="Q436" s="349">
        <f t="shared" si="51"/>
        <v>58134</v>
      </c>
      <c r="R436" s="351">
        <f t="shared" si="44"/>
        <v>0</v>
      </c>
      <c r="S436" s="351">
        <f t="shared" si="45"/>
        <v>0</v>
      </c>
      <c r="T436" s="351">
        <f t="shared" si="52"/>
        <v>0</v>
      </c>
      <c r="U436" s="351">
        <f t="shared" si="48"/>
        <v>0</v>
      </c>
      <c r="V436" s="351" t="str">
        <f t="shared" si="46"/>
        <v/>
      </c>
      <c r="W436" s="758"/>
      <c r="X436" s="763"/>
    </row>
    <row r="437" spans="1:24" ht="17" thickBot="1">
      <c r="A437" s="762"/>
      <c r="B437" s="758"/>
      <c r="C437" s="758"/>
      <c r="D437" s="758"/>
      <c r="E437" s="758"/>
      <c r="F437" s="758"/>
      <c r="G437" s="758"/>
      <c r="H437" s="758"/>
      <c r="I437" s="758"/>
      <c r="J437" s="758"/>
      <c r="K437" s="758"/>
      <c r="L437" s="758"/>
      <c r="M437" s="320"/>
      <c r="N437" s="322"/>
      <c r="O437" s="320"/>
      <c r="P437" s="348">
        <f t="shared" si="47"/>
        <v>381</v>
      </c>
      <c r="Q437" s="349">
        <f t="shared" si="51"/>
        <v>58165</v>
      </c>
      <c r="R437" s="351">
        <f t="shared" si="44"/>
        <v>0</v>
      </c>
      <c r="S437" s="351">
        <f t="shared" si="45"/>
        <v>0</v>
      </c>
      <c r="T437" s="351">
        <f t="shared" si="52"/>
        <v>0</v>
      </c>
      <c r="U437" s="351">
        <f t="shared" si="48"/>
        <v>0</v>
      </c>
      <c r="V437" s="351" t="str">
        <f t="shared" si="46"/>
        <v/>
      </c>
      <c r="W437" s="758"/>
      <c r="X437" s="763"/>
    </row>
    <row r="438" spans="1:24" ht="17" thickBot="1">
      <c r="A438" s="762"/>
      <c r="B438" s="758"/>
      <c r="C438" s="758"/>
      <c r="D438" s="758"/>
      <c r="E438" s="758"/>
      <c r="F438" s="758"/>
      <c r="G438" s="758"/>
      <c r="H438" s="758"/>
      <c r="I438" s="758"/>
      <c r="J438" s="758"/>
      <c r="K438" s="758"/>
      <c r="L438" s="758"/>
      <c r="M438" s="320"/>
      <c r="N438" s="322"/>
      <c r="O438" s="320"/>
      <c r="P438" s="348">
        <f t="shared" si="47"/>
        <v>382</v>
      </c>
      <c r="Q438" s="349">
        <f t="shared" si="51"/>
        <v>58195</v>
      </c>
      <c r="R438" s="351">
        <f t="shared" si="44"/>
        <v>0</v>
      </c>
      <c r="S438" s="351">
        <f t="shared" si="45"/>
        <v>0</v>
      </c>
      <c r="T438" s="351">
        <f t="shared" si="52"/>
        <v>0</v>
      </c>
      <c r="U438" s="351">
        <f t="shared" si="48"/>
        <v>0</v>
      </c>
      <c r="V438" s="351" t="str">
        <f t="shared" si="46"/>
        <v/>
      </c>
      <c r="W438" s="758"/>
      <c r="X438" s="763"/>
    </row>
    <row r="439" spans="1:24" ht="17" thickBot="1">
      <c r="A439" s="762"/>
      <c r="B439" s="758"/>
      <c r="C439" s="758"/>
      <c r="D439" s="758"/>
      <c r="E439" s="758"/>
      <c r="F439" s="758"/>
      <c r="G439" s="758"/>
      <c r="H439" s="758"/>
      <c r="I439" s="758"/>
      <c r="J439" s="758"/>
      <c r="K439" s="758"/>
      <c r="L439" s="758"/>
      <c r="M439" s="320"/>
      <c r="N439" s="322"/>
      <c r="O439" s="320"/>
      <c r="P439" s="348">
        <f t="shared" si="47"/>
        <v>383</v>
      </c>
      <c r="Q439" s="349">
        <f t="shared" si="51"/>
        <v>58226</v>
      </c>
      <c r="R439" s="351">
        <f t="shared" si="44"/>
        <v>0</v>
      </c>
      <c r="S439" s="351">
        <f t="shared" si="45"/>
        <v>0</v>
      </c>
      <c r="T439" s="351">
        <f t="shared" si="52"/>
        <v>0</v>
      </c>
      <c r="U439" s="351">
        <f t="shared" si="48"/>
        <v>0</v>
      </c>
      <c r="V439" s="351" t="str">
        <f t="shared" si="46"/>
        <v/>
      </c>
      <c r="W439" s="758"/>
      <c r="X439" s="763"/>
    </row>
    <row r="440" spans="1:24" ht="17" thickBot="1">
      <c r="A440" s="762"/>
      <c r="B440" s="758"/>
      <c r="C440" s="758"/>
      <c r="D440" s="758"/>
      <c r="E440" s="758"/>
      <c r="F440" s="758"/>
      <c r="G440" s="758"/>
      <c r="H440" s="758"/>
      <c r="I440" s="758"/>
      <c r="J440" s="758"/>
      <c r="K440" s="758"/>
      <c r="L440" s="758"/>
      <c r="M440" s="320"/>
      <c r="N440" s="322"/>
      <c r="O440" s="320"/>
      <c r="P440" s="348">
        <f t="shared" si="47"/>
        <v>384</v>
      </c>
      <c r="Q440" s="349">
        <f t="shared" si="51"/>
        <v>58256</v>
      </c>
      <c r="R440" s="351">
        <f t="shared" si="44"/>
        <v>0</v>
      </c>
      <c r="S440" s="351">
        <f t="shared" si="45"/>
        <v>0</v>
      </c>
      <c r="T440" s="351">
        <f t="shared" si="52"/>
        <v>0</v>
      </c>
      <c r="U440" s="351">
        <f t="shared" si="48"/>
        <v>0</v>
      </c>
      <c r="V440" s="351" t="str">
        <f t="shared" si="46"/>
        <v/>
      </c>
      <c r="W440" s="758"/>
      <c r="X440" s="763"/>
    </row>
    <row r="441" spans="1:24" ht="17" thickBot="1">
      <c r="A441" s="762"/>
      <c r="B441" s="758"/>
      <c r="C441" s="758"/>
      <c r="D441" s="758"/>
      <c r="E441" s="758"/>
      <c r="F441" s="758"/>
      <c r="G441" s="758"/>
      <c r="H441" s="758"/>
      <c r="I441" s="758"/>
      <c r="J441" s="758"/>
      <c r="K441" s="758"/>
      <c r="L441" s="758"/>
      <c r="M441" s="320"/>
      <c r="N441" s="322"/>
      <c r="O441" s="320"/>
      <c r="P441" s="348">
        <f t="shared" si="47"/>
        <v>385</v>
      </c>
      <c r="Q441" s="349">
        <f t="shared" si="51"/>
        <v>58287</v>
      </c>
      <c r="R441" s="351">
        <f t="shared" ref="R441:R447" si="53">IF(OR(Q441&lt;Q$14, Q441&gt;T$12),0, -IF(P441=0, 0, PPMT(R$7, P441, R$8, R$6)))</f>
        <v>0</v>
      </c>
      <c r="S441" s="351">
        <f t="shared" ref="S441:S447" si="54">IF(OR(Q441&lt;Q$13, Q441&gt;T$12), 0, +U441*R$7)</f>
        <v>0</v>
      </c>
      <c r="T441" s="351">
        <f t="shared" si="52"/>
        <v>0</v>
      </c>
      <c r="U441" s="351">
        <f t="shared" si="48"/>
        <v>0</v>
      </c>
      <c r="V441" s="351" t="str">
        <f t="shared" ref="V441:V447" si="55">IF(Q441&gt;T$12, "", +U441-R441)</f>
        <v/>
      </c>
      <c r="W441" s="758"/>
      <c r="X441" s="763"/>
    </row>
    <row r="442" spans="1:24" ht="17" thickBot="1">
      <c r="A442" s="762"/>
      <c r="B442" s="758"/>
      <c r="C442" s="758"/>
      <c r="D442" s="758"/>
      <c r="E442" s="758"/>
      <c r="F442" s="758"/>
      <c r="G442" s="758"/>
      <c r="H442" s="758"/>
      <c r="I442" s="758"/>
      <c r="J442" s="758"/>
      <c r="K442" s="758"/>
      <c r="L442" s="758"/>
      <c r="M442" s="320"/>
      <c r="N442" s="322"/>
      <c r="O442" s="320"/>
      <c r="P442" s="348">
        <f t="shared" ref="P442:P447" si="56">IF(Q442&lt;Q$14, 0, P441+1)</f>
        <v>386</v>
      </c>
      <c r="Q442" s="349">
        <f t="shared" si="51"/>
        <v>58318</v>
      </c>
      <c r="R442" s="351">
        <f t="shared" si="53"/>
        <v>0</v>
      </c>
      <c r="S442" s="351">
        <f t="shared" si="54"/>
        <v>0</v>
      </c>
      <c r="T442" s="351">
        <f t="shared" si="52"/>
        <v>0</v>
      </c>
      <c r="U442" s="351">
        <f t="shared" ref="U442:U447" si="57">IF(Q442&gt;T$12, 0, +V441)</f>
        <v>0</v>
      </c>
      <c r="V442" s="351" t="str">
        <f t="shared" si="55"/>
        <v/>
      </c>
      <c r="W442" s="758"/>
      <c r="X442" s="763"/>
    </row>
    <row r="443" spans="1:24" ht="17" thickBot="1">
      <c r="A443" s="762"/>
      <c r="B443" s="758"/>
      <c r="C443" s="758"/>
      <c r="D443" s="758"/>
      <c r="E443" s="758"/>
      <c r="F443" s="758"/>
      <c r="G443" s="758"/>
      <c r="H443" s="758"/>
      <c r="I443" s="758"/>
      <c r="J443" s="758"/>
      <c r="K443" s="758"/>
      <c r="L443" s="758"/>
      <c r="M443" s="320"/>
      <c r="N443" s="322"/>
      <c r="O443" s="320"/>
      <c r="P443" s="348">
        <f t="shared" si="56"/>
        <v>387</v>
      </c>
      <c r="Q443" s="349">
        <f t="shared" si="51"/>
        <v>58348</v>
      </c>
      <c r="R443" s="351">
        <f t="shared" si="53"/>
        <v>0</v>
      </c>
      <c r="S443" s="351">
        <f t="shared" si="54"/>
        <v>0</v>
      </c>
      <c r="T443" s="351">
        <f t="shared" si="52"/>
        <v>0</v>
      </c>
      <c r="U443" s="351">
        <f t="shared" si="57"/>
        <v>0</v>
      </c>
      <c r="V443" s="351" t="str">
        <f t="shared" si="55"/>
        <v/>
      </c>
      <c r="W443" s="758"/>
      <c r="X443" s="763"/>
    </row>
    <row r="444" spans="1:24" ht="17" thickBot="1">
      <c r="A444" s="762"/>
      <c r="B444" s="758"/>
      <c r="C444" s="758"/>
      <c r="D444" s="758"/>
      <c r="E444" s="758"/>
      <c r="F444" s="758"/>
      <c r="G444" s="758"/>
      <c r="H444" s="758"/>
      <c r="I444" s="758"/>
      <c r="J444" s="758"/>
      <c r="K444" s="758"/>
      <c r="L444" s="758"/>
      <c r="M444" s="320"/>
      <c r="N444" s="322"/>
      <c r="O444" s="320"/>
      <c r="P444" s="348">
        <f t="shared" si="56"/>
        <v>388</v>
      </c>
      <c r="Q444" s="349">
        <f t="shared" si="51"/>
        <v>58379</v>
      </c>
      <c r="R444" s="351">
        <f t="shared" si="53"/>
        <v>0</v>
      </c>
      <c r="S444" s="351">
        <f t="shared" si="54"/>
        <v>0</v>
      </c>
      <c r="T444" s="351">
        <f t="shared" si="52"/>
        <v>0</v>
      </c>
      <c r="U444" s="351">
        <f t="shared" si="57"/>
        <v>0</v>
      </c>
      <c r="V444" s="351" t="str">
        <f t="shared" si="55"/>
        <v/>
      </c>
      <c r="W444" s="758"/>
      <c r="X444" s="763"/>
    </row>
    <row r="445" spans="1:24" ht="17" thickBot="1">
      <c r="A445" s="762"/>
      <c r="B445" s="758"/>
      <c r="C445" s="758"/>
      <c r="D445" s="758"/>
      <c r="E445" s="758"/>
      <c r="F445" s="758"/>
      <c r="G445" s="758"/>
      <c r="H445" s="758"/>
      <c r="I445" s="758"/>
      <c r="J445" s="758"/>
      <c r="K445" s="758"/>
      <c r="L445" s="758"/>
      <c r="M445" s="758"/>
      <c r="N445" s="322"/>
      <c r="O445" s="320"/>
      <c r="P445" s="348">
        <f t="shared" si="56"/>
        <v>389</v>
      </c>
      <c r="Q445" s="349">
        <f t="shared" si="51"/>
        <v>58409</v>
      </c>
      <c r="R445" s="351">
        <f t="shared" si="53"/>
        <v>0</v>
      </c>
      <c r="S445" s="351">
        <f t="shared" si="54"/>
        <v>0</v>
      </c>
      <c r="T445" s="351">
        <f t="shared" si="52"/>
        <v>0</v>
      </c>
      <c r="U445" s="351">
        <f t="shared" si="57"/>
        <v>0</v>
      </c>
      <c r="V445" s="351" t="str">
        <f t="shared" si="55"/>
        <v/>
      </c>
      <c r="W445" s="758"/>
      <c r="X445" s="763"/>
    </row>
    <row r="446" spans="1:24" ht="17" thickBot="1">
      <c r="A446" s="762"/>
      <c r="B446" s="758"/>
      <c r="C446" s="758"/>
      <c r="D446" s="758"/>
      <c r="E446" s="758"/>
      <c r="F446" s="758"/>
      <c r="G446" s="758"/>
      <c r="H446" s="758"/>
      <c r="I446" s="758"/>
      <c r="J446" s="758"/>
      <c r="K446" s="758"/>
      <c r="L446" s="758"/>
      <c r="M446" s="758"/>
      <c r="N446" s="322"/>
      <c r="O446" s="320"/>
      <c r="P446" s="348">
        <f t="shared" si="56"/>
        <v>390</v>
      </c>
      <c r="Q446" s="349">
        <f t="shared" si="51"/>
        <v>58440</v>
      </c>
      <c r="R446" s="351">
        <f t="shared" si="53"/>
        <v>0</v>
      </c>
      <c r="S446" s="351">
        <f t="shared" si="54"/>
        <v>0</v>
      </c>
      <c r="T446" s="351">
        <f t="shared" si="52"/>
        <v>0</v>
      </c>
      <c r="U446" s="351">
        <f t="shared" si="57"/>
        <v>0</v>
      </c>
      <c r="V446" s="351" t="str">
        <f t="shared" si="55"/>
        <v/>
      </c>
      <c r="W446" s="758"/>
      <c r="X446" s="763"/>
    </row>
    <row r="447" spans="1:24" ht="17" thickBot="1">
      <c r="A447" s="762"/>
      <c r="B447" s="758"/>
      <c r="C447" s="758"/>
      <c r="D447" s="758"/>
      <c r="E447" s="758"/>
      <c r="F447" s="758"/>
      <c r="G447" s="758"/>
      <c r="H447" s="758"/>
      <c r="I447" s="758"/>
      <c r="J447" s="758"/>
      <c r="K447" s="758"/>
      <c r="L447" s="758"/>
      <c r="M447" s="758"/>
      <c r="N447" s="352"/>
      <c r="O447" s="320"/>
      <c r="P447" s="348">
        <f t="shared" si="56"/>
        <v>391</v>
      </c>
      <c r="Q447" s="349">
        <f t="shared" si="51"/>
        <v>58471</v>
      </c>
      <c r="R447" s="351">
        <f t="shared" si="53"/>
        <v>0</v>
      </c>
      <c r="S447" s="351">
        <f t="shared" si="54"/>
        <v>0</v>
      </c>
      <c r="T447" s="351">
        <f t="shared" si="52"/>
        <v>0</v>
      </c>
      <c r="U447" s="351">
        <f t="shared" si="57"/>
        <v>0</v>
      </c>
      <c r="V447" s="351" t="str">
        <f t="shared" si="55"/>
        <v/>
      </c>
      <c r="W447" s="758"/>
      <c r="X447" s="773"/>
    </row>
    <row r="448" spans="1:24">
      <c r="A448" s="774"/>
      <c r="B448" s="775"/>
      <c r="C448" s="775"/>
      <c r="D448" s="775"/>
      <c r="E448" s="775"/>
      <c r="F448" s="775"/>
      <c r="G448" s="775"/>
      <c r="H448" s="775"/>
      <c r="I448" s="775"/>
      <c r="J448" s="775"/>
      <c r="K448" s="775"/>
      <c r="L448" s="775"/>
      <c r="M448" s="775"/>
      <c r="N448" s="775"/>
      <c r="O448" s="775"/>
      <c r="P448" s="775"/>
      <c r="Q448" s="775"/>
      <c r="R448" s="775"/>
      <c r="S448" s="775"/>
      <c r="T448" s="775"/>
      <c r="U448" s="775"/>
      <c r="V448" s="775"/>
      <c r="W448" s="775"/>
      <c r="X448" s="776"/>
    </row>
    <row r="449" spans="1:24">
      <c r="A449" s="526"/>
      <c r="B449" s="526"/>
      <c r="C449" s="526"/>
      <c r="D449" s="526"/>
      <c r="E449" s="526"/>
      <c r="F449" s="526"/>
      <c r="G449" s="526"/>
      <c r="H449" s="526"/>
      <c r="I449" s="526"/>
      <c r="J449" s="526"/>
      <c r="K449" s="526"/>
      <c r="L449" s="526"/>
      <c r="M449" s="526"/>
      <c r="N449" s="526"/>
      <c r="O449" s="526"/>
      <c r="P449" s="526"/>
      <c r="Q449" s="526"/>
      <c r="R449" s="526"/>
      <c r="S449" s="526"/>
      <c r="T449" s="526"/>
      <c r="U449" s="526"/>
      <c r="V449" s="526"/>
      <c r="W449" s="526"/>
      <c r="X449" s="526"/>
    </row>
    <row r="450" spans="1:24">
      <c r="A450" s="526"/>
      <c r="B450" s="526"/>
      <c r="C450" s="526"/>
      <c r="D450" s="526"/>
      <c r="E450" s="526"/>
      <c r="F450" s="526"/>
      <c r="G450" s="526"/>
      <c r="H450" s="526"/>
      <c r="I450" s="526"/>
      <c r="J450" s="526"/>
      <c r="K450" s="526"/>
      <c r="L450" s="526"/>
      <c r="M450" s="526"/>
      <c r="N450" s="526"/>
      <c r="O450" s="526"/>
      <c r="P450" s="526"/>
      <c r="Q450" s="526"/>
      <c r="R450" s="526"/>
      <c r="S450" s="526"/>
      <c r="T450" s="526"/>
      <c r="U450" s="526"/>
      <c r="V450" s="526"/>
      <c r="W450" s="526"/>
      <c r="X450" s="526"/>
    </row>
    <row r="451" spans="1:24">
      <c r="A451" s="526"/>
      <c r="B451" s="526"/>
      <c r="C451" s="526"/>
      <c r="D451" s="526"/>
      <c r="E451" s="526"/>
      <c r="F451" s="526"/>
      <c r="G451" s="526"/>
      <c r="H451" s="526"/>
      <c r="I451" s="526"/>
      <c r="J451" s="526"/>
      <c r="K451" s="526"/>
      <c r="L451" s="526"/>
      <c r="M451" s="526"/>
      <c r="N451" s="526"/>
      <c r="O451" s="526"/>
      <c r="P451" s="526"/>
      <c r="Q451" s="526"/>
      <c r="R451" s="526"/>
      <c r="S451" s="526"/>
      <c r="T451" s="526"/>
      <c r="U451" s="526"/>
      <c r="V451" s="526"/>
      <c r="W451" s="526"/>
      <c r="X451" s="526"/>
    </row>
    <row r="452" spans="1:24">
      <c r="A452" s="526"/>
      <c r="B452" s="526"/>
      <c r="C452" s="526"/>
      <c r="D452" s="526"/>
      <c r="E452" s="526"/>
      <c r="F452" s="526"/>
      <c r="G452" s="526"/>
      <c r="H452" s="526"/>
      <c r="I452" s="526"/>
      <c r="J452" s="526"/>
      <c r="K452" s="526"/>
      <c r="L452" s="526"/>
      <c r="M452" s="526"/>
      <c r="N452" s="526"/>
      <c r="O452" s="526"/>
      <c r="P452" s="526"/>
      <c r="Q452" s="526"/>
      <c r="R452" s="526"/>
      <c r="S452" s="526"/>
      <c r="T452" s="526"/>
      <c r="U452" s="526"/>
      <c r="V452" s="526"/>
      <c r="W452" s="526"/>
      <c r="X452" s="526"/>
    </row>
    <row r="453" spans="1:24">
      <c r="A453" s="526"/>
      <c r="B453" s="526"/>
      <c r="C453" s="526"/>
      <c r="D453" s="526"/>
      <c r="E453" s="526"/>
      <c r="F453" s="526"/>
      <c r="G453" s="526"/>
      <c r="H453" s="526"/>
      <c r="I453" s="526"/>
      <c r="J453" s="526"/>
      <c r="K453" s="526"/>
      <c r="L453" s="526"/>
      <c r="M453" s="526"/>
      <c r="N453" s="526"/>
      <c r="O453" s="526"/>
      <c r="P453" s="526"/>
      <c r="Q453" s="526"/>
      <c r="R453" s="526"/>
      <c r="S453" s="526"/>
      <c r="T453" s="526"/>
      <c r="U453" s="526"/>
      <c r="V453" s="526"/>
      <c r="W453" s="526"/>
      <c r="X453" s="526"/>
    </row>
    <row r="454" spans="1:24">
      <c r="A454" s="526"/>
      <c r="B454" s="526"/>
      <c r="C454" s="526"/>
      <c r="D454" s="526"/>
      <c r="E454" s="526"/>
      <c r="F454" s="526"/>
      <c r="G454" s="526"/>
      <c r="H454" s="526"/>
      <c r="I454" s="526"/>
      <c r="J454" s="526"/>
      <c r="K454" s="526"/>
      <c r="L454" s="526"/>
      <c r="M454" s="526"/>
      <c r="N454" s="526"/>
      <c r="O454" s="526"/>
      <c r="P454" s="526"/>
      <c r="Q454" s="526"/>
      <c r="R454" s="526"/>
      <c r="S454" s="526"/>
      <c r="T454" s="526"/>
      <c r="U454" s="526"/>
      <c r="V454" s="526"/>
      <c r="W454" s="526"/>
      <c r="X454" s="526"/>
    </row>
    <row r="455" spans="1:24">
      <c r="A455" s="526"/>
      <c r="B455" s="526"/>
      <c r="C455" s="526"/>
      <c r="D455" s="526"/>
      <c r="E455" s="526"/>
      <c r="F455" s="526"/>
      <c r="G455" s="526"/>
      <c r="H455" s="526"/>
      <c r="I455" s="526"/>
      <c r="J455" s="526"/>
      <c r="K455" s="526"/>
      <c r="L455" s="526"/>
      <c r="M455" s="526"/>
      <c r="N455" s="526"/>
      <c r="O455" s="526"/>
      <c r="P455" s="526"/>
      <c r="Q455" s="526"/>
      <c r="R455" s="526"/>
      <c r="S455" s="526"/>
      <c r="T455" s="526"/>
      <c r="U455" s="526"/>
      <c r="V455" s="526"/>
      <c r="W455" s="526"/>
      <c r="X455" s="526"/>
    </row>
    <row r="456" spans="1:24">
      <c r="A456" s="526"/>
      <c r="B456" s="526"/>
      <c r="C456" s="526"/>
      <c r="D456" s="526"/>
      <c r="E456" s="526"/>
      <c r="F456" s="526"/>
      <c r="G456" s="526"/>
      <c r="H456" s="526"/>
      <c r="I456" s="526"/>
      <c r="J456" s="526"/>
      <c r="K456" s="526"/>
      <c r="L456" s="526"/>
      <c r="M456" s="526"/>
      <c r="N456" s="526"/>
      <c r="O456" s="526"/>
      <c r="P456" s="526"/>
      <c r="Q456" s="526"/>
      <c r="R456" s="526"/>
      <c r="S456" s="526"/>
      <c r="T456" s="526"/>
      <c r="U456" s="526"/>
      <c r="V456" s="526"/>
      <c r="W456" s="526"/>
      <c r="X456" s="526"/>
    </row>
    <row r="457" spans="1:24">
      <c r="A457" s="526"/>
      <c r="B457" s="526"/>
      <c r="C457" s="526"/>
      <c r="D457" s="526"/>
      <c r="E457" s="526"/>
      <c r="F457" s="526"/>
      <c r="G457" s="526"/>
      <c r="H457" s="526"/>
      <c r="I457" s="526"/>
      <c r="J457" s="526"/>
      <c r="K457" s="526"/>
      <c r="L457" s="526"/>
      <c r="M457" s="526"/>
      <c r="N457" s="526"/>
      <c r="O457" s="526"/>
      <c r="P457" s="526"/>
      <c r="Q457" s="526"/>
      <c r="R457" s="526"/>
      <c r="S457" s="526"/>
      <c r="T457" s="526"/>
      <c r="U457" s="526"/>
      <c r="V457" s="526"/>
      <c r="W457" s="526"/>
      <c r="X457" s="526"/>
    </row>
    <row r="458" spans="1:24">
      <c r="A458" s="526"/>
      <c r="B458" s="526"/>
      <c r="C458" s="526"/>
      <c r="D458" s="526"/>
      <c r="E458" s="526"/>
      <c r="F458" s="526"/>
      <c r="G458" s="526"/>
      <c r="H458" s="526"/>
      <c r="I458" s="526"/>
      <c r="J458" s="526"/>
      <c r="K458" s="526"/>
      <c r="L458" s="526"/>
      <c r="M458" s="526"/>
      <c r="N458" s="526"/>
      <c r="O458" s="526"/>
      <c r="P458" s="526"/>
      <c r="Q458" s="526"/>
      <c r="R458" s="526"/>
      <c r="S458" s="526"/>
      <c r="T458" s="526"/>
      <c r="U458" s="526"/>
      <c r="V458" s="526"/>
      <c r="W458" s="526"/>
      <c r="X458" s="526"/>
    </row>
    <row r="459" spans="1:24">
      <c r="A459" s="526"/>
      <c r="B459" s="526"/>
      <c r="C459" s="526"/>
      <c r="D459" s="526"/>
      <c r="E459" s="526"/>
      <c r="F459" s="526"/>
      <c r="G459" s="526"/>
      <c r="H459" s="526"/>
      <c r="I459" s="526"/>
      <c r="J459" s="526"/>
      <c r="K459" s="526"/>
      <c r="L459" s="526"/>
      <c r="M459" s="526"/>
      <c r="N459" s="526"/>
      <c r="O459" s="526"/>
      <c r="P459" s="526"/>
      <c r="Q459" s="526"/>
      <c r="R459" s="526"/>
      <c r="S459" s="526"/>
      <c r="T459" s="526"/>
      <c r="U459" s="526"/>
      <c r="V459" s="526"/>
      <c r="W459" s="526"/>
      <c r="X459" s="526"/>
    </row>
    <row r="460" spans="1:24">
      <c r="A460" s="526"/>
      <c r="B460" s="526"/>
      <c r="C460" s="526"/>
      <c r="D460" s="526"/>
      <c r="E460" s="526"/>
      <c r="F460" s="526"/>
      <c r="G460" s="526"/>
      <c r="H460" s="526"/>
      <c r="I460" s="526"/>
      <c r="J460" s="526"/>
      <c r="K460" s="526"/>
      <c r="L460" s="526"/>
      <c r="M460" s="526"/>
      <c r="N460" s="526"/>
      <c r="O460" s="526"/>
      <c r="P460" s="526"/>
      <c r="Q460" s="526"/>
      <c r="R460" s="526"/>
      <c r="S460" s="526"/>
      <c r="T460" s="526"/>
      <c r="U460" s="526"/>
      <c r="V460" s="526"/>
      <c r="W460" s="526"/>
      <c r="X460" s="526"/>
    </row>
    <row r="461" spans="1:24">
      <c r="A461" s="526"/>
      <c r="B461" s="526"/>
      <c r="C461" s="526"/>
      <c r="D461" s="526"/>
      <c r="E461" s="526"/>
      <c r="F461" s="526"/>
      <c r="G461" s="526"/>
      <c r="H461" s="526"/>
      <c r="I461" s="526"/>
      <c r="J461" s="526"/>
      <c r="K461" s="526"/>
      <c r="L461" s="526"/>
      <c r="M461" s="526"/>
      <c r="N461" s="526"/>
      <c r="O461" s="526"/>
      <c r="P461" s="526"/>
      <c r="Q461" s="526"/>
      <c r="R461" s="526"/>
      <c r="S461" s="526"/>
      <c r="T461" s="526"/>
      <c r="U461" s="526"/>
      <c r="V461" s="526"/>
      <c r="W461" s="526"/>
      <c r="X461" s="526"/>
    </row>
    <row r="462" spans="1:24">
      <c r="A462" s="526"/>
      <c r="B462" s="526"/>
      <c r="C462" s="526"/>
      <c r="D462" s="526"/>
      <c r="E462" s="526"/>
      <c r="F462" s="526"/>
      <c r="G462" s="526"/>
      <c r="H462" s="526"/>
      <c r="I462" s="526"/>
      <c r="J462" s="526"/>
      <c r="K462" s="526"/>
      <c r="L462" s="526"/>
      <c r="M462" s="526"/>
      <c r="N462" s="526"/>
      <c r="O462" s="526"/>
      <c r="P462" s="526"/>
      <c r="Q462" s="526"/>
      <c r="R462" s="526"/>
      <c r="S462" s="526"/>
      <c r="T462" s="526"/>
      <c r="U462" s="526"/>
      <c r="V462" s="526"/>
      <c r="W462" s="526"/>
      <c r="X462" s="526"/>
    </row>
    <row r="463" spans="1:24">
      <c r="A463" s="526"/>
      <c r="B463" s="526"/>
      <c r="C463" s="526"/>
      <c r="D463" s="526"/>
      <c r="E463" s="526"/>
      <c r="F463" s="526"/>
      <c r="G463" s="526"/>
      <c r="H463" s="526"/>
      <c r="I463" s="526"/>
      <c r="J463" s="526"/>
      <c r="K463" s="526"/>
      <c r="L463" s="526"/>
      <c r="M463" s="526"/>
      <c r="N463" s="526"/>
      <c r="O463" s="526"/>
      <c r="P463" s="526"/>
      <c r="Q463" s="526"/>
      <c r="R463" s="526"/>
      <c r="S463" s="526"/>
      <c r="T463" s="526"/>
      <c r="U463" s="526"/>
      <c r="V463" s="526"/>
      <c r="W463" s="526"/>
      <c r="X463" s="526"/>
    </row>
    <row r="464" spans="1:24">
      <c r="A464" s="526"/>
      <c r="B464" s="526"/>
      <c r="C464" s="526"/>
      <c r="D464" s="526"/>
      <c r="E464" s="526"/>
      <c r="F464" s="526"/>
      <c r="G464" s="526"/>
      <c r="H464" s="526"/>
      <c r="I464" s="526"/>
      <c r="J464" s="526"/>
      <c r="K464" s="526"/>
      <c r="L464" s="526"/>
      <c r="M464" s="526"/>
      <c r="N464" s="526"/>
      <c r="O464" s="526"/>
      <c r="P464" s="526"/>
      <c r="Q464" s="526"/>
      <c r="R464" s="526"/>
      <c r="S464" s="526"/>
      <c r="T464" s="526"/>
      <c r="U464" s="526"/>
      <c r="V464" s="526"/>
      <c r="W464" s="526"/>
      <c r="X464" s="526"/>
    </row>
    <row r="465" spans="1:24">
      <c r="A465" s="526"/>
      <c r="B465" s="526"/>
      <c r="C465" s="526"/>
      <c r="D465" s="526"/>
      <c r="E465" s="526"/>
      <c r="F465" s="526"/>
      <c r="G465" s="526"/>
      <c r="H465" s="526"/>
      <c r="I465" s="526"/>
      <c r="J465" s="526"/>
      <c r="K465" s="526"/>
      <c r="L465" s="526"/>
      <c r="M465" s="526"/>
      <c r="N465" s="526"/>
      <c r="O465" s="526"/>
      <c r="P465" s="526"/>
      <c r="Q465" s="526"/>
      <c r="R465" s="526"/>
      <c r="S465" s="526"/>
      <c r="T465" s="526"/>
      <c r="U465" s="526"/>
      <c r="V465" s="526"/>
      <c r="W465" s="526"/>
      <c r="X465" s="526"/>
    </row>
    <row r="466" spans="1:24">
      <c r="A466" s="526"/>
      <c r="B466" s="526"/>
      <c r="C466" s="526"/>
      <c r="D466" s="526"/>
      <c r="E466" s="526"/>
      <c r="F466" s="526"/>
      <c r="G466" s="526"/>
      <c r="H466" s="526"/>
      <c r="I466" s="526"/>
      <c r="J466" s="526"/>
      <c r="K466" s="526"/>
      <c r="L466" s="526"/>
      <c r="M466" s="526"/>
      <c r="N466" s="526"/>
      <c r="O466" s="526"/>
      <c r="P466" s="526"/>
      <c r="Q466" s="526"/>
      <c r="R466" s="526"/>
      <c r="S466" s="526"/>
      <c r="T466" s="526"/>
      <c r="U466" s="526"/>
      <c r="V466" s="526"/>
      <c r="W466" s="526"/>
      <c r="X466" s="526"/>
    </row>
    <row r="467" spans="1:24">
      <c r="A467" s="526"/>
      <c r="B467" s="526"/>
      <c r="C467" s="526"/>
      <c r="D467" s="526"/>
      <c r="E467" s="526"/>
      <c r="F467" s="526"/>
      <c r="G467" s="526"/>
      <c r="H467" s="526"/>
      <c r="I467" s="526"/>
      <c r="J467" s="526"/>
      <c r="K467" s="526"/>
      <c r="L467" s="526"/>
      <c r="M467" s="526"/>
      <c r="N467" s="526"/>
      <c r="O467" s="526"/>
      <c r="P467" s="526"/>
      <c r="Q467" s="526"/>
      <c r="R467" s="526"/>
      <c r="S467" s="526"/>
      <c r="T467" s="526"/>
      <c r="U467" s="526"/>
      <c r="V467" s="526"/>
      <c r="W467" s="526"/>
      <c r="X467" s="526"/>
    </row>
    <row r="468" spans="1:24">
      <c r="A468" s="526"/>
      <c r="B468" s="526"/>
      <c r="C468" s="526"/>
      <c r="D468" s="526"/>
      <c r="E468" s="526"/>
      <c r="F468" s="526"/>
      <c r="G468" s="526"/>
      <c r="H468" s="526"/>
      <c r="I468" s="526"/>
      <c r="J468" s="526"/>
      <c r="K468" s="526"/>
      <c r="L468" s="526"/>
      <c r="M468" s="526"/>
      <c r="N468" s="526"/>
      <c r="O468" s="526"/>
      <c r="P468" s="526"/>
      <c r="Q468" s="526"/>
      <c r="R468" s="526"/>
      <c r="S468" s="526"/>
      <c r="T468" s="526"/>
      <c r="U468" s="526"/>
      <c r="V468" s="526"/>
      <c r="W468" s="526"/>
      <c r="X468" s="526"/>
    </row>
    <row r="469" spans="1:24">
      <c r="A469" s="526"/>
      <c r="B469" s="526"/>
      <c r="C469" s="526"/>
      <c r="D469" s="526"/>
      <c r="E469" s="526"/>
      <c r="F469" s="526"/>
      <c r="G469" s="526"/>
      <c r="H469" s="526"/>
      <c r="I469" s="526"/>
      <c r="J469" s="526"/>
      <c r="K469" s="526"/>
      <c r="L469" s="526"/>
      <c r="M469" s="526"/>
      <c r="N469" s="526"/>
      <c r="O469" s="526"/>
      <c r="P469" s="526"/>
      <c r="Q469" s="526"/>
      <c r="R469" s="526"/>
      <c r="S469" s="526"/>
      <c r="T469" s="526"/>
      <c r="U469" s="526"/>
      <c r="V469" s="526"/>
      <c r="W469" s="526"/>
      <c r="X469" s="526"/>
    </row>
    <row r="470" spans="1:24">
      <c r="A470" s="526"/>
      <c r="B470" s="526"/>
      <c r="C470" s="526"/>
      <c r="D470" s="526"/>
      <c r="E470" s="526"/>
      <c r="F470" s="526"/>
      <c r="G470" s="526"/>
      <c r="H470" s="526"/>
      <c r="I470" s="526"/>
      <c r="J470" s="526"/>
      <c r="K470" s="526"/>
      <c r="L470" s="526"/>
      <c r="M470" s="526"/>
      <c r="N470" s="526"/>
      <c r="O470" s="526"/>
      <c r="P470" s="526"/>
      <c r="Q470" s="526"/>
      <c r="R470" s="526"/>
      <c r="S470" s="526"/>
      <c r="T470" s="526"/>
      <c r="U470" s="526"/>
      <c r="V470" s="526"/>
      <c r="W470" s="526"/>
      <c r="X470" s="526"/>
    </row>
    <row r="471" spans="1:24">
      <c r="A471" s="526"/>
      <c r="B471" s="526"/>
      <c r="C471" s="526"/>
      <c r="D471" s="526"/>
      <c r="E471" s="526"/>
      <c r="F471" s="526"/>
      <c r="G471" s="526"/>
      <c r="H471" s="526"/>
      <c r="I471" s="526"/>
      <c r="J471" s="526"/>
      <c r="K471" s="526"/>
      <c r="L471" s="526"/>
      <c r="M471" s="526"/>
      <c r="N471" s="526"/>
      <c r="O471" s="526"/>
      <c r="P471" s="526"/>
      <c r="Q471" s="526"/>
      <c r="R471" s="526"/>
      <c r="S471" s="526"/>
      <c r="T471" s="526"/>
      <c r="U471" s="526"/>
      <c r="V471" s="526"/>
      <c r="W471" s="526"/>
      <c r="X471" s="526"/>
    </row>
    <row r="472" spans="1:24">
      <c r="A472" s="526"/>
      <c r="B472" s="526"/>
      <c r="C472" s="526"/>
      <c r="D472" s="526"/>
      <c r="E472" s="526"/>
      <c r="F472" s="526"/>
      <c r="G472" s="526"/>
      <c r="H472" s="526"/>
      <c r="I472" s="526"/>
      <c r="J472" s="526"/>
      <c r="K472" s="526"/>
      <c r="L472" s="526"/>
      <c r="M472" s="526"/>
      <c r="N472" s="526"/>
      <c r="O472" s="526"/>
      <c r="P472" s="526"/>
      <c r="Q472" s="526"/>
      <c r="R472" s="526"/>
      <c r="S472" s="526"/>
      <c r="T472" s="526"/>
      <c r="U472" s="526"/>
      <c r="V472" s="526"/>
      <c r="W472" s="526"/>
      <c r="X472" s="526"/>
    </row>
    <row r="473" spans="1:24">
      <c r="A473" s="526"/>
      <c r="B473" s="526"/>
      <c r="C473" s="526"/>
      <c r="D473" s="526"/>
      <c r="E473" s="526"/>
      <c r="F473" s="526"/>
      <c r="G473" s="526"/>
      <c r="H473" s="526"/>
      <c r="I473" s="526"/>
      <c r="J473" s="526"/>
      <c r="K473" s="526"/>
      <c r="L473" s="526"/>
      <c r="M473" s="526"/>
      <c r="N473" s="526"/>
      <c r="O473" s="526"/>
      <c r="P473" s="526"/>
      <c r="Q473" s="526"/>
      <c r="R473" s="526"/>
      <c r="S473" s="526"/>
      <c r="T473" s="526"/>
      <c r="U473" s="526"/>
      <c r="V473" s="526"/>
      <c r="W473" s="526"/>
      <c r="X473" s="526"/>
    </row>
    <row r="474" spans="1:24">
      <c r="A474" s="526"/>
      <c r="B474" s="526"/>
      <c r="C474" s="526"/>
      <c r="D474" s="526"/>
      <c r="E474" s="526"/>
      <c r="F474" s="526"/>
      <c r="G474" s="526"/>
      <c r="H474" s="526"/>
      <c r="I474" s="526"/>
      <c r="J474" s="526"/>
      <c r="K474" s="526"/>
      <c r="L474" s="526"/>
      <c r="M474" s="526"/>
      <c r="N474" s="526"/>
      <c r="O474" s="526"/>
      <c r="P474" s="526"/>
      <c r="Q474" s="526"/>
      <c r="R474" s="526"/>
      <c r="S474" s="526"/>
      <c r="T474" s="526"/>
      <c r="U474" s="526"/>
      <c r="V474" s="526"/>
      <c r="W474" s="526"/>
      <c r="X474" s="526"/>
    </row>
    <row r="475" spans="1:24">
      <c r="A475" s="526"/>
      <c r="B475" s="526"/>
      <c r="C475" s="526"/>
      <c r="D475" s="526"/>
      <c r="E475" s="526"/>
      <c r="F475" s="526"/>
      <c r="G475" s="526"/>
      <c r="H475" s="526"/>
      <c r="I475" s="526"/>
      <c r="J475" s="526"/>
      <c r="K475" s="526"/>
      <c r="L475" s="526"/>
      <c r="M475" s="526"/>
      <c r="N475" s="526"/>
      <c r="O475" s="526"/>
      <c r="P475" s="526"/>
      <c r="Q475" s="526"/>
      <c r="R475" s="526"/>
      <c r="S475" s="526"/>
      <c r="T475" s="526"/>
      <c r="U475" s="526"/>
      <c r="V475" s="526"/>
      <c r="W475" s="526"/>
      <c r="X475" s="526"/>
    </row>
    <row r="476" spans="1:24">
      <c r="A476" s="526"/>
      <c r="B476" s="526"/>
      <c r="C476" s="526"/>
      <c r="D476" s="526"/>
      <c r="E476" s="526"/>
      <c r="F476" s="526"/>
      <c r="G476" s="526"/>
      <c r="H476" s="526"/>
      <c r="I476" s="526"/>
      <c r="J476" s="526"/>
      <c r="K476" s="526"/>
      <c r="L476" s="526"/>
      <c r="M476" s="526"/>
      <c r="N476" s="526"/>
      <c r="O476" s="526"/>
      <c r="P476" s="526"/>
      <c r="Q476" s="526"/>
      <c r="R476" s="526"/>
      <c r="S476" s="526"/>
      <c r="T476" s="526"/>
      <c r="U476" s="526"/>
      <c r="V476" s="526"/>
      <c r="W476" s="526"/>
      <c r="X476" s="526"/>
    </row>
    <row r="477" spans="1:24">
      <c r="A477" s="526"/>
      <c r="B477" s="526"/>
      <c r="C477" s="526"/>
      <c r="D477" s="526"/>
      <c r="E477" s="526"/>
      <c r="F477" s="526"/>
      <c r="G477" s="526"/>
      <c r="H477" s="526"/>
      <c r="I477" s="526"/>
      <c r="J477" s="526"/>
      <c r="K477" s="526"/>
      <c r="L477" s="526"/>
      <c r="M477" s="526"/>
      <c r="N477" s="526"/>
      <c r="O477" s="526"/>
      <c r="P477" s="526"/>
      <c r="Q477" s="526"/>
      <c r="R477" s="526"/>
      <c r="S477" s="526"/>
      <c r="T477" s="526"/>
      <c r="U477" s="526"/>
      <c r="V477" s="526"/>
      <c r="W477" s="526"/>
      <c r="X477" s="526"/>
    </row>
    <row r="478" spans="1:24">
      <c r="A478" s="526"/>
      <c r="B478" s="526"/>
      <c r="C478" s="526"/>
      <c r="D478" s="526"/>
      <c r="E478" s="526"/>
      <c r="F478" s="526"/>
      <c r="G478" s="526"/>
      <c r="H478" s="526"/>
      <c r="I478" s="526"/>
      <c r="J478" s="526"/>
      <c r="K478" s="526"/>
      <c r="L478" s="526"/>
      <c r="M478" s="526"/>
      <c r="N478" s="526"/>
      <c r="O478" s="526"/>
      <c r="P478" s="526"/>
      <c r="Q478" s="526"/>
      <c r="R478" s="526"/>
      <c r="S478" s="526"/>
      <c r="T478" s="526"/>
      <c r="U478" s="526"/>
      <c r="V478" s="526"/>
      <c r="W478" s="526"/>
      <c r="X478" s="526"/>
    </row>
    <row r="479" spans="1:24">
      <c r="A479" s="526"/>
      <c r="B479" s="526"/>
      <c r="C479" s="526"/>
      <c r="D479" s="526"/>
      <c r="E479" s="526"/>
      <c r="F479" s="526"/>
      <c r="G479" s="526"/>
      <c r="H479" s="526"/>
      <c r="I479" s="526"/>
      <c r="J479" s="526"/>
      <c r="K479" s="526"/>
      <c r="L479" s="526"/>
      <c r="M479" s="526"/>
      <c r="N479" s="526"/>
      <c r="O479" s="526"/>
      <c r="P479" s="526"/>
      <c r="Q479" s="526"/>
      <c r="R479" s="526"/>
      <c r="S479" s="526"/>
      <c r="T479" s="526"/>
      <c r="U479" s="526"/>
      <c r="V479" s="526"/>
      <c r="W479" s="526"/>
      <c r="X479" s="526"/>
    </row>
    <row r="480" spans="1:24">
      <c r="A480" s="526"/>
      <c r="B480" s="526"/>
      <c r="C480" s="526"/>
      <c r="D480" s="526"/>
      <c r="E480" s="526"/>
      <c r="F480" s="526"/>
      <c r="G480" s="526"/>
      <c r="H480" s="526"/>
      <c r="I480" s="526"/>
      <c r="J480" s="526"/>
      <c r="K480" s="526"/>
      <c r="L480" s="526"/>
      <c r="M480" s="526"/>
      <c r="N480" s="526"/>
      <c r="O480" s="526"/>
      <c r="P480" s="526"/>
      <c r="Q480" s="526"/>
      <c r="R480" s="526"/>
      <c r="S480" s="526"/>
      <c r="T480" s="526"/>
      <c r="U480" s="526"/>
      <c r="V480" s="526"/>
      <c r="W480" s="526"/>
      <c r="X480" s="526"/>
    </row>
    <row r="481" spans="1:24">
      <c r="A481" s="526"/>
      <c r="B481" s="526"/>
      <c r="C481" s="526"/>
      <c r="D481" s="526"/>
      <c r="E481" s="526"/>
      <c r="F481" s="526"/>
      <c r="G481" s="526"/>
      <c r="H481" s="526"/>
      <c r="I481" s="526"/>
      <c r="J481" s="526"/>
      <c r="K481" s="526"/>
      <c r="L481" s="526"/>
      <c r="M481" s="526"/>
      <c r="N481" s="526"/>
      <c r="O481" s="526"/>
      <c r="P481" s="526"/>
      <c r="Q481" s="526"/>
      <c r="R481" s="526"/>
      <c r="S481" s="526"/>
      <c r="T481" s="526"/>
      <c r="U481" s="526"/>
      <c r="V481" s="526"/>
      <c r="W481" s="526"/>
      <c r="X481" s="526"/>
    </row>
    <row r="482" spans="1:24">
      <c r="A482" s="526"/>
      <c r="B482" s="526"/>
      <c r="C482" s="526"/>
      <c r="D482" s="526"/>
      <c r="E482" s="526"/>
      <c r="F482" s="526"/>
      <c r="G482" s="526"/>
      <c r="H482" s="526"/>
      <c r="I482" s="526"/>
      <c r="J482" s="526"/>
      <c r="K482" s="526"/>
      <c r="L482" s="526"/>
      <c r="M482" s="526"/>
      <c r="N482" s="526"/>
      <c r="O482" s="526"/>
      <c r="P482" s="526"/>
      <c r="Q482" s="526"/>
      <c r="R482" s="526"/>
      <c r="S482" s="526"/>
      <c r="T482" s="526"/>
      <c r="U482" s="526"/>
      <c r="V482" s="526"/>
      <c r="W482" s="526"/>
      <c r="X482" s="526"/>
    </row>
    <row r="483" spans="1:24">
      <c r="A483" s="526"/>
      <c r="B483" s="526"/>
      <c r="C483" s="526"/>
      <c r="D483" s="526"/>
      <c r="E483" s="526"/>
      <c r="F483" s="526"/>
      <c r="G483" s="526"/>
      <c r="H483" s="526"/>
      <c r="I483" s="526"/>
      <c r="J483" s="526"/>
      <c r="K483" s="526"/>
      <c r="L483" s="526"/>
      <c r="M483" s="526"/>
      <c r="N483" s="526"/>
      <c r="O483" s="526"/>
      <c r="P483" s="526"/>
      <c r="Q483" s="526"/>
      <c r="R483" s="526"/>
      <c r="S483" s="526"/>
      <c r="T483" s="526"/>
      <c r="U483" s="526"/>
      <c r="V483" s="526"/>
      <c r="W483" s="526"/>
      <c r="X483" s="526"/>
    </row>
    <row r="484" spans="1:24">
      <c r="A484" s="526"/>
      <c r="B484" s="526"/>
      <c r="C484" s="526"/>
      <c r="D484" s="526"/>
      <c r="E484" s="526"/>
      <c r="F484" s="526"/>
      <c r="G484" s="526"/>
      <c r="H484" s="526"/>
      <c r="I484" s="526"/>
      <c r="J484" s="526"/>
      <c r="K484" s="526"/>
      <c r="L484" s="526"/>
      <c r="M484" s="526"/>
      <c r="N484" s="526"/>
      <c r="O484" s="526"/>
      <c r="P484" s="526"/>
      <c r="Q484" s="526"/>
      <c r="R484" s="526"/>
      <c r="S484" s="526"/>
      <c r="T484" s="526"/>
      <c r="U484" s="526"/>
      <c r="V484" s="526"/>
      <c r="W484" s="526"/>
      <c r="X484" s="526"/>
    </row>
    <row r="485" spans="1:24">
      <c r="A485" s="526"/>
      <c r="B485" s="526"/>
      <c r="C485" s="526"/>
      <c r="D485" s="526"/>
      <c r="E485" s="526"/>
      <c r="F485" s="526"/>
      <c r="G485" s="526"/>
      <c r="H485" s="526"/>
      <c r="I485" s="526"/>
      <c r="J485" s="526"/>
      <c r="K485" s="526"/>
      <c r="L485" s="526"/>
      <c r="M485" s="526"/>
      <c r="N485" s="526"/>
      <c r="O485" s="526"/>
      <c r="P485" s="526"/>
      <c r="Q485" s="526"/>
      <c r="R485" s="526"/>
      <c r="S485" s="526"/>
      <c r="T485" s="526"/>
      <c r="U485" s="526"/>
      <c r="V485" s="526"/>
      <c r="W485" s="526"/>
      <c r="X485" s="526"/>
    </row>
    <row r="486" spans="1:24">
      <c r="A486" s="526"/>
      <c r="B486" s="526"/>
      <c r="C486" s="526"/>
      <c r="D486" s="526"/>
      <c r="E486" s="526"/>
      <c r="F486" s="526"/>
      <c r="G486" s="526"/>
      <c r="H486" s="526"/>
      <c r="I486" s="526"/>
      <c r="J486" s="526"/>
      <c r="K486" s="526"/>
      <c r="L486" s="526"/>
      <c r="M486" s="526"/>
      <c r="N486" s="526"/>
      <c r="O486" s="526"/>
      <c r="P486" s="526"/>
      <c r="Q486" s="526"/>
      <c r="R486" s="526"/>
      <c r="S486" s="526"/>
      <c r="T486" s="526"/>
      <c r="U486" s="526"/>
      <c r="V486" s="526"/>
      <c r="W486" s="526"/>
      <c r="X486" s="526"/>
    </row>
    <row r="487" spans="1:24">
      <c r="A487" s="526"/>
      <c r="B487" s="526"/>
      <c r="C487" s="526"/>
      <c r="D487" s="526"/>
      <c r="E487" s="526"/>
      <c r="F487" s="526"/>
      <c r="G487" s="526"/>
      <c r="H487" s="526"/>
      <c r="I487" s="526"/>
      <c r="J487" s="526"/>
      <c r="K487" s="526"/>
      <c r="L487" s="526"/>
      <c r="M487" s="526"/>
      <c r="N487" s="526"/>
      <c r="O487" s="526"/>
      <c r="P487" s="526"/>
      <c r="Q487" s="526"/>
      <c r="R487" s="526"/>
      <c r="S487" s="526"/>
      <c r="T487" s="526"/>
      <c r="U487" s="526"/>
      <c r="V487" s="526"/>
      <c r="W487" s="526"/>
      <c r="X487" s="526"/>
    </row>
    <row r="488" spans="1:24">
      <c r="A488" s="526"/>
      <c r="B488" s="526"/>
      <c r="C488" s="526"/>
      <c r="D488" s="526"/>
      <c r="E488" s="526"/>
      <c r="F488" s="526"/>
      <c r="G488" s="526"/>
      <c r="H488" s="526"/>
      <c r="I488" s="526"/>
      <c r="J488" s="526"/>
      <c r="K488" s="526"/>
      <c r="L488" s="526"/>
      <c r="M488" s="526"/>
      <c r="N488" s="526"/>
      <c r="O488" s="526"/>
      <c r="P488" s="526"/>
      <c r="Q488" s="526"/>
      <c r="R488" s="526"/>
      <c r="S488" s="526"/>
      <c r="T488" s="526"/>
      <c r="U488" s="526"/>
      <c r="V488" s="526"/>
      <c r="W488" s="526"/>
      <c r="X488" s="526"/>
    </row>
    <row r="489" spans="1:24">
      <c r="A489" s="526"/>
      <c r="B489" s="526"/>
      <c r="C489" s="526"/>
      <c r="D489" s="526"/>
      <c r="E489" s="526"/>
      <c r="F489" s="526"/>
      <c r="G489" s="526"/>
      <c r="H489" s="526"/>
      <c r="I489" s="526"/>
      <c r="J489" s="526"/>
      <c r="K489" s="526"/>
      <c r="L489" s="526"/>
      <c r="M489" s="526"/>
      <c r="N489" s="526"/>
      <c r="O489" s="526"/>
      <c r="P489" s="526"/>
      <c r="Q489" s="526"/>
      <c r="R489" s="526"/>
      <c r="S489" s="526"/>
      <c r="T489" s="526"/>
      <c r="U489" s="526"/>
      <c r="V489" s="526"/>
      <c r="W489" s="526"/>
      <c r="X489" s="526"/>
    </row>
    <row r="490" spans="1:24">
      <c r="A490" s="526"/>
      <c r="B490" s="526"/>
      <c r="C490" s="526"/>
      <c r="D490" s="526"/>
      <c r="E490" s="526"/>
      <c r="F490" s="526"/>
      <c r="G490" s="526"/>
      <c r="H490" s="526"/>
      <c r="I490" s="526"/>
      <c r="J490" s="526"/>
      <c r="K490" s="526"/>
      <c r="L490" s="526"/>
      <c r="M490" s="526"/>
      <c r="N490" s="526"/>
      <c r="O490" s="526"/>
      <c r="P490" s="526"/>
      <c r="Q490" s="526"/>
      <c r="R490" s="526"/>
      <c r="S490" s="526"/>
      <c r="T490" s="526"/>
      <c r="U490" s="526"/>
      <c r="V490" s="526"/>
      <c r="W490" s="526"/>
      <c r="X490" s="526"/>
    </row>
    <row r="491" spans="1:24">
      <c r="A491" s="526"/>
      <c r="B491" s="526"/>
      <c r="C491" s="526"/>
      <c r="D491" s="526"/>
      <c r="E491" s="526"/>
      <c r="F491" s="526"/>
      <c r="G491" s="526"/>
      <c r="H491" s="526"/>
      <c r="I491" s="526"/>
      <c r="J491" s="526"/>
      <c r="K491" s="526"/>
      <c r="L491" s="526"/>
      <c r="M491" s="526"/>
      <c r="N491" s="526"/>
      <c r="O491" s="526"/>
      <c r="P491" s="526"/>
      <c r="Q491" s="526"/>
      <c r="R491" s="526"/>
      <c r="S491" s="526"/>
      <c r="T491" s="526"/>
      <c r="U491" s="526"/>
      <c r="V491" s="526"/>
      <c r="W491" s="526"/>
      <c r="X491" s="526"/>
    </row>
    <row r="492" spans="1:24">
      <c r="A492" s="526"/>
      <c r="B492" s="526"/>
      <c r="C492" s="526"/>
      <c r="D492" s="526"/>
      <c r="E492" s="526"/>
      <c r="F492" s="526"/>
      <c r="G492" s="526"/>
      <c r="H492" s="526"/>
      <c r="I492" s="526"/>
      <c r="J492" s="526"/>
      <c r="K492" s="526"/>
      <c r="L492" s="526"/>
      <c r="M492" s="526"/>
      <c r="N492" s="526"/>
      <c r="O492" s="526"/>
      <c r="P492" s="526"/>
      <c r="Q492" s="526"/>
      <c r="R492" s="526"/>
      <c r="S492" s="526"/>
      <c r="T492" s="526"/>
      <c r="U492" s="526"/>
      <c r="V492" s="526"/>
      <c r="W492" s="526"/>
      <c r="X492" s="526"/>
    </row>
    <row r="493" spans="1:24">
      <c r="A493" s="526"/>
      <c r="B493" s="526"/>
      <c r="C493" s="526"/>
      <c r="D493" s="526"/>
      <c r="E493" s="526"/>
      <c r="F493" s="526"/>
      <c r="G493" s="526"/>
      <c r="H493" s="526"/>
      <c r="I493" s="526"/>
      <c r="J493" s="526"/>
      <c r="K493" s="526"/>
      <c r="L493" s="526"/>
      <c r="M493" s="526"/>
      <c r="N493" s="526"/>
      <c r="O493" s="526"/>
      <c r="P493" s="526"/>
      <c r="Q493" s="526"/>
      <c r="R493" s="526"/>
      <c r="S493" s="526"/>
      <c r="T493" s="526"/>
      <c r="U493" s="526"/>
      <c r="V493" s="526"/>
      <c r="W493" s="526"/>
      <c r="X493" s="526"/>
    </row>
    <row r="494" spans="1:24">
      <c r="A494" s="526"/>
      <c r="B494" s="526"/>
      <c r="C494" s="526"/>
      <c r="D494" s="526"/>
      <c r="E494" s="526"/>
      <c r="F494" s="526"/>
      <c r="G494" s="526"/>
      <c r="H494" s="526"/>
      <c r="I494" s="526"/>
      <c r="J494" s="526"/>
      <c r="K494" s="526"/>
      <c r="L494" s="526"/>
      <c r="M494" s="526"/>
      <c r="N494" s="526"/>
      <c r="O494" s="526"/>
      <c r="P494" s="526"/>
      <c r="Q494" s="526"/>
      <c r="R494" s="526"/>
      <c r="S494" s="526"/>
      <c r="T494" s="526"/>
      <c r="U494" s="526"/>
      <c r="V494" s="526"/>
      <c r="W494" s="526"/>
      <c r="X494" s="526"/>
    </row>
    <row r="495" spans="1:24">
      <c r="A495" s="526"/>
      <c r="B495" s="526"/>
      <c r="C495" s="526"/>
      <c r="D495" s="526"/>
      <c r="E495" s="526"/>
      <c r="F495" s="526"/>
      <c r="G495" s="526"/>
      <c r="H495" s="526"/>
      <c r="I495" s="526"/>
      <c r="J495" s="526"/>
      <c r="K495" s="526"/>
      <c r="L495" s="526"/>
      <c r="M495" s="526"/>
      <c r="N495" s="526"/>
      <c r="O495" s="526"/>
      <c r="P495" s="526"/>
      <c r="Q495" s="526"/>
      <c r="R495" s="526"/>
      <c r="S495" s="526"/>
      <c r="T495" s="526"/>
      <c r="U495" s="526"/>
      <c r="V495" s="526"/>
      <c r="W495" s="526"/>
      <c r="X495" s="526"/>
    </row>
    <row r="496" spans="1:24">
      <c r="A496" s="526"/>
      <c r="B496" s="526"/>
      <c r="C496" s="526"/>
      <c r="D496" s="526"/>
      <c r="E496" s="526"/>
      <c r="F496" s="526"/>
      <c r="G496" s="526"/>
      <c r="H496" s="526"/>
      <c r="I496" s="526"/>
      <c r="J496" s="526"/>
      <c r="K496" s="526"/>
      <c r="L496" s="526"/>
      <c r="M496" s="526"/>
      <c r="N496" s="526"/>
      <c r="O496" s="526"/>
      <c r="P496" s="526"/>
      <c r="Q496" s="526"/>
      <c r="R496" s="526"/>
      <c r="S496" s="526"/>
      <c r="T496" s="526"/>
      <c r="U496" s="526"/>
      <c r="V496" s="526"/>
      <c r="W496" s="526"/>
      <c r="X496" s="526"/>
    </row>
    <row r="497" spans="1:24">
      <c r="A497" s="526"/>
      <c r="B497" s="526"/>
      <c r="C497" s="526"/>
      <c r="D497" s="526"/>
      <c r="E497" s="526"/>
      <c r="F497" s="526"/>
      <c r="G497" s="526"/>
      <c r="H497" s="526"/>
      <c r="I497" s="526"/>
      <c r="J497" s="526"/>
      <c r="K497" s="526"/>
      <c r="L497" s="526"/>
      <c r="M497" s="526"/>
      <c r="N497" s="526"/>
      <c r="O497" s="526"/>
      <c r="P497" s="526"/>
      <c r="Q497" s="526"/>
      <c r="R497" s="526"/>
      <c r="S497" s="526"/>
      <c r="T497" s="526"/>
      <c r="U497" s="526"/>
      <c r="V497" s="526"/>
      <c r="W497" s="526"/>
      <c r="X497" s="526"/>
    </row>
    <row r="498" spans="1:24">
      <c r="A498" s="526"/>
      <c r="B498" s="526"/>
      <c r="C498" s="526"/>
      <c r="D498" s="526"/>
      <c r="E498" s="526"/>
      <c r="F498" s="526"/>
      <c r="G498" s="526"/>
      <c r="H498" s="526"/>
      <c r="I498" s="526"/>
      <c r="J498" s="526"/>
      <c r="K498" s="526"/>
      <c r="L498" s="526"/>
      <c r="M498" s="526"/>
      <c r="N498" s="526"/>
      <c r="O498" s="526"/>
      <c r="P498" s="526"/>
      <c r="Q498" s="526"/>
      <c r="R498" s="526"/>
      <c r="S498" s="526"/>
      <c r="T498" s="526"/>
      <c r="U498" s="526"/>
      <c r="V498" s="526"/>
      <c r="W498" s="526"/>
      <c r="X498" s="526"/>
    </row>
    <row r="499" spans="1:24">
      <c r="A499" s="526"/>
      <c r="B499" s="526"/>
      <c r="C499" s="526"/>
      <c r="D499" s="526"/>
      <c r="E499" s="526"/>
      <c r="F499" s="526"/>
      <c r="G499" s="526"/>
      <c r="H499" s="526"/>
      <c r="I499" s="526"/>
      <c r="J499" s="526"/>
      <c r="K499" s="526"/>
      <c r="L499" s="526"/>
      <c r="M499" s="526"/>
      <c r="N499" s="526"/>
      <c r="O499" s="526"/>
      <c r="P499" s="526"/>
      <c r="Q499" s="526"/>
      <c r="R499" s="526"/>
      <c r="S499" s="526"/>
      <c r="T499" s="526"/>
      <c r="U499" s="526"/>
      <c r="V499" s="526"/>
      <c r="W499" s="526"/>
      <c r="X499" s="526"/>
    </row>
    <row r="500" spans="1:24">
      <c r="A500" s="526"/>
      <c r="B500" s="526"/>
      <c r="C500" s="526"/>
      <c r="D500" s="526"/>
      <c r="E500" s="526"/>
      <c r="F500" s="526"/>
      <c r="G500" s="526"/>
      <c r="H500" s="526"/>
      <c r="I500" s="526"/>
      <c r="J500" s="526"/>
      <c r="K500" s="526"/>
      <c r="L500" s="526"/>
      <c r="M500" s="526"/>
      <c r="N500" s="526"/>
      <c r="O500" s="526"/>
      <c r="P500" s="526"/>
      <c r="Q500" s="526"/>
      <c r="R500" s="526"/>
      <c r="S500" s="526"/>
      <c r="T500" s="526"/>
      <c r="U500" s="526"/>
      <c r="V500" s="526"/>
      <c r="W500" s="526"/>
      <c r="X500" s="526"/>
    </row>
    <row r="501" spans="1:24">
      <c r="A501" s="526"/>
      <c r="B501" s="526"/>
      <c r="C501" s="526"/>
      <c r="D501" s="526"/>
      <c r="E501" s="526"/>
      <c r="F501" s="526"/>
      <c r="G501" s="526"/>
      <c r="H501" s="526"/>
      <c r="I501" s="526"/>
      <c r="J501" s="526"/>
      <c r="K501" s="526"/>
      <c r="L501" s="526"/>
      <c r="M501" s="526"/>
      <c r="N501" s="526"/>
      <c r="O501" s="526"/>
      <c r="P501" s="526"/>
      <c r="Q501" s="526"/>
      <c r="R501" s="526"/>
      <c r="S501" s="526"/>
      <c r="T501" s="526"/>
      <c r="U501" s="526"/>
      <c r="V501" s="526"/>
      <c r="W501" s="526"/>
      <c r="X501" s="526"/>
    </row>
    <row r="502" spans="1:24">
      <c r="A502" s="526"/>
      <c r="B502" s="526"/>
      <c r="C502" s="526"/>
      <c r="D502" s="526"/>
      <c r="E502" s="526"/>
      <c r="F502" s="526"/>
      <c r="G502" s="526"/>
      <c r="H502" s="526"/>
      <c r="I502" s="526"/>
      <c r="J502" s="526"/>
      <c r="K502" s="526"/>
      <c r="L502" s="526"/>
      <c r="M502" s="526"/>
      <c r="N502" s="526"/>
      <c r="O502" s="526"/>
      <c r="P502" s="526"/>
      <c r="Q502" s="526"/>
      <c r="R502" s="526"/>
      <c r="S502" s="526"/>
      <c r="T502" s="526"/>
      <c r="U502" s="526"/>
      <c r="V502" s="526"/>
      <c r="W502" s="526"/>
      <c r="X502" s="526"/>
    </row>
    <row r="503" spans="1:24">
      <c r="A503" s="526"/>
      <c r="B503" s="526"/>
      <c r="C503" s="526"/>
      <c r="D503" s="526"/>
      <c r="E503" s="526"/>
      <c r="F503" s="526"/>
      <c r="G503" s="526"/>
      <c r="H503" s="526"/>
      <c r="I503" s="526"/>
      <c r="J503" s="526"/>
      <c r="K503" s="526"/>
      <c r="L503" s="526"/>
      <c r="M503" s="526"/>
      <c r="N503" s="526"/>
      <c r="O503" s="526"/>
      <c r="P503" s="526"/>
      <c r="Q503" s="526"/>
      <c r="R503" s="526"/>
      <c r="S503" s="526"/>
      <c r="T503" s="526"/>
      <c r="U503" s="526"/>
      <c r="V503" s="526"/>
      <c r="W503" s="526"/>
      <c r="X503" s="526"/>
    </row>
    <row r="504" spans="1:24">
      <c r="A504" s="526"/>
      <c r="B504" s="526"/>
      <c r="C504" s="526"/>
      <c r="D504" s="526"/>
      <c r="E504" s="526"/>
      <c r="F504" s="526"/>
      <c r="G504" s="526"/>
      <c r="H504" s="526"/>
      <c r="I504" s="526"/>
      <c r="J504" s="526"/>
      <c r="K504" s="526"/>
      <c r="L504" s="526"/>
      <c r="M504" s="526"/>
      <c r="N504" s="526"/>
      <c r="O504" s="526"/>
      <c r="P504" s="526"/>
      <c r="Q504" s="526"/>
      <c r="R504" s="526"/>
      <c r="S504" s="526"/>
      <c r="T504" s="526"/>
      <c r="U504" s="526"/>
      <c r="V504" s="526"/>
      <c r="W504" s="526"/>
      <c r="X504" s="526"/>
    </row>
    <row r="505" spans="1:24">
      <c r="A505" s="526"/>
      <c r="B505" s="526"/>
      <c r="C505" s="526"/>
      <c r="D505" s="526"/>
      <c r="E505" s="526"/>
      <c r="F505" s="526"/>
      <c r="G505" s="526"/>
      <c r="H505" s="526"/>
      <c r="I505" s="526"/>
      <c r="J505" s="526"/>
      <c r="K505" s="526"/>
      <c r="L505" s="526"/>
      <c r="M505" s="526"/>
      <c r="N505" s="526"/>
      <c r="O505" s="526"/>
      <c r="P505" s="526"/>
      <c r="Q505" s="526"/>
      <c r="R505" s="526"/>
      <c r="S505" s="526"/>
      <c r="T505" s="526"/>
      <c r="U505" s="526"/>
      <c r="V505" s="526"/>
      <c r="W505" s="526"/>
      <c r="X505" s="526"/>
    </row>
    <row r="506" spans="1:24">
      <c r="A506" s="526"/>
      <c r="B506" s="526"/>
      <c r="C506" s="526"/>
      <c r="D506" s="526"/>
      <c r="E506" s="526"/>
      <c r="F506" s="526"/>
      <c r="G506" s="526"/>
      <c r="H506" s="526"/>
      <c r="I506" s="526"/>
      <c r="J506" s="526"/>
      <c r="K506" s="526"/>
      <c r="L506" s="526"/>
      <c r="M506" s="526"/>
      <c r="N506" s="526"/>
      <c r="O506" s="526"/>
      <c r="P506" s="526"/>
      <c r="Q506" s="526"/>
      <c r="R506" s="526"/>
      <c r="S506" s="526"/>
      <c r="T506" s="526"/>
      <c r="U506" s="526"/>
      <c r="V506" s="526"/>
      <c r="W506" s="526"/>
      <c r="X506" s="526"/>
    </row>
    <row r="507" spans="1:24">
      <c r="A507" s="526"/>
      <c r="B507" s="526"/>
      <c r="C507" s="526"/>
      <c r="D507" s="526"/>
      <c r="E507" s="526"/>
      <c r="F507" s="526"/>
      <c r="G507" s="526"/>
      <c r="H507" s="526"/>
      <c r="I507" s="526"/>
      <c r="J507" s="526"/>
      <c r="K507" s="526"/>
      <c r="L507" s="526"/>
      <c r="M507" s="526"/>
      <c r="N507" s="526"/>
      <c r="O507" s="526"/>
      <c r="P507" s="526"/>
      <c r="Q507" s="526"/>
      <c r="R507" s="526"/>
      <c r="S507" s="526"/>
      <c r="T507" s="526"/>
      <c r="U507" s="526"/>
      <c r="V507" s="526"/>
      <c r="W507" s="526"/>
      <c r="X507" s="526"/>
    </row>
    <row r="508" spans="1:24">
      <c r="A508" s="526"/>
      <c r="B508" s="526"/>
      <c r="C508" s="526"/>
      <c r="D508" s="526"/>
      <c r="E508" s="526"/>
      <c r="F508" s="526"/>
      <c r="G508" s="526"/>
      <c r="H508" s="526"/>
      <c r="I508" s="526"/>
      <c r="J508" s="526"/>
      <c r="K508" s="526"/>
      <c r="L508" s="526"/>
      <c r="M508" s="526"/>
      <c r="N508" s="526"/>
      <c r="O508" s="526"/>
      <c r="P508" s="526"/>
      <c r="Q508" s="526"/>
      <c r="R508" s="526"/>
      <c r="S508" s="526"/>
      <c r="T508" s="526"/>
      <c r="U508" s="526"/>
      <c r="V508" s="526"/>
      <c r="W508" s="526"/>
      <c r="X508" s="526"/>
    </row>
    <row r="509" spans="1:24">
      <c r="A509" s="526"/>
      <c r="B509" s="526"/>
      <c r="C509" s="526"/>
      <c r="D509" s="526"/>
      <c r="E509" s="526"/>
      <c r="F509" s="526"/>
      <c r="G509" s="526"/>
      <c r="H509" s="526"/>
      <c r="I509" s="526"/>
      <c r="J509" s="526"/>
      <c r="K509" s="526"/>
      <c r="L509" s="526"/>
      <c r="M509" s="526"/>
      <c r="N509" s="526"/>
      <c r="O509" s="526"/>
      <c r="P509" s="526"/>
      <c r="Q509" s="526"/>
      <c r="R509" s="526"/>
      <c r="S509" s="526"/>
      <c r="T509" s="526"/>
      <c r="U509" s="526"/>
      <c r="V509" s="526"/>
      <c r="W509" s="526"/>
      <c r="X509" s="526"/>
    </row>
    <row r="510" spans="1:24">
      <c r="A510" s="526"/>
      <c r="B510" s="526"/>
      <c r="C510" s="526"/>
      <c r="D510" s="526"/>
      <c r="E510" s="526"/>
      <c r="F510" s="526"/>
      <c r="G510" s="526"/>
      <c r="H510" s="526"/>
      <c r="I510" s="526"/>
      <c r="J510" s="526"/>
      <c r="K510" s="526"/>
      <c r="L510" s="526"/>
      <c r="M510" s="526"/>
      <c r="N510" s="526"/>
      <c r="O510" s="526"/>
      <c r="P510" s="526"/>
      <c r="Q510" s="526"/>
      <c r="R510" s="526"/>
      <c r="S510" s="526"/>
      <c r="T510" s="526"/>
      <c r="U510" s="526"/>
      <c r="V510" s="526"/>
      <c r="W510" s="526"/>
      <c r="X510" s="526"/>
    </row>
    <row r="511" spans="1:24">
      <c r="A511" s="526"/>
      <c r="B511" s="526"/>
      <c r="C511" s="526"/>
      <c r="D511" s="526"/>
      <c r="E511" s="526"/>
      <c r="F511" s="526"/>
      <c r="G511" s="526"/>
      <c r="H511" s="526"/>
      <c r="I511" s="526"/>
      <c r="J511" s="526"/>
      <c r="K511" s="526"/>
      <c r="L511" s="526"/>
      <c r="M511" s="526"/>
      <c r="N511" s="526"/>
      <c r="O511" s="526"/>
      <c r="P511" s="526"/>
      <c r="Q511" s="526"/>
      <c r="R511" s="526"/>
      <c r="S511" s="526"/>
      <c r="T511" s="526"/>
      <c r="U511" s="526"/>
      <c r="V511" s="526"/>
      <c r="W511" s="526"/>
      <c r="X511" s="526"/>
    </row>
    <row r="512" spans="1:24">
      <c r="A512" s="526"/>
      <c r="B512" s="526"/>
      <c r="C512" s="526"/>
      <c r="D512" s="526"/>
      <c r="E512" s="526"/>
      <c r="F512" s="526"/>
      <c r="G512" s="526"/>
      <c r="H512" s="526"/>
      <c r="I512" s="526"/>
      <c r="J512" s="526"/>
      <c r="K512" s="526"/>
      <c r="L512" s="526"/>
      <c r="M512" s="526"/>
      <c r="N512" s="526"/>
      <c r="O512" s="526"/>
      <c r="P512" s="526"/>
      <c r="Q512" s="526"/>
      <c r="R512" s="526"/>
      <c r="S512" s="526"/>
      <c r="T512" s="526"/>
      <c r="U512" s="526"/>
      <c r="V512" s="526"/>
      <c r="W512" s="526"/>
      <c r="X512" s="526"/>
    </row>
    <row r="513" spans="1:24">
      <c r="A513" s="526"/>
      <c r="B513" s="526"/>
      <c r="C513" s="526"/>
      <c r="D513" s="526"/>
      <c r="E513" s="526"/>
      <c r="F513" s="526"/>
      <c r="G513" s="526"/>
      <c r="H513" s="526"/>
      <c r="I513" s="526"/>
      <c r="J513" s="526"/>
      <c r="K513" s="526"/>
      <c r="L513" s="526"/>
      <c r="M513" s="526"/>
      <c r="N513" s="526"/>
      <c r="O513" s="526"/>
      <c r="P513" s="526"/>
      <c r="Q513" s="526"/>
      <c r="R513" s="526"/>
      <c r="S513" s="526"/>
      <c r="T513" s="526"/>
      <c r="U513" s="526"/>
      <c r="V513" s="526"/>
      <c r="W513" s="526"/>
      <c r="X513" s="526"/>
    </row>
    <row r="514" spans="1:24">
      <c r="A514" s="526"/>
      <c r="B514" s="526"/>
      <c r="C514" s="526"/>
      <c r="D514" s="526"/>
      <c r="E514" s="526"/>
      <c r="F514" s="526"/>
      <c r="G514" s="526"/>
      <c r="H514" s="526"/>
      <c r="I514" s="526"/>
      <c r="J514" s="526"/>
      <c r="K514" s="526"/>
      <c r="L514" s="526"/>
      <c r="M514" s="526"/>
      <c r="N514" s="526"/>
      <c r="O514" s="526"/>
      <c r="P514" s="526"/>
      <c r="Q514" s="526"/>
      <c r="R514" s="526"/>
      <c r="S514" s="526"/>
      <c r="T514" s="526"/>
      <c r="U514" s="526"/>
      <c r="V514" s="526"/>
      <c r="W514" s="526"/>
      <c r="X514" s="526"/>
    </row>
    <row r="515" spans="1:24">
      <c r="A515" s="526"/>
      <c r="B515" s="526"/>
      <c r="C515" s="526"/>
      <c r="D515" s="526"/>
      <c r="E515" s="526"/>
      <c r="F515" s="526"/>
      <c r="G515" s="526"/>
      <c r="H515" s="526"/>
      <c r="I515" s="526"/>
      <c r="J515" s="526"/>
      <c r="K515" s="526"/>
      <c r="L515" s="526"/>
      <c r="M515" s="526"/>
      <c r="N515" s="526"/>
      <c r="O515" s="526"/>
      <c r="P515" s="526"/>
      <c r="Q515" s="526"/>
      <c r="R515" s="526"/>
      <c r="S515" s="526"/>
      <c r="T515" s="526"/>
      <c r="U515" s="526"/>
      <c r="V515" s="526"/>
      <c r="W515" s="526"/>
      <c r="X515" s="526"/>
    </row>
    <row r="516" spans="1:24">
      <c r="A516" s="526"/>
      <c r="B516" s="526"/>
      <c r="C516" s="526"/>
      <c r="D516" s="526"/>
      <c r="E516" s="526"/>
      <c r="F516" s="526"/>
      <c r="G516" s="526"/>
      <c r="H516" s="526"/>
      <c r="I516" s="526"/>
      <c r="J516" s="526"/>
      <c r="K516" s="526"/>
      <c r="L516" s="526"/>
      <c r="M516" s="526"/>
      <c r="N516" s="526"/>
      <c r="O516" s="526"/>
      <c r="P516" s="526"/>
      <c r="Q516" s="526"/>
      <c r="R516" s="526"/>
      <c r="S516" s="526"/>
      <c r="T516" s="526"/>
      <c r="U516" s="526"/>
      <c r="V516" s="526"/>
      <c r="W516" s="526"/>
      <c r="X516" s="526"/>
    </row>
    <row r="517" spans="1:24">
      <c r="A517" s="526"/>
      <c r="B517" s="526"/>
      <c r="C517" s="526"/>
      <c r="D517" s="526"/>
      <c r="E517" s="526"/>
      <c r="F517" s="526"/>
      <c r="G517" s="526"/>
      <c r="H517" s="526"/>
      <c r="I517" s="526"/>
      <c r="J517" s="526"/>
      <c r="K517" s="526"/>
      <c r="L517" s="526"/>
      <c r="M517" s="526"/>
      <c r="N517" s="526"/>
      <c r="O517" s="526"/>
      <c r="P517" s="526"/>
      <c r="Q517" s="526"/>
      <c r="R517" s="526"/>
      <c r="S517" s="526"/>
      <c r="T517" s="526"/>
      <c r="U517" s="526"/>
      <c r="V517" s="526"/>
      <c r="W517" s="526"/>
      <c r="X517" s="526"/>
    </row>
    <row r="518" spans="1:24">
      <c r="A518" s="526"/>
      <c r="B518" s="526"/>
      <c r="C518" s="526"/>
      <c r="D518" s="526"/>
      <c r="E518" s="526"/>
      <c r="F518" s="526"/>
      <c r="G518" s="526"/>
      <c r="H518" s="526"/>
      <c r="I518" s="526"/>
      <c r="J518" s="526"/>
      <c r="K518" s="526"/>
      <c r="L518" s="526"/>
      <c r="M518" s="526"/>
      <c r="N518" s="526"/>
      <c r="O518" s="526"/>
      <c r="P518" s="526"/>
      <c r="Q518" s="526"/>
      <c r="R518" s="526"/>
      <c r="S518" s="526"/>
      <c r="T518" s="526"/>
      <c r="U518" s="526"/>
      <c r="V518" s="526"/>
      <c r="W518" s="526"/>
      <c r="X518" s="526"/>
    </row>
    <row r="519" spans="1:24">
      <c r="A519" s="526"/>
      <c r="B519" s="526"/>
      <c r="C519" s="526"/>
      <c r="D519" s="526"/>
      <c r="E519" s="526"/>
      <c r="F519" s="526"/>
      <c r="G519" s="526"/>
      <c r="H519" s="526"/>
      <c r="I519" s="526"/>
      <c r="J519" s="526"/>
      <c r="K519" s="526"/>
      <c r="L519" s="526"/>
      <c r="M519" s="526"/>
      <c r="N519" s="526"/>
      <c r="O519" s="526"/>
      <c r="P519" s="526"/>
      <c r="Q519" s="526"/>
      <c r="R519" s="526"/>
      <c r="S519" s="526"/>
      <c r="T519" s="526"/>
      <c r="U519" s="526"/>
      <c r="V519" s="526"/>
      <c r="W519" s="526"/>
      <c r="X519" s="526"/>
    </row>
    <row r="520" spans="1:24">
      <c r="A520" s="526"/>
      <c r="B520" s="526"/>
      <c r="C520" s="526"/>
      <c r="D520" s="526"/>
      <c r="E520" s="526"/>
      <c r="F520" s="526"/>
      <c r="G520" s="526"/>
      <c r="H520" s="526"/>
      <c r="I520" s="526"/>
      <c r="J520" s="526"/>
      <c r="K520" s="526"/>
      <c r="L520" s="526"/>
      <c r="M520" s="526"/>
      <c r="N520" s="526"/>
      <c r="O520" s="526"/>
      <c r="P520" s="526"/>
      <c r="Q520" s="526"/>
      <c r="R520" s="526"/>
      <c r="S520" s="526"/>
      <c r="T520" s="526"/>
      <c r="U520" s="526"/>
      <c r="V520" s="526"/>
      <c r="W520" s="526"/>
      <c r="X520" s="526"/>
    </row>
    <row r="521" spans="1:24">
      <c r="A521" s="526"/>
      <c r="B521" s="526"/>
      <c r="C521" s="526"/>
      <c r="D521" s="526"/>
      <c r="E521" s="526"/>
      <c r="F521" s="526"/>
      <c r="G521" s="526"/>
      <c r="H521" s="526"/>
      <c r="I521" s="526"/>
      <c r="J521" s="526"/>
      <c r="K521" s="526"/>
      <c r="L521" s="526"/>
      <c r="M521" s="526"/>
      <c r="N521" s="526"/>
      <c r="O521" s="526"/>
      <c r="P521" s="526"/>
      <c r="Q521" s="526"/>
      <c r="R521" s="526"/>
      <c r="S521" s="526"/>
      <c r="T521" s="526"/>
      <c r="U521" s="526"/>
      <c r="V521" s="526"/>
      <c r="W521" s="526"/>
      <c r="X521" s="526"/>
    </row>
    <row r="522" spans="1:24">
      <c r="A522" s="526"/>
      <c r="B522" s="526"/>
      <c r="C522" s="526"/>
      <c r="D522" s="526"/>
      <c r="E522" s="526"/>
      <c r="F522" s="526"/>
      <c r="G522" s="526"/>
      <c r="H522" s="526"/>
      <c r="I522" s="526"/>
      <c r="J522" s="526"/>
      <c r="K522" s="526"/>
      <c r="L522" s="526"/>
      <c r="M522" s="526"/>
      <c r="N522" s="526"/>
      <c r="O522" s="526"/>
      <c r="P522" s="526"/>
      <c r="Q522" s="526"/>
      <c r="R522" s="526"/>
      <c r="S522" s="526"/>
      <c r="T522" s="526"/>
      <c r="U522" s="526"/>
      <c r="V522" s="526"/>
      <c r="W522" s="526"/>
      <c r="X522" s="526"/>
    </row>
    <row r="523" spans="1:24">
      <c r="A523" s="526"/>
      <c r="B523" s="526"/>
      <c r="C523" s="526"/>
      <c r="D523" s="526"/>
      <c r="E523" s="526"/>
      <c r="F523" s="526"/>
      <c r="G523" s="526"/>
      <c r="H523" s="526"/>
      <c r="I523" s="526"/>
      <c r="J523" s="526"/>
      <c r="K523" s="526"/>
      <c r="L523" s="526"/>
      <c r="M523" s="526"/>
      <c r="N523" s="526"/>
      <c r="O523" s="526"/>
      <c r="P523" s="526"/>
      <c r="Q523" s="526"/>
      <c r="R523" s="526"/>
      <c r="S523" s="526"/>
      <c r="T523" s="526"/>
      <c r="U523" s="526"/>
      <c r="V523" s="526"/>
      <c r="W523" s="526"/>
      <c r="X523" s="526"/>
    </row>
    <row r="524" spans="1:24">
      <c r="A524" s="526"/>
      <c r="B524" s="526"/>
      <c r="C524" s="526"/>
      <c r="D524" s="526"/>
      <c r="E524" s="526"/>
      <c r="F524" s="526"/>
      <c r="G524" s="526"/>
      <c r="H524" s="526"/>
      <c r="I524" s="526"/>
      <c r="J524" s="526"/>
      <c r="K524" s="526"/>
      <c r="L524" s="526"/>
      <c r="M524" s="526"/>
      <c r="N524" s="526"/>
      <c r="O524" s="526"/>
      <c r="P524" s="526"/>
      <c r="Q524" s="526"/>
      <c r="R524" s="526"/>
      <c r="S524" s="526"/>
      <c r="T524" s="526"/>
      <c r="U524" s="526"/>
      <c r="V524" s="526"/>
      <c r="W524" s="526"/>
      <c r="X524" s="526"/>
    </row>
    <row r="525" spans="1:24">
      <c r="A525" s="526"/>
      <c r="B525" s="526"/>
      <c r="C525" s="526"/>
      <c r="D525" s="526"/>
      <c r="E525" s="526"/>
      <c r="F525" s="526"/>
      <c r="G525" s="526"/>
      <c r="H525" s="526"/>
      <c r="I525" s="526"/>
      <c r="J525" s="526"/>
      <c r="K525" s="526"/>
      <c r="L525" s="526"/>
      <c r="M525" s="526"/>
      <c r="N525" s="526"/>
      <c r="O525" s="526"/>
      <c r="P525" s="526"/>
      <c r="Q525" s="526"/>
      <c r="R525" s="526"/>
      <c r="S525" s="526"/>
      <c r="T525" s="526"/>
      <c r="U525" s="526"/>
      <c r="V525" s="526"/>
      <c r="W525" s="526"/>
      <c r="X525" s="526"/>
    </row>
    <row r="526" spans="1:24">
      <c r="A526" s="526"/>
      <c r="B526" s="526"/>
      <c r="C526" s="526"/>
      <c r="D526" s="526"/>
      <c r="E526" s="526"/>
      <c r="F526" s="526"/>
      <c r="G526" s="526"/>
      <c r="H526" s="526"/>
      <c r="I526" s="526"/>
      <c r="J526" s="526"/>
      <c r="K526" s="526"/>
      <c r="L526" s="526"/>
      <c r="M526" s="526"/>
      <c r="N526" s="526"/>
      <c r="O526" s="526"/>
      <c r="P526" s="526"/>
      <c r="Q526" s="526"/>
      <c r="R526" s="526"/>
      <c r="S526" s="526"/>
      <c r="T526" s="526"/>
      <c r="U526" s="526"/>
      <c r="V526" s="526"/>
      <c r="W526" s="526"/>
      <c r="X526" s="526"/>
    </row>
    <row r="527" spans="1:24">
      <c r="A527" s="526"/>
      <c r="B527" s="526"/>
      <c r="C527" s="526"/>
      <c r="D527" s="526"/>
      <c r="E527" s="526"/>
      <c r="F527" s="526"/>
      <c r="G527" s="526"/>
      <c r="H527" s="526"/>
      <c r="I527" s="526"/>
      <c r="J527" s="526"/>
      <c r="K527" s="526"/>
      <c r="L527" s="526"/>
      <c r="M527" s="526"/>
      <c r="N527" s="526"/>
      <c r="O527" s="526"/>
      <c r="P527" s="526"/>
      <c r="Q527" s="526"/>
      <c r="R527" s="526"/>
      <c r="S527" s="526"/>
      <c r="T527" s="526"/>
      <c r="U527" s="526"/>
      <c r="V527" s="526"/>
      <c r="W527" s="526"/>
      <c r="X527" s="526"/>
    </row>
    <row r="528" spans="1:24">
      <c r="A528" s="526"/>
      <c r="B528" s="526"/>
      <c r="C528" s="526"/>
      <c r="D528" s="526"/>
      <c r="E528" s="526"/>
      <c r="F528" s="526"/>
      <c r="G528" s="526"/>
      <c r="H528" s="526"/>
      <c r="I528" s="526"/>
      <c r="J528" s="526"/>
      <c r="K528" s="526"/>
      <c r="L528" s="526"/>
      <c r="M528" s="526"/>
      <c r="N528" s="526"/>
      <c r="O528" s="526"/>
      <c r="P528" s="526"/>
      <c r="Q528" s="526"/>
      <c r="R528" s="526"/>
      <c r="S528" s="526"/>
      <c r="T528" s="526"/>
      <c r="U528" s="526"/>
      <c r="V528" s="526"/>
      <c r="W528" s="526"/>
      <c r="X528" s="526"/>
    </row>
    <row r="529" spans="1:24">
      <c r="A529" s="526"/>
      <c r="B529" s="526"/>
      <c r="C529" s="526"/>
      <c r="D529" s="526"/>
      <c r="E529" s="526"/>
      <c r="F529" s="526"/>
      <c r="G529" s="526"/>
      <c r="H529" s="526"/>
      <c r="I529" s="526"/>
      <c r="J529" s="526"/>
      <c r="K529" s="526"/>
      <c r="L529" s="526"/>
      <c r="M529" s="526"/>
      <c r="N529" s="526"/>
      <c r="O529" s="526"/>
      <c r="P529" s="526"/>
      <c r="Q529" s="526"/>
      <c r="R529" s="526"/>
      <c r="S529" s="526"/>
      <c r="T529" s="526"/>
      <c r="U529" s="526"/>
      <c r="V529" s="526"/>
      <c r="W529" s="526"/>
      <c r="X529" s="526"/>
    </row>
    <row r="530" spans="1:24">
      <c r="A530" s="526"/>
      <c r="B530" s="526"/>
      <c r="C530" s="526"/>
      <c r="D530" s="526"/>
      <c r="E530" s="526"/>
      <c r="F530" s="526"/>
      <c r="G530" s="526"/>
      <c r="H530" s="526"/>
      <c r="I530" s="526"/>
      <c r="J530" s="526"/>
      <c r="K530" s="526"/>
      <c r="L530" s="526"/>
      <c r="M530" s="526"/>
      <c r="N530" s="526"/>
      <c r="O530" s="526"/>
      <c r="P530" s="526"/>
      <c r="Q530" s="526"/>
      <c r="R530" s="526"/>
      <c r="S530" s="526"/>
      <c r="T530" s="526"/>
      <c r="U530" s="526"/>
      <c r="V530" s="526"/>
      <c r="W530" s="526"/>
      <c r="X530" s="526"/>
    </row>
    <row r="531" spans="1:24">
      <c r="A531" s="526"/>
      <c r="B531" s="526"/>
      <c r="C531" s="526"/>
      <c r="D531" s="526"/>
      <c r="E531" s="526"/>
      <c r="F531" s="526"/>
      <c r="G531" s="526"/>
      <c r="H531" s="526"/>
      <c r="I531" s="526"/>
      <c r="J531" s="526"/>
      <c r="K531" s="526"/>
      <c r="L531" s="526"/>
      <c r="M531" s="526"/>
      <c r="N531" s="526"/>
      <c r="O531" s="526"/>
      <c r="P531" s="526"/>
      <c r="Q531" s="526"/>
      <c r="R531" s="526"/>
      <c r="S531" s="526"/>
      <c r="T531" s="526"/>
      <c r="U531" s="526"/>
      <c r="V531" s="526"/>
      <c r="W531" s="526"/>
      <c r="X531" s="526"/>
    </row>
    <row r="532" spans="1:24">
      <c r="A532" s="526"/>
      <c r="B532" s="526"/>
      <c r="C532" s="526"/>
      <c r="D532" s="526"/>
      <c r="E532" s="526"/>
      <c r="F532" s="526"/>
      <c r="G532" s="526"/>
      <c r="H532" s="526"/>
      <c r="I532" s="526"/>
      <c r="J532" s="526"/>
      <c r="K532" s="526"/>
      <c r="L532" s="526"/>
      <c r="M532" s="526"/>
      <c r="N532" s="526"/>
      <c r="O532" s="526"/>
      <c r="P532" s="526"/>
      <c r="Q532" s="526"/>
      <c r="R532" s="526"/>
      <c r="S532" s="526"/>
      <c r="T532" s="526"/>
      <c r="U532" s="526"/>
      <c r="V532" s="526"/>
      <c r="W532" s="526"/>
      <c r="X532" s="526"/>
    </row>
    <row r="533" spans="1:24">
      <c r="A533" s="526"/>
      <c r="B533" s="526"/>
      <c r="C533" s="526"/>
      <c r="D533" s="526"/>
      <c r="E533" s="526"/>
      <c r="F533" s="526"/>
      <c r="G533" s="526"/>
      <c r="H533" s="526"/>
      <c r="I533" s="526"/>
      <c r="J533" s="526"/>
      <c r="K533" s="526"/>
      <c r="L533" s="526"/>
      <c r="M533" s="526"/>
      <c r="N533" s="526"/>
      <c r="O533" s="526"/>
      <c r="P533" s="526"/>
      <c r="Q533" s="526"/>
      <c r="R533" s="526"/>
      <c r="S533" s="526"/>
      <c r="T533" s="526"/>
      <c r="U533" s="526"/>
      <c r="V533" s="526"/>
      <c r="W533" s="526"/>
      <c r="X533" s="526"/>
    </row>
    <row r="534" spans="1:24">
      <c r="A534" s="526"/>
      <c r="B534" s="526"/>
      <c r="C534" s="526"/>
      <c r="D534" s="526"/>
      <c r="E534" s="526"/>
      <c r="F534" s="526"/>
      <c r="G534" s="526"/>
      <c r="H534" s="526"/>
      <c r="I534" s="526"/>
      <c r="J534" s="526"/>
      <c r="K534" s="526"/>
      <c r="L534" s="526"/>
      <c r="M534" s="526"/>
      <c r="N534" s="526"/>
      <c r="O534" s="526"/>
      <c r="P534" s="526"/>
      <c r="Q534" s="526"/>
      <c r="R534" s="526"/>
      <c r="S534" s="526"/>
      <c r="T534" s="526"/>
      <c r="U534" s="526"/>
      <c r="V534" s="526"/>
      <c r="W534" s="526"/>
      <c r="X534" s="526"/>
    </row>
    <row r="535" spans="1:24">
      <c r="A535" s="526"/>
      <c r="B535" s="526"/>
      <c r="C535" s="526"/>
      <c r="D535" s="526"/>
      <c r="E535" s="526"/>
      <c r="F535" s="526"/>
      <c r="G535" s="526"/>
      <c r="H535" s="526"/>
      <c r="I535" s="526"/>
      <c r="J535" s="526"/>
      <c r="K535" s="526"/>
      <c r="L535" s="526"/>
      <c r="M535" s="526"/>
      <c r="N535" s="526"/>
      <c r="O535" s="526"/>
      <c r="P535" s="526"/>
      <c r="Q535" s="526"/>
      <c r="R535" s="526"/>
      <c r="S535" s="526"/>
      <c r="T535" s="526"/>
      <c r="U535" s="526"/>
      <c r="V535" s="526"/>
      <c r="W535" s="526"/>
      <c r="X535" s="526"/>
    </row>
    <row r="536" spans="1:24">
      <c r="A536" s="526"/>
      <c r="B536" s="526"/>
      <c r="C536" s="526"/>
      <c r="D536" s="526"/>
      <c r="E536" s="526"/>
      <c r="F536" s="526"/>
      <c r="G536" s="526"/>
      <c r="H536" s="526"/>
      <c r="I536" s="526"/>
      <c r="J536" s="526"/>
      <c r="K536" s="526"/>
      <c r="L536" s="526"/>
      <c r="M536" s="526"/>
      <c r="N536" s="526"/>
      <c r="O536" s="526"/>
      <c r="P536" s="526"/>
      <c r="Q536" s="526"/>
      <c r="R536" s="526"/>
      <c r="S536" s="526"/>
      <c r="T536" s="526"/>
      <c r="U536" s="526"/>
      <c r="V536" s="526"/>
      <c r="W536" s="526"/>
      <c r="X536" s="526"/>
    </row>
    <row r="537" spans="1:24">
      <c r="A537" s="526"/>
      <c r="B537" s="526"/>
      <c r="C537" s="526"/>
      <c r="D537" s="526"/>
      <c r="E537" s="526"/>
      <c r="F537" s="526"/>
      <c r="G537" s="526"/>
      <c r="H537" s="526"/>
      <c r="I537" s="526"/>
      <c r="J537" s="526"/>
      <c r="K537" s="526"/>
      <c r="L537" s="526"/>
      <c r="M537" s="526"/>
      <c r="N537" s="526"/>
      <c r="O537" s="526"/>
      <c r="P537" s="526"/>
      <c r="Q537" s="526"/>
      <c r="R537" s="526"/>
      <c r="S537" s="526"/>
      <c r="T537" s="526"/>
      <c r="U537" s="526"/>
      <c r="V537" s="526"/>
      <c r="W537" s="526"/>
      <c r="X537" s="526"/>
    </row>
    <row r="538" spans="1:24">
      <c r="A538" s="526"/>
      <c r="B538" s="526"/>
      <c r="C538" s="526"/>
      <c r="D538" s="526"/>
      <c r="E538" s="526"/>
      <c r="F538" s="526"/>
      <c r="G538" s="526"/>
      <c r="H538" s="526"/>
      <c r="I538" s="526"/>
      <c r="J538" s="526"/>
      <c r="K538" s="526"/>
      <c r="L538" s="526"/>
      <c r="M538" s="526"/>
      <c r="N538" s="526"/>
      <c r="O538" s="526"/>
      <c r="P538" s="526"/>
      <c r="Q538" s="526"/>
      <c r="R538" s="526"/>
      <c r="S538" s="526"/>
      <c r="T538" s="526"/>
      <c r="U538" s="526"/>
      <c r="V538" s="526"/>
      <c r="W538" s="526"/>
      <c r="X538" s="526"/>
    </row>
    <row r="539" spans="1:24">
      <c r="A539" s="526"/>
      <c r="B539" s="526"/>
      <c r="C539" s="526"/>
      <c r="D539" s="526"/>
      <c r="E539" s="526"/>
      <c r="F539" s="526"/>
      <c r="G539" s="526"/>
      <c r="H539" s="526"/>
      <c r="I539" s="526"/>
      <c r="J539" s="526"/>
      <c r="K539" s="526"/>
      <c r="L539" s="526"/>
      <c r="M539" s="526"/>
      <c r="N539" s="526"/>
      <c r="O539" s="526"/>
      <c r="P539" s="526"/>
      <c r="Q539" s="526"/>
      <c r="R539" s="526"/>
      <c r="S539" s="526"/>
      <c r="T539" s="526"/>
      <c r="U539" s="526"/>
      <c r="V539" s="526"/>
      <c r="W539" s="526"/>
      <c r="X539" s="526"/>
    </row>
    <row r="540" spans="1:24">
      <c r="A540" s="526"/>
      <c r="B540" s="526"/>
      <c r="C540" s="526"/>
      <c r="D540" s="526"/>
      <c r="E540" s="526"/>
      <c r="F540" s="526"/>
      <c r="G540" s="526"/>
      <c r="H540" s="526"/>
      <c r="I540" s="526"/>
      <c r="J540" s="526"/>
      <c r="K540" s="526"/>
      <c r="L540" s="526"/>
      <c r="M540" s="526"/>
      <c r="N540" s="526"/>
      <c r="O540" s="526"/>
      <c r="P540" s="526"/>
      <c r="Q540" s="526"/>
      <c r="R540" s="526"/>
      <c r="S540" s="526"/>
      <c r="T540" s="526"/>
      <c r="U540" s="526"/>
      <c r="V540" s="526"/>
      <c r="W540" s="526"/>
      <c r="X540" s="526"/>
    </row>
    <row r="541" spans="1:24">
      <c r="A541" s="526"/>
      <c r="B541" s="526"/>
      <c r="C541" s="526"/>
      <c r="D541" s="526"/>
      <c r="E541" s="526"/>
      <c r="F541" s="526"/>
      <c r="G541" s="526"/>
      <c r="H541" s="526"/>
      <c r="I541" s="526"/>
      <c r="J541" s="526"/>
      <c r="K541" s="526"/>
      <c r="L541" s="526"/>
      <c r="M541" s="526"/>
      <c r="N541" s="526"/>
      <c r="O541" s="526"/>
      <c r="P541" s="526"/>
      <c r="Q541" s="526"/>
      <c r="R541" s="526"/>
      <c r="S541" s="526"/>
      <c r="T541" s="526"/>
      <c r="U541" s="526"/>
      <c r="V541" s="526"/>
      <c r="W541" s="526"/>
      <c r="X541" s="526"/>
    </row>
    <row r="542" spans="1:24">
      <c r="A542" s="526"/>
      <c r="B542" s="526"/>
      <c r="C542" s="526"/>
      <c r="D542" s="526"/>
      <c r="E542" s="526"/>
      <c r="F542" s="526"/>
      <c r="G542" s="526"/>
      <c r="H542" s="526"/>
      <c r="I542" s="526"/>
      <c r="J542" s="526"/>
      <c r="K542" s="526"/>
      <c r="L542" s="526"/>
      <c r="M542" s="526"/>
      <c r="N542" s="526"/>
      <c r="O542" s="526"/>
      <c r="P542" s="526"/>
      <c r="Q542" s="526"/>
      <c r="R542" s="526"/>
      <c r="S542" s="526"/>
      <c r="T542" s="526"/>
      <c r="U542" s="526"/>
      <c r="V542" s="526"/>
      <c r="W542" s="526"/>
      <c r="X542" s="526"/>
    </row>
    <row r="543" spans="1:24">
      <c r="A543" s="526"/>
      <c r="B543" s="526"/>
      <c r="C543" s="526"/>
      <c r="D543" s="526"/>
      <c r="E543" s="526"/>
      <c r="F543" s="526"/>
      <c r="G543" s="526"/>
      <c r="H543" s="526"/>
      <c r="I543" s="526"/>
      <c r="J543" s="526"/>
      <c r="K543" s="526"/>
      <c r="L543" s="526"/>
      <c r="M543" s="526"/>
      <c r="N543" s="526"/>
      <c r="O543" s="526"/>
      <c r="P543" s="526"/>
      <c r="Q543" s="526"/>
      <c r="R543" s="526"/>
      <c r="S543" s="526"/>
      <c r="T543" s="526"/>
      <c r="U543" s="526"/>
      <c r="V543" s="526"/>
      <c r="W543" s="526"/>
      <c r="X543" s="526"/>
    </row>
    <row r="544" spans="1:24">
      <c r="A544" s="526"/>
      <c r="B544" s="526"/>
      <c r="C544" s="526"/>
      <c r="D544" s="526"/>
      <c r="E544" s="526"/>
      <c r="F544" s="526"/>
      <c r="G544" s="526"/>
      <c r="H544" s="526"/>
      <c r="I544" s="526"/>
      <c r="J544" s="526"/>
      <c r="K544" s="526"/>
      <c r="L544" s="526"/>
      <c r="M544" s="526"/>
      <c r="N544" s="526"/>
      <c r="O544" s="526"/>
      <c r="P544" s="526"/>
      <c r="Q544" s="526"/>
      <c r="R544" s="526"/>
      <c r="S544" s="526"/>
      <c r="T544" s="526"/>
      <c r="U544" s="526"/>
      <c r="V544" s="526"/>
      <c r="W544" s="526"/>
      <c r="X544" s="526"/>
    </row>
    <row r="545" spans="1:24">
      <c r="A545" s="526"/>
      <c r="B545" s="526"/>
      <c r="C545" s="526"/>
      <c r="D545" s="526"/>
      <c r="E545" s="526"/>
      <c r="F545" s="526"/>
      <c r="G545" s="526"/>
      <c r="H545" s="526"/>
      <c r="I545" s="526"/>
      <c r="J545" s="526"/>
      <c r="K545" s="526"/>
      <c r="L545" s="526"/>
      <c r="M545" s="526"/>
      <c r="N545" s="526"/>
      <c r="O545" s="526"/>
      <c r="P545" s="526"/>
      <c r="Q545" s="526"/>
      <c r="R545" s="526"/>
      <c r="S545" s="526"/>
      <c r="T545" s="526"/>
      <c r="U545" s="526"/>
      <c r="V545" s="526"/>
      <c r="W545" s="526"/>
      <c r="X545" s="526"/>
    </row>
    <row r="546" spans="1:24">
      <c r="A546" s="526"/>
      <c r="B546" s="526"/>
      <c r="C546" s="526"/>
      <c r="D546" s="526"/>
      <c r="E546" s="526"/>
      <c r="F546" s="526"/>
      <c r="G546" s="526"/>
      <c r="H546" s="526"/>
      <c r="I546" s="526"/>
      <c r="J546" s="526"/>
      <c r="K546" s="526"/>
      <c r="L546" s="526"/>
      <c r="M546" s="526"/>
      <c r="N546" s="526"/>
      <c r="O546" s="526"/>
      <c r="P546" s="526"/>
      <c r="Q546" s="526"/>
      <c r="R546" s="526"/>
      <c r="S546" s="526"/>
      <c r="T546" s="526"/>
      <c r="U546" s="526"/>
      <c r="V546" s="526"/>
      <c r="W546" s="526"/>
      <c r="X546" s="526"/>
    </row>
    <row r="547" spans="1:24">
      <c r="A547" s="526"/>
      <c r="B547" s="526"/>
      <c r="C547" s="526"/>
      <c r="D547" s="526"/>
      <c r="E547" s="526"/>
      <c r="F547" s="526"/>
      <c r="G547" s="526"/>
      <c r="H547" s="526"/>
      <c r="I547" s="526"/>
      <c r="J547" s="526"/>
      <c r="K547" s="526"/>
      <c r="L547" s="526"/>
      <c r="M547" s="526"/>
      <c r="N547" s="526"/>
      <c r="O547" s="526"/>
      <c r="P547" s="526"/>
      <c r="Q547" s="526"/>
      <c r="R547" s="526"/>
      <c r="S547" s="526"/>
      <c r="T547" s="526"/>
      <c r="U547" s="526"/>
      <c r="V547" s="526"/>
      <c r="W547" s="526"/>
      <c r="X547" s="526"/>
    </row>
    <row r="548" spans="1:24">
      <c r="A548" s="526"/>
      <c r="B548" s="526"/>
      <c r="C548" s="526"/>
      <c r="D548" s="526"/>
      <c r="E548" s="526"/>
      <c r="F548" s="526"/>
      <c r="G548" s="526"/>
      <c r="H548" s="526"/>
      <c r="I548" s="526"/>
      <c r="J548" s="526"/>
      <c r="K548" s="526"/>
      <c r="L548" s="526"/>
      <c r="M548" s="526"/>
      <c r="N548" s="526"/>
      <c r="O548" s="526"/>
      <c r="P548" s="526"/>
      <c r="Q548" s="526"/>
      <c r="R548" s="526"/>
      <c r="S548" s="526"/>
      <c r="T548" s="526"/>
      <c r="U548" s="526"/>
      <c r="V548" s="526"/>
      <c r="W548" s="526"/>
      <c r="X548" s="526"/>
    </row>
    <row r="549" spans="1:24">
      <c r="A549" s="526"/>
      <c r="B549" s="526"/>
      <c r="C549" s="526"/>
      <c r="D549" s="526"/>
      <c r="E549" s="526"/>
      <c r="F549" s="526"/>
      <c r="G549" s="526"/>
      <c r="H549" s="526"/>
      <c r="I549" s="526"/>
      <c r="J549" s="526"/>
      <c r="K549" s="526"/>
      <c r="L549" s="526"/>
      <c r="M549" s="526"/>
      <c r="N549" s="526"/>
      <c r="O549" s="526"/>
      <c r="P549" s="526"/>
      <c r="Q549" s="526"/>
      <c r="R549" s="526"/>
      <c r="S549" s="526"/>
      <c r="T549" s="526"/>
      <c r="U549" s="526"/>
      <c r="V549" s="526"/>
      <c r="W549" s="526"/>
      <c r="X549" s="526"/>
    </row>
    <row r="550" spans="1:24">
      <c r="A550" s="526"/>
      <c r="B550" s="526"/>
      <c r="C550" s="526"/>
      <c r="D550" s="526"/>
      <c r="E550" s="526"/>
      <c r="F550" s="526"/>
      <c r="G550" s="526"/>
      <c r="H550" s="526"/>
      <c r="I550" s="526"/>
      <c r="J550" s="526"/>
      <c r="K550" s="526"/>
      <c r="L550" s="526"/>
      <c r="M550" s="526"/>
      <c r="N550" s="526"/>
      <c r="O550" s="526"/>
      <c r="P550" s="526"/>
      <c r="Q550" s="526"/>
      <c r="R550" s="526"/>
      <c r="S550" s="526"/>
      <c r="T550" s="526"/>
      <c r="U550" s="526"/>
      <c r="V550" s="526"/>
      <c r="W550" s="526"/>
      <c r="X550" s="526"/>
    </row>
    <row r="551" spans="1:24">
      <c r="A551" s="526"/>
      <c r="B551" s="526"/>
      <c r="C551" s="526"/>
      <c r="D551" s="526"/>
      <c r="E551" s="526"/>
      <c r="F551" s="526"/>
      <c r="G551" s="526"/>
      <c r="H551" s="526"/>
      <c r="I551" s="526"/>
      <c r="J551" s="526"/>
      <c r="K551" s="526"/>
      <c r="L551" s="526"/>
      <c r="M551" s="526"/>
      <c r="N551" s="526"/>
      <c r="O551" s="526"/>
      <c r="P551" s="526"/>
      <c r="Q551" s="526"/>
      <c r="R551" s="526"/>
      <c r="S551" s="526"/>
      <c r="T551" s="526"/>
      <c r="U551" s="526"/>
      <c r="V551" s="526"/>
      <c r="W551" s="526"/>
      <c r="X551" s="526"/>
    </row>
    <row r="552" spans="1:24">
      <c r="A552" s="526"/>
      <c r="B552" s="526"/>
      <c r="C552" s="526"/>
      <c r="D552" s="526"/>
      <c r="E552" s="526"/>
      <c r="F552" s="526"/>
      <c r="G552" s="526"/>
      <c r="H552" s="526"/>
      <c r="I552" s="526"/>
      <c r="J552" s="526"/>
      <c r="K552" s="526"/>
      <c r="L552" s="526"/>
      <c r="M552" s="526"/>
      <c r="N552" s="526"/>
      <c r="O552" s="526"/>
      <c r="P552" s="526"/>
      <c r="Q552" s="526"/>
      <c r="R552" s="526"/>
      <c r="S552" s="526"/>
      <c r="T552" s="526"/>
      <c r="U552" s="526"/>
      <c r="V552" s="526"/>
      <c r="W552" s="526"/>
      <c r="X552" s="526"/>
    </row>
    <row r="553" spans="1:24">
      <c r="A553" s="526"/>
      <c r="B553" s="526"/>
      <c r="C553" s="526"/>
      <c r="D553" s="526"/>
      <c r="E553" s="526"/>
      <c r="F553" s="526"/>
      <c r="G553" s="526"/>
      <c r="H553" s="526"/>
      <c r="I553" s="526"/>
      <c r="J553" s="526"/>
      <c r="K553" s="526"/>
      <c r="L553" s="526"/>
      <c r="M553" s="526"/>
      <c r="N553" s="526"/>
      <c r="O553" s="526"/>
      <c r="P553" s="526"/>
      <c r="Q553" s="526"/>
      <c r="R553" s="526"/>
      <c r="S553" s="526"/>
      <c r="T553" s="526"/>
      <c r="U553" s="526"/>
      <c r="V553" s="526"/>
      <c r="W553" s="526"/>
      <c r="X553" s="526"/>
    </row>
    <row r="554" spans="1:24">
      <c r="A554" s="526"/>
      <c r="B554" s="526"/>
      <c r="C554" s="526"/>
      <c r="D554" s="526"/>
      <c r="E554" s="526"/>
      <c r="F554" s="526"/>
      <c r="G554" s="526"/>
      <c r="H554" s="526"/>
      <c r="I554" s="526"/>
      <c r="J554" s="526"/>
      <c r="K554" s="526"/>
      <c r="L554" s="526"/>
      <c r="M554" s="526"/>
      <c r="N554" s="526"/>
      <c r="O554" s="526"/>
      <c r="P554" s="526"/>
      <c r="Q554" s="526"/>
      <c r="R554" s="526"/>
      <c r="S554" s="526"/>
      <c r="T554" s="526"/>
      <c r="U554" s="526"/>
      <c r="V554" s="526"/>
      <c r="W554" s="526"/>
      <c r="X554" s="526"/>
    </row>
    <row r="555" spans="1:24">
      <c r="A555" s="526"/>
      <c r="B555" s="526"/>
      <c r="C555" s="526"/>
      <c r="D555" s="526"/>
      <c r="E555" s="526"/>
      <c r="F555" s="526"/>
      <c r="G555" s="526"/>
      <c r="H555" s="526"/>
      <c r="I555" s="526"/>
      <c r="J555" s="526"/>
      <c r="K555" s="526"/>
      <c r="L555" s="526"/>
      <c r="M555" s="526"/>
      <c r="N555" s="526"/>
      <c r="O555" s="526"/>
      <c r="P555" s="526"/>
      <c r="Q555" s="526"/>
      <c r="R555" s="526"/>
      <c r="S555" s="526"/>
      <c r="T555" s="526"/>
      <c r="U555" s="526"/>
      <c r="V555" s="526"/>
      <c r="W555" s="526"/>
      <c r="X555" s="526"/>
    </row>
    <row r="556" spans="1:24">
      <c r="A556" s="526"/>
      <c r="B556" s="526"/>
      <c r="C556" s="526"/>
      <c r="D556" s="526"/>
      <c r="E556" s="526"/>
      <c r="F556" s="526"/>
      <c r="G556" s="526"/>
      <c r="H556" s="526"/>
      <c r="I556" s="526"/>
      <c r="J556" s="526"/>
      <c r="K556" s="526"/>
      <c r="L556" s="526"/>
      <c r="M556" s="526"/>
      <c r="N556" s="526"/>
      <c r="O556" s="526"/>
      <c r="P556" s="526"/>
      <c r="Q556" s="526"/>
      <c r="R556" s="526"/>
      <c r="S556" s="526"/>
      <c r="T556" s="526"/>
      <c r="U556" s="526"/>
      <c r="V556" s="526"/>
      <c r="W556" s="526"/>
      <c r="X556" s="526"/>
    </row>
    <row r="557" spans="1:24">
      <c r="A557" s="526"/>
      <c r="B557" s="526"/>
      <c r="C557" s="526"/>
      <c r="D557" s="526"/>
      <c r="E557" s="526"/>
      <c r="F557" s="526"/>
      <c r="G557" s="526"/>
      <c r="H557" s="526"/>
      <c r="I557" s="526"/>
      <c r="J557" s="526"/>
      <c r="K557" s="526"/>
      <c r="L557" s="526"/>
      <c r="M557" s="526"/>
      <c r="N557" s="526"/>
      <c r="O557" s="526"/>
      <c r="P557" s="526"/>
      <c r="Q557" s="526"/>
      <c r="R557" s="526"/>
      <c r="S557" s="526"/>
      <c r="T557" s="526"/>
      <c r="U557" s="526"/>
      <c r="V557" s="526"/>
      <c r="W557" s="526"/>
      <c r="X557" s="526"/>
    </row>
    <row r="558" spans="1:24">
      <c r="A558" s="526"/>
      <c r="B558" s="526"/>
      <c r="C558" s="526"/>
      <c r="D558" s="526"/>
      <c r="E558" s="526"/>
      <c r="F558" s="526"/>
      <c r="G558" s="526"/>
      <c r="H558" s="526"/>
      <c r="I558" s="526"/>
      <c r="J558" s="526"/>
      <c r="K558" s="526"/>
      <c r="L558" s="526"/>
      <c r="M558" s="526"/>
      <c r="N558" s="526"/>
      <c r="O558" s="526"/>
      <c r="P558" s="526"/>
      <c r="Q558" s="526"/>
      <c r="R558" s="526"/>
      <c r="S558" s="526"/>
      <c r="T558" s="526"/>
      <c r="U558" s="526"/>
      <c r="V558" s="526"/>
      <c r="W558" s="526"/>
      <c r="X558" s="526"/>
    </row>
    <row r="559" spans="1:24">
      <c r="A559" s="526"/>
      <c r="B559" s="526"/>
      <c r="C559" s="526"/>
      <c r="D559" s="526"/>
      <c r="E559" s="526"/>
      <c r="F559" s="526"/>
      <c r="G559" s="526"/>
      <c r="H559" s="526"/>
      <c r="I559" s="526"/>
      <c r="J559" s="526"/>
      <c r="K559" s="526"/>
      <c r="L559" s="526"/>
      <c r="M559" s="526"/>
      <c r="N559" s="526"/>
      <c r="O559" s="526"/>
      <c r="P559" s="526"/>
      <c r="Q559" s="526"/>
      <c r="R559" s="526"/>
      <c r="S559" s="526"/>
      <c r="T559" s="526"/>
      <c r="U559" s="526"/>
      <c r="V559" s="526"/>
      <c r="W559" s="526"/>
      <c r="X559" s="526"/>
    </row>
    <row r="560" spans="1:24">
      <c r="A560" s="526"/>
      <c r="B560" s="526"/>
      <c r="C560" s="526"/>
      <c r="D560" s="526"/>
      <c r="E560" s="526"/>
      <c r="F560" s="526"/>
      <c r="G560" s="526"/>
      <c r="H560" s="526"/>
      <c r="I560" s="526"/>
      <c r="J560" s="526"/>
      <c r="K560" s="526"/>
      <c r="L560" s="526"/>
      <c r="M560" s="526"/>
      <c r="N560" s="526"/>
      <c r="O560" s="526"/>
      <c r="P560" s="526"/>
      <c r="Q560" s="526"/>
      <c r="R560" s="526"/>
      <c r="S560" s="526"/>
      <c r="T560" s="526"/>
      <c r="U560" s="526"/>
      <c r="V560" s="526"/>
      <c r="W560" s="526"/>
      <c r="X560" s="526"/>
    </row>
    <row r="561" spans="1:24">
      <c r="A561" s="526"/>
      <c r="B561" s="526"/>
      <c r="C561" s="526"/>
      <c r="D561" s="526"/>
      <c r="E561" s="526"/>
      <c r="F561" s="526"/>
      <c r="G561" s="526"/>
      <c r="H561" s="526"/>
      <c r="I561" s="526"/>
      <c r="J561" s="526"/>
      <c r="K561" s="526"/>
      <c r="L561" s="526"/>
      <c r="M561" s="526"/>
      <c r="N561" s="526"/>
      <c r="O561" s="526"/>
      <c r="P561" s="526"/>
      <c r="Q561" s="526"/>
      <c r="R561" s="526"/>
      <c r="S561" s="526"/>
      <c r="T561" s="526"/>
      <c r="U561" s="526"/>
      <c r="V561" s="526"/>
      <c r="W561" s="526"/>
      <c r="X561" s="526"/>
    </row>
    <row r="562" spans="1:24">
      <c r="A562" s="526"/>
      <c r="B562" s="526"/>
      <c r="C562" s="526"/>
      <c r="D562" s="526"/>
      <c r="E562" s="526"/>
      <c r="F562" s="526"/>
      <c r="G562" s="526"/>
      <c r="H562" s="526"/>
      <c r="I562" s="526"/>
      <c r="J562" s="526"/>
      <c r="K562" s="526"/>
      <c r="L562" s="526"/>
      <c r="M562" s="526"/>
      <c r="N562" s="526"/>
      <c r="O562" s="526"/>
      <c r="P562" s="526"/>
      <c r="Q562" s="526"/>
      <c r="R562" s="526"/>
      <c r="S562" s="526"/>
      <c r="T562" s="526"/>
      <c r="U562" s="526"/>
      <c r="V562" s="526"/>
      <c r="W562" s="526"/>
      <c r="X562" s="526"/>
    </row>
    <row r="563" spans="1:24">
      <c r="A563" s="526"/>
      <c r="B563" s="526"/>
      <c r="C563" s="526"/>
      <c r="D563" s="526"/>
      <c r="E563" s="526"/>
      <c r="F563" s="526"/>
      <c r="G563" s="526"/>
      <c r="H563" s="526"/>
      <c r="I563" s="526"/>
      <c r="J563" s="526"/>
      <c r="K563" s="526"/>
      <c r="L563" s="526"/>
      <c r="M563" s="526"/>
      <c r="N563" s="526"/>
      <c r="O563" s="526"/>
      <c r="P563" s="526"/>
      <c r="Q563" s="526"/>
      <c r="R563" s="526"/>
      <c r="S563" s="526"/>
      <c r="T563" s="526"/>
      <c r="U563" s="526"/>
      <c r="V563" s="526"/>
      <c r="W563" s="526"/>
      <c r="X563" s="526"/>
    </row>
    <row r="564" spans="1:24">
      <c r="A564" s="526"/>
      <c r="B564" s="526"/>
      <c r="C564" s="526"/>
      <c r="D564" s="526"/>
      <c r="E564" s="526"/>
      <c r="F564" s="526"/>
      <c r="G564" s="526"/>
      <c r="H564" s="526"/>
      <c r="I564" s="526"/>
      <c r="J564" s="526"/>
      <c r="K564" s="526"/>
      <c r="L564" s="526"/>
      <c r="M564" s="526"/>
      <c r="N564" s="526"/>
      <c r="O564" s="526"/>
      <c r="P564" s="526"/>
      <c r="Q564" s="526"/>
      <c r="R564" s="526"/>
      <c r="S564" s="526"/>
      <c r="T564" s="526"/>
      <c r="U564" s="526"/>
      <c r="V564" s="526"/>
      <c r="W564" s="526"/>
      <c r="X564" s="526"/>
    </row>
    <row r="565" spans="1:24">
      <c r="A565" s="526"/>
      <c r="B565" s="526"/>
      <c r="C565" s="526"/>
      <c r="D565" s="526"/>
      <c r="E565" s="526"/>
      <c r="F565" s="526"/>
      <c r="G565" s="526"/>
      <c r="H565" s="526"/>
      <c r="I565" s="526"/>
      <c r="J565" s="526"/>
      <c r="K565" s="526"/>
      <c r="L565" s="526"/>
      <c r="M565" s="526"/>
      <c r="N565" s="526"/>
      <c r="O565" s="526"/>
      <c r="P565" s="526"/>
      <c r="Q565" s="526"/>
      <c r="R565" s="526"/>
      <c r="S565" s="526"/>
      <c r="T565" s="526"/>
      <c r="U565" s="526"/>
      <c r="V565" s="526"/>
      <c r="W565" s="526"/>
      <c r="X565" s="526"/>
    </row>
    <row r="566" spans="1:24">
      <c r="A566" s="526"/>
      <c r="B566" s="526"/>
      <c r="C566" s="526"/>
      <c r="D566" s="526"/>
      <c r="E566" s="526"/>
      <c r="F566" s="526"/>
      <c r="G566" s="526"/>
      <c r="H566" s="526"/>
      <c r="I566" s="526"/>
      <c r="J566" s="526"/>
      <c r="K566" s="526"/>
      <c r="L566" s="526"/>
      <c r="M566" s="526"/>
      <c r="N566" s="526"/>
      <c r="O566" s="526"/>
      <c r="P566" s="526"/>
      <c r="Q566" s="526"/>
      <c r="R566" s="526"/>
      <c r="S566" s="526"/>
      <c r="T566" s="526"/>
      <c r="U566" s="526"/>
      <c r="V566" s="526"/>
      <c r="W566" s="526"/>
      <c r="X566" s="526"/>
    </row>
    <row r="567" spans="1:24">
      <c r="A567" s="526"/>
      <c r="B567" s="526"/>
      <c r="C567" s="526"/>
      <c r="D567" s="526"/>
      <c r="E567" s="526"/>
      <c r="F567" s="526"/>
      <c r="G567" s="526"/>
      <c r="H567" s="526"/>
      <c r="I567" s="526"/>
      <c r="J567" s="526"/>
      <c r="K567" s="526"/>
      <c r="L567" s="526"/>
      <c r="M567" s="526"/>
      <c r="N567" s="526"/>
      <c r="O567" s="526"/>
      <c r="P567" s="526"/>
      <c r="Q567" s="526"/>
      <c r="R567" s="526"/>
      <c r="S567" s="526"/>
      <c r="T567" s="526"/>
      <c r="U567" s="526"/>
      <c r="V567" s="526"/>
      <c r="W567" s="526"/>
      <c r="X567" s="526"/>
    </row>
    <row r="568" spans="1:24">
      <c r="A568" s="526"/>
      <c r="B568" s="526"/>
      <c r="C568" s="526"/>
      <c r="D568" s="526"/>
      <c r="E568" s="526"/>
      <c r="F568" s="526"/>
      <c r="G568" s="526"/>
      <c r="H568" s="526"/>
      <c r="I568" s="526"/>
      <c r="J568" s="526"/>
      <c r="K568" s="526"/>
      <c r="L568" s="526"/>
      <c r="M568" s="526"/>
      <c r="N568" s="526"/>
      <c r="O568" s="526"/>
      <c r="P568" s="526"/>
      <c r="Q568" s="526"/>
      <c r="R568" s="526"/>
      <c r="S568" s="526"/>
      <c r="T568" s="526"/>
      <c r="U568" s="526"/>
      <c r="V568" s="526"/>
      <c r="W568" s="526"/>
      <c r="X568" s="526"/>
    </row>
    <row r="569" spans="1:24">
      <c r="A569" s="526"/>
      <c r="B569" s="526"/>
      <c r="C569" s="526"/>
      <c r="D569" s="526"/>
      <c r="E569" s="526"/>
      <c r="F569" s="526"/>
      <c r="G569" s="526"/>
      <c r="H569" s="526"/>
      <c r="I569" s="526"/>
      <c r="J569" s="526"/>
      <c r="K569" s="526"/>
      <c r="L569" s="526"/>
      <c r="M569" s="526"/>
      <c r="N569" s="526"/>
      <c r="O569" s="526"/>
      <c r="P569" s="526"/>
      <c r="Q569" s="526"/>
      <c r="R569" s="526"/>
      <c r="S569" s="526"/>
      <c r="T569" s="526"/>
      <c r="U569" s="526"/>
      <c r="V569" s="526"/>
      <c r="W569" s="526"/>
      <c r="X569" s="526"/>
    </row>
    <row r="570" spans="1:24">
      <c r="A570" s="526"/>
      <c r="B570" s="526"/>
      <c r="C570" s="526"/>
      <c r="D570" s="526"/>
      <c r="E570" s="526"/>
      <c r="F570" s="526"/>
      <c r="G570" s="526"/>
      <c r="H570" s="526"/>
      <c r="I570" s="526"/>
      <c r="J570" s="526"/>
      <c r="K570" s="526"/>
      <c r="L570" s="526"/>
      <c r="M570" s="526"/>
      <c r="N570" s="526"/>
      <c r="O570" s="526"/>
      <c r="P570" s="526"/>
      <c r="Q570" s="526"/>
      <c r="R570" s="526"/>
      <c r="S570" s="526"/>
      <c r="T570" s="526"/>
      <c r="U570" s="526"/>
      <c r="V570" s="526"/>
      <c r="W570" s="526"/>
      <c r="X570" s="526"/>
    </row>
    <row r="571" spans="1:24">
      <c r="A571" s="526"/>
      <c r="B571" s="526"/>
      <c r="C571" s="526"/>
      <c r="D571" s="526"/>
      <c r="E571" s="526"/>
      <c r="F571" s="526"/>
      <c r="G571" s="526"/>
      <c r="H571" s="526"/>
      <c r="I571" s="526"/>
      <c r="J571" s="526"/>
      <c r="K571" s="526"/>
      <c r="L571" s="526"/>
      <c r="M571" s="526"/>
      <c r="N571" s="526"/>
      <c r="O571" s="526"/>
      <c r="P571" s="526"/>
      <c r="Q571" s="526"/>
      <c r="R571" s="526"/>
      <c r="S571" s="526"/>
      <c r="T571" s="526"/>
      <c r="U571" s="526"/>
      <c r="V571" s="526"/>
      <c r="W571" s="526"/>
      <c r="X571" s="526"/>
    </row>
    <row r="572" spans="1:24">
      <c r="A572" s="526"/>
      <c r="B572" s="526"/>
      <c r="C572" s="526"/>
      <c r="D572" s="526"/>
      <c r="E572" s="526"/>
      <c r="F572" s="526"/>
      <c r="G572" s="526"/>
      <c r="H572" s="526"/>
      <c r="I572" s="526"/>
      <c r="J572" s="526"/>
      <c r="K572" s="526"/>
      <c r="L572" s="526"/>
      <c r="M572" s="526"/>
      <c r="N572" s="526"/>
      <c r="O572" s="526"/>
      <c r="P572" s="526"/>
      <c r="Q572" s="526"/>
      <c r="R572" s="526"/>
      <c r="S572" s="526"/>
      <c r="T572" s="526"/>
      <c r="U572" s="526"/>
      <c r="V572" s="526"/>
      <c r="W572" s="526"/>
      <c r="X572" s="526"/>
    </row>
    <row r="573" spans="1:24">
      <c r="A573" s="526"/>
      <c r="B573" s="526"/>
      <c r="C573" s="526"/>
      <c r="D573" s="526"/>
      <c r="E573" s="526"/>
      <c r="F573" s="526"/>
      <c r="G573" s="526"/>
      <c r="H573" s="526"/>
      <c r="I573" s="526"/>
      <c r="J573" s="526"/>
      <c r="K573" s="526"/>
      <c r="L573" s="526"/>
      <c r="M573" s="526"/>
      <c r="N573" s="526"/>
      <c r="O573" s="526"/>
      <c r="P573" s="526"/>
      <c r="Q573" s="526"/>
      <c r="R573" s="526"/>
      <c r="S573" s="526"/>
      <c r="T573" s="526"/>
      <c r="U573" s="526"/>
      <c r="V573" s="526"/>
      <c r="W573" s="526"/>
      <c r="X573" s="526"/>
    </row>
    <row r="574" spans="1:24">
      <c r="A574" s="526"/>
      <c r="B574" s="526"/>
      <c r="C574" s="526"/>
      <c r="D574" s="526"/>
      <c r="E574" s="526"/>
      <c r="F574" s="526"/>
      <c r="G574" s="526"/>
      <c r="H574" s="526"/>
      <c r="I574" s="526"/>
      <c r="J574" s="526"/>
      <c r="K574" s="526"/>
      <c r="L574" s="526"/>
      <c r="M574" s="526"/>
      <c r="N574" s="526"/>
      <c r="O574" s="526"/>
      <c r="P574" s="526"/>
      <c r="Q574" s="526"/>
      <c r="R574" s="526"/>
      <c r="S574" s="526"/>
      <c r="T574" s="526"/>
      <c r="U574" s="526"/>
      <c r="V574" s="526"/>
      <c r="W574" s="526"/>
      <c r="X574" s="526"/>
    </row>
    <row r="575" spans="1:24">
      <c r="A575" s="526"/>
      <c r="B575" s="526"/>
      <c r="C575" s="526"/>
      <c r="D575" s="526"/>
      <c r="E575" s="526"/>
      <c r="F575" s="526"/>
      <c r="G575" s="526"/>
      <c r="H575" s="526"/>
      <c r="I575" s="526"/>
      <c r="J575" s="526"/>
      <c r="K575" s="526"/>
      <c r="L575" s="526"/>
      <c r="M575" s="526"/>
      <c r="N575" s="526"/>
      <c r="O575" s="526"/>
      <c r="P575" s="526"/>
      <c r="Q575" s="526"/>
      <c r="R575" s="526"/>
      <c r="S575" s="526"/>
      <c r="T575" s="526"/>
      <c r="U575" s="526"/>
      <c r="V575" s="526"/>
      <c r="W575" s="526"/>
      <c r="X575" s="526"/>
    </row>
    <row r="576" spans="1:24">
      <c r="A576" s="526"/>
      <c r="B576" s="526"/>
      <c r="C576" s="526"/>
      <c r="D576" s="526"/>
      <c r="E576" s="526"/>
      <c r="F576" s="526"/>
      <c r="G576" s="526"/>
      <c r="H576" s="526"/>
      <c r="I576" s="526"/>
      <c r="J576" s="526"/>
      <c r="K576" s="526"/>
      <c r="L576" s="526"/>
      <c r="M576" s="526"/>
      <c r="N576" s="526"/>
      <c r="O576" s="526"/>
      <c r="P576" s="526"/>
      <c r="Q576" s="526"/>
      <c r="R576" s="526"/>
      <c r="S576" s="526"/>
      <c r="T576" s="526"/>
      <c r="U576" s="526"/>
      <c r="V576" s="526"/>
      <c r="W576" s="526"/>
      <c r="X576" s="526"/>
    </row>
    <row r="577" spans="1:24">
      <c r="A577" s="526"/>
      <c r="B577" s="526"/>
      <c r="C577" s="526"/>
      <c r="D577" s="526"/>
      <c r="E577" s="526"/>
      <c r="F577" s="526"/>
      <c r="G577" s="526"/>
      <c r="H577" s="526"/>
      <c r="I577" s="526"/>
      <c r="J577" s="526"/>
      <c r="K577" s="526"/>
      <c r="L577" s="526"/>
      <c r="M577" s="526"/>
      <c r="N577" s="526"/>
      <c r="O577" s="526"/>
      <c r="P577" s="526"/>
      <c r="Q577" s="526"/>
      <c r="R577" s="526"/>
      <c r="S577" s="526"/>
      <c r="T577" s="526"/>
      <c r="U577" s="526"/>
      <c r="V577" s="526"/>
      <c r="W577" s="526"/>
      <c r="X577" s="526"/>
    </row>
    <row r="578" spans="1:24">
      <c r="A578" s="526"/>
      <c r="B578" s="526"/>
      <c r="C578" s="526"/>
      <c r="D578" s="526"/>
      <c r="E578" s="526"/>
      <c r="F578" s="526"/>
      <c r="G578" s="526"/>
      <c r="H578" s="526"/>
      <c r="I578" s="526"/>
      <c r="J578" s="526"/>
      <c r="K578" s="526"/>
      <c r="L578" s="526"/>
      <c r="M578" s="526"/>
      <c r="N578" s="526"/>
      <c r="O578" s="526"/>
      <c r="P578" s="526"/>
      <c r="Q578" s="526"/>
      <c r="R578" s="526"/>
      <c r="S578" s="526"/>
      <c r="T578" s="526"/>
      <c r="U578" s="526"/>
      <c r="V578" s="526"/>
      <c r="W578" s="526"/>
      <c r="X578" s="526"/>
    </row>
    <row r="579" spans="1:24">
      <c r="A579" s="526"/>
      <c r="B579" s="526"/>
      <c r="C579" s="526"/>
      <c r="D579" s="526"/>
      <c r="E579" s="526"/>
      <c r="F579" s="526"/>
      <c r="G579" s="526"/>
      <c r="H579" s="526"/>
      <c r="I579" s="526"/>
      <c r="J579" s="526"/>
      <c r="K579" s="526"/>
      <c r="L579" s="526"/>
      <c r="M579" s="526"/>
      <c r="N579" s="526"/>
      <c r="O579" s="526"/>
      <c r="P579" s="526"/>
      <c r="Q579" s="526"/>
      <c r="R579" s="526"/>
      <c r="S579" s="526"/>
      <c r="T579" s="526"/>
      <c r="U579" s="526"/>
      <c r="V579" s="526"/>
      <c r="W579" s="526"/>
      <c r="X579" s="526"/>
    </row>
    <row r="580" spans="1:24">
      <c r="A580" s="526"/>
      <c r="B580" s="526"/>
      <c r="C580" s="526"/>
      <c r="D580" s="526"/>
      <c r="E580" s="526"/>
      <c r="F580" s="526"/>
      <c r="G580" s="526"/>
      <c r="H580" s="526"/>
      <c r="I580" s="526"/>
      <c r="J580" s="526"/>
      <c r="K580" s="526"/>
      <c r="L580" s="526"/>
      <c r="M580" s="526"/>
      <c r="N580" s="526"/>
      <c r="O580" s="526"/>
      <c r="P580" s="526"/>
      <c r="Q580" s="526"/>
      <c r="R580" s="526"/>
      <c r="S580" s="526"/>
      <c r="T580" s="526"/>
      <c r="U580" s="526"/>
      <c r="V580" s="526"/>
      <c r="W580" s="526"/>
      <c r="X580" s="526"/>
    </row>
    <row r="581" spans="1:24">
      <c r="A581" s="526"/>
      <c r="B581" s="526"/>
      <c r="C581" s="526"/>
      <c r="D581" s="526"/>
      <c r="E581" s="526"/>
      <c r="F581" s="526"/>
      <c r="G581" s="526"/>
      <c r="H581" s="526"/>
      <c r="I581" s="526"/>
      <c r="J581" s="526"/>
      <c r="K581" s="526"/>
      <c r="L581" s="526"/>
      <c r="M581" s="526"/>
      <c r="N581" s="526"/>
      <c r="O581" s="526"/>
      <c r="P581" s="526"/>
      <c r="Q581" s="526"/>
      <c r="R581" s="526"/>
      <c r="S581" s="526"/>
      <c r="T581" s="526"/>
      <c r="U581" s="526"/>
      <c r="V581" s="526"/>
      <c r="W581" s="526"/>
      <c r="X581" s="526"/>
    </row>
    <row r="582" spans="1:24">
      <c r="A582" s="526"/>
      <c r="B582" s="526"/>
      <c r="C582" s="526"/>
      <c r="D582" s="526"/>
      <c r="E582" s="526"/>
      <c r="F582" s="526"/>
      <c r="G582" s="526"/>
      <c r="H582" s="526"/>
      <c r="I582" s="526"/>
      <c r="J582" s="526"/>
      <c r="K582" s="526"/>
      <c r="L582" s="526"/>
      <c r="M582" s="526"/>
      <c r="N582" s="526"/>
      <c r="O582" s="526"/>
      <c r="P582" s="526"/>
      <c r="Q582" s="526"/>
      <c r="R582" s="526"/>
      <c r="S582" s="526"/>
      <c r="T582" s="526"/>
      <c r="U582" s="526"/>
      <c r="V582" s="526"/>
      <c r="W582" s="526"/>
      <c r="X582" s="526"/>
    </row>
    <row r="583" spans="1:24">
      <c r="A583" s="526"/>
      <c r="B583" s="526"/>
      <c r="C583" s="526"/>
      <c r="D583" s="526"/>
      <c r="E583" s="526"/>
      <c r="F583" s="526"/>
      <c r="G583" s="526"/>
      <c r="H583" s="526"/>
      <c r="I583" s="526"/>
      <c r="J583" s="526"/>
      <c r="K583" s="526"/>
      <c r="L583" s="526"/>
      <c r="M583" s="526"/>
      <c r="N583" s="526"/>
      <c r="O583" s="526"/>
      <c r="P583" s="526"/>
      <c r="Q583" s="526"/>
      <c r="R583" s="526"/>
      <c r="S583" s="526"/>
      <c r="T583" s="526"/>
      <c r="U583" s="526"/>
      <c r="V583" s="526"/>
      <c r="W583" s="526"/>
      <c r="X583" s="526"/>
    </row>
    <row r="584" spans="1:24">
      <c r="A584" s="526"/>
      <c r="B584" s="526"/>
      <c r="C584" s="526"/>
      <c r="D584" s="526"/>
      <c r="E584" s="526"/>
      <c r="F584" s="526"/>
      <c r="G584" s="526"/>
      <c r="H584" s="526"/>
      <c r="I584" s="526"/>
      <c r="J584" s="526"/>
      <c r="K584" s="526"/>
      <c r="L584" s="526"/>
      <c r="M584" s="526"/>
      <c r="N584" s="526"/>
      <c r="O584" s="526"/>
      <c r="P584" s="526"/>
      <c r="Q584" s="526"/>
      <c r="R584" s="526"/>
      <c r="S584" s="526"/>
      <c r="T584" s="526"/>
      <c r="U584" s="526"/>
      <c r="V584" s="526"/>
      <c r="W584" s="526"/>
      <c r="X584" s="526"/>
    </row>
    <row r="585" spans="1:24">
      <c r="A585" s="526"/>
      <c r="B585" s="526"/>
      <c r="C585" s="526"/>
      <c r="D585" s="526"/>
      <c r="E585" s="526"/>
      <c r="F585" s="526"/>
      <c r="G585" s="526"/>
      <c r="H585" s="526"/>
      <c r="I585" s="526"/>
      <c r="J585" s="526"/>
      <c r="K585" s="526"/>
      <c r="L585" s="526"/>
      <c r="M585" s="526"/>
      <c r="N585" s="526"/>
      <c r="O585" s="526"/>
      <c r="P585" s="526"/>
      <c r="Q585" s="526"/>
      <c r="R585" s="526"/>
      <c r="S585" s="526"/>
      <c r="T585" s="526"/>
      <c r="U585" s="526"/>
      <c r="V585" s="526"/>
      <c r="W585" s="526"/>
      <c r="X585" s="526"/>
    </row>
    <row r="586" spans="1:24">
      <c r="A586" s="526"/>
      <c r="B586" s="526"/>
      <c r="C586" s="526"/>
      <c r="D586" s="526"/>
      <c r="E586" s="526"/>
      <c r="F586" s="526"/>
      <c r="G586" s="526"/>
      <c r="H586" s="526"/>
      <c r="I586" s="526"/>
      <c r="J586" s="526"/>
      <c r="K586" s="526"/>
      <c r="L586" s="526"/>
      <c r="M586" s="526"/>
      <c r="N586" s="526"/>
      <c r="O586" s="526"/>
      <c r="P586" s="526"/>
      <c r="Q586" s="526"/>
      <c r="R586" s="526"/>
      <c r="S586" s="526"/>
      <c r="T586" s="526"/>
      <c r="U586" s="526"/>
      <c r="V586" s="526"/>
      <c r="W586" s="526"/>
      <c r="X586" s="526"/>
    </row>
    <row r="587" spans="1:24">
      <c r="A587" s="526"/>
      <c r="B587" s="526"/>
      <c r="C587" s="526"/>
      <c r="D587" s="526"/>
      <c r="E587" s="526"/>
      <c r="F587" s="526"/>
      <c r="G587" s="526"/>
      <c r="H587" s="526"/>
      <c r="I587" s="526"/>
      <c r="J587" s="526"/>
      <c r="K587" s="526"/>
      <c r="L587" s="526"/>
      <c r="M587" s="526"/>
      <c r="N587" s="526"/>
      <c r="O587" s="526"/>
      <c r="P587" s="526"/>
      <c r="Q587" s="526"/>
      <c r="R587" s="526"/>
      <c r="S587" s="526"/>
      <c r="T587" s="526"/>
      <c r="U587" s="526"/>
      <c r="V587" s="526"/>
      <c r="W587" s="526"/>
      <c r="X587" s="526"/>
    </row>
    <row r="588" spans="1:24">
      <c r="A588" s="526"/>
      <c r="B588" s="526"/>
      <c r="C588" s="526"/>
      <c r="D588" s="526"/>
      <c r="E588" s="526"/>
      <c r="F588" s="526"/>
      <c r="G588" s="526"/>
      <c r="H588" s="526"/>
      <c r="I588" s="526"/>
      <c r="J588" s="526"/>
      <c r="K588" s="526"/>
      <c r="L588" s="526"/>
      <c r="M588" s="526"/>
      <c r="N588" s="526"/>
      <c r="O588" s="526"/>
      <c r="P588" s="526"/>
      <c r="Q588" s="526"/>
      <c r="R588" s="526"/>
      <c r="S588" s="526"/>
      <c r="T588" s="526"/>
      <c r="U588" s="526"/>
      <c r="V588" s="526"/>
      <c r="W588" s="526"/>
      <c r="X588" s="526"/>
    </row>
    <row r="589" spans="1:24">
      <c r="A589" s="526"/>
      <c r="B589" s="526"/>
      <c r="C589" s="526"/>
      <c r="D589" s="526"/>
      <c r="E589" s="526"/>
      <c r="F589" s="526"/>
      <c r="G589" s="526"/>
      <c r="H589" s="526"/>
      <c r="I589" s="526"/>
      <c r="J589" s="526"/>
      <c r="K589" s="526"/>
      <c r="L589" s="526"/>
      <c r="M589" s="526"/>
      <c r="N589" s="526"/>
      <c r="O589" s="526"/>
      <c r="P589" s="526"/>
      <c r="Q589" s="526"/>
      <c r="R589" s="526"/>
      <c r="S589" s="526"/>
      <c r="T589" s="526"/>
      <c r="U589" s="526"/>
      <c r="V589" s="526"/>
      <c r="W589" s="526"/>
      <c r="X589" s="526"/>
    </row>
    <row r="590" spans="1:24">
      <c r="A590" s="526"/>
      <c r="B590" s="526"/>
      <c r="C590" s="526"/>
      <c r="D590" s="526"/>
      <c r="E590" s="526"/>
      <c r="F590" s="526"/>
      <c r="G590" s="526"/>
      <c r="H590" s="526"/>
      <c r="I590" s="526"/>
      <c r="J590" s="526"/>
      <c r="K590" s="526"/>
      <c r="L590" s="526"/>
      <c r="M590" s="526"/>
      <c r="N590" s="526"/>
      <c r="O590" s="526"/>
      <c r="P590" s="526"/>
      <c r="Q590" s="526"/>
      <c r="R590" s="526"/>
      <c r="S590" s="526"/>
      <c r="T590" s="526"/>
      <c r="U590" s="526"/>
      <c r="V590" s="526"/>
      <c r="W590" s="526"/>
      <c r="X590" s="526"/>
    </row>
    <row r="591" spans="1:24">
      <c r="A591" s="526"/>
      <c r="B591" s="526"/>
      <c r="C591" s="526"/>
      <c r="D591" s="526"/>
      <c r="E591" s="526"/>
      <c r="F591" s="526"/>
      <c r="G591" s="526"/>
      <c r="H591" s="526"/>
      <c r="I591" s="526"/>
      <c r="J591" s="526"/>
      <c r="K591" s="526"/>
      <c r="L591" s="526"/>
      <c r="M591" s="526"/>
      <c r="N591" s="526"/>
      <c r="O591" s="526"/>
      <c r="P591" s="526"/>
      <c r="Q591" s="526"/>
      <c r="R591" s="526"/>
      <c r="S591" s="526"/>
      <c r="T591" s="526"/>
      <c r="U591" s="526"/>
      <c r="V591" s="526"/>
      <c r="W591" s="526"/>
      <c r="X591" s="526"/>
    </row>
    <row r="592" spans="1:24">
      <c r="A592" s="526"/>
      <c r="B592" s="526"/>
      <c r="C592" s="526"/>
      <c r="D592" s="526"/>
      <c r="E592" s="526"/>
      <c r="F592" s="526"/>
      <c r="G592" s="526"/>
      <c r="H592" s="526"/>
      <c r="I592" s="526"/>
      <c r="J592" s="526"/>
      <c r="K592" s="526"/>
      <c r="L592" s="526"/>
      <c r="M592" s="526"/>
      <c r="N592" s="526"/>
      <c r="O592" s="526"/>
      <c r="P592" s="526"/>
      <c r="Q592" s="526"/>
      <c r="R592" s="526"/>
      <c r="S592" s="526"/>
      <c r="T592" s="526"/>
      <c r="U592" s="526"/>
      <c r="V592" s="526"/>
      <c r="W592" s="526"/>
      <c r="X592" s="526"/>
    </row>
    <row r="593" spans="1:24">
      <c r="A593" s="526"/>
      <c r="B593" s="526"/>
      <c r="C593" s="526"/>
      <c r="D593" s="526"/>
      <c r="E593" s="526"/>
      <c r="F593" s="526"/>
      <c r="G593" s="526"/>
      <c r="H593" s="526"/>
      <c r="I593" s="526"/>
      <c r="J593" s="526"/>
      <c r="K593" s="526"/>
      <c r="L593" s="526"/>
      <c r="M593" s="526"/>
      <c r="N593" s="526"/>
      <c r="O593" s="526"/>
      <c r="P593" s="526"/>
      <c r="Q593" s="526"/>
      <c r="R593" s="526"/>
      <c r="S593" s="526"/>
      <c r="T593" s="526"/>
      <c r="U593" s="526"/>
      <c r="V593" s="526"/>
      <c r="W593" s="526"/>
      <c r="X593" s="526"/>
    </row>
    <row r="594" spans="1:24">
      <c r="A594" s="526"/>
      <c r="B594" s="526"/>
      <c r="C594" s="526"/>
      <c r="D594" s="526"/>
      <c r="E594" s="526"/>
      <c r="F594" s="526"/>
      <c r="G594" s="526"/>
      <c r="H594" s="526"/>
      <c r="I594" s="526"/>
      <c r="J594" s="526"/>
      <c r="K594" s="526"/>
      <c r="L594" s="526"/>
      <c r="M594" s="526"/>
      <c r="N594" s="526"/>
      <c r="O594" s="526"/>
      <c r="P594" s="526"/>
      <c r="Q594" s="526"/>
      <c r="R594" s="526"/>
      <c r="S594" s="526"/>
      <c r="T594" s="526"/>
      <c r="U594" s="526"/>
      <c r="V594" s="526"/>
      <c r="W594" s="526"/>
      <c r="X594" s="526"/>
    </row>
    <row r="595" spans="1:24">
      <c r="A595" s="526"/>
      <c r="B595" s="526"/>
      <c r="C595" s="526"/>
      <c r="D595" s="526"/>
      <c r="E595" s="526"/>
      <c r="F595" s="526"/>
      <c r="G595" s="526"/>
      <c r="H595" s="526"/>
      <c r="I595" s="526"/>
      <c r="J595" s="526"/>
      <c r="K595" s="526"/>
      <c r="L595" s="526"/>
      <c r="M595" s="526"/>
      <c r="N595" s="526"/>
      <c r="O595" s="526"/>
      <c r="P595" s="526"/>
      <c r="Q595" s="526"/>
      <c r="R595" s="526"/>
      <c r="S595" s="526"/>
      <c r="T595" s="526"/>
      <c r="U595" s="526"/>
      <c r="V595" s="526"/>
      <c r="W595" s="526"/>
      <c r="X595" s="526"/>
    </row>
    <row r="596" spans="1:24">
      <c r="A596" s="526"/>
      <c r="B596" s="526"/>
      <c r="C596" s="526"/>
      <c r="D596" s="526"/>
      <c r="E596" s="526"/>
      <c r="F596" s="526"/>
      <c r="G596" s="526"/>
      <c r="H596" s="526"/>
      <c r="I596" s="526"/>
      <c r="J596" s="526"/>
      <c r="K596" s="526"/>
      <c r="L596" s="526"/>
      <c r="M596" s="526"/>
      <c r="N596" s="526"/>
      <c r="O596" s="526"/>
      <c r="P596" s="526"/>
      <c r="Q596" s="526"/>
      <c r="R596" s="526"/>
      <c r="S596" s="526"/>
      <c r="T596" s="526"/>
      <c r="U596" s="526"/>
      <c r="V596" s="526"/>
      <c r="W596" s="526"/>
      <c r="X596" s="526"/>
    </row>
    <row r="597" spans="1:24">
      <c r="A597" s="526"/>
      <c r="B597" s="526"/>
      <c r="C597" s="526"/>
      <c r="D597" s="526"/>
      <c r="E597" s="526"/>
      <c r="F597" s="526"/>
      <c r="G597" s="526"/>
      <c r="H597" s="526"/>
      <c r="I597" s="526"/>
      <c r="J597" s="526"/>
      <c r="K597" s="526"/>
      <c r="L597" s="526"/>
      <c r="M597" s="526"/>
      <c r="N597" s="526"/>
      <c r="O597" s="526"/>
      <c r="P597" s="526"/>
      <c r="Q597" s="526"/>
      <c r="R597" s="526"/>
      <c r="S597" s="526"/>
      <c r="T597" s="526"/>
      <c r="U597" s="526"/>
      <c r="V597" s="526"/>
      <c r="W597" s="526"/>
      <c r="X597" s="526"/>
    </row>
    <row r="598" spans="1:24">
      <c r="A598" s="526"/>
      <c r="B598" s="526"/>
      <c r="C598" s="526"/>
      <c r="D598" s="526"/>
      <c r="E598" s="526"/>
      <c r="F598" s="526"/>
      <c r="G598" s="526"/>
      <c r="H598" s="526"/>
      <c r="I598" s="526"/>
      <c r="J598" s="526"/>
      <c r="K598" s="526"/>
      <c r="L598" s="526"/>
      <c r="M598" s="526"/>
      <c r="N598" s="526"/>
      <c r="O598" s="526"/>
      <c r="P598" s="526"/>
      <c r="Q598" s="526"/>
      <c r="R598" s="526"/>
      <c r="S598" s="526"/>
      <c r="T598" s="526"/>
      <c r="U598" s="526"/>
      <c r="V598" s="526"/>
      <c r="W598" s="526"/>
      <c r="X598" s="526"/>
    </row>
    <row r="599" spans="1:24">
      <c r="A599" s="526"/>
      <c r="B599" s="526"/>
      <c r="C599" s="526"/>
      <c r="D599" s="526"/>
      <c r="E599" s="526"/>
      <c r="F599" s="526"/>
      <c r="G599" s="526"/>
      <c r="H599" s="526"/>
      <c r="I599" s="526"/>
      <c r="J599" s="526"/>
      <c r="K599" s="526"/>
      <c r="L599" s="526"/>
      <c r="M599" s="526"/>
      <c r="N599" s="526"/>
      <c r="O599" s="526"/>
      <c r="P599" s="526"/>
      <c r="Q599" s="526"/>
      <c r="R599" s="526"/>
      <c r="S599" s="526"/>
      <c r="T599" s="526"/>
      <c r="U599" s="526"/>
      <c r="V599" s="526"/>
      <c r="W599" s="526"/>
      <c r="X599" s="526"/>
    </row>
    <row r="600" spans="1:24">
      <c r="A600" s="526"/>
      <c r="B600" s="526"/>
      <c r="C600" s="526"/>
      <c r="D600" s="526"/>
      <c r="E600" s="526"/>
      <c r="F600" s="526"/>
      <c r="G600" s="526"/>
      <c r="H600" s="526"/>
      <c r="I600" s="526"/>
      <c r="J600" s="526"/>
      <c r="K600" s="526"/>
      <c r="L600" s="526"/>
      <c r="M600" s="526"/>
      <c r="N600" s="526"/>
      <c r="O600" s="526"/>
      <c r="P600" s="526"/>
      <c r="Q600" s="526"/>
      <c r="R600" s="526"/>
      <c r="S600" s="526"/>
      <c r="T600" s="526"/>
      <c r="U600" s="526"/>
      <c r="V600" s="526"/>
      <c r="W600" s="526"/>
      <c r="X600" s="526"/>
    </row>
    <row r="601" spans="1:24">
      <c r="A601" s="526"/>
      <c r="B601" s="526"/>
      <c r="C601" s="526"/>
      <c r="D601" s="526"/>
      <c r="E601" s="526"/>
      <c r="F601" s="526"/>
      <c r="G601" s="526"/>
      <c r="H601" s="526"/>
      <c r="I601" s="526"/>
      <c r="J601" s="526"/>
      <c r="K601" s="526"/>
      <c r="L601" s="526"/>
      <c r="M601" s="526"/>
      <c r="N601" s="526"/>
      <c r="O601" s="526"/>
      <c r="P601" s="526"/>
      <c r="Q601" s="526"/>
      <c r="R601" s="526"/>
      <c r="S601" s="526"/>
      <c r="T601" s="526"/>
      <c r="U601" s="526"/>
      <c r="V601" s="526"/>
      <c r="W601" s="526"/>
      <c r="X601" s="526"/>
    </row>
    <row r="602" spans="1:24">
      <c r="A602" s="526"/>
      <c r="B602" s="526"/>
      <c r="C602" s="526"/>
      <c r="D602" s="526"/>
      <c r="E602" s="526"/>
      <c r="F602" s="526"/>
      <c r="G602" s="526"/>
      <c r="H602" s="526"/>
      <c r="I602" s="526"/>
      <c r="J602" s="526"/>
      <c r="K602" s="526"/>
      <c r="L602" s="526"/>
      <c r="M602" s="526"/>
      <c r="N602" s="526"/>
      <c r="O602" s="526"/>
      <c r="P602" s="526"/>
      <c r="Q602" s="526"/>
      <c r="R602" s="526"/>
      <c r="S602" s="526"/>
      <c r="T602" s="526"/>
      <c r="U602" s="526"/>
      <c r="V602" s="526"/>
      <c r="W602" s="526"/>
      <c r="X602" s="526"/>
    </row>
    <row r="603" spans="1:24">
      <c r="A603" s="526"/>
      <c r="B603" s="526"/>
      <c r="C603" s="526"/>
      <c r="D603" s="526"/>
      <c r="E603" s="526"/>
      <c r="F603" s="526"/>
      <c r="G603" s="526"/>
      <c r="H603" s="526"/>
      <c r="I603" s="526"/>
      <c r="J603" s="526"/>
      <c r="K603" s="526"/>
      <c r="L603" s="526"/>
      <c r="M603" s="526"/>
      <c r="N603" s="526"/>
      <c r="O603" s="526"/>
      <c r="P603" s="526"/>
      <c r="Q603" s="526"/>
      <c r="R603" s="526"/>
      <c r="S603" s="526"/>
      <c r="T603" s="526"/>
      <c r="U603" s="526"/>
      <c r="V603" s="526"/>
      <c r="W603" s="526"/>
      <c r="X603" s="526"/>
    </row>
    <row r="604" spans="1:24">
      <c r="A604" s="526"/>
      <c r="B604" s="526"/>
      <c r="C604" s="526"/>
      <c r="D604" s="526"/>
      <c r="E604" s="526"/>
      <c r="F604" s="526"/>
      <c r="G604" s="526"/>
      <c r="H604" s="526"/>
      <c r="I604" s="526"/>
      <c r="J604" s="526"/>
      <c r="K604" s="526"/>
      <c r="L604" s="526"/>
      <c r="M604" s="526"/>
      <c r="N604" s="526"/>
      <c r="O604" s="526"/>
      <c r="P604" s="526"/>
      <c r="Q604" s="526"/>
      <c r="R604" s="526"/>
      <c r="S604" s="526"/>
      <c r="T604" s="526"/>
      <c r="U604" s="526"/>
      <c r="V604" s="526"/>
      <c r="W604" s="526"/>
      <c r="X604" s="526"/>
    </row>
    <row r="605" spans="1:24">
      <c r="A605" s="526"/>
      <c r="B605" s="526"/>
      <c r="C605" s="526"/>
      <c r="D605" s="526"/>
      <c r="E605" s="526"/>
      <c r="F605" s="526"/>
      <c r="G605" s="526"/>
      <c r="H605" s="526"/>
      <c r="I605" s="526"/>
      <c r="J605" s="526"/>
      <c r="K605" s="526"/>
      <c r="L605" s="526"/>
      <c r="M605" s="526"/>
      <c r="N605" s="526"/>
      <c r="O605" s="526"/>
      <c r="P605" s="526"/>
      <c r="Q605" s="526"/>
      <c r="R605" s="526"/>
      <c r="S605" s="526"/>
      <c r="T605" s="526"/>
      <c r="U605" s="526"/>
      <c r="V605" s="526"/>
      <c r="W605" s="526"/>
      <c r="X605" s="526"/>
    </row>
    <row r="606" spans="1:24">
      <c r="A606" s="526"/>
      <c r="B606" s="526"/>
      <c r="C606" s="526"/>
      <c r="D606" s="526"/>
      <c r="E606" s="526"/>
      <c r="F606" s="526"/>
      <c r="G606" s="526"/>
      <c r="H606" s="526"/>
      <c r="I606" s="526"/>
      <c r="J606" s="526"/>
      <c r="K606" s="526"/>
      <c r="L606" s="526"/>
      <c r="M606" s="526"/>
      <c r="N606" s="526"/>
      <c r="O606" s="526"/>
      <c r="P606" s="526"/>
      <c r="Q606" s="526"/>
      <c r="R606" s="526"/>
      <c r="S606" s="526"/>
      <c r="T606" s="526"/>
      <c r="U606" s="526"/>
      <c r="V606" s="526"/>
      <c r="W606" s="526"/>
      <c r="X606" s="526"/>
    </row>
    <row r="607" spans="1:24">
      <c r="A607" s="526"/>
      <c r="B607" s="526"/>
      <c r="C607" s="526"/>
      <c r="D607" s="526"/>
      <c r="E607" s="526"/>
      <c r="F607" s="526"/>
      <c r="G607" s="526"/>
      <c r="H607" s="526"/>
      <c r="I607" s="526"/>
      <c r="J607" s="526"/>
      <c r="K607" s="526"/>
      <c r="L607" s="526"/>
      <c r="M607" s="526"/>
      <c r="N607" s="526"/>
      <c r="O607" s="526"/>
      <c r="P607" s="526"/>
      <c r="Q607" s="526"/>
      <c r="R607" s="526"/>
      <c r="S607" s="526"/>
      <c r="T607" s="526"/>
      <c r="U607" s="526"/>
      <c r="V607" s="526"/>
      <c r="W607" s="526"/>
      <c r="X607" s="526"/>
    </row>
    <row r="608" spans="1:24">
      <c r="A608" s="526"/>
      <c r="B608" s="526"/>
      <c r="C608" s="526"/>
      <c r="D608" s="526"/>
      <c r="E608" s="526"/>
      <c r="F608" s="526"/>
      <c r="G608" s="526"/>
      <c r="H608" s="526"/>
      <c r="I608" s="526"/>
      <c r="J608" s="526"/>
      <c r="K608" s="526"/>
      <c r="L608" s="526"/>
      <c r="M608" s="526"/>
      <c r="N608" s="526"/>
      <c r="O608" s="526"/>
      <c r="P608" s="526"/>
      <c r="Q608" s="526"/>
      <c r="R608" s="526"/>
      <c r="S608" s="526"/>
      <c r="T608" s="526"/>
      <c r="U608" s="526"/>
      <c r="V608" s="526"/>
      <c r="W608" s="526"/>
      <c r="X608" s="526"/>
    </row>
    <row r="609" spans="1:24">
      <c r="A609" s="526"/>
      <c r="B609" s="526"/>
      <c r="C609" s="526"/>
      <c r="D609" s="526"/>
      <c r="E609" s="526"/>
      <c r="F609" s="526"/>
      <c r="G609" s="526"/>
      <c r="H609" s="526"/>
      <c r="I609" s="526"/>
      <c r="J609" s="526"/>
      <c r="K609" s="526"/>
      <c r="L609" s="526"/>
      <c r="M609" s="526"/>
      <c r="N609" s="526"/>
      <c r="O609" s="526"/>
      <c r="P609" s="526"/>
      <c r="Q609" s="526"/>
      <c r="R609" s="526"/>
      <c r="S609" s="526"/>
      <c r="T609" s="526"/>
      <c r="U609" s="526"/>
      <c r="V609" s="526"/>
      <c r="W609" s="526"/>
      <c r="X609" s="526"/>
    </row>
    <row r="610" spans="1:24">
      <c r="A610" s="526"/>
      <c r="B610" s="526"/>
      <c r="C610" s="526"/>
      <c r="D610" s="526"/>
      <c r="E610" s="526"/>
      <c r="F610" s="526"/>
      <c r="G610" s="526"/>
      <c r="H610" s="526"/>
      <c r="I610" s="526"/>
      <c r="J610" s="526"/>
      <c r="K610" s="526"/>
      <c r="L610" s="526"/>
      <c r="M610" s="526"/>
      <c r="N610" s="526"/>
      <c r="O610" s="526"/>
      <c r="P610" s="526"/>
      <c r="Q610" s="526"/>
      <c r="R610" s="526"/>
      <c r="S610" s="526"/>
      <c r="T610" s="526"/>
      <c r="U610" s="526"/>
      <c r="V610" s="526"/>
      <c r="W610" s="526"/>
      <c r="X610" s="526"/>
    </row>
    <row r="611" spans="1:24">
      <c r="A611" s="526"/>
      <c r="B611" s="526"/>
      <c r="C611" s="526"/>
      <c r="D611" s="526"/>
      <c r="E611" s="526"/>
      <c r="F611" s="526"/>
      <c r="G611" s="526"/>
      <c r="H611" s="526"/>
      <c r="I611" s="526"/>
      <c r="J611" s="526"/>
      <c r="K611" s="526"/>
      <c r="L611" s="526"/>
      <c r="M611" s="526"/>
      <c r="N611" s="526"/>
      <c r="O611" s="526"/>
      <c r="P611" s="526"/>
      <c r="Q611" s="526"/>
      <c r="R611" s="526"/>
      <c r="S611" s="526"/>
      <c r="T611" s="526"/>
      <c r="U611" s="526"/>
      <c r="V611" s="526"/>
      <c r="W611" s="526"/>
      <c r="X611" s="526"/>
    </row>
    <row r="612" spans="1:24">
      <c r="A612" s="526"/>
      <c r="B612" s="526"/>
      <c r="C612" s="526"/>
      <c r="D612" s="526"/>
      <c r="E612" s="526"/>
      <c r="F612" s="526"/>
      <c r="G612" s="526"/>
      <c r="H612" s="526"/>
      <c r="I612" s="526"/>
      <c r="J612" s="526"/>
      <c r="K612" s="526"/>
      <c r="L612" s="526"/>
      <c r="M612" s="526"/>
      <c r="N612" s="526"/>
      <c r="O612" s="526"/>
      <c r="P612" s="526"/>
      <c r="Q612" s="526"/>
      <c r="R612" s="526"/>
      <c r="S612" s="526"/>
      <c r="T612" s="526"/>
      <c r="U612" s="526"/>
      <c r="V612" s="526"/>
      <c r="W612" s="526"/>
      <c r="X612" s="526"/>
    </row>
    <row r="613" spans="1:24">
      <c r="A613" s="526"/>
      <c r="B613" s="526"/>
      <c r="C613" s="526"/>
      <c r="D613" s="526"/>
      <c r="E613" s="526"/>
      <c r="F613" s="526"/>
      <c r="G613" s="526"/>
      <c r="H613" s="526"/>
      <c r="I613" s="526"/>
      <c r="J613" s="526"/>
      <c r="K613" s="526"/>
      <c r="L613" s="526"/>
      <c r="M613" s="526"/>
      <c r="N613" s="526"/>
      <c r="O613" s="526"/>
      <c r="P613" s="526"/>
      <c r="Q613" s="526"/>
      <c r="R613" s="526"/>
      <c r="S613" s="526"/>
      <c r="T613" s="526"/>
      <c r="U613" s="526"/>
      <c r="V613" s="526"/>
      <c r="W613" s="526"/>
      <c r="X613" s="526"/>
    </row>
    <row r="614" spans="1:24">
      <c r="A614" s="526"/>
      <c r="B614" s="526"/>
      <c r="C614" s="526"/>
      <c r="D614" s="526"/>
      <c r="E614" s="526"/>
      <c r="F614" s="526"/>
      <c r="G614" s="526"/>
      <c r="H614" s="526"/>
      <c r="I614" s="526"/>
      <c r="J614" s="526"/>
      <c r="K614" s="526"/>
      <c r="L614" s="526"/>
      <c r="M614" s="526"/>
      <c r="N614" s="526"/>
      <c r="O614" s="526"/>
      <c r="P614" s="526"/>
      <c r="Q614" s="526"/>
      <c r="R614" s="526"/>
      <c r="S614" s="526"/>
      <c r="T614" s="526"/>
      <c r="U614" s="526"/>
      <c r="V614" s="526"/>
      <c r="W614" s="526"/>
      <c r="X614" s="526"/>
    </row>
    <row r="615" spans="1:24">
      <c r="A615" s="526"/>
      <c r="B615" s="526"/>
      <c r="C615" s="526"/>
      <c r="D615" s="526"/>
      <c r="E615" s="526"/>
      <c r="F615" s="526"/>
      <c r="G615" s="526"/>
      <c r="H615" s="526"/>
      <c r="I615" s="526"/>
      <c r="J615" s="526"/>
      <c r="K615" s="526"/>
      <c r="L615" s="526"/>
      <c r="M615" s="526"/>
      <c r="N615" s="526"/>
      <c r="O615" s="526"/>
      <c r="P615" s="526"/>
      <c r="Q615" s="526"/>
      <c r="R615" s="526"/>
      <c r="S615" s="526"/>
      <c r="T615" s="526"/>
      <c r="U615" s="526"/>
      <c r="V615" s="526"/>
      <c r="W615" s="526"/>
      <c r="X615" s="526"/>
    </row>
    <row r="616" spans="1:24">
      <c r="A616" s="526"/>
      <c r="B616" s="526"/>
      <c r="C616" s="526"/>
      <c r="D616" s="526"/>
      <c r="E616" s="526"/>
      <c r="F616" s="526"/>
      <c r="G616" s="526"/>
      <c r="H616" s="526"/>
      <c r="I616" s="526"/>
      <c r="J616" s="526"/>
      <c r="K616" s="526"/>
      <c r="L616" s="526"/>
      <c r="M616" s="526"/>
      <c r="N616" s="526"/>
      <c r="O616" s="526"/>
      <c r="P616" s="526"/>
      <c r="Q616" s="526"/>
      <c r="R616" s="526"/>
      <c r="S616" s="526"/>
      <c r="T616" s="526"/>
      <c r="U616" s="526"/>
      <c r="V616" s="526"/>
      <c r="W616" s="526"/>
      <c r="X616" s="526"/>
    </row>
    <row r="617" spans="1:24">
      <c r="A617" s="526"/>
      <c r="B617" s="526"/>
      <c r="C617" s="526"/>
      <c r="D617" s="526"/>
      <c r="E617" s="526"/>
      <c r="F617" s="526"/>
      <c r="G617" s="526"/>
      <c r="H617" s="526"/>
      <c r="I617" s="526"/>
      <c r="J617" s="526"/>
      <c r="K617" s="526"/>
      <c r="L617" s="526"/>
      <c r="M617" s="526"/>
      <c r="N617" s="526"/>
      <c r="O617" s="526"/>
      <c r="P617" s="526"/>
      <c r="Q617" s="526"/>
      <c r="R617" s="526"/>
      <c r="S617" s="526"/>
      <c r="T617" s="526"/>
      <c r="U617" s="526"/>
      <c r="V617" s="526"/>
      <c r="W617" s="526"/>
      <c r="X617" s="526"/>
    </row>
    <row r="618" spans="1:24">
      <c r="A618" s="526"/>
      <c r="B618" s="526"/>
      <c r="C618" s="526"/>
      <c r="D618" s="526"/>
      <c r="E618" s="526"/>
      <c r="F618" s="526"/>
      <c r="G618" s="526"/>
      <c r="H618" s="526"/>
      <c r="I618" s="526"/>
      <c r="J618" s="526"/>
      <c r="K618" s="526"/>
      <c r="L618" s="526"/>
      <c r="M618" s="526"/>
      <c r="N618" s="526"/>
      <c r="O618" s="526"/>
      <c r="P618" s="526"/>
      <c r="Q618" s="526"/>
      <c r="R618" s="526"/>
      <c r="S618" s="526"/>
      <c r="T618" s="526"/>
      <c r="U618" s="526"/>
      <c r="V618" s="526"/>
      <c r="W618" s="526"/>
      <c r="X618" s="526"/>
    </row>
    <row r="619" spans="1:24">
      <c r="A619" s="526"/>
      <c r="B619" s="526"/>
      <c r="C619" s="526"/>
      <c r="D619" s="526"/>
      <c r="E619" s="526"/>
      <c r="F619" s="526"/>
      <c r="G619" s="526"/>
      <c r="H619" s="526"/>
      <c r="I619" s="526"/>
      <c r="J619" s="526"/>
      <c r="K619" s="526"/>
      <c r="L619" s="526"/>
      <c r="M619" s="526"/>
      <c r="N619" s="526"/>
      <c r="O619" s="526"/>
      <c r="P619" s="526"/>
      <c r="Q619" s="526"/>
      <c r="R619" s="526"/>
      <c r="S619" s="526"/>
      <c r="T619" s="526"/>
      <c r="U619" s="526"/>
      <c r="V619" s="526"/>
      <c r="W619" s="526"/>
      <c r="X619" s="526"/>
    </row>
    <row r="620" spans="1:24">
      <c r="A620" s="526"/>
      <c r="B620" s="526"/>
      <c r="C620" s="526"/>
      <c r="D620" s="526"/>
      <c r="E620" s="526"/>
      <c r="F620" s="526"/>
      <c r="G620" s="526"/>
      <c r="H620" s="526"/>
      <c r="I620" s="526"/>
      <c r="J620" s="526"/>
      <c r="K620" s="526"/>
      <c r="L620" s="526"/>
      <c r="M620" s="526"/>
      <c r="N620" s="526"/>
      <c r="O620" s="526"/>
      <c r="P620" s="526"/>
      <c r="Q620" s="526"/>
      <c r="R620" s="526"/>
      <c r="S620" s="526"/>
      <c r="T620" s="526"/>
      <c r="U620" s="526"/>
      <c r="V620" s="526"/>
      <c r="W620" s="526"/>
      <c r="X620" s="526"/>
    </row>
    <row r="621" spans="1:24">
      <c r="A621" s="526"/>
      <c r="B621" s="526"/>
      <c r="C621" s="526"/>
      <c r="D621" s="526"/>
      <c r="E621" s="526"/>
      <c r="F621" s="526"/>
      <c r="G621" s="526"/>
      <c r="H621" s="526"/>
      <c r="I621" s="526"/>
      <c r="J621" s="526"/>
      <c r="K621" s="526"/>
      <c r="L621" s="526"/>
      <c r="M621" s="526"/>
      <c r="N621" s="526"/>
      <c r="O621" s="526"/>
      <c r="P621" s="526"/>
      <c r="Q621" s="526"/>
      <c r="R621" s="526"/>
      <c r="S621" s="526"/>
      <c r="T621" s="526"/>
      <c r="U621" s="526"/>
      <c r="V621" s="526"/>
      <c r="W621" s="526"/>
      <c r="X621" s="526"/>
    </row>
    <row r="622" spans="1:24">
      <c r="A622" s="526"/>
      <c r="B622" s="526"/>
      <c r="C622" s="526"/>
      <c r="D622" s="526"/>
      <c r="E622" s="526"/>
      <c r="F622" s="526"/>
      <c r="G622" s="526"/>
      <c r="H622" s="526"/>
      <c r="I622" s="526"/>
      <c r="J622" s="526"/>
      <c r="K622" s="526"/>
      <c r="L622" s="526"/>
      <c r="M622" s="526"/>
      <c r="N622" s="526"/>
      <c r="O622" s="526"/>
      <c r="P622" s="526"/>
      <c r="Q622" s="526"/>
      <c r="R622" s="526"/>
      <c r="S622" s="526"/>
      <c r="T622" s="526"/>
      <c r="U622" s="526"/>
      <c r="V622" s="526"/>
      <c r="W622" s="526"/>
      <c r="X622" s="526"/>
    </row>
    <row r="623" spans="1:24">
      <c r="A623" s="526"/>
      <c r="B623" s="526"/>
      <c r="C623" s="526"/>
      <c r="D623" s="526"/>
      <c r="E623" s="526"/>
      <c r="F623" s="526"/>
      <c r="G623" s="526"/>
      <c r="H623" s="526"/>
      <c r="I623" s="526"/>
      <c r="J623" s="526"/>
      <c r="K623" s="526"/>
      <c r="L623" s="526"/>
      <c r="M623" s="526"/>
      <c r="N623" s="526"/>
      <c r="O623" s="526"/>
      <c r="P623" s="526"/>
      <c r="Q623" s="526"/>
      <c r="R623" s="526"/>
      <c r="S623" s="526"/>
      <c r="T623" s="526"/>
      <c r="U623" s="526"/>
      <c r="V623" s="526"/>
      <c r="W623" s="526"/>
      <c r="X623" s="526"/>
    </row>
    <row r="624" spans="1:24">
      <c r="A624" s="526"/>
      <c r="B624" s="526"/>
      <c r="C624" s="526"/>
      <c r="D624" s="526"/>
      <c r="E624" s="526"/>
      <c r="F624" s="526"/>
      <c r="G624" s="526"/>
      <c r="H624" s="526"/>
      <c r="I624" s="526"/>
      <c r="J624" s="526"/>
      <c r="K624" s="526"/>
      <c r="L624" s="526"/>
      <c r="M624" s="526"/>
      <c r="N624" s="526"/>
      <c r="O624" s="526"/>
      <c r="P624" s="526"/>
      <c r="Q624" s="526"/>
      <c r="R624" s="526"/>
      <c r="S624" s="526"/>
      <c r="T624" s="526"/>
      <c r="U624" s="526"/>
      <c r="V624" s="526"/>
      <c r="W624" s="526"/>
      <c r="X624" s="526"/>
    </row>
    <row r="625" spans="1:24">
      <c r="A625" s="526"/>
      <c r="B625" s="526"/>
      <c r="C625" s="526"/>
      <c r="D625" s="526"/>
      <c r="E625" s="526"/>
      <c r="F625" s="526"/>
      <c r="G625" s="526"/>
      <c r="H625" s="526"/>
      <c r="I625" s="526"/>
      <c r="J625" s="526"/>
      <c r="K625" s="526"/>
      <c r="L625" s="526"/>
      <c r="M625" s="526"/>
      <c r="N625" s="526"/>
      <c r="O625" s="526"/>
      <c r="P625" s="526"/>
      <c r="Q625" s="526"/>
      <c r="R625" s="526"/>
      <c r="S625" s="526"/>
      <c r="T625" s="526"/>
      <c r="U625" s="526"/>
      <c r="V625" s="526"/>
      <c r="W625" s="526"/>
      <c r="X625" s="526"/>
    </row>
    <row r="626" spans="1:24">
      <c r="A626" s="526"/>
      <c r="B626" s="526"/>
      <c r="C626" s="526"/>
      <c r="D626" s="526"/>
      <c r="E626" s="526"/>
      <c r="F626" s="526"/>
      <c r="G626" s="526"/>
      <c r="H626" s="526"/>
      <c r="I626" s="526"/>
      <c r="J626" s="526"/>
      <c r="K626" s="526"/>
      <c r="L626" s="526"/>
      <c r="M626" s="526"/>
      <c r="N626" s="526"/>
      <c r="O626" s="526"/>
      <c r="P626" s="526"/>
      <c r="Q626" s="526"/>
      <c r="R626" s="526"/>
      <c r="S626" s="526"/>
      <c r="T626" s="526"/>
      <c r="U626" s="526"/>
      <c r="V626" s="526"/>
      <c r="W626" s="526"/>
      <c r="X626" s="526"/>
    </row>
    <row r="627" spans="1:24">
      <c r="A627" s="526"/>
      <c r="B627" s="526"/>
      <c r="C627" s="526"/>
      <c r="D627" s="526"/>
      <c r="E627" s="526"/>
      <c r="F627" s="526"/>
      <c r="G627" s="526"/>
      <c r="H627" s="526"/>
      <c r="I627" s="526"/>
      <c r="J627" s="526"/>
      <c r="K627" s="526"/>
      <c r="L627" s="526"/>
      <c r="M627" s="526"/>
      <c r="N627" s="526"/>
      <c r="O627" s="526"/>
      <c r="P627" s="526"/>
      <c r="Q627" s="526"/>
      <c r="R627" s="526"/>
      <c r="S627" s="526"/>
      <c r="T627" s="526"/>
      <c r="U627" s="526"/>
      <c r="V627" s="526"/>
      <c r="W627" s="526"/>
      <c r="X627" s="526"/>
    </row>
    <row r="628" spans="1:24">
      <c r="A628" s="526"/>
      <c r="B628" s="526"/>
      <c r="C628" s="526"/>
      <c r="D628" s="526"/>
      <c r="E628" s="526"/>
      <c r="F628" s="526"/>
      <c r="G628" s="526"/>
      <c r="H628" s="526"/>
      <c r="I628" s="526"/>
      <c r="J628" s="526"/>
      <c r="K628" s="526"/>
      <c r="L628" s="526"/>
      <c r="M628" s="526"/>
      <c r="N628" s="526"/>
      <c r="O628" s="526"/>
      <c r="P628" s="526"/>
      <c r="Q628" s="526"/>
      <c r="R628" s="526"/>
      <c r="S628" s="526"/>
      <c r="T628" s="526"/>
      <c r="U628" s="526"/>
      <c r="V628" s="526"/>
      <c r="W628" s="526"/>
      <c r="X628" s="526"/>
    </row>
    <row r="629" spans="1:24">
      <c r="A629" s="526"/>
      <c r="B629" s="526"/>
      <c r="C629" s="526"/>
      <c r="D629" s="526"/>
      <c r="E629" s="526"/>
      <c r="F629" s="526"/>
      <c r="G629" s="526"/>
      <c r="H629" s="526"/>
      <c r="I629" s="526"/>
      <c r="J629" s="526"/>
      <c r="K629" s="526"/>
      <c r="L629" s="526"/>
      <c r="M629" s="526"/>
      <c r="N629" s="526"/>
      <c r="O629" s="526"/>
      <c r="P629" s="526"/>
      <c r="Q629" s="526"/>
      <c r="R629" s="526"/>
      <c r="S629" s="526"/>
      <c r="T629" s="526"/>
      <c r="U629" s="526"/>
      <c r="V629" s="526"/>
      <c r="W629" s="526"/>
      <c r="X629" s="526"/>
    </row>
    <row r="630" spans="1:24">
      <c r="A630" s="526"/>
      <c r="B630" s="526"/>
      <c r="C630" s="526"/>
      <c r="D630" s="526"/>
      <c r="E630" s="526"/>
      <c r="F630" s="526"/>
      <c r="G630" s="526"/>
      <c r="H630" s="526"/>
      <c r="I630" s="526"/>
      <c r="J630" s="526"/>
      <c r="K630" s="526"/>
      <c r="L630" s="526"/>
      <c r="M630" s="526"/>
      <c r="N630" s="526"/>
      <c r="O630" s="526"/>
      <c r="P630" s="526"/>
      <c r="Q630" s="526"/>
      <c r="R630" s="526"/>
      <c r="S630" s="526"/>
      <c r="T630" s="526"/>
      <c r="U630" s="526"/>
      <c r="V630" s="526"/>
      <c r="W630" s="526"/>
      <c r="X630" s="526"/>
    </row>
    <row r="631" spans="1:24">
      <c r="A631" s="526"/>
      <c r="B631" s="526"/>
      <c r="C631" s="526"/>
      <c r="D631" s="526"/>
      <c r="E631" s="526"/>
      <c r="F631" s="526"/>
      <c r="G631" s="526"/>
      <c r="H631" s="526"/>
      <c r="I631" s="526"/>
      <c r="J631" s="526"/>
      <c r="K631" s="526"/>
      <c r="L631" s="526"/>
      <c r="M631" s="526"/>
      <c r="N631" s="526"/>
      <c r="O631" s="526"/>
      <c r="P631" s="526"/>
      <c r="Q631" s="526"/>
      <c r="R631" s="526"/>
      <c r="S631" s="526"/>
      <c r="T631" s="526"/>
      <c r="U631" s="526"/>
      <c r="V631" s="526"/>
      <c r="W631" s="526"/>
      <c r="X631" s="526"/>
    </row>
    <row r="632" spans="1:24">
      <c r="A632" s="526"/>
      <c r="B632" s="526"/>
      <c r="C632" s="526"/>
      <c r="D632" s="526"/>
      <c r="E632" s="526"/>
      <c r="F632" s="526"/>
      <c r="G632" s="526"/>
      <c r="H632" s="526"/>
      <c r="I632" s="526"/>
      <c r="J632" s="526"/>
      <c r="K632" s="526"/>
      <c r="L632" s="526"/>
      <c r="M632" s="526"/>
      <c r="N632" s="526"/>
      <c r="O632" s="526"/>
      <c r="P632" s="526"/>
      <c r="Q632" s="526"/>
      <c r="R632" s="526"/>
      <c r="S632" s="526"/>
      <c r="T632" s="526"/>
      <c r="U632" s="526"/>
      <c r="V632" s="526"/>
      <c r="W632" s="526"/>
      <c r="X632" s="526"/>
    </row>
    <row r="633" spans="1:24">
      <c r="A633" s="526"/>
      <c r="B633" s="526"/>
      <c r="C633" s="526"/>
      <c r="D633" s="526"/>
      <c r="E633" s="526"/>
      <c r="F633" s="526"/>
      <c r="G633" s="526"/>
      <c r="H633" s="526"/>
      <c r="I633" s="526"/>
      <c r="J633" s="526"/>
      <c r="K633" s="526"/>
      <c r="L633" s="526"/>
      <c r="M633" s="526"/>
      <c r="N633" s="526"/>
      <c r="O633" s="526"/>
      <c r="P633" s="526"/>
      <c r="Q633" s="526"/>
      <c r="R633" s="526"/>
      <c r="S633" s="526"/>
      <c r="T633" s="526"/>
      <c r="U633" s="526"/>
      <c r="V633" s="526"/>
      <c r="W633" s="526"/>
      <c r="X633" s="526"/>
    </row>
    <row r="634" spans="1:24">
      <c r="A634" s="526"/>
      <c r="B634" s="526"/>
      <c r="C634" s="526"/>
      <c r="D634" s="526"/>
      <c r="E634" s="526"/>
      <c r="F634" s="526"/>
      <c r="G634" s="526"/>
      <c r="H634" s="526"/>
      <c r="I634" s="526"/>
      <c r="J634" s="526"/>
      <c r="K634" s="526"/>
      <c r="L634" s="526"/>
      <c r="M634" s="526"/>
      <c r="N634" s="526"/>
      <c r="O634" s="526"/>
      <c r="P634" s="526"/>
      <c r="Q634" s="526"/>
      <c r="R634" s="526"/>
      <c r="S634" s="526"/>
      <c r="T634" s="526"/>
      <c r="U634" s="526"/>
      <c r="V634" s="526"/>
      <c r="W634" s="526"/>
      <c r="X634" s="526"/>
    </row>
    <row r="635" spans="1:24">
      <c r="A635" s="526"/>
      <c r="B635" s="526"/>
      <c r="C635" s="526"/>
      <c r="D635" s="526"/>
      <c r="E635" s="526"/>
      <c r="F635" s="526"/>
      <c r="G635" s="526"/>
      <c r="H635" s="526"/>
      <c r="I635" s="526"/>
      <c r="J635" s="526"/>
      <c r="K635" s="526"/>
      <c r="L635" s="526"/>
      <c r="M635" s="526"/>
      <c r="N635" s="526"/>
      <c r="O635" s="526"/>
      <c r="P635" s="526"/>
      <c r="Q635" s="526"/>
      <c r="R635" s="526"/>
      <c r="S635" s="526"/>
      <c r="T635" s="526"/>
      <c r="U635" s="526"/>
      <c r="V635" s="526"/>
      <c r="W635" s="526"/>
      <c r="X635" s="526"/>
    </row>
    <row r="636" spans="1:24">
      <c r="A636" s="526"/>
      <c r="B636" s="526"/>
      <c r="C636" s="526"/>
      <c r="D636" s="526"/>
      <c r="E636" s="526"/>
      <c r="F636" s="526"/>
      <c r="G636" s="526"/>
      <c r="H636" s="526"/>
      <c r="I636" s="526"/>
      <c r="J636" s="526"/>
      <c r="K636" s="526"/>
      <c r="L636" s="526"/>
      <c r="M636" s="526"/>
      <c r="N636" s="526"/>
      <c r="O636" s="526"/>
      <c r="P636" s="526"/>
      <c r="Q636" s="526"/>
      <c r="R636" s="526"/>
      <c r="S636" s="526"/>
      <c r="T636" s="526"/>
      <c r="U636" s="526"/>
      <c r="V636" s="526"/>
      <c r="W636" s="526"/>
      <c r="X636" s="526"/>
    </row>
    <row r="637" spans="1:24">
      <c r="A637" s="526"/>
      <c r="B637" s="526"/>
      <c r="C637" s="526"/>
      <c r="D637" s="526"/>
      <c r="E637" s="526"/>
      <c r="F637" s="526"/>
      <c r="G637" s="526"/>
      <c r="H637" s="526"/>
      <c r="I637" s="526"/>
      <c r="J637" s="526"/>
      <c r="K637" s="526"/>
      <c r="L637" s="526"/>
      <c r="M637" s="526"/>
      <c r="N637" s="526"/>
      <c r="O637" s="526"/>
      <c r="P637" s="526"/>
      <c r="Q637" s="526"/>
      <c r="R637" s="526"/>
      <c r="S637" s="526"/>
      <c r="T637" s="526"/>
      <c r="U637" s="526"/>
      <c r="V637" s="526"/>
      <c r="W637" s="526"/>
      <c r="X637" s="526"/>
    </row>
    <row r="638" spans="1:24">
      <c r="A638" s="526"/>
      <c r="B638" s="526"/>
      <c r="C638" s="526"/>
      <c r="D638" s="526"/>
      <c r="E638" s="526"/>
      <c r="F638" s="526"/>
      <c r="G638" s="526"/>
      <c r="H638" s="526"/>
      <c r="I638" s="526"/>
      <c r="J638" s="526"/>
      <c r="K638" s="526"/>
      <c r="L638" s="526"/>
      <c r="M638" s="526"/>
      <c r="N638" s="526"/>
      <c r="O638" s="526"/>
      <c r="P638" s="526"/>
      <c r="Q638" s="526"/>
      <c r="R638" s="526"/>
      <c r="S638" s="526"/>
      <c r="T638" s="526"/>
      <c r="U638" s="526"/>
      <c r="V638" s="526"/>
      <c r="W638" s="526"/>
      <c r="X638" s="526"/>
    </row>
    <row r="639" spans="1:24">
      <c r="A639" s="526"/>
      <c r="B639" s="526"/>
      <c r="C639" s="526"/>
      <c r="D639" s="526"/>
      <c r="E639" s="526"/>
      <c r="F639" s="526"/>
      <c r="G639" s="526"/>
      <c r="H639" s="526"/>
      <c r="I639" s="526"/>
      <c r="J639" s="526"/>
      <c r="K639" s="526"/>
      <c r="L639" s="526"/>
      <c r="M639" s="526"/>
      <c r="N639" s="526"/>
      <c r="O639" s="526"/>
      <c r="P639" s="526"/>
      <c r="Q639" s="526"/>
      <c r="R639" s="526"/>
      <c r="S639" s="526"/>
      <c r="T639" s="526"/>
      <c r="U639" s="526"/>
      <c r="V639" s="526"/>
      <c r="W639" s="526"/>
      <c r="X639" s="526"/>
    </row>
    <row r="640" spans="1:24">
      <c r="A640" s="526"/>
      <c r="B640" s="526"/>
      <c r="C640" s="526"/>
      <c r="D640" s="526"/>
      <c r="E640" s="526"/>
      <c r="F640" s="526"/>
      <c r="G640" s="526"/>
      <c r="H640" s="526"/>
      <c r="I640" s="526"/>
      <c r="J640" s="526"/>
      <c r="K640" s="526"/>
      <c r="L640" s="526"/>
      <c r="M640" s="526"/>
      <c r="N640" s="526"/>
      <c r="O640" s="526"/>
      <c r="P640" s="526"/>
      <c r="Q640" s="526"/>
      <c r="R640" s="526"/>
      <c r="S640" s="526"/>
      <c r="T640" s="526"/>
      <c r="U640" s="526"/>
      <c r="V640" s="526"/>
      <c r="W640" s="526"/>
      <c r="X640" s="526"/>
    </row>
    <row r="641" spans="1:24">
      <c r="A641" s="526"/>
      <c r="B641" s="526"/>
      <c r="C641" s="526"/>
      <c r="D641" s="526"/>
      <c r="E641" s="526"/>
      <c r="F641" s="526"/>
      <c r="G641" s="526"/>
      <c r="H641" s="526"/>
      <c r="I641" s="526"/>
      <c r="J641" s="526"/>
      <c r="K641" s="526"/>
      <c r="L641" s="526"/>
      <c r="M641" s="526"/>
      <c r="N641" s="526"/>
      <c r="O641" s="526"/>
      <c r="P641" s="526"/>
      <c r="Q641" s="526"/>
      <c r="R641" s="526"/>
      <c r="S641" s="526"/>
      <c r="T641" s="526"/>
      <c r="U641" s="526"/>
      <c r="V641" s="526"/>
      <c r="W641" s="526"/>
      <c r="X641" s="526"/>
    </row>
    <row r="642" spans="1:24">
      <c r="A642" s="526"/>
      <c r="B642" s="526"/>
      <c r="C642" s="526"/>
      <c r="D642" s="526"/>
      <c r="E642" s="526"/>
      <c r="F642" s="526"/>
      <c r="G642" s="526"/>
      <c r="H642" s="526"/>
      <c r="I642" s="526"/>
      <c r="J642" s="526"/>
      <c r="K642" s="526"/>
      <c r="L642" s="526"/>
      <c r="M642" s="526"/>
      <c r="N642" s="526"/>
      <c r="O642" s="526"/>
      <c r="P642" s="526"/>
      <c r="Q642" s="526"/>
      <c r="R642" s="526"/>
      <c r="S642" s="526"/>
      <c r="T642" s="526"/>
      <c r="U642" s="526"/>
      <c r="V642" s="526"/>
      <c r="W642" s="526"/>
      <c r="X642" s="526"/>
    </row>
    <row r="643" spans="1:24">
      <c r="A643" s="526"/>
      <c r="B643" s="526"/>
      <c r="C643" s="526"/>
      <c r="D643" s="526"/>
      <c r="E643" s="526"/>
      <c r="F643" s="526"/>
      <c r="G643" s="526"/>
      <c r="H643" s="526"/>
      <c r="I643" s="526"/>
      <c r="J643" s="526"/>
      <c r="K643" s="526"/>
      <c r="L643" s="526"/>
      <c r="M643" s="526"/>
      <c r="N643" s="526"/>
      <c r="O643" s="526"/>
      <c r="P643" s="526"/>
      <c r="Q643" s="526"/>
      <c r="R643" s="526"/>
      <c r="S643" s="526"/>
      <c r="T643" s="526"/>
      <c r="U643" s="526"/>
      <c r="V643" s="526"/>
      <c r="W643" s="526"/>
      <c r="X643" s="526"/>
    </row>
    <row r="644" spans="1:24">
      <c r="A644" s="526"/>
      <c r="B644" s="526"/>
      <c r="C644" s="526"/>
      <c r="D644" s="526"/>
      <c r="E644" s="526"/>
      <c r="F644" s="526"/>
      <c r="G644" s="526"/>
      <c r="H644" s="526"/>
      <c r="I644" s="526"/>
      <c r="J644" s="526"/>
      <c r="K644" s="526"/>
      <c r="L644" s="526"/>
      <c r="M644" s="526"/>
      <c r="N644" s="526"/>
      <c r="O644" s="526"/>
      <c r="P644" s="526"/>
      <c r="Q644" s="526"/>
      <c r="R644" s="526"/>
      <c r="S644" s="526"/>
      <c r="T644" s="526"/>
      <c r="U644" s="526"/>
      <c r="V644" s="526"/>
      <c r="W644" s="526"/>
      <c r="X644" s="526"/>
    </row>
    <row r="645" spans="1:24">
      <c r="A645" s="526"/>
      <c r="B645" s="526"/>
      <c r="C645" s="526"/>
      <c r="D645" s="526"/>
      <c r="E645" s="526"/>
      <c r="F645" s="526"/>
      <c r="G645" s="526"/>
      <c r="H645" s="526"/>
      <c r="I645" s="526"/>
      <c r="J645" s="526"/>
      <c r="K645" s="526"/>
      <c r="L645" s="526"/>
      <c r="M645" s="526"/>
      <c r="N645" s="526"/>
      <c r="O645" s="526"/>
      <c r="P645" s="526"/>
      <c r="Q645" s="526"/>
      <c r="R645" s="526"/>
      <c r="S645" s="526"/>
      <c r="T645" s="526"/>
      <c r="U645" s="526"/>
      <c r="V645" s="526"/>
      <c r="W645" s="526"/>
      <c r="X645" s="526"/>
    </row>
    <row r="646" spans="1:24">
      <c r="A646" s="526"/>
      <c r="B646" s="526"/>
      <c r="C646" s="526"/>
      <c r="D646" s="526"/>
      <c r="E646" s="526"/>
      <c r="F646" s="526"/>
      <c r="G646" s="526"/>
      <c r="H646" s="526"/>
      <c r="I646" s="526"/>
      <c r="J646" s="526"/>
      <c r="K646" s="526"/>
      <c r="L646" s="526"/>
      <c r="M646" s="526"/>
      <c r="N646" s="526"/>
      <c r="O646" s="526"/>
      <c r="P646" s="526"/>
      <c r="Q646" s="526"/>
      <c r="R646" s="526"/>
      <c r="S646" s="526"/>
      <c r="T646" s="526"/>
      <c r="U646" s="526"/>
      <c r="V646" s="526"/>
      <c r="W646" s="526"/>
      <c r="X646" s="526"/>
    </row>
    <row r="647" spans="1:24">
      <c r="A647" s="526"/>
      <c r="B647" s="526"/>
      <c r="C647" s="526"/>
      <c r="D647" s="526"/>
      <c r="E647" s="526"/>
      <c r="F647" s="526"/>
      <c r="G647" s="526"/>
      <c r="H647" s="526"/>
      <c r="I647" s="526"/>
      <c r="J647" s="526"/>
      <c r="K647" s="526"/>
      <c r="L647" s="526"/>
      <c r="M647" s="526"/>
      <c r="N647" s="526"/>
      <c r="O647" s="526"/>
      <c r="P647" s="526"/>
      <c r="Q647" s="526"/>
      <c r="R647" s="526"/>
      <c r="S647" s="526"/>
      <c r="T647" s="526"/>
      <c r="U647" s="526"/>
      <c r="V647" s="526"/>
      <c r="W647" s="526"/>
      <c r="X647" s="526"/>
    </row>
    <row r="648" spans="1:24">
      <c r="A648" s="526"/>
      <c r="B648" s="526"/>
      <c r="C648" s="526"/>
      <c r="D648" s="526"/>
      <c r="E648" s="526"/>
      <c r="F648" s="526"/>
      <c r="G648" s="526"/>
      <c r="H648" s="526"/>
      <c r="I648" s="526"/>
      <c r="J648" s="526"/>
      <c r="K648" s="526"/>
      <c r="L648" s="526"/>
      <c r="M648" s="526"/>
      <c r="N648" s="526"/>
      <c r="O648" s="526"/>
      <c r="P648" s="526"/>
      <c r="Q648" s="526"/>
      <c r="R648" s="526"/>
      <c r="S648" s="526"/>
      <c r="T648" s="526"/>
      <c r="U648" s="526"/>
      <c r="V648" s="526"/>
      <c r="W648" s="526"/>
      <c r="X648" s="526"/>
    </row>
    <row r="649" spans="1:24">
      <c r="A649" s="526"/>
      <c r="B649" s="526"/>
      <c r="C649" s="526"/>
      <c r="D649" s="526"/>
      <c r="E649" s="526"/>
      <c r="F649" s="526"/>
      <c r="G649" s="526"/>
      <c r="H649" s="526"/>
      <c r="I649" s="526"/>
      <c r="J649" s="526"/>
      <c r="K649" s="526"/>
      <c r="L649" s="526"/>
      <c r="M649" s="526"/>
      <c r="N649" s="526"/>
      <c r="O649" s="526"/>
      <c r="P649" s="526"/>
      <c r="Q649" s="526"/>
      <c r="R649" s="526"/>
      <c r="S649" s="526"/>
      <c r="T649" s="526"/>
      <c r="U649" s="526"/>
      <c r="V649" s="526"/>
      <c r="W649" s="526"/>
      <c r="X649" s="526"/>
    </row>
    <row r="650" spans="1:24">
      <c r="A650" s="526"/>
      <c r="B650" s="526"/>
      <c r="C650" s="526"/>
      <c r="D650" s="526"/>
      <c r="E650" s="526"/>
      <c r="F650" s="526"/>
      <c r="G650" s="526"/>
      <c r="H650" s="526"/>
      <c r="I650" s="526"/>
      <c r="J650" s="526"/>
      <c r="K650" s="526"/>
      <c r="L650" s="526"/>
      <c r="M650" s="526"/>
      <c r="N650" s="526"/>
      <c r="O650" s="526"/>
      <c r="P650" s="526"/>
      <c r="Q650" s="526"/>
      <c r="R650" s="526"/>
      <c r="S650" s="526"/>
      <c r="T650" s="526"/>
      <c r="U650" s="526"/>
      <c r="V650" s="526"/>
      <c r="W650" s="526"/>
      <c r="X650" s="526"/>
    </row>
    <row r="651" spans="1:24">
      <c r="A651" s="526"/>
      <c r="B651" s="526"/>
      <c r="C651" s="526"/>
      <c r="D651" s="526"/>
      <c r="E651" s="526"/>
      <c r="F651" s="526"/>
      <c r="G651" s="526"/>
      <c r="H651" s="526"/>
      <c r="I651" s="526"/>
      <c r="J651" s="526"/>
      <c r="K651" s="526"/>
      <c r="L651" s="526"/>
      <c r="M651" s="526"/>
      <c r="N651" s="526"/>
      <c r="O651" s="526"/>
      <c r="P651" s="526"/>
      <c r="Q651" s="526"/>
      <c r="R651" s="526"/>
      <c r="S651" s="526"/>
      <c r="T651" s="526"/>
      <c r="U651" s="526"/>
      <c r="V651" s="526"/>
      <c r="W651" s="526"/>
      <c r="X651" s="526"/>
    </row>
    <row r="652" spans="1:24">
      <c r="A652" s="526"/>
      <c r="B652" s="526"/>
      <c r="C652" s="526"/>
      <c r="D652" s="526"/>
      <c r="E652" s="526"/>
      <c r="F652" s="526"/>
      <c r="G652" s="526"/>
      <c r="H652" s="526"/>
      <c r="I652" s="526"/>
      <c r="J652" s="526"/>
      <c r="K652" s="526"/>
      <c r="L652" s="526"/>
      <c r="M652" s="526"/>
      <c r="N652" s="526"/>
      <c r="O652" s="526"/>
      <c r="P652" s="526"/>
      <c r="Q652" s="526"/>
      <c r="R652" s="526"/>
      <c r="S652" s="526"/>
      <c r="T652" s="526"/>
      <c r="U652" s="526"/>
      <c r="V652" s="526"/>
      <c r="W652" s="526"/>
      <c r="X652" s="526"/>
    </row>
    <row r="653" spans="1:24">
      <c r="A653" s="526"/>
      <c r="B653" s="526"/>
      <c r="C653" s="526"/>
      <c r="D653" s="526"/>
      <c r="E653" s="526"/>
      <c r="F653" s="526"/>
      <c r="G653" s="526"/>
      <c r="H653" s="526"/>
      <c r="I653" s="526"/>
      <c r="J653" s="526"/>
      <c r="K653" s="526"/>
      <c r="L653" s="526"/>
      <c r="M653" s="526"/>
      <c r="N653" s="526"/>
      <c r="O653" s="526"/>
      <c r="P653" s="526"/>
      <c r="Q653" s="526"/>
      <c r="R653" s="526"/>
      <c r="S653" s="526"/>
      <c r="T653" s="526"/>
      <c r="U653" s="526"/>
      <c r="V653" s="526"/>
      <c r="W653" s="526"/>
      <c r="X653" s="526"/>
    </row>
    <row r="654" spans="1:24">
      <c r="A654" s="526"/>
      <c r="B654" s="526"/>
      <c r="C654" s="526"/>
      <c r="D654" s="526"/>
      <c r="E654" s="526"/>
      <c r="F654" s="526"/>
      <c r="G654" s="526"/>
      <c r="H654" s="526"/>
      <c r="I654" s="526"/>
      <c r="J654" s="526"/>
      <c r="K654" s="526"/>
      <c r="L654" s="526"/>
      <c r="M654" s="526"/>
      <c r="N654" s="526"/>
      <c r="O654" s="526"/>
      <c r="P654" s="526"/>
      <c r="Q654" s="526"/>
      <c r="R654" s="526"/>
      <c r="S654" s="526"/>
      <c r="T654" s="526"/>
      <c r="U654" s="526"/>
      <c r="V654" s="526"/>
      <c r="W654" s="526"/>
      <c r="X654" s="526"/>
    </row>
    <row r="655" spans="1:24">
      <c r="A655" s="526"/>
      <c r="B655" s="526"/>
      <c r="C655" s="526"/>
      <c r="D655" s="526"/>
      <c r="E655" s="526"/>
      <c r="F655" s="526"/>
      <c r="G655" s="526"/>
      <c r="H655" s="526"/>
      <c r="I655" s="526"/>
      <c r="J655" s="526"/>
      <c r="K655" s="526"/>
      <c r="L655" s="526"/>
      <c r="M655" s="526"/>
      <c r="N655" s="526"/>
      <c r="O655" s="526"/>
      <c r="P655" s="526"/>
      <c r="Q655" s="526"/>
      <c r="R655" s="526"/>
      <c r="S655" s="526"/>
      <c r="T655" s="526"/>
      <c r="U655" s="526"/>
      <c r="V655" s="526"/>
      <c r="W655" s="526"/>
      <c r="X655" s="526"/>
    </row>
    <row r="656" spans="1:24">
      <c r="A656" s="526"/>
      <c r="B656" s="526"/>
      <c r="C656" s="526"/>
      <c r="D656" s="526"/>
      <c r="E656" s="526"/>
      <c r="F656" s="526"/>
      <c r="G656" s="526"/>
      <c r="H656" s="526"/>
      <c r="I656" s="526"/>
      <c r="J656" s="526"/>
      <c r="K656" s="526"/>
      <c r="L656" s="526"/>
      <c r="M656" s="526"/>
      <c r="N656" s="526"/>
      <c r="O656" s="526"/>
      <c r="P656" s="526"/>
      <c r="Q656" s="526"/>
      <c r="R656" s="526"/>
      <c r="S656" s="526"/>
      <c r="T656" s="526"/>
      <c r="U656" s="526"/>
      <c r="V656" s="526"/>
      <c r="W656" s="526"/>
      <c r="X656" s="526"/>
    </row>
    <row r="657" spans="1:24">
      <c r="A657" s="526"/>
      <c r="B657" s="526"/>
      <c r="C657" s="526"/>
      <c r="D657" s="526"/>
      <c r="E657" s="526"/>
      <c r="F657" s="526"/>
      <c r="G657" s="526"/>
      <c r="H657" s="526"/>
      <c r="I657" s="526"/>
      <c r="J657" s="526"/>
      <c r="K657" s="526"/>
      <c r="L657" s="526"/>
      <c r="M657" s="526"/>
      <c r="N657" s="526"/>
      <c r="O657" s="526"/>
      <c r="P657" s="526"/>
      <c r="Q657" s="526"/>
      <c r="R657" s="526"/>
      <c r="S657" s="526"/>
      <c r="T657" s="526"/>
      <c r="U657" s="526"/>
      <c r="V657" s="526"/>
      <c r="W657" s="526"/>
      <c r="X657" s="526"/>
    </row>
    <row r="658" spans="1:24">
      <c r="A658" s="526"/>
      <c r="B658" s="526"/>
      <c r="C658" s="526"/>
      <c r="D658" s="526"/>
      <c r="E658" s="526"/>
      <c r="F658" s="526"/>
      <c r="G658" s="526"/>
      <c r="H658" s="526"/>
      <c r="I658" s="526"/>
      <c r="J658" s="526"/>
      <c r="K658" s="526"/>
      <c r="L658" s="526"/>
      <c r="M658" s="526"/>
      <c r="N658" s="526"/>
      <c r="O658" s="526"/>
      <c r="P658" s="526"/>
      <c r="Q658" s="526"/>
      <c r="R658" s="526"/>
      <c r="S658" s="526"/>
      <c r="T658" s="526"/>
      <c r="U658" s="526"/>
      <c r="V658" s="526"/>
      <c r="W658" s="526"/>
      <c r="X658" s="526"/>
    </row>
    <row r="659" spans="1:24">
      <c r="A659" s="526"/>
      <c r="B659" s="526"/>
      <c r="C659" s="526"/>
      <c r="D659" s="526"/>
      <c r="E659" s="526"/>
      <c r="F659" s="526"/>
      <c r="G659" s="526"/>
      <c r="H659" s="526"/>
      <c r="I659" s="526"/>
      <c r="J659" s="526"/>
      <c r="K659" s="526"/>
      <c r="L659" s="526"/>
      <c r="M659" s="526"/>
      <c r="N659" s="526"/>
      <c r="O659" s="526"/>
      <c r="P659" s="526"/>
      <c r="Q659" s="526"/>
      <c r="R659" s="526"/>
      <c r="S659" s="526"/>
      <c r="T659" s="526"/>
      <c r="U659" s="526"/>
      <c r="V659" s="526"/>
      <c r="W659" s="526"/>
      <c r="X659" s="526"/>
    </row>
    <row r="660" spans="1:24">
      <c r="A660" s="526"/>
      <c r="B660" s="526"/>
      <c r="C660" s="526"/>
      <c r="D660" s="526"/>
      <c r="E660" s="526"/>
      <c r="F660" s="526"/>
      <c r="G660" s="526"/>
      <c r="H660" s="526"/>
      <c r="I660" s="526"/>
      <c r="J660" s="526"/>
      <c r="K660" s="526"/>
      <c r="L660" s="526"/>
      <c r="M660" s="526"/>
      <c r="N660" s="526"/>
      <c r="O660" s="526"/>
      <c r="P660" s="526"/>
      <c r="Q660" s="526"/>
      <c r="R660" s="526"/>
      <c r="S660" s="526"/>
      <c r="T660" s="526"/>
      <c r="U660" s="526"/>
      <c r="V660" s="526"/>
      <c r="W660" s="526"/>
      <c r="X660" s="526"/>
    </row>
    <row r="661" spans="1:24">
      <c r="A661" s="526"/>
      <c r="B661" s="526"/>
      <c r="C661" s="526"/>
      <c r="D661" s="526"/>
      <c r="E661" s="526"/>
      <c r="F661" s="526"/>
      <c r="G661" s="526"/>
      <c r="H661" s="526"/>
      <c r="I661" s="526"/>
      <c r="J661" s="526"/>
      <c r="K661" s="526"/>
      <c r="L661" s="526"/>
      <c r="M661" s="526"/>
      <c r="N661" s="526"/>
      <c r="O661" s="526"/>
      <c r="P661" s="526"/>
      <c r="Q661" s="526"/>
      <c r="R661" s="526"/>
      <c r="S661" s="526"/>
      <c r="T661" s="526"/>
      <c r="U661" s="526"/>
      <c r="V661" s="526"/>
      <c r="W661" s="526"/>
      <c r="X661" s="526"/>
    </row>
    <row r="662" spans="1:24">
      <c r="A662" s="526"/>
      <c r="B662" s="526"/>
      <c r="C662" s="526"/>
      <c r="D662" s="526"/>
      <c r="E662" s="526"/>
      <c r="F662" s="526"/>
      <c r="G662" s="526"/>
      <c r="H662" s="526"/>
      <c r="I662" s="526"/>
      <c r="J662" s="526"/>
      <c r="K662" s="526"/>
      <c r="L662" s="526"/>
      <c r="M662" s="526"/>
      <c r="N662" s="526"/>
      <c r="O662" s="526"/>
      <c r="P662" s="526"/>
      <c r="Q662" s="526"/>
      <c r="R662" s="526"/>
      <c r="S662" s="526"/>
      <c r="T662" s="526"/>
      <c r="U662" s="526"/>
      <c r="V662" s="526"/>
      <c r="W662" s="526"/>
      <c r="X662" s="526"/>
    </row>
    <row r="663" spans="1:24">
      <c r="A663" s="526"/>
      <c r="B663" s="526"/>
      <c r="C663" s="526"/>
      <c r="D663" s="526"/>
      <c r="E663" s="526"/>
      <c r="F663" s="526"/>
      <c r="G663" s="526"/>
      <c r="H663" s="526"/>
      <c r="I663" s="526"/>
      <c r="J663" s="526"/>
      <c r="K663" s="526"/>
      <c r="L663" s="526"/>
      <c r="M663" s="526"/>
      <c r="N663" s="526"/>
      <c r="O663" s="526"/>
      <c r="P663" s="526"/>
      <c r="Q663" s="526"/>
      <c r="R663" s="526"/>
      <c r="S663" s="526"/>
      <c r="T663" s="526"/>
      <c r="U663" s="526"/>
      <c r="V663" s="526"/>
      <c r="W663" s="526"/>
      <c r="X663" s="526"/>
    </row>
    <row r="664" spans="1:24">
      <c r="A664" s="526"/>
      <c r="B664" s="526"/>
      <c r="C664" s="526"/>
      <c r="D664" s="526"/>
      <c r="E664" s="526"/>
      <c r="F664" s="526"/>
      <c r="G664" s="526"/>
      <c r="H664" s="526"/>
      <c r="I664" s="526"/>
      <c r="J664" s="526"/>
      <c r="K664" s="526"/>
      <c r="L664" s="526"/>
      <c r="M664" s="526"/>
      <c r="N664" s="526"/>
      <c r="O664" s="526"/>
      <c r="P664" s="526"/>
      <c r="Q664" s="526"/>
      <c r="R664" s="526"/>
      <c r="S664" s="526"/>
      <c r="T664" s="526"/>
      <c r="U664" s="526"/>
      <c r="V664" s="526"/>
      <c r="W664" s="526"/>
      <c r="X664" s="526"/>
    </row>
    <row r="665" spans="1:24">
      <c r="A665" s="526"/>
      <c r="B665" s="526"/>
      <c r="C665" s="526"/>
      <c r="D665" s="526"/>
      <c r="E665" s="526"/>
      <c r="F665" s="526"/>
      <c r="G665" s="526"/>
      <c r="H665" s="526"/>
      <c r="I665" s="526"/>
      <c r="J665" s="526"/>
      <c r="K665" s="526"/>
      <c r="L665" s="526"/>
      <c r="M665" s="526"/>
      <c r="N665" s="526"/>
      <c r="O665" s="526"/>
      <c r="P665" s="526"/>
      <c r="Q665" s="526"/>
      <c r="R665" s="526"/>
      <c r="S665" s="526"/>
      <c r="T665" s="526"/>
      <c r="U665" s="526"/>
      <c r="V665" s="526"/>
      <c r="W665" s="526"/>
      <c r="X665" s="526"/>
    </row>
    <row r="666" spans="1:24">
      <c r="A666" s="526"/>
      <c r="B666" s="526"/>
      <c r="C666" s="526"/>
      <c r="D666" s="526"/>
      <c r="E666" s="526"/>
      <c r="F666" s="526"/>
      <c r="G666" s="526"/>
      <c r="H666" s="526"/>
      <c r="I666" s="526"/>
      <c r="J666" s="526"/>
      <c r="K666" s="526"/>
      <c r="L666" s="526"/>
      <c r="M666" s="526"/>
      <c r="N666" s="526"/>
      <c r="O666" s="526"/>
      <c r="P666" s="526"/>
      <c r="Q666" s="526"/>
      <c r="R666" s="526"/>
      <c r="S666" s="526"/>
      <c r="T666" s="526"/>
      <c r="U666" s="526"/>
      <c r="V666" s="526"/>
      <c r="W666" s="526"/>
      <c r="X666" s="526"/>
    </row>
    <row r="667" spans="1:24">
      <c r="A667" s="526"/>
      <c r="B667" s="526"/>
      <c r="C667" s="526"/>
      <c r="D667" s="526"/>
      <c r="E667" s="526"/>
      <c r="F667" s="526"/>
      <c r="G667" s="526"/>
      <c r="H667" s="526"/>
      <c r="I667" s="526"/>
      <c r="J667" s="526"/>
      <c r="K667" s="526"/>
      <c r="L667" s="526"/>
      <c r="M667" s="526"/>
      <c r="N667" s="526"/>
      <c r="O667" s="526"/>
      <c r="P667" s="526"/>
      <c r="Q667" s="526"/>
      <c r="R667" s="526"/>
      <c r="S667" s="526"/>
      <c r="T667" s="526"/>
      <c r="U667" s="526"/>
      <c r="V667" s="526"/>
      <c r="W667" s="526"/>
      <c r="X667" s="526"/>
    </row>
    <row r="668" spans="1:24">
      <c r="A668" s="526"/>
      <c r="B668" s="526"/>
      <c r="C668" s="526"/>
      <c r="D668" s="526"/>
      <c r="E668" s="526"/>
      <c r="F668" s="526"/>
      <c r="G668" s="526"/>
      <c r="H668" s="526"/>
      <c r="I668" s="526"/>
      <c r="J668" s="526"/>
      <c r="K668" s="526"/>
      <c r="L668" s="526"/>
      <c r="M668" s="526"/>
      <c r="N668" s="526"/>
      <c r="O668" s="526"/>
      <c r="P668" s="526"/>
      <c r="Q668" s="526"/>
      <c r="R668" s="526"/>
      <c r="S668" s="526"/>
      <c r="T668" s="526"/>
      <c r="U668" s="526"/>
      <c r="V668" s="526"/>
      <c r="W668" s="526"/>
      <c r="X668" s="526"/>
    </row>
    <row r="669" spans="1:24">
      <c r="A669" s="526"/>
      <c r="B669" s="526"/>
      <c r="C669" s="526"/>
      <c r="D669" s="526"/>
      <c r="E669" s="526"/>
      <c r="F669" s="526"/>
      <c r="G669" s="526"/>
      <c r="H669" s="526"/>
      <c r="I669" s="526"/>
      <c r="J669" s="526"/>
      <c r="K669" s="526"/>
      <c r="L669" s="526"/>
      <c r="M669" s="526"/>
      <c r="N669" s="526"/>
      <c r="O669" s="526"/>
      <c r="P669" s="526"/>
      <c r="Q669" s="526"/>
      <c r="R669" s="526"/>
      <c r="S669" s="526"/>
      <c r="T669" s="526"/>
      <c r="U669" s="526"/>
      <c r="V669" s="526"/>
      <c r="W669" s="526"/>
      <c r="X669" s="526"/>
    </row>
    <row r="670" spans="1:24">
      <c r="A670" s="526"/>
      <c r="B670" s="526"/>
      <c r="C670" s="526"/>
      <c r="D670" s="526"/>
      <c r="E670" s="526"/>
      <c r="F670" s="526"/>
      <c r="G670" s="526"/>
      <c r="H670" s="526"/>
      <c r="I670" s="526"/>
      <c r="J670" s="526"/>
      <c r="K670" s="526"/>
      <c r="L670" s="526"/>
      <c r="M670" s="526"/>
      <c r="N670" s="526"/>
      <c r="O670" s="526"/>
      <c r="P670" s="526"/>
      <c r="Q670" s="526"/>
      <c r="R670" s="526"/>
      <c r="S670" s="526"/>
      <c r="T670" s="526"/>
      <c r="U670" s="526"/>
      <c r="V670" s="526"/>
      <c r="W670" s="526"/>
      <c r="X670" s="526"/>
    </row>
    <row r="671" spans="1:24">
      <c r="A671" s="526"/>
      <c r="B671" s="526"/>
      <c r="C671" s="526"/>
      <c r="D671" s="526"/>
      <c r="E671" s="526"/>
      <c r="F671" s="526"/>
      <c r="G671" s="526"/>
      <c r="H671" s="526"/>
      <c r="I671" s="526"/>
      <c r="J671" s="526"/>
      <c r="K671" s="526"/>
      <c r="L671" s="526"/>
      <c r="M671" s="526"/>
      <c r="N671" s="526"/>
      <c r="O671" s="526"/>
      <c r="P671" s="526"/>
      <c r="Q671" s="526"/>
      <c r="R671" s="526"/>
      <c r="S671" s="526"/>
      <c r="T671" s="526"/>
      <c r="U671" s="526"/>
      <c r="V671" s="526"/>
      <c r="W671" s="526"/>
      <c r="X671" s="526"/>
    </row>
    <row r="672" spans="1:24">
      <c r="A672" s="526"/>
      <c r="B672" s="526"/>
      <c r="C672" s="526"/>
      <c r="D672" s="526"/>
      <c r="E672" s="526"/>
      <c r="F672" s="526"/>
      <c r="G672" s="526"/>
      <c r="H672" s="526"/>
      <c r="I672" s="526"/>
      <c r="J672" s="526"/>
      <c r="K672" s="526"/>
      <c r="L672" s="526"/>
      <c r="M672" s="526"/>
      <c r="N672" s="526"/>
      <c r="O672" s="526"/>
      <c r="P672" s="526"/>
      <c r="Q672" s="526"/>
      <c r="R672" s="526"/>
      <c r="S672" s="526"/>
      <c r="T672" s="526"/>
      <c r="U672" s="526"/>
      <c r="V672" s="526"/>
      <c r="W672" s="526"/>
      <c r="X672" s="526"/>
    </row>
    <row r="673" spans="1:24">
      <c r="A673" s="526"/>
      <c r="B673" s="526"/>
      <c r="C673" s="526"/>
      <c r="D673" s="526"/>
      <c r="E673" s="526"/>
      <c r="F673" s="526"/>
      <c r="G673" s="526"/>
      <c r="H673" s="526"/>
      <c r="I673" s="526"/>
      <c r="J673" s="526"/>
      <c r="K673" s="526"/>
      <c r="L673" s="526"/>
      <c r="M673" s="526"/>
      <c r="N673" s="526"/>
      <c r="O673" s="526"/>
      <c r="P673" s="526"/>
      <c r="Q673" s="526"/>
      <c r="R673" s="526"/>
      <c r="S673" s="526"/>
      <c r="T673" s="526"/>
      <c r="U673" s="526"/>
      <c r="V673" s="526"/>
      <c r="W673" s="526"/>
      <c r="X673" s="526"/>
    </row>
    <row r="674" spans="1:24">
      <c r="A674" s="526"/>
      <c r="B674" s="526"/>
      <c r="C674" s="526"/>
      <c r="D674" s="526"/>
      <c r="E674" s="526"/>
      <c r="F674" s="526"/>
      <c r="G674" s="526"/>
      <c r="H674" s="526"/>
      <c r="I674" s="526"/>
      <c r="J674" s="526"/>
      <c r="K674" s="526"/>
      <c r="L674" s="526"/>
      <c r="M674" s="526"/>
      <c r="N674" s="526"/>
      <c r="O674" s="526"/>
      <c r="P674" s="526"/>
      <c r="Q674" s="526"/>
      <c r="R674" s="526"/>
      <c r="S674" s="526"/>
      <c r="T674" s="526"/>
      <c r="U674" s="526"/>
      <c r="V674" s="526"/>
      <c r="W674" s="526"/>
      <c r="X674" s="526"/>
    </row>
    <row r="675" spans="1:24">
      <c r="A675" s="526"/>
      <c r="B675" s="526"/>
      <c r="C675" s="526"/>
      <c r="D675" s="526"/>
      <c r="E675" s="526"/>
      <c r="F675" s="526"/>
      <c r="G675" s="526"/>
      <c r="H675" s="526"/>
      <c r="I675" s="526"/>
      <c r="J675" s="526"/>
      <c r="K675" s="526"/>
      <c r="L675" s="526"/>
      <c r="M675" s="526"/>
      <c r="N675" s="526"/>
      <c r="O675" s="526"/>
      <c r="P675" s="526"/>
      <c r="Q675" s="526"/>
      <c r="R675" s="526"/>
      <c r="S675" s="526"/>
      <c r="T675" s="526"/>
      <c r="U675" s="526"/>
      <c r="V675" s="526"/>
      <c r="W675" s="526"/>
      <c r="X675" s="526"/>
    </row>
    <row r="676" spans="1:24">
      <c r="A676" s="526"/>
      <c r="B676" s="526"/>
      <c r="C676" s="526"/>
      <c r="D676" s="526"/>
      <c r="E676" s="526"/>
      <c r="F676" s="526"/>
      <c r="G676" s="526"/>
      <c r="H676" s="526"/>
      <c r="I676" s="526"/>
      <c r="J676" s="526"/>
      <c r="K676" s="526"/>
      <c r="L676" s="526"/>
      <c r="M676" s="526"/>
      <c r="N676" s="526"/>
      <c r="O676" s="526"/>
      <c r="P676" s="526"/>
      <c r="Q676" s="526"/>
      <c r="R676" s="526"/>
      <c r="S676" s="526"/>
      <c r="T676" s="526"/>
      <c r="U676" s="526"/>
      <c r="V676" s="526"/>
      <c r="W676" s="526"/>
      <c r="X676" s="526"/>
    </row>
    <row r="677" spans="1:24">
      <c r="A677" s="526"/>
      <c r="B677" s="526"/>
      <c r="C677" s="526"/>
      <c r="D677" s="526"/>
      <c r="E677" s="526"/>
      <c r="F677" s="526"/>
      <c r="G677" s="526"/>
      <c r="H677" s="526"/>
      <c r="I677" s="526"/>
      <c r="J677" s="526"/>
      <c r="K677" s="526"/>
      <c r="L677" s="526"/>
      <c r="M677" s="526"/>
      <c r="N677" s="526"/>
      <c r="O677" s="526"/>
      <c r="P677" s="526"/>
      <c r="Q677" s="526"/>
      <c r="R677" s="526"/>
      <c r="S677" s="526"/>
      <c r="T677" s="526"/>
      <c r="U677" s="526"/>
      <c r="V677" s="526"/>
      <c r="W677" s="526"/>
      <c r="X677" s="526"/>
    </row>
    <row r="678" spans="1:24">
      <c r="A678" s="526"/>
      <c r="B678" s="526"/>
      <c r="C678" s="526"/>
      <c r="D678" s="526"/>
      <c r="E678" s="526"/>
      <c r="F678" s="526"/>
      <c r="G678" s="526"/>
      <c r="H678" s="526"/>
      <c r="I678" s="526"/>
      <c r="J678" s="526"/>
      <c r="K678" s="526"/>
      <c r="L678" s="526"/>
      <c r="M678" s="526"/>
      <c r="N678" s="526"/>
      <c r="O678" s="526"/>
      <c r="P678" s="526"/>
      <c r="Q678" s="526"/>
      <c r="R678" s="526"/>
      <c r="S678" s="526"/>
      <c r="T678" s="526"/>
      <c r="U678" s="526"/>
      <c r="V678" s="526"/>
      <c r="W678" s="526"/>
      <c r="X678" s="526"/>
    </row>
    <row r="679" spans="1:24">
      <c r="A679" s="526"/>
      <c r="B679" s="526"/>
      <c r="C679" s="526"/>
      <c r="D679" s="526"/>
      <c r="E679" s="526"/>
      <c r="F679" s="526"/>
      <c r="G679" s="526"/>
      <c r="H679" s="526"/>
      <c r="I679" s="526"/>
      <c r="J679" s="526"/>
      <c r="K679" s="526"/>
      <c r="L679" s="526"/>
      <c r="M679" s="526"/>
      <c r="N679" s="526"/>
      <c r="O679" s="526"/>
      <c r="P679" s="526"/>
      <c r="Q679" s="526"/>
      <c r="R679" s="526"/>
      <c r="S679" s="526"/>
      <c r="T679" s="526"/>
      <c r="U679" s="526"/>
      <c r="V679" s="526"/>
      <c r="W679" s="526"/>
      <c r="X679" s="526"/>
    </row>
    <row r="680" spans="1:24">
      <c r="A680" s="526"/>
      <c r="B680" s="526"/>
      <c r="C680" s="526"/>
      <c r="D680" s="526"/>
      <c r="E680" s="526"/>
      <c r="F680" s="526"/>
      <c r="G680" s="526"/>
      <c r="H680" s="526"/>
      <c r="I680" s="526"/>
      <c r="J680" s="526"/>
      <c r="K680" s="526"/>
      <c r="L680" s="526"/>
      <c r="M680" s="526"/>
      <c r="N680" s="526"/>
      <c r="O680" s="526"/>
      <c r="P680" s="526"/>
      <c r="Q680" s="526"/>
      <c r="R680" s="526"/>
      <c r="S680" s="526"/>
      <c r="T680" s="526"/>
      <c r="U680" s="526"/>
      <c r="V680" s="526"/>
      <c r="W680" s="526"/>
      <c r="X680" s="526"/>
    </row>
    <row r="681" spans="1:24">
      <c r="A681" s="526"/>
      <c r="B681" s="526"/>
      <c r="C681" s="526"/>
      <c r="D681" s="526"/>
      <c r="E681" s="526"/>
      <c r="F681" s="526"/>
      <c r="G681" s="526"/>
      <c r="H681" s="526"/>
      <c r="I681" s="526"/>
      <c r="J681" s="526"/>
      <c r="K681" s="526"/>
      <c r="L681" s="526"/>
      <c r="M681" s="526"/>
      <c r="N681" s="526"/>
      <c r="O681" s="526"/>
      <c r="P681" s="526"/>
      <c r="Q681" s="526"/>
      <c r="R681" s="526"/>
      <c r="S681" s="526"/>
      <c r="T681" s="526"/>
      <c r="U681" s="526"/>
      <c r="V681" s="526"/>
      <c r="W681" s="526"/>
      <c r="X681" s="526"/>
    </row>
    <row r="682" spans="1:24">
      <c r="A682" s="526"/>
      <c r="B682" s="526"/>
      <c r="C682" s="526"/>
      <c r="D682" s="526"/>
      <c r="E682" s="526"/>
      <c r="F682" s="526"/>
      <c r="G682" s="526"/>
      <c r="H682" s="526"/>
      <c r="I682" s="526"/>
      <c r="J682" s="526"/>
      <c r="K682" s="526"/>
      <c r="L682" s="526"/>
      <c r="M682" s="526"/>
      <c r="N682" s="526"/>
      <c r="O682" s="526"/>
      <c r="P682" s="526"/>
      <c r="Q682" s="526"/>
      <c r="R682" s="526"/>
      <c r="S682" s="526"/>
      <c r="T682" s="526"/>
      <c r="U682" s="526"/>
      <c r="V682" s="526"/>
      <c r="W682" s="526"/>
      <c r="X682" s="526"/>
    </row>
    <row r="683" spans="1:24">
      <c r="A683" s="526"/>
      <c r="B683" s="526"/>
      <c r="C683" s="526"/>
      <c r="D683" s="526"/>
      <c r="E683" s="526"/>
      <c r="F683" s="526"/>
      <c r="G683" s="526"/>
      <c r="H683" s="526"/>
      <c r="I683" s="526"/>
      <c r="J683" s="526"/>
      <c r="K683" s="526"/>
      <c r="L683" s="526"/>
      <c r="M683" s="526"/>
      <c r="N683" s="526"/>
      <c r="O683" s="526"/>
      <c r="P683" s="526"/>
      <c r="Q683" s="526"/>
      <c r="R683" s="526"/>
      <c r="S683" s="526"/>
      <c r="T683" s="526"/>
      <c r="U683" s="526"/>
      <c r="V683" s="526"/>
      <c r="W683" s="526"/>
      <c r="X683" s="526"/>
    </row>
    <row r="684" spans="1:24">
      <c r="A684" s="526"/>
      <c r="B684" s="526"/>
      <c r="C684" s="526"/>
      <c r="D684" s="526"/>
      <c r="E684" s="526"/>
      <c r="F684" s="526"/>
      <c r="G684" s="526"/>
      <c r="H684" s="526"/>
      <c r="I684" s="526"/>
      <c r="J684" s="526"/>
      <c r="K684" s="526"/>
      <c r="L684" s="526"/>
      <c r="M684" s="526"/>
      <c r="N684" s="526"/>
      <c r="O684" s="526"/>
      <c r="P684" s="526"/>
      <c r="Q684" s="526"/>
      <c r="R684" s="526"/>
      <c r="S684" s="526"/>
      <c r="T684" s="526"/>
      <c r="U684" s="526"/>
      <c r="V684" s="526"/>
      <c r="W684" s="526"/>
      <c r="X684" s="526"/>
    </row>
    <row r="685" spans="1:24">
      <c r="A685" s="526"/>
      <c r="B685" s="526"/>
      <c r="C685" s="526"/>
      <c r="D685" s="526"/>
      <c r="E685" s="526"/>
      <c r="F685" s="526"/>
      <c r="G685" s="526"/>
      <c r="H685" s="526"/>
      <c r="I685" s="526"/>
      <c r="J685" s="526"/>
      <c r="K685" s="526"/>
      <c r="L685" s="526"/>
      <c r="M685" s="526"/>
      <c r="N685" s="526"/>
      <c r="O685" s="526"/>
      <c r="P685" s="526"/>
      <c r="Q685" s="526"/>
      <c r="R685" s="526"/>
      <c r="S685" s="526"/>
      <c r="T685" s="526"/>
      <c r="U685" s="526"/>
      <c r="V685" s="526"/>
      <c r="W685" s="526"/>
      <c r="X685" s="526"/>
    </row>
    <row r="686" spans="1:24">
      <c r="A686" s="526"/>
      <c r="B686" s="526"/>
      <c r="C686" s="526"/>
      <c r="D686" s="526"/>
      <c r="E686" s="526"/>
      <c r="F686" s="526"/>
      <c r="G686" s="526"/>
      <c r="H686" s="526"/>
      <c r="I686" s="526"/>
      <c r="J686" s="526"/>
      <c r="K686" s="526"/>
      <c r="L686" s="526"/>
      <c r="M686" s="526"/>
      <c r="N686" s="526"/>
      <c r="O686" s="526"/>
      <c r="P686" s="526"/>
      <c r="Q686" s="526"/>
      <c r="R686" s="526"/>
      <c r="S686" s="526"/>
      <c r="T686" s="526"/>
      <c r="U686" s="526"/>
      <c r="V686" s="526"/>
      <c r="W686" s="526"/>
      <c r="X686" s="526"/>
    </row>
    <row r="687" spans="1:24">
      <c r="A687" s="526"/>
      <c r="B687" s="526"/>
      <c r="C687" s="526"/>
      <c r="D687" s="526"/>
      <c r="E687" s="526"/>
      <c r="F687" s="526"/>
      <c r="G687" s="526"/>
      <c r="H687" s="526"/>
      <c r="I687" s="526"/>
      <c r="J687" s="526"/>
      <c r="K687" s="526"/>
      <c r="L687" s="526"/>
      <c r="M687" s="526"/>
      <c r="N687" s="526"/>
      <c r="O687" s="526"/>
      <c r="P687" s="526"/>
      <c r="Q687" s="526"/>
      <c r="R687" s="526"/>
      <c r="S687" s="526"/>
      <c r="T687" s="526"/>
      <c r="U687" s="526"/>
      <c r="V687" s="526"/>
      <c r="W687" s="526"/>
      <c r="X687" s="526"/>
    </row>
    <row r="688" spans="1:24">
      <c r="A688" s="526"/>
      <c r="B688" s="526"/>
      <c r="C688" s="526"/>
      <c r="D688" s="526"/>
      <c r="E688" s="526"/>
      <c r="F688" s="526"/>
      <c r="G688" s="526"/>
      <c r="H688" s="526"/>
      <c r="I688" s="526"/>
      <c r="J688" s="526"/>
      <c r="K688" s="526"/>
      <c r="L688" s="526"/>
      <c r="M688" s="526"/>
      <c r="N688" s="526"/>
      <c r="O688" s="526"/>
      <c r="P688" s="526"/>
      <c r="Q688" s="526"/>
      <c r="R688" s="526"/>
      <c r="S688" s="526"/>
      <c r="T688" s="526"/>
      <c r="U688" s="526"/>
      <c r="V688" s="526"/>
      <c r="W688" s="526"/>
      <c r="X688" s="526"/>
    </row>
    <row r="689" spans="1:24">
      <c r="A689" s="526"/>
      <c r="B689" s="526"/>
      <c r="C689" s="526"/>
      <c r="D689" s="526"/>
      <c r="E689" s="526"/>
      <c r="F689" s="526"/>
      <c r="G689" s="526"/>
      <c r="H689" s="526"/>
      <c r="I689" s="526"/>
      <c r="J689" s="526"/>
      <c r="K689" s="526"/>
      <c r="L689" s="526"/>
      <c r="M689" s="526"/>
      <c r="N689" s="526"/>
      <c r="O689" s="526"/>
      <c r="P689" s="526"/>
      <c r="Q689" s="526"/>
      <c r="R689" s="526"/>
      <c r="S689" s="526"/>
      <c r="T689" s="526"/>
      <c r="U689" s="526"/>
      <c r="V689" s="526"/>
      <c r="W689" s="526"/>
      <c r="X689" s="526"/>
    </row>
    <row r="690" spans="1:24">
      <c r="A690" s="526"/>
      <c r="B690" s="526"/>
      <c r="C690" s="526"/>
      <c r="D690" s="526"/>
      <c r="E690" s="526"/>
      <c r="F690" s="526"/>
      <c r="G690" s="526"/>
      <c r="H690" s="526"/>
      <c r="I690" s="526"/>
      <c r="J690" s="526"/>
      <c r="K690" s="526"/>
      <c r="L690" s="526"/>
      <c r="M690" s="526"/>
      <c r="N690" s="526"/>
      <c r="O690" s="526"/>
      <c r="P690" s="526"/>
      <c r="Q690" s="526"/>
      <c r="R690" s="526"/>
      <c r="S690" s="526"/>
      <c r="T690" s="526"/>
      <c r="U690" s="526"/>
      <c r="V690" s="526"/>
      <c r="W690" s="526"/>
      <c r="X690" s="526"/>
    </row>
    <row r="691" spans="1:24">
      <c r="A691" s="526"/>
      <c r="B691" s="526"/>
      <c r="C691" s="526"/>
      <c r="D691" s="526"/>
      <c r="E691" s="526"/>
      <c r="F691" s="526"/>
      <c r="G691" s="526"/>
      <c r="H691" s="526"/>
      <c r="I691" s="526"/>
      <c r="J691" s="526"/>
      <c r="K691" s="526"/>
      <c r="L691" s="526"/>
      <c r="M691" s="526"/>
      <c r="N691" s="526"/>
      <c r="O691" s="526"/>
      <c r="P691" s="526"/>
      <c r="Q691" s="526"/>
      <c r="R691" s="526"/>
      <c r="S691" s="526"/>
      <c r="T691" s="526"/>
      <c r="U691" s="526"/>
      <c r="V691" s="526"/>
      <c r="W691" s="526"/>
      <c r="X691" s="526"/>
    </row>
    <row r="692" spans="1:24">
      <c r="A692" s="526"/>
      <c r="B692" s="526"/>
      <c r="C692" s="526"/>
      <c r="D692" s="526"/>
      <c r="E692" s="526"/>
      <c r="F692" s="526"/>
      <c r="G692" s="526"/>
      <c r="H692" s="526"/>
      <c r="I692" s="526"/>
      <c r="J692" s="526"/>
      <c r="K692" s="526"/>
      <c r="L692" s="526"/>
      <c r="M692" s="526"/>
      <c r="N692" s="526"/>
      <c r="O692" s="526"/>
      <c r="P692" s="526"/>
      <c r="Q692" s="526"/>
      <c r="R692" s="526"/>
      <c r="S692" s="526"/>
      <c r="T692" s="526"/>
      <c r="U692" s="526"/>
      <c r="V692" s="526"/>
      <c r="W692" s="526"/>
      <c r="X692" s="526"/>
    </row>
    <row r="693" spans="1:24">
      <c r="A693" s="526"/>
      <c r="B693" s="526"/>
      <c r="C693" s="526"/>
      <c r="D693" s="526"/>
      <c r="E693" s="526"/>
      <c r="F693" s="526"/>
      <c r="G693" s="526"/>
      <c r="H693" s="526"/>
      <c r="I693" s="526"/>
      <c r="J693" s="526"/>
      <c r="K693" s="526"/>
      <c r="L693" s="526"/>
      <c r="M693" s="526"/>
      <c r="N693" s="526"/>
      <c r="O693" s="526"/>
      <c r="P693" s="526"/>
      <c r="Q693" s="526"/>
      <c r="R693" s="526"/>
      <c r="S693" s="526"/>
      <c r="T693" s="526"/>
      <c r="U693" s="526"/>
      <c r="V693" s="526"/>
      <c r="W693" s="526"/>
      <c r="X693" s="526"/>
    </row>
    <row r="694" spans="1:24">
      <c r="A694" s="526"/>
      <c r="B694" s="526"/>
      <c r="C694" s="526"/>
      <c r="D694" s="526"/>
      <c r="E694" s="526"/>
      <c r="F694" s="526"/>
      <c r="G694" s="526"/>
      <c r="H694" s="526"/>
      <c r="I694" s="526"/>
      <c r="J694" s="526"/>
      <c r="K694" s="526"/>
      <c r="L694" s="526"/>
      <c r="M694" s="526"/>
      <c r="N694" s="526"/>
      <c r="O694" s="526"/>
      <c r="P694" s="526"/>
      <c r="Q694" s="526"/>
      <c r="R694" s="526"/>
      <c r="S694" s="526"/>
      <c r="T694" s="526"/>
      <c r="U694" s="526"/>
      <c r="V694" s="526"/>
      <c r="W694" s="526"/>
      <c r="X694" s="526"/>
    </row>
    <row r="695" spans="1:24">
      <c r="A695" s="526"/>
      <c r="B695" s="526"/>
      <c r="C695" s="526"/>
      <c r="D695" s="526"/>
      <c r="E695" s="526"/>
      <c r="F695" s="526"/>
      <c r="G695" s="526"/>
      <c r="H695" s="526"/>
      <c r="I695" s="526"/>
      <c r="J695" s="526"/>
      <c r="K695" s="526"/>
      <c r="L695" s="526"/>
      <c r="M695" s="526"/>
      <c r="N695" s="526"/>
      <c r="O695" s="526"/>
      <c r="P695" s="526"/>
      <c r="Q695" s="526"/>
      <c r="R695" s="526"/>
      <c r="S695" s="526"/>
      <c r="T695" s="526"/>
      <c r="U695" s="526"/>
      <c r="V695" s="526"/>
      <c r="W695" s="526"/>
      <c r="X695" s="526"/>
    </row>
    <row r="696" spans="1:24">
      <c r="A696" s="526"/>
      <c r="B696" s="526"/>
      <c r="C696" s="526"/>
      <c r="D696" s="526"/>
      <c r="E696" s="526"/>
      <c r="F696" s="526"/>
      <c r="G696" s="526"/>
      <c r="H696" s="526"/>
      <c r="I696" s="526"/>
      <c r="J696" s="526"/>
      <c r="K696" s="526"/>
      <c r="L696" s="526"/>
      <c r="M696" s="526"/>
      <c r="N696" s="526"/>
      <c r="O696" s="526"/>
      <c r="P696" s="526"/>
      <c r="Q696" s="526"/>
      <c r="R696" s="526"/>
      <c r="S696" s="526"/>
      <c r="T696" s="526"/>
      <c r="U696" s="526"/>
      <c r="V696" s="526"/>
      <c r="W696" s="526"/>
      <c r="X696" s="526"/>
    </row>
    <row r="697" spans="1:24">
      <c r="A697" s="526"/>
      <c r="B697" s="526"/>
      <c r="C697" s="526"/>
      <c r="D697" s="526"/>
      <c r="E697" s="526"/>
      <c r="F697" s="526"/>
      <c r="G697" s="526"/>
      <c r="H697" s="526"/>
      <c r="I697" s="526"/>
      <c r="J697" s="526"/>
      <c r="K697" s="526"/>
      <c r="L697" s="526"/>
      <c r="M697" s="526"/>
      <c r="N697" s="526"/>
      <c r="O697" s="526"/>
      <c r="P697" s="526"/>
      <c r="Q697" s="526"/>
      <c r="R697" s="526"/>
      <c r="S697" s="526"/>
      <c r="T697" s="526"/>
      <c r="U697" s="526"/>
      <c r="V697" s="526"/>
      <c r="W697" s="526"/>
      <c r="X697" s="526"/>
    </row>
    <row r="698" spans="1:24">
      <c r="A698" s="526"/>
      <c r="B698" s="526"/>
      <c r="C698" s="526"/>
      <c r="D698" s="526"/>
      <c r="E698" s="526"/>
      <c r="F698" s="526"/>
      <c r="G698" s="526"/>
      <c r="H698" s="526"/>
      <c r="I698" s="526"/>
      <c r="J698" s="526"/>
      <c r="K698" s="526"/>
      <c r="L698" s="526"/>
      <c r="M698" s="526"/>
      <c r="N698" s="526"/>
      <c r="O698" s="526"/>
      <c r="P698" s="526"/>
      <c r="Q698" s="526"/>
      <c r="R698" s="526"/>
      <c r="S698" s="526"/>
      <c r="T698" s="526"/>
      <c r="U698" s="526"/>
      <c r="V698" s="526"/>
      <c r="W698" s="526"/>
      <c r="X698" s="526"/>
    </row>
    <row r="699" spans="1:24">
      <c r="A699" s="526"/>
      <c r="B699" s="526"/>
      <c r="C699" s="526"/>
      <c r="D699" s="526"/>
      <c r="E699" s="526"/>
      <c r="F699" s="526"/>
      <c r="G699" s="526"/>
      <c r="H699" s="526"/>
      <c r="I699" s="526"/>
      <c r="J699" s="526"/>
      <c r="K699" s="526"/>
      <c r="L699" s="526"/>
      <c r="M699" s="526"/>
      <c r="N699" s="526"/>
      <c r="O699" s="526"/>
      <c r="P699" s="526"/>
      <c r="Q699" s="526"/>
      <c r="R699" s="526"/>
      <c r="S699" s="526"/>
      <c r="T699" s="526"/>
      <c r="U699" s="526"/>
      <c r="V699" s="526"/>
      <c r="W699" s="526"/>
      <c r="X699" s="526"/>
    </row>
    <row r="700" spans="1:24">
      <c r="A700" s="526"/>
      <c r="B700" s="526"/>
      <c r="C700" s="526"/>
      <c r="D700" s="526"/>
      <c r="E700" s="526"/>
      <c r="F700" s="526"/>
      <c r="G700" s="526"/>
      <c r="H700" s="526"/>
      <c r="I700" s="526"/>
      <c r="J700" s="526"/>
      <c r="K700" s="526"/>
      <c r="L700" s="526"/>
      <c r="M700" s="526"/>
      <c r="N700" s="526"/>
      <c r="O700" s="526"/>
      <c r="P700" s="526"/>
      <c r="Q700" s="526"/>
      <c r="R700" s="526"/>
      <c r="S700" s="526"/>
      <c r="T700" s="526"/>
      <c r="U700" s="526"/>
      <c r="V700" s="526"/>
      <c r="W700" s="526"/>
      <c r="X700" s="526"/>
    </row>
    <row r="701" spans="1:24">
      <c r="A701" s="526"/>
      <c r="B701" s="526"/>
      <c r="C701" s="526"/>
      <c r="D701" s="526"/>
      <c r="E701" s="526"/>
      <c r="F701" s="526"/>
      <c r="G701" s="526"/>
      <c r="H701" s="526"/>
      <c r="I701" s="526"/>
      <c r="J701" s="526"/>
      <c r="K701" s="526"/>
      <c r="L701" s="526"/>
      <c r="M701" s="526"/>
      <c r="N701" s="526"/>
      <c r="O701" s="526"/>
      <c r="P701" s="526"/>
      <c r="Q701" s="526"/>
      <c r="R701" s="526"/>
      <c r="S701" s="526"/>
      <c r="T701" s="526"/>
      <c r="U701" s="526"/>
      <c r="V701" s="526"/>
      <c r="W701" s="526"/>
      <c r="X701" s="526"/>
    </row>
    <row r="702" spans="1:24">
      <c r="A702" s="526"/>
      <c r="B702" s="526"/>
      <c r="C702" s="526"/>
      <c r="D702" s="526"/>
      <c r="E702" s="526"/>
      <c r="F702" s="526"/>
      <c r="G702" s="526"/>
      <c r="H702" s="526"/>
      <c r="I702" s="526"/>
      <c r="J702" s="526"/>
      <c r="K702" s="526"/>
      <c r="L702" s="526"/>
      <c r="M702" s="526"/>
      <c r="N702" s="526"/>
      <c r="O702" s="526"/>
      <c r="P702" s="526"/>
      <c r="Q702" s="526"/>
      <c r="R702" s="526"/>
      <c r="S702" s="526"/>
      <c r="T702" s="526"/>
      <c r="U702" s="526"/>
      <c r="V702" s="526"/>
      <c r="W702" s="526"/>
      <c r="X702" s="526"/>
    </row>
    <row r="703" spans="1:24">
      <c r="A703" s="526"/>
      <c r="B703" s="526"/>
      <c r="C703" s="526"/>
      <c r="D703" s="526"/>
      <c r="E703" s="526"/>
      <c r="F703" s="526"/>
      <c r="G703" s="526"/>
      <c r="H703" s="526"/>
      <c r="I703" s="526"/>
      <c r="J703" s="526"/>
      <c r="K703" s="526"/>
      <c r="L703" s="526"/>
      <c r="M703" s="526"/>
      <c r="N703" s="526"/>
      <c r="O703" s="526"/>
      <c r="P703" s="526"/>
      <c r="Q703" s="526"/>
      <c r="R703" s="526"/>
      <c r="S703" s="526"/>
      <c r="T703" s="526"/>
      <c r="U703" s="526"/>
      <c r="V703" s="526"/>
      <c r="W703" s="526"/>
      <c r="X703" s="526"/>
    </row>
    <row r="704" spans="1:24">
      <c r="A704" s="526"/>
      <c r="B704" s="526"/>
      <c r="C704" s="526"/>
      <c r="D704" s="526"/>
      <c r="E704" s="526"/>
      <c r="F704" s="526"/>
      <c r="G704" s="526"/>
      <c r="H704" s="526"/>
      <c r="I704" s="526"/>
      <c r="J704" s="526"/>
      <c r="K704" s="526"/>
      <c r="L704" s="526"/>
      <c r="M704" s="526"/>
      <c r="N704" s="526"/>
      <c r="O704" s="526"/>
      <c r="P704" s="526"/>
      <c r="Q704" s="526"/>
      <c r="R704" s="526"/>
      <c r="S704" s="526"/>
      <c r="T704" s="526"/>
      <c r="U704" s="526"/>
      <c r="V704" s="526"/>
      <c r="W704" s="526"/>
      <c r="X704" s="526"/>
    </row>
    <row r="705" spans="1:24">
      <c r="A705" s="526"/>
      <c r="B705" s="526"/>
      <c r="C705" s="526"/>
      <c r="D705" s="526"/>
      <c r="E705" s="526"/>
      <c r="F705" s="526"/>
      <c r="G705" s="526"/>
      <c r="H705" s="526"/>
      <c r="I705" s="526"/>
      <c r="J705" s="526"/>
      <c r="K705" s="526"/>
      <c r="L705" s="526"/>
      <c r="M705" s="526"/>
      <c r="N705" s="526"/>
      <c r="O705" s="526"/>
      <c r="P705" s="526"/>
      <c r="Q705" s="526"/>
      <c r="R705" s="526"/>
      <c r="S705" s="526"/>
      <c r="T705" s="526"/>
      <c r="U705" s="526"/>
      <c r="V705" s="526"/>
      <c r="W705" s="526"/>
      <c r="X705" s="526"/>
    </row>
    <row r="706" spans="1:24">
      <c r="A706" s="526"/>
      <c r="B706" s="526"/>
      <c r="C706" s="526"/>
      <c r="D706" s="526"/>
      <c r="E706" s="526"/>
      <c r="F706" s="526"/>
      <c r="G706" s="526"/>
      <c r="H706" s="526"/>
      <c r="I706" s="526"/>
      <c r="J706" s="526"/>
      <c r="K706" s="526"/>
      <c r="L706" s="526"/>
      <c r="M706" s="526"/>
      <c r="N706" s="526"/>
      <c r="O706" s="526"/>
      <c r="P706" s="526"/>
      <c r="Q706" s="526"/>
      <c r="R706" s="526"/>
      <c r="S706" s="526"/>
      <c r="T706" s="526"/>
      <c r="U706" s="526"/>
      <c r="V706" s="526"/>
      <c r="W706" s="526"/>
      <c r="X706" s="526"/>
    </row>
    <row r="707" spans="1:24">
      <c r="A707" s="526"/>
      <c r="B707" s="526"/>
      <c r="C707" s="526"/>
      <c r="D707" s="526"/>
      <c r="E707" s="526"/>
      <c r="F707" s="526"/>
      <c r="G707" s="526"/>
      <c r="H707" s="526"/>
      <c r="I707" s="526"/>
      <c r="J707" s="526"/>
      <c r="K707" s="526"/>
      <c r="L707" s="526"/>
      <c r="M707" s="526"/>
      <c r="N707" s="526"/>
      <c r="O707" s="526"/>
      <c r="P707" s="526"/>
      <c r="Q707" s="526"/>
      <c r="R707" s="526"/>
      <c r="S707" s="526"/>
      <c r="T707" s="526"/>
      <c r="U707" s="526"/>
      <c r="V707" s="526"/>
      <c r="W707" s="526"/>
      <c r="X707" s="526"/>
    </row>
    <row r="708" spans="1:24">
      <c r="A708" s="526"/>
      <c r="B708" s="526"/>
      <c r="C708" s="526"/>
      <c r="D708" s="526"/>
      <c r="E708" s="526"/>
      <c r="F708" s="526"/>
      <c r="G708" s="526"/>
      <c r="H708" s="526"/>
      <c r="I708" s="526"/>
      <c r="J708" s="526"/>
      <c r="K708" s="526"/>
      <c r="L708" s="526"/>
      <c r="M708" s="526"/>
      <c r="N708" s="526"/>
      <c r="O708" s="526"/>
      <c r="P708" s="526"/>
      <c r="Q708" s="526"/>
      <c r="R708" s="526"/>
      <c r="S708" s="526"/>
      <c r="T708" s="526"/>
      <c r="U708" s="526"/>
      <c r="V708" s="526"/>
      <c r="W708" s="526"/>
      <c r="X708" s="526"/>
    </row>
    <row r="709" spans="1:24">
      <c r="A709" s="526"/>
      <c r="B709" s="526"/>
      <c r="C709" s="526"/>
      <c r="D709" s="526"/>
      <c r="E709" s="526"/>
      <c r="F709" s="526"/>
      <c r="G709" s="526"/>
      <c r="H709" s="526"/>
      <c r="I709" s="526"/>
      <c r="J709" s="526"/>
      <c r="K709" s="526"/>
      <c r="L709" s="526"/>
      <c r="M709" s="526"/>
      <c r="N709" s="526"/>
      <c r="O709" s="526"/>
      <c r="P709" s="526"/>
      <c r="Q709" s="526"/>
      <c r="R709" s="526"/>
      <c r="S709" s="526"/>
      <c r="T709" s="526"/>
      <c r="U709" s="526"/>
      <c r="V709" s="526"/>
      <c r="W709" s="526"/>
      <c r="X709" s="526"/>
    </row>
    <row r="710" spans="1:24">
      <c r="A710" s="526"/>
      <c r="B710" s="526"/>
      <c r="C710" s="526"/>
      <c r="D710" s="526"/>
      <c r="E710" s="526"/>
      <c r="F710" s="526"/>
      <c r="G710" s="526"/>
      <c r="H710" s="526"/>
      <c r="I710" s="526"/>
      <c r="J710" s="526"/>
      <c r="K710" s="526"/>
      <c r="L710" s="526"/>
      <c r="M710" s="526"/>
      <c r="N710" s="526"/>
      <c r="O710" s="526"/>
      <c r="P710" s="526"/>
      <c r="Q710" s="526"/>
      <c r="R710" s="526"/>
      <c r="S710" s="526"/>
      <c r="T710" s="526"/>
      <c r="U710" s="526"/>
      <c r="V710" s="526"/>
      <c r="W710" s="526"/>
      <c r="X710" s="526"/>
    </row>
    <row r="711" spans="1:24">
      <c r="A711" s="526"/>
      <c r="B711" s="526"/>
      <c r="C711" s="526"/>
      <c r="D711" s="526"/>
      <c r="E711" s="526"/>
      <c r="F711" s="526"/>
      <c r="G711" s="526"/>
      <c r="H711" s="526"/>
      <c r="I711" s="526"/>
      <c r="J711" s="526"/>
      <c r="K711" s="526"/>
      <c r="L711" s="526"/>
      <c r="M711" s="526"/>
      <c r="N711" s="526"/>
      <c r="O711" s="526"/>
      <c r="P711" s="526"/>
      <c r="Q711" s="526"/>
      <c r="R711" s="526"/>
      <c r="S711" s="526"/>
      <c r="T711" s="526"/>
      <c r="U711" s="526"/>
      <c r="V711" s="526"/>
      <c r="W711" s="526"/>
      <c r="X711" s="526"/>
    </row>
    <row r="712" spans="1:24">
      <c r="A712" s="526"/>
      <c r="B712" s="526"/>
      <c r="C712" s="526"/>
      <c r="D712" s="526"/>
      <c r="E712" s="526"/>
      <c r="F712" s="526"/>
      <c r="G712" s="526"/>
      <c r="H712" s="526"/>
      <c r="I712" s="526"/>
      <c r="J712" s="526"/>
      <c r="K712" s="526"/>
      <c r="L712" s="526"/>
      <c r="M712" s="526"/>
      <c r="N712" s="526"/>
      <c r="O712" s="526"/>
      <c r="P712" s="526"/>
      <c r="Q712" s="526"/>
      <c r="R712" s="526"/>
      <c r="S712" s="526"/>
      <c r="T712" s="526"/>
      <c r="U712" s="526"/>
      <c r="V712" s="526"/>
      <c r="W712" s="526"/>
      <c r="X712" s="526"/>
    </row>
    <row r="713" spans="1:24">
      <c r="A713" s="526"/>
      <c r="B713" s="526"/>
      <c r="C713" s="526"/>
      <c r="D713" s="526"/>
      <c r="E713" s="526"/>
      <c r="F713" s="526"/>
      <c r="G713" s="526"/>
      <c r="H713" s="526"/>
      <c r="I713" s="526"/>
      <c r="J713" s="526"/>
      <c r="K713" s="526"/>
      <c r="L713" s="526"/>
      <c r="M713" s="526"/>
      <c r="N713" s="526"/>
      <c r="O713" s="526"/>
      <c r="P713" s="526"/>
      <c r="Q713" s="526"/>
      <c r="R713" s="526"/>
      <c r="S713" s="526"/>
      <c r="T713" s="526"/>
      <c r="U713" s="526"/>
      <c r="V713" s="526"/>
      <c r="W713" s="526"/>
      <c r="X713" s="526"/>
    </row>
    <row r="714" spans="1:24">
      <c r="A714" s="526"/>
      <c r="B714" s="526"/>
      <c r="C714" s="526"/>
      <c r="D714" s="526"/>
      <c r="E714" s="526"/>
      <c r="F714" s="526"/>
      <c r="G714" s="526"/>
      <c r="H714" s="526"/>
      <c r="I714" s="526"/>
      <c r="J714" s="526"/>
      <c r="K714" s="526"/>
      <c r="L714" s="526"/>
      <c r="M714" s="526"/>
      <c r="N714" s="526"/>
      <c r="O714" s="526"/>
      <c r="P714" s="526"/>
      <c r="Q714" s="526"/>
      <c r="R714" s="526"/>
      <c r="S714" s="526"/>
      <c r="T714" s="526"/>
      <c r="U714" s="526"/>
      <c r="V714" s="526"/>
      <c r="W714" s="526"/>
      <c r="X714" s="526"/>
    </row>
    <row r="715" spans="1:24">
      <c r="A715" s="526"/>
      <c r="B715" s="526"/>
      <c r="C715" s="526"/>
      <c r="D715" s="526"/>
      <c r="E715" s="526"/>
      <c r="F715" s="526"/>
      <c r="G715" s="526"/>
      <c r="H715" s="526"/>
      <c r="I715" s="526"/>
      <c r="J715" s="526"/>
      <c r="K715" s="526"/>
      <c r="L715" s="526"/>
      <c r="M715" s="526"/>
      <c r="N715" s="526"/>
      <c r="O715" s="526"/>
      <c r="P715" s="526"/>
      <c r="Q715" s="526"/>
      <c r="R715" s="526"/>
      <c r="S715" s="526"/>
      <c r="T715" s="526"/>
      <c r="U715" s="526"/>
      <c r="V715" s="526"/>
      <c r="W715" s="526"/>
      <c r="X715" s="526"/>
    </row>
    <row r="716" spans="1:24">
      <c r="A716" s="526"/>
      <c r="B716" s="526"/>
      <c r="C716" s="526"/>
      <c r="D716" s="526"/>
      <c r="E716" s="526"/>
      <c r="F716" s="526"/>
      <c r="G716" s="526"/>
      <c r="H716" s="526"/>
      <c r="I716" s="526"/>
      <c r="J716" s="526"/>
      <c r="K716" s="526"/>
      <c r="L716" s="526"/>
      <c r="M716" s="526"/>
      <c r="N716" s="526"/>
      <c r="O716" s="526"/>
      <c r="P716" s="526"/>
      <c r="Q716" s="526"/>
      <c r="R716" s="526"/>
      <c r="S716" s="526"/>
      <c r="T716" s="526"/>
      <c r="U716" s="526"/>
      <c r="V716" s="526"/>
      <c r="W716" s="526"/>
      <c r="X716" s="526"/>
    </row>
    <row r="717" spans="1:24">
      <c r="A717" s="526"/>
      <c r="B717" s="526"/>
      <c r="C717" s="526"/>
      <c r="D717" s="526"/>
      <c r="E717" s="526"/>
      <c r="F717" s="526"/>
      <c r="G717" s="526"/>
      <c r="H717" s="526"/>
      <c r="I717" s="526"/>
      <c r="J717" s="526"/>
      <c r="K717" s="526"/>
      <c r="L717" s="526"/>
      <c r="M717" s="526"/>
      <c r="N717" s="526"/>
      <c r="O717" s="526"/>
      <c r="P717" s="526"/>
      <c r="Q717" s="526"/>
      <c r="R717" s="526"/>
      <c r="S717" s="526"/>
      <c r="T717" s="526"/>
      <c r="U717" s="526"/>
      <c r="V717" s="526"/>
      <c r="W717" s="526"/>
      <c r="X717" s="526"/>
    </row>
    <row r="718" spans="1:24">
      <c r="A718" s="526"/>
      <c r="B718" s="526"/>
      <c r="C718" s="526"/>
      <c r="D718" s="526"/>
      <c r="E718" s="526"/>
      <c r="F718" s="526"/>
      <c r="G718" s="526"/>
      <c r="H718" s="526"/>
      <c r="I718" s="526"/>
      <c r="J718" s="526"/>
      <c r="K718" s="526"/>
      <c r="L718" s="526"/>
      <c r="M718" s="526"/>
      <c r="N718" s="526"/>
      <c r="O718" s="526"/>
      <c r="P718" s="526"/>
      <c r="Q718" s="526"/>
      <c r="R718" s="526"/>
      <c r="S718" s="526"/>
      <c r="T718" s="526"/>
      <c r="U718" s="526"/>
      <c r="V718" s="526"/>
      <c r="W718" s="526"/>
      <c r="X718" s="526"/>
    </row>
    <row r="719" spans="1:24">
      <c r="A719" s="526"/>
      <c r="B719" s="526"/>
      <c r="C719" s="526"/>
      <c r="D719" s="526"/>
      <c r="E719" s="526"/>
      <c r="F719" s="526"/>
      <c r="G719" s="526"/>
      <c r="H719" s="526"/>
      <c r="I719" s="526"/>
      <c r="J719" s="526"/>
      <c r="K719" s="526"/>
      <c r="L719" s="526"/>
      <c r="M719" s="526"/>
      <c r="N719" s="526"/>
      <c r="O719" s="526"/>
      <c r="P719" s="526"/>
      <c r="Q719" s="526"/>
      <c r="R719" s="526"/>
      <c r="S719" s="526"/>
      <c r="T719" s="526"/>
      <c r="U719" s="526"/>
      <c r="V719" s="526"/>
      <c r="W719" s="526"/>
      <c r="X719" s="526"/>
    </row>
    <row r="720" spans="1:24">
      <c r="A720" s="526"/>
      <c r="B720" s="526"/>
      <c r="C720" s="526"/>
      <c r="D720" s="526"/>
      <c r="E720" s="526"/>
      <c r="F720" s="526"/>
      <c r="G720" s="526"/>
      <c r="H720" s="526"/>
      <c r="I720" s="526"/>
      <c r="J720" s="526"/>
      <c r="K720" s="526"/>
      <c r="L720" s="526"/>
      <c r="M720" s="526"/>
      <c r="N720" s="526"/>
      <c r="O720" s="526"/>
      <c r="P720" s="526"/>
      <c r="Q720" s="526"/>
      <c r="R720" s="526"/>
      <c r="S720" s="526"/>
      <c r="T720" s="526"/>
      <c r="U720" s="526"/>
      <c r="V720" s="526"/>
      <c r="W720" s="526"/>
      <c r="X720" s="526"/>
    </row>
    <row r="721" spans="1:24">
      <c r="A721" s="526"/>
      <c r="B721" s="526"/>
      <c r="C721" s="526"/>
      <c r="D721" s="526"/>
      <c r="E721" s="526"/>
      <c r="F721" s="526"/>
      <c r="G721" s="526"/>
      <c r="H721" s="526"/>
      <c r="I721" s="526"/>
      <c r="J721" s="526"/>
      <c r="K721" s="526"/>
      <c r="L721" s="526"/>
      <c r="M721" s="526"/>
      <c r="N721" s="526"/>
      <c r="O721" s="526"/>
      <c r="P721" s="526"/>
      <c r="Q721" s="526"/>
      <c r="R721" s="526"/>
      <c r="S721" s="526"/>
      <c r="T721" s="526"/>
      <c r="U721" s="526"/>
      <c r="V721" s="526"/>
      <c r="W721" s="526"/>
      <c r="X721" s="526"/>
    </row>
    <row r="722" spans="1:24">
      <c r="A722" s="526"/>
      <c r="B722" s="526"/>
      <c r="C722" s="526"/>
      <c r="D722" s="526"/>
      <c r="E722" s="526"/>
      <c r="F722" s="526"/>
      <c r="G722" s="526"/>
      <c r="H722" s="526"/>
      <c r="I722" s="526"/>
      <c r="J722" s="526"/>
      <c r="K722" s="526"/>
      <c r="L722" s="526"/>
      <c r="M722" s="526"/>
      <c r="N722" s="526"/>
      <c r="O722" s="526"/>
      <c r="P722" s="526"/>
      <c r="Q722" s="526"/>
      <c r="R722" s="526"/>
      <c r="S722" s="526"/>
      <c r="T722" s="526"/>
      <c r="U722" s="526"/>
      <c r="V722" s="526"/>
      <c r="W722" s="526"/>
      <c r="X722" s="526"/>
    </row>
    <row r="723" spans="1:24">
      <c r="A723" s="526"/>
      <c r="B723" s="526"/>
      <c r="C723" s="526"/>
      <c r="D723" s="526"/>
      <c r="E723" s="526"/>
      <c r="F723" s="526"/>
      <c r="G723" s="526"/>
      <c r="H723" s="526"/>
      <c r="I723" s="526"/>
      <c r="J723" s="526"/>
      <c r="K723" s="526"/>
      <c r="L723" s="526"/>
      <c r="M723" s="526"/>
      <c r="N723" s="526"/>
      <c r="O723" s="526"/>
      <c r="P723" s="526"/>
      <c r="Q723" s="526"/>
      <c r="R723" s="526"/>
      <c r="S723" s="526"/>
      <c r="T723" s="526"/>
      <c r="U723" s="526"/>
      <c r="V723" s="526"/>
      <c r="W723" s="526"/>
      <c r="X723" s="526"/>
    </row>
    <row r="724" spans="1:24">
      <c r="A724" s="526"/>
      <c r="B724" s="526"/>
      <c r="C724" s="526"/>
      <c r="D724" s="526"/>
      <c r="E724" s="526"/>
      <c r="F724" s="526"/>
      <c r="G724" s="526"/>
      <c r="H724" s="526"/>
      <c r="I724" s="526"/>
      <c r="J724" s="526"/>
      <c r="K724" s="526"/>
      <c r="L724" s="526"/>
      <c r="M724" s="526"/>
      <c r="N724" s="526"/>
      <c r="O724" s="526"/>
      <c r="P724" s="526"/>
      <c r="Q724" s="526"/>
      <c r="R724" s="526"/>
      <c r="S724" s="526"/>
      <c r="T724" s="526"/>
      <c r="U724" s="526"/>
      <c r="V724" s="526"/>
      <c r="W724" s="526"/>
      <c r="X724" s="526"/>
    </row>
    <row r="725" spans="1:24">
      <c r="A725" s="526"/>
      <c r="B725" s="526"/>
      <c r="C725" s="526"/>
      <c r="D725" s="526"/>
      <c r="E725" s="526"/>
      <c r="F725" s="526"/>
      <c r="G725" s="526"/>
      <c r="H725" s="526"/>
      <c r="I725" s="526"/>
      <c r="J725" s="526"/>
      <c r="K725" s="526"/>
      <c r="L725" s="526"/>
      <c r="M725" s="526"/>
      <c r="N725" s="526"/>
      <c r="O725" s="526"/>
      <c r="P725" s="526"/>
      <c r="Q725" s="526"/>
      <c r="R725" s="526"/>
      <c r="S725" s="526"/>
      <c r="T725" s="526"/>
      <c r="U725" s="526"/>
      <c r="V725" s="526"/>
      <c r="W725" s="526"/>
      <c r="X725" s="526"/>
    </row>
    <row r="726" spans="1:24">
      <c r="A726" s="526"/>
      <c r="B726" s="526"/>
      <c r="C726" s="526"/>
      <c r="D726" s="526"/>
      <c r="E726" s="526"/>
      <c r="F726" s="526"/>
      <c r="G726" s="526"/>
      <c r="H726" s="526"/>
      <c r="I726" s="526"/>
      <c r="J726" s="526"/>
      <c r="K726" s="526"/>
      <c r="L726" s="526"/>
      <c r="M726" s="526"/>
      <c r="N726" s="526"/>
      <c r="O726" s="526"/>
      <c r="P726" s="526"/>
      <c r="Q726" s="526"/>
      <c r="R726" s="526"/>
      <c r="S726" s="526"/>
      <c r="T726" s="526"/>
      <c r="U726" s="526"/>
      <c r="V726" s="526"/>
      <c r="W726" s="526"/>
      <c r="X726" s="526"/>
    </row>
    <row r="727" spans="1:24">
      <c r="A727" s="526"/>
      <c r="B727" s="526"/>
      <c r="C727" s="526"/>
      <c r="D727" s="526"/>
      <c r="E727" s="526"/>
      <c r="F727" s="526"/>
      <c r="G727" s="526"/>
      <c r="H727" s="526"/>
      <c r="I727" s="526"/>
      <c r="J727" s="526"/>
      <c r="K727" s="526"/>
      <c r="L727" s="526"/>
      <c r="M727" s="526"/>
      <c r="N727" s="526"/>
      <c r="O727" s="526"/>
      <c r="P727" s="526"/>
      <c r="Q727" s="526"/>
      <c r="R727" s="526"/>
      <c r="S727" s="526"/>
      <c r="T727" s="526"/>
      <c r="U727" s="526"/>
      <c r="V727" s="526"/>
      <c r="W727" s="526"/>
      <c r="X727" s="526"/>
    </row>
    <row r="728" spans="1:24">
      <c r="A728" s="526"/>
      <c r="B728" s="526"/>
      <c r="C728" s="526"/>
      <c r="D728" s="526"/>
      <c r="E728" s="526"/>
      <c r="F728" s="526"/>
      <c r="G728" s="526"/>
      <c r="H728" s="526"/>
      <c r="I728" s="526"/>
      <c r="J728" s="526"/>
      <c r="K728" s="526"/>
      <c r="L728" s="526"/>
      <c r="M728" s="526"/>
      <c r="N728" s="526"/>
      <c r="O728" s="526"/>
      <c r="P728" s="526"/>
      <c r="Q728" s="526"/>
      <c r="R728" s="526"/>
      <c r="S728" s="526"/>
      <c r="T728" s="526"/>
      <c r="U728" s="526"/>
      <c r="V728" s="526"/>
      <c r="W728" s="526"/>
      <c r="X728" s="526"/>
    </row>
    <row r="729" spans="1:24">
      <c r="A729" s="526"/>
      <c r="B729" s="526"/>
      <c r="C729" s="526"/>
      <c r="D729" s="526"/>
      <c r="E729" s="526"/>
      <c r="F729" s="526"/>
      <c r="G729" s="526"/>
      <c r="H729" s="526"/>
      <c r="I729" s="526"/>
      <c r="J729" s="526"/>
      <c r="K729" s="526"/>
      <c r="L729" s="526"/>
      <c r="M729" s="526"/>
      <c r="N729" s="526"/>
      <c r="O729" s="526"/>
      <c r="P729" s="526"/>
      <c r="Q729" s="526"/>
      <c r="R729" s="526"/>
      <c r="S729" s="526"/>
      <c r="T729" s="526"/>
      <c r="U729" s="526"/>
      <c r="V729" s="526"/>
      <c r="W729" s="526"/>
      <c r="X729" s="526"/>
    </row>
    <row r="730" spans="1:24">
      <c r="A730" s="526"/>
      <c r="B730" s="526"/>
      <c r="C730" s="526"/>
      <c r="D730" s="526"/>
      <c r="E730" s="526"/>
      <c r="F730" s="526"/>
      <c r="G730" s="526"/>
      <c r="H730" s="526"/>
      <c r="I730" s="526"/>
      <c r="J730" s="526"/>
      <c r="K730" s="526"/>
      <c r="L730" s="526"/>
      <c r="M730" s="526"/>
      <c r="N730" s="526"/>
      <c r="O730" s="526"/>
      <c r="P730" s="526"/>
      <c r="Q730" s="526"/>
      <c r="R730" s="526"/>
      <c r="S730" s="526"/>
      <c r="T730" s="526"/>
      <c r="U730" s="526"/>
      <c r="V730" s="526"/>
      <c r="W730" s="526"/>
      <c r="X730" s="526"/>
    </row>
    <row r="731" spans="1:24">
      <c r="A731" s="526"/>
      <c r="B731" s="526"/>
      <c r="C731" s="526"/>
      <c r="D731" s="526"/>
      <c r="E731" s="526"/>
      <c r="F731" s="526"/>
      <c r="G731" s="526"/>
      <c r="H731" s="526"/>
      <c r="I731" s="526"/>
      <c r="J731" s="526"/>
      <c r="K731" s="526"/>
      <c r="L731" s="526"/>
      <c r="M731" s="526"/>
      <c r="N731" s="526"/>
      <c r="O731" s="526"/>
      <c r="P731" s="526"/>
      <c r="Q731" s="526"/>
      <c r="R731" s="526"/>
      <c r="S731" s="526"/>
      <c r="T731" s="526"/>
      <c r="U731" s="526"/>
      <c r="V731" s="526"/>
      <c r="W731" s="526"/>
      <c r="X731" s="526"/>
    </row>
    <row r="732" spans="1:24">
      <c r="A732" s="526"/>
      <c r="B732" s="526"/>
      <c r="C732" s="526"/>
      <c r="D732" s="526"/>
      <c r="E732" s="526"/>
      <c r="F732" s="526"/>
      <c r="G732" s="526"/>
      <c r="H732" s="526"/>
      <c r="I732" s="526"/>
      <c r="J732" s="526"/>
      <c r="K732" s="526"/>
      <c r="L732" s="526"/>
      <c r="M732" s="526"/>
      <c r="N732" s="526"/>
      <c r="O732" s="526"/>
      <c r="P732" s="526"/>
      <c r="Q732" s="526"/>
      <c r="R732" s="526"/>
      <c r="S732" s="526"/>
      <c r="T732" s="526"/>
      <c r="U732" s="526"/>
      <c r="V732" s="526"/>
      <c r="W732" s="526"/>
      <c r="X732" s="526"/>
    </row>
    <row r="733" spans="1:24">
      <c r="A733" s="526"/>
      <c r="B733" s="526"/>
      <c r="C733" s="526"/>
      <c r="D733" s="526"/>
      <c r="E733" s="526"/>
      <c r="F733" s="526"/>
      <c r="G733" s="526"/>
      <c r="H733" s="526"/>
      <c r="I733" s="526"/>
      <c r="J733" s="526"/>
      <c r="K733" s="526"/>
      <c r="L733" s="526"/>
      <c r="M733" s="526"/>
      <c r="N733" s="526"/>
      <c r="O733" s="526"/>
      <c r="P733" s="526"/>
      <c r="Q733" s="526"/>
      <c r="R733" s="526"/>
      <c r="S733" s="526"/>
      <c r="T733" s="526"/>
      <c r="U733" s="526"/>
      <c r="V733" s="526"/>
      <c r="W733" s="526"/>
      <c r="X733" s="526"/>
    </row>
    <row r="734" spans="1:24">
      <c r="A734" s="526"/>
      <c r="B734" s="526"/>
      <c r="C734" s="526"/>
      <c r="D734" s="526"/>
      <c r="E734" s="526"/>
      <c r="F734" s="526"/>
      <c r="G734" s="526"/>
      <c r="H734" s="526"/>
      <c r="I734" s="526"/>
      <c r="J734" s="526"/>
      <c r="K734" s="526"/>
      <c r="L734" s="526"/>
      <c r="M734" s="526"/>
      <c r="N734" s="526"/>
      <c r="O734" s="526"/>
      <c r="P734" s="526"/>
      <c r="Q734" s="526"/>
      <c r="R734" s="526"/>
      <c r="S734" s="526"/>
      <c r="T734" s="526"/>
      <c r="U734" s="526"/>
      <c r="V734" s="526"/>
      <c r="W734" s="526"/>
      <c r="X734" s="526"/>
    </row>
    <row r="735" spans="1:24">
      <c r="A735" s="526"/>
      <c r="B735" s="526"/>
      <c r="C735" s="526"/>
      <c r="D735" s="526"/>
      <c r="E735" s="526"/>
      <c r="F735" s="526"/>
      <c r="G735" s="526"/>
      <c r="H735" s="526"/>
      <c r="I735" s="526"/>
      <c r="J735" s="526"/>
      <c r="K735" s="526"/>
      <c r="L735" s="526"/>
      <c r="M735" s="526"/>
      <c r="N735" s="526"/>
      <c r="O735" s="526"/>
      <c r="P735" s="526"/>
      <c r="Q735" s="526"/>
      <c r="R735" s="526"/>
      <c r="S735" s="526"/>
      <c r="T735" s="526"/>
      <c r="U735" s="526"/>
      <c r="V735" s="526"/>
      <c r="W735" s="526"/>
      <c r="X735" s="526"/>
    </row>
    <row r="736" spans="1:24">
      <c r="A736" s="526"/>
      <c r="B736" s="526"/>
      <c r="C736" s="526"/>
      <c r="D736" s="526"/>
      <c r="E736" s="526"/>
      <c r="F736" s="526"/>
      <c r="G736" s="526"/>
      <c r="H736" s="526"/>
      <c r="I736" s="526"/>
      <c r="J736" s="526"/>
      <c r="K736" s="526"/>
      <c r="L736" s="526"/>
      <c r="M736" s="526"/>
      <c r="N736" s="526"/>
      <c r="O736" s="526"/>
      <c r="P736" s="526"/>
      <c r="Q736" s="526"/>
      <c r="R736" s="526"/>
      <c r="S736" s="526"/>
      <c r="T736" s="526"/>
      <c r="U736" s="526"/>
      <c r="V736" s="526"/>
      <c r="W736" s="526"/>
      <c r="X736" s="526"/>
    </row>
    <row r="737" spans="1:24">
      <c r="A737" s="526"/>
      <c r="B737" s="526"/>
      <c r="C737" s="526"/>
      <c r="D737" s="526"/>
      <c r="E737" s="526"/>
      <c r="F737" s="526"/>
      <c r="G737" s="526"/>
      <c r="H737" s="526"/>
      <c r="I737" s="526"/>
      <c r="J737" s="526"/>
      <c r="K737" s="526"/>
      <c r="L737" s="526"/>
      <c r="M737" s="526"/>
      <c r="N737" s="526"/>
      <c r="O737" s="526"/>
      <c r="P737" s="526"/>
      <c r="Q737" s="526"/>
      <c r="R737" s="526"/>
      <c r="S737" s="526"/>
      <c r="T737" s="526"/>
      <c r="U737" s="526"/>
      <c r="V737" s="526"/>
      <c r="W737" s="526"/>
      <c r="X737" s="526"/>
    </row>
    <row r="738" spans="1:24">
      <c r="A738" s="526"/>
      <c r="B738" s="526"/>
      <c r="C738" s="526"/>
      <c r="D738" s="526"/>
      <c r="E738" s="526"/>
      <c r="F738" s="526"/>
      <c r="G738" s="526"/>
      <c r="H738" s="526"/>
      <c r="I738" s="526"/>
      <c r="J738" s="526"/>
      <c r="K738" s="526"/>
      <c r="L738" s="526"/>
      <c r="M738" s="526"/>
      <c r="N738" s="526"/>
      <c r="O738" s="526"/>
      <c r="P738" s="526"/>
      <c r="Q738" s="526"/>
      <c r="R738" s="526"/>
      <c r="S738" s="526"/>
      <c r="T738" s="526"/>
      <c r="U738" s="526"/>
      <c r="V738" s="526"/>
      <c r="W738" s="526"/>
      <c r="X738" s="526"/>
    </row>
    <row r="739" spans="1:24">
      <c r="A739" s="526"/>
      <c r="B739" s="526"/>
      <c r="C739" s="526"/>
      <c r="D739" s="526"/>
      <c r="E739" s="526"/>
      <c r="F739" s="526"/>
      <c r="G739" s="526"/>
      <c r="H739" s="526"/>
      <c r="I739" s="526"/>
      <c r="J739" s="526"/>
      <c r="K739" s="526"/>
      <c r="L739" s="526"/>
      <c r="M739" s="526"/>
      <c r="N739" s="526"/>
      <c r="O739" s="526"/>
      <c r="P739" s="526"/>
      <c r="Q739" s="526"/>
      <c r="R739" s="526"/>
      <c r="S739" s="526"/>
      <c r="T739" s="526"/>
      <c r="U739" s="526"/>
      <c r="V739" s="526"/>
      <c r="W739" s="526"/>
      <c r="X739" s="526"/>
    </row>
    <row r="740" spans="1:24">
      <c r="A740" s="526"/>
      <c r="B740" s="526"/>
      <c r="C740" s="526"/>
      <c r="D740" s="526"/>
      <c r="E740" s="526"/>
      <c r="F740" s="526"/>
      <c r="G740" s="526"/>
      <c r="H740" s="526"/>
      <c r="I740" s="526"/>
      <c r="J740" s="526"/>
      <c r="K740" s="526"/>
      <c r="L740" s="526"/>
      <c r="M740" s="526"/>
      <c r="N740" s="526"/>
      <c r="O740" s="526"/>
      <c r="P740" s="526"/>
      <c r="Q740" s="526"/>
      <c r="R740" s="526"/>
      <c r="S740" s="526"/>
      <c r="T740" s="526"/>
      <c r="U740" s="526"/>
      <c r="V740" s="526"/>
      <c r="W740" s="526"/>
      <c r="X740" s="526"/>
    </row>
    <row r="741" spans="1:24">
      <c r="A741" s="526"/>
      <c r="B741" s="526"/>
      <c r="C741" s="526"/>
      <c r="D741" s="526"/>
      <c r="E741" s="526"/>
      <c r="F741" s="526"/>
      <c r="G741" s="526"/>
      <c r="H741" s="526"/>
      <c r="I741" s="526"/>
      <c r="J741" s="526"/>
      <c r="K741" s="526"/>
      <c r="L741" s="526"/>
      <c r="M741" s="526"/>
      <c r="N741" s="526"/>
      <c r="O741" s="526"/>
      <c r="P741" s="526"/>
      <c r="Q741" s="526"/>
      <c r="R741" s="526"/>
      <c r="S741" s="526"/>
      <c r="T741" s="526"/>
      <c r="U741" s="526"/>
      <c r="V741" s="526"/>
      <c r="W741" s="526"/>
      <c r="X741" s="526"/>
    </row>
    <row r="742" spans="1:24">
      <c r="A742" s="526"/>
      <c r="B742" s="526"/>
      <c r="C742" s="526"/>
      <c r="D742" s="526"/>
      <c r="E742" s="526"/>
      <c r="F742" s="526"/>
      <c r="G742" s="526"/>
      <c r="H742" s="526"/>
      <c r="I742" s="526"/>
      <c r="J742" s="526"/>
      <c r="K742" s="526"/>
      <c r="L742" s="526"/>
      <c r="M742" s="526"/>
      <c r="N742" s="526"/>
      <c r="O742" s="526"/>
      <c r="P742" s="526"/>
      <c r="Q742" s="526"/>
      <c r="R742" s="526"/>
      <c r="S742" s="526"/>
      <c r="T742" s="526"/>
      <c r="U742" s="526"/>
      <c r="V742" s="526"/>
      <c r="W742" s="526"/>
      <c r="X742" s="526"/>
    </row>
    <row r="743" spans="1:24">
      <c r="A743" s="526"/>
      <c r="B743" s="526"/>
      <c r="C743" s="526"/>
      <c r="D743" s="526"/>
      <c r="E743" s="526"/>
      <c r="F743" s="526"/>
      <c r="G743" s="526"/>
      <c r="H743" s="526"/>
      <c r="I743" s="526"/>
      <c r="J743" s="526"/>
      <c r="K743" s="526"/>
      <c r="L743" s="526"/>
      <c r="M743" s="526"/>
      <c r="N743" s="526"/>
      <c r="O743" s="526"/>
      <c r="P743" s="526"/>
      <c r="Q743" s="526"/>
      <c r="R743" s="526"/>
      <c r="S743" s="526"/>
      <c r="T743" s="526"/>
      <c r="U743" s="526"/>
      <c r="V743" s="526"/>
      <c r="W743" s="526"/>
      <c r="X743" s="526"/>
    </row>
    <row r="744" spans="1:24">
      <c r="A744" s="526"/>
      <c r="B744" s="526"/>
      <c r="C744" s="526"/>
      <c r="D744" s="526"/>
      <c r="E744" s="526"/>
      <c r="F744" s="526"/>
      <c r="G744" s="526"/>
      <c r="H744" s="526"/>
      <c r="I744" s="526"/>
      <c r="J744" s="526"/>
      <c r="K744" s="526"/>
      <c r="L744" s="526"/>
      <c r="M744" s="526"/>
      <c r="N744" s="526"/>
      <c r="O744" s="526"/>
      <c r="P744" s="526"/>
      <c r="Q744" s="526"/>
      <c r="R744" s="526"/>
      <c r="S744" s="526"/>
      <c r="T744" s="526"/>
      <c r="U744" s="526"/>
      <c r="V744" s="526"/>
      <c r="W744" s="526"/>
      <c r="X744" s="526"/>
    </row>
    <row r="745" spans="1:24">
      <c r="A745" s="526"/>
      <c r="B745" s="526"/>
      <c r="C745" s="526"/>
      <c r="D745" s="526"/>
      <c r="E745" s="526"/>
      <c r="F745" s="526"/>
      <c r="G745" s="526"/>
      <c r="H745" s="526"/>
      <c r="I745" s="526"/>
      <c r="J745" s="526"/>
      <c r="K745" s="526"/>
      <c r="L745" s="526"/>
      <c r="M745" s="526"/>
      <c r="N745" s="526"/>
      <c r="O745" s="526"/>
      <c r="P745" s="526"/>
      <c r="Q745" s="526"/>
      <c r="R745" s="526"/>
      <c r="S745" s="526"/>
      <c r="T745" s="526"/>
      <c r="U745" s="526"/>
      <c r="V745" s="526"/>
      <c r="W745" s="526"/>
      <c r="X745" s="526"/>
    </row>
    <row r="746" spans="1:24">
      <c r="A746" s="526"/>
      <c r="B746" s="526"/>
      <c r="C746" s="526"/>
      <c r="D746" s="526"/>
      <c r="E746" s="526"/>
      <c r="F746" s="526"/>
      <c r="G746" s="526"/>
      <c r="H746" s="526"/>
      <c r="I746" s="526"/>
      <c r="J746" s="526"/>
      <c r="K746" s="526"/>
      <c r="L746" s="526"/>
      <c r="M746" s="526"/>
      <c r="N746" s="526"/>
      <c r="O746" s="526"/>
      <c r="P746" s="526"/>
      <c r="Q746" s="526"/>
      <c r="R746" s="526"/>
      <c r="S746" s="526"/>
      <c r="T746" s="526"/>
      <c r="U746" s="526"/>
      <c r="V746" s="526"/>
      <c r="W746" s="526"/>
      <c r="X746" s="526"/>
    </row>
    <row r="747" spans="1:24">
      <c r="A747" s="526"/>
      <c r="B747" s="526"/>
      <c r="C747" s="526"/>
      <c r="D747" s="526"/>
      <c r="E747" s="526"/>
      <c r="F747" s="526"/>
      <c r="G747" s="526"/>
      <c r="H747" s="526"/>
      <c r="I747" s="526"/>
      <c r="J747" s="526"/>
      <c r="K747" s="526"/>
      <c r="L747" s="526"/>
      <c r="M747" s="526"/>
      <c r="N747" s="526"/>
      <c r="O747" s="526"/>
      <c r="P747" s="526"/>
      <c r="Q747" s="526"/>
      <c r="R747" s="526"/>
      <c r="S747" s="526"/>
      <c r="T747" s="526"/>
      <c r="U747" s="526"/>
      <c r="V747" s="526"/>
      <c r="W747" s="526"/>
      <c r="X747" s="526"/>
    </row>
    <row r="748" spans="1:24">
      <c r="A748" s="526"/>
      <c r="B748" s="526"/>
      <c r="C748" s="526"/>
      <c r="D748" s="526"/>
      <c r="E748" s="526"/>
      <c r="F748" s="526"/>
      <c r="G748" s="526"/>
      <c r="H748" s="526"/>
      <c r="I748" s="526"/>
      <c r="J748" s="526"/>
      <c r="K748" s="526"/>
      <c r="L748" s="526"/>
      <c r="M748" s="526"/>
      <c r="N748" s="526"/>
      <c r="O748" s="526"/>
      <c r="P748" s="526"/>
      <c r="Q748" s="526"/>
      <c r="R748" s="526"/>
      <c r="S748" s="526"/>
      <c r="T748" s="526"/>
      <c r="U748" s="526"/>
      <c r="V748" s="526"/>
      <c r="W748" s="526"/>
      <c r="X748" s="526"/>
    </row>
    <row r="749" spans="1:24">
      <c r="A749" s="526"/>
      <c r="B749" s="526"/>
      <c r="C749" s="526"/>
      <c r="D749" s="526"/>
      <c r="E749" s="526"/>
      <c r="F749" s="526"/>
      <c r="G749" s="526"/>
      <c r="H749" s="526"/>
      <c r="I749" s="526"/>
      <c r="J749" s="526"/>
      <c r="K749" s="526"/>
      <c r="L749" s="526"/>
      <c r="M749" s="526"/>
      <c r="N749" s="526"/>
      <c r="O749" s="526"/>
      <c r="P749" s="526"/>
      <c r="Q749" s="526"/>
      <c r="R749" s="526"/>
      <c r="S749" s="526"/>
      <c r="T749" s="526"/>
      <c r="U749" s="526"/>
      <c r="V749" s="526"/>
      <c r="W749" s="526"/>
      <c r="X749" s="526"/>
    </row>
    <row r="750" spans="1:24">
      <c r="A750" s="526"/>
      <c r="B750" s="526"/>
      <c r="C750" s="526"/>
      <c r="D750" s="526"/>
      <c r="E750" s="526"/>
      <c r="F750" s="526"/>
      <c r="G750" s="526"/>
      <c r="H750" s="526"/>
      <c r="I750" s="526"/>
      <c r="J750" s="526"/>
      <c r="K750" s="526"/>
      <c r="L750" s="526"/>
      <c r="M750" s="526"/>
      <c r="N750" s="526"/>
      <c r="O750" s="526"/>
      <c r="P750" s="526"/>
      <c r="Q750" s="526"/>
      <c r="R750" s="526"/>
      <c r="S750" s="526"/>
      <c r="T750" s="526"/>
      <c r="U750" s="526"/>
      <c r="V750" s="526"/>
      <c r="W750" s="526"/>
      <c r="X750" s="526"/>
    </row>
    <row r="751" spans="1:24">
      <c r="A751" s="526"/>
      <c r="B751" s="526"/>
      <c r="C751" s="526"/>
      <c r="D751" s="526"/>
      <c r="E751" s="526"/>
      <c r="F751" s="526"/>
      <c r="G751" s="526"/>
      <c r="H751" s="526"/>
      <c r="I751" s="526"/>
      <c r="J751" s="526"/>
      <c r="K751" s="526"/>
      <c r="L751" s="526"/>
      <c r="M751" s="526"/>
      <c r="N751" s="526"/>
      <c r="O751" s="526"/>
      <c r="P751" s="526"/>
      <c r="Q751" s="526"/>
      <c r="R751" s="526"/>
      <c r="S751" s="526"/>
      <c r="T751" s="526"/>
      <c r="U751" s="526"/>
      <c r="V751" s="526"/>
      <c r="W751" s="526"/>
      <c r="X751" s="526"/>
    </row>
    <row r="752" spans="1:24">
      <c r="A752" s="526"/>
      <c r="B752" s="526"/>
      <c r="C752" s="526"/>
      <c r="D752" s="526"/>
      <c r="E752" s="526"/>
      <c r="F752" s="526"/>
      <c r="G752" s="526"/>
      <c r="H752" s="526"/>
      <c r="I752" s="526"/>
      <c r="J752" s="526"/>
      <c r="K752" s="526"/>
      <c r="L752" s="526"/>
      <c r="M752" s="526"/>
      <c r="N752" s="526"/>
      <c r="O752" s="526"/>
      <c r="P752" s="526"/>
      <c r="Q752" s="526"/>
      <c r="R752" s="526"/>
      <c r="S752" s="526"/>
      <c r="T752" s="526"/>
      <c r="U752" s="526"/>
      <c r="V752" s="526"/>
      <c r="W752" s="526"/>
      <c r="X752" s="526"/>
    </row>
    <row r="753" spans="1:24">
      <c r="A753" s="526"/>
      <c r="B753" s="526"/>
      <c r="C753" s="526"/>
      <c r="D753" s="526"/>
      <c r="E753" s="526"/>
      <c r="F753" s="526"/>
      <c r="G753" s="526"/>
      <c r="H753" s="526"/>
      <c r="I753" s="526"/>
      <c r="J753" s="526"/>
      <c r="K753" s="526"/>
      <c r="L753" s="526"/>
      <c r="M753" s="526"/>
      <c r="N753" s="526"/>
      <c r="O753" s="526"/>
      <c r="P753" s="526"/>
      <c r="Q753" s="526"/>
      <c r="R753" s="526"/>
      <c r="S753" s="526"/>
      <c r="T753" s="526"/>
      <c r="U753" s="526"/>
      <c r="V753" s="526"/>
      <c r="W753" s="526"/>
      <c r="X753" s="526"/>
    </row>
    <row r="754" spans="1:24">
      <c r="A754" s="526"/>
      <c r="B754" s="526"/>
      <c r="C754" s="526"/>
      <c r="D754" s="526"/>
      <c r="E754" s="526"/>
      <c r="F754" s="526"/>
      <c r="G754" s="526"/>
      <c r="H754" s="526"/>
      <c r="I754" s="526"/>
      <c r="J754" s="526"/>
      <c r="K754" s="526"/>
      <c r="L754" s="526"/>
      <c r="M754" s="526"/>
      <c r="N754" s="526"/>
      <c r="O754" s="526"/>
      <c r="P754" s="526"/>
      <c r="Q754" s="526"/>
      <c r="R754" s="526"/>
      <c r="S754" s="526"/>
      <c r="T754" s="526"/>
      <c r="U754" s="526"/>
      <c r="V754" s="526"/>
      <c r="W754" s="526"/>
      <c r="X754" s="526"/>
    </row>
    <row r="755" spans="1:24">
      <c r="A755" s="526"/>
      <c r="B755" s="526"/>
      <c r="C755" s="526"/>
      <c r="D755" s="526"/>
      <c r="E755" s="526"/>
      <c r="F755" s="526"/>
      <c r="G755" s="526"/>
      <c r="H755" s="526"/>
      <c r="I755" s="526"/>
      <c r="J755" s="526"/>
      <c r="K755" s="526"/>
      <c r="L755" s="526"/>
      <c r="M755" s="526"/>
      <c r="N755" s="526"/>
      <c r="O755" s="526"/>
      <c r="P755" s="526"/>
      <c r="Q755" s="526"/>
      <c r="R755" s="526"/>
      <c r="S755" s="526"/>
      <c r="T755" s="526"/>
      <c r="U755" s="526"/>
      <c r="V755" s="526"/>
      <c r="W755" s="526"/>
      <c r="X755" s="526"/>
    </row>
    <row r="756" spans="1:24">
      <c r="A756" s="526"/>
      <c r="B756" s="526"/>
      <c r="C756" s="526"/>
      <c r="D756" s="526"/>
      <c r="E756" s="526"/>
      <c r="F756" s="526"/>
      <c r="G756" s="526"/>
      <c r="H756" s="526"/>
      <c r="I756" s="526"/>
      <c r="J756" s="526"/>
      <c r="K756" s="526"/>
      <c r="L756" s="526"/>
      <c r="M756" s="526"/>
      <c r="N756" s="526"/>
      <c r="O756" s="526"/>
      <c r="P756" s="526"/>
      <c r="Q756" s="526"/>
      <c r="R756" s="526"/>
      <c r="S756" s="526"/>
      <c r="T756" s="526"/>
      <c r="U756" s="526"/>
      <c r="V756" s="526"/>
      <c r="W756" s="526"/>
      <c r="X756" s="526"/>
    </row>
    <row r="757" spans="1:24">
      <c r="A757" s="526"/>
      <c r="B757" s="526"/>
      <c r="C757" s="526"/>
      <c r="D757" s="526"/>
      <c r="E757" s="526"/>
      <c r="F757" s="526"/>
      <c r="G757" s="526"/>
      <c r="H757" s="526"/>
      <c r="I757" s="526"/>
      <c r="J757" s="526"/>
      <c r="K757" s="526"/>
      <c r="L757" s="526"/>
      <c r="M757" s="526"/>
      <c r="N757" s="526"/>
      <c r="O757" s="526"/>
      <c r="P757" s="526"/>
      <c r="Q757" s="526"/>
      <c r="R757" s="526"/>
      <c r="S757" s="526"/>
      <c r="T757" s="526"/>
      <c r="U757" s="526"/>
      <c r="V757" s="526"/>
      <c r="W757" s="526"/>
      <c r="X757" s="526"/>
    </row>
    <row r="758" spans="1:24">
      <c r="A758" s="526"/>
      <c r="B758" s="526"/>
      <c r="C758" s="526"/>
      <c r="D758" s="526"/>
      <c r="E758" s="526"/>
      <c r="F758" s="526"/>
      <c r="G758" s="526"/>
      <c r="H758" s="526"/>
      <c r="I758" s="526"/>
      <c r="J758" s="526"/>
      <c r="K758" s="526"/>
      <c r="L758" s="526"/>
      <c r="M758" s="526"/>
      <c r="N758" s="526"/>
      <c r="O758" s="526"/>
      <c r="P758" s="526"/>
      <c r="Q758" s="526"/>
      <c r="R758" s="526"/>
      <c r="S758" s="526"/>
      <c r="T758" s="526"/>
      <c r="U758" s="526"/>
      <c r="V758" s="526"/>
      <c r="W758" s="526"/>
      <c r="X758" s="526"/>
    </row>
    <row r="759" spans="1:24">
      <c r="A759" s="526"/>
      <c r="B759" s="526"/>
      <c r="C759" s="526"/>
      <c r="D759" s="526"/>
      <c r="E759" s="526"/>
      <c r="F759" s="526"/>
      <c r="G759" s="526"/>
      <c r="H759" s="526"/>
      <c r="I759" s="526"/>
      <c r="J759" s="526"/>
      <c r="K759" s="526"/>
      <c r="L759" s="526"/>
      <c r="M759" s="526"/>
      <c r="N759" s="526"/>
      <c r="O759" s="526"/>
      <c r="P759" s="526"/>
      <c r="Q759" s="526"/>
      <c r="R759" s="526"/>
      <c r="S759" s="526"/>
      <c r="T759" s="526"/>
      <c r="U759" s="526"/>
      <c r="V759" s="526"/>
      <c r="W759" s="526"/>
      <c r="X759" s="526"/>
    </row>
    <row r="760" spans="1:24">
      <c r="A760" s="526"/>
      <c r="B760" s="526"/>
      <c r="C760" s="526"/>
      <c r="D760" s="526"/>
      <c r="E760" s="526"/>
      <c r="F760" s="526"/>
      <c r="G760" s="526"/>
      <c r="H760" s="526"/>
      <c r="I760" s="526"/>
      <c r="J760" s="526"/>
      <c r="K760" s="526"/>
      <c r="L760" s="526"/>
      <c r="M760" s="526"/>
      <c r="N760" s="526"/>
      <c r="O760" s="526"/>
      <c r="P760" s="526"/>
      <c r="Q760" s="526"/>
      <c r="R760" s="526"/>
      <c r="S760" s="526"/>
      <c r="T760" s="526"/>
      <c r="U760" s="526"/>
      <c r="V760" s="526"/>
      <c r="W760" s="526"/>
      <c r="X760" s="526"/>
    </row>
    <row r="761" spans="1:24">
      <c r="A761" s="526"/>
      <c r="B761" s="526"/>
      <c r="C761" s="526"/>
      <c r="D761" s="526"/>
      <c r="E761" s="526"/>
      <c r="F761" s="526"/>
      <c r="G761" s="526"/>
      <c r="H761" s="526"/>
      <c r="I761" s="526"/>
      <c r="J761" s="526"/>
      <c r="K761" s="526"/>
      <c r="L761" s="526"/>
      <c r="M761" s="526"/>
      <c r="N761" s="526"/>
      <c r="O761" s="526"/>
      <c r="P761" s="526"/>
      <c r="Q761" s="526"/>
      <c r="R761" s="526"/>
      <c r="S761" s="526"/>
      <c r="T761" s="526"/>
      <c r="U761" s="526"/>
      <c r="V761" s="526"/>
      <c r="W761" s="526"/>
      <c r="X761" s="526"/>
    </row>
    <row r="762" spans="1:24">
      <c r="A762" s="526"/>
      <c r="B762" s="526"/>
      <c r="C762" s="526"/>
      <c r="D762" s="526"/>
      <c r="E762" s="526"/>
      <c r="F762" s="526"/>
      <c r="G762" s="526"/>
      <c r="H762" s="526"/>
      <c r="I762" s="526"/>
      <c r="J762" s="526"/>
      <c r="K762" s="526"/>
      <c r="L762" s="526"/>
      <c r="M762" s="526"/>
      <c r="N762" s="526"/>
      <c r="O762" s="526"/>
      <c r="P762" s="526"/>
      <c r="Q762" s="526"/>
      <c r="R762" s="526"/>
      <c r="S762" s="526"/>
      <c r="T762" s="526"/>
      <c r="U762" s="526"/>
      <c r="V762" s="526"/>
      <c r="W762" s="526"/>
      <c r="X762" s="526"/>
    </row>
    <row r="763" spans="1:24">
      <c r="A763" s="526"/>
      <c r="B763" s="526"/>
      <c r="C763" s="526"/>
      <c r="D763" s="526"/>
      <c r="E763" s="526"/>
      <c r="F763" s="526"/>
      <c r="G763" s="526"/>
      <c r="H763" s="526"/>
      <c r="I763" s="526"/>
      <c r="J763" s="526"/>
      <c r="K763" s="526"/>
      <c r="L763" s="526"/>
      <c r="M763" s="526"/>
      <c r="N763" s="526"/>
      <c r="O763" s="526"/>
      <c r="P763" s="526"/>
      <c r="Q763" s="526"/>
      <c r="R763" s="526"/>
      <c r="S763" s="526"/>
      <c r="T763" s="526"/>
      <c r="U763" s="526"/>
      <c r="V763" s="526"/>
      <c r="W763" s="526"/>
      <c r="X763" s="526"/>
    </row>
    <row r="764" spans="1:24">
      <c r="A764" s="526"/>
      <c r="B764" s="526"/>
      <c r="C764" s="526"/>
      <c r="D764" s="526"/>
      <c r="E764" s="526"/>
      <c r="F764" s="526"/>
      <c r="G764" s="526"/>
      <c r="H764" s="526"/>
      <c r="I764" s="526"/>
      <c r="J764" s="526"/>
      <c r="K764" s="526"/>
      <c r="L764" s="526"/>
      <c r="M764" s="526"/>
      <c r="N764" s="526"/>
      <c r="O764" s="526"/>
      <c r="P764" s="526"/>
      <c r="Q764" s="526"/>
      <c r="R764" s="526"/>
      <c r="S764" s="526"/>
      <c r="T764" s="526"/>
      <c r="U764" s="526"/>
      <c r="V764" s="526"/>
      <c r="W764" s="526"/>
      <c r="X764" s="526"/>
    </row>
    <row r="765" spans="1:24">
      <c r="A765" s="526"/>
      <c r="B765" s="526"/>
      <c r="C765" s="526"/>
      <c r="D765" s="526"/>
      <c r="E765" s="526"/>
      <c r="F765" s="526"/>
      <c r="G765" s="526"/>
      <c r="H765" s="526"/>
      <c r="I765" s="526"/>
      <c r="J765" s="526"/>
      <c r="K765" s="526"/>
      <c r="L765" s="526"/>
      <c r="M765" s="526"/>
      <c r="N765" s="526"/>
      <c r="O765" s="526"/>
      <c r="P765" s="526"/>
      <c r="Q765" s="526"/>
      <c r="R765" s="526"/>
      <c r="S765" s="526"/>
      <c r="T765" s="526"/>
      <c r="U765" s="526"/>
      <c r="V765" s="526"/>
      <c r="W765" s="526"/>
      <c r="X765" s="526"/>
    </row>
    <row r="766" spans="1:24">
      <c r="A766" s="526"/>
      <c r="B766" s="526"/>
      <c r="C766" s="526"/>
      <c r="D766" s="526"/>
      <c r="E766" s="526"/>
      <c r="F766" s="526"/>
      <c r="G766" s="526"/>
      <c r="H766" s="526"/>
      <c r="I766" s="526"/>
      <c r="J766" s="526"/>
      <c r="K766" s="526"/>
      <c r="L766" s="526"/>
      <c r="M766" s="526"/>
      <c r="N766" s="526"/>
      <c r="O766" s="526"/>
      <c r="P766" s="526"/>
      <c r="Q766" s="526"/>
      <c r="R766" s="526"/>
      <c r="S766" s="526"/>
      <c r="T766" s="526"/>
      <c r="U766" s="526"/>
      <c r="V766" s="526"/>
      <c r="W766" s="526"/>
      <c r="X766" s="526"/>
    </row>
    <row r="767" spans="1:24">
      <c r="A767" s="526"/>
      <c r="B767" s="526"/>
      <c r="C767" s="526"/>
      <c r="D767" s="526"/>
      <c r="E767" s="526"/>
      <c r="F767" s="526"/>
      <c r="G767" s="526"/>
      <c r="H767" s="526"/>
      <c r="I767" s="526"/>
      <c r="J767" s="526"/>
      <c r="K767" s="526"/>
      <c r="L767" s="526"/>
      <c r="M767" s="526"/>
      <c r="N767" s="526"/>
      <c r="O767" s="526"/>
      <c r="P767" s="526"/>
      <c r="Q767" s="526"/>
      <c r="R767" s="526"/>
      <c r="S767" s="526"/>
      <c r="T767" s="526"/>
      <c r="U767" s="526"/>
      <c r="V767" s="526"/>
      <c r="W767" s="526"/>
      <c r="X767" s="526"/>
    </row>
    <row r="768" spans="1:24">
      <c r="A768" s="526"/>
      <c r="B768" s="526"/>
      <c r="C768" s="526"/>
      <c r="D768" s="526"/>
      <c r="E768" s="526"/>
      <c r="F768" s="526"/>
      <c r="G768" s="526"/>
      <c r="H768" s="526"/>
      <c r="I768" s="526"/>
      <c r="J768" s="526"/>
      <c r="K768" s="526"/>
      <c r="L768" s="526"/>
      <c r="M768" s="526"/>
      <c r="N768" s="526"/>
      <c r="O768" s="526"/>
      <c r="P768" s="526"/>
      <c r="Q768" s="526"/>
      <c r="R768" s="526"/>
      <c r="S768" s="526"/>
      <c r="T768" s="526"/>
      <c r="U768" s="526"/>
      <c r="V768" s="526"/>
      <c r="W768" s="526"/>
      <c r="X768" s="526"/>
    </row>
    <row r="769" spans="1:24">
      <c r="A769" s="526"/>
      <c r="B769" s="526"/>
      <c r="C769" s="526"/>
      <c r="D769" s="526"/>
      <c r="E769" s="526"/>
      <c r="F769" s="526"/>
      <c r="G769" s="526"/>
      <c r="H769" s="526"/>
      <c r="I769" s="526"/>
      <c r="J769" s="526"/>
      <c r="K769" s="526"/>
      <c r="L769" s="526"/>
      <c r="M769" s="526"/>
      <c r="N769" s="526"/>
      <c r="O769" s="526"/>
      <c r="P769" s="526"/>
      <c r="Q769" s="526"/>
      <c r="R769" s="526"/>
      <c r="S769" s="526"/>
      <c r="T769" s="526"/>
      <c r="U769" s="526"/>
      <c r="V769" s="526"/>
      <c r="W769" s="526"/>
      <c r="X769" s="526"/>
    </row>
    <row r="770" spans="1:24">
      <c r="A770" s="526"/>
      <c r="B770" s="526"/>
      <c r="C770" s="526"/>
      <c r="D770" s="526"/>
      <c r="E770" s="526"/>
      <c r="F770" s="526"/>
      <c r="G770" s="526"/>
      <c r="H770" s="526"/>
      <c r="I770" s="526"/>
      <c r="J770" s="526"/>
      <c r="K770" s="526"/>
      <c r="L770" s="526"/>
      <c r="M770" s="526"/>
      <c r="N770" s="526"/>
      <c r="O770" s="526"/>
      <c r="P770" s="526"/>
      <c r="Q770" s="526"/>
      <c r="R770" s="526"/>
      <c r="S770" s="526"/>
      <c r="T770" s="526"/>
      <c r="U770" s="526"/>
      <c r="V770" s="526"/>
      <c r="W770" s="526"/>
      <c r="X770" s="526"/>
    </row>
    <row r="771" spans="1:24">
      <c r="A771" s="526"/>
      <c r="B771" s="526"/>
      <c r="C771" s="526"/>
      <c r="D771" s="526"/>
      <c r="E771" s="526"/>
      <c r="F771" s="526"/>
      <c r="G771" s="526"/>
      <c r="H771" s="526"/>
      <c r="I771" s="526"/>
      <c r="J771" s="526"/>
      <c r="K771" s="526"/>
      <c r="L771" s="526"/>
      <c r="M771" s="526"/>
      <c r="N771" s="526"/>
      <c r="O771" s="526"/>
      <c r="P771" s="526"/>
      <c r="Q771" s="526"/>
      <c r="R771" s="526"/>
      <c r="S771" s="526"/>
      <c r="T771" s="526"/>
      <c r="U771" s="526"/>
      <c r="V771" s="526"/>
      <c r="W771" s="526"/>
      <c r="X771" s="526"/>
    </row>
    <row r="772" spans="1:24">
      <c r="A772" s="526"/>
      <c r="B772" s="526"/>
      <c r="C772" s="526"/>
      <c r="D772" s="526"/>
      <c r="E772" s="526"/>
      <c r="F772" s="526"/>
      <c r="G772" s="526"/>
      <c r="H772" s="526"/>
      <c r="I772" s="526"/>
      <c r="J772" s="526"/>
      <c r="K772" s="526"/>
      <c r="L772" s="526"/>
      <c r="M772" s="526"/>
      <c r="N772" s="526"/>
      <c r="O772" s="526"/>
      <c r="P772" s="526"/>
      <c r="Q772" s="526"/>
      <c r="R772" s="526"/>
      <c r="S772" s="526"/>
      <c r="T772" s="526"/>
      <c r="U772" s="526"/>
      <c r="V772" s="526"/>
      <c r="W772" s="526"/>
      <c r="X772" s="526"/>
    </row>
    <row r="773" spans="1:24">
      <c r="A773" s="526"/>
      <c r="B773" s="526"/>
      <c r="C773" s="526"/>
      <c r="D773" s="526"/>
      <c r="E773" s="526"/>
      <c r="F773" s="526"/>
      <c r="G773" s="526"/>
      <c r="H773" s="526"/>
      <c r="I773" s="526"/>
      <c r="J773" s="526"/>
      <c r="K773" s="526"/>
      <c r="L773" s="526"/>
      <c r="M773" s="526"/>
      <c r="N773" s="526"/>
      <c r="O773" s="526"/>
      <c r="P773" s="526"/>
      <c r="Q773" s="526"/>
      <c r="R773" s="526"/>
      <c r="S773" s="526"/>
      <c r="T773" s="526"/>
      <c r="U773" s="526"/>
      <c r="V773" s="526"/>
      <c r="W773" s="526"/>
      <c r="X773" s="526"/>
    </row>
    <row r="774" spans="1:24">
      <c r="A774" s="526"/>
      <c r="B774" s="526"/>
      <c r="C774" s="526"/>
      <c r="D774" s="526"/>
      <c r="E774" s="526"/>
      <c r="F774" s="526"/>
      <c r="G774" s="526"/>
      <c r="H774" s="526"/>
      <c r="I774" s="526"/>
      <c r="J774" s="526"/>
      <c r="K774" s="526"/>
      <c r="L774" s="526"/>
      <c r="M774" s="526"/>
      <c r="N774" s="526"/>
      <c r="O774" s="526"/>
      <c r="P774" s="526"/>
      <c r="Q774" s="526"/>
      <c r="R774" s="526"/>
      <c r="S774" s="526"/>
      <c r="T774" s="526"/>
      <c r="U774" s="526"/>
      <c r="V774" s="526"/>
      <c r="W774" s="526"/>
      <c r="X774" s="526"/>
    </row>
    <row r="775" spans="1:24">
      <c r="A775" s="526"/>
      <c r="B775" s="526"/>
      <c r="C775" s="526"/>
      <c r="D775" s="526"/>
      <c r="E775" s="526"/>
      <c r="F775" s="526"/>
      <c r="G775" s="526"/>
      <c r="H775" s="526"/>
      <c r="I775" s="526"/>
      <c r="J775" s="526"/>
      <c r="K775" s="526"/>
      <c r="L775" s="526"/>
      <c r="M775" s="526"/>
      <c r="N775" s="526"/>
      <c r="O775" s="526"/>
      <c r="P775" s="526"/>
      <c r="Q775" s="526"/>
      <c r="R775" s="526"/>
      <c r="S775" s="526"/>
      <c r="T775" s="526"/>
      <c r="U775" s="526"/>
      <c r="V775" s="526"/>
      <c r="W775" s="526"/>
      <c r="X775" s="526"/>
    </row>
    <row r="776" spans="1:24">
      <c r="A776" s="526"/>
      <c r="B776" s="526"/>
      <c r="C776" s="526"/>
      <c r="D776" s="526"/>
      <c r="E776" s="526"/>
      <c r="F776" s="526"/>
      <c r="G776" s="526"/>
      <c r="H776" s="526"/>
      <c r="I776" s="526"/>
      <c r="J776" s="526"/>
      <c r="K776" s="526"/>
      <c r="L776" s="526"/>
      <c r="M776" s="526"/>
      <c r="N776" s="526"/>
      <c r="O776" s="526"/>
      <c r="P776" s="526"/>
      <c r="Q776" s="526"/>
      <c r="R776" s="526"/>
      <c r="S776" s="526"/>
      <c r="T776" s="526"/>
      <c r="U776" s="526"/>
      <c r="V776" s="526"/>
      <c r="W776" s="526"/>
      <c r="X776" s="526"/>
    </row>
    <row r="777" spans="1:24">
      <c r="A777" s="526"/>
      <c r="B777" s="526"/>
      <c r="C777" s="526"/>
      <c r="D777" s="526"/>
      <c r="E777" s="526"/>
      <c r="F777" s="526"/>
      <c r="G777" s="526"/>
      <c r="H777" s="526"/>
      <c r="I777" s="526"/>
      <c r="J777" s="526"/>
      <c r="K777" s="526"/>
      <c r="L777" s="526"/>
      <c r="M777" s="526"/>
      <c r="N777" s="526"/>
      <c r="O777" s="526"/>
      <c r="P777" s="526"/>
      <c r="Q777" s="526"/>
      <c r="R777" s="526"/>
      <c r="S777" s="526"/>
      <c r="T777" s="526"/>
      <c r="U777" s="526"/>
      <c r="V777" s="526"/>
      <c r="W777" s="526"/>
      <c r="X777" s="526"/>
    </row>
    <row r="778" spans="1:24">
      <c r="A778" s="526"/>
      <c r="B778" s="526"/>
      <c r="C778" s="526"/>
      <c r="D778" s="526"/>
      <c r="E778" s="526"/>
      <c r="F778" s="526"/>
      <c r="G778" s="526"/>
      <c r="H778" s="526"/>
      <c r="I778" s="526"/>
      <c r="J778" s="526"/>
      <c r="K778" s="526"/>
      <c r="L778" s="526"/>
      <c r="M778" s="526"/>
      <c r="N778" s="526"/>
      <c r="O778" s="526"/>
      <c r="P778" s="526"/>
      <c r="Q778" s="526"/>
      <c r="R778" s="526"/>
      <c r="S778" s="526"/>
      <c r="T778" s="526"/>
      <c r="U778" s="526"/>
      <c r="V778" s="526"/>
      <c r="W778" s="526"/>
      <c r="X778" s="526"/>
    </row>
    <row r="779" spans="1:24">
      <c r="A779" s="526"/>
      <c r="B779" s="526"/>
      <c r="C779" s="526"/>
      <c r="D779" s="526"/>
      <c r="E779" s="526"/>
      <c r="F779" s="526"/>
      <c r="G779" s="526"/>
      <c r="H779" s="526"/>
      <c r="I779" s="526"/>
      <c r="J779" s="526"/>
      <c r="K779" s="526"/>
      <c r="L779" s="526"/>
      <c r="M779" s="526"/>
      <c r="N779" s="526"/>
      <c r="O779" s="526"/>
      <c r="P779" s="526"/>
      <c r="Q779" s="526"/>
      <c r="R779" s="526"/>
      <c r="S779" s="526"/>
      <c r="T779" s="526"/>
      <c r="U779" s="526"/>
      <c r="V779" s="526"/>
      <c r="W779" s="526"/>
      <c r="X779" s="526"/>
    </row>
    <row r="780" spans="1:24">
      <c r="A780" s="526"/>
      <c r="B780" s="526"/>
      <c r="C780" s="526"/>
      <c r="D780" s="526"/>
      <c r="E780" s="526"/>
      <c r="F780" s="526"/>
      <c r="G780" s="526"/>
      <c r="H780" s="526"/>
      <c r="I780" s="526"/>
      <c r="J780" s="526"/>
      <c r="K780" s="526"/>
      <c r="L780" s="526"/>
      <c r="M780" s="526"/>
      <c r="N780" s="526"/>
      <c r="O780" s="526"/>
      <c r="P780" s="526"/>
      <c r="Q780" s="526"/>
      <c r="R780" s="526"/>
      <c r="S780" s="526"/>
      <c r="T780" s="526"/>
      <c r="U780" s="526"/>
      <c r="V780" s="526"/>
      <c r="W780" s="526"/>
      <c r="X780" s="526"/>
    </row>
    <row r="781" spans="1:24">
      <c r="A781" s="526"/>
      <c r="B781" s="526"/>
      <c r="C781" s="526"/>
      <c r="D781" s="526"/>
      <c r="E781" s="526"/>
      <c r="F781" s="526"/>
      <c r="G781" s="526"/>
      <c r="H781" s="526"/>
      <c r="I781" s="526"/>
      <c r="J781" s="526"/>
      <c r="K781" s="526"/>
      <c r="L781" s="526"/>
      <c r="M781" s="526"/>
      <c r="N781" s="526"/>
      <c r="O781" s="526"/>
      <c r="P781" s="526"/>
      <c r="Q781" s="526"/>
      <c r="R781" s="526"/>
      <c r="S781" s="526"/>
      <c r="T781" s="526"/>
      <c r="U781" s="526"/>
      <c r="V781" s="526"/>
      <c r="W781" s="526"/>
      <c r="X781" s="526"/>
    </row>
    <row r="782" spans="1:24">
      <c r="A782" s="526"/>
      <c r="B782" s="526"/>
      <c r="C782" s="526"/>
      <c r="D782" s="526"/>
      <c r="E782" s="526"/>
      <c r="F782" s="526"/>
      <c r="G782" s="526"/>
      <c r="H782" s="526"/>
      <c r="I782" s="526"/>
      <c r="J782" s="526"/>
      <c r="K782" s="526"/>
      <c r="L782" s="526"/>
      <c r="M782" s="526"/>
      <c r="N782" s="526"/>
      <c r="O782" s="526"/>
      <c r="P782" s="526"/>
      <c r="Q782" s="526"/>
      <c r="R782" s="526"/>
      <c r="S782" s="526"/>
      <c r="T782" s="526"/>
      <c r="U782" s="526"/>
      <c r="V782" s="526"/>
      <c r="W782" s="526"/>
      <c r="X782" s="526"/>
    </row>
    <row r="783" spans="1:24">
      <c r="A783" s="526"/>
      <c r="B783" s="526"/>
      <c r="C783" s="526"/>
      <c r="D783" s="526"/>
      <c r="E783" s="526"/>
      <c r="F783" s="526"/>
      <c r="G783" s="526"/>
      <c r="H783" s="526"/>
      <c r="I783" s="526"/>
      <c r="J783" s="526"/>
      <c r="K783" s="526"/>
      <c r="L783" s="526"/>
      <c r="M783" s="526"/>
      <c r="N783" s="526"/>
      <c r="O783" s="526"/>
      <c r="P783" s="526"/>
      <c r="Q783" s="526"/>
      <c r="R783" s="526"/>
      <c r="S783" s="526"/>
      <c r="T783" s="526"/>
      <c r="U783" s="526"/>
      <c r="V783" s="526"/>
      <c r="W783" s="526"/>
      <c r="X783" s="526"/>
    </row>
    <row r="784" spans="1:24">
      <c r="A784" s="526"/>
      <c r="B784" s="526"/>
      <c r="C784" s="526"/>
      <c r="D784" s="526"/>
      <c r="E784" s="526"/>
      <c r="F784" s="526"/>
      <c r="G784" s="526"/>
      <c r="H784" s="526"/>
      <c r="I784" s="526"/>
      <c r="J784" s="526"/>
      <c r="K784" s="526"/>
      <c r="L784" s="526"/>
      <c r="M784" s="526"/>
      <c r="N784" s="526"/>
      <c r="O784" s="526"/>
      <c r="P784" s="526"/>
      <c r="Q784" s="526"/>
      <c r="R784" s="526"/>
      <c r="S784" s="526"/>
      <c r="T784" s="526"/>
      <c r="U784" s="526"/>
      <c r="V784" s="526"/>
      <c r="W784" s="526"/>
      <c r="X784" s="526"/>
    </row>
    <row r="785" spans="1:24">
      <c r="A785" s="526"/>
      <c r="B785" s="526"/>
      <c r="C785" s="526"/>
      <c r="D785" s="526"/>
      <c r="E785" s="526"/>
      <c r="F785" s="526"/>
      <c r="G785" s="526"/>
      <c r="H785" s="526"/>
      <c r="I785" s="526"/>
      <c r="J785" s="526"/>
      <c r="K785" s="526"/>
      <c r="L785" s="526"/>
      <c r="M785" s="526"/>
      <c r="N785" s="526"/>
      <c r="O785" s="526"/>
      <c r="P785" s="526"/>
      <c r="Q785" s="526"/>
      <c r="R785" s="526"/>
      <c r="S785" s="526"/>
      <c r="T785" s="526"/>
      <c r="U785" s="526"/>
      <c r="V785" s="526"/>
      <c r="W785" s="526"/>
      <c r="X785" s="526"/>
    </row>
    <row r="786" spans="1:24">
      <c r="A786" s="526"/>
      <c r="B786" s="526"/>
      <c r="C786" s="526"/>
      <c r="D786" s="526"/>
      <c r="E786" s="526"/>
      <c r="F786" s="526"/>
      <c r="G786" s="526"/>
      <c r="H786" s="526"/>
      <c r="I786" s="526"/>
      <c r="J786" s="526"/>
      <c r="K786" s="526"/>
      <c r="L786" s="526"/>
      <c r="M786" s="526"/>
      <c r="N786" s="526"/>
      <c r="O786" s="526"/>
      <c r="P786" s="526"/>
      <c r="Q786" s="526"/>
      <c r="R786" s="526"/>
      <c r="S786" s="526"/>
      <c r="T786" s="526"/>
      <c r="U786" s="526"/>
      <c r="V786" s="526"/>
      <c r="W786" s="526"/>
      <c r="X786" s="526"/>
    </row>
    <row r="787" spans="1:24">
      <c r="A787" s="526"/>
      <c r="B787" s="526"/>
      <c r="C787" s="526"/>
      <c r="D787" s="526"/>
      <c r="E787" s="526"/>
      <c r="F787" s="526"/>
      <c r="G787" s="526"/>
      <c r="H787" s="526"/>
      <c r="I787" s="526"/>
      <c r="J787" s="526"/>
      <c r="K787" s="526"/>
      <c r="L787" s="526"/>
      <c r="M787" s="526"/>
      <c r="N787" s="526"/>
      <c r="O787" s="526"/>
      <c r="P787" s="526"/>
      <c r="Q787" s="526"/>
      <c r="R787" s="526"/>
      <c r="S787" s="526"/>
      <c r="T787" s="526"/>
      <c r="U787" s="526"/>
      <c r="V787" s="526"/>
      <c r="W787" s="526"/>
      <c r="X787" s="526"/>
    </row>
    <row r="788" spans="1:24">
      <c r="A788" s="526"/>
      <c r="B788" s="526"/>
      <c r="C788" s="526"/>
      <c r="D788" s="526"/>
      <c r="E788" s="526"/>
      <c r="F788" s="526"/>
      <c r="G788" s="526"/>
      <c r="H788" s="526"/>
      <c r="I788" s="526"/>
      <c r="J788" s="526"/>
      <c r="K788" s="526"/>
      <c r="L788" s="526"/>
      <c r="M788" s="526"/>
      <c r="N788" s="526"/>
      <c r="O788" s="526"/>
      <c r="P788" s="526"/>
      <c r="Q788" s="526"/>
      <c r="R788" s="526"/>
      <c r="S788" s="526"/>
      <c r="T788" s="526"/>
      <c r="U788" s="526"/>
      <c r="V788" s="526"/>
      <c r="W788" s="526"/>
      <c r="X788" s="526"/>
    </row>
    <row r="789" spans="1:24">
      <c r="A789" s="526"/>
      <c r="B789" s="526"/>
      <c r="C789" s="526"/>
      <c r="D789" s="526"/>
      <c r="E789" s="526"/>
      <c r="F789" s="526"/>
      <c r="G789" s="526"/>
      <c r="H789" s="526"/>
      <c r="I789" s="526"/>
      <c r="J789" s="526"/>
      <c r="K789" s="526"/>
      <c r="L789" s="526"/>
      <c r="M789" s="526"/>
      <c r="N789" s="526"/>
      <c r="O789" s="526"/>
      <c r="P789" s="526"/>
      <c r="Q789" s="526"/>
      <c r="R789" s="526"/>
      <c r="S789" s="526"/>
      <c r="T789" s="526"/>
      <c r="U789" s="526"/>
      <c r="V789" s="526"/>
      <c r="W789" s="526"/>
      <c r="X789" s="526"/>
    </row>
    <row r="790" spans="1:24">
      <c r="A790" s="526"/>
      <c r="B790" s="526"/>
      <c r="C790" s="526"/>
      <c r="D790" s="526"/>
      <c r="E790" s="526"/>
      <c r="F790" s="526"/>
      <c r="G790" s="526"/>
      <c r="H790" s="526"/>
      <c r="I790" s="526"/>
      <c r="J790" s="526"/>
      <c r="K790" s="526"/>
      <c r="L790" s="526"/>
      <c r="M790" s="526"/>
      <c r="N790" s="526"/>
      <c r="O790" s="526"/>
      <c r="P790" s="526"/>
      <c r="Q790" s="526"/>
      <c r="R790" s="526"/>
      <c r="S790" s="526"/>
      <c r="T790" s="526"/>
      <c r="U790" s="526"/>
      <c r="V790" s="526"/>
      <c r="W790" s="526"/>
      <c r="X790" s="526"/>
    </row>
    <row r="791" spans="1:24">
      <c r="A791" s="526"/>
      <c r="B791" s="526"/>
      <c r="C791" s="526"/>
      <c r="D791" s="526"/>
      <c r="E791" s="526"/>
      <c r="F791" s="526"/>
      <c r="G791" s="526"/>
      <c r="H791" s="526"/>
      <c r="I791" s="526"/>
      <c r="J791" s="526"/>
      <c r="K791" s="526"/>
      <c r="L791" s="526"/>
      <c r="M791" s="526"/>
      <c r="N791" s="526"/>
      <c r="O791" s="526"/>
      <c r="P791" s="526"/>
      <c r="Q791" s="526"/>
      <c r="R791" s="526"/>
      <c r="S791" s="526"/>
      <c r="T791" s="526"/>
      <c r="U791" s="526"/>
      <c r="V791" s="526"/>
      <c r="W791" s="526"/>
      <c r="X791" s="526"/>
    </row>
    <row r="792" spans="1:24">
      <c r="A792" s="526"/>
      <c r="B792" s="526"/>
      <c r="C792" s="526"/>
      <c r="D792" s="526"/>
      <c r="E792" s="526"/>
      <c r="F792" s="526"/>
      <c r="G792" s="526"/>
      <c r="H792" s="526"/>
      <c r="I792" s="526"/>
      <c r="J792" s="526"/>
      <c r="K792" s="526"/>
      <c r="L792" s="526"/>
      <c r="M792" s="526"/>
      <c r="N792" s="526"/>
      <c r="O792" s="526"/>
      <c r="P792" s="526"/>
      <c r="Q792" s="526"/>
      <c r="R792" s="526"/>
      <c r="S792" s="526"/>
      <c r="T792" s="526"/>
      <c r="U792" s="526"/>
      <c r="V792" s="526"/>
      <c r="W792" s="526"/>
      <c r="X792" s="526"/>
    </row>
    <row r="793" spans="1:24">
      <c r="A793" s="526"/>
      <c r="B793" s="526"/>
      <c r="C793" s="526"/>
      <c r="D793" s="526"/>
      <c r="E793" s="526"/>
      <c r="F793" s="526"/>
      <c r="G793" s="526"/>
      <c r="H793" s="526"/>
      <c r="I793" s="526"/>
      <c r="J793" s="526"/>
      <c r="K793" s="526"/>
      <c r="L793" s="526"/>
      <c r="M793" s="526"/>
      <c r="N793" s="526"/>
      <c r="O793" s="526"/>
      <c r="P793" s="526"/>
      <c r="Q793" s="526"/>
      <c r="R793" s="526"/>
      <c r="S793" s="526"/>
      <c r="T793" s="526"/>
      <c r="U793" s="526"/>
      <c r="V793" s="526"/>
      <c r="W793" s="526"/>
      <c r="X793" s="526"/>
    </row>
    <row r="794" spans="1:24">
      <c r="A794" s="526"/>
      <c r="B794" s="526"/>
      <c r="C794" s="526"/>
      <c r="D794" s="526"/>
      <c r="E794" s="526"/>
      <c r="F794" s="526"/>
      <c r="G794" s="526"/>
      <c r="H794" s="526"/>
      <c r="I794" s="526"/>
      <c r="J794" s="526"/>
      <c r="K794" s="526"/>
      <c r="L794" s="526"/>
      <c r="M794" s="526"/>
      <c r="N794" s="526"/>
      <c r="O794" s="526"/>
      <c r="P794" s="526"/>
      <c r="Q794" s="526"/>
      <c r="R794" s="526"/>
      <c r="S794" s="526"/>
      <c r="T794" s="526"/>
      <c r="U794" s="526"/>
      <c r="V794" s="526"/>
      <c r="W794" s="526"/>
      <c r="X794" s="526"/>
    </row>
    <row r="795" spans="1:24">
      <c r="A795" s="526"/>
      <c r="B795" s="526"/>
      <c r="C795" s="526"/>
      <c r="D795" s="526"/>
      <c r="E795" s="526"/>
      <c r="F795" s="526"/>
      <c r="G795" s="526"/>
      <c r="H795" s="526"/>
      <c r="I795" s="526"/>
      <c r="J795" s="526"/>
      <c r="K795" s="526"/>
      <c r="L795" s="526"/>
      <c r="M795" s="526"/>
      <c r="N795" s="526"/>
      <c r="O795" s="526"/>
      <c r="P795" s="526"/>
      <c r="Q795" s="526"/>
      <c r="R795" s="526"/>
      <c r="S795" s="526"/>
      <c r="T795" s="526"/>
      <c r="U795" s="526"/>
      <c r="V795" s="526"/>
      <c r="W795" s="526"/>
      <c r="X795" s="526"/>
    </row>
    <row r="796" spans="1:24">
      <c r="A796" s="526"/>
      <c r="B796" s="526"/>
      <c r="C796" s="526"/>
      <c r="D796" s="526"/>
      <c r="E796" s="526"/>
      <c r="F796" s="526"/>
      <c r="G796" s="526"/>
      <c r="H796" s="526"/>
      <c r="I796" s="526"/>
      <c r="J796" s="526"/>
      <c r="K796" s="526"/>
      <c r="L796" s="526"/>
      <c r="M796" s="526"/>
      <c r="N796" s="526"/>
      <c r="O796" s="526"/>
      <c r="P796" s="526"/>
      <c r="Q796" s="526"/>
      <c r="R796" s="526"/>
      <c r="S796" s="526"/>
      <c r="T796" s="526"/>
      <c r="U796" s="526"/>
      <c r="V796" s="526"/>
      <c r="W796" s="526"/>
      <c r="X796" s="526"/>
    </row>
    <row r="797" spans="1:24">
      <c r="A797" s="526"/>
      <c r="B797" s="526"/>
      <c r="C797" s="526"/>
      <c r="D797" s="526"/>
      <c r="E797" s="526"/>
      <c r="F797" s="526"/>
      <c r="G797" s="526"/>
      <c r="H797" s="526"/>
      <c r="I797" s="526"/>
      <c r="J797" s="526"/>
      <c r="K797" s="526"/>
      <c r="L797" s="526"/>
      <c r="M797" s="526"/>
      <c r="N797" s="526"/>
      <c r="O797" s="526"/>
      <c r="P797" s="526"/>
      <c r="Q797" s="526"/>
      <c r="R797" s="526"/>
      <c r="S797" s="526"/>
      <c r="T797" s="526"/>
      <c r="U797" s="526"/>
      <c r="V797" s="526"/>
      <c r="W797" s="526"/>
      <c r="X797" s="526"/>
    </row>
    <row r="798" spans="1:24">
      <c r="A798" s="526"/>
      <c r="B798" s="526"/>
      <c r="C798" s="526"/>
      <c r="D798" s="526"/>
      <c r="E798" s="526"/>
      <c r="F798" s="526"/>
      <c r="G798" s="526"/>
      <c r="H798" s="526"/>
      <c r="I798" s="526"/>
      <c r="J798" s="526"/>
      <c r="K798" s="526"/>
      <c r="L798" s="526"/>
      <c r="M798" s="526"/>
      <c r="N798" s="526"/>
      <c r="O798" s="526"/>
      <c r="P798" s="526"/>
      <c r="Q798" s="526"/>
      <c r="R798" s="526"/>
      <c r="S798" s="526"/>
      <c r="T798" s="526"/>
      <c r="U798" s="526"/>
      <c r="V798" s="526"/>
      <c r="W798" s="526"/>
      <c r="X798" s="526"/>
    </row>
    <row r="799" spans="1:24">
      <c r="A799" s="526"/>
      <c r="B799" s="526"/>
      <c r="C799" s="526"/>
      <c r="D799" s="526"/>
      <c r="E799" s="526"/>
      <c r="F799" s="526"/>
      <c r="G799" s="526"/>
      <c r="H799" s="526"/>
      <c r="I799" s="526"/>
      <c r="J799" s="526"/>
      <c r="K799" s="526"/>
      <c r="L799" s="526"/>
      <c r="M799" s="526"/>
      <c r="N799" s="526"/>
      <c r="O799" s="526"/>
      <c r="P799" s="526"/>
      <c r="Q799" s="526"/>
      <c r="R799" s="526"/>
      <c r="S799" s="526"/>
      <c r="T799" s="526"/>
      <c r="U799" s="526"/>
      <c r="V799" s="526"/>
      <c r="W799" s="526"/>
      <c r="X799" s="526"/>
    </row>
    <row r="800" spans="1:24">
      <c r="A800" s="526"/>
      <c r="B800" s="526"/>
      <c r="C800" s="526"/>
      <c r="D800" s="526"/>
      <c r="E800" s="526"/>
      <c r="F800" s="526"/>
      <c r="G800" s="526"/>
      <c r="H800" s="526"/>
      <c r="I800" s="526"/>
      <c r="J800" s="526"/>
      <c r="K800" s="526"/>
      <c r="L800" s="526"/>
      <c r="M800" s="526"/>
      <c r="N800" s="526"/>
      <c r="O800" s="526"/>
      <c r="P800" s="526"/>
      <c r="Q800" s="526"/>
      <c r="R800" s="526"/>
      <c r="S800" s="526"/>
      <c r="T800" s="526"/>
      <c r="U800" s="526"/>
      <c r="V800" s="526"/>
      <c r="W800" s="526"/>
      <c r="X800" s="526"/>
    </row>
    <row r="801" spans="1:24">
      <c r="A801" s="526"/>
      <c r="B801" s="526"/>
      <c r="C801" s="526"/>
      <c r="D801" s="526"/>
      <c r="E801" s="526"/>
      <c r="F801" s="526"/>
      <c r="G801" s="526"/>
      <c r="H801" s="526"/>
      <c r="I801" s="526"/>
      <c r="J801" s="526"/>
      <c r="K801" s="526"/>
      <c r="L801" s="526"/>
      <c r="M801" s="526"/>
      <c r="N801" s="526"/>
      <c r="O801" s="526"/>
      <c r="P801" s="526"/>
      <c r="Q801" s="526"/>
      <c r="R801" s="526"/>
      <c r="S801" s="526"/>
      <c r="T801" s="526"/>
      <c r="U801" s="526"/>
      <c r="V801" s="526"/>
      <c r="W801" s="526"/>
      <c r="X801" s="526"/>
    </row>
    <row r="802" spans="1:24">
      <c r="A802" s="526"/>
      <c r="B802" s="526"/>
      <c r="C802" s="526"/>
      <c r="D802" s="526"/>
      <c r="E802" s="526"/>
      <c r="F802" s="526"/>
      <c r="G802" s="526"/>
      <c r="H802" s="526"/>
      <c r="I802" s="526"/>
      <c r="J802" s="526"/>
      <c r="K802" s="526"/>
      <c r="L802" s="526"/>
      <c r="M802" s="526"/>
      <c r="N802" s="526"/>
      <c r="O802" s="526"/>
      <c r="P802" s="526"/>
      <c r="Q802" s="526"/>
      <c r="R802" s="526"/>
      <c r="S802" s="526"/>
      <c r="T802" s="526"/>
      <c r="U802" s="526"/>
      <c r="V802" s="526"/>
      <c r="W802" s="526"/>
      <c r="X802" s="526"/>
    </row>
    <row r="803" spans="1:24">
      <c r="A803" s="526"/>
      <c r="B803" s="526"/>
      <c r="C803" s="526"/>
      <c r="D803" s="526"/>
      <c r="E803" s="526"/>
      <c r="F803" s="526"/>
      <c r="G803" s="526"/>
      <c r="H803" s="526"/>
      <c r="I803" s="526"/>
      <c r="J803" s="526"/>
      <c r="K803" s="526"/>
      <c r="L803" s="526"/>
      <c r="M803" s="526"/>
      <c r="N803" s="526"/>
      <c r="O803" s="526"/>
      <c r="P803" s="526"/>
      <c r="Q803" s="526"/>
      <c r="R803" s="526"/>
      <c r="S803" s="526"/>
      <c r="T803" s="526"/>
      <c r="U803" s="526"/>
      <c r="V803" s="526"/>
      <c r="W803" s="526"/>
      <c r="X803" s="526"/>
    </row>
    <row r="804" spans="1:24">
      <c r="A804" s="526"/>
      <c r="B804" s="526"/>
      <c r="C804" s="526"/>
      <c r="D804" s="526"/>
      <c r="E804" s="526"/>
      <c r="F804" s="526"/>
      <c r="G804" s="526"/>
      <c r="H804" s="526"/>
      <c r="I804" s="526"/>
      <c r="J804" s="526"/>
      <c r="K804" s="526"/>
      <c r="L804" s="526"/>
      <c r="M804" s="526"/>
      <c r="N804" s="526"/>
      <c r="O804" s="526"/>
      <c r="P804" s="526"/>
      <c r="Q804" s="526"/>
      <c r="R804" s="526"/>
      <c r="S804" s="526"/>
      <c r="T804" s="526"/>
      <c r="U804" s="526"/>
      <c r="V804" s="526"/>
      <c r="W804" s="526"/>
      <c r="X804" s="526"/>
    </row>
    <row r="805" spans="1:24">
      <c r="A805" s="526"/>
      <c r="B805" s="526"/>
      <c r="C805" s="526"/>
      <c r="D805" s="526"/>
      <c r="E805" s="526"/>
      <c r="F805" s="526"/>
      <c r="G805" s="526"/>
      <c r="H805" s="526"/>
      <c r="I805" s="526"/>
      <c r="J805" s="526"/>
      <c r="K805" s="526"/>
      <c r="L805" s="526"/>
      <c r="M805" s="526"/>
      <c r="N805" s="526"/>
      <c r="O805" s="526"/>
      <c r="P805" s="526"/>
      <c r="Q805" s="526"/>
      <c r="R805" s="526"/>
      <c r="S805" s="526"/>
      <c r="T805" s="526"/>
      <c r="U805" s="526"/>
      <c r="V805" s="526"/>
      <c r="W805" s="526"/>
      <c r="X805" s="526"/>
    </row>
    <row r="806" spans="1:24">
      <c r="A806" s="526"/>
      <c r="B806" s="526"/>
      <c r="C806" s="526"/>
      <c r="D806" s="526"/>
      <c r="E806" s="526"/>
      <c r="F806" s="526"/>
      <c r="G806" s="526"/>
      <c r="H806" s="526"/>
      <c r="I806" s="526"/>
      <c r="J806" s="526"/>
      <c r="K806" s="526"/>
      <c r="L806" s="526"/>
      <c r="M806" s="526"/>
      <c r="N806" s="526"/>
      <c r="O806" s="526"/>
      <c r="P806" s="526"/>
      <c r="Q806" s="526"/>
      <c r="R806" s="526"/>
      <c r="S806" s="526"/>
      <c r="T806" s="526"/>
      <c r="U806" s="526"/>
      <c r="V806" s="526"/>
      <c r="W806" s="526"/>
      <c r="X806" s="526"/>
    </row>
    <row r="807" spans="1:24">
      <c r="A807" s="526"/>
      <c r="B807" s="526"/>
      <c r="C807" s="526"/>
      <c r="D807" s="526"/>
      <c r="E807" s="526"/>
      <c r="F807" s="526"/>
      <c r="G807" s="526"/>
      <c r="H807" s="526"/>
      <c r="I807" s="526"/>
      <c r="J807" s="526"/>
      <c r="K807" s="526"/>
      <c r="L807" s="526"/>
      <c r="M807" s="526"/>
      <c r="N807" s="526"/>
      <c r="O807" s="526"/>
      <c r="P807" s="526"/>
      <c r="Q807" s="526"/>
      <c r="R807" s="526"/>
      <c r="S807" s="526"/>
      <c r="T807" s="526"/>
      <c r="U807" s="526"/>
      <c r="V807" s="526"/>
      <c r="W807" s="526"/>
      <c r="X807" s="526"/>
    </row>
    <row r="808" spans="1:24">
      <c r="A808" s="526"/>
      <c r="B808" s="526"/>
      <c r="C808" s="526"/>
      <c r="D808" s="526"/>
      <c r="E808" s="526"/>
      <c r="F808" s="526"/>
      <c r="G808" s="526"/>
      <c r="H808" s="526"/>
      <c r="I808" s="526"/>
      <c r="J808" s="526"/>
      <c r="K808" s="526"/>
      <c r="L808" s="526"/>
      <c r="M808" s="526"/>
      <c r="N808" s="526"/>
      <c r="O808" s="526"/>
      <c r="P808" s="526"/>
      <c r="Q808" s="526"/>
      <c r="R808" s="526"/>
      <c r="S808" s="526"/>
      <c r="T808" s="526"/>
      <c r="U808" s="526"/>
      <c r="V808" s="526"/>
      <c r="W808" s="526"/>
      <c r="X808" s="526"/>
    </row>
    <row r="809" spans="1:24">
      <c r="A809" s="526"/>
      <c r="B809" s="526"/>
      <c r="C809" s="526"/>
      <c r="D809" s="526"/>
      <c r="E809" s="526"/>
      <c r="F809" s="526"/>
      <c r="G809" s="526"/>
      <c r="H809" s="526"/>
      <c r="I809" s="526"/>
      <c r="J809" s="526"/>
      <c r="K809" s="526"/>
      <c r="L809" s="526"/>
      <c r="M809" s="526"/>
      <c r="N809" s="526"/>
      <c r="O809" s="526"/>
      <c r="P809" s="526"/>
      <c r="Q809" s="526"/>
      <c r="R809" s="526"/>
      <c r="S809" s="526"/>
      <c r="T809" s="526"/>
      <c r="U809" s="526"/>
      <c r="V809" s="526"/>
      <c r="W809" s="526"/>
      <c r="X809" s="526"/>
    </row>
    <row r="810" spans="1:24">
      <c r="A810" s="526"/>
      <c r="B810" s="526"/>
      <c r="C810" s="526"/>
      <c r="D810" s="526"/>
      <c r="E810" s="526"/>
      <c r="F810" s="526"/>
      <c r="G810" s="526"/>
      <c r="H810" s="526"/>
      <c r="I810" s="526"/>
      <c r="J810" s="526"/>
      <c r="K810" s="526"/>
      <c r="L810" s="526"/>
      <c r="M810" s="526"/>
      <c r="N810" s="526"/>
      <c r="O810" s="526"/>
      <c r="P810" s="526"/>
      <c r="Q810" s="526"/>
      <c r="R810" s="526"/>
      <c r="S810" s="526"/>
      <c r="T810" s="526"/>
      <c r="U810" s="526"/>
      <c r="V810" s="526"/>
      <c r="W810" s="526"/>
      <c r="X810" s="526"/>
    </row>
    <row r="811" spans="1:24">
      <c r="A811" s="526"/>
      <c r="B811" s="526"/>
      <c r="C811" s="526"/>
      <c r="D811" s="526"/>
      <c r="E811" s="526"/>
      <c r="F811" s="526"/>
      <c r="G811" s="526"/>
      <c r="H811" s="526"/>
      <c r="I811" s="526"/>
      <c r="J811" s="526"/>
      <c r="K811" s="526"/>
      <c r="L811" s="526"/>
      <c r="M811" s="526"/>
      <c r="N811" s="526"/>
      <c r="O811" s="526"/>
      <c r="P811" s="526"/>
      <c r="Q811" s="526"/>
      <c r="R811" s="526"/>
      <c r="S811" s="526"/>
      <c r="T811" s="526"/>
      <c r="U811" s="526"/>
      <c r="V811" s="526"/>
      <c r="W811" s="526"/>
      <c r="X811" s="526"/>
    </row>
    <row r="812" spans="1:24">
      <c r="A812" s="526"/>
      <c r="B812" s="526"/>
      <c r="C812" s="526"/>
      <c r="D812" s="526"/>
      <c r="E812" s="526"/>
      <c r="F812" s="526"/>
      <c r="G812" s="526"/>
      <c r="H812" s="526"/>
      <c r="I812" s="526"/>
      <c r="J812" s="526"/>
      <c r="K812" s="526"/>
      <c r="L812" s="526"/>
      <c r="M812" s="526"/>
      <c r="N812" s="526"/>
      <c r="O812" s="526"/>
      <c r="P812" s="526"/>
      <c r="Q812" s="526"/>
      <c r="R812" s="526"/>
      <c r="S812" s="526"/>
      <c r="T812" s="526"/>
      <c r="U812" s="526"/>
      <c r="V812" s="526"/>
      <c r="W812" s="526"/>
      <c r="X812" s="526"/>
    </row>
    <row r="813" spans="1:24">
      <c r="A813" s="526"/>
      <c r="B813" s="526"/>
      <c r="C813" s="526"/>
      <c r="D813" s="526"/>
      <c r="E813" s="526"/>
      <c r="F813" s="526"/>
      <c r="G813" s="526"/>
      <c r="H813" s="526"/>
      <c r="I813" s="526"/>
      <c r="J813" s="526"/>
      <c r="K813" s="526"/>
      <c r="L813" s="526"/>
      <c r="M813" s="526"/>
      <c r="N813" s="526"/>
      <c r="O813" s="526"/>
      <c r="P813" s="526"/>
      <c r="Q813" s="526"/>
      <c r="R813" s="526"/>
      <c r="S813" s="526"/>
      <c r="T813" s="526"/>
      <c r="U813" s="526"/>
      <c r="V813" s="526"/>
      <c r="W813" s="526"/>
      <c r="X813" s="526"/>
    </row>
    <row r="814" spans="1:24">
      <c r="A814" s="526"/>
      <c r="B814" s="526"/>
      <c r="C814" s="526"/>
      <c r="D814" s="526"/>
      <c r="E814" s="526"/>
      <c r="F814" s="526"/>
      <c r="G814" s="526"/>
      <c r="H814" s="526"/>
      <c r="I814" s="526"/>
      <c r="J814" s="526"/>
      <c r="K814" s="526"/>
      <c r="L814" s="526"/>
      <c r="M814" s="526"/>
      <c r="N814" s="526"/>
      <c r="O814" s="526"/>
      <c r="P814" s="526"/>
      <c r="Q814" s="526"/>
      <c r="R814" s="526"/>
      <c r="S814" s="526"/>
      <c r="T814" s="526"/>
      <c r="U814" s="526"/>
      <c r="V814" s="526"/>
      <c r="W814" s="526"/>
      <c r="X814" s="526"/>
    </row>
    <row r="815" spans="1:24">
      <c r="A815" s="526"/>
      <c r="B815" s="526"/>
      <c r="C815" s="526"/>
      <c r="D815" s="526"/>
      <c r="E815" s="526"/>
      <c r="F815" s="526"/>
      <c r="G815" s="526"/>
      <c r="H815" s="526"/>
      <c r="I815" s="526"/>
      <c r="J815" s="526"/>
      <c r="K815" s="526"/>
      <c r="L815" s="526"/>
      <c r="M815" s="526"/>
      <c r="N815" s="526"/>
      <c r="O815" s="526"/>
      <c r="P815" s="526"/>
      <c r="Q815" s="526"/>
      <c r="R815" s="526"/>
      <c r="S815" s="526"/>
      <c r="T815" s="526"/>
      <c r="U815" s="526"/>
      <c r="V815" s="526"/>
      <c r="W815" s="526"/>
      <c r="X815" s="526"/>
    </row>
    <row r="816" spans="1:24">
      <c r="A816" s="526"/>
      <c r="B816" s="526"/>
      <c r="C816" s="526"/>
      <c r="D816" s="526"/>
      <c r="E816" s="526"/>
      <c r="F816" s="526"/>
      <c r="G816" s="526"/>
      <c r="H816" s="526"/>
      <c r="I816" s="526"/>
      <c r="J816" s="526"/>
      <c r="K816" s="526"/>
      <c r="L816" s="526"/>
      <c r="M816" s="526"/>
      <c r="N816" s="526"/>
      <c r="O816" s="526"/>
      <c r="P816" s="526"/>
      <c r="Q816" s="526"/>
      <c r="R816" s="526"/>
      <c r="S816" s="526"/>
      <c r="T816" s="526"/>
      <c r="U816" s="526"/>
      <c r="V816" s="526"/>
      <c r="W816" s="526"/>
      <c r="X816" s="526"/>
    </row>
    <row r="817" spans="1:24">
      <c r="A817" s="526"/>
      <c r="B817" s="526"/>
      <c r="C817" s="526"/>
      <c r="D817" s="526"/>
      <c r="E817" s="526"/>
      <c r="F817" s="526"/>
      <c r="G817" s="526"/>
      <c r="H817" s="526"/>
      <c r="I817" s="526"/>
      <c r="J817" s="526"/>
      <c r="K817" s="526"/>
      <c r="L817" s="526"/>
      <c r="M817" s="526"/>
      <c r="N817" s="526"/>
      <c r="O817" s="526"/>
      <c r="P817" s="526"/>
      <c r="Q817" s="526"/>
      <c r="R817" s="526"/>
      <c r="S817" s="526"/>
      <c r="T817" s="526"/>
      <c r="U817" s="526"/>
      <c r="V817" s="526"/>
      <c r="W817" s="526"/>
      <c r="X817" s="526"/>
    </row>
    <row r="818" spans="1:24">
      <c r="A818" s="526"/>
      <c r="B818" s="526"/>
      <c r="C818" s="526"/>
      <c r="D818" s="526"/>
      <c r="E818" s="526"/>
      <c r="F818" s="526"/>
      <c r="G818" s="526"/>
      <c r="H818" s="526"/>
      <c r="I818" s="526"/>
      <c r="J818" s="526"/>
      <c r="K818" s="526"/>
      <c r="L818" s="526"/>
      <c r="M818" s="526"/>
      <c r="N818" s="526"/>
      <c r="O818" s="526"/>
      <c r="P818" s="526"/>
      <c r="Q818" s="526"/>
      <c r="R818" s="526"/>
      <c r="S818" s="526"/>
      <c r="T818" s="526"/>
      <c r="U818" s="526"/>
      <c r="V818" s="526"/>
      <c r="W818" s="526"/>
      <c r="X818" s="526"/>
    </row>
    <row r="819" spans="1:24">
      <c r="A819" s="526"/>
      <c r="B819" s="526"/>
      <c r="C819" s="526"/>
      <c r="D819" s="526"/>
      <c r="E819" s="526"/>
      <c r="F819" s="526"/>
      <c r="G819" s="526"/>
      <c r="H819" s="526"/>
      <c r="I819" s="526"/>
      <c r="J819" s="526"/>
      <c r="K819" s="526"/>
      <c r="L819" s="526"/>
      <c r="M819" s="526"/>
      <c r="N819" s="526"/>
      <c r="O819" s="526"/>
      <c r="P819" s="526"/>
      <c r="Q819" s="526"/>
      <c r="R819" s="526"/>
      <c r="S819" s="526"/>
      <c r="T819" s="526"/>
      <c r="U819" s="526"/>
      <c r="V819" s="526"/>
      <c r="W819" s="526"/>
      <c r="X819" s="526"/>
    </row>
    <row r="820" spans="1:24">
      <c r="A820" s="526"/>
      <c r="B820" s="526"/>
      <c r="C820" s="526"/>
      <c r="D820" s="526"/>
      <c r="E820" s="526"/>
      <c r="F820" s="526"/>
      <c r="G820" s="526"/>
      <c r="H820" s="526"/>
      <c r="I820" s="526"/>
      <c r="J820" s="526"/>
      <c r="K820" s="526"/>
      <c r="L820" s="526"/>
      <c r="M820" s="526"/>
      <c r="N820" s="526"/>
      <c r="O820" s="526"/>
      <c r="P820" s="526"/>
      <c r="Q820" s="526"/>
      <c r="R820" s="526"/>
      <c r="S820" s="526"/>
      <c r="T820" s="526"/>
      <c r="U820" s="526"/>
      <c r="V820" s="526"/>
      <c r="W820" s="526"/>
      <c r="X820" s="526"/>
    </row>
    <row r="821" spans="1:24">
      <c r="A821" s="526"/>
      <c r="B821" s="526"/>
      <c r="C821" s="526"/>
      <c r="D821" s="526"/>
      <c r="E821" s="526"/>
      <c r="F821" s="526"/>
      <c r="G821" s="526"/>
      <c r="H821" s="526"/>
      <c r="I821" s="526"/>
      <c r="J821" s="526"/>
      <c r="K821" s="526"/>
      <c r="L821" s="526"/>
      <c r="M821" s="526"/>
      <c r="N821" s="526"/>
      <c r="O821" s="526"/>
      <c r="P821" s="526"/>
      <c r="Q821" s="526"/>
      <c r="R821" s="526"/>
      <c r="S821" s="526"/>
      <c r="T821" s="526"/>
      <c r="U821" s="526"/>
      <c r="V821" s="526"/>
      <c r="W821" s="526"/>
      <c r="X821" s="526"/>
    </row>
    <row r="822" spans="1:24">
      <c r="A822" s="526"/>
      <c r="B822" s="526"/>
      <c r="C822" s="526"/>
      <c r="D822" s="526"/>
      <c r="E822" s="526"/>
      <c r="F822" s="526"/>
      <c r="G822" s="526"/>
      <c r="H822" s="526"/>
      <c r="I822" s="526"/>
      <c r="J822" s="526"/>
      <c r="K822" s="526"/>
      <c r="L822" s="526"/>
      <c r="M822" s="526"/>
      <c r="N822" s="526"/>
      <c r="O822" s="526"/>
      <c r="P822" s="526"/>
      <c r="Q822" s="526"/>
      <c r="R822" s="526"/>
      <c r="S822" s="526"/>
      <c r="T822" s="526"/>
      <c r="U822" s="526"/>
      <c r="V822" s="526"/>
      <c r="W822" s="526"/>
      <c r="X822" s="526"/>
    </row>
    <row r="823" spans="1:24">
      <c r="A823" s="526"/>
      <c r="B823" s="526"/>
      <c r="C823" s="526"/>
      <c r="D823" s="526"/>
      <c r="E823" s="526"/>
      <c r="F823" s="526"/>
      <c r="G823" s="526"/>
      <c r="H823" s="526"/>
      <c r="I823" s="526"/>
      <c r="J823" s="526"/>
      <c r="K823" s="526"/>
      <c r="L823" s="526"/>
      <c r="M823" s="526"/>
      <c r="N823" s="526"/>
      <c r="O823" s="526"/>
      <c r="P823" s="526"/>
      <c r="Q823" s="526"/>
      <c r="R823" s="526"/>
      <c r="S823" s="526"/>
      <c r="T823" s="526"/>
      <c r="U823" s="526"/>
      <c r="V823" s="526"/>
      <c r="W823" s="526"/>
      <c r="X823" s="526"/>
    </row>
    <row r="824" spans="1:24">
      <c r="A824" s="526"/>
      <c r="B824" s="526"/>
      <c r="C824" s="526"/>
      <c r="D824" s="526"/>
      <c r="E824" s="526"/>
      <c r="F824" s="526"/>
      <c r="G824" s="526"/>
      <c r="H824" s="526"/>
      <c r="I824" s="526"/>
      <c r="J824" s="526"/>
      <c r="K824" s="526"/>
      <c r="L824" s="526"/>
      <c r="M824" s="526"/>
      <c r="N824" s="526"/>
      <c r="O824" s="526"/>
      <c r="P824" s="526"/>
      <c r="Q824" s="526"/>
      <c r="R824" s="526"/>
      <c r="S824" s="526"/>
      <c r="T824" s="526"/>
      <c r="U824" s="526"/>
      <c r="V824" s="526"/>
      <c r="W824" s="526"/>
      <c r="X824" s="526"/>
    </row>
    <row r="825" spans="1:24">
      <c r="A825" s="526"/>
      <c r="B825" s="526"/>
      <c r="C825" s="526"/>
      <c r="D825" s="526"/>
      <c r="E825" s="526"/>
      <c r="F825" s="526"/>
      <c r="G825" s="526"/>
      <c r="H825" s="526"/>
      <c r="I825" s="526"/>
      <c r="J825" s="526"/>
      <c r="K825" s="526"/>
      <c r="L825" s="526"/>
      <c r="M825" s="526"/>
      <c r="N825" s="526"/>
      <c r="O825" s="526"/>
      <c r="P825" s="526"/>
      <c r="Q825" s="526"/>
      <c r="R825" s="526"/>
      <c r="S825" s="526"/>
      <c r="T825" s="526"/>
      <c r="U825" s="526"/>
      <c r="V825" s="526"/>
      <c r="W825" s="526"/>
      <c r="X825" s="526"/>
    </row>
    <row r="826" spans="1:24">
      <c r="A826" s="526"/>
      <c r="B826" s="526"/>
      <c r="C826" s="526"/>
      <c r="D826" s="526"/>
      <c r="E826" s="526"/>
      <c r="F826" s="526"/>
      <c r="G826" s="526"/>
      <c r="H826" s="526"/>
      <c r="I826" s="526"/>
      <c r="J826" s="526"/>
      <c r="K826" s="526"/>
      <c r="L826" s="526"/>
      <c r="M826" s="526"/>
      <c r="N826" s="526"/>
      <c r="O826" s="526"/>
      <c r="P826" s="526"/>
      <c r="Q826" s="526"/>
      <c r="R826" s="526"/>
      <c r="S826" s="526"/>
      <c r="T826" s="526"/>
      <c r="U826" s="526"/>
      <c r="V826" s="526"/>
      <c r="W826" s="526"/>
      <c r="X826" s="526"/>
    </row>
    <row r="827" spans="1:24">
      <c r="A827" s="526"/>
      <c r="B827" s="526"/>
      <c r="C827" s="526"/>
      <c r="D827" s="526"/>
      <c r="E827" s="526"/>
      <c r="F827" s="526"/>
      <c r="G827" s="526"/>
      <c r="H827" s="526"/>
      <c r="I827" s="526"/>
      <c r="J827" s="526"/>
      <c r="K827" s="526"/>
      <c r="L827" s="526"/>
      <c r="M827" s="526"/>
      <c r="N827" s="526"/>
      <c r="O827" s="526"/>
      <c r="P827" s="526"/>
      <c r="Q827" s="526"/>
      <c r="R827" s="526"/>
      <c r="S827" s="526"/>
      <c r="T827" s="526"/>
      <c r="U827" s="526"/>
      <c r="V827" s="526"/>
      <c r="W827" s="526"/>
      <c r="X827" s="526"/>
    </row>
    <row r="828" spans="1:24">
      <c r="A828" s="526"/>
      <c r="B828" s="526"/>
      <c r="C828" s="526"/>
      <c r="D828" s="526"/>
      <c r="E828" s="526"/>
      <c r="F828" s="526"/>
      <c r="G828" s="526"/>
      <c r="H828" s="526"/>
      <c r="I828" s="526"/>
      <c r="J828" s="526"/>
      <c r="K828" s="526"/>
      <c r="L828" s="526"/>
      <c r="M828" s="526"/>
      <c r="N828" s="526"/>
      <c r="O828" s="526"/>
      <c r="P828" s="526"/>
      <c r="Q828" s="526"/>
      <c r="R828" s="526"/>
      <c r="S828" s="526"/>
      <c r="T828" s="526"/>
      <c r="U828" s="526"/>
      <c r="V828" s="526"/>
      <c r="W828" s="526"/>
      <c r="X828" s="526"/>
    </row>
    <row r="829" spans="1:24">
      <c r="A829" s="526"/>
      <c r="B829" s="526"/>
      <c r="C829" s="526"/>
      <c r="D829" s="526"/>
      <c r="E829" s="526"/>
      <c r="F829" s="526"/>
      <c r="G829" s="526"/>
      <c r="H829" s="526"/>
      <c r="I829" s="526"/>
      <c r="J829" s="526"/>
      <c r="K829" s="526"/>
      <c r="L829" s="526"/>
      <c r="M829" s="526"/>
      <c r="N829" s="526"/>
      <c r="O829" s="526"/>
      <c r="P829" s="526"/>
      <c r="Q829" s="526"/>
      <c r="R829" s="526"/>
      <c r="S829" s="526"/>
      <c r="T829" s="526"/>
      <c r="U829" s="526"/>
      <c r="V829" s="526"/>
      <c r="W829" s="526"/>
      <c r="X829" s="526"/>
    </row>
    <row r="830" spans="1:24">
      <c r="A830" s="526"/>
      <c r="B830" s="526"/>
      <c r="C830" s="526"/>
      <c r="D830" s="526"/>
      <c r="E830" s="526"/>
      <c r="F830" s="526"/>
      <c r="G830" s="526"/>
      <c r="H830" s="526"/>
      <c r="I830" s="526"/>
      <c r="J830" s="526"/>
      <c r="K830" s="526"/>
      <c r="L830" s="526"/>
      <c r="M830" s="526"/>
      <c r="N830" s="526"/>
      <c r="O830" s="526"/>
      <c r="P830" s="526"/>
      <c r="Q830" s="526"/>
      <c r="R830" s="526"/>
      <c r="S830" s="526"/>
      <c r="T830" s="526"/>
      <c r="U830" s="526"/>
      <c r="V830" s="526"/>
      <c r="W830" s="526"/>
      <c r="X830" s="526"/>
    </row>
    <row r="831" spans="1:24">
      <c r="A831" s="526"/>
      <c r="B831" s="526"/>
      <c r="C831" s="526"/>
      <c r="D831" s="526"/>
      <c r="E831" s="526"/>
      <c r="F831" s="526"/>
      <c r="G831" s="526"/>
      <c r="H831" s="526"/>
      <c r="I831" s="526"/>
      <c r="J831" s="526"/>
      <c r="K831" s="526"/>
      <c r="L831" s="526"/>
      <c r="M831" s="526"/>
      <c r="N831" s="526"/>
      <c r="O831" s="526"/>
      <c r="P831" s="526"/>
      <c r="Q831" s="526"/>
      <c r="R831" s="526"/>
      <c r="S831" s="526"/>
      <c r="T831" s="526"/>
      <c r="U831" s="526"/>
      <c r="V831" s="526"/>
      <c r="W831" s="526"/>
      <c r="X831" s="526"/>
    </row>
    <row r="832" spans="1:24">
      <c r="A832" s="526"/>
      <c r="B832" s="526"/>
      <c r="C832" s="526"/>
      <c r="D832" s="526"/>
      <c r="E832" s="526"/>
      <c r="F832" s="526"/>
      <c r="G832" s="526"/>
      <c r="H832" s="526"/>
      <c r="I832" s="526"/>
      <c r="J832" s="526"/>
      <c r="K832" s="526"/>
      <c r="L832" s="526"/>
      <c r="M832" s="526"/>
      <c r="N832" s="526"/>
      <c r="O832" s="526"/>
      <c r="P832" s="526"/>
      <c r="Q832" s="526"/>
      <c r="R832" s="526"/>
      <c r="S832" s="526"/>
      <c r="T832" s="526"/>
      <c r="U832" s="526"/>
      <c r="V832" s="526"/>
      <c r="W832" s="526"/>
      <c r="X832" s="526"/>
    </row>
    <row r="833" spans="1:24">
      <c r="A833" s="526"/>
      <c r="B833" s="526"/>
      <c r="C833" s="526"/>
      <c r="D833" s="526"/>
      <c r="E833" s="526"/>
      <c r="F833" s="526"/>
      <c r="G833" s="526"/>
      <c r="H833" s="526"/>
      <c r="I833" s="526"/>
      <c r="J833" s="526"/>
      <c r="K833" s="526"/>
      <c r="L833" s="526"/>
      <c r="M833" s="526"/>
      <c r="N833" s="526"/>
      <c r="O833" s="526"/>
      <c r="P833" s="526"/>
      <c r="Q833" s="526"/>
      <c r="R833" s="526"/>
      <c r="S833" s="526"/>
      <c r="T833" s="526"/>
      <c r="U833" s="526"/>
      <c r="V833" s="526"/>
      <c r="W833" s="526"/>
      <c r="X833" s="526"/>
    </row>
    <row r="834" spans="1:24">
      <c r="A834" s="526"/>
      <c r="B834" s="526"/>
      <c r="C834" s="526"/>
      <c r="D834" s="526"/>
      <c r="E834" s="526"/>
      <c r="F834" s="526"/>
      <c r="G834" s="526"/>
      <c r="H834" s="526"/>
      <c r="I834" s="526"/>
      <c r="J834" s="526"/>
      <c r="K834" s="526"/>
      <c r="L834" s="526"/>
      <c r="M834" s="526"/>
      <c r="N834" s="526"/>
      <c r="O834" s="526"/>
      <c r="P834" s="526"/>
      <c r="Q834" s="526"/>
      <c r="R834" s="526"/>
      <c r="S834" s="526"/>
      <c r="T834" s="526"/>
      <c r="U834" s="526"/>
      <c r="V834" s="526"/>
      <c r="W834" s="526"/>
      <c r="X834" s="526"/>
    </row>
    <row r="835" spans="1:24">
      <c r="A835" s="526"/>
      <c r="B835" s="526"/>
      <c r="C835" s="526"/>
      <c r="D835" s="526"/>
      <c r="E835" s="526"/>
      <c r="F835" s="526"/>
      <c r="G835" s="526"/>
      <c r="H835" s="526"/>
      <c r="I835" s="526"/>
      <c r="J835" s="526"/>
      <c r="K835" s="526"/>
      <c r="L835" s="526"/>
      <c r="M835" s="526"/>
      <c r="N835" s="526"/>
      <c r="O835" s="526"/>
      <c r="P835" s="526"/>
      <c r="Q835" s="526"/>
      <c r="R835" s="526"/>
      <c r="S835" s="526"/>
      <c r="T835" s="526"/>
      <c r="U835" s="526"/>
      <c r="V835" s="526"/>
      <c r="W835" s="526"/>
      <c r="X835" s="526"/>
    </row>
    <row r="836" spans="1:24">
      <c r="A836" s="526"/>
      <c r="B836" s="526"/>
      <c r="C836" s="526"/>
      <c r="D836" s="526"/>
      <c r="E836" s="526"/>
      <c r="F836" s="526"/>
      <c r="G836" s="526"/>
      <c r="H836" s="526"/>
      <c r="I836" s="526"/>
      <c r="J836" s="526"/>
      <c r="K836" s="526"/>
      <c r="L836" s="526"/>
      <c r="M836" s="526"/>
      <c r="N836" s="526"/>
      <c r="O836" s="526"/>
      <c r="P836" s="526"/>
      <c r="Q836" s="526"/>
      <c r="R836" s="526"/>
      <c r="S836" s="526"/>
      <c r="T836" s="526"/>
      <c r="U836" s="526"/>
      <c r="V836" s="526"/>
      <c r="W836" s="526"/>
      <c r="X836" s="526"/>
    </row>
    <row r="837" spans="1:24">
      <c r="A837" s="526"/>
      <c r="B837" s="526"/>
      <c r="C837" s="526"/>
      <c r="D837" s="526"/>
      <c r="E837" s="526"/>
      <c r="F837" s="526"/>
      <c r="G837" s="526"/>
      <c r="H837" s="526"/>
      <c r="I837" s="526"/>
      <c r="J837" s="526"/>
      <c r="K837" s="526"/>
      <c r="L837" s="526"/>
      <c r="M837" s="526"/>
      <c r="N837" s="526"/>
      <c r="O837" s="526"/>
      <c r="P837" s="526"/>
      <c r="Q837" s="526"/>
      <c r="R837" s="526"/>
      <c r="S837" s="526"/>
      <c r="T837" s="526"/>
      <c r="U837" s="526"/>
      <c r="V837" s="526"/>
      <c r="W837" s="526"/>
      <c r="X837" s="526"/>
    </row>
    <row r="838" spans="1:24">
      <c r="A838" s="526"/>
      <c r="B838" s="526"/>
      <c r="C838" s="526"/>
      <c r="D838" s="526"/>
      <c r="E838" s="526"/>
      <c r="F838" s="526"/>
      <c r="G838" s="526"/>
      <c r="H838" s="526"/>
      <c r="I838" s="526"/>
      <c r="J838" s="526"/>
      <c r="K838" s="526"/>
      <c r="L838" s="526"/>
      <c r="M838" s="526"/>
      <c r="N838" s="526"/>
      <c r="O838" s="526"/>
      <c r="P838" s="526"/>
      <c r="Q838" s="526"/>
      <c r="R838" s="526"/>
      <c r="S838" s="526"/>
      <c r="T838" s="526"/>
      <c r="U838" s="526"/>
      <c r="V838" s="526"/>
      <c r="W838" s="526"/>
      <c r="X838" s="526"/>
    </row>
    <row r="839" spans="1:24">
      <c r="A839" s="526"/>
      <c r="B839" s="526"/>
      <c r="C839" s="526"/>
      <c r="D839" s="526"/>
      <c r="E839" s="526"/>
      <c r="F839" s="526"/>
      <c r="G839" s="526"/>
      <c r="H839" s="526"/>
      <c r="I839" s="526"/>
      <c r="J839" s="526"/>
      <c r="K839" s="526"/>
      <c r="L839" s="526"/>
      <c r="M839" s="526"/>
      <c r="N839" s="526"/>
      <c r="O839" s="526"/>
      <c r="P839" s="526"/>
      <c r="Q839" s="526"/>
      <c r="R839" s="526"/>
      <c r="S839" s="526"/>
      <c r="T839" s="526"/>
      <c r="U839" s="526"/>
      <c r="V839" s="526"/>
      <c r="W839" s="526"/>
      <c r="X839" s="526"/>
    </row>
    <row r="840" spans="1:24">
      <c r="A840" s="526"/>
      <c r="B840" s="526"/>
      <c r="C840" s="526"/>
      <c r="D840" s="526"/>
      <c r="E840" s="526"/>
      <c r="F840" s="526"/>
      <c r="G840" s="526"/>
      <c r="H840" s="526"/>
      <c r="I840" s="526"/>
      <c r="J840" s="526"/>
      <c r="K840" s="526"/>
      <c r="L840" s="526"/>
      <c r="M840" s="526"/>
      <c r="N840" s="526"/>
      <c r="O840" s="526"/>
      <c r="P840" s="526"/>
      <c r="Q840" s="526"/>
      <c r="R840" s="526"/>
      <c r="S840" s="526"/>
      <c r="T840" s="526"/>
      <c r="U840" s="526"/>
      <c r="V840" s="526"/>
      <c r="W840" s="526"/>
      <c r="X840" s="526"/>
    </row>
    <row r="841" spans="1:24">
      <c r="A841" s="526"/>
      <c r="B841" s="526"/>
      <c r="C841" s="526"/>
      <c r="D841" s="526"/>
      <c r="E841" s="526"/>
      <c r="F841" s="526"/>
      <c r="G841" s="526"/>
      <c r="H841" s="526"/>
      <c r="I841" s="526"/>
      <c r="J841" s="526"/>
      <c r="K841" s="526"/>
      <c r="L841" s="526"/>
      <c r="M841" s="526"/>
      <c r="N841" s="526"/>
      <c r="O841" s="526"/>
      <c r="P841" s="526"/>
      <c r="Q841" s="526"/>
      <c r="R841" s="526"/>
      <c r="S841" s="526"/>
      <c r="T841" s="526"/>
      <c r="U841" s="526"/>
      <c r="V841" s="526"/>
      <c r="W841" s="526"/>
      <c r="X841" s="526"/>
    </row>
    <row r="842" spans="1:24">
      <c r="A842" s="526"/>
      <c r="B842" s="526"/>
      <c r="C842" s="526"/>
      <c r="D842" s="526"/>
      <c r="E842" s="526"/>
      <c r="F842" s="526"/>
      <c r="G842" s="526"/>
      <c r="H842" s="526"/>
      <c r="I842" s="526"/>
      <c r="J842" s="526"/>
      <c r="K842" s="526"/>
      <c r="L842" s="526"/>
      <c r="M842" s="526"/>
      <c r="N842" s="526"/>
      <c r="O842" s="526"/>
      <c r="P842" s="526"/>
      <c r="Q842" s="526"/>
      <c r="R842" s="526"/>
      <c r="S842" s="526"/>
      <c r="T842" s="526"/>
      <c r="U842" s="526"/>
      <c r="V842" s="526"/>
      <c r="W842" s="526"/>
      <c r="X842" s="526"/>
    </row>
    <row r="843" spans="1:24">
      <c r="A843" s="526"/>
      <c r="B843" s="526"/>
      <c r="C843" s="526"/>
      <c r="D843" s="526"/>
      <c r="E843" s="526"/>
      <c r="F843" s="526"/>
      <c r="G843" s="526"/>
      <c r="H843" s="526"/>
      <c r="I843" s="526"/>
      <c r="J843" s="526"/>
      <c r="K843" s="526"/>
      <c r="L843" s="526"/>
      <c r="M843" s="526"/>
      <c r="N843" s="526"/>
      <c r="O843" s="526"/>
      <c r="P843" s="526"/>
      <c r="Q843" s="526"/>
      <c r="R843" s="526"/>
      <c r="S843" s="526"/>
      <c r="T843" s="526"/>
      <c r="U843" s="526"/>
      <c r="V843" s="526"/>
      <c r="W843" s="526"/>
      <c r="X843" s="526"/>
    </row>
    <row r="844" spans="1:24">
      <c r="A844" s="526"/>
      <c r="B844" s="526"/>
      <c r="C844" s="526"/>
      <c r="D844" s="526"/>
      <c r="E844" s="526"/>
      <c r="F844" s="526"/>
      <c r="G844" s="526"/>
      <c r="H844" s="526"/>
      <c r="I844" s="526"/>
      <c r="J844" s="526"/>
      <c r="K844" s="526"/>
      <c r="L844" s="526"/>
      <c r="M844" s="526"/>
      <c r="N844" s="526"/>
      <c r="O844" s="526"/>
      <c r="P844" s="526"/>
      <c r="Q844" s="526"/>
      <c r="R844" s="526"/>
      <c r="S844" s="526"/>
      <c r="T844" s="526"/>
      <c r="U844" s="526"/>
      <c r="V844" s="526"/>
      <c r="W844" s="526"/>
      <c r="X844" s="526"/>
    </row>
    <row r="845" spans="1:24">
      <c r="A845" s="526"/>
      <c r="B845" s="526"/>
      <c r="C845" s="526"/>
      <c r="D845" s="526"/>
      <c r="E845" s="526"/>
      <c r="F845" s="526"/>
      <c r="G845" s="526"/>
      <c r="H845" s="526"/>
      <c r="I845" s="526"/>
      <c r="J845" s="526"/>
      <c r="K845" s="526"/>
      <c r="L845" s="526"/>
      <c r="M845" s="526"/>
      <c r="N845" s="526"/>
      <c r="O845" s="526"/>
      <c r="P845" s="526"/>
      <c r="Q845" s="526"/>
      <c r="R845" s="526"/>
      <c r="S845" s="526"/>
      <c r="T845" s="526"/>
      <c r="U845" s="526"/>
      <c r="V845" s="526"/>
      <c r="W845" s="526"/>
      <c r="X845" s="526"/>
    </row>
    <row r="846" spans="1:24">
      <c r="A846" s="526"/>
      <c r="B846" s="526"/>
      <c r="C846" s="526"/>
      <c r="D846" s="526"/>
      <c r="E846" s="526"/>
      <c r="F846" s="526"/>
      <c r="G846" s="526"/>
      <c r="H846" s="526"/>
      <c r="I846" s="526"/>
      <c r="J846" s="526"/>
      <c r="K846" s="526"/>
      <c r="L846" s="526"/>
      <c r="M846" s="526"/>
      <c r="N846" s="526"/>
      <c r="O846" s="526"/>
      <c r="P846" s="526"/>
      <c r="Q846" s="526"/>
      <c r="R846" s="526"/>
      <c r="S846" s="526"/>
      <c r="T846" s="526"/>
      <c r="U846" s="526"/>
      <c r="V846" s="526"/>
      <c r="W846" s="526"/>
      <c r="X846" s="526"/>
    </row>
    <row r="847" spans="1:24">
      <c r="A847" s="526"/>
      <c r="B847" s="526"/>
      <c r="C847" s="526"/>
      <c r="D847" s="526"/>
      <c r="E847" s="526"/>
      <c r="F847" s="526"/>
      <c r="G847" s="526"/>
      <c r="H847" s="526"/>
      <c r="I847" s="526"/>
      <c r="J847" s="526"/>
      <c r="K847" s="526"/>
      <c r="L847" s="526"/>
      <c r="M847" s="526"/>
      <c r="N847" s="526"/>
      <c r="O847" s="526"/>
      <c r="P847" s="526"/>
      <c r="Q847" s="526"/>
      <c r="R847" s="526"/>
      <c r="S847" s="526"/>
      <c r="T847" s="526"/>
      <c r="U847" s="526"/>
      <c r="V847" s="526"/>
      <c r="W847" s="526"/>
      <c r="X847" s="526"/>
    </row>
    <row r="848" spans="1:24">
      <c r="A848" s="526"/>
      <c r="B848" s="526"/>
      <c r="C848" s="526"/>
      <c r="D848" s="526"/>
      <c r="E848" s="526"/>
      <c r="F848" s="526"/>
      <c r="G848" s="526"/>
      <c r="H848" s="526"/>
      <c r="I848" s="526"/>
      <c r="J848" s="526"/>
      <c r="K848" s="526"/>
      <c r="L848" s="526"/>
      <c r="M848" s="526"/>
      <c r="N848" s="526"/>
      <c r="O848" s="526"/>
      <c r="P848" s="526"/>
      <c r="Q848" s="526"/>
      <c r="R848" s="526"/>
      <c r="S848" s="526"/>
      <c r="T848" s="526"/>
      <c r="U848" s="526"/>
      <c r="V848" s="526"/>
      <c r="W848" s="526"/>
      <c r="X848" s="526"/>
    </row>
    <row r="849" spans="1:24">
      <c r="A849" s="526"/>
      <c r="B849" s="526"/>
      <c r="C849" s="526"/>
      <c r="D849" s="526"/>
      <c r="E849" s="526"/>
      <c r="F849" s="526"/>
      <c r="G849" s="526"/>
      <c r="H849" s="526"/>
      <c r="I849" s="526"/>
      <c r="J849" s="526"/>
      <c r="K849" s="526"/>
      <c r="L849" s="526"/>
      <c r="M849" s="526"/>
      <c r="N849" s="526"/>
      <c r="O849" s="526"/>
      <c r="P849" s="526"/>
      <c r="Q849" s="526"/>
      <c r="R849" s="526"/>
      <c r="S849" s="526"/>
      <c r="T849" s="526"/>
      <c r="U849" s="526"/>
      <c r="V849" s="526"/>
      <c r="W849" s="526"/>
      <c r="X849" s="526"/>
    </row>
    <row r="850" spans="1:24">
      <c r="A850" s="526"/>
      <c r="B850" s="526"/>
      <c r="C850" s="526"/>
      <c r="D850" s="526"/>
      <c r="E850" s="526"/>
      <c r="F850" s="526"/>
      <c r="G850" s="526"/>
      <c r="H850" s="526"/>
      <c r="I850" s="526"/>
      <c r="J850" s="526"/>
      <c r="K850" s="526"/>
      <c r="L850" s="526"/>
      <c r="M850" s="526"/>
      <c r="N850" s="526"/>
      <c r="O850" s="526"/>
      <c r="P850" s="526"/>
      <c r="Q850" s="526"/>
      <c r="R850" s="526"/>
      <c r="S850" s="526"/>
      <c r="T850" s="526"/>
      <c r="U850" s="526"/>
      <c r="V850" s="526"/>
      <c r="W850" s="526"/>
      <c r="X850" s="526"/>
    </row>
    <row r="851" spans="1:24">
      <c r="A851" s="526"/>
      <c r="B851" s="526"/>
      <c r="C851" s="526"/>
      <c r="D851" s="526"/>
      <c r="E851" s="526"/>
      <c r="F851" s="526"/>
      <c r="G851" s="526"/>
      <c r="H851" s="526"/>
      <c r="I851" s="526"/>
      <c r="J851" s="526"/>
      <c r="K851" s="526"/>
      <c r="L851" s="526"/>
      <c r="M851" s="526"/>
      <c r="N851" s="526"/>
      <c r="O851" s="526"/>
      <c r="P851" s="526"/>
      <c r="Q851" s="526"/>
      <c r="R851" s="526"/>
      <c r="S851" s="526"/>
      <c r="T851" s="526"/>
      <c r="U851" s="526"/>
      <c r="V851" s="526"/>
      <c r="W851" s="526"/>
      <c r="X851" s="526"/>
    </row>
    <row r="852" spans="1:24">
      <c r="A852" s="526"/>
      <c r="B852" s="526"/>
      <c r="C852" s="526"/>
      <c r="D852" s="526"/>
      <c r="E852" s="526"/>
      <c r="F852" s="526"/>
      <c r="G852" s="526"/>
      <c r="H852" s="526"/>
      <c r="I852" s="526"/>
      <c r="J852" s="526"/>
      <c r="K852" s="526"/>
      <c r="L852" s="526"/>
      <c r="M852" s="526"/>
      <c r="N852" s="526"/>
      <c r="O852" s="526"/>
      <c r="P852" s="526"/>
      <c r="Q852" s="526"/>
      <c r="R852" s="526"/>
      <c r="S852" s="526"/>
      <c r="T852" s="526"/>
      <c r="U852" s="526"/>
      <c r="V852" s="526"/>
      <c r="W852" s="526"/>
      <c r="X852" s="526"/>
    </row>
    <row r="853" spans="1:24">
      <c r="A853" s="526"/>
      <c r="B853" s="526"/>
      <c r="C853" s="526"/>
      <c r="D853" s="526"/>
      <c r="E853" s="526"/>
      <c r="F853" s="526"/>
      <c r="G853" s="526"/>
      <c r="H853" s="526"/>
      <c r="I853" s="526"/>
      <c r="J853" s="526"/>
      <c r="K853" s="526"/>
      <c r="L853" s="526"/>
      <c r="M853" s="526"/>
      <c r="N853" s="526"/>
      <c r="O853" s="526"/>
      <c r="P853" s="526"/>
      <c r="Q853" s="526"/>
      <c r="R853" s="526"/>
      <c r="S853" s="526"/>
      <c r="T853" s="526"/>
      <c r="U853" s="526"/>
      <c r="V853" s="526"/>
      <c r="W853" s="526"/>
      <c r="X853" s="526"/>
    </row>
    <row r="854" spans="1:24">
      <c r="A854" s="526"/>
      <c r="B854" s="526"/>
      <c r="C854" s="526"/>
      <c r="D854" s="526"/>
      <c r="E854" s="526"/>
      <c r="F854" s="526"/>
      <c r="G854" s="526"/>
      <c r="H854" s="526"/>
      <c r="I854" s="526"/>
      <c r="J854" s="526"/>
      <c r="K854" s="526"/>
      <c r="L854" s="526"/>
      <c r="M854" s="526"/>
      <c r="N854" s="526"/>
      <c r="O854" s="526"/>
      <c r="P854" s="526"/>
      <c r="Q854" s="526"/>
      <c r="R854" s="526"/>
      <c r="S854" s="526"/>
      <c r="T854" s="526"/>
      <c r="U854" s="526"/>
      <c r="V854" s="526"/>
      <c r="W854" s="526"/>
      <c r="X854" s="526"/>
    </row>
    <row r="855" spans="1:24">
      <c r="A855" s="526"/>
      <c r="B855" s="526"/>
      <c r="C855" s="526"/>
      <c r="D855" s="526"/>
      <c r="E855" s="526"/>
      <c r="F855" s="526"/>
      <c r="G855" s="526"/>
      <c r="H855" s="526"/>
      <c r="I855" s="526"/>
      <c r="J855" s="526"/>
      <c r="K855" s="526"/>
      <c r="L855" s="526"/>
      <c r="M855" s="526"/>
      <c r="N855" s="526"/>
      <c r="O855" s="526"/>
      <c r="P855" s="526"/>
      <c r="Q855" s="526"/>
      <c r="R855" s="526"/>
      <c r="S855" s="526"/>
      <c r="T855" s="526"/>
      <c r="U855" s="526"/>
      <c r="V855" s="526"/>
      <c r="W855" s="526"/>
      <c r="X855" s="526"/>
    </row>
    <row r="856" spans="1:24">
      <c r="A856" s="526"/>
      <c r="B856" s="526"/>
      <c r="C856" s="526"/>
      <c r="D856" s="526"/>
      <c r="E856" s="526"/>
      <c r="F856" s="526"/>
      <c r="G856" s="526"/>
      <c r="H856" s="526"/>
      <c r="I856" s="526"/>
      <c r="J856" s="526"/>
      <c r="K856" s="526"/>
      <c r="L856" s="526"/>
      <c r="M856" s="526"/>
      <c r="N856" s="526"/>
      <c r="O856" s="526"/>
      <c r="P856" s="526"/>
      <c r="Q856" s="526"/>
      <c r="R856" s="526"/>
      <c r="S856" s="526"/>
      <c r="T856" s="526"/>
      <c r="U856" s="526"/>
      <c r="V856" s="526"/>
      <c r="W856" s="526"/>
      <c r="X856" s="526"/>
    </row>
    <row r="857" spans="1:24">
      <c r="A857" s="526"/>
      <c r="B857" s="526"/>
      <c r="C857" s="526"/>
      <c r="D857" s="526"/>
      <c r="E857" s="526"/>
      <c r="F857" s="526"/>
      <c r="G857" s="526"/>
      <c r="H857" s="526"/>
      <c r="I857" s="526"/>
      <c r="J857" s="526"/>
      <c r="K857" s="526"/>
      <c r="L857" s="526"/>
      <c r="M857" s="526"/>
      <c r="N857" s="526"/>
      <c r="O857" s="526"/>
      <c r="P857" s="526"/>
      <c r="Q857" s="526"/>
      <c r="R857" s="526"/>
      <c r="S857" s="526"/>
      <c r="T857" s="526"/>
      <c r="U857" s="526"/>
      <c r="V857" s="526"/>
      <c r="W857" s="526"/>
      <c r="X857" s="526"/>
    </row>
    <row r="858" spans="1:24">
      <c r="A858" s="526"/>
      <c r="B858" s="526"/>
      <c r="C858" s="526"/>
      <c r="D858" s="526"/>
      <c r="E858" s="526"/>
      <c r="F858" s="526"/>
      <c r="G858" s="526"/>
      <c r="H858" s="526"/>
      <c r="I858" s="526"/>
      <c r="J858" s="526"/>
      <c r="K858" s="526"/>
      <c r="L858" s="526"/>
      <c r="M858" s="526"/>
      <c r="N858" s="526"/>
      <c r="O858" s="526"/>
      <c r="P858" s="526"/>
      <c r="Q858" s="526"/>
      <c r="R858" s="526"/>
      <c r="S858" s="526"/>
      <c r="T858" s="526"/>
      <c r="U858" s="526"/>
      <c r="V858" s="526"/>
      <c r="W858" s="526"/>
      <c r="X858" s="526"/>
    </row>
    <row r="859" spans="1:24">
      <c r="A859" s="526"/>
      <c r="B859" s="526"/>
      <c r="C859" s="526"/>
      <c r="D859" s="526"/>
      <c r="E859" s="526"/>
      <c r="F859" s="526"/>
      <c r="G859" s="526"/>
      <c r="H859" s="526"/>
      <c r="I859" s="526"/>
      <c r="J859" s="526"/>
      <c r="K859" s="526"/>
      <c r="L859" s="526"/>
      <c r="M859" s="526"/>
      <c r="N859" s="526"/>
      <c r="O859" s="526"/>
      <c r="P859" s="526"/>
      <c r="Q859" s="526"/>
      <c r="R859" s="526"/>
      <c r="S859" s="526"/>
      <c r="T859" s="526"/>
      <c r="U859" s="526"/>
      <c r="V859" s="526"/>
      <c r="W859" s="526"/>
      <c r="X859" s="526"/>
    </row>
    <row r="860" spans="1:24">
      <c r="A860" s="526"/>
      <c r="B860" s="526"/>
      <c r="C860" s="526"/>
      <c r="D860" s="526"/>
      <c r="E860" s="526"/>
      <c r="F860" s="526"/>
      <c r="G860" s="526"/>
      <c r="H860" s="526"/>
      <c r="I860" s="526"/>
      <c r="J860" s="526"/>
      <c r="K860" s="526"/>
      <c r="L860" s="526"/>
      <c r="M860" s="526"/>
      <c r="N860" s="526"/>
      <c r="O860" s="526"/>
      <c r="P860" s="526"/>
      <c r="Q860" s="526"/>
      <c r="R860" s="526"/>
      <c r="S860" s="526"/>
      <c r="T860" s="526"/>
      <c r="U860" s="526"/>
      <c r="V860" s="526"/>
      <c r="W860" s="526"/>
      <c r="X860" s="526"/>
    </row>
    <row r="861" spans="1:24">
      <c r="A861" s="526"/>
      <c r="B861" s="526"/>
      <c r="C861" s="526"/>
      <c r="D861" s="526"/>
      <c r="E861" s="526"/>
      <c r="F861" s="526"/>
      <c r="G861" s="526"/>
      <c r="H861" s="526"/>
      <c r="I861" s="526"/>
      <c r="J861" s="526"/>
      <c r="K861" s="526"/>
      <c r="L861" s="526"/>
      <c r="M861" s="526"/>
      <c r="N861" s="526"/>
      <c r="O861" s="526"/>
      <c r="P861" s="526"/>
      <c r="Q861" s="526"/>
      <c r="R861" s="526"/>
      <c r="S861" s="526"/>
      <c r="T861" s="526"/>
      <c r="U861" s="526"/>
      <c r="V861" s="526"/>
      <c r="W861" s="526"/>
      <c r="X861" s="526"/>
    </row>
    <row r="862" spans="1:24">
      <c r="A862" s="526"/>
      <c r="B862" s="526"/>
      <c r="C862" s="526"/>
      <c r="D862" s="526"/>
      <c r="E862" s="526"/>
      <c r="F862" s="526"/>
      <c r="G862" s="526"/>
      <c r="H862" s="526"/>
      <c r="I862" s="526"/>
      <c r="J862" s="526"/>
      <c r="K862" s="526"/>
      <c r="L862" s="526"/>
      <c r="M862" s="526"/>
      <c r="N862" s="526"/>
      <c r="O862" s="526"/>
      <c r="P862" s="526"/>
      <c r="Q862" s="526"/>
      <c r="R862" s="526"/>
      <c r="S862" s="526"/>
      <c r="T862" s="526"/>
      <c r="U862" s="526"/>
      <c r="V862" s="526"/>
      <c r="W862" s="526"/>
      <c r="X862" s="526"/>
    </row>
    <row r="863" spans="1:24">
      <c r="A863" s="526"/>
      <c r="B863" s="526"/>
      <c r="C863" s="526"/>
      <c r="D863" s="526"/>
      <c r="E863" s="526"/>
      <c r="F863" s="526"/>
      <c r="G863" s="526"/>
      <c r="H863" s="526"/>
      <c r="I863" s="526"/>
      <c r="J863" s="526"/>
      <c r="K863" s="526"/>
      <c r="L863" s="526"/>
      <c r="M863" s="526"/>
      <c r="N863" s="526"/>
      <c r="O863" s="526"/>
      <c r="P863" s="526"/>
      <c r="Q863" s="526"/>
      <c r="R863" s="526"/>
      <c r="S863" s="526"/>
      <c r="T863" s="526"/>
      <c r="U863" s="526"/>
      <c r="V863" s="526"/>
      <c r="W863" s="526"/>
      <c r="X863" s="526"/>
    </row>
    <row r="864" spans="1:24">
      <c r="A864" s="526"/>
      <c r="B864" s="526"/>
      <c r="C864" s="526"/>
      <c r="D864" s="526"/>
      <c r="E864" s="526"/>
      <c r="F864" s="526"/>
      <c r="G864" s="526"/>
      <c r="H864" s="526"/>
      <c r="I864" s="526"/>
      <c r="J864" s="526"/>
      <c r="K864" s="526"/>
      <c r="L864" s="526"/>
      <c r="M864" s="526"/>
      <c r="N864" s="526"/>
      <c r="O864" s="526"/>
      <c r="P864" s="526"/>
      <c r="Q864" s="526"/>
      <c r="R864" s="526"/>
      <c r="S864" s="526"/>
      <c r="T864" s="526"/>
      <c r="U864" s="526"/>
      <c r="V864" s="526"/>
      <c r="W864" s="526"/>
      <c r="X864" s="526"/>
    </row>
    <row r="865" spans="1:24">
      <c r="A865" s="526"/>
      <c r="B865" s="526"/>
      <c r="C865" s="526"/>
      <c r="D865" s="526"/>
      <c r="E865" s="526"/>
      <c r="F865" s="526"/>
      <c r="G865" s="526"/>
      <c r="H865" s="526"/>
      <c r="I865" s="526"/>
      <c r="J865" s="526"/>
      <c r="K865" s="526"/>
      <c r="L865" s="526"/>
      <c r="M865" s="526"/>
      <c r="N865" s="526"/>
      <c r="O865" s="526"/>
      <c r="P865" s="526"/>
      <c r="Q865" s="526"/>
      <c r="R865" s="526"/>
      <c r="S865" s="526"/>
      <c r="T865" s="526"/>
      <c r="U865" s="526"/>
      <c r="V865" s="526"/>
      <c r="W865" s="526"/>
      <c r="X865" s="526"/>
    </row>
    <row r="866" spans="1:24">
      <c r="A866" s="526"/>
      <c r="B866" s="526"/>
      <c r="C866" s="526"/>
      <c r="D866" s="526"/>
      <c r="E866" s="526"/>
      <c r="F866" s="526"/>
      <c r="G866" s="526"/>
      <c r="H866" s="526"/>
      <c r="I866" s="526"/>
      <c r="J866" s="526"/>
      <c r="K866" s="526"/>
      <c r="L866" s="526"/>
      <c r="M866" s="526"/>
      <c r="N866" s="526"/>
      <c r="O866" s="526"/>
      <c r="P866" s="526"/>
      <c r="Q866" s="526"/>
      <c r="R866" s="526"/>
      <c r="S866" s="526"/>
      <c r="T866" s="526"/>
      <c r="U866" s="526"/>
      <c r="V866" s="526"/>
      <c r="W866" s="526"/>
      <c r="X866" s="526"/>
    </row>
    <row r="867" spans="1:24">
      <c r="A867" s="526"/>
      <c r="B867" s="526"/>
      <c r="C867" s="526"/>
      <c r="D867" s="526"/>
      <c r="E867" s="526"/>
      <c r="F867" s="526"/>
      <c r="G867" s="526"/>
      <c r="H867" s="526"/>
      <c r="I867" s="526"/>
      <c r="J867" s="526"/>
      <c r="K867" s="526"/>
      <c r="L867" s="526"/>
      <c r="M867" s="526"/>
      <c r="N867" s="526"/>
      <c r="O867" s="526"/>
      <c r="P867" s="526"/>
      <c r="Q867" s="526"/>
      <c r="R867" s="526"/>
      <c r="S867" s="526"/>
      <c r="T867" s="526"/>
      <c r="U867" s="526"/>
      <c r="V867" s="526"/>
      <c r="W867" s="526"/>
      <c r="X867" s="526"/>
    </row>
    <row r="868" spans="1:24">
      <c r="A868" s="526"/>
      <c r="B868" s="526"/>
      <c r="C868" s="526"/>
      <c r="D868" s="526"/>
      <c r="E868" s="526"/>
      <c r="F868" s="526"/>
      <c r="G868" s="526"/>
      <c r="H868" s="526"/>
      <c r="I868" s="526"/>
      <c r="J868" s="526"/>
      <c r="K868" s="526"/>
      <c r="L868" s="526"/>
      <c r="M868" s="526"/>
      <c r="N868" s="526"/>
      <c r="O868" s="526"/>
      <c r="P868" s="526"/>
      <c r="Q868" s="526"/>
      <c r="R868" s="526"/>
      <c r="S868" s="526"/>
      <c r="T868" s="526"/>
      <c r="U868" s="526"/>
      <c r="V868" s="526"/>
      <c r="W868" s="526"/>
      <c r="X868" s="526"/>
    </row>
    <row r="869" spans="1:24">
      <c r="A869" s="526"/>
      <c r="B869" s="526"/>
      <c r="C869" s="526"/>
      <c r="D869" s="526"/>
      <c r="E869" s="526"/>
      <c r="F869" s="526"/>
      <c r="G869" s="526"/>
      <c r="H869" s="526"/>
      <c r="I869" s="526"/>
      <c r="J869" s="526"/>
      <c r="K869" s="526"/>
      <c r="L869" s="526"/>
      <c r="M869" s="526"/>
      <c r="N869" s="526"/>
      <c r="O869" s="526"/>
      <c r="P869" s="526"/>
      <c r="Q869" s="526"/>
      <c r="R869" s="526"/>
      <c r="S869" s="526"/>
      <c r="T869" s="526"/>
      <c r="U869" s="526"/>
      <c r="V869" s="526"/>
      <c r="W869" s="526"/>
      <c r="X869" s="526"/>
    </row>
    <row r="870" spans="1:24">
      <c r="A870" s="526"/>
      <c r="B870" s="526"/>
      <c r="C870" s="526"/>
      <c r="D870" s="526"/>
      <c r="E870" s="526"/>
      <c r="F870" s="526"/>
      <c r="G870" s="526"/>
      <c r="H870" s="526"/>
      <c r="I870" s="526"/>
      <c r="J870" s="526"/>
      <c r="K870" s="526"/>
      <c r="L870" s="526"/>
      <c r="M870" s="526"/>
      <c r="N870" s="526"/>
      <c r="O870" s="526"/>
      <c r="P870" s="526"/>
      <c r="Q870" s="526"/>
      <c r="R870" s="526"/>
      <c r="S870" s="526"/>
      <c r="T870" s="526"/>
      <c r="U870" s="526"/>
      <c r="V870" s="526"/>
      <c r="W870" s="526"/>
      <c r="X870" s="526"/>
    </row>
    <row r="871" spans="1:24">
      <c r="A871" s="526"/>
      <c r="B871" s="526"/>
      <c r="C871" s="526"/>
      <c r="D871" s="526"/>
      <c r="E871" s="526"/>
      <c r="F871" s="526"/>
      <c r="G871" s="526"/>
      <c r="H871" s="526"/>
      <c r="I871" s="526"/>
      <c r="J871" s="526"/>
      <c r="K871" s="526"/>
      <c r="L871" s="526"/>
      <c r="M871" s="526"/>
      <c r="N871" s="526"/>
      <c r="O871" s="526"/>
      <c r="P871" s="526"/>
      <c r="Q871" s="526"/>
      <c r="R871" s="526"/>
      <c r="S871" s="526"/>
      <c r="T871" s="526"/>
      <c r="U871" s="526"/>
      <c r="V871" s="526"/>
      <c r="W871" s="526"/>
      <c r="X871" s="526"/>
    </row>
    <row r="872" spans="1:24">
      <c r="A872" s="526"/>
      <c r="B872" s="526"/>
      <c r="C872" s="526"/>
      <c r="D872" s="526"/>
      <c r="E872" s="526"/>
      <c r="F872" s="526"/>
      <c r="G872" s="526"/>
      <c r="H872" s="526"/>
      <c r="I872" s="526"/>
      <c r="J872" s="526"/>
      <c r="K872" s="526"/>
      <c r="L872" s="526"/>
      <c r="M872" s="526"/>
      <c r="N872" s="526"/>
      <c r="O872" s="526"/>
      <c r="P872" s="526"/>
      <c r="Q872" s="526"/>
      <c r="R872" s="526"/>
      <c r="S872" s="526"/>
      <c r="T872" s="526"/>
      <c r="U872" s="526"/>
      <c r="V872" s="526"/>
      <c r="W872" s="526"/>
      <c r="X872" s="526"/>
    </row>
    <row r="873" spans="1:24">
      <c r="A873" s="526"/>
      <c r="B873" s="526"/>
      <c r="C873" s="526"/>
      <c r="D873" s="526"/>
      <c r="E873" s="526"/>
      <c r="F873" s="526"/>
      <c r="G873" s="526"/>
      <c r="H873" s="526"/>
      <c r="I873" s="526"/>
      <c r="J873" s="526"/>
      <c r="K873" s="526"/>
      <c r="L873" s="526"/>
      <c r="M873" s="526"/>
      <c r="N873" s="526"/>
      <c r="O873" s="526"/>
      <c r="P873" s="526"/>
      <c r="Q873" s="526"/>
      <c r="R873" s="526"/>
      <c r="S873" s="526"/>
      <c r="T873" s="526"/>
      <c r="U873" s="526"/>
      <c r="V873" s="526"/>
      <c r="W873" s="526"/>
      <c r="X873" s="526"/>
    </row>
    <row r="874" spans="1:24">
      <c r="A874" s="526"/>
      <c r="B874" s="526"/>
      <c r="C874" s="526"/>
      <c r="D874" s="526"/>
      <c r="E874" s="526"/>
      <c r="F874" s="526"/>
      <c r="G874" s="526"/>
      <c r="H874" s="526"/>
      <c r="I874" s="526"/>
      <c r="J874" s="526"/>
      <c r="K874" s="526"/>
      <c r="L874" s="526"/>
      <c r="M874" s="526"/>
      <c r="N874" s="526"/>
      <c r="O874" s="526"/>
      <c r="P874" s="526"/>
      <c r="Q874" s="526"/>
      <c r="R874" s="526"/>
      <c r="S874" s="526"/>
      <c r="T874" s="526"/>
      <c r="U874" s="526"/>
      <c r="V874" s="526"/>
      <c r="W874" s="526"/>
      <c r="X874" s="526"/>
    </row>
    <row r="875" spans="1:24">
      <c r="A875" s="526"/>
      <c r="B875" s="526"/>
      <c r="C875" s="526"/>
      <c r="D875" s="526"/>
      <c r="E875" s="526"/>
      <c r="F875" s="526"/>
      <c r="G875" s="526"/>
      <c r="H875" s="526"/>
      <c r="I875" s="526"/>
      <c r="J875" s="526"/>
      <c r="K875" s="526"/>
      <c r="L875" s="526"/>
      <c r="M875" s="526"/>
      <c r="N875" s="526"/>
      <c r="O875" s="526"/>
      <c r="P875" s="526"/>
      <c r="Q875" s="526"/>
      <c r="R875" s="526"/>
      <c r="S875" s="526"/>
      <c r="T875" s="526"/>
      <c r="U875" s="526"/>
      <c r="V875" s="526"/>
      <c r="W875" s="526"/>
      <c r="X875" s="526"/>
    </row>
    <row r="876" spans="1:24">
      <c r="A876" s="526"/>
      <c r="B876" s="526"/>
      <c r="C876" s="526"/>
      <c r="D876" s="526"/>
      <c r="E876" s="526"/>
      <c r="F876" s="526"/>
      <c r="G876" s="526"/>
      <c r="H876" s="526"/>
      <c r="I876" s="526"/>
      <c r="J876" s="526"/>
      <c r="K876" s="526"/>
      <c r="L876" s="526"/>
      <c r="M876" s="526"/>
      <c r="N876" s="526"/>
      <c r="O876" s="526"/>
      <c r="P876" s="526"/>
      <c r="Q876" s="526"/>
      <c r="R876" s="526"/>
      <c r="S876" s="526"/>
      <c r="T876" s="526"/>
      <c r="U876" s="526"/>
      <c r="V876" s="526"/>
      <c r="W876" s="526"/>
      <c r="X876" s="526"/>
    </row>
    <row r="877" spans="1:24">
      <c r="A877" s="526"/>
      <c r="B877" s="526"/>
      <c r="C877" s="526"/>
      <c r="D877" s="526"/>
      <c r="E877" s="526"/>
      <c r="F877" s="526"/>
      <c r="G877" s="526"/>
      <c r="H877" s="526"/>
      <c r="I877" s="526"/>
      <c r="J877" s="526"/>
      <c r="K877" s="526"/>
      <c r="L877" s="526"/>
      <c r="M877" s="526"/>
      <c r="N877" s="526"/>
      <c r="O877" s="526"/>
      <c r="P877" s="526"/>
      <c r="Q877" s="526"/>
      <c r="R877" s="526"/>
      <c r="S877" s="526"/>
      <c r="T877" s="526"/>
      <c r="U877" s="526"/>
      <c r="V877" s="526"/>
      <c r="W877" s="526"/>
      <c r="X877" s="526"/>
    </row>
    <row r="878" spans="1:24">
      <c r="A878" s="526"/>
      <c r="B878" s="526"/>
      <c r="C878" s="526"/>
      <c r="D878" s="526"/>
      <c r="E878" s="526"/>
      <c r="F878" s="526"/>
      <c r="G878" s="526"/>
      <c r="H878" s="526"/>
      <c r="I878" s="526"/>
      <c r="J878" s="526"/>
      <c r="K878" s="526"/>
      <c r="L878" s="526"/>
      <c r="M878" s="526"/>
      <c r="N878" s="526"/>
      <c r="O878" s="526"/>
      <c r="P878" s="526"/>
      <c r="Q878" s="526"/>
      <c r="R878" s="526"/>
      <c r="S878" s="526"/>
      <c r="T878" s="526"/>
      <c r="U878" s="526"/>
      <c r="V878" s="526"/>
      <c r="W878" s="526"/>
      <c r="X878" s="526"/>
    </row>
    <row r="879" spans="1:24">
      <c r="A879" s="526"/>
      <c r="B879" s="526"/>
      <c r="C879" s="526"/>
      <c r="D879" s="526"/>
      <c r="E879" s="526"/>
      <c r="F879" s="526"/>
      <c r="G879" s="526"/>
      <c r="H879" s="526"/>
      <c r="I879" s="526"/>
      <c r="J879" s="526"/>
      <c r="K879" s="526"/>
      <c r="L879" s="526"/>
      <c r="M879" s="526"/>
      <c r="N879" s="526"/>
      <c r="O879" s="526"/>
      <c r="P879" s="526"/>
      <c r="Q879" s="526"/>
      <c r="R879" s="526"/>
      <c r="S879" s="526"/>
      <c r="T879" s="526"/>
      <c r="U879" s="526"/>
      <c r="V879" s="526"/>
      <c r="W879" s="526"/>
      <c r="X879" s="526"/>
    </row>
    <row r="880" spans="1:24">
      <c r="A880" s="526"/>
      <c r="B880" s="526"/>
      <c r="C880" s="526"/>
      <c r="D880" s="526"/>
      <c r="E880" s="526"/>
      <c r="F880" s="526"/>
      <c r="G880" s="526"/>
      <c r="H880" s="526"/>
      <c r="I880" s="526"/>
      <c r="J880" s="526"/>
      <c r="K880" s="526"/>
      <c r="L880" s="526"/>
      <c r="M880" s="526"/>
      <c r="N880" s="526"/>
      <c r="O880" s="526"/>
      <c r="P880" s="526"/>
      <c r="Q880" s="526"/>
      <c r="R880" s="526"/>
      <c r="S880" s="526"/>
      <c r="T880" s="526"/>
      <c r="U880" s="526"/>
      <c r="V880" s="526"/>
      <c r="W880" s="526"/>
      <c r="X880" s="526"/>
    </row>
    <row r="881" spans="1:24">
      <c r="A881" s="526"/>
      <c r="B881" s="526"/>
      <c r="C881" s="526"/>
      <c r="D881" s="526"/>
      <c r="E881" s="526"/>
      <c r="F881" s="526"/>
      <c r="G881" s="526"/>
      <c r="H881" s="526"/>
      <c r="I881" s="526"/>
      <c r="J881" s="526"/>
      <c r="K881" s="526"/>
      <c r="L881" s="526"/>
      <c r="M881" s="526"/>
      <c r="N881" s="526"/>
      <c r="O881" s="526"/>
      <c r="P881" s="526"/>
      <c r="Q881" s="526"/>
      <c r="R881" s="526"/>
      <c r="S881" s="526"/>
      <c r="T881" s="526"/>
      <c r="U881" s="526"/>
      <c r="V881" s="526"/>
      <c r="W881" s="526"/>
      <c r="X881" s="526"/>
    </row>
    <row r="882" spans="1:24">
      <c r="A882" s="526"/>
      <c r="B882" s="526"/>
      <c r="C882" s="526"/>
      <c r="D882" s="526"/>
      <c r="E882" s="526"/>
      <c r="F882" s="526"/>
      <c r="G882" s="526"/>
      <c r="H882" s="526"/>
      <c r="I882" s="526"/>
      <c r="J882" s="526"/>
      <c r="K882" s="526"/>
      <c r="L882" s="526"/>
      <c r="M882" s="526"/>
      <c r="N882" s="526"/>
      <c r="O882" s="526"/>
      <c r="P882" s="526"/>
      <c r="Q882" s="526"/>
      <c r="R882" s="526"/>
      <c r="S882" s="526"/>
      <c r="T882" s="526"/>
      <c r="U882" s="526"/>
      <c r="V882" s="526"/>
      <c r="W882" s="526"/>
      <c r="X882" s="526"/>
    </row>
    <row r="883" spans="1:24">
      <c r="A883" s="526"/>
      <c r="B883" s="526"/>
      <c r="C883" s="526"/>
      <c r="D883" s="526"/>
      <c r="E883" s="526"/>
      <c r="F883" s="526"/>
      <c r="G883" s="526"/>
      <c r="H883" s="526"/>
      <c r="I883" s="526"/>
      <c r="J883" s="526"/>
      <c r="K883" s="526"/>
      <c r="L883" s="526"/>
      <c r="M883" s="526"/>
      <c r="N883" s="526"/>
      <c r="O883" s="526"/>
      <c r="P883" s="526"/>
      <c r="Q883" s="526"/>
      <c r="R883" s="526"/>
      <c r="S883" s="526"/>
      <c r="T883" s="526"/>
      <c r="U883" s="526"/>
      <c r="V883" s="526"/>
      <c r="W883" s="526"/>
      <c r="X883" s="526"/>
    </row>
    <row r="884" spans="1:24">
      <c r="A884" s="526"/>
      <c r="B884" s="526"/>
      <c r="C884" s="526"/>
      <c r="D884" s="526"/>
      <c r="E884" s="526"/>
      <c r="F884" s="526"/>
      <c r="G884" s="526"/>
      <c r="H884" s="526"/>
      <c r="I884" s="526"/>
      <c r="J884" s="526"/>
      <c r="K884" s="526"/>
      <c r="L884" s="526"/>
      <c r="M884" s="526"/>
      <c r="N884" s="526"/>
      <c r="O884" s="526"/>
      <c r="P884" s="526"/>
      <c r="Q884" s="526"/>
      <c r="R884" s="526"/>
      <c r="S884" s="526"/>
      <c r="T884" s="526"/>
      <c r="U884" s="526"/>
      <c r="V884" s="526"/>
      <c r="W884" s="526"/>
      <c r="X884" s="526"/>
    </row>
    <row r="885" spans="1:24">
      <c r="A885" s="526"/>
      <c r="B885" s="526"/>
      <c r="C885" s="526"/>
      <c r="D885" s="526"/>
      <c r="E885" s="526"/>
      <c r="F885" s="526"/>
      <c r="G885" s="526"/>
      <c r="H885" s="526"/>
      <c r="I885" s="526"/>
      <c r="J885" s="526"/>
      <c r="K885" s="526"/>
      <c r="L885" s="526"/>
      <c r="M885" s="526"/>
      <c r="N885" s="526"/>
      <c r="O885" s="526"/>
      <c r="P885" s="526"/>
      <c r="Q885" s="526"/>
      <c r="R885" s="526"/>
      <c r="S885" s="526"/>
      <c r="T885" s="526"/>
      <c r="U885" s="526"/>
      <c r="V885" s="526"/>
      <c r="W885" s="526"/>
      <c r="X885" s="526"/>
    </row>
    <row r="886" spans="1:24">
      <c r="A886" s="526"/>
      <c r="B886" s="526"/>
      <c r="C886" s="526"/>
      <c r="D886" s="526"/>
      <c r="E886" s="526"/>
      <c r="F886" s="526"/>
      <c r="G886" s="526"/>
      <c r="H886" s="526"/>
      <c r="I886" s="526"/>
      <c r="J886" s="526"/>
      <c r="K886" s="526"/>
      <c r="L886" s="526"/>
      <c r="M886" s="526"/>
      <c r="N886" s="526"/>
      <c r="O886" s="526"/>
      <c r="P886" s="526"/>
      <c r="Q886" s="526"/>
      <c r="R886" s="526"/>
      <c r="S886" s="526"/>
      <c r="T886" s="526"/>
      <c r="U886" s="526"/>
      <c r="V886" s="526"/>
      <c r="W886" s="526"/>
      <c r="X886" s="526"/>
    </row>
    <row r="887" spans="1:24">
      <c r="A887" s="526"/>
      <c r="B887" s="526"/>
      <c r="C887" s="526"/>
      <c r="D887" s="526"/>
      <c r="E887" s="526"/>
      <c r="F887" s="526"/>
      <c r="G887" s="526"/>
      <c r="H887" s="526"/>
      <c r="I887" s="526"/>
      <c r="J887" s="526"/>
      <c r="K887" s="526"/>
      <c r="L887" s="526"/>
      <c r="M887" s="526"/>
      <c r="N887" s="526"/>
      <c r="O887" s="526"/>
      <c r="P887" s="526"/>
      <c r="Q887" s="526"/>
      <c r="R887" s="526"/>
      <c r="S887" s="526"/>
      <c r="T887" s="526"/>
      <c r="U887" s="526"/>
      <c r="V887" s="526"/>
      <c r="W887" s="526"/>
      <c r="X887" s="526"/>
    </row>
    <row r="888" spans="1:24">
      <c r="A888" s="526"/>
      <c r="B888" s="526"/>
      <c r="C888" s="526"/>
      <c r="D888" s="526"/>
      <c r="E888" s="526"/>
      <c r="F888" s="526"/>
      <c r="G888" s="526"/>
      <c r="H888" s="526"/>
      <c r="I888" s="526"/>
      <c r="J888" s="526"/>
      <c r="K888" s="526"/>
      <c r="L888" s="526"/>
      <c r="M888" s="526"/>
      <c r="N888" s="526"/>
      <c r="O888" s="526"/>
      <c r="P888" s="526"/>
      <c r="Q888" s="526"/>
      <c r="R888" s="526"/>
      <c r="S888" s="526"/>
      <c r="T888" s="526"/>
      <c r="U888" s="526"/>
      <c r="V888" s="526"/>
      <c r="W888" s="526"/>
      <c r="X888" s="526"/>
    </row>
    <row r="889" spans="1:24">
      <c r="A889" s="526"/>
      <c r="B889" s="526"/>
      <c r="C889" s="526"/>
      <c r="D889" s="526"/>
      <c r="E889" s="526"/>
      <c r="F889" s="526"/>
      <c r="G889" s="526"/>
      <c r="H889" s="526"/>
      <c r="I889" s="526"/>
      <c r="J889" s="526"/>
      <c r="K889" s="526"/>
      <c r="L889" s="526"/>
      <c r="M889" s="526"/>
      <c r="N889" s="526"/>
      <c r="O889" s="526"/>
      <c r="P889" s="526"/>
      <c r="Q889" s="526"/>
      <c r="R889" s="526"/>
      <c r="S889" s="526"/>
      <c r="T889" s="526"/>
      <c r="U889" s="526"/>
      <c r="V889" s="526"/>
      <c r="W889" s="526"/>
      <c r="X889" s="526"/>
    </row>
    <row r="890" spans="1:24">
      <c r="A890" s="526"/>
      <c r="B890" s="526"/>
      <c r="C890" s="526"/>
      <c r="D890" s="526"/>
      <c r="E890" s="526"/>
      <c r="F890" s="526"/>
      <c r="G890" s="526"/>
      <c r="H890" s="526"/>
      <c r="I890" s="526"/>
      <c r="J890" s="526"/>
      <c r="K890" s="526"/>
      <c r="L890" s="526"/>
      <c r="M890" s="526"/>
      <c r="N890" s="526"/>
      <c r="O890" s="526"/>
      <c r="P890" s="526"/>
      <c r="Q890" s="526"/>
      <c r="R890" s="526"/>
      <c r="S890" s="526"/>
      <c r="T890" s="526"/>
      <c r="U890" s="526"/>
      <c r="V890" s="526"/>
      <c r="W890" s="526"/>
      <c r="X890" s="526"/>
    </row>
    <row r="891" spans="1:24">
      <c r="A891" s="526"/>
      <c r="B891" s="526"/>
      <c r="C891" s="526"/>
      <c r="D891" s="526"/>
      <c r="E891" s="526"/>
      <c r="F891" s="526"/>
      <c r="G891" s="526"/>
      <c r="H891" s="526"/>
      <c r="I891" s="526"/>
      <c r="J891" s="526"/>
      <c r="K891" s="526"/>
      <c r="L891" s="526"/>
      <c r="M891" s="526"/>
      <c r="N891" s="526"/>
      <c r="O891" s="526"/>
      <c r="P891" s="526"/>
      <c r="Q891" s="526"/>
      <c r="R891" s="526"/>
      <c r="S891" s="526"/>
      <c r="T891" s="526"/>
      <c r="U891" s="526"/>
      <c r="V891" s="526"/>
      <c r="W891" s="526"/>
      <c r="X891" s="526"/>
    </row>
    <row r="892" spans="1:24">
      <c r="A892" s="526"/>
      <c r="B892" s="526"/>
      <c r="C892" s="526"/>
      <c r="D892" s="526"/>
      <c r="E892" s="526"/>
      <c r="F892" s="526"/>
      <c r="G892" s="526"/>
      <c r="H892" s="526"/>
      <c r="I892" s="526"/>
      <c r="J892" s="526"/>
      <c r="K892" s="526"/>
      <c r="L892" s="526"/>
      <c r="M892" s="526"/>
      <c r="N892" s="526"/>
      <c r="O892" s="526"/>
      <c r="P892" s="526"/>
      <c r="Q892" s="526"/>
      <c r="R892" s="526"/>
      <c r="S892" s="526"/>
      <c r="T892" s="526"/>
      <c r="U892" s="526"/>
      <c r="V892" s="526"/>
      <c r="W892" s="526"/>
      <c r="X892" s="526"/>
    </row>
    <row r="893" spans="1:24">
      <c r="A893" s="526"/>
      <c r="B893" s="526"/>
      <c r="C893" s="526"/>
      <c r="D893" s="526"/>
      <c r="E893" s="526"/>
      <c r="F893" s="526"/>
      <c r="G893" s="526"/>
      <c r="H893" s="526"/>
      <c r="I893" s="526"/>
      <c r="J893" s="526"/>
      <c r="K893" s="526"/>
      <c r="L893" s="526"/>
      <c r="M893" s="526"/>
      <c r="N893" s="526"/>
      <c r="O893" s="526"/>
      <c r="P893" s="526"/>
      <c r="Q893" s="526"/>
      <c r="R893" s="526"/>
      <c r="S893" s="526"/>
      <c r="T893" s="526"/>
      <c r="U893" s="526"/>
      <c r="V893" s="526"/>
      <c r="W893" s="526"/>
      <c r="X893" s="526"/>
    </row>
    <row r="894" spans="1:24">
      <c r="A894" s="526"/>
      <c r="B894" s="526"/>
      <c r="C894" s="526"/>
      <c r="D894" s="526"/>
      <c r="E894" s="526"/>
      <c r="F894" s="526"/>
      <c r="G894" s="526"/>
      <c r="H894" s="526"/>
      <c r="I894" s="526"/>
      <c r="J894" s="526"/>
      <c r="K894" s="526"/>
      <c r="L894" s="526"/>
      <c r="M894" s="526"/>
      <c r="N894" s="526"/>
      <c r="O894" s="526"/>
      <c r="P894" s="526"/>
      <c r="Q894" s="526"/>
      <c r="R894" s="526"/>
      <c r="S894" s="526"/>
      <c r="T894" s="526"/>
      <c r="U894" s="526"/>
      <c r="V894" s="526"/>
      <c r="W894" s="526"/>
      <c r="X894" s="526"/>
    </row>
    <row r="895" spans="1:24">
      <c r="A895" s="526"/>
      <c r="B895" s="526"/>
      <c r="C895" s="526"/>
      <c r="D895" s="526"/>
      <c r="E895" s="526"/>
      <c r="F895" s="526"/>
      <c r="G895" s="526"/>
      <c r="H895" s="526"/>
      <c r="I895" s="526"/>
      <c r="J895" s="526"/>
      <c r="K895" s="526"/>
      <c r="L895" s="526"/>
      <c r="M895" s="526"/>
      <c r="N895" s="526"/>
      <c r="O895" s="526"/>
      <c r="P895" s="526"/>
      <c r="Q895" s="526"/>
      <c r="R895" s="526"/>
      <c r="S895" s="526"/>
      <c r="T895" s="526"/>
      <c r="U895" s="526"/>
      <c r="V895" s="526"/>
      <c r="W895" s="526"/>
      <c r="X895" s="526"/>
    </row>
    <row r="896" spans="1:24">
      <c r="A896" s="526"/>
      <c r="B896" s="526"/>
      <c r="C896" s="526"/>
      <c r="D896" s="526"/>
      <c r="E896" s="526"/>
      <c r="F896" s="526"/>
      <c r="G896" s="526"/>
      <c r="H896" s="526"/>
      <c r="I896" s="526"/>
      <c r="J896" s="526"/>
      <c r="K896" s="526"/>
      <c r="L896" s="526"/>
      <c r="M896" s="526"/>
      <c r="N896" s="526"/>
      <c r="O896" s="526"/>
      <c r="P896" s="526"/>
      <c r="Q896" s="526"/>
      <c r="R896" s="526"/>
      <c r="S896" s="526"/>
      <c r="T896" s="526"/>
      <c r="U896" s="526"/>
      <c r="V896" s="526"/>
      <c r="W896" s="526"/>
      <c r="X896" s="526"/>
    </row>
    <row r="897" spans="1:24">
      <c r="A897" s="526"/>
      <c r="B897" s="526"/>
      <c r="C897" s="526"/>
      <c r="D897" s="526"/>
      <c r="E897" s="526"/>
      <c r="F897" s="526"/>
      <c r="G897" s="526"/>
      <c r="H897" s="526"/>
      <c r="I897" s="526"/>
      <c r="J897" s="526"/>
      <c r="K897" s="526"/>
      <c r="L897" s="526"/>
      <c r="M897" s="526"/>
      <c r="N897" s="526"/>
      <c r="O897" s="526"/>
      <c r="P897" s="526"/>
      <c r="Q897" s="526"/>
      <c r="R897" s="526"/>
      <c r="S897" s="526"/>
      <c r="T897" s="526"/>
      <c r="U897" s="526"/>
      <c r="V897" s="526"/>
      <c r="W897" s="526"/>
      <c r="X897" s="526"/>
    </row>
    <row r="898" spans="1:24">
      <c r="A898" s="526"/>
      <c r="B898" s="526"/>
      <c r="C898" s="526"/>
      <c r="D898" s="526"/>
      <c r="E898" s="526"/>
      <c r="F898" s="526"/>
      <c r="G898" s="526"/>
      <c r="H898" s="526"/>
      <c r="I898" s="526"/>
      <c r="J898" s="526"/>
      <c r="K898" s="526"/>
      <c r="L898" s="526"/>
      <c r="M898" s="526"/>
      <c r="N898" s="526"/>
      <c r="O898" s="526"/>
      <c r="P898" s="526"/>
      <c r="Q898" s="526"/>
      <c r="R898" s="526"/>
      <c r="S898" s="526"/>
      <c r="T898" s="526"/>
      <c r="U898" s="526"/>
      <c r="V898" s="526"/>
      <c r="W898" s="526"/>
      <c r="X898" s="526"/>
    </row>
    <row r="899" spans="1:24">
      <c r="A899" s="526"/>
      <c r="B899" s="526"/>
      <c r="C899" s="526"/>
      <c r="D899" s="526"/>
      <c r="E899" s="526"/>
      <c r="F899" s="526"/>
      <c r="G899" s="526"/>
      <c r="H899" s="526"/>
      <c r="I899" s="526"/>
      <c r="J899" s="526"/>
      <c r="K899" s="526"/>
      <c r="L899" s="526"/>
      <c r="M899" s="526"/>
      <c r="N899" s="526"/>
      <c r="O899" s="526"/>
      <c r="P899" s="526"/>
      <c r="Q899" s="526"/>
      <c r="R899" s="526"/>
      <c r="S899" s="526"/>
      <c r="T899" s="526"/>
      <c r="U899" s="526"/>
      <c r="V899" s="526"/>
      <c r="W899" s="526"/>
      <c r="X899" s="526"/>
    </row>
    <row r="900" spans="1:24">
      <c r="A900" s="526"/>
      <c r="B900" s="526"/>
      <c r="C900" s="526"/>
      <c r="D900" s="526"/>
      <c r="E900" s="526"/>
      <c r="F900" s="526"/>
      <c r="G900" s="526"/>
      <c r="H900" s="526"/>
      <c r="I900" s="526"/>
      <c r="J900" s="526"/>
      <c r="K900" s="526"/>
      <c r="L900" s="526"/>
      <c r="M900" s="526"/>
      <c r="N900" s="526"/>
      <c r="O900" s="526"/>
      <c r="P900" s="526"/>
      <c r="Q900" s="526"/>
      <c r="R900" s="526"/>
      <c r="S900" s="526"/>
      <c r="T900" s="526"/>
      <c r="U900" s="526"/>
      <c r="V900" s="526"/>
      <c r="W900" s="526"/>
      <c r="X900" s="526"/>
    </row>
    <row r="901" spans="1:24">
      <c r="A901" s="526"/>
      <c r="B901" s="526"/>
      <c r="C901" s="526"/>
      <c r="D901" s="526"/>
      <c r="E901" s="526"/>
      <c r="F901" s="526"/>
      <c r="G901" s="526"/>
      <c r="H901" s="526"/>
      <c r="I901" s="526"/>
      <c r="J901" s="526"/>
      <c r="K901" s="526"/>
      <c r="L901" s="526"/>
      <c r="M901" s="526"/>
      <c r="N901" s="526"/>
      <c r="O901" s="526"/>
      <c r="P901" s="526"/>
      <c r="Q901" s="526"/>
      <c r="R901" s="526"/>
      <c r="S901" s="526"/>
      <c r="T901" s="526"/>
      <c r="U901" s="526"/>
      <c r="V901" s="526"/>
      <c r="W901" s="526"/>
      <c r="X901" s="526"/>
    </row>
    <row r="902" spans="1:24">
      <c r="A902" s="526"/>
      <c r="B902" s="526"/>
      <c r="C902" s="526"/>
      <c r="D902" s="526"/>
      <c r="E902" s="526"/>
      <c r="F902" s="526"/>
      <c r="G902" s="526"/>
      <c r="H902" s="526"/>
      <c r="I902" s="526"/>
      <c r="J902" s="526"/>
      <c r="K902" s="526"/>
      <c r="L902" s="526"/>
      <c r="M902" s="526"/>
      <c r="N902" s="526"/>
      <c r="O902" s="526"/>
      <c r="P902" s="526"/>
      <c r="Q902" s="526"/>
      <c r="R902" s="526"/>
      <c r="S902" s="526"/>
      <c r="T902" s="526"/>
      <c r="U902" s="526"/>
      <c r="V902" s="526"/>
      <c r="W902" s="526"/>
      <c r="X902" s="526"/>
    </row>
    <row r="903" spans="1:24">
      <c r="A903" s="526"/>
      <c r="B903" s="526"/>
      <c r="C903" s="526"/>
      <c r="D903" s="526"/>
      <c r="E903" s="526"/>
      <c r="F903" s="526"/>
      <c r="G903" s="526"/>
      <c r="H903" s="526"/>
      <c r="I903" s="526"/>
      <c r="J903" s="526"/>
      <c r="K903" s="526"/>
      <c r="L903" s="526"/>
      <c r="M903" s="526"/>
      <c r="N903" s="526"/>
      <c r="O903" s="526"/>
      <c r="P903" s="526"/>
      <c r="Q903" s="526"/>
      <c r="R903" s="526"/>
      <c r="S903" s="526"/>
      <c r="T903" s="526"/>
      <c r="U903" s="526"/>
      <c r="V903" s="526"/>
      <c r="W903" s="526"/>
      <c r="X903" s="526"/>
    </row>
    <row r="904" spans="1:24">
      <c r="A904" s="526"/>
      <c r="B904" s="526"/>
      <c r="C904" s="526"/>
      <c r="D904" s="526"/>
      <c r="E904" s="526"/>
      <c r="F904" s="526"/>
      <c r="G904" s="526"/>
      <c r="H904" s="526"/>
      <c r="I904" s="526"/>
      <c r="J904" s="526"/>
      <c r="K904" s="526"/>
      <c r="L904" s="526"/>
      <c r="M904" s="526"/>
      <c r="N904" s="526"/>
      <c r="O904" s="526"/>
      <c r="P904" s="526"/>
      <c r="Q904" s="526"/>
      <c r="R904" s="526"/>
      <c r="S904" s="526"/>
      <c r="T904" s="526"/>
      <c r="U904" s="526"/>
      <c r="V904" s="526"/>
      <c r="W904" s="526"/>
      <c r="X904" s="526"/>
    </row>
    <row r="905" spans="1:24">
      <c r="A905" s="526"/>
      <c r="B905" s="526"/>
      <c r="C905" s="526"/>
      <c r="D905" s="526"/>
      <c r="E905" s="526"/>
      <c r="F905" s="526"/>
      <c r="G905" s="526"/>
      <c r="H905" s="526"/>
      <c r="I905" s="526"/>
      <c r="J905" s="526"/>
      <c r="K905" s="526"/>
      <c r="L905" s="526"/>
      <c r="M905" s="526"/>
      <c r="N905" s="526"/>
      <c r="O905" s="526"/>
      <c r="P905" s="526"/>
      <c r="Q905" s="526"/>
      <c r="R905" s="526"/>
      <c r="S905" s="526"/>
      <c r="T905" s="526"/>
      <c r="U905" s="526"/>
      <c r="V905" s="526"/>
      <c r="W905" s="526"/>
      <c r="X905" s="526"/>
    </row>
    <row r="906" spans="1:24">
      <c r="A906" s="526"/>
      <c r="B906" s="526"/>
      <c r="C906" s="526"/>
      <c r="D906" s="526"/>
      <c r="E906" s="526"/>
      <c r="F906" s="526"/>
      <c r="G906" s="526"/>
      <c r="H906" s="526"/>
      <c r="I906" s="526"/>
      <c r="J906" s="526"/>
      <c r="K906" s="526"/>
      <c r="L906" s="526"/>
      <c r="M906" s="526"/>
      <c r="N906" s="526"/>
      <c r="O906" s="526"/>
      <c r="P906" s="526"/>
      <c r="Q906" s="526"/>
      <c r="R906" s="526"/>
      <c r="S906" s="526"/>
      <c r="T906" s="526"/>
      <c r="U906" s="526"/>
      <c r="V906" s="526"/>
      <c r="W906" s="526"/>
      <c r="X906" s="526"/>
    </row>
    <row r="907" spans="1:24">
      <c r="A907" s="526"/>
      <c r="B907" s="526"/>
      <c r="C907" s="526"/>
      <c r="D907" s="526"/>
      <c r="E907" s="526"/>
      <c r="F907" s="526"/>
      <c r="G907" s="526"/>
      <c r="H907" s="526"/>
      <c r="I907" s="526"/>
      <c r="J907" s="526"/>
      <c r="K907" s="526"/>
      <c r="L907" s="526"/>
      <c r="M907" s="526"/>
      <c r="N907" s="526"/>
      <c r="O907" s="526"/>
      <c r="P907" s="526"/>
      <c r="Q907" s="526"/>
      <c r="R907" s="526"/>
      <c r="S907" s="526"/>
      <c r="T907" s="526"/>
      <c r="U907" s="526"/>
      <c r="V907" s="526"/>
      <c r="W907" s="526"/>
      <c r="X907" s="526"/>
    </row>
    <row r="908" spans="1:24">
      <c r="A908" s="526"/>
      <c r="B908" s="526"/>
      <c r="C908" s="526"/>
      <c r="D908" s="526"/>
      <c r="E908" s="526"/>
      <c r="F908" s="526"/>
      <c r="G908" s="526"/>
      <c r="H908" s="526"/>
      <c r="I908" s="526"/>
      <c r="J908" s="526"/>
      <c r="K908" s="526"/>
      <c r="L908" s="526"/>
      <c r="M908" s="526"/>
      <c r="N908" s="526"/>
      <c r="O908" s="526"/>
      <c r="P908" s="526"/>
      <c r="Q908" s="526"/>
      <c r="R908" s="526"/>
      <c r="S908" s="526"/>
      <c r="T908" s="526"/>
      <c r="U908" s="526"/>
      <c r="V908" s="526"/>
      <c r="W908" s="526"/>
      <c r="X908" s="526"/>
    </row>
    <row r="909" spans="1:24">
      <c r="A909" s="526"/>
      <c r="B909" s="526"/>
      <c r="C909" s="526"/>
      <c r="D909" s="526"/>
      <c r="E909" s="526"/>
      <c r="F909" s="526"/>
      <c r="G909" s="526"/>
      <c r="H909" s="526"/>
      <c r="I909" s="526"/>
      <c r="J909" s="526"/>
      <c r="K909" s="526"/>
      <c r="L909" s="526"/>
      <c r="M909" s="526"/>
      <c r="N909" s="526"/>
      <c r="O909" s="526"/>
      <c r="P909" s="526"/>
      <c r="Q909" s="526"/>
      <c r="R909" s="526"/>
      <c r="S909" s="526"/>
      <c r="T909" s="526"/>
      <c r="U909" s="526"/>
      <c r="V909" s="526"/>
      <c r="W909" s="526"/>
      <c r="X909" s="526"/>
    </row>
    <row r="910" spans="1:24">
      <c r="A910" s="526"/>
      <c r="B910" s="526"/>
      <c r="C910" s="526"/>
      <c r="D910" s="526"/>
      <c r="E910" s="526"/>
      <c r="F910" s="526"/>
      <c r="G910" s="526"/>
      <c r="H910" s="526"/>
      <c r="I910" s="526"/>
      <c r="J910" s="526"/>
      <c r="K910" s="526"/>
      <c r="L910" s="526"/>
      <c r="M910" s="526"/>
      <c r="N910" s="526"/>
      <c r="O910" s="526"/>
      <c r="P910" s="526"/>
      <c r="Q910" s="526"/>
      <c r="R910" s="526"/>
      <c r="S910" s="526"/>
      <c r="T910" s="526"/>
      <c r="U910" s="526"/>
      <c r="V910" s="526"/>
      <c r="W910" s="526"/>
      <c r="X910" s="526"/>
    </row>
    <row r="911" spans="1:24">
      <c r="A911" s="526"/>
      <c r="B911" s="526"/>
      <c r="C911" s="526"/>
      <c r="D911" s="526"/>
      <c r="E911" s="526"/>
      <c r="F911" s="526"/>
      <c r="G911" s="526"/>
      <c r="H911" s="526"/>
      <c r="I911" s="526"/>
      <c r="J911" s="526"/>
      <c r="K911" s="526"/>
      <c r="L911" s="526"/>
      <c r="M911" s="526"/>
      <c r="N911" s="526"/>
      <c r="O911" s="526"/>
      <c r="P911" s="526"/>
      <c r="Q911" s="526"/>
      <c r="R911" s="526"/>
      <c r="S911" s="526"/>
      <c r="T911" s="526"/>
      <c r="U911" s="526"/>
      <c r="V911" s="526"/>
      <c r="W911" s="526"/>
      <c r="X911" s="526"/>
    </row>
    <row r="912" spans="1:24">
      <c r="A912" s="526"/>
      <c r="B912" s="526"/>
      <c r="C912" s="526"/>
      <c r="D912" s="526"/>
      <c r="E912" s="526"/>
      <c r="F912" s="526"/>
      <c r="G912" s="526"/>
      <c r="H912" s="526"/>
      <c r="I912" s="526"/>
      <c r="J912" s="526"/>
      <c r="K912" s="526"/>
      <c r="L912" s="526"/>
      <c r="M912" s="526"/>
      <c r="N912" s="526"/>
      <c r="O912" s="526"/>
      <c r="P912" s="526"/>
      <c r="Q912" s="526"/>
      <c r="R912" s="526"/>
      <c r="S912" s="526"/>
      <c r="T912" s="526"/>
      <c r="U912" s="526"/>
      <c r="V912" s="526"/>
      <c r="W912" s="526"/>
      <c r="X912" s="526"/>
    </row>
    <row r="913" spans="1:24">
      <c r="A913" s="526"/>
      <c r="B913" s="526"/>
      <c r="C913" s="526"/>
      <c r="D913" s="526"/>
      <c r="E913" s="526"/>
      <c r="F913" s="526"/>
      <c r="G913" s="526"/>
      <c r="H913" s="526"/>
      <c r="I913" s="526"/>
      <c r="J913" s="526"/>
      <c r="K913" s="526"/>
      <c r="L913" s="526"/>
      <c r="M913" s="526"/>
      <c r="N913" s="526"/>
      <c r="O913" s="526"/>
      <c r="P913" s="526"/>
      <c r="Q913" s="526"/>
      <c r="R913" s="526"/>
      <c r="S913" s="526"/>
      <c r="T913" s="526"/>
      <c r="U913" s="526"/>
      <c r="V913" s="526"/>
      <c r="W913" s="526"/>
      <c r="X913" s="526"/>
    </row>
    <row r="914" spans="1:24">
      <c r="A914" s="526"/>
      <c r="B914" s="526"/>
      <c r="C914" s="526"/>
      <c r="D914" s="526"/>
      <c r="E914" s="526"/>
      <c r="F914" s="526"/>
      <c r="G914" s="526"/>
      <c r="H914" s="526"/>
      <c r="I914" s="526"/>
      <c r="J914" s="526"/>
      <c r="K914" s="526"/>
      <c r="L914" s="526"/>
      <c r="M914" s="526"/>
      <c r="N914" s="526"/>
      <c r="O914" s="526"/>
      <c r="P914" s="526"/>
      <c r="Q914" s="526"/>
      <c r="R914" s="526"/>
      <c r="S914" s="526"/>
      <c r="T914" s="526"/>
      <c r="U914" s="526"/>
      <c r="V914" s="526"/>
      <c r="W914" s="526"/>
      <c r="X914" s="526"/>
    </row>
    <row r="915" spans="1:24">
      <c r="A915" s="526"/>
      <c r="B915" s="526"/>
      <c r="C915" s="526"/>
      <c r="D915" s="526"/>
      <c r="E915" s="526"/>
      <c r="F915" s="526"/>
      <c r="G915" s="526"/>
      <c r="H915" s="526"/>
      <c r="I915" s="526"/>
      <c r="J915" s="526"/>
      <c r="K915" s="526"/>
      <c r="L915" s="526"/>
      <c r="M915" s="526"/>
      <c r="N915" s="526"/>
      <c r="O915" s="526"/>
      <c r="P915" s="526"/>
      <c r="Q915" s="526"/>
      <c r="R915" s="526"/>
      <c r="S915" s="526"/>
      <c r="T915" s="526"/>
      <c r="U915" s="526"/>
      <c r="V915" s="526"/>
      <c r="W915" s="526"/>
      <c r="X915" s="526"/>
    </row>
    <row r="916" spans="1:24">
      <c r="A916" s="526"/>
      <c r="B916" s="526"/>
      <c r="C916" s="526"/>
      <c r="D916" s="526"/>
      <c r="E916" s="526"/>
      <c r="F916" s="526"/>
      <c r="G916" s="526"/>
      <c r="H916" s="526"/>
      <c r="I916" s="526"/>
      <c r="J916" s="526"/>
      <c r="K916" s="526"/>
      <c r="L916" s="526"/>
      <c r="M916" s="526"/>
      <c r="N916" s="526"/>
      <c r="O916" s="526"/>
      <c r="P916" s="526"/>
      <c r="Q916" s="526"/>
      <c r="R916" s="526"/>
      <c r="S916" s="526"/>
      <c r="T916" s="526"/>
      <c r="U916" s="526"/>
      <c r="V916" s="526"/>
      <c r="W916" s="526"/>
      <c r="X916" s="526"/>
    </row>
    <row r="917" spans="1:24">
      <c r="A917" s="526"/>
      <c r="B917" s="526"/>
      <c r="C917" s="526"/>
      <c r="D917" s="526"/>
      <c r="E917" s="526"/>
      <c r="F917" s="526"/>
      <c r="G917" s="526"/>
      <c r="H917" s="526"/>
      <c r="I917" s="526"/>
      <c r="J917" s="526"/>
      <c r="K917" s="526"/>
      <c r="L917" s="526"/>
      <c r="M917" s="526"/>
      <c r="N917" s="526"/>
      <c r="O917" s="526"/>
      <c r="P917" s="526"/>
      <c r="Q917" s="526"/>
      <c r="R917" s="526"/>
      <c r="S917" s="526"/>
      <c r="T917" s="526"/>
      <c r="U917" s="526"/>
      <c r="V917" s="526"/>
      <c r="W917" s="526"/>
      <c r="X917" s="526"/>
    </row>
    <row r="918" spans="1:24">
      <c r="A918" s="526"/>
      <c r="B918" s="526"/>
      <c r="C918" s="526"/>
      <c r="D918" s="526"/>
      <c r="E918" s="526"/>
      <c r="F918" s="526"/>
      <c r="G918" s="526"/>
      <c r="H918" s="526"/>
      <c r="I918" s="526"/>
      <c r="J918" s="526"/>
      <c r="K918" s="526"/>
      <c r="L918" s="526"/>
      <c r="M918" s="526"/>
      <c r="N918" s="526"/>
      <c r="O918" s="526"/>
      <c r="P918" s="526"/>
      <c r="Q918" s="526"/>
      <c r="R918" s="526"/>
      <c r="S918" s="526"/>
      <c r="T918" s="526"/>
      <c r="U918" s="526"/>
      <c r="V918" s="526"/>
      <c r="W918" s="526"/>
      <c r="X918" s="526"/>
    </row>
    <row r="919" spans="1:24">
      <c r="A919" s="526"/>
      <c r="B919" s="526"/>
      <c r="C919" s="526"/>
      <c r="D919" s="526"/>
      <c r="E919" s="526"/>
      <c r="F919" s="526"/>
      <c r="G919" s="526"/>
      <c r="H919" s="526"/>
      <c r="I919" s="526"/>
      <c r="J919" s="526"/>
      <c r="K919" s="526"/>
      <c r="L919" s="526"/>
      <c r="M919" s="526"/>
      <c r="N919" s="526"/>
      <c r="O919" s="526"/>
      <c r="P919" s="526"/>
      <c r="Q919" s="526"/>
      <c r="R919" s="526"/>
      <c r="S919" s="526"/>
      <c r="T919" s="526"/>
      <c r="U919" s="526"/>
      <c r="V919" s="526"/>
      <c r="W919" s="526"/>
      <c r="X919" s="526"/>
    </row>
    <row r="920" spans="1:24">
      <c r="A920" s="526"/>
      <c r="B920" s="526"/>
      <c r="C920" s="526"/>
      <c r="D920" s="526"/>
      <c r="E920" s="526"/>
      <c r="F920" s="526"/>
      <c r="G920" s="526"/>
      <c r="H920" s="526"/>
      <c r="I920" s="526"/>
      <c r="J920" s="526"/>
      <c r="K920" s="526"/>
      <c r="L920" s="526"/>
      <c r="M920" s="526"/>
      <c r="N920" s="526"/>
      <c r="O920" s="526"/>
      <c r="P920" s="526"/>
      <c r="Q920" s="526"/>
      <c r="R920" s="526"/>
      <c r="S920" s="526"/>
      <c r="T920" s="526"/>
      <c r="U920" s="526"/>
      <c r="V920" s="526"/>
      <c r="W920" s="526"/>
      <c r="X920" s="526"/>
    </row>
    <row r="921" spans="1:24">
      <c r="A921" s="526"/>
      <c r="B921" s="526"/>
      <c r="C921" s="526"/>
      <c r="D921" s="526"/>
      <c r="E921" s="526"/>
      <c r="F921" s="526"/>
      <c r="G921" s="526"/>
      <c r="H921" s="526"/>
      <c r="I921" s="526"/>
      <c r="J921" s="526"/>
      <c r="K921" s="526"/>
      <c r="L921" s="526"/>
      <c r="M921" s="526"/>
      <c r="N921" s="526"/>
      <c r="O921" s="526"/>
      <c r="P921" s="526"/>
      <c r="Q921" s="526"/>
      <c r="R921" s="526"/>
      <c r="S921" s="526"/>
      <c r="T921" s="526"/>
      <c r="U921" s="526"/>
      <c r="V921" s="526"/>
      <c r="W921" s="526"/>
      <c r="X921" s="526"/>
    </row>
    <row r="922" spans="1:24">
      <c r="A922" s="526"/>
      <c r="B922" s="526"/>
      <c r="C922" s="526"/>
      <c r="D922" s="526"/>
      <c r="E922" s="526"/>
      <c r="F922" s="526"/>
      <c r="G922" s="526"/>
      <c r="H922" s="526"/>
      <c r="I922" s="526"/>
      <c r="J922" s="526"/>
      <c r="K922" s="526"/>
      <c r="L922" s="526"/>
      <c r="M922" s="526"/>
      <c r="N922" s="526"/>
      <c r="O922" s="526"/>
      <c r="P922" s="526"/>
      <c r="Q922" s="526"/>
      <c r="R922" s="526"/>
      <c r="S922" s="526"/>
      <c r="T922" s="526"/>
      <c r="U922" s="526"/>
      <c r="V922" s="526"/>
      <c r="W922" s="526"/>
      <c r="X922" s="526"/>
    </row>
    <row r="923" spans="1:24">
      <c r="A923" s="526"/>
      <c r="B923" s="526"/>
      <c r="C923" s="526"/>
      <c r="D923" s="526"/>
      <c r="E923" s="526"/>
      <c r="F923" s="526"/>
      <c r="G923" s="526"/>
      <c r="H923" s="526"/>
      <c r="I923" s="526"/>
      <c r="J923" s="526"/>
      <c r="K923" s="526"/>
      <c r="L923" s="526"/>
      <c r="M923" s="526"/>
      <c r="N923" s="526"/>
      <c r="O923" s="526"/>
      <c r="P923" s="526"/>
      <c r="Q923" s="526"/>
      <c r="R923" s="526"/>
      <c r="S923" s="526"/>
      <c r="T923" s="526"/>
      <c r="U923" s="526"/>
      <c r="V923" s="526"/>
      <c r="W923" s="526"/>
      <c r="X923" s="526"/>
    </row>
    <row r="924" spans="1:24">
      <c r="A924" s="526"/>
      <c r="B924" s="526"/>
      <c r="C924" s="526"/>
      <c r="D924" s="526"/>
      <c r="E924" s="526"/>
      <c r="F924" s="526"/>
      <c r="G924" s="526"/>
      <c r="H924" s="526"/>
      <c r="I924" s="526"/>
      <c r="J924" s="526"/>
      <c r="K924" s="526"/>
      <c r="L924" s="526"/>
      <c r="M924" s="526"/>
      <c r="N924" s="526"/>
      <c r="O924" s="526"/>
      <c r="P924" s="526"/>
      <c r="Q924" s="526"/>
      <c r="R924" s="526"/>
      <c r="S924" s="526"/>
      <c r="T924" s="526"/>
      <c r="U924" s="526"/>
      <c r="V924" s="526"/>
      <c r="W924" s="526"/>
      <c r="X924" s="526"/>
    </row>
    <row r="925" spans="1:24">
      <c r="A925" s="526"/>
      <c r="B925" s="526"/>
      <c r="C925" s="526"/>
      <c r="D925" s="526"/>
      <c r="E925" s="526"/>
      <c r="F925" s="526"/>
      <c r="G925" s="526"/>
      <c r="H925" s="526"/>
      <c r="I925" s="526"/>
      <c r="J925" s="526"/>
      <c r="K925" s="526"/>
      <c r="L925" s="526"/>
      <c r="M925" s="526"/>
      <c r="N925" s="526"/>
      <c r="O925" s="526"/>
      <c r="P925" s="526"/>
      <c r="Q925" s="526"/>
      <c r="R925" s="526"/>
      <c r="S925" s="526"/>
      <c r="T925" s="526"/>
      <c r="U925" s="526"/>
      <c r="V925" s="526"/>
      <c r="W925" s="526"/>
      <c r="X925" s="526"/>
    </row>
    <row r="926" spans="1:24">
      <c r="A926" s="526"/>
      <c r="B926" s="526"/>
      <c r="C926" s="526"/>
      <c r="D926" s="526"/>
      <c r="E926" s="526"/>
      <c r="F926" s="526"/>
      <c r="G926" s="526"/>
      <c r="H926" s="526"/>
      <c r="I926" s="526"/>
      <c r="J926" s="526"/>
      <c r="K926" s="526"/>
      <c r="L926" s="526"/>
      <c r="M926" s="526"/>
      <c r="N926" s="526"/>
      <c r="O926" s="526"/>
      <c r="P926" s="526"/>
      <c r="Q926" s="526"/>
      <c r="R926" s="526"/>
      <c r="S926" s="526"/>
      <c r="T926" s="526"/>
      <c r="U926" s="526"/>
      <c r="V926" s="526"/>
      <c r="W926" s="526"/>
      <c r="X926" s="526"/>
    </row>
    <row r="927" spans="1:24">
      <c r="A927" s="526"/>
      <c r="B927" s="526"/>
      <c r="C927" s="526"/>
      <c r="D927" s="526"/>
      <c r="E927" s="526"/>
      <c r="F927" s="526"/>
      <c r="G927" s="526"/>
      <c r="H927" s="526"/>
      <c r="I927" s="526"/>
      <c r="J927" s="526"/>
      <c r="K927" s="526"/>
      <c r="L927" s="526"/>
      <c r="M927" s="526"/>
      <c r="N927" s="526"/>
      <c r="O927" s="526"/>
      <c r="P927" s="526"/>
      <c r="Q927" s="526"/>
      <c r="R927" s="526"/>
      <c r="S927" s="526"/>
      <c r="T927" s="526"/>
      <c r="U927" s="526"/>
      <c r="V927" s="526"/>
      <c r="W927" s="526"/>
      <c r="X927" s="526"/>
    </row>
    <row r="928" spans="1:24">
      <c r="A928" s="526"/>
      <c r="B928" s="526"/>
      <c r="C928" s="526"/>
      <c r="D928" s="526"/>
      <c r="E928" s="526"/>
      <c r="F928" s="526"/>
      <c r="G928" s="526"/>
      <c r="H928" s="526"/>
      <c r="I928" s="526"/>
      <c r="J928" s="526"/>
      <c r="K928" s="526"/>
      <c r="L928" s="526"/>
      <c r="M928" s="526"/>
      <c r="N928" s="526"/>
      <c r="O928" s="526"/>
      <c r="P928" s="526"/>
      <c r="Q928" s="526"/>
      <c r="R928" s="526"/>
      <c r="S928" s="526"/>
      <c r="T928" s="526"/>
      <c r="U928" s="526"/>
      <c r="V928" s="526"/>
      <c r="W928" s="526"/>
      <c r="X928" s="526"/>
    </row>
    <row r="929" spans="1:24">
      <c r="A929" s="526"/>
      <c r="B929" s="526"/>
      <c r="C929" s="526"/>
      <c r="D929" s="526"/>
      <c r="E929" s="526"/>
      <c r="F929" s="526"/>
      <c r="G929" s="526"/>
      <c r="H929" s="526"/>
      <c r="I929" s="526"/>
      <c r="J929" s="526"/>
      <c r="K929" s="526"/>
      <c r="L929" s="526"/>
      <c r="M929" s="526"/>
      <c r="N929" s="526"/>
      <c r="O929" s="526"/>
      <c r="P929" s="526"/>
      <c r="Q929" s="526"/>
      <c r="R929" s="526"/>
      <c r="S929" s="526"/>
      <c r="T929" s="526"/>
      <c r="U929" s="526"/>
      <c r="V929" s="526"/>
      <c r="W929" s="526"/>
      <c r="X929" s="526"/>
    </row>
    <row r="930" spans="1:24">
      <c r="A930" s="526"/>
      <c r="B930" s="526"/>
      <c r="C930" s="526"/>
      <c r="D930" s="526"/>
      <c r="E930" s="526"/>
      <c r="F930" s="526"/>
      <c r="G930" s="526"/>
      <c r="H930" s="526"/>
      <c r="I930" s="526"/>
      <c r="J930" s="526"/>
      <c r="K930" s="526"/>
      <c r="L930" s="526"/>
      <c r="M930" s="526"/>
      <c r="N930" s="526"/>
      <c r="O930" s="526"/>
      <c r="P930" s="526"/>
      <c r="Q930" s="526"/>
      <c r="R930" s="526"/>
      <c r="S930" s="526"/>
      <c r="T930" s="526"/>
      <c r="U930" s="526"/>
      <c r="V930" s="526"/>
      <c r="W930" s="526"/>
      <c r="X930" s="526"/>
    </row>
    <row r="931" spans="1:24">
      <c r="A931" s="526"/>
      <c r="B931" s="526"/>
      <c r="C931" s="526"/>
      <c r="D931" s="526"/>
      <c r="E931" s="526"/>
      <c r="F931" s="526"/>
      <c r="G931" s="526"/>
      <c r="H931" s="526"/>
      <c r="I931" s="526"/>
      <c r="J931" s="526"/>
      <c r="K931" s="526"/>
      <c r="L931" s="526"/>
      <c r="M931" s="526"/>
      <c r="N931" s="526"/>
      <c r="O931" s="526"/>
      <c r="P931" s="526"/>
      <c r="Q931" s="526"/>
      <c r="R931" s="526"/>
      <c r="S931" s="526"/>
      <c r="T931" s="526"/>
      <c r="U931" s="526"/>
      <c r="V931" s="526"/>
      <c r="W931" s="526"/>
      <c r="X931" s="526"/>
    </row>
    <row r="932" spans="1:24">
      <c r="A932" s="526"/>
      <c r="B932" s="526"/>
      <c r="C932" s="526"/>
      <c r="D932" s="526"/>
      <c r="E932" s="526"/>
      <c r="F932" s="526"/>
      <c r="G932" s="526"/>
      <c r="H932" s="526"/>
      <c r="I932" s="526"/>
      <c r="J932" s="526"/>
      <c r="K932" s="526"/>
      <c r="L932" s="526"/>
      <c r="M932" s="526"/>
      <c r="N932" s="526"/>
      <c r="O932" s="526"/>
      <c r="P932" s="526"/>
      <c r="Q932" s="526"/>
      <c r="R932" s="526"/>
      <c r="S932" s="526"/>
      <c r="T932" s="526"/>
      <c r="U932" s="526"/>
      <c r="V932" s="526"/>
      <c r="W932" s="526"/>
      <c r="X932" s="526"/>
    </row>
    <row r="933" spans="1:24">
      <c r="A933" s="526"/>
      <c r="B933" s="526"/>
      <c r="C933" s="526"/>
      <c r="D933" s="526"/>
      <c r="E933" s="526"/>
      <c r="F933" s="526"/>
      <c r="G933" s="526"/>
      <c r="H933" s="526"/>
      <c r="I933" s="526"/>
      <c r="J933" s="526"/>
      <c r="K933" s="526"/>
      <c r="L933" s="526"/>
      <c r="M933" s="526"/>
      <c r="N933" s="526"/>
      <c r="O933" s="526"/>
      <c r="P933" s="526"/>
      <c r="Q933" s="526"/>
      <c r="R933" s="526"/>
      <c r="S933" s="526"/>
      <c r="T933" s="526"/>
      <c r="U933" s="526"/>
      <c r="V933" s="526"/>
      <c r="W933" s="526"/>
      <c r="X933" s="526"/>
    </row>
    <row r="934" spans="1:24">
      <c r="A934" s="526"/>
      <c r="B934" s="526"/>
      <c r="C934" s="526"/>
      <c r="D934" s="526"/>
      <c r="E934" s="526"/>
      <c r="F934" s="526"/>
      <c r="G934" s="526"/>
      <c r="H934" s="526"/>
      <c r="I934" s="526"/>
      <c r="J934" s="526"/>
      <c r="K934" s="526"/>
      <c r="L934" s="526"/>
      <c r="M934" s="526"/>
      <c r="N934" s="526"/>
      <c r="O934" s="526"/>
      <c r="P934" s="526"/>
      <c r="Q934" s="526"/>
      <c r="R934" s="526"/>
      <c r="S934" s="526"/>
      <c r="T934" s="526"/>
      <c r="U934" s="526"/>
      <c r="V934" s="526"/>
      <c r="W934" s="526"/>
      <c r="X934" s="526"/>
    </row>
    <row r="935" spans="1:24">
      <c r="A935" s="526"/>
      <c r="B935" s="526"/>
      <c r="C935" s="526"/>
      <c r="D935" s="526"/>
      <c r="E935" s="526"/>
      <c r="F935" s="526"/>
      <c r="G935" s="526"/>
      <c r="H935" s="526"/>
      <c r="I935" s="526"/>
      <c r="J935" s="526"/>
      <c r="K935" s="526"/>
      <c r="L935" s="526"/>
      <c r="M935" s="526"/>
      <c r="N935" s="526"/>
      <c r="O935" s="526"/>
      <c r="P935" s="526"/>
      <c r="Q935" s="526"/>
      <c r="R935" s="526"/>
      <c r="S935" s="526"/>
      <c r="T935" s="526"/>
      <c r="U935" s="526"/>
      <c r="V935" s="526"/>
      <c r="W935" s="526"/>
      <c r="X935" s="526"/>
    </row>
    <row r="936" spans="1:24">
      <c r="A936" s="526"/>
      <c r="B936" s="526"/>
      <c r="C936" s="526"/>
      <c r="D936" s="526"/>
      <c r="E936" s="526"/>
      <c r="F936" s="526"/>
      <c r="G936" s="526"/>
      <c r="H936" s="526"/>
      <c r="I936" s="526"/>
      <c r="J936" s="526"/>
      <c r="K936" s="526"/>
      <c r="L936" s="526"/>
      <c r="M936" s="526"/>
      <c r="N936" s="526"/>
      <c r="O936" s="526"/>
      <c r="P936" s="526"/>
      <c r="Q936" s="526"/>
      <c r="R936" s="526"/>
      <c r="S936" s="526"/>
      <c r="T936" s="526"/>
      <c r="U936" s="526"/>
      <c r="V936" s="526"/>
      <c r="W936" s="526"/>
      <c r="X936" s="526"/>
    </row>
    <row r="937" spans="1:24">
      <c r="A937" s="526"/>
      <c r="B937" s="526"/>
      <c r="C937" s="526"/>
      <c r="D937" s="526"/>
      <c r="E937" s="526"/>
      <c r="F937" s="526"/>
      <c r="G937" s="526"/>
      <c r="H937" s="526"/>
      <c r="I937" s="526"/>
      <c r="J937" s="526"/>
      <c r="K937" s="526"/>
      <c r="L937" s="526"/>
      <c r="M937" s="526"/>
      <c r="N937" s="526"/>
      <c r="O937" s="526"/>
      <c r="P937" s="526"/>
      <c r="Q937" s="526"/>
      <c r="R937" s="526"/>
      <c r="S937" s="526"/>
      <c r="T937" s="526"/>
      <c r="U937" s="526"/>
      <c r="V937" s="526"/>
      <c r="W937" s="526"/>
      <c r="X937" s="526"/>
    </row>
    <row r="938" spans="1:24">
      <c r="A938" s="526"/>
      <c r="B938" s="526"/>
      <c r="C938" s="526"/>
      <c r="D938" s="526"/>
      <c r="E938" s="526"/>
      <c r="F938" s="526"/>
      <c r="G938" s="526"/>
      <c r="H938" s="526"/>
      <c r="I938" s="526"/>
      <c r="J938" s="526"/>
      <c r="K938" s="526"/>
      <c r="L938" s="526"/>
      <c r="M938" s="526"/>
      <c r="N938" s="526"/>
      <c r="O938" s="526"/>
      <c r="P938" s="526"/>
      <c r="Q938" s="526"/>
      <c r="R938" s="526"/>
      <c r="S938" s="526"/>
      <c r="T938" s="526"/>
      <c r="U938" s="526"/>
      <c r="V938" s="526"/>
      <c r="W938" s="526"/>
      <c r="X938" s="526"/>
    </row>
    <row r="939" spans="1:24">
      <c r="A939" s="526"/>
      <c r="B939" s="526"/>
      <c r="C939" s="526"/>
      <c r="D939" s="526"/>
      <c r="E939" s="526"/>
      <c r="F939" s="526"/>
      <c r="G939" s="526"/>
      <c r="H939" s="526"/>
      <c r="I939" s="526"/>
      <c r="J939" s="526"/>
      <c r="K939" s="526"/>
      <c r="L939" s="526"/>
      <c r="M939" s="526"/>
      <c r="N939" s="526"/>
      <c r="O939" s="526"/>
      <c r="P939" s="526"/>
      <c r="Q939" s="526"/>
      <c r="R939" s="526"/>
      <c r="S939" s="526"/>
      <c r="T939" s="526"/>
      <c r="U939" s="526"/>
      <c r="V939" s="526"/>
      <c r="W939" s="526"/>
      <c r="X939" s="526"/>
    </row>
    <row r="940" spans="1:24">
      <c r="A940" s="526"/>
      <c r="B940" s="526"/>
      <c r="C940" s="526"/>
      <c r="D940" s="526"/>
      <c r="E940" s="526"/>
      <c r="F940" s="526"/>
      <c r="G940" s="526"/>
      <c r="H940" s="526"/>
      <c r="I940" s="526"/>
      <c r="J940" s="526"/>
      <c r="K940" s="526"/>
      <c r="L940" s="526"/>
      <c r="M940" s="526"/>
      <c r="N940" s="526"/>
      <c r="O940" s="526"/>
      <c r="P940" s="526"/>
      <c r="Q940" s="526"/>
      <c r="R940" s="526"/>
      <c r="S940" s="526"/>
      <c r="T940" s="526"/>
      <c r="U940" s="526"/>
      <c r="V940" s="526"/>
      <c r="W940" s="526"/>
      <c r="X940" s="526"/>
    </row>
    <row r="941" spans="1:24">
      <c r="A941" s="526"/>
      <c r="B941" s="526"/>
      <c r="C941" s="526"/>
      <c r="D941" s="526"/>
      <c r="E941" s="526"/>
      <c r="F941" s="526"/>
      <c r="G941" s="526"/>
      <c r="H941" s="526"/>
      <c r="I941" s="526"/>
      <c r="J941" s="526"/>
      <c r="K941" s="526"/>
      <c r="L941" s="526"/>
      <c r="M941" s="526"/>
      <c r="N941" s="526"/>
      <c r="O941" s="526"/>
      <c r="P941" s="526"/>
      <c r="Q941" s="526"/>
      <c r="R941" s="526"/>
      <c r="S941" s="526"/>
      <c r="T941" s="526"/>
      <c r="U941" s="526"/>
      <c r="V941" s="526"/>
      <c r="W941" s="526"/>
      <c r="X941" s="526"/>
    </row>
    <row r="942" spans="1:24">
      <c r="A942" s="526"/>
      <c r="B942" s="526"/>
      <c r="C942" s="526"/>
      <c r="D942" s="526"/>
      <c r="E942" s="526"/>
      <c r="F942" s="526"/>
      <c r="G942" s="526"/>
      <c r="H942" s="526"/>
      <c r="I942" s="526"/>
      <c r="J942" s="526"/>
      <c r="K942" s="526"/>
      <c r="L942" s="526"/>
      <c r="M942" s="526"/>
      <c r="N942" s="526"/>
      <c r="O942" s="526"/>
      <c r="P942" s="526"/>
      <c r="Q942" s="526"/>
      <c r="R942" s="526"/>
      <c r="S942" s="526"/>
      <c r="T942" s="526"/>
      <c r="U942" s="526"/>
      <c r="V942" s="526"/>
      <c r="W942" s="526"/>
      <c r="X942" s="526"/>
    </row>
    <row r="943" spans="1:24">
      <c r="A943" s="526"/>
      <c r="B943" s="526"/>
      <c r="C943" s="526"/>
      <c r="D943" s="526"/>
      <c r="E943" s="526"/>
      <c r="F943" s="526"/>
      <c r="G943" s="526"/>
      <c r="H943" s="526"/>
      <c r="I943" s="526"/>
      <c r="J943" s="526"/>
      <c r="K943" s="526"/>
      <c r="L943" s="526"/>
      <c r="M943" s="526"/>
      <c r="N943" s="526"/>
      <c r="O943" s="526"/>
      <c r="P943" s="526"/>
      <c r="Q943" s="526"/>
      <c r="R943" s="526"/>
      <c r="S943" s="526"/>
      <c r="T943" s="526"/>
      <c r="U943" s="526"/>
      <c r="V943" s="526"/>
      <c r="W943" s="526"/>
      <c r="X943" s="526"/>
    </row>
    <row r="944" spans="1:24">
      <c r="A944" s="526"/>
      <c r="B944" s="526"/>
      <c r="C944" s="526"/>
      <c r="D944" s="526"/>
      <c r="E944" s="526"/>
      <c r="F944" s="526"/>
      <c r="G944" s="526"/>
      <c r="H944" s="526"/>
      <c r="I944" s="526"/>
      <c r="J944" s="526"/>
      <c r="K944" s="526"/>
      <c r="L944" s="526"/>
      <c r="M944" s="526"/>
      <c r="N944" s="526"/>
      <c r="O944" s="526"/>
      <c r="P944" s="526"/>
      <c r="Q944" s="526"/>
      <c r="R944" s="526"/>
      <c r="S944" s="526"/>
      <c r="T944" s="526"/>
      <c r="U944" s="526"/>
      <c r="V944" s="526"/>
      <c r="W944" s="526"/>
      <c r="X944" s="526"/>
    </row>
    <row r="945" spans="1:24">
      <c r="A945" s="526"/>
      <c r="B945" s="526"/>
      <c r="C945" s="526"/>
      <c r="D945" s="526"/>
      <c r="E945" s="526"/>
      <c r="F945" s="526"/>
      <c r="G945" s="526"/>
      <c r="H945" s="526"/>
      <c r="I945" s="526"/>
      <c r="J945" s="526"/>
      <c r="K945" s="526"/>
      <c r="L945" s="526"/>
      <c r="M945" s="526"/>
      <c r="N945" s="526"/>
      <c r="O945" s="526"/>
      <c r="P945" s="526"/>
      <c r="Q945" s="526"/>
      <c r="R945" s="526"/>
      <c r="S945" s="526"/>
      <c r="T945" s="526"/>
      <c r="U945" s="526"/>
      <c r="V945" s="526"/>
      <c r="W945" s="526"/>
      <c r="X945" s="526"/>
    </row>
    <row r="946" spans="1:24">
      <c r="A946" s="526"/>
      <c r="B946" s="526"/>
      <c r="C946" s="526"/>
      <c r="D946" s="526"/>
      <c r="E946" s="526"/>
      <c r="F946" s="526"/>
      <c r="G946" s="526"/>
      <c r="H946" s="526"/>
      <c r="I946" s="526"/>
      <c r="J946" s="526"/>
      <c r="K946" s="526"/>
      <c r="L946" s="526"/>
      <c r="M946" s="526"/>
      <c r="N946" s="526"/>
      <c r="O946" s="526"/>
      <c r="P946" s="526"/>
      <c r="Q946" s="526"/>
      <c r="R946" s="526"/>
      <c r="S946" s="526"/>
      <c r="T946" s="526"/>
      <c r="U946" s="526"/>
      <c r="V946" s="526"/>
      <c r="W946" s="526"/>
      <c r="X946" s="526"/>
    </row>
    <row r="947" spans="1:24">
      <c r="A947" s="526"/>
      <c r="B947" s="526"/>
      <c r="C947" s="526"/>
      <c r="D947" s="526"/>
      <c r="E947" s="526"/>
      <c r="F947" s="526"/>
      <c r="G947" s="526"/>
      <c r="H947" s="526"/>
      <c r="I947" s="526"/>
      <c r="J947" s="526"/>
      <c r="K947" s="526"/>
      <c r="L947" s="526"/>
      <c r="M947" s="526"/>
      <c r="N947" s="526"/>
      <c r="O947" s="526"/>
      <c r="P947" s="526"/>
      <c r="Q947" s="526"/>
      <c r="R947" s="526"/>
      <c r="S947" s="526"/>
      <c r="T947" s="526"/>
      <c r="U947" s="526"/>
      <c r="V947" s="526"/>
      <c r="W947" s="526"/>
      <c r="X947" s="526"/>
    </row>
    <row r="948" spans="1:24">
      <c r="A948" s="526"/>
      <c r="B948" s="526"/>
      <c r="C948" s="526"/>
      <c r="D948" s="526"/>
      <c r="E948" s="526"/>
      <c r="F948" s="526"/>
      <c r="G948" s="526"/>
      <c r="H948" s="526"/>
      <c r="I948" s="526"/>
      <c r="J948" s="526"/>
      <c r="K948" s="526"/>
      <c r="L948" s="526"/>
      <c r="M948" s="526"/>
      <c r="N948" s="526"/>
      <c r="O948" s="526"/>
      <c r="P948" s="526"/>
      <c r="Q948" s="526"/>
      <c r="R948" s="526"/>
      <c r="S948" s="526"/>
      <c r="T948" s="526"/>
      <c r="U948" s="526"/>
      <c r="V948" s="526"/>
      <c r="W948" s="526"/>
      <c r="X948" s="526"/>
    </row>
    <row r="949" spans="1:24">
      <c r="A949" s="526"/>
      <c r="B949" s="526"/>
      <c r="C949" s="526"/>
      <c r="D949" s="526"/>
      <c r="E949" s="526"/>
      <c r="F949" s="526"/>
      <c r="G949" s="526"/>
      <c r="H949" s="526"/>
      <c r="I949" s="526"/>
      <c r="J949" s="526"/>
      <c r="K949" s="526"/>
      <c r="L949" s="526"/>
      <c r="M949" s="526"/>
      <c r="N949" s="526"/>
      <c r="O949" s="526"/>
      <c r="P949" s="526"/>
      <c r="Q949" s="526"/>
      <c r="R949" s="526"/>
      <c r="S949" s="526"/>
      <c r="T949" s="526"/>
      <c r="U949" s="526"/>
      <c r="V949" s="526"/>
      <c r="W949" s="526"/>
      <c r="X949" s="526"/>
    </row>
    <row r="950" spans="1:24">
      <c r="A950" s="526"/>
      <c r="B950" s="526"/>
      <c r="C950" s="526"/>
      <c r="D950" s="526"/>
      <c r="E950" s="526"/>
      <c r="F950" s="526"/>
      <c r="G950" s="526"/>
      <c r="H950" s="526"/>
      <c r="I950" s="526"/>
      <c r="J950" s="526"/>
      <c r="K950" s="526"/>
      <c r="L950" s="526"/>
      <c r="M950" s="526"/>
      <c r="N950" s="526"/>
      <c r="O950" s="526"/>
      <c r="P950" s="526"/>
      <c r="Q950" s="526"/>
      <c r="R950" s="526"/>
      <c r="S950" s="526"/>
      <c r="T950" s="526"/>
      <c r="U950" s="526"/>
      <c r="V950" s="526"/>
      <c r="W950" s="526"/>
      <c r="X950" s="526"/>
    </row>
    <row r="951" spans="1:24">
      <c r="A951" s="526"/>
      <c r="B951" s="526"/>
      <c r="C951" s="526"/>
      <c r="D951" s="526"/>
      <c r="E951" s="526"/>
      <c r="F951" s="526"/>
      <c r="G951" s="526"/>
      <c r="H951" s="526"/>
      <c r="I951" s="526"/>
      <c r="J951" s="526"/>
      <c r="K951" s="526"/>
      <c r="L951" s="526"/>
      <c r="M951" s="526"/>
      <c r="N951" s="526"/>
      <c r="O951" s="526"/>
      <c r="P951" s="526"/>
      <c r="Q951" s="526"/>
      <c r="R951" s="526"/>
      <c r="S951" s="526"/>
      <c r="T951" s="526"/>
      <c r="U951" s="526"/>
      <c r="V951" s="526"/>
      <c r="W951" s="526"/>
      <c r="X951" s="526"/>
    </row>
    <row r="952" spans="1:24">
      <c r="A952" s="526"/>
      <c r="B952" s="526"/>
      <c r="C952" s="526"/>
      <c r="D952" s="526"/>
      <c r="E952" s="526"/>
      <c r="F952" s="526"/>
      <c r="G952" s="526"/>
      <c r="H952" s="526"/>
      <c r="I952" s="526"/>
      <c r="J952" s="526"/>
      <c r="K952" s="526"/>
      <c r="L952" s="526"/>
      <c r="M952" s="526"/>
      <c r="N952" s="526"/>
      <c r="O952" s="526"/>
      <c r="P952" s="526"/>
      <c r="Q952" s="526"/>
      <c r="R952" s="526"/>
      <c r="S952" s="526"/>
      <c r="T952" s="526"/>
      <c r="U952" s="526"/>
      <c r="V952" s="526"/>
      <c r="W952" s="526"/>
      <c r="X952" s="526"/>
    </row>
    <row r="953" spans="1:24">
      <c r="A953" s="526"/>
      <c r="B953" s="526"/>
      <c r="C953" s="526"/>
      <c r="D953" s="526"/>
      <c r="E953" s="526"/>
      <c r="F953" s="526"/>
      <c r="G953" s="526"/>
      <c r="H953" s="526"/>
      <c r="I953" s="526"/>
      <c r="J953" s="526"/>
      <c r="K953" s="526"/>
      <c r="L953" s="526"/>
      <c r="M953" s="526"/>
      <c r="N953" s="526"/>
      <c r="O953" s="526"/>
      <c r="P953" s="526"/>
      <c r="Q953" s="526"/>
      <c r="R953" s="526"/>
      <c r="S953" s="526"/>
      <c r="T953" s="526"/>
      <c r="U953" s="526"/>
      <c r="V953" s="526"/>
      <c r="W953" s="526"/>
      <c r="X953" s="526"/>
    </row>
    <row r="954" spans="1:24">
      <c r="A954" s="526"/>
      <c r="B954" s="526"/>
      <c r="C954" s="526"/>
      <c r="D954" s="526"/>
      <c r="E954" s="526"/>
      <c r="F954" s="526"/>
      <c r="G954" s="526"/>
      <c r="H954" s="526"/>
      <c r="I954" s="526"/>
      <c r="J954" s="526"/>
      <c r="K954" s="526"/>
      <c r="L954" s="526"/>
      <c r="M954" s="526"/>
      <c r="N954" s="526"/>
      <c r="O954" s="526"/>
      <c r="P954" s="526"/>
      <c r="Q954" s="526"/>
      <c r="R954" s="526"/>
      <c r="S954" s="526"/>
      <c r="T954" s="526"/>
      <c r="U954" s="526"/>
      <c r="V954" s="526"/>
      <c r="W954" s="526"/>
      <c r="X954" s="526"/>
    </row>
    <row r="955" spans="1:24">
      <c r="A955" s="526"/>
      <c r="B955" s="526"/>
      <c r="C955" s="526"/>
      <c r="D955" s="526"/>
      <c r="E955" s="526"/>
      <c r="F955" s="526"/>
      <c r="G955" s="526"/>
      <c r="H955" s="526"/>
      <c r="I955" s="526"/>
      <c r="J955" s="526"/>
      <c r="K955" s="526"/>
      <c r="L955" s="526"/>
      <c r="M955" s="526"/>
      <c r="N955" s="526"/>
      <c r="O955" s="526"/>
      <c r="P955" s="526"/>
      <c r="Q955" s="526"/>
      <c r="R955" s="526"/>
      <c r="S955" s="526"/>
      <c r="T955" s="526"/>
      <c r="U955" s="526"/>
      <c r="V955" s="526"/>
      <c r="W955" s="526"/>
      <c r="X955" s="526"/>
    </row>
    <row r="956" spans="1:24">
      <c r="A956" s="526"/>
      <c r="B956" s="526"/>
      <c r="C956" s="526"/>
      <c r="D956" s="526"/>
      <c r="E956" s="526"/>
      <c r="F956" s="526"/>
      <c r="G956" s="526"/>
      <c r="H956" s="526"/>
      <c r="I956" s="526"/>
      <c r="J956" s="526"/>
      <c r="K956" s="526"/>
      <c r="L956" s="526"/>
      <c r="M956" s="526"/>
      <c r="N956" s="526"/>
      <c r="O956" s="526"/>
      <c r="P956" s="526"/>
      <c r="Q956" s="526"/>
      <c r="R956" s="526"/>
      <c r="S956" s="526"/>
      <c r="T956" s="526"/>
      <c r="U956" s="526"/>
      <c r="V956" s="526"/>
      <c r="W956" s="526"/>
      <c r="X956" s="526"/>
    </row>
    <row r="957" spans="1:24">
      <c r="A957" s="526"/>
      <c r="B957" s="526"/>
      <c r="C957" s="526"/>
      <c r="D957" s="526"/>
      <c r="E957" s="526"/>
      <c r="F957" s="526"/>
      <c r="G957" s="526"/>
      <c r="H957" s="526"/>
      <c r="I957" s="526"/>
      <c r="J957" s="526"/>
      <c r="K957" s="526"/>
      <c r="L957" s="526"/>
      <c r="M957" s="526"/>
      <c r="N957" s="526"/>
      <c r="O957" s="526"/>
      <c r="P957" s="526"/>
      <c r="Q957" s="526"/>
      <c r="R957" s="526"/>
      <c r="S957" s="526"/>
      <c r="T957" s="526"/>
      <c r="U957" s="526"/>
      <c r="V957" s="526"/>
      <c r="W957" s="526"/>
      <c r="X957" s="526"/>
    </row>
    <row r="958" spans="1:24">
      <c r="A958" s="526"/>
      <c r="B958" s="526"/>
      <c r="C958" s="526"/>
      <c r="D958" s="526"/>
      <c r="E958" s="526"/>
      <c r="F958" s="526"/>
      <c r="G958" s="526"/>
      <c r="H958" s="526"/>
      <c r="I958" s="526"/>
      <c r="J958" s="526"/>
      <c r="K958" s="526"/>
      <c r="L958" s="526"/>
      <c r="M958" s="526"/>
      <c r="N958" s="526"/>
      <c r="O958" s="526"/>
      <c r="P958" s="526"/>
      <c r="Q958" s="526"/>
      <c r="R958" s="526"/>
      <c r="S958" s="526"/>
      <c r="T958" s="526"/>
      <c r="U958" s="526"/>
      <c r="V958" s="526"/>
      <c r="W958" s="526"/>
      <c r="X958" s="526"/>
    </row>
    <row r="959" spans="1:24">
      <c r="A959" s="526"/>
      <c r="B959" s="526"/>
      <c r="C959" s="526"/>
      <c r="D959" s="526"/>
      <c r="E959" s="526"/>
      <c r="F959" s="526"/>
      <c r="G959" s="526"/>
      <c r="H959" s="526"/>
      <c r="I959" s="526"/>
      <c r="J959" s="526"/>
      <c r="K959" s="526"/>
      <c r="L959" s="526"/>
      <c r="M959" s="526"/>
      <c r="N959" s="526"/>
      <c r="O959" s="526"/>
      <c r="P959" s="526"/>
      <c r="Q959" s="526"/>
      <c r="R959" s="526"/>
      <c r="S959" s="526"/>
      <c r="T959" s="526"/>
      <c r="U959" s="526"/>
      <c r="V959" s="526"/>
      <c r="W959" s="526"/>
      <c r="X959" s="526"/>
    </row>
    <row r="960" spans="1:24">
      <c r="A960" s="526"/>
      <c r="B960" s="526"/>
      <c r="C960" s="526"/>
      <c r="D960" s="526"/>
      <c r="E960" s="526"/>
      <c r="F960" s="526"/>
      <c r="G960" s="526"/>
      <c r="H960" s="526"/>
      <c r="I960" s="526"/>
      <c r="J960" s="526"/>
      <c r="K960" s="526"/>
      <c r="L960" s="526"/>
      <c r="M960" s="526"/>
      <c r="N960" s="526"/>
      <c r="O960" s="526"/>
      <c r="P960" s="526"/>
      <c r="Q960" s="526"/>
      <c r="R960" s="526"/>
      <c r="S960" s="526"/>
      <c r="T960" s="526"/>
      <c r="U960" s="526"/>
      <c r="V960" s="526"/>
      <c r="W960" s="526"/>
      <c r="X960" s="526"/>
    </row>
    <row r="961" spans="1:24">
      <c r="A961" s="526"/>
      <c r="B961" s="526"/>
      <c r="C961" s="526"/>
      <c r="D961" s="526"/>
      <c r="E961" s="526"/>
      <c r="F961" s="526"/>
      <c r="G961" s="526"/>
      <c r="H961" s="526"/>
      <c r="I961" s="526"/>
      <c r="J961" s="526"/>
      <c r="K961" s="526"/>
      <c r="L961" s="526"/>
      <c r="M961" s="526"/>
      <c r="N961" s="526"/>
      <c r="O961" s="526"/>
      <c r="P961" s="526"/>
      <c r="Q961" s="526"/>
      <c r="R961" s="526"/>
      <c r="S961" s="526"/>
      <c r="T961" s="526"/>
      <c r="U961" s="526"/>
      <c r="V961" s="526"/>
      <c r="W961" s="526"/>
      <c r="X961" s="526"/>
    </row>
    <row r="962" spans="1:24">
      <c r="A962" s="526"/>
      <c r="B962" s="526"/>
      <c r="C962" s="526"/>
      <c r="D962" s="526"/>
      <c r="E962" s="526"/>
      <c r="F962" s="526"/>
      <c r="G962" s="526"/>
      <c r="H962" s="526"/>
      <c r="I962" s="526"/>
      <c r="J962" s="526"/>
      <c r="K962" s="526"/>
      <c r="L962" s="526"/>
      <c r="M962" s="526"/>
      <c r="N962" s="526"/>
      <c r="O962" s="526"/>
      <c r="P962" s="526"/>
      <c r="Q962" s="526"/>
      <c r="R962" s="526"/>
      <c r="S962" s="526"/>
      <c r="T962" s="526"/>
      <c r="U962" s="526"/>
      <c r="V962" s="526"/>
      <c r="W962" s="526"/>
      <c r="X962" s="526"/>
    </row>
    <row r="963" spans="1:24">
      <c r="A963" s="526"/>
      <c r="B963" s="526"/>
      <c r="C963" s="526"/>
      <c r="D963" s="526"/>
      <c r="E963" s="526"/>
      <c r="F963" s="526"/>
      <c r="G963" s="526"/>
      <c r="H963" s="526"/>
      <c r="I963" s="526"/>
      <c r="J963" s="526"/>
      <c r="K963" s="526"/>
      <c r="L963" s="526"/>
      <c r="M963" s="526"/>
      <c r="N963" s="526"/>
      <c r="O963" s="526"/>
      <c r="P963" s="526"/>
      <c r="Q963" s="526"/>
      <c r="R963" s="526"/>
      <c r="S963" s="526"/>
      <c r="T963" s="526"/>
      <c r="U963" s="526"/>
      <c r="V963" s="526"/>
      <c r="W963" s="526"/>
      <c r="X963" s="526"/>
    </row>
    <row r="964" spans="1:24">
      <c r="A964" s="526"/>
      <c r="B964" s="526"/>
      <c r="C964" s="526"/>
      <c r="D964" s="526"/>
      <c r="E964" s="526"/>
      <c r="F964" s="526"/>
      <c r="G964" s="526"/>
      <c r="H964" s="526"/>
      <c r="I964" s="526"/>
      <c r="J964" s="526"/>
      <c r="K964" s="526"/>
      <c r="L964" s="526"/>
      <c r="M964" s="526"/>
      <c r="N964" s="526"/>
      <c r="O964" s="526"/>
      <c r="P964" s="526"/>
      <c r="Q964" s="526"/>
      <c r="R964" s="526"/>
      <c r="S964" s="526"/>
      <c r="T964" s="526"/>
      <c r="U964" s="526"/>
      <c r="V964" s="526"/>
      <c r="W964" s="526"/>
      <c r="X964" s="526"/>
    </row>
    <row r="965" spans="1:24">
      <c r="A965" s="526"/>
      <c r="B965" s="526"/>
      <c r="C965" s="526"/>
      <c r="D965" s="526"/>
      <c r="E965" s="526"/>
      <c r="F965" s="526"/>
      <c r="G965" s="526"/>
      <c r="H965" s="526"/>
      <c r="I965" s="526"/>
      <c r="J965" s="526"/>
      <c r="K965" s="526"/>
      <c r="L965" s="526"/>
      <c r="M965" s="526"/>
      <c r="N965" s="526"/>
      <c r="O965" s="526"/>
      <c r="P965" s="526"/>
      <c r="Q965" s="526"/>
      <c r="R965" s="526"/>
      <c r="S965" s="526"/>
      <c r="T965" s="526"/>
      <c r="U965" s="526"/>
      <c r="V965" s="526"/>
      <c r="W965" s="526"/>
      <c r="X965" s="526"/>
    </row>
    <row r="966" spans="1:24">
      <c r="A966" s="526"/>
      <c r="B966" s="526"/>
      <c r="C966" s="526"/>
      <c r="D966" s="526"/>
      <c r="E966" s="526"/>
      <c r="F966" s="526"/>
      <c r="G966" s="526"/>
      <c r="H966" s="526"/>
      <c r="I966" s="526"/>
      <c r="J966" s="526"/>
      <c r="K966" s="526"/>
      <c r="L966" s="526"/>
      <c r="M966" s="526"/>
      <c r="N966" s="526"/>
      <c r="O966" s="526"/>
      <c r="P966" s="526"/>
      <c r="Q966" s="526"/>
      <c r="R966" s="526"/>
      <c r="S966" s="526"/>
      <c r="T966" s="526"/>
      <c r="U966" s="526"/>
      <c r="V966" s="526"/>
      <c r="W966" s="526"/>
      <c r="X966" s="526"/>
    </row>
    <row r="967" spans="1:24">
      <c r="A967" s="526"/>
      <c r="B967" s="526"/>
      <c r="C967" s="526"/>
      <c r="D967" s="526"/>
      <c r="E967" s="526"/>
      <c r="F967" s="526"/>
      <c r="G967" s="526"/>
      <c r="H967" s="526"/>
      <c r="I967" s="526"/>
      <c r="J967" s="526"/>
      <c r="K967" s="526"/>
      <c r="L967" s="526"/>
      <c r="M967" s="526"/>
      <c r="N967" s="526"/>
      <c r="O967" s="526"/>
      <c r="P967" s="526"/>
      <c r="Q967" s="526"/>
      <c r="R967" s="526"/>
      <c r="S967" s="526"/>
      <c r="T967" s="526"/>
      <c r="U967" s="526"/>
      <c r="V967" s="526"/>
      <c r="W967" s="526"/>
      <c r="X967" s="526"/>
    </row>
    <row r="968" spans="1:24">
      <c r="A968" s="526"/>
      <c r="B968" s="526"/>
      <c r="C968" s="526"/>
      <c r="D968" s="526"/>
      <c r="E968" s="526"/>
      <c r="F968" s="526"/>
      <c r="G968" s="526"/>
      <c r="H968" s="526"/>
      <c r="I968" s="526"/>
      <c r="J968" s="526"/>
      <c r="K968" s="526"/>
      <c r="L968" s="526"/>
      <c r="M968" s="526"/>
      <c r="N968" s="526"/>
      <c r="O968" s="526"/>
      <c r="P968" s="526"/>
      <c r="Q968" s="526"/>
      <c r="R968" s="526"/>
      <c r="S968" s="526"/>
      <c r="T968" s="526"/>
      <c r="U968" s="526"/>
      <c r="V968" s="526"/>
      <c r="W968" s="526"/>
      <c r="X968" s="526"/>
    </row>
    <row r="969" spans="1:24">
      <c r="A969" s="526"/>
      <c r="B969" s="526"/>
      <c r="C969" s="526"/>
      <c r="D969" s="526"/>
      <c r="E969" s="526"/>
      <c r="F969" s="526"/>
      <c r="G969" s="526"/>
      <c r="H969" s="526"/>
      <c r="I969" s="526"/>
      <c r="J969" s="526"/>
      <c r="K969" s="526"/>
      <c r="L969" s="526"/>
      <c r="M969" s="526"/>
      <c r="N969" s="526"/>
      <c r="O969" s="526"/>
      <c r="P969" s="526"/>
      <c r="Q969" s="526"/>
      <c r="R969" s="526"/>
      <c r="S969" s="526"/>
      <c r="T969" s="526"/>
      <c r="U969" s="526"/>
      <c r="V969" s="526"/>
      <c r="W969" s="526"/>
      <c r="X969" s="526"/>
    </row>
    <row r="970" spans="1:24">
      <c r="A970" s="526"/>
      <c r="B970" s="526"/>
      <c r="C970" s="526"/>
      <c r="D970" s="526"/>
      <c r="E970" s="526"/>
      <c r="F970" s="526"/>
      <c r="G970" s="526"/>
      <c r="H970" s="526"/>
      <c r="I970" s="526"/>
      <c r="J970" s="526"/>
      <c r="K970" s="526"/>
      <c r="L970" s="526"/>
      <c r="M970" s="526"/>
      <c r="N970" s="526"/>
      <c r="O970" s="526"/>
      <c r="P970" s="526"/>
      <c r="Q970" s="526"/>
      <c r="R970" s="526"/>
      <c r="S970" s="526"/>
      <c r="T970" s="526"/>
      <c r="U970" s="526"/>
      <c r="V970" s="526"/>
      <c r="W970" s="526"/>
      <c r="X970" s="526"/>
    </row>
    <row r="971" spans="1:24">
      <c r="A971" s="526"/>
      <c r="B971" s="526"/>
      <c r="C971" s="526"/>
      <c r="D971" s="526"/>
      <c r="E971" s="526"/>
      <c r="F971" s="526"/>
      <c r="G971" s="526"/>
      <c r="H971" s="526"/>
      <c r="I971" s="526"/>
      <c r="J971" s="526"/>
      <c r="K971" s="526"/>
      <c r="L971" s="526"/>
      <c r="M971" s="526"/>
      <c r="N971" s="526"/>
      <c r="O971" s="526"/>
      <c r="P971" s="526"/>
      <c r="Q971" s="526"/>
      <c r="R971" s="526"/>
      <c r="S971" s="526"/>
      <c r="T971" s="526"/>
      <c r="U971" s="526"/>
      <c r="V971" s="526"/>
      <c r="W971" s="526"/>
      <c r="X971" s="526"/>
    </row>
    <row r="972" spans="1:24">
      <c r="A972" s="526"/>
      <c r="B972" s="526"/>
      <c r="C972" s="526"/>
      <c r="D972" s="526"/>
      <c r="E972" s="526"/>
      <c r="F972" s="526"/>
      <c r="G972" s="526"/>
      <c r="H972" s="526"/>
      <c r="I972" s="526"/>
      <c r="J972" s="526"/>
      <c r="K972" s="526"/>
      <c r="L972" s="526"/>
      <c r="M972" s="526"/>
      <c r="N972" s="526"/>
      <c r="O972" s="526"/>
      <c r="P972" s="526"/>
      <c r="Q972" s="526"/>
      <c r="R972" s="526"/>
      <c r="S972" s="526"/>
      <c r="T972" s="526"/>
      <c r="U972" s="526"/>
      <c r="V972" s="526"/>
      <c r="W972" s="526"/>
      <c r="X972" s="526"/>
    </row>
    <row r="973" spans="1:24">
      <c r="A973" s="526"/>
      <c r="B973" s="526"/>
      <c r="C973" s="526"/>
      <c r="D973" s="526"/>
      <c r="E973" s="526"/>
      <c r="F973" s="526"/>
      <c r="G973" s="526"/>
      <c r="H973" s="526"/>
      <c r="I973" s="526"/>
      <c r="J973" s="526"/>
      <c r="K973" s="526"/>
      <c r="L973" s="526"/>
      <c r="M973" s="526"/>
      <c r="N973" s="526"/>
      <c r="O973" s="526"/>
      <c r="P973" s="526"/>
      <c r="Q973" s="526"/>
      <c r="R973" s="526"/>
      <c r="S973" s="526"/>
      <c r="T973" s="526"/>
      <c r="U973" s="526"/>
      <c r="V973" s="526"/>
      <c r="W973" s="526"/>
      <c r="X973" s="526"/>
    </row>
    <row r="974" spans="1:24">
      <c r="A974" s="526"/>
      <c r="B974" s="526"/>
      <c r="C974" s="526"/>
      <c r="D974" s="526"/>
      <c r="E974" s="526"/>
      <c r="F974" s="526"/>
      <c r="G974" s="526"/>
      <c r="H974" s="526"/>
      <c r="I974" s="526"/>
      <c r="J974" s="526"/>
      <c r="K974" s="526"/>
      <c r="L974" s="526"/>
      <c r="M974" s="526"/>
      <c r="N974" s="526"/>
      <c r="O974" s="526"/>
      <c r="P974" s="526"/>
      <c r="Q974" s="526"/>
      <c r="R974" s="526"/>
      <c r="S974" s="526"/>
      <c r="T974" s="526"/>
      <c r="U974" s="526"/>
      <c r="V974" s="526"/>
      <c r="W974" s="526"/>
      <c r="X974" s="526"/>
    </row>
    <row r="975" spans="1:24">
      <c r="A975" s="526"/>
      <c r="B975" s="526"/>
      <c r="C975" s="526"/>
      <c r="D975" s="526"/>
      <c r="E975" s="526"/>
      <c r="F975" s="526"/>
      <c r="G975" s="526"/>
      <c r="H975" s="526"/>
      <c r="I975" s="526"/>
      <c r="J975" s="526"/>
      <c r="K975" s="526"/>
      <c r="L975" s="526"/>
      <c r="M975" s="526"/>
      <c r="N975" s="526"/>
      <c r="O975" s="526"/>
      <c r="P975" s="526"/>
      <c r="Q975" s="526"/>
      <c r="R975" s="526"/>
      <c r="S975" s="526"/>
      <c r="T975" s="526"/>
      <c r="U975" s="526"/>
      <c r="V975" s="526"/>
      <c r="W975" s="526"/>
      <c r="X975" s="526"/>
    </row>
    <row r="976" spans="1:24">
      <c r="A976" s="526"/>
      <c r="B976" s="526"/>
      <c r="C976" s="526"/>
      <c r="D976" s="526"/>
      <c r="E976" s="526"/>
      <c r="F976" s="526"/>
      <c r="G976" s="526"/>
      <c r="H976" s="526"/>
      <c r="I976" s="526"/>
      <c r="J976" s="526"/>
      <c r="K976" s="526"/>
      <c r="L976" s="526"/>
      <c r="M976" s="526"/>
      <c r="N976" s="526"/>
      <c r="O976" s="526"/>
      <c r="P976" s="526"/>
      <c r="Q976" s="526"/>
      <c r="R976" s="526"/>
      <c r="S976" s="526"/>
      <c r="T976" s="526"/>
      <c r="U976" s="526"/>
      <c r="V976" s="526"/>
      <c r="W976" s="526"/>
      <c r="X976" s="526"/>
    </row>
    <row r="977" spans="1:24">
      <c r="A977" s="526"/>
      <c r="B977" s="526"/>
      <c r="C977" s="526"/>
      <c r="D977" s="526"/>
      <c r="E977" s="526"/>
      <c r="F977" s="526"/>
      <c r="G977" s="526"/>
      <c r="H977" s="526"/>
      <c r="I977" s="526"/>
      <c r="J977" s="526"/>
      <c r="K977" s="526"/>
      <c r="L977" s="526"/>
      <c r="M977" s="526"/>
      <c r="N977" s="526"/>
      <c r="O977" s="526"/>
      <c r="P977" s="526"/>
      <c r="Q977" s="526"/>
      <c r="R977" s="526"/>
      <c r="S977" s="526"/>
      <c r="T977" s="526"/>
      <c r="U977" s="526"/>
      <c r="V977" s="526"/>
      <c r="W977" s="526"/>
      <c r="X977" s="526"/>
    </row>
    <row r="978" spans="1:24">
      <c r="A978" s="526"/>
      <c r="B978" s="526"/>
      <c r="C978" s="526"/>
      <c r="D978" s="526"/>
      <c r="E978" s="526"/>
      <c r="F978" s="526"/>
      <c r="G978" s="526"/>
      <c r="H978" s="526"/>
      <c r="I978" s="526"/>
      <c r="J978" s="526"/>
      <c r="K978" s="526"/>
      <c r="L978" s="526"/>
      <c r="M978" s="526"/>
      <c r="N978" s="526"/>
      <c r="O978" s="526"/>
      <c r="P978" s="526"/>
      <c r="Q978" s="526"/>
      <c r="R978" s="526"/>
      <c r="S978" s="526"/>
      <c r="T978" s="526"/>
      <c r="U978" s="526"/>
      <c r="V978" s="526"/>
      <c r="W978" s="526"/>
      <c r="X978" s="526"/>
    </row>
    <row r="979" spans="1:24">
      <c r="A979" s="526"/>
      <c r="B979" s="526"/>
      <c r="C979" s="526"/>
      <c r="D979" s="526"/>
      <c r="E979" s="526"/>
      <c r="F979" s="526"/>
      <c r="G979" s="526"/>
      <c r="H979" s="526"/>
      <c r="I979" s="526"/>
      <c r="J979" s="526"/>
      <c r="K979" s="526"/>
      <c r="L979" s="526"/>
      <c r="M979" s="526"/>
      <c r="N979" s="526"/>
      <c r="O979" s="526"/>
      <c r="P979" s="526"/>
      <c r="Q979" s="526"/>
      <c r="R979" s="526"/>
      <c r="S979" s="526"/>
      <c r="T979" s="526"/>
      <c r="U979" s="526"/>
      <c r="V979" s="526"/>
      <c r="W979" s="526"/>
      <c r="X979" s="526"/>
    </row>
    <row r="980" spans="1:24">
      <c r="A980" s="526"/>
      <c r="B980" s="526"/>
      <c r="C980" s="526"/>
      <c r="D980" s="526"/>
      <c r="E980" s="526"/>
      <c r="F980" s="526"/>
      <c r="G980" s="526"/>
      <c r="H980" s="526"/>
      <c r="I980" s="526"/>
      <c r="J980" s="526"/>
      <c r="K980" s="526"/>
      <c r="L980" s="526"/>
      <c r="M980" s="526"/>
      <c r="N980" s="526"/>
      <c r="O980" s="526"/>
      <c r="P980" s="526"/>
      <c r="Q980" s="526"/>
      <c r="R980" s="526"/>
      <c r="S980" s="526"/>
      <c r="T980" s="526"/>
      <c r="U980" s="526"/>
      <c r="V980" s="526"/>
      <c r="W980" s="526"/>
      <c r="X980" s="526"/>
    </row>
    <row r="981" spans="1:24">
      <c r="A981" s="526"/>
      <c r="B981" s="526"/>
      <c r="C981" s="526"/>
      <c r="D981" s="526"/>
      <c r="E981" s="526"/>
      <c r="F981" s="526"/>
      <c r="G981" s="526"/>
      <c r="H981" s="526"/>
      <c r="I981" s="526"/>
      <c r="J981" s="526"/>
      <c r="K981" s="526"/>
      <c r="L981" s="526"/>
      <c r="M981" s="526"/>
      <c r="N981" s="526"/>
      <c r="O981" s="526"/>
      <c r="P981" s="526"/>
      <c r="Q981" s="526"/>
      <c r="R981" s="526"/>
      <c r="S981" s="526"/>
      <c r="T981" s="526"/>
      <c r="U981" s="526"/>
      <c r="V981" s="526"/>
      <c r="W981" s="526"/>
      <c r="X981" s="526"/>
    </row>
    <row r="982" spans="1:24">
      <c r="A982" s="526"/>
      <c r="B982" s="526"/>
      <c r="C982" s="526"/>
      <c r="D982" s="526"/>
      <c r="E982" s="526"/>
      <c r="F982" s="526"/>
      <c r="G982" s="526"/>
      <c r="H982" s="526"/>
      <c r="I982" s="526"/>
      <c r="J982" s="526"/>
      <c r="K982" s="526"/>
      <c r="L982" s="526"/>
      <c r="M982" s="526"/>
      <c r="N982" s="526"/>
      <c r="O982" s="526"/>
      <c r="P982" s="526"/>
      <c r="Q982" s="526"/>
      <c r="R982" s="526"/>
      <c r="S982" s="526"/>
      <c r="T982" s="526"/>
      <c r="U982" s="526"/>
      <c r="V982" s="526"/>
      <c r="W982" s="526"/>
      <c r="X982" s="526"/>
    </row>
    <row r="983" spans="1:24">
      <c r="A983" s="526"/>
      <c r="B983" s="526"/>
      <c r="C983" s="526"/>
      <c r="D983" s="526"/>
      <c r="E983" s="526"/>
      <c r="F983" s="526"/>
      <c r="G983" s="526"/>
      <c r="H983" s="526"/>
      <c r="I983" s="526"/>
      <c r="J983" s="526"/>
      <c r="K983" s="526"/>
      <c r="L983" s="526"/>
      <c r="M983" s="526"/>
      <c r="N983" s="526"/>
      <c r="O983" s="526"/>
      <c r="P983" s="526"/>
      <c r="Q983" s="526"/>
      <c r="R983" s="526"/>
      <c r="S983" s="526"/>
      <c r="T983" s="526"/>
      <c r="U983" s="526"/>
      <c r="V983" s="526"/>
      <c r="W983" s="526"/>
      <c r="X983" s="526"/>
    </row>
    <row r="984" spans="1:24">
      <c r="A984" s="526"/>
      <c r="B984" s="526"/>
      <c r="C984" s="526"/>
      <c r="D984" s="526"/>
      <c r="E984" s="526"/>
      <c r="F984" s="526"/>
      <c r="G984" s="526"/>
      <c r="H984" s="526"/>
      <c r="I984" s="526"/>
      <c r="J984" s="526"/>
      <c r="K984" s="526"/>
      <c r="L984" s="526"/>
      <c r="M984" s="526"/>
      <c r="N984" s="526"/>
      <c r="O984" s="526"/>
      <c r="P984" s="526"/>
      <c r="Q984" s="526"/>
      <c r="R984" s="526"/>
      <c r="S984" s="526"/>
      <c r="T984" s="526"/>
      <c r="U984" s="526"/>
      <c r="V984" s="526"/>
      <c r="W984" s="526"/>
      <c r="X984" s="526"/>
    </row>
    <row r="985" spans="1:24">
      <c r="A985" s="526"/>
      <c r="B985" s="526"/>
      <c r="C985" s="526"/>
      <c r="D985" s="526"/>
      <c r="E985" s="526"/>
      <c r="F985" s="526"/>
      <c r="G985" s="526"/>
      <c r="H985" s="526"/>
      <c r="I985" s="526"/>
      <c r="J985" s="526"/>
      <c r="K985" s="526"/>
      <c r="L985" s="526"/>
      <c r="M985" s="526"/>
      <c r="N985" s="526"/>
      <c r="O985" s="526"/>
      <c r="P985" s="526"/>
      <c r="Q985" s="526"/>
      <c r="R985" s="526"/>
      <c r="S985" s="526"/>
      <c r="T985" s="526"/>
      <c r="U985" s="526"/>
      <c r="V985" s="526"/>
      <c r="W985" s="526"/>
      <c r="X985" s="526"/>
    </row>
    <row r="986" spans="1:24">
      <c r="A986" s="526"/>
      <c r="B986" s="526"/>
      <c r="C986" s="526"/>
      <c r="D986" s="526"/>
      <c r="E986" s="526"/>
      <c r="F986" s="526"/>
      <c r="G986" s="526"/>
      <c r="H986" s="526"/>
      <c r="I986" s="526"/>
      <c r="J986" s="526"/>
      <c r="K986" s="526"/>
      <c r="L986" s="526"/>
      <c r="M986" s="526"/>
      <c r="N986" s="526"/>
      <c r="O986" s="526"/>
      <c r="P986" s="526"/>
      <c r="Q986" s="526"/>
      <c r="R986" s="526"/>
      <c r="S986" s="526"/>
      <c r="T986" s="526"/>
      <c r="U986" s="526"/>
      <c r="V986" s="526"/>
      <c r="W986" s="526"/>
      <c r="X986" s="526"/>
    </row>
    <row r="987" spans="1:24">
      <c r="A987" s="526"/>
      <c r="B987" s="526"/>
      <c r="C987" s="526"/>
      <c r="D987" s="526"/>
      <c r="E987" s="526"/>
      <c r="F987" s="526"/>
      <c r="G987" s="526"/>
      <c r="H987" s="526"/>
      <c r="I987" s="526"/>
      <c r="J987" s="526"/>
      <c r="K987" s="526"/>
      <c r="L987" s="526"/>
      <c r="M987" s="526"/>
      <c r="N987" s="526"/>
      <c r="O987" s="526"/>
      <c r="P987" s="526"/>
      <c r="Q987" s="526"/>
      <c r="R987" s="526"/>
      <c r="S987" s="526"/>
      <c r="T987" s="526"/>
      <c r="U987" s="526"/>
      <c r="V987" s="526"/>
      <c r="W987" s="526"/>
      <c r="X987" s="526"/>
    </row>
    <row r="988" spans="1:24">
      <c r="A988" s="526"/>
      <c r="B988" s="526"/>
      <c r="C988" s="526"/>
      <c r="D988" s="526"/>
      <c r="E988" s="526"/>
      <c r="F988" s="526"/>
      <c r="G988" s="526"/>
      <c r="H988" s="526"/>
      <c r="I988" s="526"/>
      <c r="J988" s="526"/>
      <c r="K988" s="526"/>
      <c r="L988" s="526"/>
      <c r="M988" s="526"/>
      <c r="N988" s="526"/>
      <c r="O988" s="526"/>
      <c r="P988" s="526"/>
      <c r="Q988" s="526"/>
      <c r="R988" s="526"/>
      <c r="S988" s="526"/>
      <c r="T988" s="526"/>
      <c r="U988" s="526"/>
      <c r="V988" s="526"/>
      <c r="W988" s="526"/>
      <c r="X988" s="526"/>
    </row>
    <row r="989" spans="1:24">
      <c r="A989" s="526"/>
      <c r="B989" s="526"/>
      <c r="C989" s="526"/>
      <c r="D989" s="526"/>
      <c r="E989" s="526"/>
      <c r="F989" s="526"/>
      <c r="G989" s="526"/>
      <c r="H989" s="526"/>
      <c r="I989" s="526"/>
      <c r="J989" s="526"/>
      <c r="K989" s="526"/>
      <c r="L989" s="526"/>
      <c r="M989" s="526"/>
      <c r="N989" s="526"/>
      <c r="O989" s="526"/>
      <c r="P989" s="526"/>
      <c r="Q989" s="526"/>
      <c r="R989" s="526"/>
      <c r="S989" s="526"/>
      <c r="T989" s="526"/>
      <c r="U989" s="526"/>
      <c r="V989" s="526"/>
      <c r="W989" s="526"/>
      <c r="X989" s="526"/>
    </row>
    <row r="990" spans="1:24">
      <c r="A990" s="526"/>
      <c r="B990" s="526"/>
      <c r="C990" s="526"/>
      <c r="D990" s="526"/>
      <c r="E990" s="526"/>
      <c r="F990" s="526"/>
      <c r="G990" s="526"/>
      <c r="H990" s="526"/>
      <c r="I990" s="526"/>
      <c r="J990" s="526"/>
      <c r="K990" s="526"/>
      <c r="L990" s="526"/>
      <c r="M990" s="526"/>
      <c r="N990" s="526"/>
      <c r="O990" s="526"/>
      <c r="P990" s="526"/>
      <c r="Q990" s="526"/>
      <c r="R990" s="526"/>
      <c r="S990" s="526"/>
      <c r="T990" s="526"/>
      <c r="U990" s="526"/>
      <c r="V990" s="526"/>
      <c r="W990" s="526"/>
      <c r="X990" s="526"/>
    </row>
    <row r="991" spans="1:24">
      <c r="A991" s="526"/>
      <c r="B991" s="526"/>
      <c r="C991" s="526"/>
      <c r="D991" s="526"/>
      <c r="E991" s="526"/>
      <c r="F991" s="526"/>
      <c r="G991" s="526"/>
      <c r="H991" s="526"/>
      <c r="I991" s="526"/>
      <c r="J991" s="526"/>
      <c r="K991" s="526"/>
      <c r="L991" s="526"/>
      <c r="M991" s="526"/>
      <c r="N991" s="526"/>
      <c r="O991" s="526"/>
      <c r="P991" s="526"/>
      <c r="Q991" s="526"/>
      <c r="R991" s="526"/>
      <c r="S991" s="526"/>
      <c r="T991" s="526"/>
      <c r="U991" s="526"/>
      <c r="V991" s="526"/>
      <c r="W991" s="526"/>
      <c r="X991" s="526"/>
    </row>
    <row r="992" spans="1:24">
      <c r="A992" s="526"/>
      <c r="B992" s="526"/>
      <c r="C992" s="526"/>
      <c r="D992" s="526"/>
      <c r="E992" s="526"/>
      <c r="F992" s="526"/>
      <c r="G992" s="526"/>
      <c r="H992" s="526"/>
      <c r="I992" s="526"/>
      <c r="J992" s="526"/>
      <c r="K992" s="526"/>
      <c r="L992" s="526"/>
      <c r="M992" s="526"/>
      <c r="N992" s="526"/>
      <c r="O992" s="526"/>
      <c r="P992" s="526"/>
      <c r="Q992" s="526"/>
      <c r="R992" s="526"/>
      <c r="S992" s="526"/>
      <c r="T992" s="526"/>
      <c r="U992" s="526"/>
      <c r="V992" s="526"/>
      <c r="W992" s="526"/>
      <c r="X992" s="526"/>
    </row>
    <row r="993" spans="1:24">
      <c r="A993" s="526"/>
      <c r="B993" s="526"/>
      <c r="C993" s="526"/>
      <c r="D993" s="526"/>
      <c r="E993" s="526"/>
      <c r="F993" s="526"/>
      <c r="G993" s="526"/>
      <c r="H993" s="526"/>
      <c r="I993" s="526"/>
      <c r="J993" s="526"/>
      <c r="K993" s="526"/>
      <c r="L993" s="526"/>
      <c r="M993" s="526"/>
      <c r="N993" s="526"/>
      <c r="O993" s="526"/>
      <c r="P993" s="526"/>
      <c r="Q993" s="526"/>
      <c r="R993" s="526"/>
      <c r="S993" s="526"/>
      <c r="T993" s="526"/>
      <c r="U993" s="526"/>
      <c r="V993" s="526"/>
      <c r="W993" s="526"/>
      <c r="X993" s="526"/>
    </row>
    <row r="994" spans="1:24">
      <c r="A994" s="526"/>
      <c r="B994" s="526"/>
      <c r="C994" s="526"/>
      <c r="D994" s="526"/>
      <c r="E994" s="526"/>
      <c r="F994" s="526"/>
      <c r="G994" s="526"/>
      <c r="H994" s="526"/>
      <c r="I994" s="526"/>
      <c r="J994" s="526"/>
      <c r="K994" s="526"/>
      <c r="L994" s="526"/>
      <c r="M994" s="526"/>
      <c r="N994" s="526"/>
      <c r="O994" s="526"/>
      <c r="P994" s="526"/>
      <c r="Q994" s="526"/>
      <c r="R994" s="526"/>
      <c r="S994" s="526"/>
      <c r="T994" s="526"/>
      <c r="U994" s="526"/>
      <c r="V994" s="526"/>
      <c r="W994" s="526"/>
      <c r="X994" s="526"/>
    </row>
    <row r="995" spans="1:24">
      <c r="A995" s="526"/>
      <c r="B995" s="526"/>
      <c r="C995" s="526"/>
      <c r="D995" s="526"/>
      <c r="E995" s="526"/>
      <c r="F995" s="526"/>
      <c r="G995" s="526"/>
      <c r="H995" s="526"/>
      <c r="I995" s="526"/>
      <c r="J995" s="526"/>
      <c r="K995" s="526"/>
      <c r="L995" s="526"/>
      <c r="M995" s="526"/>
      <c r="N995" s="526"/>
      <c r="O995" s="526"/>
      <c r="P995" s="526"/>
      <c r="Q995" s="526"/>
      <c r="R995" s="526"/>
      <c r="S995" s="526"/>
      <c r="T995" s="526"/>
      <c r="U995" s="526"/>
      <c r="V995" s="526"/>
      <c r="W995" s="526"/>
      <c r="X995" s="526"/>
    </row>
    <row r="996" spans="1:24">
      <c r="A996" s="526"/>
      <c r="B996" s="526"/>
      <c r="C996" s="526"/>
      <c r="D996" s="526"/>
      <c r="E996" s="526"/>
      <c r="F996" s="526"/>
      <c r="G996" s="526"/>
      <c r="H996" s="526"/>
      <c r="I996" s="526"/>
      <c r="J996" s="526"/>
      <c r="K996" s="526"/>
      <c r="L996" s="526"/>
      <c r="M996" s="526"/>
      <c r="N996" s="526"/>
      <c r="O996" s="526"/>
      <c r="P996" s="526"/>
      <c r="Q996" s="526"/>
      <c r="R996" s="526"/>
      <c r="S996" s="526"/>
      <c r="T996" s="526"/>
      <c r="U996" s="526"/>
      <c r="V996" s="526"/>
      <c r="W996" s="526"/>
      <c r="X996" s="526"/>
    </row>
    <row r="997" spans="1:24">
      <c r="A997" s="526"/>
      <c r="B997" s="526"/>
      <c r="C997" s="526"/>
      <c r="D997" s="526"/>
      <c r="E997" s="526"/>
      <c r="F997" s="526"/>
      <c r="G997" s="526"/>
      <c r="H997" s="526"/>
      <c r="I997" s="526"/>
      <c r="J997" s="526"/>
      <c r="K997" s="526"/>
      <c r="L997" s="526"/>
      <c r="M997" s="526"/>
      <c r="N997" s="526"/>
      <c r="O997" s="526"/>
      <c r="P997" s="526"/>
      <c r="Q997" s="526"/>
      <c r="R997" s="526"/>
      <c r="S997" s="526"/>
      <c r="T997" s="526"/>
      <c r="U997" s="526"/>
      <c r="V997" s="526"/>
      <c r="W997" s="526"/>
      <c r="X997" s="526"/>
    </row>
    <row r="998" spans="1:24">
      <c r="A998" s="526"/>
      <c r="B998" s="526"/>
      <c r="C998" s="526"/>
      <c r="D998" s="526"/>
      <c r="E998" s="526"/>
      <c r="F998" s="526"/>
      <c r="G998" s="526"/>
      <c r="H998" s="526"/>
      <c r="I998" s="526"/>
      <c r="J998" s="526"/>
      <c r="K998" s="526"/>
      <c r="L998" s="526"/>
      <c r="M998" s="526"/>
      <c r="N998" s="526"/>
      <c r="O998" s="526"/>
      <c r="P998" s="526"/>
      <c r="Q998" s="526"/>
      <c r="R998" s="526"/>
      <c r="S998" s="526"/>
      <c r="T998" s="526"/>
      <c r="U998" s="526"/>
      <c r="V998" s="526"/>
      <c r="W998" s="526"/>
      <c r="X998" s="526"/>
    </row>
    <row r="999" spans="1:24">
      <c r="A999" s="526"/>
      <c r="B999" s="526"/>
      <c r="C999" s="526"/>
      <c r="D999" s="526"/>
      <c r="E999" s="526"/>
      <c r="F999" s="526"/>
      <c r="G999" s="526"/>
      <c r="H999" s="526"/>
      <c r="I999" s="526"/>
      <c r="J999" s="526"/>
      <c r="K999" s="526"/>
      <c r="L999" s="526"/>
      <c r="M999" s="526"/>
      <c r="N999" s="526"/>
      <c r="O999" s="526"/>
      <c r="P999" s="526"/>
      <c r="Q999" s="526"/>
      <c r="R999" s="526"/>
      <c r="S999" s="526"/>
      <c r="T999" s="526"/>
      <c r="U999" s="526"/>
      <c r="V999" s="526"/>
      <c r="W999" s="526"/>
      <c r="X999" s="526"/>
    </row>
  </sheetData>
  <mergeCells count="4">
    <mergeCell ref="P4:V4"/>
    <mergeCell ref="B6:H6"/>
    <mergeCell ref="J6:L6"/>
    <mergeCell ref="U16:V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19F1-64ED-4EE2-88B7-A2AC93B38408}">
  <sheetPr codeName="Sheet6">
    <tabColor theme="3"/>
  </sheetPr>
  <dimension ref="A1:O672"/>
  <sheetViews>
    <sheetView showGridLines="0" zoomScale="80" zoomScaleNormal="80" workbookViewId="0">
      <pane ySplit="1" topLeftCell="A293" activePane="bottomLeft" state="frozen"/>
      <selection pane="bottomLeft" activeCell="A324" sqref="A324:XFD324"/>
    </sheetView>
  </sheetViews>
  <sheetFormatPr baseColWidth="10" defaultColWidth="8.6640625" defaultRowHeight="15" outlineLevelRow="1"/>
  <cols>
    <col min="1" max="1" width="46.33203125" style="513" customWidth="1"/>
    <col min="2" max="2" width="23.1640625" style="513" customWidth="1"/>
    <col min="3" max="3" width="55.5" style="513" customWidth="1"/>
    <col min="4" max="9" width="15.1640625" style="513" customWidth="1"/>
    <col min="10" max="10" width="14.5" style="513" customWidth="1"/>
    <col min="11" max="11" width="21.5" style="529" customWidth="1"/>
    <col min="12" max="20" width="21.5" style="513" customWidth="1"/>
    <col min="21" max="24" width="19.5" style="513" customWidth="1"/>
    <col min="25" max="16384" width="8.6640625" style="513"/>
  </cols>
  <sheetData>
    <row r="1" spans="1:15" ht="26">
      <c r="A1" s="45" t="s">
        <v>321</v>
      </c>
      <c r="B1" s="46"/>
      <c r="C1" s="46"/>
      <c r="D1" s="307">
        <f>INPUTS!D1</f>
        <v>2027</v>
      </c>
      <c r="E1" s="307">
        <f>INPUTS!E1</f>
        <v>2028</v>
      </c>
      <c r="F1" s="307">
        <f>INPUTS!F1</f>
        <v>2029</v>
      </c>
      <c r="G1" s="307">
        <f>INPUTS!G1</f>
        <v>2030</v>
      </c>
      <c r="H1" s="307">
        <f>INPUTS!H1</f>
        <v>2031</v>
      </c>
      <c r="I1" s="307">
        <f>INPUTS!I1</f>
        <v>2032</v>
      </c>
      <c r="J1" s="46"/>
      <c r="K1" s="307"/>
      <c r="L1" s="307"/>
      <c r="M1" s="46"/>
      <c r="N1" s="46"/>
      <c r="O1" s="86"/>
    </row>
    <row r="2" spans="1:15" ht="14.25" customHeight="1">
      <c r="A2" s="183"/>
      <c r="B2"/>
      <c r="C2"/>
      <c r="D2"/>
      <c r="E2"/>
      <c r="F2"/>
      <c r="G2"/>
      <c r="H2"/>
      <c r="I2"/>
      <c r="J2"/>
      <c r="K2"/>
      <c r="L2"/>
      <c r="M2"/>
      <c r="N2"/>
      <c r="O2" s="464"/>
    </row>
    <row r="3" spans="1:15" s="520" customFormat="1" ht="26">
      <c r="A3" s="87" t="s">
        <v>412</v>
      </c>
      <c r="B3" s="88"/>
      <c r="C3" s="88"/>
      <c r="D3" s="89"/>
      <c r="E3" s="88"/>
      <c r="F3" s="88"/>
      <c r="G3" s="89"/>
      <c r="H3" s="88"/>
      <c r="I3" s="360"/>
      <c r="J3" s="88"/>
      <c r="K3" s="88"/>
      <c r="L3" s="88"/>
      <c r="M3" s="88"/>
      <c r="N3" s="88"/>
      <c r="O3" s="90"/>
    </row>
    <row r="4" spans="1:15" ht="14.25" customHeight="1">
      <c r="A4" s="183"/>
      <c r="B4"/>
      <c r="C4"/>
      <c r="D4"/>
      <c r="E4"/>
      <c r="F4"/>
      <c r="G4"/>
      <c r="H4"/>
      <c r="I4"/>
      <c r="J4"/>
      <c r="K4"/>
      <c r="L4"/>
      <c r="M4"/>
      <c r="N4"/>
      <c r="O4" s="464"/>
    </row>
    <row r="5" spans="1:15" outlineLevel="1">
      <c r="A5" s="183"/>
      <c r="B5" s="740"/>
      <c r="C5" s="196"/>
      <c r="D5" s="197">
        <f>$D$1</f>
        <v>2027</v>
      </c>
      <c r="E5" s="198">
        <f>$E$1</f>
        <v>2028</v>
      </c>
      <c r="F5" s="198">
        <f>$F$1</f>
        <v>2029</v>
      </c>
      <c r="G5" s="198">
        <f>$G$1</f>
        <v>2030</v>
      </c>
      <c r="H5" s="198">
        <f>$H$1</f>
        <v>2031</v>
      </c>
      <c r="I5" s="405">
        <f>$I$1</f>
        <v>2032</v>
      </c>
      <c r="J5"/>
      <c r="K5"/>
      <c r="L5"/>
      <c r="M5"/>
      <c r="N5"/>
      <c r="O5" s="464"/>
    </row>
    <row r="6" spans="1:15" outlineLevel="1">
      <c r="A6" s="183"/>
      <c r="B6"/>
      <c r="C6" s="199" t="s">
        <v>254</v>
      </c>
      <c r="D6" s="200"/>
      <c r="E6" s="200"/>
      <c r="F6" s="200"/>
      <c r="G6" s="200"/>
      <c r="H6" s="200"/>
      <c r="I6" s="201"/>
      <c r="J6"/>
      <c r="K6"/>
      <c r="L6"/>
      <c r="M6"/>
      <c r="N6"/>
      <c r="O6" s="464"/>
    </row>
    <row r="7" spans="1:15" outlineLevel="1">
      <c r="A7" s="741"/>
      <c r="B7"/>
      <c r="C7" s="202" t="s">
        <v>255</v>
      </c>
      <c r="D7" s="203">
        <f t="shared" ref="D7:I7" si="0">D57</f>
        <v>0</v>
      </c>
      <c r="E7" s="203">
        <f t="shared" si="0"/>
        <v>240</v>
      </c>
      <c r="F7" s="203">
        <f t="shared" si="0"/>
        <v>480</v>
      </c>
      <c r="G7" s="203">
        <f t="shared" si="0"/>
        <v>690</v>
      </c>
      <c r="H7" s="203">
        <f t="shared" si="0"/>
        <v>780</v>
      </c>
      <c r="I7" s="203">
        <f t="shared" si="0"/>
        <v>780</v>
      </c>
      <c r="J7"/>
      <c r="K7"/>
      <c r="L7"/>
      <c r="M7"/>
      <c r="N7"/>
      <c r="O7" s="464"/>
    </row>
    <row r="8" spans="1:15" outlineLevel="1">
      <c r="A8" s="741"/>
      <c r="B8"/>
      <c r="C8" s="204" t="s">
        <v>379</v>
      </c>
      <c r="D8" s="205">
        <f t="shared" ref="D8:I8" si="1">D108</f>
        <v>1</v>
      </c>
      <c r="E8" s="205">
        <f t="shared" si="1"/>
        <v>27.25</v>
      </c>
      <c r="F8" s="205">
        <f t="shared" si="1"/>
        <v>49.25</v>
      </c>
      <c r="G8" s="205">
        <f t="shared" si="1"/>
        <v>71.25</v>
      </c>
      <c r="H8" s="205">
        <f t="shared" si="1"/>
        <v>83.25</v>
      </c>
      <c r="I8" s="205">
        <f t="shared" si="1"/>
        <v>83.25</v>
      </c>
      <c r="J8"/>
      <c r="K8"/>
      <c r="L8"/>
      <c r="M8"/>
      <c r="N8"/>
      <c r="O8" s="464"/>
    </row>
    <row r="9" spans="1:15" s="533" customFormat="1" outlineLevel="1">
      <c r="A9" s="741"/>
      <c r="B9" s="740"/>
      <c r="C9" s="202" t="s">
        <v>256</v>
      </c>
      <c r="D9" s="206">
        <f t="shared" ref="D9:I9" si="2">IFERROR(D57/D108, 0)</f>
        <v>0</v>
      </c>
      <c r="E9" s="206">
        <f t="shared" si="2"/>
        <v>8.8073394495412849</v>
      </c>
      <c r="F9" s="206">
        <f t="shared" si="2"/>
        <v>9.746192893401016</v>
      </c>
      <c r="G9" s="206">
        <f t="shared" si="2"/>
        <v>9.6842105263157894</v>
      </c>
      <c r="H9" s="206">
        <f t="shared" si="2"/>
        <v>9.3693693693693696</v>
      </c>
      <c r="I9" s="206">
        <f t="shared" si="2"/>
        <v>9.3693693693693696</v>
      </c>
      <c r="J9"/>
      <c r="K9"/>
      <c r="L9"/>
      <c r="M9" s="740"/>
      <c r="N9" s="740"/>
      <c r="O9" s="742"/>
    </row>
    <row r="10" spans="1:15" s="533" customFormat="1" outlineLevel="1">
      <c r="A10" s="741"/>
      <c r="B10" s="740"/>
      <c r="C10" s="199" t="s">
        <v>257</v>
      </c>
      <c r="D10" s="200"/>
      <c r="E10" s="200"/>
      <c r="F10" s="200"/>
      <c r="G10" s="200"/>
      <c r="H10" s="200"/>
      <c r="I10" s="201"/>
      <c r="J10"/>
      <c r="K10"/>
      <c r="L10"/>
      <c r="M10" s="740"/>
      <c r="N10" s="740"/>
      <c r="O10" s="742"/>
    </row>
    <row r="11" spans="1:15" s="534" customFormat="1" outlineLevel="1">
      <c r="A11" s="743"/>
      <c r="B11" s="744"/>
      <c r="C11" s="207" t="s">
        <v>258</v>
      </c>
      <c r="D11" s="208">
        <f>IFERROR(D296/#REF!, 0)</f>
        <v>0</v>
      </c>
      <c r="E11" s="208">
        <f>IFERROR(E296/#REF!, 0)</f>
        <v>0</v>
      </c>
      <c r="F11" s="208">
        <f>IFERROR(F296/#REF!, 0)</f>
        <v>0</v>
      </c>
      <c r="G11" s="208">
        <f>IFERROR(G296/#REF!, 0)</f>
        <v>0</v>
      </c>
      <c r="H11" s="208">
        <f>IFERROR(H296/#REF!, 0)</f>
        <v>0</v>
      </c>
      <c r="I11" s="208">
        <f>IFERROR(I296/#REF!, 0)</f>
        <v>0</v>
      </c>
      <c r="J11"/>
      <c r="K11"/>
      <c r="L11"/>
      <c r="M11" s="744"/>
      <c r="N11" s="744"/>
      <c r="O11" s="745"/>
    </row>
    <row r="12" spans="1:15" s="533" customFormat="1" outlineLevel="1">
      <c r="A12" s="741"/>
      <c r="B12" s="740"/>
      <c r="C12" s="209" t="s">
        <v>259</v>
      </c>
      <c r="D12" s="210">
        <f t="shared" ref="D12:I12" si="3">IFERROR(D296, 0)</f>
        <v>-22380</v>
      </c>
      <c r="E12" s="210">
        <f t="shared" si="3"/>
        <v>45975.524742577225</v>
      </c>
      <c r="F12" s="210">
        <f t="shared" si="3"/>
        <v>817917.60040949658</v>
      </c>
      <c r="G12" s="210">
        <f t="shared" si="3"/>
        <v>1462166.8119840734</v>
      </c>
      <c r="H12" s="210">
        <f t="shared" si="3"/>
        <v>1564760.7758226208</v>
      </c>
      <c r="I12" s="210">
        <f t="shared" si="3"/>
        <v>1881269.8710383102</v>
      </c>
      <c r="J12"/>
      <c r="K12"/>
      <c r="L12"/>
      <c r="M12" s="740"/>
      <c r="N12" s="740"/>
      <c r="O12" s="742"/>
    </row>
    <row r="13" spans="1:15" s="533" customFormat="1" outlineLevel="1">
      <c r="A13" s="741"/>
      <c r="B13" s="740"/>
      <c r="C13" s="207" t="s">
        <v>260</v>
      </c>
      <c r="D13" s="211">
        <f>IFERROR(D169-#REF!, 0)</f>
        <v>0</v>
      </c>
      <c r="E13" s="211">
        <f>IFERROR(E169-#REF!, 0)</f>
        <v>0</v>
      </c>
      <c r="F13" s="211">
        <f>IFERROR(F169-#REF!, 0)</f>
        <v>0</v>
      </c>
      <c r="G13" s="211">
        <f>IFERROR(G169-#REF!, 0)</f>
        <v>0</v>
      </c>
      <c r="H13" s="211">
        <f>IFERROR(H169-#REF!, 0)</f>
        <v>0</v>
      </c>
      <c r="I13" s="211">
        <f>IFERROR(I169-#REF!, 0)</f>
        <v>0</v>
      </c>
      <c r="J13"/>
      <c r="K13"/>
      <c r="L13"/>
      <c r="M13" s="740"/>
      <c r="N13" s="740"/>
      <c r="O13" s="742"/>
    </row>
    <row r="14" spans="1:15" outlineLevel="1">
      <c r="A14" s="183"/>
      <c r="B14"/>
      <c r="C14" s="209" t="s">
        <v>261</v>
      </c>
      <c r="D14" s="210">
        <f t="shared" ref="D14" si="4">IFERROR(D12/D7, 0)</f>
        <v>0</v>
      </c>
      <c r="E14" s="210">
        <f t="shared" ref="E14:I14" si="5">IFERROR(E12/E7, 0)</f>
        <v>191.56468642740509</v>
      </c>
      <c r="F14" s="210">
        <f t="shared" si="5"/>
        <v>1703.995000853118</v>
      </c>
      <c r="G14" s="210">
        <f t="shared" si="5"/>
        <v>2119.0823362088022</v>
      </c>
      <c r="H14" s="210">
        <f t="shared" si="5"/>
        <v>2006.1035587469498</v>
      </c>
      <c r="I14" s="210">
        <f t="shared" si="5"/>
        <v>2411.8844500491155</v>
      </c>
      <c r="J14"/>
      <c r="K14"/>
      <c r="L14"/>
      <c r="M14"/>
      <c r="N14"/>
      <c r="O14" s="464"/>
    </row>
    <row r="15" spans="1:15" outlineLevel="1">
      <c r="A15" s="183"/>
      <c r="B15"/>
      <c r="C15" s="199" t="s">
        <v>262</v>
      </c>
      <c r="D15" s="200"/>
      <c r="E15" s="200"/>
      <c r="F15" s="200"/>
      <c r="G15" s="200"/>
      <c r="H15" s="200"/>
      <c r="I15" s="201"/>
      <c r="J15"/>
      <c r="K15"/>
      <c r="L15"/>
      <c r="M15"/>
      <c r="N15"/>
      <c r="O15" s="464"/>
    </row>
    <row r="16" spans="1:15" outlineLevel="1">
      <c r="A16" s="183"/>
      <c r="B16" s="746"/>
      <c r="C16" s="212" t="s">
        <v>263</v>
      </c>
      <c r="D16" s="213">
        <f>D164</f>
        <v>256000</v>
      </c>
      <c r="E16" s="213">
        <f t="shared" ref="E16:I16" si="6">E164</f>
        <v>5089873.8599999994</v>
      </c>
      <c r="F16" s="213">
        <f t="shared" si="6"/>
        <v>9531906.7559999991</v>
      </c>
      <c r="G16" s="213">
        <f t="shared" si="6"/>
        <v>13632355.380974062</v>
      </c>
      <c r="H16" s="213">
        <f t="shared" si="6"/>
        <v>15652036.908919655</v>
      </c>
      <c r="I16" s="213">
        <f t="shared" si="6"/>
        <v>16014494.195805011</v>
      </c>
      <c r="J16"/>
      <c r="K16"/>
      <c r="L16"/>
      <c r="M16"/>
      <c r="N16"/>
      <c r="O16" s="464"/>
    </row>
    <row r="17" spans="1:15" outlineLevel="1">
      <c r="A17" s="183"/>
      <c r="B17" s="746"/>
      <c r="C17" s="202" t="s">
        <v>324</v>
      </c>
      <c r="D17" s="214">
        <f t="shared" ref="D17:I18" si="7">D173</f>
        <v>6000</v>
      </c>
      <c r="E17" s="214">
        <f t="shared" si="7"/>
        <v>4789873.8599999994</v>
      </c>
      <c r="F17" s="214">
        <f t="shared" si="7"/>
        <v>9231906.7559999991</v>
      </c>
      <c r="G17" s="214">
        <f t="shared" si="7"/>
        <v>13332355.380974058</v>
      </c>
      <c r="H17" s="214">
        <f t="shared" si="7"/>
        <v>15352036.908919655</v>
      </c>
      <c r="I17" s="214">
        <f t="shared" si="7"/>
        <v>15714494.195805013</v>
      </c>
      <c r="J17"/>
      <c r="K17"/>
      <c r="L17"/>
      <c r="M17"/>
      <c r="N17"/>
      <c r="O17" s="464"/>
    </row>
    <row r="18" spans="1:15" outlineLevel="1">
      <c r="A18" s="183"/>
      <c r="B18" s="746"/>
      <c r="C18" s="204" t="s">
        <v>325</v>
      </c>
      <c r="D18" s="215">
        <f t="shared" si="7"/>
        <v>250000</v>
      </c>
      <c r="E18" s="215">
        <f t="shared" si="7"/>
        <v>300000</v>
      </c>
      <c r="F18" s="215">
        <f t="shared" si="7"/>
        <v>300000</v>
      </c>
      <c r="G18" s="215">
        <f t="shared" si="7"/>
        <v>300000</v>
      </c>
      <c r="H18" s="215">
        <f t="shared" si="7"/>
        <v>300000</v>
      </c>
      <c r="I18" s="215">
        <f t="shared" si="7"/>
        <v>300000</v>
      </c>
      <c r="J18"/>
      <c r="K18"/>
      <c r="L18"/>
      <c r="M18"/>
      <c r="N18"/>
      <c r="O18" s="464"/>
    </row>
    <row r="19" spans="1:15" outlineLevel="1">
      <c r="A19" s="183"/>
      <c r="B19" s="746"/>
      <c r="C19" s="212" t="s">
        <v>264</v>
      </c>
      <c r="D19" s="216">
        <f>IFERROR(D16/D7, 0)</f>
        <v>0</v>
      </c>
      <c r="E19" s="216">
        <f t="shared" ref="E19:I19" si="8">IFERROR(E16/E7, 0)</f>
        <v>21207.807749999996</v>
      </c>
      <c r="F19" s="216">
        <f t="shared" si="8"/>
        <v>19858.139074999999</v>
      </c>
      <c r="G19" s="216">
        <f t="shared" si="8"/>
        <v>19757.03678402038</v>
      </c>
      <c r="H19" s="216">
        <f t="shared" si="8"/>
        <v>20066.713985794428</v>
      </c>
      <c r="I19" s="216">
        <f t="shared" si="8"/>
        <v>20531.402815134628</v>
      </c>
      <c r="J19"/>
      <c r="K19"/>
      <c r="L19"/>
      <c r="M19"/>
      <c r="N19"/>
      <c r="O19" s="464"/>
    </row>
    <row r="20" spans="1:15" outlineLevel="1">
      <c r="A20" s="183"/>
      <c r="B20" s="746"/>
      <c r="C20" s="202" t="s">
        <v>265</v>
      </c>
      <c r="D20" s="214">
        <f t="shared" ref="D20:I20" si="9">IFERROR(D169/D7, 0)</f>
        <v>0</v>
      </c>
      <c r="E20" s="214">
        <f t="shared" si="9"/>
        <v>19957.807749999996</v>
      </c>
      <c r="F20" s="214">
        <f t="shared" si="9"/>
        <v>19233.139074999999</v>
      </c>
      <c r="G20" s="214">
        <f t="shared" si="9"/>
        <v>19322.254175324721</v>
      </c>
      <c r="H20" s="214">
        <f t="shared" si="9"/>
        <v>19682.098601179045</v>
      </c>
      <c r="I20" s="214">
        <f t="shared" si="9"/>
        <v>20146.787430519249</v>
      </c>
      <c r="J20"/>
      <c r="K20"/>
      <c r="L20"/>
      <c r="M20"/>
      <c r="N20"/>
      <c r="O20" s="464"/>
    </row>
    <row r="21" spans="1:15" outlineLevel="1">
      <c r="A21" s="183"/>
      <c r="B21" s="746"/>
      <c r="C21" s="204" t="s">
        <v>266</v>
      </c>
      <c r="D21" s="215">
        <f t="shared" ref="D21:I21" si="10">IFERROR(D170/D7, 0)</f>
        <v>0</v>
      </c>
      <c r="E21" s="215">
        <f t="shared" si="10"/>
        <v>1250</v>
      </c>
      <c r="F21" s="215">
        <f t="shared" si="10"/>
        <v>625</v>
      </c>
      <c r="G21" s="215">
        <f t="shared" si="10"/>
        <v>434.78260869565219</v>
      </c>
      <c r="H21" s="215">
        <f t="shared" si="10"/>
        <v>384.61538461538464</v>
      </c>
      <c r="I21" s="215">
        <f t="shared" si="10"/>
        <v>384.61538461538464</v>
      </c>
      <c r="J21"/>
      <c r="K21"/>
      <c r="L21"/>
      <c r="M21"/>
      <c r="N21"/>
      <c r="O21" s="464"/>
    </row>
    <row r="22" spans="1:15" outlineLevel="1">
      <c r="A22" s="183"/>
      <c r="B22" s="746"/>
      <c r="C22" s="199" t="s">
        <v>267</v>
      </c>
      <c r="D22" s="200"/>
      <c r="E22" s="200"/>
      <c r="F22" s="200"/>
      <c r="G22" s="200"/>
      <c r="H22" s="200"/>
      <c r="I22" s="201"/>
      <c r="J22"/>
      <c r="K22"/>
      <c r="L22"/>
      <c r="M22"/>
      <c r="N22"/>
      <c r="O22" s="464"/>
    </row>
    <row r="23" spans="1:15" outlineLevel="1">
      <c r="A23" s="183"/>
      <c r="B23" s="746"/>
      <c r="C23" s="217" t="s">
        <v>268</v>
      </c>
      <c r="D23" s="216">
        <f>IFERROR(D275, 0)</f>
        <v>278380</v>
      </c>
      <c r="E23" s="216">
        <f t="shared" ref="E23:I23" si="11">IFERROR(E275, 0)</f>
        <v>5043898.3352574222</v>
      </c>
      <c r="F23" s="216">
        <f t="shared" si="11"/>
        <v>8713989.1555905025</v>
      </c>
      <c r="G23" s="216">
        <f t="shared" si="11"/>
        <v>12170188.568989988</v>
      </c>
      <c r="H23" s="216">
        <f t="shared" si="11"/>
        <v>14087276.133097034</v>
      </c>
      <c r="I23" s="216">
        <f t="shared" si="11"/>
        <v>14133224.324766701</v>
      </c>
      <c r="J23"/>
      <c r="K23"/>
      <c r="L23"/>
      <c r="M23"/>
      <c r="N23"/>
      <c r="O23" s="464"/>
    </row>
    <row r="24" spans="1:15" outlineLevel="1">
      <c r="A24" s="183"/>
      <c r="B24" s="746"/>
      <c r="C24" s="212" t="s">
        <v>269</v>
      </c>
      <c r="D24" s="218">
        <f>IFERROR(D23/D7, 0)</f>
        <v>0</v>
      </c>
      <c r="E24" s="218">
        <f t="shared" ref="E24:I24" si="12">IFERROR(E23/E7, 0)</f>
        <v>21016.243063572594</v>
      </c>
      <c r="F24" s="218">
        <f t="shared" si="12"/>
        <v>18154.14407414688</v>
      </c>
      <c r="G24" s="218">
        <f t="shared" si="12"/>
        <v>17637.954447811579</v>
      </c>
      <c r="H24" s="218">
        <f t="shared" si="12"/>
        <v>18060.610427047479</v>
      </c>
      <c r="I24" s="218">
        <f t="shared" si="12"/>
        <v>18119.518365085514</v>
      </c>
      <c r="J24"/>
      <c r="K24"/>
      <c r="L24"/>
      <c r="M24"/>
      <c r="N24"/>
      <c r="O24" s="464"/>
    </row>
    <row r="25" spans="1:15" outlineLevel="1">
      <c r="A25" s="183"/>
      <c r="B25" s="746"/>
      <c r="C25" s="202" t="s">
        <v>270</v>
      </c>
      <c r="D25" s="214">
        <f t="shared" ref="D25:I25" si="13">IFERROR(D280/D7, 0)</f>
        <v>0</v>
      </c>
      <c r="E25" s="214">
        <f t="shared" si="13"/>
        <v>11467.223895833335</v>
      </c>
      <c r="F25" s="214">
        <f t="shared" si="13"/>
        <v>10248.641002708331</v>
      </c>
      <c r="G25" s="214">
        <f t="shared" si="13"/>
        <v>10388.4463163</v>
      </c>
      <c r="H25" s="214">
        <f t="shared" si="13"/>
        <v>11011.171582392835</v>
      </c>
      <c r="I25" s="214">
        <f t="shared" si="13"/>
        <v>11341.506729864617</v>
      </c>
      <c r="J25"/>
      <c r="K25"/>
      <c r="L25"/>
      <c r="M25"/>
      <c r="N25"/>
      <c r="O25" s="464"/>
    </row>
    <row r="26" spans="1:15" outlineLevel="1">
      <c r="A26" s="183"/>
      <c r="B26" s="746"/>
      <c r="C26" s="204" t="s">
        <v>271</v>
      </c>
      <c r="D26" s="210">
        <f t="shared" ref="D26:I26" si="14">IFERROR( SUM(D281:D285) / D7, 0)</f>
        <v>0</v>
      </c>
      <c r="E26" s="210">
        <f t="shared" si="14"/>
        <v>9549.0191677392559</v>
      </c>
      <c r="F26" s="210">
        <f t="shared" si="14"/>
        <v>7905.5030714385493</v>
      </c>
      <c r="G26" s="210">
        <f t="shared" si="14"/>
        <v>7249.5081315115785</v>
      </c>
      <c r="H26" s="210">
        <f t="shared" si="14"/>
        <v>7049.4388446546436</v>
      </c>
      <c r="I26" s="210">
        <f t="shared" si="14"/>
        <v>6778.0116352208952</v>
      </c>
      <c r="J26"/>
      <c r="K26"/>
      <c r="L26"/>
      <c r="M26"/>
      <c r="N26"/>
      <c r="O26" s="464"/>
    </row>
    <row r="27" spans="1:15" outlineLevel="1">
      <c r="A27" s="183"/>
      <c r="B27" s="746"/>
      <c r="C27" s="199" t="s">
        <v>272</v>
      </c>
      <c r="D27" s="200"/>
      <c r="E27" s="200"/>
      <c r="F27" s="200"/>
      <c r="G27" s="200"/>
      <c r="H27" s="200"/>
      <c r="I27" s="201"/>
      <c r="J27"/>
      <c r="K27"/>
      <c r="L27"/>
      <c r="M27"/>
      <c r="N27"/>
      <c r="O27" s="464"/>
    </row>
    <row r="28" spans="1:15" outlineLevel="1">
      <c r="A28" s="183"/>
      <c r="B28" s="746"/>
      <c r="C28" s="202" t="s">
        <v>273</v>
      </c>
      <c r="D28" s="219">
        <f>IFERROR(D169/D23, 0)</f>
        <v>2.1553272505208707E-2</v>
      </c>
      <c r="E28" s="219">
        <f t="shared" ref="E28:I28" si="15">IFERROR(E169/E23, 0)</f>
        <v>0.94963727292404709</v>
      </c>
      <c r="F28" s="219">
        <f t="shared" si="15"/>
        <v>1.0594351899184111</v>
      </c>
      <c r="G28" s="219">
        <f t="shared" si="15"/>
        <v>1.0954929174183303</v>
      </c>
      <c r="H28" s="219">
        <f t="shared" si="15"/>
        <v>1.0897803637745949</v>
      </c>
      <c r="I28" s="219">
        <f t="shared" si="15"/>
        <v>1.1118831651364462</v>
      </c>
      <c r="J28"/>
      <c r="K28"/>
      <c r="L28"/>
      <c r="M28"/>
      <c r="N28"/>
      <c r="O28" s="464"/>
    </row>
    <row r="29" spans="1:15" outlineLevel="1">
      <c r="A29" s="183"/>
      <c r="B29" s="746"/>
      <c r="C29" s="204" t="s">
        <v>274</v>
      </c>
      <c r="D29" s="220">
        <f t="shared" ref="D29:I29" si="16">IFERROR(D280/D169, 0)</f>
        <v>44.633333333333333</v>
      </c>
      <c r="E29" s="220">
        <f t="shared" si="16"/>
        <v>0.57457332185361576</v>
      </c>
      <c r="F29" s="220">
        <f t="shared" si="16"/>
        <v>0.53286366633878945</v>
      </c>
      <c r="G29" s="220">
        <f t="shared" si="16"/>
        <v>0.53764153095379807</v>
      </c>
      <c r="H29" s="220">
        <f t="shared" si="16"/>
        <v>0.55945109337747234</v>
      </c>
      <c r="I29" s="220">
        <f t="shared" si="16"/>
        <v>0.56294368365072445</v>
      </c>
      <c r="J29"/>
      <c r="K29"/>
      <c r="L29"/>
      <c r="M29"/>
      <c r="N29"/>
      <c r="O29" s="464"/>
    </row>
    <row r="30" spans="1:15" outlineLevel="1">
      <c r="A30" s="183"/>
      <c r="B30" s="746"/>
      <c r="C30" s="202" t="s">
        <v>275</v>
      </c>
      <c r="D30" s="219">
        <f t="shared" ref="D30:I30" si="17">IFERROR(D282/D169, 0)</f>
        <v>0</v>
      </c>
      <c r="E30" s="219">
        <f t="shared" si="17"/>
        <v>8.5179696151747947E-2</v>
      </c>
      <c r="F30" s="219">
        <f t="shared" si="17"/>
        <v>5.5568152231021087E-2</v>
      </c>
      <c r="G30" s="219">
        <f t="shared" si="17"/>
        <v>3.8477822210775808E-2</v>
      </c>
      <c r="H30" s="219">
        <f t="shared" si="17"/>
        <v>3.3415761246766082E-2</v>
      </c>
      <c r="I30" s="219">
        <f t="shared" si="17"/>
        <v>3.2645021443766575E-2</v>
      </c>
      <c r="J30"/>
      <c r="K30"/>
      <c r="L30"/>
      <c r="M30"/>
      <c r="N30"/>
      <c r="O30" s="464"/>
    </row>
    <row r="31" spans="1:15" outlineLevel="1">
      <c r="A31" s="183"/>
      <c r="B31" s="746"/>
      <c r="C31" s="204" t="s">
        <v>276</v>
      </c>
      <c r="D31" s="220">
        <f t="shared" ref="D31:I31" si="18">IFERROR(SUM(D281,D283:D285)/D169, 0)</f>
        <v>1.7633333333333334</v>
      </c>
      <c r="E31" s="220">
        <f t="shared" si="18"/>
        <v>0.39328062811604431</v>
      </c>
      <c r="F31" s="220">
        <f t="shared" si="18"/>
        <v>0.35546735479728497</v>
      </c>
      <c r="G31" s="220">
        <f t="shared" si="18"/>
        <v>0.33671174240894053</v>
      </c>
      <c r="H31" s="220">
        <f t="shared" si="18"/>
        <v>0.32474923871072581</v>
      </c>
      <c r="I31" s="220">
        <f t="shared" si="18"/>
        <v>0.30378636537641013</v>
      </c>
      <c r="J31"/>
      <c r="K31"/>
      <c r="L31"/>
      <c r="M31"/>
      <c r="N31"/>
      <c r="O31" s="464"/>
    </row>
    <row r="32" spans="1:15" outlineLevel="1">
      <c r="A32" s="183"/>
      <c r="B32" s="746"/>
      <c r="C32" s="221" t="s">
        <v>277</v>
      </c>
      <c r="D32" s="200"/>
      <c r="E32" s="200"/>
      <c r="F32" s="200"/>
      <c r="G32" s="200"/>
      <c r="H32" s="200"/>
      <c r="I32" s="201"/>
      <c r="J32"/>
      <c r="K32"/>
      <c r="L32"/>
      <c r="M32"/>
      <c r="N32"/>
      <c r="O32" s="464"/>
    </row>
    <row r="33" spans="1:15" outlineLevel="1">
      <c r="A33" s="183"/>
      <c r="B33" s="746"/>
      <c r="C33" s="222" t="s">
        <v>278</v>
      </c>
      <c r="D33" s="362">
        <f t="shared" ref="D33:I33" si="19">D335</f>
        <v>91.98206945158833</v>
      </c>
      <c r="E33" s="223">
        <f t="shared" si="19"/>
        <v>102.63111840833139</v>
      </c>
      <c r="F33" s="223">
        <f t="shared" si="19"/>
        <v>97.426325933926208</v>
      </c>
      <c r="G33" s="223">
        <f t="shared" si="19"/>
        <v>116.52469496054194</v>
      </c>
      <c r="H33" s="223">
        <f t="shared" si="19"/>
        <v>143.71481658080637</v>
      </c>
      <c r="I33" s="223">
        <f t="shared" si="19"/>
        <v>194.50006770157015</v>
      </c>
      <c r="J33"/>
      <c r="K33"/>
      <c r="L33"/>
      <c r="M33"/>
      <c r="N33"/>
      <c r="O33" s="464"/>
    </row>
    <row r="34" spans="1:15" outlineLevel="1">
      <c r="A34" s="183"/>
      <c r="B34" s="746"/>
      <c r="C34" s="224" t="s">
        <v>279</v>
      </c>
      <c r="D34" s="363">
        <f t="shared" ref="D34:I34" si="20">MAX(D343,D361)+SUM(D124,D155)</f>
        <v>272380</v>
      </c>
      <c r="E34" s="363">
        <f t="shared" si="20"/>
        <v>300000</v>
      </c>
      <c r="F34" s="363">
        <f t="shared" si="20"/>
        <v>300000</v>
      </c>
      <c r="G34" s="363">
        <f t="shared" si="20"/>
        <v>300000</v>
      </c>
      <c r="H34" s="363">
        <f t="shared" si="20"/>
        <v>300000</v>
      </c>
      <c r="I34" s="363">
        <f t="shared" si="20"/>
        <v>300000</v>
      </c>
      <c r="J34"/>
      <c r="K34"/>
      <c r="L34"/>
      <c r="M34"/>
      <c r="N34"/>
      <c r="O34" s="464"/>
    </row>
    <row r="35" spans="1:15" outlineLevel="1">
      <c r="A35" s="183"/>
      <c r="B35" s="746"/>
      <c r="C35" s="224" t="s">
        <v>280</v>
      </c>
      <c r="D35" s="363">
        <f t="shared" ref="D35:I35" si="21">IFERROR(D34/D7, 0)</f>
        <v>0</v>
      </c>
      <c r="E35" s="225">
        <f t="shared" si="21"/>
        <v>1250</v>
      </c>
      <c r="F35" s="225">
        <f t="shared" si="21"/>
        <v>625</v>
      </c>
      <c r="G35" s="225">
        <f t="shared" si="21"/>
        <v>434.78260869565219</v>
      </c>
      <c r="H35" s="225">
        <f t="shared" si="21"/>
        <v>384.61538461538464</v>
      </c>
      <c r="I35" s="225">
        <f t="shared" si="21"/>
        <v>384.61538461538464</v>
      </c>
      <c r="J35"/>
      <c r="K35"/>
      <c r="L35"/>
      <c r="M35"/>
      <c r="N35"/>
      <c r="O35" s="464"/>
    </row>
    <row r="36" spans="1:15" outlineLevel="1">
      <c r="A36" s="183"/>
      <c r="B36" s="746"/>
      <c r="C36" s="224" t="s">
        <v>281</v>
      </c>
      <c r="D36" s="226">
        <f>MAX(D341:D342)/((E328-E303)/365)</f>
        <v>91.98206945158833</v>
      </c>
      <c r="E36" s="226">
        <f>MAX(E341:E342)/((E328-E303)/365)</f>
        <v>102.63111840833139</v>
      </c>
      <c r="F36" s="226">
        <f>MAX(F341:F342)/((F328-F303)/365)</f>
        <v>97.426325933926208</v>
      </c>
      <c r="G36" s="226">
        <f>MAX(G341:G342)/((G328-G303)/365)</f>
        <v>116.52469496054194</v>
      </c>
      <c r="H36" s="226">
        <f>MAX(H341:H342)/((H328-H303)/365)</f>
        <v>143.71481658080637</v>
      </c>
      <c r="I36" s="226">
        <f>MAX(I341:I342)/((I328-I303)/365)</f>
        <v>194.50006770157015</v>
      </c>
      <c r="J36"/>
      <c r="K36"/>
      <c r="L36"/>
      <c r="M36"/>
      <c r="N36"/>
      <c r="O36" s="464"/>
    </row>
    <row r="37" spans="1:15" outlineLevel="1">
      <c r="A37" s="183"/>
      <c r="B37" s="746"/>
      <c r="C37" s="227" t="s">
        <v>282</v>
      </c>
      <c r="D37" s="230">
        <f t="shared" ref="D37:I37" si="22">D343</f>
        <v>0</v>
      </c>
      <c r="E37" s="228">
        <f t="shared" si="22"/>
        <v>0</v>
      </c>
      <c r="F37" s="228">
        <f t="shared" si="22"/>
        <v>0</v>
      </c>
      <c r="G37" s="228">
        <f t="shared" si="22"/>
        <v>0</v>
      </c>
      <c r="H37" s="228">
        <f t="shared" si="22"/>
        <v>0</v>
      </c>
      <c r="I37" s="228">
        <f t="shared" si="22"/>
        <v>0</v>
      </c>
      <c r="J37"/>
      <c r="K37"/>
      <c r="L37"/>
      <c r="M37"/>
      <c r="N37"/>
      <c r="O37" s="464"/>
    </row>
    <row r="38" spans="1:15" outlineLevel="1">
      <c r="A38" s="183"/>
      <c r="B38" s="746"/>
      <c r="C38" s="222" t="s">
        <v>283</v>
      </c>
      <c r="D38" s="404" t="str">
        <f t="shared" ref="D38:I38" si="23">D355</f>
        <v>NA</v>
      </c>
      <c r="E38" s="404">
        <f t="shared" si="23"/>
        <v>1.9294205000938967</v>
      </c>
      <c r="F38" s="404">
        <f t="shared" si="23"/>
        <v>3.4593614248178843</v>
      </c>
      <c r="G38" s="404">
        <f t="shared" si="23"/>
        <v>4.8893801673419119</v>
      </c>
      <c r="H38" s="404">
        <f t="shared" si="23"/>
        <v>5.1879887202846957</v>
      </c>
      <c r="I38" s="404">
        <f t="shared" si="23"/>
        <v>5.9811924548749138</v>
      </c>
      <c r="J38"/>
      <c r="K38"/>
      <c r="L38"/>
      <c r="M38"/>
      <c r="N38"/>
      <c r="O38" s="464"/>
    </row>
    <row r="39" spans="1:15" outlineLevel="1">
      <c r="A39" s="183"/>
      <c r="B39" s="746"/>
      <c r="C39" s="229" t="s">
        <v>430</v>
      </c>
      <c r="D39" s="230">
        <f t="shared" ref="D39:I39" si="24">D361</f>
        <v>22380</v>
      </c>
      <c r="E39" s="230">
        <f t="shared" si="24"/>
        <v>0</v>
      </c>
      <c r="F39" s="230">
        <f t="shared" si="24"/>
        <v>0</v>
      </c>
      <c r="G39" s="230">
        <f t="shared" si="24"/>
        <v>0</v>
      </c>
      <c r="H39" s="230">
        <f t="shared" si="24"/>
        <v>0</v>
      </c>
      <c r="I39" s="230">
        <f t="shared" si="24"/>
        <v>0</v>
      </c>
      <c r="J39"/>
      <c r="K39"/>
      <c r="L39"/>
      <c r="M39"/>
      <c r="N39"/>
      <c r="O39" s="464"/>
    </row>
    <row r="40" spans="1:15">
      <c r="A40" s="183"/>
      <c r="B40" s="746"/>
      <c r="C40"/>
      <c r="D40"/>
      <c r="E40"/>
      <c r="F40"/>
      <c r="G40"/>
      <c r="H40"/>
      <c r="I40"/>
      <c r="J40"/>
      <c r="K40"/>
      <c r="L40"/>
      <c r="M40"/>
      <c r="N40"/>
      <c r="O40" s="464"/>
    </row>
    <row r="41" spans="1:15" s="520" customFormat="1" ht="26">
      <c r="A41" s="87" t="s">
        <v>413</v>
      </c>
      <c r="B41" s="88"/>
      <c r="C41" s="88"/>
      <c r="D41" s="89"/>
      <c r="E41" s="88"/>
      <c r="F41" s="88"/>
      <c r="G41" s="89"/>
      <c r="H41" s="88"/>
      <c r="I41" s="360"/>
      <c r="J41" s="88"/>
      <c r="K41" s="88"/>
      <c r="L41" s="88"/>
      <c r="M41" s="88"/>
      <c r="N41" s="88"/>
      <c r="O41" s="90"/>
    </row>
    <row r="42" spans="1:15">
      <c r="A42" s="183"/>
      <c r="B42"/>
      <c r="C42"/>
      <c r="D42"/>
      <c r="E42"/>
      <c r="F42"/>
      <c r="G42"/>
      <c r="H42"/>
      <c r="I42"/>
      <c r="J42"/>
      <c r="K42"/>
      <c r="L42"/>
      <c r="M42"/>
      <c r="N42"/>
      <c r="O42" s="464"/>
    </row>
    <row r="43" spans="1:15" outlineLevel="1">
      <c r="A43" s="183"/>
      <c r="B43"/>
      <c r="C43" s="376" t="s">
        <v>407</v>
      </c>
      <c r="D43" s="75">
        <f t="shared" ref="D43:I43" si="25">D$1</f>
        <v>2027</v>
      </c>
      <c r="E43" s="75">
        <f t="shared" si="25"/>
        <v>2028</v>
      </c>
      <c r="F43" s="75">
        <f t="shared" si="25"/>
        <v>2029</v>
      </c>
      <c r="G43" s="75">
        <f t="shared" si="25"/>
        <v>2030</v>
      </c>
      <c r="H43" s="75">
        <f t="shared" si="25"/>
        <v>2031</v>
      </c>
      <c r="I43" s="75">
        <f t="shared" si="25"/>
        <v>2032</v>
      </c>
      <c r="J43"/>
      <c r="K43"/>
      <c r="L43"/>
      <c r="M43"/>
      <c r="N43"/>
      <c r="O43" s="464"/>
    </row>
    <row r="44" spans="1:15" outlineLevel="1">
      <c r="A44" s="183"/>
      <c r="B44"/>
      <c r="C44" s="231" t="s">
        <v>14</v>
      </c>
      <c r="D44" s="308">
        <f>CHOOSE(INPUTS!$D$17, ENROLLMENT!E23,ENROLLMENT!O23)</f>
        <v>0</v>
      </c>
      <c r="E44" s="308">
        <f>CHOOSE(INPUTS!$D$17, ENROLLMENT!F23,ENROLLMENT!P23)</f>
        <v>0</v>
      </c>
      <c r="F44" s="308">
        <f>CHOOSE(INPUTS!$D$17, ENROLLMENT!G23,ENROLLMENT!Q23)</f>
        <v>0</v>
      </c>
      <c r="G44" s="308">
        <f>CHOOSE(INPUTS!$D$17, ENROLLMENT!H23,ENROLLMENT!R23)</f>
        <v>0</v>
      </c>
      <c r="H44" s="308">
        <f>CHOOSE(INPUTS!$D$17, ENROLLMENT!I23,ENROLLMENT!S23)</f>
        <v>0</v>
      </c>
      <c r="I44" s="308">
        <f>CHOOSE(INPUTS!$D$17, ENROLLMENT!J23,ENROLLMENT!T23)</f>
        <v>0</v>
      </c>
      <c r="J44"/>
      <c r="K44"/>
      <c r="L44"/>
      <c r="M44"/>
      <c r="N44"/>
      <c r="O44" s="464"/>
    </row>
    <row r="45" spans="1:15" outlineLevel="1">
      <c r="A45" s="183"/>
      <c r="B45"/>
      <c r="C45" s="231">
        <v>1</v>
      </c>
      <c r="D45" s="308">
        <f>CHOOSE(INPUTS!$D$17, ENROLLMENT!E24,ENROLLMENT!O24)</f>
        <v>0</v>
      </c>
      <c r="E45" s="308">
        <f>CHOOSE(INPUTS!$D$17, ENROLLMENT!F24,ENROLLMENT!P24)</f>
        <v>0</v>
      </c>
      <c r="F45" s="308">
        <f>CHOOSE(INPUTS!$D$17, ENROLLMENT!G24,ENROLLMENT!Q24)</f>
        <v>0</v>
      </c>
      <c r="G45" s="308">
        <f>CHOOSE(INPUTS!$D$17, ENROLLMENT!H24,ENROLLMENT!R24)</f>
        <v>0</v>
      </c>
      <c r="H45" s="308">
        <f>CHOOSE(INPUTS!$D$17, ENROLLMENT!I24,ENROLLMENT!S24)</f>
        <v>0</v>
      </c>
      <c r="I45" s="308">
        <f>CHOOSE(INPUTS!$D$17, ENROLLMENT!J24,ENROLLMENT!T24)</f>
        <v>0</v>
      </c>
      <c r="J45"/>
      <c r="K45"/>
      <c r="L45"/>
      <c r="M45"/>
      <c r="N45"/>
      <c r="O45" s="464"/>
    </row>
    <row r="46" spans="1:15" outlineLevel="1">
      <c r="A46" s="183"/>
      <c r="B46"/>
      <c r="C46" s="231">
        <v>2</v>
      </c>
      <c r="D46" s="308">
        <f>CHOOSE(INPUTS!$D$17, ENROLLMENT!E25,ENROLLMENT!O25)</f>
        <v>0</v>
      </c>
      <c r="E46" s="308">
        <f>CHOOSE(INPUTS!$D$17, ENROLLMENT!F25,ENROLLMENT!P25)</f>
        <v>0</v>
      </c>
      <c r="F46" s="308">
        <f>CHOOSE(INPUTS!$D$17, ENROLLMENT!G25,ENROLLMENT!Q25)</f>
        <v>0</v>
      </c>
      <c r="G46" s="308">
        <f>CHOOSE(INPUTS!$D$17, ENROLLMENT!H25,ENROLLMENT!R25)</f>
        <v>0</v>
      </c>
      <c r="H46" s="308">
        <f>CHOOSE(INPUTS!$D$17, ENROLLMENT!I25,ENROLLMENT!S25)</f>
        <v>0</v>
      </c>
      <c r="I46" s="308">
        <f>CHOOSE(INPUTS!$D$17, ENROLLMENT!J25,ENROLLMENT!T25)</f>
        <v>0</v>
      </c>
      <c r="J46"/>
      <c r="K46"/>
      <c r="L46"/>
      <c r="M46"/>
      <c r="N46"/>
      <c r="O46" s="464"/>
    </row>
    <row r="47" spans="1:15" outlineLevel="1">
      <c r="A47" s="183"/>
      <c r="B47"/>
      <c r="C47" s="231">
        <v>3</v>
      </c>
      <c r="D47" s="308">
        <f>CHOOSE(INPUTS!$D$17, ENROLLMENT!E26,ENROLLMENT!O26)</f>
        <v>0</v>
      </c>
      <c r="E47" s="308">
        <f>CHOOSE(INPUTS!$D$17, ENROLLMENT!F26,ENROLLMENT!P26)</f>
        <v>0</v>
      </c>
      <c r="F47" s="308">
        <f>CHOOSE(INPUTS!$D$17, ENROLLMENT!G26,ENROLLMENT!Q26)</f>
        <v>0</v>
      </c>
      <c r="G47" s="308">
        <f>CHOOSE(INPUTS!$D$17, ENROLLMENT!H26,ENROLLMENT!R26)</f>
        <v>0</v>
      </c>
      <c r="H47" s="308">
        <f>CHOOSE(INPUTS!$D$17, ENROLLMENT!I26,ENROLLMENT!S26)</f>
        <v>0</v>
      </c>
      <c r="I47" s="308">
        <f>CHOOSE(INPUTS!$D$17, ENROLLMENT!J26,ENROLLMENT!T26)</f>
        <v>0</v>
      </c>
      <c r="J47"/>
      <c r="K47"/>
      <c r="L47"/>
      <c r="M47"/>
      <c r="N47"/>
      <c r="O47" s="464"/>
    </row>
    <row r="48" spans="1:15" outlineLevel="1">
      <c r="A48" s="183"/>
      <c r="B48"/>
      <c r="C48" s="231">
        <v>4</v>
      </c>
      <c r="D48" s="308">
        <f>CHOOSE(INPUTS!$D$17, ENROLLMENT!E27,ENROLLMENT!O27)</f>
        <v>0</v>
      </c>
      <c r="E48" s="308">
        <f>CHOOSE(INPUTS!$D$17, ENROLLMENT!F27,ENROLLMENT!P27)</f>
        <v>0</v>
      </c>
      <c r="F48" s="308">
        <f>CHOOSE(INPUTS!$D$17, ENROLLMENT!G27,ENROLLMENT!Q27)</f>
        <v>0</v>
      </c>
      <c r="G48" s="308">
        <f>CHOOSE(INPUTS!$D$17, ENROLLMENT!H27,ENROLLMENT!R27)</f>
        <v>0</v>
      </c>
      <c r="H48" s="308">
        <f>CHOOSE(INPUTS!$D$17, ENROLLMENT!I27,ENROLLMENT!S27)</f>
        <v>0</v>
      </c>
      <c r="I48" s="308">
        <f>CHOOSE(INPUTS!$D$17, ENROLLMENT!J27,ENROLLMENT!T27)</f>
        <v>0</v>
      </c>
      <c r="J48"/>
      <c r="K48"/>
      <c r="L48"/>
      <c r="M48"/>
      <c r="N48"/>
      <c r="O48" s="464"/>
    </row>
    <row r="49" spans="1:15" outlineLevel="1">
      <c r="A49" s="183"/>
      <c r="B49"/>
      <c r="C49" s="231">
        <v>5</v>
      </c>
      <c r="D49" s="308">
        <f>CHOOSE(INPUTS!$D$17, ENROLLMENT!E28,ENROLLMENT!O28)</f>
        <v>0</v>
      </c>
      <c r="E49" s="308">
        <f>CHOOSE(INPUTS!$D$17, ENROLLMENT!F28,ENROLLMENT!P28)</f>
        <v>0</v>
      </c>
      <c r="F49" s="308">
        <f>CHOOSE(INPUTS!$D$17, ENROLLMENT!G28,ENROLLMENT!Q28)</f>
        <v>0</v>
      </c>
      <c r="G49" s="308">
        <f>CHOOSE(INPUTS!$D$17, ENROLLMENT!H28,ENROLLMENT!R28)</f>
        <v>0</v>
      </c>
      <c r="H49" s="308">
        <f>CHOOSE(INPUTS!$D$17, ENROLLMENT!I28,ENROLLMENT!S28)</f>
        <v>0</v>
      </c>
      <c r="I49" s="308">
        <f>CHOOSE(INPUTS!$D$17, ENROLLMENT!J28,ENROLLMENT!T28)</f>
        <v>0</v>
      </c>
      <c r="J49"/>
      <c r="K49"/>
      <c r="L49"/>
      <c r="M49"/>
      <c r="N49"/>
      <c r="O49" s="464"/>
    </row>
    <row r="50" spans="1:15" outlineLevel="1">
      <c r="A50" s="183"/>
      <c r="B50"/>
      <c r="C50" s="231">
        <v>6</v>
      </c>
      <c r="D50" s="308">
        <f>CHOOSE(INPUTS!$D$17, ENROLLMENT!E29,ENROLLMENT!O29)</f>
        <v>0</v>
      </c>
      <c r="E50" s="308">
        <f>CHOOSE(INPUTS!$D$17, ENROLLMENT!F29,ENROLLMENT!P29)</f>
        <v>120</v>
      </c>
      <c r="F50" s="308">
        <f>CHOOSE(INPUTS!$D$17, ENROLLMENT!G29,ENROLLMENT!Q29)</f>
        <v>120</v>
      </c>
      <c r="G50" s="308">
        <f>CHOOSE(INPUTS!$D$17, ENROLLMENT!H29,ENROLLMENT!R29)</f>
        <v>120</v>
      </c>
      <c r="H50" s="308">
        <f>CHOOSE(INPUTS!$D$17, ENROLLMENT!I29,ENROLLMENT!S29)</f>
        <v>120</v>
      </c>
      <c r="I50" s="308">
        <f>CHOOSE(INPUTS!$D$17, ENROLLMENT!J29,ENROLLMENT!T29)</f>
        <v>120</v>
      </c>
      <c r="J50"/>
      <c r="K50"/>
      <c r="L50"/>
      <c r="M50"/>
      <c r="N50"/>
      <c r="O50" s="464"/>
    </row>
    <row r="51" spans="1:15" outlineLevel="1">
      <c r="A51" s="183"/>
      <c r="B51"/>
      <c r="C51" s="231">
        <v>7</v>
      </c>
      <c r="D51" s="308">
        <f>CHOOSE(INPUTS!$D$17, ENROLLMENT!E30,ENROLLMENT!O30)</f>
        <v>0</v>
      </c>
      <c r="E51" s="308">
        <f>CHOOSE(INPUTS!$D$17, ENROLLMENT!F30,ENROLLMENT!P30)</f>
        <v>0</v>
      </c>
      <c r="F51" s="308">
        <f>CHOOSE(INPUTS!$D$17, ENROLLMENT!G30,ENROLLMENT!Q30)</f>
        <v>120</v>
      </c>
      <c r="G51" s="308">
        <f>CHOOSE(INPUTS!$D$17, ENROLLMENT!H30,ENROLLMENT!R30)</f>
        <v>120</v>
      </c>
      <c r="H51" s="308">
        <f>CHOOSE(INPUTS!$D$17, ENROLLMENT!I30,ENROLLMENT!S30)</f>
        <v>120</v>
      </c>
      <c r="I51" s="308">
        <f>CHOOSE(INPUTS!$D$17, ENROLLMENT!J30,ENROLLMENT!T30)</f>
        <v>120</v>
      </c>
      <c r="J51"/>
      <c r="K51"/>
      <c r="L51"/>
      <c r="M51"/>
      <c r="N51"/>
      <c r="O51" s="464"/>
    </row>
    <row r="52" spans="1:15" outlineLevel="1">
      <c r="A52" s="183"/>
      <c r="B52"/>
      <c r="C52" s="231">
        <v>8</v>
      </c>
      <c r="D52" s="308">
        <f>CHOOSE(INPUTS!$D$17, ENROLLMENT!E31,ENROLLMENT!O31)</f>
        <v>0</v>
      </c>
      <c r="E52" s="308">
        <f>CHOOSE(INPUTS!$D$17, ENROLLMENT!F31,ENROLLMENT!P31)</f>
        <v>0</v>
      </c>
      <c r="F52" s="308">
        <f>CHOOSE(INPUTS!$D$17, ENROLLMENT!G31,ENROLLMENT!Q31)</f>
        <v>0</v>
      </c>
      <c r="G52" s="308">
        <f>CHOOSE(INPUTS!$D$17, ENROLLMENT!H31,ENROLLMENT!R31)</f>
        <v>120</v>
      </c>
      <c r="H52" s="308">
        <f>CHOOSE(INPUTS!$D$17, ENROLLMENT!I31,ENROLLMENT!S31)</f>
        <v>120</v>
      </c>
      <c r="I52" s="308">
        <f>CHOOSE(INPUTS!$D$17, ENROLLMENT!J31,ENROLLMENT!T31)</f>
        <v>120</v>
      </c>
      <c r="J52"/>
      <c r="K52"/>
      <c r="L52"/>
      <c r="M52"/>
      <c r="N52"/>
      <c r="O52" s="464"/>
    </row>
    <row r="53" spans="1:15" outlineLevel="1">
      <c r="A53" s="183"/>
      <c r="B53"/>
      <c r="C53" s="231">
        <v>9</v>
      </c>
      <c r="D53" s="308">
        <f>CHOOSE(INPUTS!$D$17, ENROLLMENT!E32,ENROLLMENT!O32)</f>
        <v>0</v>
      </c>
      <c r="E53" s="308">
        <f>CHOOSE(INPUTS!$D$17, ENROLLMENT!F32,ENROLLMENT!P32)</f>
        <v>120</v>
      </c>
      <c r="F53" s="308">
        <f>CHOOSE(INPUTS!$D$17, ENROLLMENT!G32,ENROLLMENT!Q32)</f>
        <v>120</v>
      </c>
      <c r="G53" s="308">
        <f>CHOOSE(INPUTS!$D$17, ENROLLMENT!H32,ENROLLMENT!R32)</f>
        <v>120</v>
      </c>
      <c r="H53" s="308">
        <f>CHOOSE(INPUTS!$D$17, ENROLLMENT!I32,ENROLLMENT!S32)</f>
        <v>120</v>
      </c>
      <c r="I53" s="308">
        <f>CHOOSE(INPUTS!$D$17, ENROLLMENT!J32,ENROLLMENT!T32)</f>
        <v>120</v>
      </c>
      <c r="J53"/>
      <c r="K53"/>
      <c r="L53"/>
      <c r="M53"/>
      <c r="N53"/>
      <c r="O53" s="464"/>
    </row>
    <row r="54" spans="1:15" outlineLevel="1">
      <c r="A54" s="183"/>
      <c r="B54"/>
      <c r="C54" s="231">
        <v>10</v>
      </c>
      <c r="D54" s="308">
        <f>CHOOSE(INPUTS!$D$17, ENROLLMENT!E33,ENROLLMENT!O33)</f>
        <v>0</v>
      </c>
      <c r="E54" s="308">
        <f>CHOOSE(INPUTS!$D$17, ENROLLMENT!F33,ENROLLMENT!P33)</f>
        <v>0</v>
      </c>
      <c r="F54" s="308">
        <f>CHOOSE(INPUTS!$D$17, ENROLLMENT!G33,ENROLLMENT!Q33)</f>
        <v>120</v>
      </c>
      <c r="G54" s="308">
        <f>CHOOSE(INPUTS!$D$17, ENROLLMENT!H33,ENROLLMENT!R33)</f>
        <v>120</v>
      </c>
      <c r="H54" s="308">
        <f>CHOOSE(INPUTS!$D$17, ENROLLMENT!I33,ENROLLMENT!S33)</f>
        <v>120</v>
      </c>
      <c r="I54" s="308">
        <f>CHOOSE(INPUTS!$D$17, ENROLLMENT!J33,ENROLLMENT!T33)</f>
        <v>120</v>
      </c>
      <c r="J54"/>
      <c r="K54"/>
      <c r="L54"/>
      <c r="M54"/>
      <c r="N54"/>
      <c r="O54" s="464"/>
    </row>
    <row r="55" spans="1:15" outlineLevel="1">
      <c r="A55" s="183"/>
      <c r="B55"/>
      <c r="C55" s="231">
        <v>11</v>
      </c>
      <c r="D55" s="308">
        <f>CHOOSE(INPUTS!$D$17, ENROLLMENT!E34,ENROLLMENT!O34)</f>
        <v>0</v>
      </c>
      <c r="E55" s="308">
        <f>CHOOSE(INPUTS!$D$17, ENROLLMENT!F34,ENROLLMENT!P34)</f>
        <v>0</v>
      </c>
      <c r="F55" s="308">
        <f>CHOOSE(INPUTS!$D$17, ENROLLMENT!G34,ENROLLMENT!Q34)</f>
        <v>0</v>
      </c>
      <c r="G55" s="308">
        <f>CHOOSE(INPUTS!$D$17, ENROLLMENT!H34,ENROLLMENT!R34)</f>
        <v>90</v>
      </c>
      <c r="H55" s="308">
        <f>CHOOSE(INPUTS!$D$17, ENROLLMENT!I34,ENROLLMENT!S34)</f>
        <v>90</v>
      </c>
      <c r="I55" s="308">
        <f>CHOOSE(INPUTS!$D$17, ENROLLMENT!J34,ENROLLMENT!T34)</f>
        <v>90</v>
      </c>
      <c r="J55"/>
      <c r="K55"/>
      <c r="L55"/>
      <c r="M55"/>
      <c r="N55"/>
      <c r="O55" s="464"/>
    </row>
    <row r="56" spans="1:15" outlineLevel="1">
      <c r="A56" s="183"/>
      <c r="B56"/>
      <c r="C56" s="231">
        <v>12</v>
      </c>
      <c r="D56" s="308">
        <f>CHOOSE(INPUTS!$D$17, ENROLLMENT!E35,ENROLLMENT!O35)</f>
        <v>0</v>
      </c>
      <c r="E56" s="308">
        <f>CHOOSE(INPUTS!$D$17, ENROLLMENT!F35,ENROLLMENT!P35)</f>
        <v>0</v>
      </c>
      <c r="F56" s="308">
        <f>CHOOSE(INPUTS!$D$17, ENROLLMENT!G35,ENROLLMENT!Q35)</f>
        <v>0</v>
      </c>
      <c r="G56" s="308">
        <f>CHOOSE(INPUTS!$D$17, ENROLLMENT!H35,ENROLLMENT!R35)</f>
        <v>0</v>
      </c>
      <c r="H56" s="308">
        <f>CHOOSE(INPUTS!$D$17, ENROLLMENT!I35,ENROLLMENT!S35)</f>
        <v>90</v>
      </c>
      <c r="I56" s="308">
        <f>CHOOSE(INPUTS!$D$17, ENROLLMENT!J35,ENROLLMENT!T35)</f>
        <v>90</v>
      </c>
      <c r="J56"/>
      <c r="K56"/>
      <c r="L56"/>
      <c r="M56"/>
      <c r="N56"/>
      <c r="O56" s="464"/>
    </row>
    <row r="57" spans="1:15" outlineLevel="1">
      <c r="A57" s="183"/>
      <c r="B57"/>
      <c r="C57" s="232" t="s">
        <v>284</v>
      </c>
      <c r="D57" s="233">
        <f t="shared" ref="D57:I57" si="26">SUM(D44:D56)</f>
        <v>0</v>
      </c>
      <c r="E57" s="233">
        <f t="shared" si="26"/>
        <v>240</v>
      </c>
      <c r="F57" s="233">
        <f t="shared" si="26"/>
        <v>480</v>
      </c>
      <c r="G57" s="233">
        <f t="shared" si="26"/>
        <v>690</v>
      </c>
      <c r="H57" s="233">
        <f t="shared" si="26"/>
        <v>780</v>
      </c>
      <c r="I57" s="233">
        <f t="shared" si="26"/>
        <v>780</v>
      </c>
      <c r="J57"/>
      <c r="K57"/>
      <c r="L57"/>
      <c r="M57"/>
      <c r="N57"/>
      <c r="O57" s="464"/>
    </row>
    <row r="58" spans="1:15" outlineLevel="1">
      <c r="A58" s="183"/>
      <c r="B58"/>
      <c r="C58" s="665"/>
      <c r="D58" s="665" t="s">
        <v>285</v>
      </c>
      <c r="E58" s="666">
        <f>IFERROR((E57-D57)/D57, 0)</f>
        <v>0</v>
      </c>
      <c r="F58" s="666">
        <f>IFERROR((F57-E57)/E57, 0)</f>
        <v>1</v>
      </c>
      <c r="G58" s="666">
        <f>IFERROR((G57-F57)/F57, 0)</f>
        <v>0.4375</v>
      </c>
      <c r="H58" s="666">
        <f>IFERROR((H57-G57)/G57, 0)</f>
        <v>0.13043478260869565</v>
      </c>
      <c r="I58" s="666">
        <f>IFERROR((I57-H57)/H57, 0)</f>
        <v>0</v>
      </c>
      <c r="J58"/>
      <c r="K58"/>
      <c r="L58"/>
      <c r="M58"/>
      <c r="N58"/>
      <c r="O58" s="464"/>
    </row>
    <row r="59" spans="1:15" outlineLevel="1">
      <c r="A59" s="183"/>
      <c r="B59"/>
      <c r="C59"/>
      <c r="D59"/>
      <c r="E59"/>
      <c r="F59"/>
      <c r="G59"/>
      <c r="H59"/>
      <c r="I59"/>
      <c r="J59"/>
      <c r="K59"/>
      <c r="L59"/>
      <c r="M59"/>
      <c r="N59"/>
      <c r="O59" s="464"/>
    </row>
    <row r="60" spans="1:15" outlineLevel="1">
      <c r="A60" s="183"/>
      <c r="B60"/>
      <c r="C60" s="376" t="str">
        <f>ENROLLMENT!D38</f>
        <v>Student Needs Populations</v>
      </c>
      <c r="D60" s="75">
        <f t="shared" ref="D60:I60" si="27">D$1</f>
        <v>2027</v>
      </c>
      <c r="E60" s="75">
        <f t="shared" si="27"/>
        <v>2028</v>
      </c>
      <c r="F60" s="75">
        <f t="shared" si="27"/>
        <v>2029</v>
      </c>
      <c r="G60" s="75">
        <f t="shared" si="27"/>
        <v>2030</v>
      </c>
      <c r="H60" s="75">
        <f t="shared" si="27"/>
        <v>2031</v>
      </c>
      <c r="I60" s="75">
        <f t="shared" si="27"/>
        <v>2032</v>
      </c>
      <c r="J60"/>
      <c r="K60"/>
      <c r="L60"/>
      <c r="M60"/>
      <c r="N60"/>
      <c r="O60" s="464"/>
    </row>
    <row r="61" spans="1:15" outlineLevel="1">
      <c r="A61" s="183"/>
      <c r="B61"/>
      <c r="C61" s="54" t="str">
        <f>ENROLLMENT!D39</f>
        <v>Funded SPED Enrollment</v>
      </c>
      <c r="D61" s="65">
        <f>ENROLLMENT!E39</f>
        <v>0</v>
      </c>
      <c r="E61" s="65">
        <f>ENROLLMENT!F39</f>
        <v>38.4</v>
      </c>
      <c r="F61" s="65">
        <f>ENROLLMENT!G39</f>
        <v>76.8</v>
      </c>
      <c r="G61" s="65">
        <f>ENROLLMENT!H39</f>
        <v>110.4</v>
      </c>
      <c r="H61" s="65">
        <f>ENROLLMENT!I39</f>
        <v>124.8</v>
      </c>
      <c r="I61" s="65">
        <f>ENROLLMENT!J39</f>
        <v>124.8</v>
      </c>
      <c r="J61"/>
      <c r="K61"/>
      <c r="L61"/>
      <c r="M61"/>
      <c r="N61"/>
      <c r="O61" s="464"/>
    </row>
    <row r="62" spans="1:15" outlineLevel="1">
      <c r="A62" s="183"/>
      <c r="B62"/>
      <c r="C62" s="54" t="str">
        <f>ENROLLMENT!D40</f>
        <v>SPED % of Enrollment</v>
      </c>
      <c r="D62" s="67">
        <f>ENROLLMENT!E40</f>
        <v>0.16</v>
      </c>
      <c r="E62" s="67">
        <f>ENROLLMENT!F40</f>
        <v>0.16</v>
      </c>
      <c r="F62" s="67">
        <f>ENROLLMENT!G40</f>
        <v>0.16</v>
      </c>
      <c r="G62" s="67">
        <f>ENROLLMENT!H40</f>
        <v>0.16</v>
      </c>
      <c r="H62" s="67">
        <f>ENROLLMENT!I40</f>
        <v>0.16</v>
      </c>
      <c r="I62" s="67">
        <f>ENROLLMENT!J40</f>
        <v>0.16</v>
      </c>
      <c r="J62"/>
      <c r="K62"/>
      <c r="L62"/>
      <c r="M62"/>
      <c r="N62"/>
      <c r="O62" s="464"/>
    </row>
    <row r="63" spans="1:15" outlineLevel="1">
      <c r="A63" s="183"/>
      <c r="B63"/>
      <c r="C63" s="54" t="str">
        <f>ENROLLMENT!D41</f>
        <v>Funded SPED Enrollment</v>
      </c>
      <c r="D63" s="67">
        <f>ENROLLMENT!E41</f>
        <v>0.16</v>
      </c>
      <c r="E63" s="67">
        <f>ENROLLMENT!F41</f>
        <v>0.16</v>
      </c>
      <c r="F63" s="67">
        <f>ENROLLMENT!G41</f>
        <v>0.16</v>
      </c>
      <c r="G63" s="67">
        <f>ENROLLMENT!H41</f>
        <v>0.16</v>
      </c>
      <c r="H63" s="67">
        <f>ENROLLMENT!I41</f>
        <v>0.16</v>
      </c>
      <c r="I63" s="67">
        <f>ENROLLMENT!J41</f>
        <v>0.16</v>
      </c>
      <c r="J63"/>
      <c r="K63"/>
      <c r="L63"/>
      <c r="M63"/>
      <c r="N63"/>
      <c r="O63" s="464"/>
    </row>
    <row r="64" spans="1:15" outlineLevel="1">
      <c r="A64" s="183"/>
      <c r="B64"/>
      <c r="C64" s="54" t="str">
        <f>ENROLLMENT!D42</f>
        <v>FRPL Enrollment</v>
      </c>
      <c r="D64" s="65">
        <f>ENROLLMENT!E42</f>
        <v>0</v>
      </c>
      <c r="E64" s="65">
        <f>ENROLLMENT!F42</f>
        <v>144</v>
      </c>
      <c r="F64" s="65">
        <f>ENROLLMENT!G42</f>
        <v>288</v>
      </c>
      <c r="G64" s="65">
        <f>ENROLLMENT!H42</f>
        <v>414</v>
      </c>
      <c r="H64" s="65">
        <f>ENROLLMENT!I42</f>
        <v>468</v>
      </c>
      <c r="I64" s="65">
        <f>ENROLLMENT!J42</f>
        <v>468</v>
      </c>
      <c r="J64"/>
      <c r="K64"/>
      <c r="L64"/>
      <c r="M64"/>
      <c r="N64"/>
      <c r="O64" s="464"/>
    </row>
    <row r="65" spans="1:15" outlineLevel="1">
      <c r="A65" s="183"/>
      <c r="B65"/>
      <c r="C65" s="54" t="str">
        <f>ENROLLMENT!D43</f>
        <v>FRPL % of Enrollment</v>
      </c>
      <c r="D65" s="67">
        <f>ENROLLMENT!E43</f>
        <v>0.6</v>
      </c>
      <c r="E65" s="67">
        <f>ENROLLMENT!F43</f>
        <v>0.6</v>
      </c>
      <c r="F65" s="67">
        <f>ENROLLMENT!G43</f>
        <v>0.6</v>
      </c>
      <c r="G65" s="67">
        <f>ENROLLMENT!H43</f>
        <v>0.6</v>
      </c>
      <c r="H65" s="67">
        <f>ENROLLMENT!I43</f>
        <v>0.6</v>
      </c>
      <c r="I65" s="67">
        <f>ENROLLMENT!J43</f>
        <v>0.6</v>
      </c>
      <c r="J65"/>
      <c r="K65"/>
      <c r="L65"/>
      <c r="M65"/>
      <c r="N65"/>
      <c r="O65" s="464"/>
    </row>
    <row r="66" spans="1:15" outlineLevel="1">
      <c r="A66" s="183"/>
      <c r="B66"/>
      <c r="C66" s="54" t="str">
        <f>ENROLLMENT!D44</f>
        <v>English Learner Enrollment</v>
      </c>
      <c r="D66" s="65">
        <f>ENROLLMENT!E44</f>
        <v>0</v>
      </c>
      <c r="E66" s="65">
        <f>ENROLLMENT!F44</f>
        <v>31.200000000000003</v>
      </c>
      <c r="F66" s="65">
        <f>ENROLLMENT!G44</f>
        <v>62.400000000000006</v>
      </c>
      <c r="G66" s="65">
        <f>ENROLLMENT!H44</f>
        <v>89.7</v>
      </c>
      <c r="H66" s="65">
        <f>ENROLLMENT!I44</f>
        <v>101.4</v>
      </c>
      <c r="I66" s="65">
        <f>ENROLLMENT!J44</f>
        <v>101.4</v>
      </c>
      <c r="J66"/>
      <c r="K66"/>
      <c r="L66"/>
      <c r="M66"/>
      <c r="N66"/>
      <c r="O66" s="464"/>
    </row>
    <row r="67" spans="1:15" outlineLevel="1">
      <c r="A67" s="183"/>
      <c r="B67"/>
      <c r="C67" s="54" t="str">
        <f>ENROLLMENT!D45</f>
        <v>EL % of Enrollment</v>
      </c>
      <c r="D67" s="67">
        <f>ENROLLMENT!E45</f>
        <v>0.13</v>
      </c>
      <c r="E67" s="67">
        <f>ENROLLMENT!F45</f>
        <v>0.13</v>
      </c>
      <c r="F67" s="67">
        <f>ENROLLMENT!G45</f>
        <v>0.13</v>
      </c>
      <c r="G67" s="67">
        <f>ENROLLMENT!H45</f>
        <v>0.13</v>
      </c>
      <c r="H67" s="67">
        <f>ENROLLMENT!I45</f>
        <v>0.13</v>
      </c>
      <c r="I67" s="67">
        <f>ENROLLMENT!J45</f>
        <v>0.13</v>
      </c>
      <c r="J67"/>
      <c r="K67"/>
      <c r="L67"/>
      <c r="M67"/>
      <c r="N67"/>
      <c r="O67" s="464"/>
    </row>
    <row r="68" spans="1:15" outlineLevel="1">
      <c r="A68" s="183"/>
      <c r="B68"/>
      <c r="C68" s="54" t="str">
        <f>ENROLLMENT!D46</f>
        <v>Elementary Enrollment</v>
      </c>
      <c r="D68" s="65">
        <f>ENROLLMENT!E46</f>
        <v>0</v>
      </c>
      <c r="E68" s="65">
        <f>ENROLLMENT!F46</f>
        <v>0</v>
      </c>
      <c r="F68" s="65">
        <f>ENROLLMENT!G46</f>
        <v>0</v>
      </c>
      <c r="G68" s="65">
        <f>ENROLLMENT!H46</f>
        <v>0</v>
      </c>
      <c r="H68" s="65">
        <f>ENROLLMENT!I46</f>
        <v>0</v>
      </c>
      <c r="I68" s="65">
        <f>ENROLLMENT!J46</f>
        <v>0</v>
      </c>
      <c r="J68"/>
      <c r="K68"/>
      <c r="L68"/>
      <c r="M68"/>
      <c r="N68"/>
      <c r="O68" s="464"/>
    </row>
    <row r="69" spans="1:15" outlineLevel="1">
      <c r="A69" s="183"/>
      <c r="B69"/>
      <c r="C69" s="54" t="str">
        <f>ENROLLMENT!D47</f>
        <v>Middle School Enrollment</v>
      </c>
      <c r="D69" s="65">
        <f>ENROLLMENT!E47</f>
        <v>0</v>
      </c>
      <c r="E69" s="65">
        <f>ENROLLMENT!F47</f>
        <v>120</v>
      </c>
      <c r="F69" s="65">
        <f>ENROLLMENT!G47</f>
        <v>240</v>
      </c>
      <c r="G69" s="65">
        <f>ENROLLMENT!H47</f>
        <v>360</v>
      </c>
      <c r="H69" s="65">
        <f>ENROLLMENT!I47</f>
        <v>360</v>
      </c>
      <c r="I69" s="65">
        <f>ENROLLMENT!J47</f>
        <v>360</v>
      </c>
      <c r="J69"/>
      <c r="K69"/>
      <c r="L69"/>
      <c r="M69"/>
      <c r="N69"/>
      <c r="O69" s="464"/>
    </row>
    <row r="70" spans="1:15" outlineLevel="1">
      <c r="A70" s="183"/>
      <c r="B70"/>
      <c r="C70" s="54" t="str">
        <f>ENROLLMENT!D48</f>
        <v>High School Enrollment</v>
      </c>
      <c r="D70" s="65">
        <f>ENROLLMENT!E48</f>
        <v>0</v>
      </c>
      <c r="E70" s="65">
        <f>ENROLLMENT!F48</f>
        <v>120</v>
      </c>
      <c r="F70" s="65">
        <f>ENROLLMENT!G48</f>
        <v>240</v>
      </c>
      <c r="G70" s="65">
        <f>ENROLLMENT!H48</f>
        <v>330</v>
      </c>
      <c r="H70" s="65">
        <f>ENROLLMENT!I48</f>
        <v>420</v>
      </c>
      <c r="I70" s="65">
        <f>ENROLLMENT!J48</f>
        <v>420</v>
      </c>
      <c r="J70"/>
      <c r="K70"/>
      <c r="L70"/>
      <c r="M70"/>
      <c r="N70"/>
      <c r="O70" s="464"/>
    </row>
    <row r="71" spans="1:15">
      <c r="A71" s="183"/>
      <c r="B71"/>
      <c r="C71"/>
      <c r="D71"/>
      <c r="E71"/>
      <c r="F71"/>
      <c r="G71"/>
      <c r="H71"/>
      <c r="I71"/>
      <c r="J71"/>
      <c r="K71"/>
      <c r="L71"/>
      <c r="M71"/>
      <c r="N71"/>
      <c r="O71" s="464"/>
    </row>
    <row r="72" spans="1:15" s="520" customFormat="1" ht="26">
      <c r="A72" s="87" t="s">
        <v>414</v>
      </c>
      <c r="B72" s="88"/>
      <c r="C72" s="88"/>
      <c r="D72" s="89"/>
      <c r="E72" s="88"/>
      <c r="F72" s="88"/>
      <c r="G72" s="89"/>
      <c r="H72" s="88"/>
      <c r="I72" s="360"/>
      <c r="J72" s="88"/>
      <c r="K72" s="88"/>
      <c r="L72" s="88"/>
      <c r="M72" s="88"/>
      <c r="N72" s="88"/>
      <c r="O72" s="90"/>
    </row>
    <row r="73" spans="1:15">
      <c r="A73" s="183"/>
      <c r="B73"/>
      <c r="C73"/>
      <c r="D73"/>
      <c r="E73"/>
      <c r="F73"/>
      <c r="G73"/>
      <c r="H73"/>
      <c r="I73"/>
      <c r="J73"/>
      <c r="K73"/>
      <c r="L73"/>
      <c r="M73"/>
      <c r="N73"/>
      <c r="O73" s="464"/>
    </row>
    <row r="74" spans="1:15" outlineLevel="1">
      <c r="A74" s="183"/>
      <c r="B74" s="179" t="s">
        <v>397</v>
      </c>
      <c r="C74" s="366" t="s">
        <v>399</v>
      </c>
      <c r="D74" s="366"/>
      <c r="E74" s="369"/>
      <c r="F74" s="369"/>
      <c r="G74" s="369"/>
      <c r="H74" s="369"/>
      <c r="I74" s="370"/>
      <c r="J74"/>
      <c r="K74" s="179" t="s">
        <v>400</v>
      </c>
      <c r="L74"/>
      <c r="M74"/>
      <c r="N74"/>
      <c r="O74" s="464"/>
    </row>
    <row r="75" spans="1:15" ht="15" customHeight="1" outlineLevel="1">
      <c r="A75" s="183"/>
      <c r="B75" s="354" t="str">
        <f>INPUTS!A83</f>
        <v>Administrative</v>
      </c>
      <c r="C75" s="234" t="str">
        <f>INPUTS!B83</f>
        <v>Chief Executive Officer (CEO)/Executive Director</v>
      </c>
      <c r="D75" s="372">
        <f>STAFFING!E52</f>
        <v>1</v>
      </c>
      <c r="E75" s="372">
        <f>STAFFING!F52</f>
        <v>1</v>
      </c>
      <c r="F75" s="372">
        <f>STAFFING!G52</f>
        <v>1</v>
      </c>
      <c r="G75" s="372">
        <f>STAFFING!H52</f>
        <v>1</v>
      </c>
      <c r="H75" s="372">
        <f>STAFFING!I52</f>
        <v>1</v>
      </c>
      <c r="I75" s="372">
        <f>STAFFING!J52</f>
        <v>1</v>
      </c>
      <c r="J75"/>
      <c r="K75" s="306" t="str">
        <f>INPUTS!C83</f>
        <v>Fixed</v>
      </c>
      <c r="L75"/>
      <c r="M75"/>
      <c r="N75"/>
      <c r="O75" s="464"/>
    </row>
    <row r="76" spans="1:15" outlineLevel="1">
      <c r="A76" s="183"/>
      <c r="B76" s="354" t="str">
        <f>INPUTS!A84</f>
        <v>Administrative</v>
      </c>
      <c r="C76" s="234" t="str">
        <f>INPUTS!B84</f>
        <v>Principal/Head of School</v>
      </c>
      <c r="D76" s="373">
        <f>STAFFING!E53</f>
        <v>0</v>
      </c>
      <c r="E76" s="373">
        <f>STAFFING!F53</f>
        <v>0</v>
      </c>
      <c r="F76" s="373">
        <f>STAFFING!G53</f>
        <v>1</v>
      </c>
      <c r="G76" s="373">
        <f>STAFFING!H53</f>
        <v>1</v>
      </c>
      <c r="H76" s="373">
        <f>STAFFING!I53</f>
        <v>1</v>
      </c>
      <c r="I76" s="373">
        <f>STAFFING!J53</f>
        <v>1</v>
      </c>
      <c r="J76"/>
      <c r="K76" s="306" t="str">
        <f>INPUTS!C84</f>
        <v>Fixed</v>
      </c>
      <c r="L76"/>
      <c r="M76"/>
      <c r="N76"/>
      <c r="O76" s="464"/>
    </row>
    <row r="77" spans="1:15" ht="15" customHeight="1" outlineLevel="1">
      <c r="A77" s="183"/>
      <c r="B77" s="354" t="str">
        <f>INPUTS!A85</f>
        <v>Administrative</v>
      </c>
      <c r="C77" s="234" t="str">
        <f>INPUTS!B85</f>
        <v>Assistant/Vice Principal</v>
      </c>
      <c r="D77" s="373">
        <f>STAFFING!E54</f>
        <v>0</v>
      </c>
      <c r="E77" s="373">
        <f>STAFFING!F54</f>
        <v>1</v>
      </c>
      <c r="F77" s="373">
        <f>STAFFING!G54</f>
        <v>1</v>
      </c>
      <c r="G77" s="373">
        <f>STAFFING!H54</f>
        <v>2</v>
      </c>
      <c r="H77" s="373">
        <f>STAFFING!I54</f>
        <v>3</v>
      </c>
      <c r="I77" s="373">
        <f>STAFFING!J54</f>
        <v>3</v>
      </c>
      <c r="J77"/>
      <c r="K77" s="306" t="str">
        <f>INPUTS!C85</f>
        <v>Per Pupil</v>
      </c>
      <c r="L77"/>
      <c r="M77"/>
      <c r="N77"/>
      <c r="O77" s="464"/>
    </row>
    <row r="78" spans="1:15" ht="15" customHeight="1" outlineLevel="1">
      <c r="A78" s="183"/>
      <c r="B78" s="355" t="str">
        <f>INPUTS!A86</f>
        <v>Instructional</v>
      </c>
      <c r="C78" s="234" t="str">
        <f>INPUTS!B86</f>
        <v>Instructional Coach/Curriculum Specialist</v>
      </c>
      <c r="D78" s="373">
        <f>STAFFING!E55</f>
        <v>0</v>
      </c>
      <c r="E78" s="373">
        <f>STAFFING!F55</f>
        <v>0</v>
      </c>
      <c r="F78" s="373">
        <f>STAFFING!G55</f>
        <v>1</v>
      </c>
      <c r="G78" s="373">
        <f>STAFFING!H55</f>
        <v>2</v>
      </c>
      <c r="H78" s="373">
        <f>STAFFING!I55</f>
        <v>3</v>
      </c>
      <c r="I78" s="373">
        <f>STAFFING!J55</f>
        <v>3</v>
      </c>
      <c r="J78"/>
      <c r="K78" s="306" t="str">
        <f>INPUTS!C86</f>
        <v>Per Pupil</v>
      </c>
      <c r="L78"/>
      <c r="M78"/>
      <c r="N78"/>
      <c r="O78" s="464"/>
    </row>
    <row r="79" spans="1:15" ht="15" customHeight="1" outlineLevel="1">
      <c r="A79" s="183"/>
      <c r="B79" s="355" t="str">
        <f>INPUTS!A87</f>
        <v>Instructional</v>
      </c>
      <c r="C79" s="234" t="str">
        <f>INPUTS!B87</f>
        <v>Classroom Teacher - Elementary</v>
      </c>
      <c r="D79" s="373">
        <f>STAFFING!E56</f>
        <v>0</v>
      </c>
      <c r="E79" s="373">
        <f>STAFFING!F56</f>
        <v>0</v>
      </c>
      <c r="F79" s="373">
        <f>STAFFING!G56</f>
        <v>0</v>
      </c>
      <c r="G79" s="373">
        <f>STAFFING!H56</f>
        <v>0</v>
      </c>
      <c r="H79" s="373">
        <f>STAFFING!I56</f>
        <v>0</v>
      </c>
      <c r="I79" s="373">
        <f>STAFFING!J56</f>
        <v>0</v>
      </c>
      <c r="J79"/>
      <c r="K79" s="306" t="str">
        <f>INPUTS!C87</f>
        <v>Per Pupil - Elem</v>
      </c>
      <c r="L79"/>
      <c r="M79"/>
      <c r="N79"/>
      <c r="O79" s="464"/>
    </row>
    <row r="80" spans="1:15" ht="15" customHeight="1" outlineLevel="1">
      <c r="A80" s="183"/>
      <c r="B80" s="355" t="str">
        <f>INPUTS!A88</f>
        <v>Instructional</v>
      </c>
      <c r="C80" s="234" t="str">
        <f>INPUTS!B88</f>
        <v>Classroom Teacher - Middle School</v>
      </c>
      <c r="D80" s="373">
        <f>STAFFING!E57</f>
        <v>0</v>
      </c>
      <c r="E80" s="373">
        <f>STAFFING!F57</f>
        <v>6</v>
      </c>
      <c r="F80" s="373">
        <f>STAFFING!G57</f>
        <v>13</v>
      </c>
      <c r="G80" s="373">
        <f>STAFFING!H57</f>
        <v>18</v>
      </c>
      <c r="H80" s="373">
        <f>STAFFING!I57</f>
        <v>18</v>
      </c>
      <c r="I80" s="373">
        <f>STAFFING!J57</f>
        <v>18</v>
      </c>
      <c r="J80"/>
      <c r="K80" s="306" t="str">
        <f>INPUTS!C88</f>
        <v>Per Pupil - MS</v>
      </c>
      <c r="L80"/>
      <c r="M80"/>
      <c r="N80"/>
      <c r="O80" s="464"/>
    </row>
    <row r="81" spans="1:15" ht="15" customHeight="1" outlineLevel="1">
      <c r="A81" s="183"/>
      <c r="B81" s="355" t="str">
        <f>INPUTS!A89</f>
        <v>Instructional</v>
      </c>
      <c r="C81" s="234" t="str">
        <f>INPUTS!B89</f>
        <v>Classroom Teacher - High School</v>
      </c>
      <c r="D81" s="373">
        <f>STAFFING!E58</f>
        <v>0</v>
      </c>
      <c r="E81" s="373">
        <f>STAFFING!F58</f>
        <v>6</v>
      </c>
      <c r="F81" s="373">
        <f>STAFFING!G58</f>
        <v>13</v>
      </c>
      <c r="G81" s="373">
        <f>STAFFING!H58</f>
        <v>18</v>
      </c>
      <c r="H81" s="373">
        <f>STAFFING!I58</f>
        <v>24</v>
      </c>
      <c r="I81" s="373">
        <f>STAFFING!J58</f>
        <v>24</v>
      </c>
      <c r="J81"/>
      <c r="K81" s="306" t="str">
        <f>INPUTS!C89</f>
        <v>Per Pupil - HS</v>
      </c>
      <c r="L81"/>
      <c r="M81"/>
      <c r="N81"/>
      <c r="O81" s="464"/>
    </row>
    <row r="82" spans="1:15" ht="15" customHeight="1" outlineLevel="1">
      <c r="A82" s="183"/>
      <c r="B82" s="355" t="str">
        <f>INPUTS!A90</f>
        <v>Instructional</v>
      </c>
      <c r="C82" s="234" t="str">
        <f>INPUTS!B90</f>
        <v>Special Education (SPED) Teacher</v>
      </c>
      <c r="D82" s="373">
        <f>STAFFING!E59</f>
        <v>0</v>
      </c>
      <c r="E82" s="373">
        <f>STAFFING!F59</f>
        <v>1</v>
      </c>
      <c r="F82" s="373">
        <f>STAFFING!G59</f>
        <v>2</v>
      </c>
      <c r="G82" s="373">
        <f>STAFFING!H59</f>
        <v>3</v>
      </c>
      <c r="H82" s="373">
        <f>STAFFING!I59</f>
        <v>4</v>
      </c>
      <c r="I82" s="373">
        <f>STAFFING!J59</f>
        <v>4</v>
      </c>
      <c r="J82"/>
      <c r="K82" s="306" t="str">
        <f>INPUTS!C90</f>
        <v>Per Pupil - SPED</v>
      </c>
      <c r="L82"/>
      <c r="M82"/>
      <c r="N82"/>
      <c r="O82" s="464"/>
    </row>
    <row r="83" spans="1:15" ht="15" customHeight="1" outlineLevel="1">
      <c r="A83" s="183"/>
      <c r="B83" s="355" t="str">
        <f>INPUTS!A91</f>
        <v>Instructional</v>
      </c>
      <c r="C83" s="234" t="str">
        <f>INPUTS!B91</f>
        <v>English Learner (EL) Specialist</v>
      </c>
      <c r="D83" s="373">
        <f>STAFFING!E60</f>
        <v>0</v>
      </c>
      <c r="E83" s="373">
        <f>STAFFING!F60</f>
        <v>0</v>
      </c>
      <c r="F83" s="373">
        <f>STAFFING!G60</f>
        <v>0</v>
      </c>
      <c r="G83" s="373">
        <f>STAFFING!H60</f>
        <v>0</v>
      </c>
      <c r="H83" s="373">
        <f>STAFFING!I60</f>
        <v>0</v>
      </c>
      <c r="I83" s="373">
        <f>STAFFING!J60</f>
        <v>0</v>
      </c>
      <c r="J83"/>
      <c r="K83" s="306" t="str">
        <f>INPUTS!C91</f>
        <v>Per Pupil - EL</v>
      </c>
      <c r="L83"/>
      <c r="M83"/>
      <c r="N83"/>
      <c r="O83" s="464"/>
    </row>
    <row r="84" spans="1:15" ht="15" customHeight="1" outlineLevel="1">
      <c r="A84" s="183"/>
      <c r="B84" s="355" t="str">
        <f>INPUTS!A92</f>
        <v>Instructional</v>
      </c>
      <c r="C84" s="234" t="str">
        <f>INPUTS!B92</f>
        <v>Intervention Specialist (Reading/Math)</v>
      </c>
      <c r="D84" s="373">
        <f>STAFFING!E61</f>
        <v>0</v>
      </c>
      <c r="E84" s="373">
        <f>STAFFING!F61</f>
        <v>0</v>
      </c>
      <c r="F84" s="373">
        <f>STAFFING!G61</f>
        <v>0</v>
      </c>
      <c r="G84" s="373">
        <f>STAFFING!H61</f>
        <v>0</v>
      </c>
      <c r="H84" s="373">
        <f>STAFFING!I61</f>
        <v>0</v>
      </c>
      <c r="I84" s="373">
        <f>STAFFING!J61</f>
        <v>0</v>
      </c>
      <c r="J84"/>
      <c r="K84" s="306" t="str">
        <f>INPUTS!C92</f>
        <v>Per Pupil</v>
      </c>
      <c r="L84"/>
      <c r="M84"/>
      <c r="N84"/>
      <c r="O84" s="464"/>
    </row>
    <row r="85" spans="1:15" ht="15" customHeight="1" outlineLevel="1">
      <c r="A85" s="183"/>
      <c r="B85" s="355" t="str">
        <f>INPUTS!A93</f>
        <v>Instructional</v>
      </c>
      <c r="C85" s="234" t="str">
        <f>INPUTS!B93</f>
        <v>Instructional Aides/Paraeducators</v>
      </c>
      <c r="D85" s="373">
        <f>STAFFING!E62</f>
        <v>0</v>
      </c>
      <c r="E85" s="373">
        <f>STAFFING!F62</f>
        <v>2</v>
      </c>
      <c r="F85" s="373">
        <f>STAFFING!G62</f>
        <v>4</v>
      </c>
      <c r="G85" s="373">
        <f>STAFFING!H62</f>
        <v>6</v>
      </c>
      <c r="H85" s="373">
        <f>STAFFING!I62</f>
        <v>7</v>
      </c>
      <c r="I85" s="373">
        <f>STAFFING!J62</f>
        <v>7</v>
      </c>
      <c r="J85"/>
      <c r="K85" s="306" t="str">
        <f>INPUTS!C93</f>
        <v>Per Pupil</v>
      </c>
      <c r="L85"/>
      <c r="M85"/>
      <c r="N85"/>
      <c r="O85" s="464"/>
    </row>
    <row r="86" spans="1:15" ht="15" customHeight="1" outlineLevel="1">
      <c r="A86" s="183"/>
      <c r="B86" s="356" t="str">
        <f>INPUTS!A94</f>
        <v>Non-Instructional</v>
      </c>
      <c r="C86" s="234" t="str">
        <f>INPUTS!B94</f>
        <v>School Counselor</v>
      </c>
      <c r="D86" s="373">
        <f>STAFFING!E63</f>
        <v>0</v>
      </c>
      <c r="E86" s="373">
        <f>STAFFING!F63</f>
        <v>1</v>
      </c>
      <c r="F86" s="373">
        <f>STAFFING!G63</f>
        <v>1</v>
      </c>
      <c r="G86" s="373">
        <f>STAFFING!H63</f>
        <v>1</v>
      </c>
      <c r="H86" s="373">
        <f>STAFFING!I63</f>
        <v>1</v>
      </c>
      <c r="I86" s="373">
        <f>STAFFING!J63</f>
        <v>1</v>
      </c>
      <c r="J86"/>
      <c r="K86" s="306" t="str">
        <f>INPUTS!C94</f>
        <v>Fixed</v>
      </c>
      <c r="L86"/>
      <c r="M86"/>
      <c r="N86"/>
      <c r="O86" s="464"/>
    </row>
    <row r="87" spans="1:15" ht="15" customHeight="1" outlineLevel="1">
      <c r="A87" s="183"/>
      <c r="B87" s="356" t="str">
        <f>INPUTS!A95</f>
        <v>Non-Instructional</v>
      </c>
      <c r="C87" s="234" t="str">
        <f>INPUTS!B95</f>
        <v>School Psychologist</v>
      </c>
      <c r="D87" s="373">
        <f>STAFFING!E64</f>
        <v>0</v>
      </c>
      <c r="E87" s="373">
        <f>STAFFING!F64</f>
        <v>0</v>
      </c>
      <c r="F87" s="373">
        <f>STAFFING!G64</f>
        <v>0</v>
      </c>
      <c r="G87" s="373">
        <f>STAFFING!H64</f>
        <v>1</v>
      </c>
      <c r="H87" s="373">
        <f>STAFFING!I64</f>
        <v>1</v>
      </c>
      <c r="I87" s="373">
        <f>STAFFING!J64</f>
        <v>1</v>
      </c>
      <c r="J87"/>
      <c r="K87" s="306" t="str">
        <f>INPUTS!C95</f>
        <v>Fixed</v>
      </c>
      <c r="L87"/>
      <c r="M87"/>
      <c r="N87"/>
      <c r="O87" s="464"/>
    </row>
    <row r="88" spans="1:15" ht="15" customHeight="1" outlineLevel="1">
      <c r="A88" s="183"/>
      <c r="B88" s="354" t="str">
        <f>INPUTS!A96</f>
        <v>Administrative</v>
      </c>
      <c r="C88" s="234" t="str">
        <f>INPUTS!B96</f>
        <v>Registrar/Enrollment Manager</v>
      </c>
      <c r="D88" s="373">
        <f>STAFFING!E65</f>
        <v>0</v>
      </c>
      <c r="E88" s="373">
        <f>STAFFING!F65</f>
        <v>1</v>
      </c>
      <c r="F88" s="373">
        <f>STAFFING!G65</f>
        <v>1</v>
      </c>
      <c r="G88" s="373">
        <f>STAFFING!H65</f>
        <v>1</v>
      </c>
      <c r="H88" s="373">
        <f>STAFFING!I65</f>
        <v>1</v>
      </c>
      <c r="I88" s="373">
        <f>STAFFING!J65</f>
        <v>1</v>
      </c>
      <c r="J88"/>
      <c r="K88" s="306" t="str">
        <f>INPUTS!C96</f>
        <v>Fixed</v>
      </c>
      <c r="L88"/>
      <c r="M88"/>
      <c r="N88"/>
      <c r="O88" s="464"/>
    </row>
    <row r="89" spans="1:15" ht="15" customHeight="1" outlineLevel="1">
      <c r="A89" s="183"/>
      <c r="B89" s="354" t="str">
        <f>INPUTS!A97</f>
        <v>Administrative</v>
      </c>
      <c r="C89" s="234" t="str">
        <f>INPUTS!B97</f>
        <v>Chief Operations Officer (COO)/Ops. Manager</v>
      </c>
      <c r="D89" s="373">
        <f>STAFFING!E66</f>
        <v>0</v>
      </c>
      <c r="E89" s="373">
        <f>STAFFING!F66</f>
        <v>1</v>
      </c>
      <c r="F89" s="373">
        <f>STAFFING!G66</f>
        <v>1</v>
      </c>
      <c r="G89" s="373">
        <f>STAFFING!H66</f>
        <v>1</v>
      </c>
      <c r="H89" s="373">
        <f>STAFFING!I66</f>
        <v>1</v>
      </c>
      <c r="I89" s="373">
        <f>STAFFING!J66</f>
        <v>1</v>
      </c>
      <c r="J89"/>
      <c r="K89" s="306" t="str">
        <f>INPUTS!C97</f>
        <v>Fixed</v>
      </c>
      <c r="L89"/>
      <c r="M89"/>
      <c r="N89"/>
      <c r="O89" s="464"/>
    </row>
    <row r="90" spans="1:15" ht="15" customHeight="1" outlineLevel="1">
      <c r="A90" s="183"/>
      <c r="B90" s="354" t="str">
        <f>INPUTS!A98</f>
        <v>Administrative</v>
      </c>
      <c r="C90" s="234" t="str">
        <f>INPUTS!B98</f>
        <v>CFO/Finance Manager/Business Manager</v>
      </c>
      <c r="D90" s="373">
        <f>STAFFING!E67</f>
        <v>0</v>
      </c>
      <c r="E90" s="373">
        <f>STAFFING!F67</f>
        <v>0.25</v>
      </c>
      <c r="F90" s="373">
        <f>STAFFING!G67</f>
        <v>0.25</v>
      </c>
      <c r="G90" s="373">
        <f>STAFFING!H67</f>
        <v>0.25</v>
      </c>
      <c r="H90" s="373">
        <f>STAFFING!I67</f>
        <v>0.25</v>
      </c>
      <c r="I90" s="373">
        <f>STAFFING!J67</f>
        <v>0.25</v>
      </c>
      <c r="J90"/>
      <c r="K90" s="306" t="str">
        <f>INPUTS!C98</f>
        <v>Fixed</v>
      </c>
      <c r="L90"/>
      <c r="M90"/>
      <c r="N90"/>
      <c r="O90" s="464"/>
    </row>
    <row r="91" spans="1:15" ht="15" customHeight="1" outlineLevel="1">
      <c r="A91" s="183"/>
      <c r="B91" s="356" t="str">
        <f>INPUTS!A99</f>
        <v>Administrative</v>
      </c>
      <c r="C91" s="234" t="str">
        <f>INPUTS!B99</f>
        <v>Administrative Assistant/Office Manager</v>
      </c>
      <c r="D91" s="373">
        <f>STAFFING!E68</f>
        <v>0</v>
      </c>
      <c r="E91" s="373">
        <f>STAFFING!F68</f>
        <v>1</v>
      </c>
      <c r="F91" s="373">
        <f>STAFFING!G68</f>
        <v>1</v>
      </c>
      <c r="G91" s="373">
        <f>STAFFING!H68</f>
        <v>2</v>
      </c>
      <c r="H91" s="373">
        <f>STAFFING!I68</f>
        <v>2</v>
      </c>
      <c r="I91" s="373">
        <f>STAFFING!J68</f>
        <v>2</v>
      </c>
      <c r="J91"/>
      <c r="K91" s="306" t="str">
        <f>INPUTS!C99</f>
        <v>Fixed</v>
      </c>
      <c r="L91"/>
      <c r="M91"/>
      <c r="N91"/>
      <c r="O91" s="464"/>
    </row>
    <row r="92" spans="1:15" ht="15" customHeight="1" outlineLevel="1">
      <c r="A92" s="183"/>
      <c r="B92" s="356" t="str">
        <f>INPUTS!A100</f>
        <v>Non-Instructional</v>
      </c>
      <c r="C92" s="234" t="str">
        <f>INPUTS!B100</f>
        <v>Human Resources Specialist</v>
      </c>
      <c r="D92" s="373">
        <f>STAFFING!E69</f>
        <v>0</v>
      </c>
      <c r="E92" s="373">
        <f>STAFFING!F69</f>
        <v>0</v>
      </c>
      <c r="F92" s="373">
        <f>STAFFING!G69</f>
        <v>0</v>
      </c>
      <c r="G92" s="373">
        <f>STAFFING!H69</f>
        <v>1</v>
      </c>
      <c r="H92" s="373">
        <f>STAFFING!I69</f>
        <v>1</v>
      </c>
      <c r="I92" s="373">
        <f>STAFFING!J69</f>
        <v>1</v>
      </c>
      <c r="J92"/>
      <c r="K92" s="306" t="str">
        <f>INPUTS!C100</f>
        <v>Fixed</v>
      </c>
      <c r="L92"/>
      <c r="M92"/>
      <c r="N92"/>
      <c r="O92" s="464"/>
    </row>
    <row r="93" spans="1:15" ht="15" customHeight="1" outlineLevel="1">
      <c r="A93" s="183"/>
      <c r="B93" s="354" t="str">
        <f>INPUTS!A101</f>
        <v>Administrative</v>
      </c>
      <c r="C93" s="234" t="str">
        <f>INPUTS!B101</f>
        <v>IT Coordinator/Instructional Technologist</v>
      </c>
      <c r="D93" s="373">
        <f>STAFFING!E70</f>
        <v>0</v>
      </c>
      <c r="E93" s="373">
        <f>STAFFING!F70</f>
        <v>1</v>
      </c>
      <c r="F93" s="373">
        <f>STAFFING!G70</f>
        <v>1</v>
      </c>
      <c r="G93" s="373">
        <f>STAFFING!H70</f>
        <v>1</v>
      </c>
      <c r="H93" s="373">
        <f>STAFFING!I70</f>
        <v>1</v>
      </c>
      <c r="I93" s="373">
        <f>STAFFING!J70</f>
        <v>1</v>
      </c>
      <c r="J93"/>
      <c r="K93" s="306" t="str">
        <f>INPUTS!C101</f>
        <v>Fixed</v>
      </c>
      <c r="L93"/>
      <c r="M93"/>
      <c r="N93"/>
      <c r="O93" s="464"/>
    </row>
    <row r="94" spans="1:15" ht="15" customHeight="1" outlineLevel="1">
      <c r="A94" s="183"/>
      <c r="B94" s="354" t="str">
        <f>INPUTS!A102</f>
        <v>Administrative</v>
      </c>
      <c r="C94" s="234" t="str">
        <f>INPUTS!B102</f>
        <v>Facilities Manager</v>
      </c>
      <c r="D94" s="373">
        <f>STAFFING!E71</f>
        <v>0</v>
      </c>
      <c r="E94" s="373">
        <f>STAFFING!F71</f>
        <v>0</v>
      </c>
      <c r="F94" s="373">
        <f>STAFFING!G71</f>
        <v>0</v>
      </c>
      <c r="G94" s="373">
        <f>STAFFING!H71</f>
        <v>0</v>
      </c>
      <c r="H94" s="373">
        <f>STAFFING!I71</f>
        <v>0</v>
      </c>
      <c r="I94" s="373">
        <f>STAFFING!J71</f>
        <v>0</v>
      </c>
      <c r="J94"/>
      <c r="K94" s="306" t="str">
        <f>INPUTS!C102</f>
        <v>Fixed</v>
      </c>
      <c r="L94"/>
      <c r="M94"/>
      <c r="N94"/>
      <c r="O94" s="464"/>
    </row>
    <row r="95" spans="1:15" ht="15" customHeight="1" outlineLevel="1">
      <c r="A95" s="183"/>
      <c r="B95" s="356" t="str">
        <f>INPUTS!A103</f>
        <v>Non-Instructional</v>
      </c>
      <c r="C95" s="234" t="str">
        <f>INPUTS!B103</f>
        <v>Custodian/Facilities Maintenance</v>
      </c>
      <c r="D95" s="373">
        <f>STAFFING!E72</f>
        <v>0</v>
      </c>
      <c r="E95" s="373">
        <f>STAFFING!F72</f>
        <v>1</v>
      </c>
      <c r="F95" s="373">
        <f>STAFFING!G72</f>
        <v>1</v>
      </c>
      <c r="G95" s="373">
        <f>STAFFING!H72</f>
        <v>2</v>
      </c>
      <c r="H95" s="373">
        <f>STAFFING!I72</f>
        <v>2</v>
      </c>
      <c r="I95" s="373">
        <f>STAFFING!J72</f>
        <v>2</v>
      </c>
      <c r="J95"/>
      <c r="K95" s="306" t="str">
        <f>INPUTS!C103</f>
        <v>Per Pupil</v>
      </c>
      <c r="L95"/>
      <c r="M95"/>
      <c r="N95"/>
      <c r="O95" s="464"/>
    </row>
    <row r="96" spans="1:15" ht="15" customHeight="1" outlineLevel="1">
      <c r="A96" s="183"/>
      <c r="B96" s="356" t="str">
        <f>INPUTS!A104</f>
        <v>Non-Instructional</v>
      </c>
      <c r="C96" s="234" t="str">
        <f>INPUTS!B104</f>
        <v>Security/Safety Coordinator</v>
      </c>
      <c r="D96" s="373">
        <f>STAFFING!E73</f>
        <v>0</v>
      </c>
      <c r="E96" s="373">
        <f>STAFFING!F73</f>
        <v>0</v>
      </c>
      <c r="F96" s="373">
        <f>STAFFING!G73</f>
        <v>0</v>
      </c>
      <c r="G96" s="373">
        <f>STAFFING!H73</f>
        <v>0</v>
      </c>
      <c r="H96" s="373">
        <f>STAFFING!I73</f>
        <v>0</v>
      </c>
      <c r="I96" s="373">
        <f>STAFFING!J73</f>
        <v>0</v>
      </c>
      <c r="J96"/>
      <c r="K96" s="306" t="str">
        <f>INPUTS!C104</f>
        <v>Fixed</v>
      </c>
      <c r="L96"/>
      <c r="M96"/>
      <c r="N96"/>
      <c r="O96" s="464"/>
    </row>
    <row r="97" spans="1:15" ht="15" customHeight="1" outlineLevel="1">
      <c r="A97" s="183"/>
      <c r="B97" s="354" t="str">
        <f>INPUTS!A105</f>
        <v>Administrative</v>
      </c>
      <c r="C97" s="234" t="str">
        <f>INPUTS!B105</f>
        <v>Nutrition Program Manager/Lead</v>
      </c>
      <c r="D97" s="373">
        <f>STAFFING!E74</f>
        <v>0</v>
      </c>
      <c r="E97" s="373">
        <f>STAFFING!F74</f>
        <v>0</v>
      </c>
      <c r="F97" s="373">
        <f>STAFFING!G74</f>
        <v>0</v>
      </c>
      <c r="G97" s="373">
        <f>STAFFING!H74</f>
        <v>0</v>
      </c>
      <c r="H97" s="373">
        <f>STAFFING!I74</f>
        <v>0</v>
      </c>
      <c r="I97" s="373">
        <f>STAFFING!J74</f>
        <v>0</v>
      </c>
      <c r="J97"/>
      <c r="K97" s="306" t="str">
        <f>INPUTS!C105</f>
        <v>Fixed</v>
      </c>
      <c r="L97"/>
      <c r="M97"/>
      <c r="N97"/>
      <c r="O97" s="464"/>
    </row>
    <row r="98" spans="1:15" ht="15" customHeight="1" outlineLevel="1">
      <c r="A98" s="183"/>
      <c r="B98" s="356" t="str">
        <f>INPUTS!A106</f>
        <v>Non-Instructional</v>
      </c>
      <c r="C98" s="234" t="str">
        <f>INPUTS!B106</f>
        <v>Food Service Staff (Cooks/Servers)</v>
      </c>
      <c r="D98" s="373">
        <f>STAFFING!E75</f>
        <v>0</v>
      </c>
      <c r="E98" s="373">
        <f>STAFFING!F75</f>
        <v>0.5</v>
      </c>
      <c r="F98" s="373">
        <f>STAFFING!G75</f>
        <v>1</v>
      </c>
      <c r="G98" s="373">
        <f>STAFFING!H75</f>
        <v>1</v>
      </c>
      <c r="H98" s="373">
        <f>STAFFING!I75</f>
        <v>1</v>
      </c>
      <c r="I98" s="373">
        <f>STAFFING!J75</f>
        <v>1</v>
      </c>
      <c r="J98"/>
      <c r="K98" s="306" t="str">
        <f>INPUTS!C106</f>
        <v>Per Pupil</v>
      </c>
      <c r="L98"/>
      <c r="M98"/>
      <c r="N98"/>
      <c r="O98" s="464"/>
    </row>
    <row r="99" spans="1:15" ht="15" customHeight="1" outlineLevel="1">
      <c r="A99" s="183"/>
      <c r="B99" s="356" t="str">
        <f>INPUTS!A107</f>
        <v>Non-Instructional</v>
      </c>
      <c r="C99" s="234" t="str">
        <f>INPUTS!B107</f>
        <v>Transportation Coordinator</v>
      </c>
      <c r="D99" s="373">
        <f>STAFFING!E76</f>
        <v>0</v>
      </c>
      <c r="E99" s="373">
        <f>STAFFING!F76</f>
        <v>0</v>
      </c>
      <c r="F99" s="373">
        <f>STAFFING!G76</f>
        <v>0</v>
      </c>
      <c r="G99" s="373">
        <f>STAFFING!H76</f>
        <v>0</v>
      </c>
      <c r="H99" s="373">
        <f>STAFFING!I76</f>
        <v>0</v>
      </c>
      <c r="I99" s="373">
        <f>STAFFING!J76</f>
        <v>0</v>
      </c>
      <c r="J99"/>
      <c r="K99" s="306" t="str">
        <f>INPUTS!C107</f>
        <v>Fixed</v>
      </c>
      <c r="L99"/>
      <c r="M99"/>
      <c r="N99"/>
      <c r="O99" s="464"/>
    </row>
    <row r="100" spans="1:15" ht="15" customHeight="1" outlineLevel="1">
      <c r="A100" s="183"/>
      <c r="B100" s="355" t="str">
        <f>INPUTS!A108</f>
        <v>Instructional</v>
      </c>
      <c r="C100" s="234" t="str">
        <f>INPUTS!B108</f>
        <v>Substitute Teacher Pool</v>
      </c>
      <c r="D100" s="373">
        <f>STAFFING!E77</f>
        <v>0</v>
      </c>
      <c r="E100" s="373">
        <f>STAFFING!F77</f>
        <v>2</v>
      </c>
      <c r="F100" s="373">
        <f>STAFFING!G77</f>
        <v>4</v>
      </c>
      <c r="G100" s="373">
        <f>STAFFING!H77</f>
        <v>6</v>
      </c>
      <c r="H100" s="373">
        <f>STAFFING!I77</f>
        <v>7</v>
      </c>
      <c r="I100" s="373">
        <f>STAFFING!J77</f>
        <v>7</v>
      </c>
      <c r="J100"/>
      <c r="K100" s="306" t="str">
        <f>INPUTS!C108</f>
        <v>Per Pupil</v>
      </c>
      <c r="L100"/>
      <c r="M100"/>
      <c r="N100"/>
      <c r="O100" s="464"/>
    </row>
    <row r="101" spans="1:15" ht="15" customHeight="1" outlineLevel="1">
      <c r="A101" s="183"/>
      <c r="B101" s="512" t="str">
        <f>INPUTS!A109</f>
        <v>Non-Instructional</v>
      </c>
      <c r="C101" s="234" t="str">
        <f>INPUTS!B109</f>
        <v>Nurse</v>
      </c>
      <c r="D101" s="373">
        <f>STAFFING!E78</f>
        <v>0</v>
      </c>
      <c r="E101" s="373">
        <f>STAFFING!F78</f>
        <v>0.5</v>
      </c>
      <c r="F101" s="373">
        <f>STAFFING!G78</f>
        <v>1</v>
      </c>
      <c r="G101" s="373">
        <f>STAFFING!H78</f>
        <v>1</v>
      </c>
      <c r="H101" s="373">
        <f>STAFFING!I78</f>
        <v>1</v>
      </c>
      <c r="I101" s="373">
        <f>STAFFING!J78</f>
        <v>1</v>
      </c>
      <c r="J101"/>
      <c r="K101" s="306" t="str">
        <f>INPUTS!C109</f>
        <v>Fixed</v>
      </c>
      <c r="L101"/>
      <c r="M101"/>
      <c r="N101"/>
      <c r="O101" s="464"/>
    </row>
    <row r="102" spans="1:15" ht="15" customHeight="1" outlineLevel="1">
      <c r="A102" s="183"/>
      <c r="B102" s="512" t="str">
        <f>INPUTS!A110</f>
        <v>Non-Instructional</v>
      </c>
      <c r="C102" s="234" t="str">
        <f>INPUTS!B110</f>
        <v>Librarian</v>
      </c>
      <c r="D102" s="373">
        <f>STAFFING!E79</f>
        <v>0</v>
      </c>
      <c r="E102" s="373">
        <f>STAFFING!F79</f>
        <v>0</v>
      </c>
      <c r="F102" s="373">
        <f>STAFFING!G79</f>
        <v>0</v>
      </c>
      <c r="G102" s="373">
        <f>STAFFING!H79</f>
        <v>0</v>
      </c>
      <c r="H102" s="373">
        <f>STAFFING!I79</f>
        <v>0</v>
      </c>
      <c r="I102" s="373">
        <f>STAFFING!J79</f>
        <v>0</v>
      </c>
      <c r="J102"/>
      <c r="K102" s="306" t="str">
        <f>INPUTS!C110</f>
        <v>Fixed</v>
      </c>
      <c r="L102"/>
      <c r="M102"/>
      <c r="N102"/>
      <c r="O102" s="464"/>
    </row>
    <row r="103" spans="1:15" ht="15" customHeight="1" outlineLevel="1">
      <c r="A103" s="183"/>
      <c r="B103" s="512" t="str">
        <f>INPUTS!A111</f>
        <v>Administrative</v>
      </c>
      <c r="C103" s="234" t="str">
        <f>INPUTS!B111</f>
        <v>Manager of Student Support</v>
      </c>
      <c r="D103" s="373">
        <f>STAFFING!E80</f>
        <v>0</v>
      </c>
      <c r="E103" s="373">
        <f>STAFFING!F80</f>
        <v>0</v>
      </c>
      <c r="F103" s="373">
        <f>STAFFING!G80</f>
        <v>0</v>
      </c>
      <c r="G103" s="373">
        <f>STAFFING!H80</f>
        <v>0</v>
      </c>
      <c r="H103" s="373">
        <f>STAFFING!I80</f>
        <v>0</v>
      </c>
      <c r="I103" s="373">
        <f>STAFFING!J80</f>
        <v>0</v>
      </c>
      <c r="J103"/>
      <c r="K103" s="306">
        <f>INPUTS!C111</f>
        <v>0</v>
      </c>
      <c r="L103"/>
      <c r="M103"/>
      <c r="N103"/>
      <c r="O103" s="464"/>
    </row>
    <row r="104" spans="1:15" ht="15" customHeight="1" outlineLevel="1">
      <c r="A104" s="183"/>
      <c r="B104" s="512" t="str">
        <f>INPUTS!A112</f>
        <v>Administrative</v>
      </c>
      <c r="C104" s="234" t="str">
        <f>INPUTS!B112</f>
        <v>College &amp; Athletics Director</v>
      </c>
      <c r="D104" s="373">
        <f>STAFFING!E81</f>
        <v>0</v>
      </c>
      <c r="E104" s="373">
        <f>STAFFING!F81</f>
        <v>1</v>
      </c>
      <c r="F104" s="373">
        <f>STAFFING!G81</f>
        <v>1</v>
      </c>
      <c r="G104" s="373">
        <f>STAFFING!H81</f>
        <v>1</v>
      </c>
      <c r="H104" s="373">
        <f>STAFFING!I81</f>
        <v>1</v>
      </c>
      <c r="I104" s="373">
        <f>STAFFING!J81</f>
        <v>1</v>
      </c>
      <c r="J104"/>
      <c r="K104" s="306">
        <f>INPUTS!C112</f>
        <v>0</v>
      </c>
      <c r="L104"/>
      <c r="M104"/>
      <c r="N104"/>
      <c r="O104" s="464"/>
    </row>
    <row r="105" spans="1:15" ht="15" customHeight="1" outlineLevel="1">
      <c r="A105" s="183"/>
      <c r="B105" s="512" t="str">
        <f>INPUTS!A113</f>
        <v>Administrative</v>
      </c>
      <c r="C105" s="234" t="str">
        <f>INPUTS!B113</f>
        <v>Manager of College Success</v>
      </c>
      <c r="D105" s="373">
        <f>STAFFING!E82</f>
        <v>0</v>
      </c>
      <c r="E105" s="373">
        <f>STAFFING!F82</f>
        <v>0</v>
      </c>
      <c r="F105" s="373">
        <f>STAFFING!G82</f>
        <v>0</v>
      </c>
      <c r="G105" s="373">
        <f>STAFFING!H82</f>
        <v>1</v>
      </c>
      <c r="H105" s="373">
        <f>STAFFING!I82</f>
        <v>1</v>
      </c>
      <c r="I105" s="373">
        <f>STAFFING!J82</f>
        <v>1</v>
      </c>
      <c r="J105"/>
      <c r="K105" s="306">
        <f>INPUTS!C113</f>
        <v>0</v>
      </c>
      <c r="L105"/>
      <c r="M105"/>
      <c r="N105"/>
      <c r="O105" s="464"/>
    </row>
    <row r="106" spans="1:15" ht="15" customHeight="1" outlineLevel="1">
      <c r="A106" s="183"/>
      <c r="B106" s="512" t="str">
        <f>INPUTS!A114</f>
        <v>Administrative</v>
      </c>
      <c r="C106" s="234" t="str">
        <f>INPUTS!B114</f>
        <v>Coordinator of College Success</v>
      </c>
      <c r="D106" s="373">
        <f>STAFFING!E83</f>
        <v>0</v>
      </c>
      <c r="E106" s="373">
        <f>STAFFING!F83</f>
        <v>0</v>
      </c>
      <c r="F106" s="373">
        <f>STAFFING!G83</f>
        <v>0</v>
      </c>
      <c r="G106" s="373">
        <f>STAFFING!H83</f>
        <v>0</v>
      </c>
      <c r="H106" s="373">
        <f>STAFFING!I83</f>
        <v>1</v>
      </c>
      <c r="I106" s="373">
        <f>STAFFING!J83</f>
        <v>1</v>
      </c>
      <c r="J106"/>
      <c r="K106" s="306">
        <f>INPUTS!C114</f>
        <v>0</v>
      </c>
      <c r="L106"/>
      <c r="M106"/>
      <c r="N106"/>
      <c r="O106" s="464"/>
    </row>
    <row r="107" spans="1:15" ht="15" customHeight="1" outlineLevel="1">
      <c r="A107" s="183"/>
      <c r="B107" s="512">
        <f>INPUTS!A115</f>
        <v>0</v>
      </c>
      <c r="C107" s="234">
        <f>INPUTS!B115</f>
        <v>0</v>
      </c>
      <c r="D107" s="373">
        <f>STAFFING!E84</f>
        <v>0</v>
      </c>
      <c r="E107" s="373">
        <f>STAFFING!F84</f>
        <v>0</v>
      </c>
      <c r="F107" s="373">
        <f>STAFFING!G84</f>
        <v>0</v>
      </c>
      <c r="G107" s="373">
        <f>STAFFING!H84</f>
        <v>0</v>
      </c>
      <c r="H107" s="373">
        <f>STAFFING!I84</f>
        <v>0</v>
      </c>
      <c r="I107" s="373">
        <f>STAFFING!J84</f>
        <v>0</v>
      </c>
      <c r="J107"/>
      <c r="K107" s="306">
        <f>INPUTS!C115</f>
        <v>0</v>
      </c>
      <c r="L107"/>
      <c r="M107"/>
      <c r="N107"/>
      <c r="O107" s="464"/>
    </row>
    <row r="108" spans="1:15" outlineLevel="1">
      <c r="A108" s="183"/>
      <c r="B108" s="237" t="s">
        <v>426</v>
      </c>
      <c r="C108" s="237"/>
      <c r="D108" s="375">
        <f>SUM(D75:D107)</f>
        <v>1</v>
      </c>
      <c r="E108" s="375">
        <f t="shared" ref="E108:I108" si="28">SUM(E75:E107)</f>
        <v>27.25</v>
      </c>
      <c r="F108" s="375">
        <f t="shared" si="28"/>
        <v>49.25</v>
      </c>
      <c r="G108" s="375">
        <f t="shared" si="28"/>
        <v>71.25</v>
      </c>
      <c r="H108" s="375">
        <f t="shared" si="28"/>
        <v>83.25</v>
      </c>
      <c r="I108" s="375">
        <f t="shared" si="28"/>
        <v>83.25</v>
      </c>
      <c r="J108"/>
      <c r="K108"/>
      <c r="L108"/>
      <c r="M108"/>
      <c r="N108"/>
      <c r="O108" s="464"/>
    </row>
    <row r="109" spans="1:15" outlineLevel="1">
      <c r="A109" s="183"/>
      <c r="B109" s="665"/>
      <c r="C109" s="665" t="s">
        <v>285</v>
      </c>
      <c r="D109" s="666">
        <f>IFERROR((D108-#REF!)/#REF!, 0)</f>
        <v>0</v>
      </c>
      <c r="E109" s="666">
        <f t="shared" ref="E109:I109" si="29">IFERROR((E108-D108)/D108, 0)</f>
        <v>26.25</v>
      </c>
      <c r="F109" s="666">
        <f>IFERROR((F108-E108)/E108, 0)</f>
        <v>0.80733944954128445</v>
      </c>
      <c r="G109" s="666">
        <f t="shared" si="29"/>
        <v>0.4467005076142132</v>
      </c>
      <c r="H109" s="666">
        <f t="shared" si="29"/>
        <v>0.16842105263157894</v>
      </c>
      <c r="I109" s="666">
        <f t="shared" si="29"/>
        <v>0</v>
      </c>
      <c r="J109"/>
      <c r="K109" s="1"/>
      <c r="L109"/>
      <c r="M109"/>
      <c r="N109"/>
      <c r="O109" s="464"/>
    </row>
    <row r="110" spans="1:15" outlineLevel="1">
      <c r="A110" s="183"/>
      <c r="B110"/>
      <c r="C110"/>
      <c r="D110"/>
      <c r="E110"/>
      <c r="F110"/>
      <c r="G110"/>
      <c r="H110"/>
      <c r="I110"/>
      <c r="J110"/>
      <c r="K110" s="1"/>
      <c r="L110"/>
      <c r="M110"/>
      <c r="N110"/>
      <c r="O110" s="464"/>
    </row>
    <row r="111" spans="1:15" outlineLevel="1">
      <c r="A111" s="183"/>
      <c r="B111" s="237" t="s">
        <v>397</v>
      </c>
      <c r="C111" s="237"/>
      <c r="D111" s="366"/>
      <c r="E111" s="369"/>
      <c r="F111" s="369"/>
      <c r="G111" s="369"/>
      <c r="H111" s="369"/>
      <c r="I111" s="370"/>
      <c r="J111"/>
      <c r="K111" s="1"/>
      <c r="L111"/>
      <c r="M111"/>
      <c r="N111"/>
      <c r="O111" s="464"/>
    </row>
    <row r="112" spans="1:15" outlineLevel="1">
      <c r="A112" s="183"/>
      <c r="B112" s="354" t="s">
        <v>385</v>
      </c>
      <c r="C112" s="354"/>
      <c r="D112" s="371">
        <f t="shared" ref="D112:I112" si="30">SUMIFS(D75:D107,$B75:$B107,$B112)</f>
        <v>1</v>
      </c>
      <c r="E112" s="371">
        <f t="shared" si="30"/>
        <v>7.25</v>
      </c>
      <c r="F112" s="371">
        <f t="shared" si="30"/>
        <v>8.25</v>
      </c>
      <c r="G112" s="371">
        <f t="shared" si="30"/>
        <v>11.25</v>
      </c>
      <c r="H112" s="371">
        <f t="shared" si="30"/>
        <v>13.25</v>
      </c>
      <c r="I112" s="371">
        <f t="shared" si="30"/>
        <v>13.25</v>
      </c>
      <c r="J112"/>
      <c r="K112" s="1"/>
      <c r="L112"/>
      <c r="M112"/>
      <c r="N112"/>
      <c r="O112" s="464"/>
    </row>
    <row r="113" spans="1:15" outlineLevel="1">
      <c r="A113" s="183"/>
      <c r="B113" s="355" t="s">
        <v>373</v>
      </c>
      <c r="C113" s="355"/>
      <c r="D113" s="371">
        <f t="shared" ref="D113:I113" si="31">SUMIFS(D75:D107,$B75:$B107,$B113)</f>
        <v>0</v>
      </c>
      <c r="E113" s="371">
        <f t="shared" si="31"/>
        <v>17</v>
      </c>
      <c r="F113" s="371">
        <f t="shared" si="31"/>
        <v>37</v>
      </c>
      <c r="G113" s="371">
        <f t="shared" si="31"/>
        <v>53</v>
      </c>
      <c r="H113" s="371">
        <f t="shared" si="31"/>
        <v>63</v>
      </c>
      <c r="I113" s="371">
        <f t="shared" si="31"/>
        <v>63</v>
      </c>
      <c r="J113"/>
      <c r="K113" s="1"/>
      <c r="L113"/>
      <c r="M113"/>
      <c r="N113"/>
      <c r="O113" s="464"/>
    </row>
    <row r="114" spans="1:15" outlineLevel="1">
      <c r="A114" s="183"/>
      <c r="B114" s="356" t="s">
        <v>374</v>
      </c>
      <c r="C114" s="356"/>
      <c r="D114" s="371">
        <f t="shared" ref="D114:I114" si="32">SUMIFS(D75:D107,$B75:$B107,$B114)</f>
        <v>0</v>
      </c>
      <c r="E114" s="371">
        <f t="shared" si="32"/>
        <v>3</v>
      </c>
      <c r="F114" s="371">
        <f t="shared" si="32"/>
        <v>4</v>
      </c>
      <c r="G114" s="371">
        <f t="shared" si="32"/>
        <v>7</v>
      </c>
      <c r="H114" s="371">
        <f t="shared" si="32"/>
        <v>7</v>
      </c>
      <c r="I114" s="371">
        <f t="shared" si="32"/>
        <v>7</v>
      </c>
      <c r="J114"/>
      <c r="K114" s="1"/>
      <c r="L114"/>
      <c r="M114"/>
      <c r="N114"/>
      <c r="O114" s="464"/>
    </row>
    <row r="115" spans="1:15">
      <c r="A115" s="183"/>
      <c r="B115"/>
      <c r="C115"/>
      <c r="D115"/>
      <c r="E115"/>
      <c r="F115"/>
      <c r="G115"/>
      <c r="H115"/>
      <c r="I115"/>
      <c r="J115"/>
      <c r="K115" s="1"/>
      <c r="L115"/>
      <c r="M115"/>
      <c r="N115"/>
      <c r="O115" s="464"/>
    </row>
    <row r="116" spans="1:15" s="520" customFormat="1" ht="26">
      <c r="A116" s="87" t="s">
        <v>415</v>
      </c>
      <c r="B116" s="88"/>
      <c r="C116" s="88"/>
      <c r="D116" s="89"/>
      <c r="E116" s="88"/>
      <c r="F116" s="88"/>
      <c r="G116" s="89"/>
      <c r="H116" s="88"/>
      <c r="I116" s="360"/>
      <c r="J116" s="88"/>
      <c r="K116" s="88"/>
      <c r="L116" s="88"/>
      <c r="M116" s="88"/>
      <c r="N116" s="88"/>
      <c r="O116" s="90"/>
    </row>
    <row r="117" spans="1:15">
      <c r="A117" s="183"/>
      <c r="B117"/>
      <c r="C117"/>
      <c r="D117"/>
      <c r="E117"/>
      <c r="F117"/>
      <c r="G117"/>
      <c r="H117"/>
      <c r="I117"/>
      <c r="J117"/>
      <c r="K117" s="1"/>
      <c r="L117"/>
      <c r="M117"/>
      <c r="N117"/>
      <c r="O117" s="464"/>
    </row>
    <row r="118" spans="1:15" s="529" customFormat="1" outlineLevel="1">
      <c r="A118" s="747"/>
      <c r="B118" s="179" t="s">
        <v>392</v>
      </c>
      <c r="C118" s="179" t="s">
        <v>25</v>
      </c>
      <c r="D118" s="366"/>
      <c r="E118" s="369"/>
      <c r="F118" s="369"/>
      <c r="G118" s="369"/>
      <c r="H118" s="369"/>
      <c r="I118" s="370"/>
      <c r="J118"/>
      <c r="K118" s="179" t="s">
        <v>26</v>
      </c>
      <c r="L118" s="179" t="s">
        <v>393</v>
      </c>
      <c r="M118" s="179" t="s">
        <v>395</v>
      </c>
      <c r="N118" s="1"/>
      <c r="O118" s="748"/>
    </row>
    <row r="119" spans="1:15" s="529" customFormat="1" outlineLevel="1">
      <c r="A119" s="747"/>
      <c r="B119" s="374"/>
      <c r="C119" s="236" t="str">
        <f>INPUTS!B33</f>
        <v>1100 - Local Property Tax</v>
      </c>
      <c r="D119" s="171" cm="1">
        <f t="array" ref="D119">_xlfn.IFS($K119=  "Per Pupil",           D$57*SUMIFS(INPUTS!D$32:D$76, INPUTS!$B$32:$B$76, $C119),
     $K119=  "Per Pupil - EL",      D$66*SUMIFS(INPUTS!D$32:D$76, INPUTS!$B$32:$B$76, $C119),
     $K119=  "Per Pupil - SPED",    D$61*SUMIFS(INPUTS!D$32:D$76, INPUTS!$B$32:$B$76, $C119),
     $K119=  "Direct",                   SUMIFS(INPUTS!D$32:D$76, INPUTS!$B$32:$B$76, $C119),
     $K119=  "Average Cash on Hand",     SUMIFS(INPUTS!D$32:D$76, INPUTS!$B$32:$B$76, $C119))</f>
        <v>0</v>
      </c>
      <c r="E119" s="171" cm="1">
        <f t="array" ref="E119">_xlfn.IFS($K119=  "Per Pupil",           E$57*SUMIFS(INPUTS!E$32:E$76, INPUTS!$B$32:$B$76, $C119),
     $K119=  "Per Pupil - EL",      E$66*SUMIFS(INPUTS!E$32:E$76, INPUTS!$B$32:$B$76, $C119),
     $K119=  "Per Pupil - SPED",    E$61*SUMIFS(INPUTS!E$32:E$76, INPUTS!$B$32:$B$76, $C119),
     $K119=  "Direct",                   SUMIFS(INPUTS!E$32:E$76, INPUTS!$B$32:$B$76, $C119),
     $K119=  "Average Cash on Hand",     SUMIFS(INPUTS!E$32:E$76, INPUTS!$B$32:$B$76, $C119))</f>
        <v>0</v>
      </c>
      <c r="F119" s="171" cm="1">
        <f t="array" ref="F119">_xlfn.IFS($K119=  "Per Pupil",           F$57*SUMIFS(INPUTS!F$32:F$76, INPUTS!$B$32:$B$76, $C119),
     $K119=  "Per Pupil - EL",      F$66*SUMIFS(INPUTS!F$32:F$76, INPUTS!$B$32:$B$76, $C119),
     $K119=  "Per Pupil - SPED",    F$61*SUMIFS(INPUTS!F$32:F$76, INPUTS!$B$32:$B$76, $C119),
     $K119=  "Direct",                   SUMIFS(INPUTS!F$32:F$76, INPUTS!$B$32:$B$76, $C119),
     $K119=  "Average Cash on Hand",     SUMIFS(INPUTS!F$32:F$76, INPUTS!$B$32:$B$76, $C119))</f>
        <v>0</v>
      </c>
      <c r="G119" s="171" cm="1">
        <f t="array" ref="G119">_xlfn.IFS($K119=  "Per Pupil",           G$57*SUMIFS(INPUTS!G$32:G$76, INPUTS!$B$32:$B$76, $C119),
     $K119=  "Per Pupil - EL",      G$66*SUMIFS(INPUTS!G$32:G$76, INPUTS!$B$32:$B$76, $C119),
     $K119=  "Per Pupil - SPED",    G$61*SUMIFS(INPUTS!G$32:G$76, INPUTS!$B$32:$B$76, $C119),
     $K119=  "Direct",                   SUMIFS(INPUTS!G$32:G$76, INPUTS!$B$32:$B$76, $C119),
     $K119=  "Average Cash on Hand",     SUMIFS(INPUTS!G$32:G$76, INPUTS!$B$32:$B$76, $C119))</f>
        <v>0</v>
      </c>
      <c r="H119" s="171" cm="1">
        <f t="array" ref="H119">_xlfn.IFS($K119=  "Per Pupil",           H$57*SUMIFS(INPUTS!H$32:H$76, INPUTS!$B$32:$B$76, $C119),
     $K119=  "Per Pupil - EL",      H$66*SUMIFS(INPUTS!H$32:H$76, INPUTS!$B$32:$B$76, $C119),
     $K119=  "Per Pupil - SPED",    H$61*SUMIFS(INPUTS!H$32:H$76, INPUTS!$B$32:$B$76, $C119),
     $K119=  "Direct",                   SUMIFS(INPUTS!H$32:H$76, INPUTS!$B$32:$B$76, $C119),
     $K119=  "Average Cash on Hand",     SUMIFS(INPUTS!H$32:H$76, INPUTS!$B$32:$B$76, $C119))</f>
        <v>0</v>
      </c>
      <c r="I119" s="171" cm="1">
        <f t="array" ref="I119">_xlfn.IFS($K119=  "Per Pupil",           I$57*SUMIFS(INPUTS!I$32:I$76, INPUTS!$B$32:$B$76, $C119),
     $K119=  "Per Pupil - EL",      I$66*SUMIFS(INPUTS!I$32:I$76, INPUTS!$B$32:$B$76, $C119),
     $K119=  "Per Pupil - SPED",    I$61*SUMIFS(INPUTS!I$32:I$76, INPUTS!$B$32:$B$76, $C119),
     $K119=  "Direct",                   SUMIFS(INPUTS!I$32:I$76, INPUTS!$B$32:$B$76, $C119),
     $K119=  "Average Cash on Hand",     SUMIFS(INPUTS!I$32:I$76, INPUTS!$B$32:$B$76, $C119))</f>
        <v>0</v>
      </c>
      <c r="J119"/>
      <c r="K119" s="235" t="str">
        <f>INPUTS!C33</f>
        <v>Direct</v>
      </c>
      <c r="L119" s="235"/>
      <c r="M119" s="235"/>
      <c r="N119" s="1"/>
      <c r="O119" s="748"/>
    </row>
    <row r="120" spans="1:15" s="529" customFormat="1" outlineLevel="1">
      <c r="A120" s="747"/>
      <c r="B120" s="374"/>
      <c r="C120" s="236" t="str">
        <f>INPUTS!B34</f>
        <v>1900 - Other Local Taxes</v>
      </c>
      <c r="D120" s="171" cm="1">
        <f t="array" ref="D120">_xlfn.IFS($K120=  "Per Pupil",           D$57*SUMIFS(INPUTS!D$32:D$76, INPUTS!$B$32:$B$76, $C120),
     $K120=  "Per Pupil - EL",      D$66*SUMIFS(INPUTS!D$32:D$76, INPUTS!$B$32:$B$76, $C120),
     $K120=  "Per Pupil - SPED",    D$61*SUMIFS(INPUTS!D$32:D$76, INPUTS!$B$32:$B$76, $C120),
     $K120=  "Direct",                   SUMIFS(INPUTS!D$32:D$76, INPUTS!$B$32:$B$76, $C120),
     $K120=  "Average Cash on Hand",     SUMIFS(INPUTS!D$32:D$76, INPUTS!$B$32:$B$76, $C120))</f>
        <v>0</v>
      </c>
      <c r="E120" s="171" cm="1">
        <f t="array" ref="E120">_xlfn.IFS($K120=  "Per Pupil",           E$57*SUMIFS(INPUTS!E$32:E$76, INPUTS!$B$32:$B$76, $C120),
     $K120=  "Per Pupil - EL",      E$66*SUMIFS(INPUTS!E$32:E$76, INPUTS!$B$32:$B$76, $C120),
     $K120=  "Per Pupil - SPED",    E$61*SUMIFS(INPUTS!E$32:E$76, INPUTS!$B$32:$B$76, $C120),
     $K120=  "Direct",                   SUMIFS(INPUTS!E$32:E$76, INPUTS!$B$32:$B$76, $C120),
     $K120=  "Average Cash on Hand",     SUMIFS(INPUTS!E$32:E$76, INPUTS!$B$32:$B$76, $C120))</f>
        <v>0</v>
      </c>
      <c r="F120" s="171" cm="1">
        <f t="array" ref="F120">_xlfn.IFS($K120=  "Per Pupil",           F$57*SUMIFS(INPUTS!F$32:F$76, INPUTS!$B$32:$B$76, $C120),
     $K120=  "Per Pupil - EL",      F$66*SUMIFS(INPUTS!F$32:F$76, INPUTS!$B$32:$B$76, $C120),
     $K120=  "Per Pupil - SPED",    F$61*SUMIFS(INPUTS!F$32:F$76, INPUTS!$B$32:$B$76, $C120),
     $K120=  "Direct",                   SUMIFS(INPUTS!F$32:F$76, INPUTS!$B$32:$B$76, $C120),
     $K120=  "Average Cash on Hand",     SUMIFS(INPUTS!F$32:F$76, INPUTS!$B$32:$B$76, $C120))</f>
        <v>0</v>
      </c>
      <c r="G120" s="171" cm="1">
        <f t="array" ref="G120">_xlfn.IFS($K120=  "Per Pupil",           G$57*SUMIFS(INPUTS!G$32:G$76, INPUTS!$B$32:$B$76, $C120),
     $K120=  "Per Pupil - EL",      G$66*SUMIFS(INPUTS!G$32:G$76, INPUTS!$B$32:$B$76, $C120),
     $K120=  "Per Pupil - SPED",    G$61*SUMIFS(INPUTS!G$32:G$76, INPUTS!$B$32:$B$76, $C120),
     $K120=  "Direct",                   SUMIFS(INPUTS!G$32:G$76, INPUTS!$B$32:$B$76, $C120),
     $K120=  "Average Cash on Hand",     SUMIFS(INPUTS!G$32:G$76, INPUTS!$B$32:$B$76, $C120))</f>
        <v>0</v>
      </c>
      <c r="H120" s="171" cm="1">
        <f t="array" ref="H120">_xlfn.IFS($K120=  "Per Pupil",           H$57*SUMIFS(INPUTS!H$32:H$76, INPUTS!$B$32:$B$76, $C120),
     $K120=  "Per Pupil - EL",      H$66*SUMIFS(INPUTS!H$32:H$76, INPUTS!$B$32:$B$76, $C120),
     $K120=  "Per Pupil - SPED",    H$61*SUMIFS(INPUTS!H$32:H$76, INPUTS!$B$32:$B$76, $C120),
     $K120=  "Direct",                   SUMIFS(INPUTS!H$32:H$76, INPUTS!$B$32:$B$76, $C120),
     $K120=  "Average Cash on Hand",     SUMIFS(INPUTS!H$32:H$76, INPUTS!$B$32:$B$76, $C120))</f>
        <v>0</v>
      </c>
      <c r="I120" s="171" cm="1">
        <f t="array" ref="I120">_xlfn.IFS($K120=  "Per Pupil",           I$57*SUMIFS(INPUTS!I$32:I$76, INPUTS!$B$32:$B$76, $C120),
     $K120=  "Per Pupil - EL",      I$66*SUMIFS(INPUTS!I$32:I$76, INPUTS!$B$32:$B$76, $C120),
     $K120=  "Per Pupil - SPED",    I$61*SUMIFS(INPUTS!I$32:I$76, INPUTS!$B$32:$B$76, $C120),
     $K120=  "Direct",                   SUMIFS(INPUTS!I$32:I$76, INPUTS!$B$32:$B$76, $C120),
     $K120=  "Average Cash on Hand",     SUMIFS(INPUTS!I$32:I$76, INPUTS!$B$32:$B$76, $C120))</f>
        <v>0</v>
      </c>
      <c r="J120"/>
      <c r="K120" s="235" t="str">
        <f>INPUTS!C34</f>
        <v>Direct</v>
      </c>
      <c r="L120" s="235"/>
      <c r="M120" s="235"/>
      <c r="N120" s="1"/>
      <c r="O120" s="748"/>
    </row>
    <row r="121" spans="1:15" s="529" customFormat="1" outlineLevel="1">
      <c r="A121" s="747"/>
      <c r="B121" s="844"/>
      <c r="C121" s="843" t="str">
        <f>INPUTS!B35</f>
        <v>1000 - LOCAL TAXES</v>
      </c>
      <c r="D121" s="845">
        <f>SUM(D119:D120)</f>
        <v>0</v>
      </c>
      <c r="E121" s="845">
        <f t="shared" ref="E121:I121" si="33">SUM(E119:E120)</f>
        <v>0</v>
      </c>
      <c r="F121" s="845">
        <f t="shared" si="33"/>
        <v>0</v>
      </c>
      <c r="G121" s="845">
        <f t="shared" si="33"/>
        <v>0</v>
      </c>
      <c r="H121" s="845">
        <f t="shared" si="33"/>
        <v>0</v>
      </c>
      <c r="I121" s="845">
        <f t="shared" si="33"/>
        <v>0</v>
      </c>
      <c r="J121"/>
      <c r="K121" s="845"/>
      <c r="L121" s="845"/>
      <c r="M121" s="845"/>
      <c r="N121" s="1"/>
      <c r="O121" s="748"/>
    </row>
    <row r="122" spans="1:15" s="529" customFormat="1" outlineLevel="1">
      <c r="A122" s="747"/>
      <c r="B122" s="374" t="str">
        <f>INPUTS!L36</f>
        <v>State &amp; Local</v>
      </c>
      <c r="C122" s="236" t="str">
        <f>INPUTS!B36</f>
        <v xml:space="preserve">2200 - Sale Of Goods, Supplies, &amp; Services - Unassigned </v>
      </c>
      <c r="D122" s="171" cm="1">
        <f t="array" ref="D122">_xlfn.IFS($K122=  "Per Pupil",           D$57*SUMIFS(INPUTS!D$32:D$76, INPUTS!$B$32:$B$76, $C122),
     $K122=  "Per Pupil - EL",      D$66*SUMIFS(INPUTS!D$32:D$76, INPUTS!$B$32:$B$76, $C122),
     $K122=  "Per Pupil - SPED",    D$61*SUMIFS(INPUTS!D$32:D$76, INPUTS!$B$32:$B$76, $C122),
     $K122=  "Direct",                   SUMIFS(INPUTS!D$32:D$76, INPUTS!$B$32:$B$76, $C122),
     $K122=  "Average Cash on Hand",     SUMIFS(INPUTS!D$32:D$76, INPUTS!$B$32:$B$76, $C122))</f>
        <v>6000</v>
      </c>
      <c r="E122" s="171" cm="1">
        <f t="array" ref="E122">_xlfn.IFS($K122=  "Per Pupil",           E$57*SUMIFS(INPUTS!E$32:E$76, INPUTS!$B$32:$B$76, $C122),
     $K122=  "Per Pupil - EL",      E$66*SUMIFS(INPUTS!E$32:E$76, INPUTS!$B$32:$B$76, $C122),
     $K122=  "Per Pupil - SPED",    E$61*SUMIFS(INPUTS!E$32:E$76, INPUTS!$B$32:$B$76, $C122),
     $K122=  "Direct",                   SUMIFS(INPUTS!E$32:E$76, INPUTS!$B$32:$B$76, $C122),
     $K122=  "Average Cash on Hand",     SUMIFS(INPUTS!E$32:E$76, INPUTS!$B$32:$B$76, $C122))</f>
        <v>6149.9999999999991</v>
      </c>
      <c r="F122" s="171" cm="1">
        <f t="array" ref="F122">_xlfn.IFS($K122=  "Per Pupil",           F$57*SUMIFS(INPUTS!F$32:F$76, INPUTS!$B$32:$B$76, $C122),
     $K122=  "Per Pupil - EL",      F$66*SUMIFS(INPUTS!F$32:F$76, INPUTS!$B$32:$B$76, $C122),
     $K122=  "Per Pupil - SPED",    F$61*SUMIFS(INPUTS!F$32:F$76, INPUTS!$B$32:$B$76, $C122),
     $K122=  "Direct",                   SUMIFS(INPUTS!F$32:F$76, INPUTS!$B$32:$B$76, $C122),
     $K122=  "Average Cash on Hand",     SUMIFS(INPUTS!F$32:F$76, INPUTS!$B$32:$B$76, $C122))</f>
        <v>6303.7499999999982</v>
      </c>
      <c r="G122" s="171" cm="1">
        <f t="array" ref="G122">_xlfn.IFS($K122=  "Per Pupil",           G$57*SUMIFS(INPUTS!G$32:G$76, INPUTS!$B$32:$B$76, $C122),
     $K122=  "Per Pupil - EL",      G$66*SUMIFS(INPUTS!G$32:G$76, INPUTS!$B$32:$B$76, $C122),
     $K122=  "Per Pupil - SPED",    G$61*SUMIFS(INPUTS!G$32:G$76, INPUTS!$B$32:$B$76, $C122),
     $K122=  "Direct",                   SUMIFS(INPUTS!G$32:G$76, INPUTS!$B$32:$B$76, $C122),
     $K122=  "Average Cash on Hand",     SUMIFS(INPUTS!G$32:G$76, INPUTS!$B$32:$B$76, $C122))</f>
        <v>6461.3437499999973</v>
      </c>
      <c r="H122" s="171" cm="1">
        <f t="array" ref="H122">_xlfn.IFS($K122=  "Per Pupil",           H$57*SUMIFS(INPUTS!H$32:H$76, INPUTS!$B$32:$B$76, $C122),
     $K122=  "Per Pupil - EL",      H$66*SUMIFS(INPUTS!H$32:H$76, INPUTS!$B$32:$B$76, $C122),
     $K122=  "Per Pupil - SPED",    H$61*SUMIFS(INPUTS!H$32:H$76, INPUTS!$B$32:$B$76, $C122),
     $K122=  "Direct",                   SUMIFS(INPUTS!H$32:H$76, INPUTS!$B$32:$B$76, $C122),
     $K122=  "Average Cash on Hand",     SUMIFS(INPUTS!H$32:H$76, INPUTS!$B$32:$B$76, $C122))</f>
        <v>6622.8773437499967</v>
      </c>
      <c r="I122" s="171" cm="1">
        <f t="array" ref="I122">_xlfn.IFS($K122=  "Per Pupil",           I$57*SUMIFS(INPUTS!I$32:I$76, INPUTS!$B$32:$B$76, $C122),
     $K122=  "Per Pupil - EL",      I$66*SUMIFS(INPUTS!I$32:I$76, INPUTS!$B$32:$B$76, $C122),
     $K122=  "Per Pupil - SPED",    I$61*SUMIFS(INPUTS!I$32:I$76, INPUTS!$B$32:$B$76, $C122),
     $K122=  "Direct",                   SUMIFS(INPUTS!I$32:I$76, INPUTS!$B$32:$B$76, $C122),
     $K122=  "Average Cash on Hand",     SUMIFS(INPUTS!I$32:I$76, INPUTS!$B$32:$B$76, $C122))</f>
        <v>6788.449277343746</v>
      </c>
      <c r="J122"/>
      <c r="K122" s="235" t="str">
        <f>INPUTS!C36</f>
        <v>Direct</v>
      </c>
      <c r="L122" s="235" t="str">
        <f>INPUTS!J36</f>
        <v>Recurring</v>
      </c>
      <c r="M122" s="235" t="str">
        <f>INPUTS!K36</f>
        <v>Operating</v>
      </c>
      <c r="N122" s="1"/>
      <c r="O122" s="748"/>
    </row>
    <row r="123" spans="1:15" s="529" customFormat="1" outlineLevel="1">
      <c r="A123" s="747"/>
      <c r="B123" s="374" t="str">
        <f>INPUTS!L37</f>
        <v>State &amp; Local</v>
      </c>
      <c r="C123" s="236" t="str">
        <f>INPUTS!B37</f>
        <v>2300 - Investment Earnings</v>
      </c>
      <c r="D123" s="171"/>
      <c r="E123" s="171" cm="1">
        <f t="array" ref="E123">_xlfn.IFS($K123=  "Per Pupil",           E$57*SUMIFS(INPUTS!E$32:E$76, INPUTS!$B$32:$B$76, $C123),
     $K123=  "Per Pupil - EL",      E$66*SUMIFS(INPUTS!E$32:E$76, INPUTS!$B$32:$B$76, $C123),
     $K123=  "Per Pupil - SPED",    E$61*SUMIFS(INPUTS!E$32:E$76, INPUTS!$B$32:$B$76, $C123),
     $K123=  "Direct",                   SUMIFS(INPUTS!E$32:E$76, INPUTS!$B$32:$B$76, $C123),
     $K123=  "Average Cash on Hand",     SUMIFS(INPUTS!E$32:E$76, INPUTS!$B$32:$B$76, $C123))</f>
        <v>0</v>
      </c>
      <c r="F123" s="171" cm="1">
        <f t="array" ref="F123">_xlfn.IFS($K123=  "Per Pupil",           F$57*SUMIFS(INPUTS!F$32:F$76, INPUTS!$B$32:$B$76, $C123),
     $K123=  "Per Pupil - EL",      F$66*SUMIFS(INPUTS!F$32:F$76, INPUTS!$B$32:$B$76, $C123),
     $K123=  "Per Pupil - SPED",    F$61*SUMIFS(INPUTS!F$32:F$76, INPUTS!$B$32:$B$76, $C123),
     $K123=  "Direct",                   SUMIFS(INPUTS!F$32:F$76, INPUTS!$B$32:$B$76, $C123),
     $K123=  "Average Cash on Hand",     SUMIFS(INPUTS!F$32:F$76, INPUTS!$B$32:$B$76, $C123))</f>
        <v>0</v>
      </c>
      <c r="G123" s="171" cm="1">
        <f t="array" ref="G123">_xlfn.IFS($K123=  "Per Pupil",           G$57*SUMIFS(INPUTS!G$32:G$76, INPUTS!$B$32:$B$76, $C123),
     $K123=  "Per Pupil - EL",      G$66*SUMIFS(INPUTS!G$32:G$76, INPUTS!$B$32:$B$76, $C123),
     $K123=  "Per Pupil - SPED",    G$61*SUMIFS(INPUTS!G$32:G$76, INPUTS!$B$32:$B$76, $C123),
     $K123=  "Direct",                   SUMIFS(INPUTS!G$32:G$76, INPUTS!$B$32:$B$76, $C123),
     $K123=  "Average Cash on Hand",     SUMIFS(INPUTS!G$32:G$76, INPUTS!$B$32:$B$76, $C123))</f>
        <v>0</v>
      </c>
      <c r="H123" s="171" cm="1">
        <f t="array" ref="H123">_xlfn.IFS($K123=  "Per Pupil",           H$57*SUMIFS(INPUTS!H$32:H$76, INPUTS!$B$32:$B$76, $C123),
     $K123=  "Per Pupil - EL",      H$66*SUMIFS(INPUTS!H$32:H$76, INPUTS!$B$32:$B$76, $C123),
     $K123=  "Per Pupil - SPED",    H$61*SUMIFS(INPUTS!H$32:H$76, INPUTS!$B$32:$B$76, $C123),
     $K123=  "Direct",                   SUMIFS(INPUTS!H$32:H$76, INPUTS!$B$32:$B$76, $C123),
     $K123=  "Average Cash on Hand",     SUMIFS(INPUTS!H$32:H$76, INPUTS!$B$32:$B$76, $C123))</f>
        <v>0</v>
      </c>
      <c r="I123" s="171" cm="1">
        <f t="array" ref="I123">_xlfn.IFS($K123=  "Per Pupil",           I$57*SUMIFS(INPUTS!I$32:I$76, INPUTS!$B$32:$B$76, $C123),
     $K123=  "Per Pupil - EL",      I$66*SUMIFS(INPUTS!I$32:I$76, INPUTS!$B$32:$B$76, $C123),
     $K123=  "Per Pupil - SPED",    I$61*SUMIFS(INPUTS!I$32:I$76, INPUTS!$B$32:$B$76, $C123),
     $K123=  "Direct",                   SUMIFS(INPUTS!I$32:I$76, INPUTS!$B$32:$B$76, $C123),
     $K123=  "Average Cash on Hand",     SUMIFS(INPUTS!I$32:I$76, INPUTS!$B$32:$B$76, $C123))</f>
        <v>0</v>
      </c>
      <c r="J123"/>
      <c r="K123" s="235" t="str">
        <f>INPUTS!C37</f>
        <v>Average Cash on Hand</v>
      </c>
      <c r="L123" s="235" t="str">
        <f>INPUTS!J37</f>
        <v>Recurring</v>
      </c>
      <c r="M123" s="235" t="str">
        <f>INPUTS!K37</f>
        <v>Non-Operating</v>
      </c>
      <c r="N123" s="1"/>
      <c r="O123" s="748"/>
    </row>
    <row r="124" spans="1:15" s="529" customFormat="1" outlineLevel="1">
      <c r="A124" s="747"/>
      <c r="B124" s="374" t="str">
        <f>INPUTS!L38</f>
        <v>State &amp; Local</v>
      </c>
      <c r="C124" s="236" t="str">
        <f>INPUTS!B38</f>
        <v xml:space="preserve">2500 - Gifts Grants, and Donations (Local)   </v>
      </c>
      <c r="D124" s="171" cm="1">
        <f t="array" ref="D124">_xlfn.IFS($K124=  "Per Pupil",           D$57*SUMIFS(INPUTS!D$32:D$76, INPUTS!$B$32:$B$76, $C124),
     $K124=  "Per Pupil - EL",      D$66*SUMIFS(INPUTS!D$32:D$76, INPUTS!$B$32:$B$76, $C124),
     $K124=  "Per Pupil - SPED",    D$61*SUMIFS(INPUTS!D$32:D$76, INPUTS!$B$32:$B$76, $C124),
     $K124=  "Direct",                   SUMIFS(INPUTS!D$32:D$76, INPUTS!$B$32:$B$76, $C124),
     $K124=  "Average Cash on Hand",     SUMIFS(INPUTS!D$32:D$76, INPUTS!$B$32:$B$76, $C124))</f>
        <v>0</v>
      </c>
      <c r="E124" s="171" cm="1">
        <f t="array" ref="E124">_xlfn.IFS($K124=  "Per Pupil",           E$57*SUMIFS(INPUTS!E$32:E$76, INPUTS!$B$32:$B$76, $C124),
     $K124=  "Per Pupil - EL",      E$66*SUMIFS(INPUTS!E$32:E$76, INPUTS!$B$32:$B$76, $C124),
     $K124=  "Per Pupil - SPED",    E$61*SUMIFS(INPUTS!E$32:E$76, INPUTS!$B$32:$B$76, $C124),
     $K124=  "Direct",                   SUMIFS(INPUTS!E$32:E$76, INPUTS!$B$32:$B$76, $C124),
     $K124=  "Average Cash on Hand",     SUMIFS(INPUTS!E$32:E$76, INPUTS!$B$32:$B$76, $C124))</f>
        <v>0</v>
      </c>
      <c r="F124" s="171" cm="1">
        <f t="array" ref="F124">_xlfn.IFS($K124=  "Per Pupil",           F$57*SUMIFS(INPUTS!F$32:F$76, INPUTS!$B$32:$B$76, $C124),
     $K124=  "Per Pupil - EL",      F$66*SUMIFS(INPUTS!F$32:F$76, INPUTS!$B$32:$B$76, $C124),
     $K124=  "Per Pupil - SPED",    F$61*SUMIFS(INPUTS!F$32:F$76, INPUTS!$B$32:$B$76, $C124),
     $K124=  "Direct",                   SUMIFS(INPUTS!F$32:F$76, INPUTS!$B$32:$B$76, $C124),
     $K124=  "Average Cash on Hand",     SUMIFS(INPUTS!F$32:F$76, INPUTS!$B$32:$B$76, $C124))</f>
        <v>0</v>
      </c>
      <c r="G124" s="171" cm="1">
        <f t="array" ref="G124">_xlfn.IFS($K124=  "Per Pupil",           G$57*SUMIFS(INPUTS!G$32:G$76, INPUTS!$B$32:$B$76, $C124),
     $K124=  "Per Pupil - EL",      G$66*SUMIFS(INPUTS!G$32:G$76, INPUTS!$B$32:$B$76, $C124),
     $K124=  "Per Pupil - SPED",    G$61*SUMIFS(INPUTS!G$32:G$76, INPUTS!$B$32:$B$76, $C124),
     $K124=  "Direct",                   SUMIFS(INPUTS!G$32:G$76, INPUTS!$B$32:$B$76, $C124),
     $K124=  "Average Cash on Hand",     SUMIFS(INPUTS!G$32:G$76, INPUTS!$B$32:$B$76, $C124))</f>
        <v>0</v>
      </c>
      <c r="H124" s="171" cm="1">
        <f t="array" ref="H124">_xlfn.IFS($K124=  "Per Pupil",           H$57*SUMIFS(INPUTS!H$32:H$76, INPUTS!$B$32:$B$76, $C124),
     $K124=  "Per Pupil - EL",      H$66*SUMIFS(INPUTS!H$32:H$76, INPUTS!$B$32:$B$76, $C124),
     $K124=  "Per Pupil - SPED",    H$61*SUMIFS(INPUTS!H$32:H$76, INPUTS!$B$32:$B$76, $C124),
     $K124=  "Direct",                   SUMIFS(INPUTS!H$32:H$76, INPUTS!$B$32:$B$76, $C124),
     $K124=  "Average Cash on Hand",     SUMIFS(INPUTS!H$32:H$76, INPUTS!$B$32:$B$76, $C124))</f>
        <v>0</v>
      </c>
      <c r="I124" s="171" cm="1">
        <f t="array" ref="I124">_xlfn.IFS($K124=  "Per Pupil",           I$57*SUMIFS(INPUTS!I$32:I$76, INPUTS!$B$32:$B$76, $C124),
     $K124=  "Per Pupil - EL",      I$66*SUMIFS(INPUTS!I$32:I$76, INPUTS!$B$32:$B$76, $C124),
     $K124=  "Per Pupil - SPED",    I$61*SUMIFS(INPUTS!I$32:I$76, INPUTS!$B$32:$B$76, $C124),
     $K124=  "Direct",                   SUMIFS(INPUTS!I$32:I$76, INPUTS!$B$32:$B$76, $C124),
     $K124=  "Average Cash on Hand",     SUMIFS(INPUTS!I$32:I$76, INPUTS!$B$32:$B$76, $C124))</f>
        <v>0</v>
      </c>
      <c r="J124"/>
      <c r="K124" s="235" t="str">
        <f>INPUTS!C38</f>
        <v>Direct</v>
      </c>
      <c r="L124" s="235" t="str">
        <f>INPUTS!J38</f>
        <v>Non-Recurring</v>
      </c>
      <c r="M124" s="235" t="str">
        <f>INPUTS!K38</f>
        <v>Operating</v>
      </c>
      <c r="N124" s="1"/>
      <c r="O124" s="748"/>
    </row>
    <row r="125" spans="1:15" s="529" customFormat="1" outlineLevel="1">
      <c r="A125" s="747"/>
      <c r="B125" s="374" t="str">
        <f>INPUTS!L39</f>
        <v>State &amp; Local</v>
      </c>
      <c r="C125" s="236" t="str">
        <f>INPUTS!B39</f>
        <v>All Other 2000 - LOCAL SUPPORT - NON-TAX</v>
      </c>
      <c r="D125" s="171" cm="1">
        <f t="array" ref="D125">_xlfn.IFS($K125=  "Per Pupil",           D$57*SUMIFS(INPUTS!D$32:D$76, INPUTS!$B$32:$B$76, $C125),
     $K125=  "Per Pupil - EL",      D$66*SUMIFS(INPUTS!D$32:D$76, INPUTS!$B$32:$B$76, $C125),
     $K125=  "Per Pupil - SPED",    D$61*SUMIFS(INPUTS!D$32:D$76, INPUTS!$B$32:$B$76, $C125),
     $K125=  "Direct",                   SUMIFS(INPUTS!D$32:D$76, INPUTS!$B$32:$B$76, $C125),
     $K125=  "Average Cash on Hand",     SUMIFS(INPUTS!D$32:D$76, INPUTS!$B$32:$B$76, $C125))</f>
        <v>0</v>
      </c>
      <c r="E125" s="171" cm="1">
        <f t="array" ref="E125">_xlfn.IFS($K125=  "Per Pupil",           E$57*SUMIFS(INPUTS!E$32:E$76, INPUTS!$B$32:$B$76, $C125),
     $K125=  "Per Pupil - EL",      E$66*SUMIFS(INPUTS!E$32:E$76, INPUTS!$B$32:$B$76, $C125),
     $K125=  "Per Pupil - SPED",    E$61*SUMIFS(INPUTS!E$32:E$76, INPUTS!$B$32:$B$76, $C125),
     $K125=  "Direct",                   SUMIFS(INPUTS!E$32:E$76, INPUTS!$B$32:$B$76, $C125),
     $K125=  "Average Cash on Hand",     SUMIFS(INPUTS!E$32:E$76, INPUTS!$B$32:$B$76, $C125))</f>
        <v>0</v>
      </c>
      <c r="F125" s="171" cm="1">
        <f t="array" ref="F125">_xlfn.IFS($K125=  "Per Pupil",           F$57*SUMIFS(INPUTS!F$32:F$76, INPUTS!$B$32:$B$76, $C125),
     $K125=  "Per Pupil - EL",      F$66*SUMIFS(INPUTS!F$32:F$76, INPUTS!$B$32:$B$76, $C125),
     $K125=  "Per Pupil - SPED",    F$61*SUMIFS(INPUTS!F$32:F$76, INPUTS!$B$32:$B$76, $C125),
     $K125=  "Direct",                   SUMIFS(INPUTS!F$32:F$76, INPUTS!$B$32:$B$76, $C125),
     $K125=  "Average Cash on Hand",     SUMIFS(INPUTS!F$32:F$76, INPUTS!$B$32:$B$76, $C125))</f>
        <v>0</v>
      </c>
      <c r="G125" s="171" cm="1">
        <f t="array" ref="G125">_xlfn.IFS($K125=  "Per Pupil",           G$57*SUMIFS(INPUTS!G$32:G$76, INPUTS!$B$32:$B$76, $C125),
     $K125=  "Per Pupil - EL",      G$66*SUMIFS(INPUTS!G$32:G$76, INPUTS!$B$32:$B$76, $C125),
     $K125=  "Per Pupil - SPED",    G$61*SUMIFS(INPUTS!G$32:G$76, INPUTS!$B$32:$B$76, $C125),
     $K125=  "Direct",                   SUMIFS(INPUTS!G$32:G$76, INPUTS!$B$32:$B$76, $C125),
     $K125=  "Average Cash on Hand",     SUMIFS(INPUTS!G$32:G$76, INPUTS!$B$32:$B$76, $C125))</f>
        <v>0</v>
      </c>
      <c r="H125" s="171" cm="1">
        <f t="array" ref="H125">_xlfn.IFS($K125=  "Per Pupil",           H$57*SUMIFS(INPUTS!H$32:H$76, INPUTS!$B$32:$B$76, $C125),
     $K125=  "Per Pupil - EL",      H$66*SUMIFS(INPUTS!H$32:H$76, INPUTS!$B$32:$B$76, $C125),
     $K125=  "Per Pupil - SPED",    H$61*SUMIFS(INPUTS!H$32:H$76, INPUTS!$B$32:$B$76, $C125),
     $K125=  "Direct",                   SUMIFS(INPUTS!H$32:H$76, INPUTS!$B$32:$B$76, $C125),
     $K125=  "Average Cash on Hand",     SUMIFS(INPUTS!H$32:H$76, INPUTS!$B$32:$B$76, $C125))</f>
        <v>0</v>
      </c>
      <c r="I125" s="171" cm="1">
        <f t="array" ref="I125">_xlfn.IFS($K125=  "Per Pupil",           I$57*SUMIFS(INPUTS!I$32:I$76, INPUTS!$B$32:$B$76, $C125),
     $K125=  "Per Pupil - EL",      I$66*SUMIFS(INPUTS!I$32:I$76, INPUTS!$B$32:$B$76, $C125),
     $K125=  "Per Pupil - SPED",    I$61*SUMIFS(INPUTS!I$32:I$76, INPUTS!$B$32:$B$76, $C125),
     $K125=  "Direct",                   SUMIFS(INPUTS!I$32:I$76, INPUTS!$B$32:$B$76, $C125),
     $K125=  "Average Cash on Hand",     SUMIFS(INPUTS!I$32:I$76, INPUTS!$B$32:$B$76, $C125))</f>
        <v>0</v>
      </c>
      <c r="J125"/>
      <c r="K125" s="235" t="str">
        <f>INPUTS!C39</f>
        <v>Direct</v>
      </c>
      <c r="L125" s="235" t="str">
        <f>INPUTS!J39</f>
        <v>Non-Recurring</v>
      </c>
      <c r="M125" s="235" t="str">
        <f>INPUTS!K39</f>
        <v>Non-Operating</v>
      </c>
      <c r="N125" s="1"/>
      <c r="O125" s="748"/>
    </row>
    <row r="126" spans="1:15" s="529" customFormat="1" outlineLevel="1">
      <c r="A126" s="747"/>
      <c r="B126" s="844"/>
      <c r="C126" s="843" t="str">
        <f>INPUTS!B40</f>
        <v>2000 - LOCAL SUPPORT - NON-TAX</v>
      </c>
      <c r="D126" s="845">
        <f>SUM(D122:D125)</f>
        <v>6000</v>
      </c>
      <c r="E126" s="845">
        <f t="shared" ref="E126:I126" si="34">SUM(E122:E125)</f>
        <v>6149.9999999999991</v>
      </c>
      <c r="F126" s="845">
        <f t="shared" si="34"/>
        <v>6303.7499999999982</v>
      </c>
      <c r="G126" s="845">
        <f t="shared" si="34"/>
        <v>6461.3437499999973</v>
      </c>
      <c r="H126" s="845">
        <f t="shared" si="34"/>
        <v>6622.8773437499967</v>
      </c>
      <c r="I126" s="845">
        <f t="shared" si="34"/>
        <v>6788.449277343746</v>
      </c>
      <c r="J126"/>
      <c r="K126" s="845"/>
      <c r="L126" s="845"/>
      <c r="M126" s="845"/>
      <c r="N126" s="1"/>
      <c r="O126" s="748"/>
    </row>
    <row r="127" spans="1:15" s="529" customFormat="1" outlineLevel="1">
      <c r="A127" s="747"/>
      <c r="B127" s="374" t="str">
        <f>INPUTS!L41</f>
        <v>State &amp; Local</v>
      </c>
      <c r="C127" s="236" t="str">
        <f>INPUTS!B41</f>
        <v>3100 - Basic Education Apportionment (BEA)</v>
      </c>
      <c r="D127" s="171" cm="1">
        <f t="array" ref="D127">_xlfn.IFS($K127=  "Per Pupil",           D$57*SUMIFS(INPUTS!D$32:D$76, INPUTS!$B$32:$B$76, $C127),
     $K127=  "Per Pupil - EL",      D$66*SUMIFS(INPUTS!D$32:D$76, INPUTS!$B$32:$B$76, $C127),
     $K127=  "Per Pupil - SPED",    D$61*SUMIFS(INPUTS!D$32:D$76, INPUTS!$B$32:$B$76, $C127),
     $K127=  "Direct",                   SUMIFS(INPUTS!D$32:D$76, INPUTS!$B$32:$B$76, $C127),
     $K127=  "Average Cash on Hand",     SUMIFS(INPUTS!D$32:D$76, INPUTS!$B$32:$B$76, $C127))</f>
        <v>0</v>
      </c>
      <c r="E127" s="171" cm="1">
        <f t="array" ref="E127">_xlfn.IFS($K127=  "Per Pupil",           E$57*SUMIFS(INPUTS!E$32:E$76, INPUTS!$B$32:$B$76, $C127),
     $K127=  "Per Pupil - EL",      E$66*SUMIFS(INPUTS!E$32:E$76, INPUTS!$B$32:$B$76, $C127),
     $K127=  "Per Pupil - SPED",    E$61*SUMIFS(INPUTS!E$32:E$76, INPUTS!$B$32:$B$76, $C127),
     $K127=  "Direct",                   SUMIFS(INPUTS!E$32:E$76, INPUTS!$B$32:$B$76, $C127),
     $K127=  "Average Cash on Hand",     SUMIFS(INPUTS!E$32:E$76, INPUTS!$B$32:$B$76, $C127))</f>
        <v>3102797.9999999995</v>
      </c>
      <c r="F127" s="171" cm="1">
        <f t="array" ref="F127">_xlfn.IFS($K127=  "Per Pupil",           F$57*SUMIFS(INPUTS!F$32:F$76, INPUTS!$B$32:$B$76, $C127),
     $K127=  "Per Pupil - EL",      F$66*SUMIFS(INPUTS!F$32:F$76, INPUTS!$B$32:$B$76, $C127),
     $K127=  "Per Pupil - SPED",    F$61*SUMIFS(INPUTS!F$32:F$76, INPUTS!$B$32:$B$76, $C127),
     $K127=  "Direct",                   SUMIFS(INPUTS!F$32:F$76, INPUTS!$B$32:$B$76, $C127),
     $K127=  "Average Cash on Hand",     SUMIFS(INPUTS!F$32:F$76, INPUTS!$B$32:$B$76, $C127))</f>
        <v>6360735.8999999994</v>
      </c>
      <c r="G127" s="171" cm="1">
        <f t="array" ref="G127">_xlfn.IFS($K127=  "Per Pupil",           G$57*SUMIFS(INPUTS!G$32:G$76, INPUTS!$B$32:$B$76, $C127),
     $K127=  "Per Pupil - EL",      G$66*SUMIFS(INPUTS!G$32:G$76, INPUTS!$B$32:$B$76, $C127),
     $K127=  "Per Pupil - SPED",    G$61*SUMIFS(INPUTS!G$32:G$76, INPUTS!$B$32:$B$76, $C127),
     $K127=  "Direct",                   SUMIFS(INPUTS!G$32:G$76, INPUTS!$B$32:$B$76, $C127),
     $K127=  "Average Cash on Hand",     SUMIFS(INPUTS!G$32:G$76, INPUTS!$B$32:$B$76, $C127))</f>
        <v>9372146.8026562482</v>
      </c>
      <c r="H127" s="171" cm="1">
        <f t="array" ref="H127">_xlfn.IFS($K127=  "Per Pupil",           H$57*SUMIFS(INPUTS!H$32:H$76, INPUTS!$B$32:$B$76, $C127),
     $K127=  "Per Pupil - EL",      H$66*SUMIFS(INPUTS!H$32:H$76, INPUTS!$B$32:$B$76, $C127),
     $K127=  "Per Pupil - SPED",    H$61*SUMIFS(INPUTS!H$32:H$76, INPUTS!$B$32:$B$76, $C127),
     $K127=  "Direct",                   SUMIFS(INPUTS!H$32:H$76, INPUTS!$B$32:$B$76, $C127),
     $K127=  "Average Cash on Hand",     SUMIFS(INPUTS!H$32:H$76, INPUTS!$B$32:$B$76, $C127))</f>
        <v>10859465.751773434</v>
      </c>
      <c r="I127" s="171" cm="1">
        <f t="array" ref="I127">_xlfn.IFS($K127=  "Per Pupil",           I$57*SUMIFS(INPUTS!I$32:I$76, INPUTS!$B$32:$B$76, $C127),
     $K127=  "Per Pupil - EL",      I$66*SUMIFS(INPUTS!I$32:I$76, INPUTS!$B$32:$B$76, $C127),
     $K127=  "Per Pupil - SPED",    I$61*SUMIFS(INPUTS!I$32:I$76, INPUTS!$B$32:$B$76, $C127),
     $K127=  "Direct",                   SUMIFS(INPUTS!I$32:I$76, INPUTS!$B$32:$B$76, $C127),
     $K127=  "Average Cash on Hand",     SUMIFS(INPUTS!I$32:I$76, INPUTS!$B$32:$B$76, $C127))</f>
        <v>11130952.395567769</v>
      </c>
      <c r="J127"/>
      <c r="K127" s="235" t="str">
        <f>INPUTS!C41</f>
        <v>Per Pupil</v>
      </c>
      <c r="L127" s="235" t="str">
        <f>INPUTS!J41</f>
        <v>Recurring</v>
      </c>
      <c r="M127" s="235" t="str">
        <f>INPUTS!K41</f>
        <v>Operating</v>
      </c>
      <c r="N127" s="1"/>
      <c r="O127" s="748"/>
    </row>
    <row r="128" spans="1:15" s="529" customFormat="1" outlineLevel="1">
      <c r="A128" s="747"/>
      <c r="B128" s="374" t="str">
        <f>INPUTS!L42</f>
        <v>State &amp; Local</v>
      </c>
      <c r="C128" s="236" t="str">
        <f>INPUTS!B42</f>
        <v xml:space="preserve">3121 - Special Education - General Apportionment  </v>
      </c>
      <c r="D128" s="171" cm="1">
        <f t="array" ref="D128">_xlfn.IFS($K128=  "Per Pupil",           D$57*SUMIFS(INPUTS!D$32:D$76, INPUTS!$B$32:$B$76, $C128),
     $K128=  "Per Pupil - EL",      D$66*SUMIFS(INPUTS!D$32:D$76, INPUTS!$B$32:$B$76, $C128),
     $K128=  "Per Pupil - SPED",    D$61*SUMIFS(INPUTS!D$32:D$76, INPUTS!$B$32:$B$76, $C128),
     $K128=  "Direct",                   SUMIFS(INPUTS!D$32:D$76, INPUTS!$B$32:$B$76, $C128),
     $K128=  "Average Cash on Hand",     SUMIFS(INPUTS!D$32:D$76, INPUTS!$B$32:$B$76, $C128))</f>
        <v>0</v>
      </c>
      <c r="E128" s="171" cm="1">
        <f t="array" ref="E128">_xlfn.IFS($K128=  "Per Pupil",           E$57*SUMIFS(INPUTS!E$32:E$76, INPUTS!$B$32:$B$76, $C128),
     $K128=  "Per Pupil - EL",      E$66*SUMIFS(INPUTS!E$32:E$76, INPUTS!$B$32:$B$76, $C128),
     $K128=  "Per Pupil - SPED",    E$61*SUMIFS(INPUTS!E$32:E$76, INPUTS!$B$32:$B$76, $C128),
     $K128=  "Direct",                   SUMIFS(INPUTS!E$32:E$76, INPUTS!$B$32:$B$76, $C128),
     $K128=  "Average Cash on Hand",     SUMIFS(INPUTS!E$32:E$76, INPUTS!$B$32:$B$76, $C128))</f>
        <v>17908.799999999996</v>
      </c>
      <c r="F128" s="171" cm="1">
        <f t="array" ref="F128">_xlfn.IFS($K128=  "Per Pupil",           F$57*SUMIFS(INPUTS!F$32:F$76, INPUTS!$B$32:$B$76, $C128),
     $K128=  "Per Pupil - EL",      F$66*SUMIFS(INPUTS!F$32:F$76, INPUTS!$B$32:$B$76, $C128),
     $K128=  "Per Pupil - SPED",    F$61*SUMIFS(INPUTS!F$32:F$76, INPUTS!$B$32:$B$76, $C128),
     $K128=  "Direct",                   SUMIFS(INPUTS!F$32:F$76, INPUTS!$B$32:$B$76, $C128),
     $K128=  "Average Cash on Hand",     SUMIFS(INPUTS!F$32:F$76, INPUTS!$B$32:$B$76, $C128))</f>
        <v>36713.039999999994</v>
      </c>
      <c r="G128" s="171" cm="1">
        <f t="array" ref="G128">_xlfn.IFS($K128=  "Per Pupil",           G$57*SUMIFS(INPUTS!G$32:G$76, INPUTS!$B$32:$B$76, $C128),
     $K128=  "Per Pupil - EL",      G$66*SUMIFS(INPUTS!G$32:G$76, INPUTS!$B$32:$B$76, $C128),
     $K128=  "Per Pupil - SPED",    G$61*SUMIFS(INPUTS!G$32:G$76, INPUTS!$B$32:$B$76, $C128),
     $K128=  "Direct",                   SUMIFS(INPUTS!G$32:G$76, INPUTS!$B$32:$B$76, $C128),
     $K128=  "Average Cash on Hand",     SUMIFS(INPUTS!G$32:G$76, INPUTS!$B$32:$B$76, $C128))</f>
        <v>54094.369874999982</v>
      </c>
      <c r="H128" s="171" cm="1">
        <f t="array" ref="H128">_xlfn.IFS($K128=  "Per Pupil",           H$57*SUMIFS(INPUTS!H$32:H$76, INPUTS!$B$32:$B$76, $C128),
     $K128=  "Per Pupil - EL",      H$66*SUMIFS(INPUTS!H$32:H$76, INPUTS!$B$32:$B$76, $C128),
     $K128=  "Per Pupil - SPED",    H$61*SUMIFS(INPUTS!H$32:H$76, INPUTS!$B$32:$B$76, $C128),
     $K128=  "Direct",                   SUMIFS(INPUTS!H$32:H$76, INPUTS!$B$32:$B$76, $C128),
     $K128=  "Average Cash on Hand",     SUMIFS(INPUTS!H$32:H$76, INPUTS!$B$32:$B$76, $C128))</f>
        <v>62678.911181249976</v>
      </c>
      <c r="I128" s="171" cm="1">
        <f t="array" ref="I128">_xlfn.IFS($K128=  "Per Pupil",           I$57*SUMIFS(INPUTS!I$32:I$76, INPUTS!$B$32:$B$76, $C128),
     $K128=  "Per Pupil - EL",      I$66*SUMIFS(INPUTS!I$32:I$76, INPUTS!$B$32:$B$76, $C128),
     $K128=  "Per Pupil - SPED",    I$61*SUMIFS(INPUTS!I$32:I$76, INPUTS!$B$32:$B$76, $C128),
     $K128=  "Direct",                   SUMIFS(INPUTS!I$32:I$76, INPUTS!$B$32:$B$76, $C128),
     $K128=  "Average Cash on Hand",     SUMIFS(INPUTS!I$32:I$76, INPUTS!$B$32:$B$76, $C128))</f>
        <v>64245.883960781226</v>
      </c>
      <c r="J128"/>
      <c r="K128" s="235" t="str">
        <f>INPUTS!C42</f>
        <v>Per Pupil - SPED</v>
      </c>
      <c r="L128" s="235" t="str">
        <f>INPUTS!J42</f>
        <v>Recurring</v>
      </c>
      <c r="M128" s="235" t="str">
        <f>INPUTS!K42</f>
        <v>Operating</v>
      </c>
      <c r="N128" s="1"/>
      <c r="O128" s="748"/>
    </row>
    <row r="129" spans="1:15" s="529" customFormat="1" outlineLevel="1">
      <c r="A129" s="747"/>
      <c r="B129" s="374" t="str">
        <f>INPUTS!L43</f>
        <v>State &amp; Local</v>
      </c>
      <c r="C129" s="236" t="str">
        <f>INPUTS!B43</f>
        <v>All Other 3000 - STATE REVENUE - GENERAL PURPOSE</v>
      </c>
      <c r="D129" s="171" cm="1">
        <f t="array" ref="D129">_xlfn.IFS($K129=  "Per Pupil",           D$57*SUMIFS(INPUTS!D$32:D$76, INPUTS!$B$32:$B$76, $C129),
     $K129=  "Per Pupil - EL",      D$66*SUMIFS(INPUTS!D$32:D$76, INPUTS!$B$32:$B$76, $C129),
     $K129=  "Per Pupil - SPED",    D$61*SUMIFS(INPUTS!D$32:D$76, INPUTS!$B$32:$B$76, $C129),
     $K129=  "Direct",                   SUMIFS(INPUTS!D$32:D$76, INPUTS!$B$32:$B$76, $C129),
     $K129=  "Average Cash on Hand",     SUMIFS(INPUTS!D$32:D$76, INPUTS!$B$32:$B$76, $C129))</f>
        <v>0</v>
      </c>
      <c r="E129" s="171" cm="1">
        <f t="array" ref="E129">_xlfn.IFS($K129=  "Per Pupil",           E$57*SUMIFS(INPUTS!E$32:E$76, INPUTS!$B$32:$B$76, $C129),
     $K129=  "Per Pupil - EL",      E$66*SUMIFS(INPUTS!E$32:E$76, INPUTS!$B$32:$B$76, $C129),
     $K129=  "Per Pupil - SPED",    E$61*SUMIFS(INPUTS!E$32:E$76, INPUTS!$B$32:$B$76, $C129),
     $K129=  "Direct",                   SUMIFS(INPUTS!E$32:E$76, INPUTS!$B$32:$B$76, $C129),
     $K129=  "Average Cash on Hand",     SUMIFS(INPUTS!E$32:E$76, INPUTS!$B$32:$B$76, $C129))</f>
        <v>0</v>
      </c>
      <c r="F129" s="171" cm="1">
        <f t="array" ref="F129">_xlfn.IFS($K129=  "Per Pupil",           F$57*SUMIFS(INPUTS!F$32:F$76, INPUTS!$B$32:$B$76, $C129),
     $K129=  "Per Pupil - EL",      F$66*SUMIFS(INPUTS!F$32:F$76, INPUTS!$B$32:$B$76, $C129),
     $K129=  "Per Pupil - SPED",    F$61*SUMIFS(INPUTS!F$32:F$76, INPUTS!$B$32:$B$76, $C129),
     $K129=  "Direct",                   SUMIFS(INPUTS!F$32:F$76, INPUTS!$B$32:$B$76, $C129),
     $K129=  "Average Cash on Hand",     SUMIFS(INPUTS!F$32:F$76, INPUTS!$B$32:$B$76, $C129))</f>
        <v>0</v>
      </c>
      <c r="G129" s="171" cm="1">
        <f t="array" ref="G129">_xlfn.IFS($K129=  "Per Pupil",           G$57*SUMIFS(INPUTS!G$32:G$76, INPUTS!$B$32:$B$76, $C129),
     $K129=  "Per Pupil - EL",      G$66*SUMIFS(INPUTS!G$32:G$76, INPUTS!$B$32:$B$76, $C129),
     $K129=  "Per Pupil - SPED",    G$61*SUMIFS(INPUTS!G$32:G$76, INPUTS!$B$32:$B$76, $C129),
     $K129=  "Direct",                   SUMIFS(INPUTS!G$32:G$76, INPUTS!$B$32:$B$76, $C129),
     $K129=  "Average Cash on Hand",     SUMIFS(INPUTS!G$32:G$76, INPUTS!$B$32:$B$76, $C129))</f>
        <v>0</v>
      </c>
      <c r="H129" s="171" cm="1">
        <f t="array" ref="H129">_xlfn.IFS($K129=  "Per Pupil",           H$57*SUMIFS(INPUTS!H$32:H$76, INPUTS!$B$32:$B$76, $C129),
     $K129=  "Per Pupil - EL",      H$66*SUMIFS(INPUTS!H$32:H$76, INPUTS!$B$32:$B$76, $C129),
     $K129=  "Per Pupil - SPED",    H$61*SUMIFS(INPUTS!H$32:H$76, INPUTS!$B$32:$B$76, $C129),
     $K129=  "Direct",                   SUMIFS(INPUTS!H$32:H$76, INPUTS!$B$32:$B$76, $C129),
     $K129=  "Average Cash on Hand",     SUMIFS(INPUTS!H$32:H$76, INPUTS!$B$32:$B$76, $C129))</f>
        <v>0</v>
      </c>
      <c r="I129" s="171" cm="1">
        <f t="array" ref="I129">_xlfn.IFS($K129=  "Per Pupil",           I$57*SUMIFS(INPUTS!I$32:I$76, INPUTS!$B$32:$B$76, $C129),
     $K129=  "Per Pupil - EL",      I$66*SUMIFS(INPUTS!I$32:I$76, INPUTS!$B$32:$B$76, $C129),
     $K129=  "Per Pupil - SPED",    I$61*SUMIFS(INPUTS!I$32:I$76, INPUTS!$B$32:$B$76, $C129),
     $K129=  "Direct",                   SUMIFS(INPUTS!I$32:I$76, INPUTS!$B$32:$B$76, $C129),
     $K129=  "Average Cash on Hand",     SUMIFS(INPUTS!I$32:I$76, INPUTS!$B$32:$B$76, $C129))</f>
        <v>0</v>
      </c>
      <c r="J129"/>
      <c r="K129" s="235" t="str">
        <f>INPUTS!C43</f>
        <v>Direct</v>
      </c>
      <c r="L129" s="235" t="str">
        <f>INPUTS!J43</f>
        <v>Non-Recurring</v>
      </c>
      <c r="M129" s="235" t="str">
        <f>INPUTS!K43</f>
        <v>Non-Operating</v>
      </c>
      <c r="N129" s="1"/>
      <c r="O129" s="748"/>
    </row>
    <row r="130" spans="1:15" s="529" customFormat="1" outlineLevel="1">
      <c r="A130" s="747"/>
      <c r="B130" s="844"/>
      <c r="C130" s="843" t="str">
        <f>INPUTS!B44</f>
        <v>3000 - STATE REVENUE - GENERAL PURPOSE</v>
      </c>
      <c r="D130" s="845">
        <f>SUM(D127:D129)</f>
        <v>0</v>
      </c>
      <c r="E130" s="845">
        <f t="shared" ref="E130:I130" si="35">SUM(E127:E129)</f>
        <v>3120706.7999999993</v>
      </c>
      <c r="F130" s="845">
        <f t="shared" si="35"/>
        <v>6397448.9399999995</v>
      </c>
      <c r="G130" s="845">
        <f t="shared" si="35"/>
        <v>9426241.172531249</v>
      </c>
      <c r="H130" s="845">
        <f t="shared" si="35"/>
        <v>10922144.662954684</v>
      </c>
      <c r="I130" s="845">
        <f t="shared" si="35"/>
        <v>11195198.279528551</v>
      </c>
      <c r="J130"/>
      <c r="K130" s="845"/>
      <c r="L130" s="845"/>
      <c r="M130" s="845"/>
      <c r="N130" s="1"/>
      <c r="O130" s="748"/>
    </row>
    <row r="131" spans="1:15" s="529" customFormat="1" outlineLevel="1">
      <c r="A131" s="747"/>
      <c r="B131" s="374" t="str">
        <f>INPUTS!L45</f>
        <v>State &amp; Local</v>
      </c>
      <c r="C131" s="236" t="str">
        <f>INPUTS!B45</f>
        <v xml:space="preserve">4121 - Special Education - State   </v>
      </c>
      <c r="D131" s="171" cm="1">
        <f t="array" ref="D131">_xlfn.IFS($K131=  "Per Pupil",           D$57*SUMIFS(INPUTS!D$32:D$76, INPUTS!$B$32:$B$76, $C131),
     $K131=  "Per Pupil - EL",      D$66*SUMIFS(INPUTS!D$32:D$76, INPUTS!$B$32:$B$76, $C131),
     $K131=  "Per Pupil - SPED",    D$61*SUMIFS(INPUTS!D$32:D$76, INPUTS!$B$32:$B$76, $C131),
     $K131=  "Direct",                   SUMIFS(INPUTS!D$32:D$76, INPUTS!$B$32:$B$76, $C131),
     $K131=  "Average Cash on Hand",     SUMIFS(INPUTS!D$32:D$76, INPUTS!$B$32:$B$76, $C131))</f>
        <v>0</v>
      </c>
      <c r="E131" s="171" cm="1">
        <f t="array" ref="E131">_xlfn.IFS($K131=  "Per Pupil",           E$57*SUMIFS(INPUTS!E$32:E$76, INPUTS!$B$32:$B$76, $C131),
     $K131=  "Per Pupil - EL",      E$66*SUMIFS(INPUTS!E$32:E$76, INPUTS!$B$32:$B$76, $C131),
     $K131=  "Per Pupil - SPED",    E$61*SUMIFS(INPUTS!E$32:E$76, INPUTS!$B$32:$B$76, $C131),
     $K131=  "Direct",                   SUMIFS(INPUTS!E$32:E$76, INPUTS!$B$32:$B$76, $C131),
     $K131=  "Average Cash on Hand",     SUMIFS(INPUTS!E$32:E$76, INPUTS!$B$32:$B$76, $C131))</f>
        <v>575876.15999999992</v>
      </c>
      <c r="F131" s="171" cm="1">
        <f t="array" ref="F131">_xlfn.IFS($K131=  "Per Pupil",           F$57*SUMIFS(INPUTS!F$32:F$76, INPUTS!$B$32:$B$76, $C131),
     $K131=  "Per Pupil - EL",      F$66*SUMIFS(INPUTS!F$32:F$76, INPUTS!$B$32:$B$76, $C131),
     $K131=  "Per Pupil - SPED",    F$61*SUMIFS(INPUTS!F$32:F$76, INPUTS!$B$32:$B$76, $C131),
     $K131=  "Direct",                   SUMIFS(INPUTS!F$32:F$76, INPUTS!$B$32:$B$76, $C131),
     $K131=  "Average Cash on Hand",     SUMIFS(INPUTS!F$32:F$76, INPUTS!$B$32:$B$76, $C131))</f>
        <v>1180546.1279999998</v>
      </c>
      <c r="G131" s="171" cm="1">
        <f t="array" ref="G131">_xlfn.IFS($K131=  "Per Pupil",           G$57*SUMIFS(INPUTS!G$32:G$76, INPUTS!$B$32:$B$76, $C131),
     $K131=  "Per Pupil - EL",      G$66*SUMIFS(INPUTS!G$32:G$76, INPUTS!$B$32:$B$76, $C131),
     $K131=  "Per Pupil - SPED",    G$61*SUMIFS(INPUTS!G$32:G$76, INPUTS!$B$32:$B$76, $C131),
     $K131=  "Direct",                   SUMIFS(INPUTS!G$32:G$76, INPUTS!$B$32:$B$76, $C131),
     $K131=  "Average Cash on Hand",     SUMIFS(INPUTS!G$32:G$76, INPUTS!$B$32:$B$76, $C131))</f>
        <v>1739460.9354749997</v>
      </c>
      <c r="H131" s="171" cm="1">
        <f t="array" ref="H131">_xlfn.IFS($K131=  "Per Pupil",           H$57*SUMIFS(INPUTS!H$32:H$76, INPUTS!$B$32:$B$76, $C131),
     $K131=  "Per Pupil - EL",      H$66*SUMIFS(INPUTS!H$32:H$76, INPUTS!$B$32:$B$76, $C131),
     $K131=  "Per Pupil - SPED",    H$61*SUMIFS(INPUTS!H$32:H$76, INPUTS!$B$32:$B$76, $C131),
     $K131=  "Direct",                   SUMIFS(INPUTS!H$32:H$76, INPUTS!$B$32:$B$76, $C131),
     $K131=  "Average Cash on Hand",     SUMIFS(INPUTS!H$32:H$76, INPUTS!$B$32:$B$76, $C131))</f>
        <v>2015505.8230612492</v>
      </c>
      <c r="I131" s="171" cm="1">
        <f t="array" ref="I131">_xlfn.IFS($K131=  "Per Pupil",           I$57*SUMIFS(INPUTS!I$32:I$76, INPUTS!$B$32:$B$76, $C131),
     $K131=  "Per Pupil - EL",      I$66*SUMIFS(INPUTS!I$32:I$76, INPUTS!$B$32:$B$76, $C131),
     $K131=  "Per Pupil - SPED",    I$61*SUMIFS(INPUTS!I$32:I$76, INPUTS!$B$32:$B$76, $C131),
     $K131=  "Direct",                   SUMIFS(INPUTS!I$32:I$76, INPUTS!$B$32:$B$76, $C131),
     $K131=  "Average Cash on Hand",     SUMIFS(INPUTS!I$32:I$76, INPUTS!$B$32:$B$76, $C131))</f>
        <v>2065893.4686377803</v>
      </c>
      <c r="J131"/>
      <c r="K131" s="235" t="str">
        <f>INPUTS!C45</f>
        <v>Per Pupil - SPED</v>
      </c>
      <c r="L131" s="235" t="str">
        <f>INPUTS!J45</f>
        <v>Recurring</v>
      </c>
      <c r="M131" s="235" t="str">
        <f>INPUTS!K45</f>
        <v>Operating</v>
      </c>
      <c r="N131" s="1"/>
      <c r="O131" s="748"/>
    </row>
    <row r="132" spans="1:15" s="529" customFormat="1" outlineLevel="1">
      <c r="A132" s="747"/>
      <c r="B132" s="374" t="str">
        <f>INPUTS!L46</f>
        <v>State &amp; Local</v>
      </c>
      <c r="C132" s="236" t="str">
        <f>INPUTS!B46</f>
        <v>4155 - Learning Assistance Program (LAP)</v>
      </c>
      <c r="D132" s="171" cm="1">
        <f t="array" ref="D132">_xlfn.IFS($K132=  "Per Pupil",           D$57*SUMIFS(INPUTS!D$32:D$76, INPUTS!$B$32:$B$76, $C132),
     $K132=  "Per Pupil - EL",      D$66*SUMIFS(INPUTS!D$32:D$76, INPUTS!$B$32:$B$76, $C132),
     $K132=  "Per Pupil - SPED",    D$61*SUMIFS(INPUTS!D$32:D$76, INPUTS!$B$32:$B$76, $C132),
     $K132=  "Direct",                   SUMIFS(INPUTS!D$32:D$76, INPUTS!$B$32:$B$76, $C132),
     $K132=  "Average Cash on Hand",     SUMIFS(INPUTS!D$32:D$76, INPUTS!$B$32:$B$76, $C132))</f>
        <v>0</v>
      </c>
      <c r="E132" s="171" cm="1">
        <f t="array" ref="E132">_xlfn.IFS($K132=  "Per Pupil",           E$57*SUMIFS(INPUTS!E$32:E$76, INPUTS!$B$32:$B$76, $C132),
     $K132=  "Per Pupil - EL",      E$66*SUMIFS(INPUTS!E$32:E$76, INPUTS!$B$32:$B$76, $C132),
     $K132=  "Per Pupil - SPED",    E$61*SUMIFS(INPUTS!E$32:E$76, INPUTS!$B$32:$B$76, $C132),
     $K132=  "Direct",                   SUMIFS(INPUTS!E$32:E$76, INPUTS!$B$32:$B$76, $C132),
     $K132=  "Average Cash on Hand",     SUMIFS(INPUTS!E$32:E$76, INPUTS!$B$32:$B$76, $C132))</f>
        <v>91019.999999999985</v>
      </c>
      <c r="F132" s="171" cm="1">
        <f t="array" ref="F132">_xlfn.IFS($K132=  "Per Pupil",           F$57*SUMIFS(INPUTS!F$32:F$76, INPUTS!$B$32:$B$76, $C132),
     $K132=  "Per Pupil - EL",      F$66*SUMIFS(INPUTS!F$32:F$76, INPUTS!$B$32:$B$76, $C132),
     $K132=  "Per Pupil - SPED",    F$61*SUMIFS(INPUTS!F$32:F$76, INPUTS!$B$32:$B$76, $C132),
     $K132=  "Direct",                   SUMIFS(INPUTS!F$32:F$76, INPUTS!$B$32:$B$76, $C132),
     $K132=  "Average Cash on Hand",     SUMIFS(INPUTS!F$32:F$76, INPUTS!$B$32:$B$76, $C132))</f>
        <v>186590.99999999997</v>
      </c>
      <c r="G132" s="171" cm="1">
        <f t="array" ref="G132">_xlfn.IFS($K132=  "Per Pupil",           G$57*SUMIFS(INPUTS!G$32:G$76, INPUTS!$B$32:$B$76, $C132),
     $K132=  "Per Pupil - EL",      G$66*SUMIFS(INPUTS!G$32:G$76, INPUTS!$B$32:$B$76, $C132),
     $K132=  "Per Pupil - SPED",    G$61*SUMIFS(INPUTS!G$32:G$76, INPUTS!$B$32:$B$76, $C132),
     $K132=  "Direct",                   SUMIFS(INPUTS!G$32:G$76, INPUTS!$B$32:$B$76, $C132),
     $K132=  "Average Cash on Hand",     SUMIFS(INPUTS!G$32:G$76, INPUTS!$B$32:$B$76, $C132))</f>
        <v>274930.17656249995</v>
      </c>
      <c r="H132" s="171" cm="1">
        <f t="array" ref="H132">_xlfn.IFS($K132=  "Per Pupil",           H$57*SUMIFS(INPUTS!H$32:H$76, INPUTS!$B$32:$B$76, $C132),
     $K132=  "Per Pupil - EL",      H$66*SUMIFS(INPUTS!H$32:H$76, INPUTS!$B$32:$B$76, $C132),
     $K132=  "Per Pupil - SPED",    H$61*SUMIFS(INPUTS!H$32:H$76, INPUTS!$B$32:$B$76, $C132),
     $K132=  "Direct",                   SUMIFS(INPUTS!H$32:H$76, INPUTS!$B$32:$B$76, $C132),
     $K132=  "Average Cash on Hand",     SUMIFS(INPUTS!H$32:H$76, INPUTS!$B$32:$B$76, $C132))</f>
        <v>318560.40023437486</v>
      </c>
      <c r="I132" s="171" cm="1">
        <f t="array" ref="I132">_xlfn.IFS($K132=  "Per Pupil",           I$57*SUMIFS(INPUTS!I$32:I$76, INPUTS!$B$32:$B$76, $C132),
     $K132=  "Per Pupil - EL",      I$66*SUMIFS(INPUTS!I$32:I$76, INPUTS!$B$32:$B$76, $C132),
     $K132=  "Per Pupil - SPED",    I$61*SUMIFS(INPUTS!I$32:I$76, INPUTS!$B$32:$B$76, $C132),
     $K132=  "Direct",                   SUMIFS(INPUTS!I$32:I$76, INPUTS!$B$32:$B$76, $C132),
     $K132=  "Average Cash on Hand",     SUMIFS(INPUTS!I$32:I$76, INPUTS!$B$32:$B$76, $C132))</f>
        <v>326524.41024023423</v>
      </c>
      <c r="J132"/>
      <c r="K132" s="235" t="str">
        <f>INPUTS!C46</f>
        <v>Per Pupil</v>
      </c>
      <c r="L132" s="235" t="str">
        <f>INPUTS!J46</f>
        <v>Recurring</v>
      </c>
      <c r="M132" s="235" t="str">
        <f>INPUTS!K46</f>
        <v>Operating</v>
      </c>
      <c r="N132" s="1"/>
      <c r="O132" s="748"/>
    </row>
    <row r="133" spans="1:15" s="529" customFormat="1" outlineLevel="1">
      <c r="A133" s="747"/>
      <c r="B133" s="374" t="str">
        <f>INPUTS!L47</f>
        <v>State &amp; Local</v>
      </c>
      <c r="C133" s="236" t="str">
        <f>INPUTS!B47</f>
        <v>4165 - Transitional Bilingual (TBIP)</v>
      </c>
      <c r="D133" s="171" cm="1">
        <f t="array" ref="D133">_xlfn.IFS($K133=  "Per Pupil",           D$57*SUMIFS(INPUTS!D$32:D$76, INPUTS!$B$32:$B$76, $C133),
     $K133=  "Per Pupil - EL",      D$66*SUMIFS(INPUTS!D$32:D$76, INPUTS!$B$32:$B$76, $C133),
     $K133=  "Per Pupil - SPED",    D$61*SUMIFS(INPUTS!D$32:D$76, INPUTS!$B$32:$B$76, $C133),
     $K133=  "Direct",                   SUMIFS(INPUTS!D$32:D$76, INPUTS!$B$32:$B$76, $C133),
     $K133=  "Average Cash on Hand",     SUMIFS(INPUTS!D$32:D$76, INPUTS!$B$32:$B$76, $C133))</f>
        <v>0</v>
      </c>
      <c r="E133" s="171" cm="1">
        <f t="array" ref="E133">_xlfn.IFS($K133=  "Per Pupil",           E$57*SUMIFS(INPUTS!E$32:E$76, INPUTS!$B$32:$B$76, $C133),
     $K133=  "Per Pupil - EL",      E$66*SUMIFS(INPUTS!E$32:E$76, INPUTS!$B$32:$B$76, $C133),
     $K133=  "Per Pupil - SPED",    E$61*SUMIFS(INPUTS!E$32:E$76, INPUTS!$B$32:$B$76, $C133),
     $K133=  "Direct",                   SUMIFS(INPUTS!E$32:E$76, INPUTS!$B$32:$B$76, $C133),
     $K133=  "Average Cash on Hand",     SUMIFS(INPUTS!E$32:E$76, INPUTS!$B$32:$B$76, $C133))</f>
        <v>5916.2999999999993</v>
      </c>
      <c r="F133" s="171" cm="1">
        <f t="array" ref="F133">_xlfn.IFS($K133=  "Per Pupil",           F$57*SUMIFS(INPUTS!F$32:F$76, INPUTS!$B$32:$B$76, $C133),
     $K133=  "Per Pupil - EL",      F$66*SUMIFS(INPUTS!F$32:F$76, INPUTS!$B$32:$B$76, $C133),
     $K133=  "Per Pupil - SPED",    F$61*SUMIFS(INPUTS!F$32:F$76, INPUTS!$B$32:$B$76, $C133),
     $K133=  "Direct",                   SUMIFS(INPUTS!F$32:F$76, INPUTS!$B$32:$B$76, $C133),
     $K133=  "Average Cash on Hand",     SUMIFS(INPUTS!F$32:F$76, INPUTS!$B$32:$B$76, $C133))</f>
        <v>12128.414999999999</v>
      </c>
      <c r="G133" s="171" cm="1">
        <f t="array" ref="G133">_xlfn.IFS($K133=  "Per Pupil",           G$57*SUMIFS(INPUTS!G$32:G$76, INPUTS!$B$32:$B$76, $C133),
     $K133=  "Per Pupil - EL",      G$66*SUMIFS(INPUTS!G$32:G$76, INPUTS!$B$32:$B$76, $C133),
     $K133=  "Per Pupil - SPED",    G$61*SUMIFS(INPUTS!G$32:G$76, INPUTS!$B$32:$B$76, $C133),
     $K133=  "Direct",                   SUMIFS(INPUTS!G$32:G$76, INPUTS!$B$32:$B$76, $C133),
     $K133=  "Average Cash on Hand",     SUMIFS(INPUTS!G$32:G$76, INPUTS!$B$32:$B$76, $C133))</f>
        <v>17870.461476562497</v>
      </c>
      <c r="H133" s="171" cm="1">
        <f t="array" ref="H133">_xlfn.IFS($K133=  "Per Pupil",           H$57*SUMIFS(INPUTS!H$32:H$76, INPUTS!$B$32:$B$76, $C133),
     $K133=  "Per Pupil - EL",      H$66*SUMIFS(INPUTS!H$32:H$76, INPUTS!$B$32:$B$76, $C133),
     $K133=  "Per Pupil - SPED",    H$61*SUMIFS(INPUTS!H$32:H$76, INPUTS!$B$32:$B$76, $C133),
     $K133=  "Direct",                   SUMIFS(INPUTS!H$32:H$76, INPUTS!$B$32:$B$76, $C133),
     $K133=  "Average Cash on Hand",     SUMIFS(INPUTS!H$32:H$76, INPUTS!$B$32:$B$76, $C133))</f>
        <v>20706.42601523437</v>
      </c>
      <c r="I133" s="171" cm="1">
        <f t="array" ref="I133">_xlfn.IFS($K133=  "Per Pupil",           I$57*SUMIFS(INPUTS!I$32:I$76, INPUTS!$B$32:$B$76, $C133),
     $K133=  "Per Pupil - EL",      I$66*SUMIFS(INPUTS!I$32:I$76, INPUTS!$B$32:$B$76, $C133),
     $K133=  "Per Pupil - SPED",    I$61*SUMIFS(INPUTS!I$32:I$76, INPUTS!$B$32:$B$76, $C133),
     $K133=  "Direct",                   SUMIFS(INPUTS!I$32:I$76, INPUTS!$B$32:$B$76, $C133),
     $K133=  "Average Cash on Hand",     SUMIFS(INPUTS!I$32:I$76, INPUTS!$B$32:$B$76, $C133))</f>
        <v>21224.086665615228</v>
      </c>
      <c r="J133"/>
      <c r="K133" s="235" t="str">
        <f>INPUTS!C47</f>
        <v>Per Pupil - EL</v>
      </c>
      <c r="L133" s="235" t="str">
        <f>INPUTS!J47</f>
        <v>Recurring</v>
      </c>
      <c r="M133" s="235" t="str">
        <f>INPUTS!K47</f>
        <v>Operating</v>
      </c>
      <c r="N133" s="1"/>
      <c r="O133" s="748"/>
    </row>
    <row r="134" spans="1:15" s="529" customFormat="1" outlineLevel="1">
      <c r="A134" s="747"/>
      <c r="B134" s="374" t="str">
        <f>INPUTS!L48</f>
        <v>State &amp; Local</v>
      </c>
      <c r="C134" s="236" t="str">
        <f>INPUTS!B48</f>
        <v xml:space="preserve">4174 - Highly Capable      </v>
      </c>
      <c r="D134" s="171" cm="1">
        <f t="array" ref="D134">_xlfn.IFS($K134=  "Per Pupil",           D$57*SUMIFS(INPUTS!D$32:D$76, INPUTS!$B$32:$B$76, $C134),
     $K134=  "Per Pupil - EL",      D$66*SUMIFS(INPUTS!D$32:D$76, INPUTS!$B$32:$B$76, $C134),
     $K134=  "Per Pupil - SPED",    D$61*SUMIFS(INPUTS!D$32:D$76, INPUTS!$B$32:$B$76, $C134),
     $K134=  "Direct",                   SUMIFS(INPUTS!D$32:D$76, INPUTS!$B$32:$B$76, $C134),
     $K134=  "Average Cash on Hand",     SUMIFS(INPUTS!D$32:D$76, INPUTS!$B$32:$B$76, $C134))</f>
        <v>0</v>
      </c>
      <c r="E134" s="171" cm="1">
        <f t="array" ref="E134">_xlfn.IFS($K134=  "Per Pupil",           E$57*SUMIFS(INPUTS!E$32:E$76, INPUTS!$B$32:$B$76, $C134),
     $K134=  "Per Pupil - EL",      E$66*SUMIFS(INPUTS!E$32:E$76, INPUTS!$B$32:$B$76, $C134),
     $K134=  "Per Pupil - SPED",    E$61*SUMIFS(INPUTS!E$32:E$76, INPUTS!$B$32:$B$76, $C134),
     $K134=  "Direct",                   SUMIFS(INPUTS!E$32:E$76, INPUTS!$B$32:$B$76, $C134),
     $K134=  "Average Cash on Hand",     SUMIFS(INPUTS!E$32:E$76, INPUTS!$B$32:$B$76, $C134))</f>
        <v>7871.9999999999991</v>
      </c>
      <c r="F134" s="171" cm="1">
        <f t="array" ref="F134">_xlfn.IFS($K134=  "Per Pupil",           F$57*SUMIFS(INPUTS!F$32:F$76, INPUTS!$B$32:$B$76, $C134),
     $K134=  "Per Pupil - EL",      F$66*SUMIFS(INPUTS!F$32:F$76, INPUTS!$B$32:$B$76, $C134),
     $K134=  "Per Pupil - SPED",    F$61*SUMIFS(INPUTS!F$32:F$76, INPUTS!$B$32:$B$76, $C134),
     $K134=  "Direct",                   SUMIFS(INPUTS!F$32:F$76, INPUTS!$B$32:$B$76, $C134),
     $K134=  "Average Cash on Hand",     SUMIFS(INPUTS!F$32:F$76, INPUTS!$B$32:$B$76, $C134))</f>
        <v>16137.599999999999</v>
      </c>
      <c r="G134" s="171" cm="1">
        <f t="array" ref="G134">_xlfn.IFS($K134=  "Per Pupil",           G$57*SUMIFS(INPUTS!G$32:G$76, INPUTS!$B$32:$B$76, $C134),
     $K134=  "Per Pupil - EL",      G$66*SUMIFS(INPUTS!G$32:G$76, INPUTS!$B$32:$B$76, $C134),
     $K134=  "Per Pupil - SPED",    G$61*SUMIFS(INPUTS!G$32:G$76, INPUTS!$B$32:$B$76, $C134),
     $K134=  "Direct",                   SUMIFS(INPUTS!G$32:G$76, INPUTS!$B$32:$B$76, $C134),
     $K134=  "Average Cash on Hand",     SUMIFS(INPUTS!G$32:G$76, INPUTS!$B$32:$B$76, $C134))</f>
        <v>23777.744999999999</v>
      </c>
      <c r="H134" s="171" cm="1">
        <f t="array" ref="H134">_xlfn.IFS($K134=  "Per Pupil",           H$57*SUMIFS(INPUTS!H$32:H$76, INPUTS!$B$32:$B$76, $C134),
     $K134=  "Per Pupil - EL",      H$66*SUMIFS(INPUTS!H$32:H$76, INPUTS!$B$32:$B$76, $C134),
     $K134=  "Per Pupil - SPED",    H$61*SUMIFS(INPUTS!H$32:H$76, INPUTS!$B$32:$B$76, $C134),
     $K134=  "Direct",                   SUMIFS(INPUTS!H$32:H$76, INPUTS!$B$32:$B$76, $C134),
     $K134=  "Average Cash on Hand",     SUMIFS(INPUTS!H$32:H$76, INPUTS!$B$32:$B$76, $C134))</f>
        <v>27551.169749999994</v>
      </c>
      <c r="I134" s="171" cm="1">
        <f t="array" ref="I134">_xlfn.IFS($K134=  "Per Pupil",           I$57*SUMIFS(INPUTS!I$32:I$76, INPUTS!$B$32:$B$76, $C134),
     $K134=  "Per Pupil - EL",      I$66*SUMIFS(INPUTS!I$32:I$76, INPUTS!$B$32:$B$76, $C134),
     $K134=  "Per Pupil - SPED",    I$61*SUMIFS(INPUTS!I$32:I$76, INPUTS!$B$32:$B$76, $C134),
     $K134=  "Direct",                   SUMIFS(INPUTS!I$32:I$76, INPUTS!$B$32:$B$76, $C134),
     $K134=  "Average Cash on Hand",     SUMIFS(INPUTS!I$32:I$76, INPUTS!$B$32:$B$76, $C134))</f>
        <v>28239.948993749993</v>
      </c>
      <c r="J134"/>
      <c r="K134" s="235" t="str">
        <f>INPUTS!C48</f>
        <v>Per Pupil</v>
      </c>
      <c r="L134" s="235" t="str">
        <f>INPUTS!J48</f>
        <v>Recurring</v>
      </c>
      <c r="M134" s="235" t="str">
        <f>INPUTS!K48</f>
        <v>Operating</v>
      </c>
      <c r="N134" s="1"/>
      <c r="O134" s="748"/>
    </row>
    <row r="135" spans="1:15" s="529" customFormat="1" outlineLevel="1">
      <c r="A135" s="747"/>
      <c r="B135" s="374" t="str">
        <f>INPUTS!L49</f>
        <v>State &amp; Local</v>
      </c>
      <c r="C135" s="236" t="str">
        <f>INPUTS!B49</f>
        <v xml:space="preserve">4198 - School Food Service      </v>
      </c>
      <c r="D135" s="171" cm="1">
        <f t="array" ref="D135">_xlfn.IFS($K135=  "Per Pupil",           D$57*SUMIFS(INPUTS!D$32:D$76, INPUTS!$B$32:$B$76, $C135),
     $K135=  "Per Pupil - EL",      D$66*SUMIFS(INPUTS!D$32:D$76, INPUTS!$B$32:$B$76, $C135),
     $K135=  "Per Pupil - SPED",    D$61*SUMIFS(INPUTS!D$32:D$76, INPUTS!$B$32:$B$76, $C135),
     $K135=  "Direct",                   SUMIFS(INPUTS!D$32:D$76, INPUTS!$B$32:$B$76, $C135),
     $K135=  "Average Cash on Hand",     SUMIFS(INPUTS!D$32:D$76, INPUTS!$B$32:$B$76, $C135))</f>
        <v>0</v>
      </c>
      <c r="E135" s="171" cm="1">
        <f t="array" ref="E135">_xlfn.IFS($K135=  "Per Pupil",           E$57*SUMIFS(INPUTS!E$32:E$76, INPUTS!$B$32:$B$76, $C135),
     $K135=  "Per Pupil - EL",      E$66*SUMIFS(INPUTS!E$32:E$76, INPUTS!$B$32:$B$76, $C135),
     $K135=  "Per Pupil - SPED",    E$61*SUMIFS(INPUTS!E$32:E$76, INPUTS!$B$32:$B$76, $C135),
     $K135=  "Direct",                   SUMIFS(INPUTS!E$32:E$76, INPUTS!$B$32:$B$76, $C135),
     $K135=  "Average Cash on Hand",     SUMIFS(INPUTS!E$32:E$76, INPUTS!$B$32:$B$76, $C135))</f>
        <v>5658</v>
      </c>
      <c r="F135" s="171" cm="1">
        <f t="array" ref="F135">_xlfn.IFS($K135=  "Per Pupil",           F$57*SUMIFS(INPUTS!F$32:F$76, INPUTS!$B$32:$B$76, $C135),
     $K135=  "Per Pupil - EL",      F$66*SUMIFS(INPUTS!F$32:F$76, INPUTS!$B$32:$B$76, $C135),
     $K135=  "Per Pupil - SPED",    F$61*SUMIFS(INPUTS!F$32:F$76, INPUTS!$B$32:$B$76, $C135),
     $K135=  "Direct",                   SUMIFS(INPUTS!F$32:F$76, INPUTS!$B$32:$B$76, $C135),
     $K135=  "Average Cash on Hand",     SUMIFS(INPUTS!F$32:F$76, INPUTS!$B$32:$B$76, $C135))</f>
        <v>11598.899999999998</v>
      </c>
      <c r="G135" s="171" cm="1">
        <f t="array" ref="G135">_xlfn.IFS($K135=  "Per Pupil",           G$57*SUMIFS(INPUTS!G$32:G$76, INPUTS!$B$32:$B$76, $C135),
     $K135=  "Per Pupil - EL",      G$66*SUMIFS(INPUTS!G$32:G$76, INPUTS!$B$32:$B$76, $C135),
     $K135=  "Per Pupil - SPED",    G$61*SUMIFS(INPUTS!G$32:G$76, INPUTS!$B$32:$B$76, $C135),
     $K135=  "Direct",                   SUMIFS(INPUTS!G$32:G$76, INPUTS!$B$32:$B$76, $C135),
     $K135=  "Average Cash on Hand",     SUMIFS(INPUTS!G$32:G$76, INPUTS!$B$32:$B$76, $C135))</f>
        <v>17090.254218749997</v>
      </c>
      <c r="H135" s="171" cm="1">
        <f t="array" ref="H135">_xlfn.IFS($K135=  "Per Pupil",           H$57*SUMIFS(INPUTS!H$32:H$76, INPUTS!$B$32:$B$76, $C135),
     $K135=  "Per Pupil - EL",      H$66*SUMIFS(INPUTS!H$32:H$76, INPUTS!$B$32:$B$76, $C135),
     $K135=  "Per Pupil - SPED",    H$61*SUMIFS(INPUTS!H$32:H$76, INPUTS!$B$32:$B$76, $C135),
     $K135=  "Direct",                   SUMIFS(INPUTS!H$32:H$76, INPUTS!$B$32:$B$76, $C135),
     $K135=  "Average Cash on Hand",     SUMIFS(INPUTS!H$32:H$76, INPUTS!$B$32:$B$76, $C135))</f>
        <v>19802.403257812493</v>
      </c>
      <c r="I135" s="171" cm="1">
        <f t="array" ref="I135">_xlfn.IFS($K135=  "Per Pupil",           I$57*SUMIFS(INPUTS!I$32:I$76, INPUTS!$B$32:$B$76, $C135),
     $K135=  "Per Pupil - EL",      I$66*SUMIFS(INPUTS!I$32:I$76, INPUTS!$B$32:$B$76, $C135),
     $K135=  "Per Pupil - SPED",    I$61*SUMIFS(INPUTS!I$32:I$76, INPUTS!$B$32:$B$76, $C135),
     $K135=  "Direct",                   SUMIFS(INPUTS!I$32:I$76, INPUTS!$B$32:$B$76, $C135),
     $K135=  "Average Cash on Hand",     SUMIFS(INPUTS!I$32:I$76, INPUTS!$B$32:$B$76, $C135))</f>
        <v>20297.463339257803</v>
      </c>
      <c r="J135"/>
      <c r="K135" s="235" t="str">
        <f>INPUTS!C49</f>
        <v>Per Pupil</v>
      </c>
      <c r="L135" s="235" t="str">
        <f>INPUTS!J49</f>
        <v>Recurring</v>
      </c>
      <c r="M135" s="235" t="str">
        <f>INPUTS!K49</f>
        <v>Operating</v>
      </c>
      <c r="N135" s="1"/>
      <c r="O135" s="748"/>
    </row>
    <row r="136" spans="1:15" s="529" customFormat="1" outlineLevel="1">
      <c r="A136" s="747"/>
      <c r="B136" s="374" t="str">
        <f>INPUTS!L50</f>
        <v>State &amp; Local</v>
      </c>
      <c r="C136" s="236" t="str">
        <f>INPUTS!B50</f>
        <v>4199 - Transportation - Operations</v>
      </c>
      <c r="D136" s="171" cm="1">
        <f t="array" ref="D136">_xlfn.IFS($K136=  "Per Pupil",           D$57*SUMIFS(INPUTS!D$32:D$76, INPUTS!$B$32:$B$76, $C136),
     $K136=  "Per Pupil - EL",      D$66*SUMIFS(INPUTS!D$32:D$76, INPUTS!$B$32:$B$76, $C136),
     $K136=  "Per Pupil - SPED",    D$61*SUMIFS(INPUTS!D$32:D$76, INPUTS!$B$32:$B$76, $C136),
     $K136=  "Direct",                   SUMIFS(INPUTS!D$32:D$76, INPUTS!$B$32:$B$76, $C136),
     $K136=  "Average Cash on Hand",     SUMIFS(INPUTS!D$32:D$76, INPUTS!$B$32:$B$76, $C136))</f>
        <v>0</v>
      </c>
      <c r="E136" s="171" cm="1">
        <f t="array" ref="E136">_xlfn.IFS($K136=  "Per Pupil",           E$57*SUMIFS(INPUTS!E$32:E$76, INPUTS!$B$32:$B$76, $C136),
     $K136=  "Per Pupil - EL",      E$66*SUMIFS(INPUTS!E$32:E$76, INPUTS!$B$32:$B$76, $C136),
     $K136=  "Per Pupil - SPED",    E$61*SUMIFS(INPUTS!E$32:E$76, INPUTS!$B$32:$B$76, $C136),
     $K136=  "Direct",                   SUMIFS(INPUTS!E$32:E$76, INPUTS!$B$32:$B$76, $C136),
     $K136=  "Average Cash on Hand",     SUMIFS(INPUTS!E$32:E$76, INPUTS!$B$32:$B$76, $C136))</f>
        <v>146370</v>
      </c>
      <c r="F136" s="171" cm="1">
        <f t="array" ref="F136">_xlfn.IFS($K136=  "Per Pupil",           F$57*SUMIFS(INPUTS!F$32:F$76, INPUTS!$B$32:$B$76, $C136),
     $K136=  "Per Pupil - EL",      F$66*SUMIFS(INPUTS!F$32:F$76, INPUTS!$B$32:$B$76, $C136),
     $K136=  "Per Pupil - SPED",    F$61*SUMIFS(INPUTS!F$32:F$76, INPUTS!$B$32:$B$76, $C136),
     $K136=  "Direct",                   SUMIFS(INPUTS!F$32:F$76, INPUTS!$B$32:$B$76, $C136),
     $K136=  "Average Cash on Hand",     SUMIFS(INPUTS!F$32:F$76, INPUTS!$B$32:$B$76, $C136))</f>
        <v>300058.49999999994</v>
      </c>
      <c r="G136" s="171" cm="1">
        <f t="array" ref="G136">_xlfn.IFS($K136=  "Per Pupil",           G$57*SUMIFS(INPUTS!G$32:G$76, INPUTS!$B$32:$B$76, $C136),
     $K136=  "Per Pupil - EL",      G$66*SUMIFS(INPUTS!G$32:G$76, INPUTS!$B$32:$B$76, $C136),
     $K136=  "Per Pupil - SPED",    G$61*SUMIFS(INPUTS!G$32:G$76, INPUTS!$B$32:$B$76, $C136),
     $K136=  "Direct",                   SUMIFS(INPUTS!G$32:G$76, INPUTS!$B$32:$B$76, $C136),
     $K136=  "Average Cash on Hand",     SUMIFS(INPUTS!G$32:G$76, INPUTS!$B$32:$B$76, $C136))</f>
        <v>442117.44609374995</v>
      </c>
      <c r="H136" s="171" cm="1">
        <f t="array" ref="H136">_xlfn.IFS($K136=  "Per Pupil",           H$57*SUMIFS(INPUTS!H$32:H$76, INPUTS!$B$32:$B$76, $C136),
     $K136=  "Per Pupil - EL",      H$66*SUMIFS(INPUTS!H$32:H$76, INPUTS!$B$32:$B$76, $C136),
     $K136=  "Per Pupil - SPED",    H$61*SUMIFS(INPUTS!H$32:H$76, INPUTS!$B$32:$B$76, $C136),
     $K136=  "Direct",                   SUMIFS(INPUTS!H$32:H$76, INPUTS!$B$32:$B$76, $C136),
     $K136=  "Average Cash on Hand",     SUMIFS(INPUTS!H$32:H$76, INPUTS!$B$32:$B$76, $C136))</f>
        <v>512279.5625390624</v>
      </c>
      <c r="I136" s="171" cm="1">
        <f t="array" ref="I136">_xlfn.IFS($K136=  "Per Pupil",           I$57*SUMIFS(INPUTS!I$32:I$76, INPUTS!$B$32:$B$76, $C136),
     $K136=  "Per Pupil - EL",      I$66*SUMIFS(INPUTS!I$32:I$76, INPUTS!$B$32:$B$76, $C136),
     $K136=  "Per Pupil - SPED",    I$61*SUMIFS(INPUTS!I$32:I$76, INPUTS!$B$32:$B$76, $C136),
     $K136=  "Direct",                   SUMIFS(INPUTS!I$32:I$76, INPUTS!$B$32:$B$76, $C136),
     $K136=  "Average Cash on Hand",     SUMIFS(INPUTS!I$32:I$76, INPUTS!$B$32:$B$76, $C136))</f>
        <v>525086.55160253891</v>
      </c>
      <c r="J136"/>
      <c r="K136" s="235" t="str">
        <f>INPUTS!C50</f>
        <v>Per Pupil</v>
      </c>
      <c r="L136" s="235" t="str">
        <f>INPUTS!J50</f>
        <v>Recurring</v>
      </c>
      <c r="M136" s="235" t="str">
        <f>INPUTS!K50</f>
        <v>Operating</v>
      </c>
      <c r="N136" s="1"/>
      <c r="O136" s="748"/>
    </row>
    <row r="137" spans="1:15" s="529" customFormat="1" outlineLevel="1">
      <c r="A137" s="747"/>
      <c r="B137" s="374" t="str">
        <f>INPUTS!L51</f>
        <v>State &amp; Local</v>
      </c>
      <c r="C137" s="236" t="str">
        <f>INPUTS!B51</f>
        <v>All Other 4000 - STATE REVENUE - SPECIAL PURPOSE</v>
      </c>
      <c r="D137" s="171" cm="1">
        <f t="array" ref="D137">_xlfn.IFS($K137=  "Per Pupil",           D$57*SUMIFS(INPUTS!D$32:D$76, INPUTS!$B$32:$B$76, $C137),
     $K137=  "Per Pupil - EL",      D$66*SUMIFS(INPUTS!D$32:D$76, INPUTS!$B$32:$B$76, $C137),
     $K137=  "Per Pupil - SPED",    D$61*SUMIFS(INPUTS!D$32:D$76, INPUTS!$B$32:$B$76, $C137),
     $K137=  "Direct",                   SUMIFS(INPUTS!D$32:D$76, INPUTS!$B$32:$B$76, $C137),
     $K137=  "Average Cash on Hand",     SUMIFS(INPUTS!D$32:D$76, INPUTS!$B$32:$B$76, $C137))</f>
        <v>0</v>
      </c>
      <c r="E137" s="171" cm="1">
        <f t="array" ref="E137">_xlfn.IFS($K137=  "Per Pupil",           E$57*SUMIFS(INPUTS!E$32:E$76, INPUTS!$B$32:$B$76, $C137),
     $K137=  "Per Pupil - EL",      E$66*SUMIFS(INPUTS!E$32:E$76, INPUTS!$B$32:$B$76, $C137),
     $K137=  "Per Pupil - SPED",    E$61*SUMIFS(INPUTS!E$32:E$76, INPUTS!$B$32:$B$76, $C137),
     $K137=  "Direct",                   SUMIFS(INPUTS!E$32:E$76, INPUTS!$B$32:$B$76, $C137),
     $K137=  "Average Cash on Hand",     SUMIFS(INPUTS!E$32:E$76, INPUTS!$B$32:$B$76, $C137))</f>
        <v>0</v>
      </c>
      <c r="F137" s="171" cm="1">
        <f t="array" ref="F137">_xlfn.IFS($K137=  "Per Pupil",           F$57*SUMIFS(INPUTS!F$32:F$76, INPUTS!$B$32:$B$76, $C137),
     $K137=  "Per Pupil - EL",      F$66*SUMIFS(INPUTS!F$32:F$76, INPUTS!$B$32:$B$76, $C137),
     $K137=  "Per Pupil - SPED",    F$61*SUMIFS(INPUTS!F$32:F$76, INPUTS!$B$32:$B$76, $C137),
     $K137=  "Direct",                   SUMIFS(INPUTS!F$32:F$76, INPUTS!$B$32:$B$76, $C137),
     $K137=  "Average Cash on Hand",     SUMIFS(INPUTS!F$32:F$76, INPUTS!$B$32:$B$76, $C137))</f>
        <v>0</v>
      </c>
      <c r="G137" s="171" cm="1">
        <f t="array" ref="G137">_xlfn.IFS($K137=  "Per Pupil",           G$57*SUMIFS(INPUTS!G$32:G$76, INPUTS!$B$32:$B$76, $C137),
     $K137=  "Per Pupil - EL",      G$66*SUMIFS(INPUTS!G$32:G$76, INPUTS!$B$32:$B$76, $C137),
     $K137=  "Per Pupil - SPED",    G$61*SUMIFS(INPUTS!G$32:G$76, INPUTS!$B$32:$B$76, $C137),
     $K137=  "Direct",                   SUMIFS(INPUTS!G$32:G$76, INPUTS!$B$32:$B$76, $C137),
     $K137=  "Average Cash on Hand",     SUMIFS(INPUTS!G$32:G$76, INPUTS!$B$32:$B$76, $C137))</f>
        <v>0</v>
      </c>
      <c r="H137" s="171" cm="1">
        <f t="array" ref="H137">_xlfn.IFS($K137=  "Per Pupil",           H$57*SUMIFS(INPUTS!H$32:H$76, INPUTS!$B$32:$B$76, $C137),
     $K137=  "Per Pupil - EL",      H$66*SUMIFS(INPUTS!H$32:H$76, INPUTS!$B$32:$B$76, $C137),
     $K137=  "Per Pupil - SPED",    H$61*SUMIFS(INPUTS!H$32:H$76, INPUTS!$B$32:$B$76, $C137),
     $K137=  "Direct",                   SUMIFS(INPUTS!H$32:H$76, INPUTS!$B$32:$B$76, $C137),
     $K137=  "Average Cash on Hand",     SUMIFS(INPUTS!H$32:H$76, INPUTS!$B$32:$B$76, $C137))</f>
        <v>0</v>
      </c>
      <c r="I137" s="171" cm="1">
        <f t="array" ref="I137">_xlfn.IFS($K137=  "Per Pupil",           I$57*SUMIFS(INPUTS!I$32:I$76, INPUTS!$B$32:$B$76, $C137),
     $K137=  "Per Pupil - EL",      I$66*SUMIFS(INPUTS!I$32:I$76, INPUTS!$B$32:$B$76, $C137),
     $K137=  "Per Pupil - SPED",    I$61*SUMIFS(INPUTS!I$32:I$76, INPUTS!$B$32:$B$76, $C137),
     $K137=  "Direct",                   SUMIFS(INPUTS!I$32:I$76, INPUTS!$B$32:$B$76, $C137),
     $K137=  "Average Cash on Hand",     SUMIFS(INPUTS!I$32:I$76, INPUTS!$B$32:$B$76, $C137))</f>
        <v>0</v>
      </c>
      <c r="J137"/>
      <c r="K137" s="235" t="str">
        <f>INPUTS!C51</f>
        <v>Direct</v>
      </c>
      <c r="L137" s="235" t="str">
        <f>INPUTS!J51</f>
        <v>Non-Recurring</v>
      </c>
      <c r="M137" s="235" t="str">
        <f>INPUTS!K51</f>
        <v>Non-Operating</v>
      </c>
      <c r="N137" s="1"/>
      <c r="O137" s="748"/>
    </row>
    <row r="138" spans="1:15" s="529" customFormat="1" outlineLevel="1">
      <c r="A138" s="747"/>
      <c r="B138" s="844"/>
      <c r="C138" s="843" t="str">
        <f>INPUTS!B52</f>
        <v>4000 - STATE REVENUE - SPECIAL PURPOSE</v>
      </c>
      <c r="D138" s="845">
        <f>SUM(D131:D137)</f>
        <v>0</v>
      </c>
      <c r="E138" s="845">
        <f t="shared" ref="E138:I138" si="36">SUM(E131:E137)</f>
        <v>832712.46</v>
      </c>
      <c r="F138" s="845">
        <f t="shared" si="36"/>
        <v>1707060.5429999998</v>
      </c>
      <c r="G138" s="845">
        <f t="shared" si="36"/>
        <v>2515247.018826562</v>
      </c>
      <c r="H138" s="845">
        <f t="shared" si="36"/>
        <v>2914405.7848577332</v>
      </c>
      <c r="I138" s="845">
        <f t="shared" si="36"/>
        <v>2987265.9294791771</v>
      </c>
      <c r="J138"/>
      <c r="K138" s="845"/>
      <c r="L138" s="845"/>
      <c r="M138" s="845"/>
      <c r="N138" s="1"/>
      <c r="O138" s="748"/>
    </row>
    <row r="139" spans="1:15" s="529" customFormat="1" outlineLevel="1">
      <c r="A139" s="747"/>
      <c r="B139" s="374" t="str">
        <f>INPUTS!L53</f>
        <v>Federal</v>
      </c>
      <c r="C139" s="236" t="str">
        <f>INPUTS!B53</f>
        <v xml:space="preserve">5200 - General Purpose Direct Fed. Grants - Unassigned  </v>
      </c>
      <c r="D139" s="171" cm="1">
        <f t="array" ref="D139">_xlfn.IFS($K139=  "Per Pupil",           D$57*SUMIFS(INPUTS!D$32:D$76, INPUTS!$B$32:$B$76, $C139),
     $K139=  "Per Pupil - EL",      D$66*SUMIFS(INPUTS!D$32:D$76, INPUTS!$B$32:$B$76, $C139),
     $K139=  "Per Pupil - SPED",    D$61*SUMIFS(INPUTS!D$32:D$76, INPUTS!$B$32:$B$76, $C139),
     $K139=  "Direct",                   SUMIFS(INPUTS!D$32:D$76, INPUTS!$B$32:$B$76, $C139),
     $K139=  "Average Cash on Hand",     SUMIFS(INPUTS!D$32:D$76, INPUTS!$B$32:$B$76, $C139))</f>
        <v>0</v>
      </c>
      <c r="E139" s="171" cm="1">
        <f t="array" ref="E139">_xlfn.IFS($K139=  "Per Pupil",           E$57*SUMIFS(INPUTS!E$32:E$76, INPUTS!$B$32:$B$76, $C139),
     $K139=  "Per Pupil - EL",      E$66*SUMIFS(INPUTS!E$32:E$76, INPUTS!$B$32:$B$76, $C139),
     $K139=  "Per Pupil - SPED",    E$61*SUMIFS(INPUTS!E$32:E$76, INPUTS!$B$32:$B$76, $C139),
     $K139=  "Direct",                   SUMIFS(INPUTS!E$32:E$76, INPUTS!$B$32:$B$76, $C139),
     $K139=  "Average Cash on Hand",     SUMIFS(INPUTS!E$32:E$76, INPUTS!$B$32:$B$76, $C139))</f>
        <v>0</v>
      </c>
      <c r="F139" s="171" cm="1">
        <f t="array" ref="F139">_xlfn.IFS($K139=  "Per Pupil",           F$57*SUMIFS(INPUTS!F$32:F$76, INPUTS!$B$32:$B$76, $C139),
     $K139=  "Per Pupil - EL",      F$66*SUMIFS(INPUTS!F$32:F$76, INPUTS!$B$32:$B$76, $C139),
     $K139=  "Per Pupil - SPED",    F$61*SUMIFS(INPUTS!F$32:F$76, INPUTS!$B$32:$B$76, $C139),
     $K139=  "Direct",                   SUMIFS(INPUTS!F$32:F$76, INPUTS!$B$32:$B$76, $C139),
     $K139=  "Average Cash on Hand",     SUMIFS(INPUTS!F$32:F$76, INPUTS!$B$32:$B$76, $C139))</f>
        <v>0</v>
      </c>
      <c r="G139" s="171" cm="1">
        <f t="array" ref="G139">_xlfn.IFS($K139=  "Per Pupil",           G$57*SUMIFS(INPUTS!G$32:G$76, INPUTS!$B$32:$B$76, $C139),
     $K139=  "Per Pupil - EL",      G$66*SUMIFS(INPUTS!G$32:G$76, INPUTS!$B$32:$B$76, $C139),
     $K139=  "Per Pupil - SPED",    G$61*SUMIFS(INPUTS!G$32:G$76, INPUTS!$B$32:$B$76, $C139),
     $K139=  "Direct",                   SUMIFS(INPUTS!G$32:G$76, INPUTS!$B$32:$B$76, $C139),
     $K139=  "Average Cash on Hand",     SUMIFS(INPUTS!G$32:G$76, INPUTS!$B$32:$B$76, $C139))</f>
        <v>0</v>
      </c>
      <c r="H139" s="171" cm="1">
        <f t="array" ref="H139">_xlfn.IFS($K139=  "Per Pupil",           H$57*SUMIFS(INPUTS!H$32:H$76, INPUTS!$B$32:$B$76, $C139),
     $K139=  "Per Pupil - EL",      H$66*SUMIFS(INPUTS!H$32:H$76, INPUTS!$B$32:$B$76, $C139),
     $K139=  "Per Pupil - SPED",    H$61*SUMIFS(INPUTS!H$32:H$76, INPUTS!$B$32:$B$76, $C139),
     $K139=  "Direct",                   SUMIFS(INPUTS!H$32:H$76, INPUTS!$B$32:$B$76, $C139),
     $K139=  "Average Cash on Hand",     SUMIFS(INPUTS!H$32:H$76, INPUTS!$B$32:$B$76, $C139))</f>
        <v>0</v>
      </c>
      <c r="I139" s="171" cm="1">
        <f t="array" ref="I139">_xlfn.IFS($K139=  "Per Pupil",           I$57*SUMIFS(INPUTS!I$32:I$76, INPUTS!$B$32:$B$76, $C139),
     $K139=  "Per Pupil - EL",      I$66*SUMIFS(INPUTS!I$32:I$76, INPUTS!$B$32:$B$76, $C139),
     $K139=  "Per Pupil - SPED",    I$61*SUMIFS(INPUTS!I$32:I$76, INPUTS!$B$32:$B$76, $C139),
     $K139=  "Direct",                   SUMIFS(INPUTS!I$32:I$76, INPUTS!$B$32:$B$76, $C139),
     $K139=  "Average Cash on Hand",     SUMIFS(INPUTS!I$32:I$76, INPUTS!$B$32:$B$76, $C139))</f>
        <v>0</v>
      </c>
      <c r="J139"/>
      <c r="K139" s="235" t="str">
        <f>INPUTS!C53</f>
        <v>Direct</v>
      </c>
      <c r="L139" s="235" t="str">
        <f>INPUTS!J53</f>
        <v>Recurring</v>
      </c>
      <c r="M139" s="235" t="str">
        <f>INPUTS!K53</f>
        <v>Operating</v>
      </c>
      <c r="N139" s="1"/>
      <c r="O139" s="748"/>
    </row>
    <row r="140" spans="1:15" s="529" customFormat="1" outlineLevel="1">
      <c r="A140" s="747"/>
      <c r="B140" s="374" t="str">
        <f>INPUTS!L54</f>
        <v>Federal</v>
      </c>
      <c r="C140" s="236" t="str">
        <f>INPUTS!B54</f>
        <v>Title I</v>
      </c>
      <c r="D140" s="171" cm="1">
        <f t="array" ref="D140">_xlfn.IFS($K140=  "Per Pupil",           D$57*SUMIFS(INPUTS!D$32:D$76, INPUTS!$B$32:$B$76, $C140),
     $K140=  "Per Pupil - EL",      D$66*SUMIFS(INPUTS!D$32:D$76, INPUTS!$B$32:$B$76, $C140),
     $K140=  "Per Pupil - SPED",    D$61*SUMIFS(INPUTS!D$32:D$76, INPUTS!$B$32:$B$76, $C140),
     $K140=  "Direct",                   SUMIFS(INPUTS!D$32:D$76, INPUTS!$B$32:$B$76, $C140),
     $K140=  "Average Cash on Hand",     SUMIFS(INPUTS!D$32:D$76, INPUTS!$B$32:$B$76, $C140))</f>
        <v>0</v>
      </c>
      <c r="E140" s="171" cm="1">
        <f t="array" ref="E140">_xlfn.IFS($K140=  "Per Pupil",           E$57*SUMIFS(INPUTS!E$32:E$76, INPUTS!$B$32:$B$76, $C140),
     $K140=  "Per Pupil - EL",      E$66*SUMIFS(INPUTS!E$32:E$76, INPUTS!$B$32:$B$76, $C140),
     $K140=  "Per Pupil - SPED",    E$61*SUMIFS(INPUTS!E$32:E$76, INPUTS!$B$32:$B$76, $C140),
     $K140=  "Direct",                   SUMIFS(INPUTS!E$32:E$76, INPUTS!$B$32:$B$76, $C140),
     $K140=  "Average Cash on Hand",     SUMIFS(INPUTS!E$32:E$76, INPUTS!$B$32:$B$76, $C140))</f>
        <v>72349.2</v>
      </c>
      <c r="F140" s="171" cm="1">
        <f t="array" ref="F140">_xlfn.IFS($K140=  "Per Pupil",           F$57*SUMIFS(INPUTS!F$32:F$76, INPUTS!$B$32:$B$76, $C140),
     $K140=  "Per Pupil - EL",      F$66*SUMIFS(INPUTS!F$32:F$76, INPUTS!$B$32:$B$76, $C140),
     $K140=  "Per Pupil - SPED",    F$61*SUMIFS(INPUTS!F$32:F$76, INPUTS!$B$32:$B$76, $C140),
     $K140=  "Direct",                   SUMIFS(INPUTS!F$32:F$76, INPUTS!$B$32:$B$76, $C140),
     $K140=  "Average Cash on Hand",     SUMIFS(INPUTS!F$32:F$76, INPUTS!$B$32:$B$76, $C140))</f>
        <v>146868.87599999999</v>
      </c>
      <c r="G140" s="171" cm="1">
        <f t="array" ref="G140">_xlfn.IFS($K140=  "Per Pupil",           G$57*SUMIFS(INPUTS!G$32:G$76, INPUTS!$B$32:$B$76, $C140),
     $K140=  "Per Pupil - EL",      G$66*SUMIFS(INPUTS!G$32:G$76, INPUTS!$B$32:$B$76, $C140),
     $K140=  "Per Pupil - SPED",    G$61*SUMIFS(INPUTS!G$32:G$76, INPUTS!$B$32:$B$76, $C140),
     $K140=  "Direct",                   SUMIFS(INPUTS!G$32:G$76, INPUTS!$B$32:$B$76, $C140),
     $K140=  "Average Cash on Hand",     SUMIFS(INPUTS!G$32:G$76, INPUTS!$B$32:$B$76, $C140))</f>
        <v>214290.86938874994</v>
      </c>
      <c r="H140" s="171" cm="1">
        <f t="array" ref="H140">_xlfn.IFS($K140=  "Per Pupil",           H$57*SUMIFS(INPUTS!H$32:H$76, INPUTS!$B$32:$B$76, $C140),
     $K140=  "Per Pupil - EL",      H$66*SUMIFS(INPUTS!H$32:H$76, INPUTS!$B$32:$B$76, $C140),
     $K140=  "Per Pupil - SPED",    H$61*SUMIFS(INPUTS!H$32:H$76, INPUTS!$B$32:$B$76, $C140),
     $K140=  "Direct",                   SUMIFS(INPUTS!H$32:H$76, INPUTS!$B$32:$B$76, $C140),
     $K140=  "Average Cash on Hand",     SUMIFS(INPUTS!H$32:H$76, INPUTS!$B$32:$B$76, $C140))</f>
        <v>245875.48013778741</v>
      </c>
      <c r="I140" s="171" cm="1">
        <f t="array" ref="I140">_xlfn.IFS($K140=  "Per Pupil",           I$57*SUMIFS(INPUTS!I$32:I$76, INPUTS!$B$32:$B$76, $C140),
     $K140=  "Per Pupil - EL",      I$66*SUMIFS(INPUTS!I$32:I$76, INPUTS!$B$32:$B$76, $C140),
     $K140=  "Per Pupil - SPED",    I$61*SUMIFS(INPUTS!I$32:I$76, INPUTS!$B$32:$B$76, $C140),
     $K140=  "Direct",                   SUMIFS(INPUTS!I$32:I$76, INPUTS!$B$32:$B$76, $C140),
     $K140=  "Average Cash on Hand",     SUMIFS(INPUTS!I$32:I$76, INPUTS!$B$32:$B$76, $C140))</f>
        <v>249563.61233985421</v>
      </c>
      <c r="J140"/>
      <c r="K140" s="235" t="str">
        <f>INPUTS!C54</f>
        <v>Per Pupil</v>
      </c>
      <c r="L140" s="235" t="str">
        <f>INPUTS!J54</f>
        <v>Recurring</v>
      </c>
      <c r="M140" s="235" t="str">
        <f>INPUTS!K54</f>
        <v>Operating</v>
      </c>
      <c r="N140" s="1"/>
      <c r="O140" s="748"/>
    </row>
    <row r="141" spans="1:15" s="529" customFormat="1" outlineLevel="1">
      <c r="A141" s="747"/>
      <c r="B141" s="374" t="str">
        <f>INPUTS!L55</f>
        <v>Federal</v>
      </c>
      <c r="C141" s="236" t="str">
        <f>INPUTS!B55</f>
        <v>Title II</v>
      </c>
      <c r="D141" s="171" cm="1">
        <f t="array" ref="D141">_xlfn.IFS($K141=  "Per Pupil",           D$57*SUMIFS(INPUTS!D$32:D$76, INPUTS!$B$32:$B$76, $C141),
     $K141=  "Per Pupil - EL",      D$66*SUMIFS(INPUTS!D$32:D$76, INPUTS!$B$32:$B$76, $C141),
     $K141=  "Per Pupil - SPED",    D$61*SUMIFS(INPUTS!D$32:D$76, INPUTS!$B$32:$B$76, $C141),
     $K141=  "Direct",                   SUMIFS(INPUTS!D$32:D$76, INPUTS!$B$32:$B$76, $C141),
     $K141=  "Average Cash on Hand",     SUMIFS(INPUTS!D$32:D$76, INPUTS!$B$32:$B$76, $C141))</f>
        <v>0</v>
      </c>
      <c r="E141" s="171" cm="1">
        <f t="array" ref="E141">_xlfn.IFS($K141=  "Per Pupil",           E$57*SUMIFS(INPUTS!E$32:E$76, INPUTS!$B$32:$B$76, $C141),
     $K141=  "Per Pupil - EL",      E$66*SUMIFS(INPUTS!E$32:E$76, INPUTS!$B$32:$B$76, $C141),
     $K141=  "Per Pupil - SPED",    E$61*SUMIFS(INPUTS!E$32:E$76, INPUTS!$B$32:$B$76, $C141),
     $K141=  "Direct",                   SUMIFS(INPUTS!E$32:E$76, INPUTS!$B$32:$B$76, $C141),
     $K141=  "Average Cash on Hand",     SUMIFS(INPUTS!E$32:E$76, INPUTS!$B$32:$B$76, $C141))</f>
        <v>8769.6</v>
      </c>
      <c r="F141" s="171" cm="1">
        <f t="array" ref="F141">_xlfn.IFS($K141=  "Per Pupil",           F$57*SUMIFS(INPUTS!F$32:F$76, INPUTS!$B$32:$B$76, $C141),
     $K141=  "Per Pupil - EL",      F$66*SUMIFS(INPUTS!F$32:F$76, INPUTS!$B$32:$B$76, $C141),
     $K141=  "Per Pupil - SPED",    F$61*SUMIFS(INPUTS!F$32:F$76, INPUTS!$B$32:$B$76, $C141),
     $K141=  "Direct",                   SUMIFS(INPUTS!F$32:F$76, INPUTS!$B$32:$B$76, $C141),
     $K141=  "Average Cash on Hand",     SUMIFS(INPUTS!F$32:F$76, INPUTS!$B$32:$B$76, $C141))</f>
        <v>17802.288</v>
      </c>
      <c r="G141" s="171" cm="1">
        <f t="array" ref="G141">_xlfn.IFS($K141=  "Per Pupil",           G$57*SUMIFS(INPUTS!G$32:G$76, INPUTS!$B$32:$B$76, $C141),
     $K141=  "Per Pupil - EL",      G$66*SUMIFS(INPUTS!G$32:G$76, INPUTS!$B$32:$B$76, $C141),
     $K141=  "Per Pupil - SPED",    G$61*SUMIFS(INPUTS!G$32:G$76, INPUTS!$B$32:$B$76, $C141),
     $K141=  "Direct",                   SUMIFS(INPUTS!G$32:G$76, INPUTS!$B$32:$B$76, $C141),
     $K141=  "Average Cash on Hand",     SUMIFS(INPUTS!G$32:G$76, INPUTS!$B$32:$B$76, $C141))</f>
        <v>25974.650834999997</v>
      </c>
      <c r="H141" s="171" cm="1">
        <f t="array" ref="H141">_xlfn.IFS($K141=  "Per Pupil",           H$57*SUMIFS(INPUTS!H$32:H$76, INPUTS!$B$32:$B$76, $C141),
     $K141=  "Per Pupil - EL",      H$66*SUMIFS(INPUTS!H$32:H$76, INPUTS!$B$32:$B$76, $C141),
     $K141=  "Per Pupil - SPED",    H$61*SUMIFS(INPUTS!H$32:H$76, INPUTS!$B$32:$B$76, $C141),
     $K141=  "Direct",                   SUMIFS(INPUTS!H$32:H$76, INPUTS!$B$32:$B$76, $C141),
     $K141=  "Average Cash on Hand",     SUMIFS(INPUTS!H$32:H$76, INPUTS!$B$32:$B$76, $C141))</f>
        <v>29803.088501549992</v>
      </c>
      <c r="I141" s="171" cm="1">
        <f t="array" ref="I141">_xlfn.IFS($K141=  "Per Pupil",           I$57*SUMIFS(INPUTS!I$32:I$76, INPUTS!$B$32:$B$76, $C141),
     $K141=  "Per Pupil - EL",      I$66*SUMIFS(INPUTS!I$32:I$76, INPUTS!$B$32:$B$76, $C141),
     $K141=  "Per Pupil - SPED",    I$61*SUMIFS(INPUTS!I$32:I$76, INPUTS!$B$32:$B$76, $C141),
     $K141=  "Direct",                   SUMIFS(INPUTS!I$32:I$76, INPUTS!$B$32:$B$76, $C141),
     $K141=  "Average Cash on Hand",     SUMIFS(INPUTS!I$32:I$76, INPUTS!$B$32:$B$76, $C141))</f>
        <v>30250.134829073235</v>
      </c>
      <c r="J141"/>
      <c r="K141" s="235" t="str">
        <f>INPUTS!C55</f>
        <v>Per Pupil</v>
      </c>
      <c r="L141" s="235" t="str">
        <f>INPUTS!J55</f>
        <v>Recurring</v>
      </c>
      <c r="M141" s="235" t="str">
        <f>INPUTS!K55</f>
        <v>Operating</v>
      </c>
      <c r="N141" s="1"/>
      <c r="O141" s="748"/>
    </row>
    <row r="142" spans="1:15" s="529" customFormat="1" outlineLevel="1">
      <c r="A142" s="747"/>
      <c r="B142" s="374" t="str">
        <f>INPUTS!L56</f>
        <v>Federal</v>
      </c>
      <c r="C142" s="236" t="str">
        <f>INPUTS!B56</f>
        <v>Title III</v>
      </c>
      <c r="D142" s="171" cm="1">
        <f t="array" ref="D142">_xlfn.IFS($K142=  "Per Pupil",           D$57*SUMIFS(INPUTS!D$32:D$76, INPUTS!$B$32:$B$76, $C142),
     $K142=  "Per Pupil - EL",      D$66*SUMIFS(INPUTS!D$32:D$76, INPUTS!$B$32:$B$76, $C142),
     $K142=  "Per Pupil - SPED",    D$61*SUMIFS(INPUTS!D$32:D$76, INPUTS!$B$32:$B$76, $C142),
     $K142=  "Direct",                   SUMIFS(INPUTS!D$32:D$76, INPUTS!$B$32:$B$76, $C142),
     $K142=  "Average Cash on Hand",     SUMIFS(INPUTS!D$32:D$76, INPUTS!$B$32:$B$76, $C142))</f>
        <v>0</v>
      </c>
      <c r="E142" s="171" cm="1">
        <f t="array" ref="E142">_xlfn.IFS($K142=  "Per Pupil",           E$57*SUMIFS(INPUTS!E$32:E$76, INPUTS!$B$32:$B$76, $C142),
     $K142=  "Per Pupil - EL",      E$66*SUMIFS(INPUTS!E$32:E$76, INPUTS!$B$32:$B$76, $C142),
     $K142=  "Per Pupil - SPED",    E$61*SUMIFS(INPUTS!E$32:E$76, INPUTS!$B$32:$B$76, $C142),
     $K142=  "Direct",                   SUMIFS(INPUTS!E$32:E$76, INPUTS!$B$32:$B$76, $C142),
     $K142=  "Average Cash on Hand",     SUMIFS(INPUTS!E$32:E$76, INPUTS!$B$32:$B$76, $C142))</f>
        <v>5602.7999999999993</v>
      </c>
      <c r="F142" s="171" cm="1">
        <f t="array" ref="F142">_xlfn.IFS($K142=  "Per Pupil",           F$57*SUMIFS(INPUTS!F$32:F$76, INPUTS!$B$32:$B$76, $C142),
     $K142=  "Per Pupil - EL",      F$66*SUMIFS(INPUTS!F$32:F$76, INPUTS!$B$32:$B$76, $C142),
     $K142=  "Per Pupil - SPED",    F$61*SUMIFS(INPUTS!F$32:F$76, INPUTS!$B$32:$B$76, $C142),
     $K142=  "Direct",                   SUMIFS(INPUTS!F$32:F$76, INPUTS!$B$32:$B$76, $C142),
     $K142=  "Average Cash on Hand",     SUMIFS(INPUTS!F$32:F$76, INPUTS!$B$32:$B$76, $C142))</f>
        <v>11373.683999999997</v>
      </c>
      <c r="G142" s="171" cm="1">
        <f t="array" ref="G142">_xlfn.IFS($K142=  "Per Pupil",           G$57*SUMIFS(INPUTS!G$32:G$76, INPUTS!$B$32:$B$76, $C142),
     $K142=  "Per Pupil - EL",      G$66*SUMIFS(INPUTS!G$32:G$76, INPUTS!$B$32:$B$76, $C142),
     $K142=  "Per Pupil - SPED",    G$61*SUMIFS(INPUTS!G$32:G$76, INPUTS!$B$32:$B$76, $C142),
     $K142=  "Direct",                   SUMIFS(INPUTS!G$32:G$76, INPUTS!$B$32:$B$76, $C142),
     $K142=  "Average Cash on Hand",     SUMIFS(INPUTS!G$32:G$76, INPUTS!$B$32:$B$76, $C142))</f>
        <v>16594.915811249994</v>
      </c>
      <c r="H142" s="171" cm="1">
        <f t="array" ref="H142">_xlfn.IFS($K142=  "Per Pupil",           H$57*SUMIFS(INPUTS!H$32:H$76, INPUTS!$B$32:$B$76, $C142),
     $K142=  "Per Pupil - EL",      H$66*SUMIFS(INPUTS!H$32:H$76, INPUTS!$B$32:$B$76, $C142),
     $K142=  "Per Pupil - SPED",    H$61*SUMIFS(INPUTS!H$32:H$76, INPUTS!$B$32:$B$76, $C142),
     $K142=  "Direct",                   SUMIFS(INPUTS!H$32:H$76, INPUTS!$B$32:$B$76, $C142),
     $K142=  "Average Cash on Hand",     SUMIFS(INPUTS!H$32:H$76, INPUTS!$B$32:$B$76, $C142))</f>
        <v>19040.862098212492</v>
      </c>
      <c r="I142" s="171" cm="1">
        <f t="array" ref="I142">_xlfn.IFS($K142=  "Per Pupil",           I$57*SUMIFS(INPUTS!I$32:I$76, INPUTS!$B$32:$B$76, $C142),
     $K142=  "Per Pupil - EL",      I$66*SUMIFS(INPUTS!I$32:I$76, INPUTS!$B$32:$B$76, $C142),
     $K142=  "Per Pupil - SPED",    I$61*SUMIFS(INPUTS!I$32:I$76, INPUTS!$B$32:$B$76, $C142),
     $K142=  "Direct",                   SUMIFS(INPUTS!I$32:I$76, INPUTS!$B$32:$B$76, $C142),
     $K142=  "Average Cash on Hand",     SUMIFS(INPUTS!I$32:I$76, INPUTS!$B$32:$B$76, $C142))</f>
        <v>19326.47502968568</v>
      </c>
      <c r="J142"/>
      <c r="K142" s="235" t="str">
        <f>INPUTS!C56</f>
        <v>Per Pupil</v>
      </c>
      <c r="L142" s="235" t="str">
        <f>INPUTS!J56</f>
        <v>Recurring</v>
      </c>
      <c r="M142" s="235" t="str">
        <f>INPUTS!K56</f>
        <v>Operating</v>
      </c>
      <c r="N142" s="1"/>
      <c r="O142" s="748"/>
    </row>
    <row r="143" spans="1:15" s="529" customFormat="1" outlineLevel="1">
      <c r="A143" s="747"/>
      <c r="B143" s="374" t="str">
        <f>INPUTS!L57</f>
        <v>Federal</v>
      </c>
      <c r="C143" s="236" t="str">
        <f>INPUTS!B57</f>
        <v>IDEA Funding</v>
      </c>
      <c r="D143" s="171" cm="1">
        <f t="array" ref="D143">_xlfn.IFS($K143=  "Per Pupil",           D$57*SUMIFS(INPUTS!D$32:D$76, INPUTS!$B$32:$B$76, $C143),
     $K143=  "Per Pupil - EL",      D$66*SUMIFS(INPUTS!D$32:D$76, INPUTS!$B$32:$B$76, $C143),
     $K143=  "Per Pupil - SPED",    D$61*SUMIFS(INPUTS!D$32:D$76, INPUTS!$B$32:$B$76, $C143),
     $K143=  "Direct",                   SUMIFS(INPUTS!D$32:D$76, INPUTS!$B$32:$B$76, $C143),
     $K143=  "Average Cash on Hand",     SUMIFS(INPUTS!D$32:D$76, INPUTS!$B$32:$B$76, $C143))</f>
        <v>0</v>
      </c>
      <c r="E143" s="171" cm="1">
        <f t="array" ref="E143">_xlfn.IFS($K143=  "Per Pupil",           E$57*SUMIFS(INPUTS!E$32:E$76, INPUTS!$B$32:$B$76, $C143),
     $K143=  "Per Pupil - EL",      E$66*SUMIFS(INPUTS!E$32:E$76, INPUTS!$B$32:$B$76, $C143),
     $K143=  "Per Pupil - SPED",    E$61*SUMIFS(INPUTS!E$32:E$76, INPUTS!$B$32:$B$76, $C143),
     $K143=  "Direct",                   SUMIFS(INPUTS!E$32:E$76, INPUTS!$B$32:$B$76, $C143),
     $K143=  "Average Cash on Hand",     SUMIFS(INPUTS!E$32:E$76, INPUTS!$B$32:$B$76, $C143))</f>
        <v>132921</v>
      </c>
      <c r="F143" s="171" cm="1">
        <f t="array" ref="F143">_xlfn.IFS($K143=  "Per Pupil",           F$57*SUMIFS(INPUTS!F$32:F$76, INPUTS!$B$32:$B$76, $C143),
     $K143=  "Per Pupil - EL",      F$66*SUMIFS(INPUTS!F$32:F$76, INPUTS!$B$32:$B$76, $C143),
     $K143=  "Per Pupil - SPED",    F$61*SUMIFS(INPUTS!F$32:F$76, INPUTS!$B$32:$B$76, $C143),
     $K143=  "Direct",                   SUMIFS(INPUTS!F$32:F$76, INPUTS!$B$32:$B$76, $C143),
     $K143=  "Average Cash on Hand",     SUMIFS(INPUTS!F$32:F$76, INPUTS!$B$32:$B$76, $C143))</f>
        <v>134914.81499999997</v>
      </c>
      <c r="G143" s="171" cm="1">
        <f t="array" ref="G143">_xlfn.IFS($K143=  "Per Pupil",           G$57*SUMIFS(INPUTS!G$32:G$76, INPUTS!$B$32:$B$76, $C143),
     $K143=  "Per Pupil - EL",      G$66*SUMIFS(INPUTS!G$32:G$76, INPUTS!$B$32:$B$76, $C143),
     $K143=  "Per Pupil - SPED",    G$61*SUMIFS(INPUTS!G$32:G$76, INPUTS!$B$32:$B$76, $C143),
     $K143=  "Direct",                   SUMIFS(INPUTS!G$32:G$76, INPUTS!$B$32:$B$76, $C143),
     $K143=  "Average Cash on Hand",     SUMIFS(INPUTS!G$32:G$76, INPUTS!$B$32:$B$76, $C143))</f>
        <v>136938.53722499995</v>
      </c>
      <c r="H143" s="171" cm="1">
        <f t="array" ref="H143">_xlfn.IFS($K143=  "Per Pupil",           H$57*SUMIFS(INPUTS!H$32:H$76, INPUTS!$B$32:$B$76, $C143),
     $K143=  "Per Pupil - EL",      H$66*SUMIFS(INPUTS!H$32:H$76, INPUTS!$B$32:$B$76, $C143),
     $K143=  "Per Pupil - SPED",    H$61*SUMIFS(INPUTS!H$32:H$76, INPUTS!$B$32:$B$76, $C143),
     $K143=  "Direct",                   SUMIFS(INPUTS!H$32:H$76, INPUTS!$B$32:$B$76, $C143),
     $K143=  "Average Cash on Hand",     SUMIFS(INPUTS!H$32:H$76, INPUTS!$B$32:$B$76, $C143))</f>
        <v>138992.61528337494</v>
      </c>
      <c r="I143" s="171" cm="1">
        <f t="array" ref="I143">_xlfn.IFS($K143=  "Per Pupil",           I$57*SUMIFS(INPUTS!I$32:I$76, INPUTS!$B$32:$B$76, $C143),
     $K143=  "Per Pupil - EL",      I$66*SUMIFS(INPUTS!I$32:I$76, INPUTS!$B$32:$B$76, $C143),
     $K143=  "Per Pupil - SPED",    I$61*SUMIFS(INPUTS!I$32:I$76, INPUTS!$B$32:$B$76, $C143),
     $K143=  "Direct",                   SUMIFS(INPUTS!I$32:I$76, INPUTS!$B$32:$B$76, $C143),
     $K143=  "Average Cash on Hand",     SUMIFS(INPUTS!I$32:I$76, INPUTS!$B$32:$B$76, $C143))</f>
        <v>141077.50451262554</v>
      </c>
      <c r="J143"/>
      <c r="K143" s="235" t="str">
        <f>INPUTS!C57</f>
        <v>Direct</v>
      </c>
      <c r="L143" s="235" t="str">
        <f>INPUTS!J57</f>
        <v>Recurring</v>
      </c>
      <c r="M143" s="235" t="str">
        <f>INPUTS!K57</f>
        <v>Operating</v>
      </c>
      <c r="N143" s="1"/>
      <c r="O143" s="748"/>
    </row>
    <row r="144" spans="1:15" s="529" customFormat="1" outlineLevel="1">
      <c r="A144" s="747"/>
      <c r="B144" s="374" t="str">
        <f>INPUTS!L58</f>
        <v>Federal</v>
      </c>
      <c r="C144" s="236" t="str">
        <f>INPUTS!B58</f>
        <v>CSP</v>
      </c>
      <c r="D144" s="171" cm="1">
        <f t="array" ref="D144">_xlfn.IFS($K144=  "Per Pupil",           D$57*SUMIFS(INPUTS!D$32:D$76, INPUTS!$B$32:$B$76, $C144),
     $K144=  "Per Pupil - EL",      D$66*SUMIFS(INPUTS!D$32:D$76, INPUTS!$B$32:$B$76, $C144),
     $K144=  "Per Pupil - SPED",    D$61*SUMIFS(INPUTS!D$32:D$76, INPUTS!$B$32:$B$76, $C144),
     $K144=  "Direct",                   SUMIFS(INPUTS!D$32:D$76, INPUTS!$B$32:$B$76, $C144),
     $K144=  "Average Cash on Hand",     SUMIFS(INPUTS!D$32:D$76, INPUTS!$B$32:$B$76, $C144))</f>
        <v>0</v>
      </c>
      <c r="E144" s="171" cm="1">
        <f t="array" ref="E144">_xlfn.IFS($K144=  "Per Pupil",           E$57*SUMIFS(INPUTS!E$32:E$76, INPUTS!$B$32:$B$76, $C144),
     $K144=  "Per Pupil - EL",      E$66*SUMIFS(INPUTS!E$32:E$76, INPUTS!$B$32:$B$76, $C144),
     $K144=  "Per Pupil - SPED",    E$61*SUMIFS(INPUTS!E$32:E$76, INPUTS!$B$32:$B$76, $C144),
     $K144=  "Direct",                   SUMIFS(INPUTS!E$32:E$76, INPUTS!$B$32:$B$76, $C144),
     $K144=  "Average Cash on Hand",     SUMIFS(INPUTS!E$32:E$76, INPUTS!$B$32:$B$76, $C144))</f>
        <v>400000</v>
      </c>
      <c r="F144" s="171" cm="1">
        <f t="array" ref="F144">_xlfn.IFS($K144=  "Per Pupil",           F$57*SUMIFS(INPUTS!F$32:F$76, INPUTS!$B$32:$B$76, $C144),
     $K144=  "Per Pupil - EL",      F$66*SUMIFS(INPUTS!F$32:F$76, INPUTS!$B$32:$B$76, $C144),
     $K144=  "Per Pupil - SPED",    F$61*SUMIFS(INPUTS!F$32:F$76, INPUTS!$B$32:$B$76, $C144),
     $K144=  "Direct",                   SUMIFS(INPUTS!F$32:F$76, INPUTS!$B$32:$B$76, $C144),
     $K144=  "Average Cash on Hand",     SUMIFS(INPUTS!F$32:F$76, INPUTS!$B$32:$B$76, $C144))</f>
        <v>400000</v>
      </c>
      <c r="G144" s="171" cm="1">
        <f t="array" ref="G144">_xlfn.IFS($K144=  "Per Pupil",           G$57*SUMIFS(INPUTS!G$32:G$76, INPUTS!$B$32:$B$76, $C144),
     $K144=  "Per Pupil - EL",      G$66*SUMIFS(INPUTS!G$32:G$76, INPUTS!$B$32:$B$76, $C144),
     $K144=  "Per Pupil - SPED",    G$61*SUMIFS(INPUTS!G$32:G$76, INPUTS!$B$32:$B$76, $C144),
     $K144=  "Direct",                   SUMIFS(INPUTS!G$32:G$76, INPUTS!$B$32:$B$76, $C144),
     $K144=  "Average Cash on Hand",     SUMIFS(INPUTS!G$32:G$76, INPUTS!$B$32:$B$76, $C144))</f>
        <v>400000</v>
      </c>
      <c r="H144" s="171" cm="1">
        <f t="array" ref="H144">_xlfn.IFS($K144=  "Per Pupil",           H$57*SUMIFS(INPUTS!H$32:H$76, INPUTS!$B$32:$B$76, $C144),
     $K144=  "Per Pupil - EL",      H$66*SUMIFS(INPUTS!H$32:H$76, INPUTS!$B$32:$B$76, $C144),
     $K144=  "Per Pupil - SPED",    H$61*SUMIFS(INPUTS!H$32:H$76, INPUTS!$B$32:$B$76, $C144),
     $K144=  "Direct",                   SUMIFS(INPUTS!H$32:H$76, INPUTS!$B$32:$B$76, $C144),
     $K144=  "Average Cash on Hand",     SUMIFS(INPUTS!H$32:H$76, INPUTS!$B$32:$B$76, $C144))</f>
        <v>400000</v>
      </c>
      <c r="I144" s="171" cm="1">
        <f t="array" ref="I144">_xlfn.IFS($K144=  "Per Pupil",           I$57*SUMIFS(INPUTS!I$32:I$76, INPUTS!$B$32:$B$76, $C144),
     $K144=  "Per Pupil - EL",      I$66*SUMIFS(INPUTS!I$32:I$76, INPUTS!$B$32:$B$76, $C144),
     $K144=  "Per Pupil - SPED",    I$61*SUMIFS(INPUTS!I$32:I$76, INPUTS!$B$32:$B$76, $C144),
     $K144=  "Direct",                   SUMIFS(INPUTS!I$32:I$76, INPUTS!$B$32:$B$76, $C144),
     $K144=  "Average Cash on Hand",     SUMIFS(INPUTS!I$32:I$76, INPUTS!$B$32:$B$76, $C144))</f>
        <v>400000</v>
      </c>
      <c r="J144"/>
      <c r="K144" s="235" t="str">
        <f>INPUTS!C58</f>
        <v>Direct</v>
      </c>
      <c r="L144" s="235" t="str">
        <f>INPUTS!J58</f>
        <v>Recurring</v>
      </c>
      <c r="M144" s="235" t="str">
        <f>INPUTS!K58</f>
        <v>Operating</v>
      </c>
      <c r="N144" s="1"/>
      <c r="O144" s="748"/>
    </row>
    <row r="145" spans="1:15" s="529" customFormat="1" outlineLevel="1">
      <c r="A145" s="747"/>
      <c r="B145" s="374" t="str">
        <f>INPUTS!L59</f>
        <v>Federal</v>
      </c>
      <c r="C145" s="236" t="str">
        <f>INPUTS!B59</f>
        <v>All Other 5000 - FEDERAL REVENUE - GENERAL PURPOSE</v>
      </c>
      <c r="D145" s="171" cm="1">
        <f t="array" ref="D145">_xlfn.IFS($K145=  "Per Pupil",           D$57*SUMIFS(INPUTS!D$32:D$76, INPUTS!$B$32:$B$76, $C145),
     $K145=  "Per Pupil - EL",      D$66*SUMIFS(INPUTS!D$32:D$76, INPUTS!$B$32:$B$76, $C145),
     $K145=  "Per Pupil - SPED",    D$61*SUMIFS(INPUTS!D$32:D$76, INPUTS!$B$32:$B$76, $C145),
     $K145=  "Direct",                   SUMIFS(INPUTS!D$32:D$76, INPUTS!$B$32:$B$76, $C145),
     $K145=  "Average Cash on Hand",     SUMIFS(INPUTS!D$32:D$76, INPUTS!$B$32:$B$76, $C145))</f>
        <v>0</v>
      </c>
      <c r="E145" s="171" cm="1">
        <f t="array" ref="E145">_xlfn.IFS($K145=  "Per Pupil",           E$57*SUMIFS(INPUTS!E$32:E$76, INPUTS!$B$32:$B$76, $C145),
     $K145=  "Per Pupil - EL",      E$66*SUMIFS(INPUTS!E$32:E$76, INPUTS!$B$32:$B$76, $C145),
     $K145=  "Per Pupil - SPED",    E$61*SUMIFS(INPUTS!E$32:E$76, INPUTS!$B$32:$B$76, $C145),
     $K145=  "Direct",                   SUMIFS(INPUTS!E$32:E$76, INPUTS!$B$32:$B$76, $C145),
     $K145=  "Average Cash on Hand",     SUMIFS(INPUTS!E$32:E$76, INPUTS!$B$32:$B$76, $C145))</f>
        <v>0</v>
      </c>
      <c r="F145" s="171" cm="1">
        <f t="array" ref="F145">_xlfn.IFS($K145=  "Per Pupil",           F$57*SUMIFS(INPUTS!F$32:F$76, INPUTS!$B$32:$B$76, $C145),
     $K145=  "Per Pupil - EL",      F$66*SUMIFS(INPUTS!F$32:F$76, INPUTS!$B$32:$B$76, $C145),
     $K145=  "Per Pupil - SPED",    F$61*SUMIFS(INPUTS!F$32:F$76, INPUTS!$B$32:$B$76, $C145),
     $K145=  "Direct",                   SUMIFS(INPUTS!F$32:F$76, INPUTS!$B$32:$B$76, $C145),
     $K145=  "Average Cash on Hand",     SUMIFS(INPUTS!F$32:F$76, INPUTS!$B$32:$B$76, $C145))</f>
        <v>0</v>
      </c>
      <c r="G145" s="171" cm="1">
        <f t="array" ref="G145">_xlfn.IFS($K145=  "Per Pupil",           G$57*SUMIFS(INPUTS!G$32:G$76, INPUTS!$B$32:$B$76, $C145),
     $K145=  "Per Pupil - EL",      G$66*SUMIFS(INPUTS!G$32:G$76, INPUTS!$B$32:$B$76, $C145),
     $K145=  "Per Pupil - SPED",    G$61*SUMIFS(INPUTS!G$32:G$76, INPUTS!$B$32:$B$76, $C145),
     $K145=  "Direct",                   SUMIFS(INPUTS!G$32:G$76, INPUTS!$B$32:$B$76, $C145),
     $K145=  "Average Cash on Hand",     SUMIFS(INPUTS!G$32:G$76, INPUTS!$B$32:$B$76, $C145))</f>
        <v>0</v>
      </c>
      <c r="H145" s="171" cm="1">
        <f t="array" ref="H145">_xlfn.IFS($K145=  "Per Pupil",           H$57*SUMIFS(INPUTS!H$32:H$76, INPUTS!$B$32:$B$76, $C145),
     $K145=  "Per Pupil - EL",      H$66*SUMIFS(INPUTS!H$32:H$76, INPUTS!$B$32:$B$76, $C145),
     $K145=  "Per Pupil - SPED",    H$61*SUMIFS(INPUTS!H$32:H$76, INPUTS!$B$32:$B$76, $C145),
     $K145=  "Direct",                   SUMIFS(INPUTS!H$32:H$76, INPUTS!$B$32:$B$76, $C145),
     $K145=  "Average Cash on Hand",     SUMIFS(INPUTS!H$32:H$76, INPUTS!$B$32:$B$76, $C145))</f>
        <v>0</v>
      </c>
      <c r="I145" s="171" cm="1">
        <f t="array" ref="I145">_xlfn.IFS($K145=  "Per Pupil",           I$57*SUMIFS(INPUTS!I$32:I$76, INPUTS!$B$32:$B$76, $C145),
     $K145=  "Per Pupil - EL",      I$66*SUMIFS(INPUTS!I$32:I$76, INPUTS!$B$32:$B$76, $C145),
     $K145=  "Per Pupil - SPED",    I$61*SUMIFS(INPUTS!I$32:I$76, INPUTS!$B$32:$B$76, $C145),
     $K145=  "Direct",                   SUMIFS(INPUTS!I$32:I$76, INPUTS!$B$32:$B$76, $C145),
     $K145=  "Average Cash on Hand",     SUMIFS(INPUTS!I$32:I$76, INPUTS!$B$32:$B$76, $C145))</f>
        <v>0</v>
      </c>
      <c r="J145"/>
      <c r="K145" s="235" t="str">
        <f>INPUTS!C59</f>
        <v>Direct</v>
      </c>
      <c r="L145" s="235" t="str">
        <f>INPUTS!J59</f>
        <v>Non-Recurring</v>
      </c>
      <c r="M145" s="235" t="str">
        <f>INPUTS!K59</f>
        <v>Non-Operating</v>
      </c>
      <c r="N145" s="1"/>
      <c r="O145" s="748"/>
    </row>
    <row r="146" spans="1:15" s="529" customFormat="1" outlineLevel="1">
      <c r="A146" s="747"/>
      <c r="B146" s="844"/>
      <c r="C146" s="843" t="str">
        <f>INPUTS!B60</f>
        <v>5000 - FEDERAL REVENUE - GENERAL PURPOSE</v>
      </c>
      <c r="D146" s="845">
        <f>SUM(D139:D145)</f>
        <v>0</v>
      </c>
      <c r="E146" s="845">
        <f t="shared" ref="E146:I146" si="37">SUM(E139:E145)</f>
        <v>619642.6</v>
      </c>
      <c r="F146" s="845">
        <f t="shared" si="37"/>
        <v>710959.66299999994</v>
      </c>
      <c r="G146" s="845">
        <f t="shared" si="37"/>
        <v>793798.97325999988</v>
      </c>
      <c r="H146" s="845">
        <f t="shared" si="37"/>
        <v>833712.04602092481</v>
      </c>
      <c r="I146" s="845">
        <f t="shared" si="37"/>
        <v>840217.72671123862</v>
      </c>
      <c r="J146"/>
      <c r="K146" s="845"/>
      <c r="L146" s="845"/>
      <c r="M146" s="845"/>
      <c r="N146" s="1"/>
      <c r="O146" s="748"/>
    </row>
    <row r="147" spans="1:15" s="529" customFormat="1" outlineLevel="1">
      <c r="A147" s="747"/>
      <c r="B147" s="374" t="str">
        <f>INPUTS!L61</f>
        <v>Federal</v>
      </c>
      <c r="C147" s="236" t="str">
        <f>INPUTS!B61</f>
        <v xml:space="preserve">6100 - Special Purpose - OSPI Unassigned    </v>
      </c>
      <c r="D147" s="171" cm="1">
        <f t="array" ref="D147">_xlfn.IFS($K147=  "Per Pupil",           D$57*SUMIFS(INPUTS!D$32:D$76, INPUTS!$B$32:$B$76, $C147),
     $K147=  "Per Pupil - EL",      D$66*SUMIFS(INPUTS!D$32:D$76, INPUTS!$B$32:$B$76, $C147),
     $K147=  "Per Pupil - SPED",    D$61*SUMIFS(INPUTS!D$32:D$76, INPUTS!$B$32:$B$76, $C147),
     $K147=  "Direct",                   SUMIFS(INPUTS!D$32:D$76, INPUTS!$B$32:$B$76, $C147),
     $K147=  "Average Cash on Hand",     SUMIFS(INPUTS!D$32:D$76, INPUTS!$B$32:$B$76, $C147))</f>
        <v>0</v>
      </c>
      <c r="E147" s="171" cm="1">
        <f t="array" ref="E147">_xlfn.IFS($K147=  "Per Pupil",           E$57*SUMIFS(INPUTS!E$32:E$76, INPUTS!$B$32:$B$76, $C147),
     $K147=  "Per Pupil - EL",      E$66*SUMIFS(INPUTS!E$32:E$76, INPUTS!$B$32:$B$76, $C147),
     $K147=  "Per Pupil - SPED",    E$61*SUMIFS(INPUTS!E$32:E$76, INPUTS!$B$32:$B$76, $C147),
     $K147=  "Direct",                   SUMIFS(INPUTS!E$32:E$76, INPUTS!$B$32:$B$76, $C147),
     $K147=  "Average Cash on Hand",     SUMIFS(INPUTS!E$32:E$76, INPUTS!$B$32:$B$76, $C147))</f>
        <v>17000</v>
      </c>
      <c r="F147" s="171" cm="1">
        <f t="array" ref="F147">_xlfn.IFS($K147=  "Per Pupil",           F$57*SUMIFS(INPUTS!F$32:F$76, INPUTS!$B$32:$B$76, $C147),
     $K147=  "Per Pupil - EL",      F$66*SUMIFS(INPUTS!F$32:F$76, INPUTS!$B$32:$B$76, $C147),
     $K147=  "Per Pupil - SPED",    F$61*SUMIFS(INPUTS!F$32:F$76, INPUTS!$B$32:$B$76, $C147),
     $K147=  "Direct",                   SUMIFS(INPUTS!F$32:F$76, INPUTS!$B$32:$B$76, $C147),
     $K147=  "Average Cash on Hand",     SUMIFS(INPUTS!F$32:F$76, INPUTS!$B$32:$B$76, $C147))</f>
        <v>17000</v>
      </c>
      <c r="G147" s="171" cm="1">
        <f t="array" ref="G147">_xlfn.IFS($K147=  "Per Pupil",           G$57*SUMIFS(INPUTS!G$32:G$76, INPUTS!$B$32:$B$76, $C147),
     $K147=  "Per Pupil - EL",      G$66*SUMIFS(INPUTS!G$32:G$76, INPUTS!$B$32:$B$76, $C147),
     $K147=  "Per Pupil - SPED",    G$61*SUMIFS(INPUTS!G$32:G$76, INPUTS!$B$32:$B$76, $C147),
     $K147=  "Direct",                   SUMIFS(INPUTS!G$32:G$76, INPUTS!$B$32:$B$76, $C147),
     $K147=  "Average Cash on Hand",     SUMIFS(INPUTS!G$32:G$76, INPUTS!$B$32:$B$76, $C147))</f>
        <v>17000</v>
      </c>
      <c r="H147" s="171" cm="1">
        <f t="array" ref="H147">_xlfn.IFS($K147=  "Per Pupil",           H$57*SUMIFS(INPUTS!H$32:H$76, INPUTS!$B$32:$B$76, $C147),
     $K147=  "Per Pupil - EL",      H$66*SUMIFS(INPUTS!H$32:H$76, INPUTS!$B$32:$B$76, $C147),
     $K147=  "Per Pupil - SPED",    H$61*SUMIFS(INPUTS!H$32:H$76, INPUTS!$B$32:$B$76, $C147),
     $K147=  "Direct",                   SUMIFS(INPUTS!H$32:H$76, INPUTS!$B$32:$B$76, $C147),
     $K147=  "Average Cash on Hand",     SUMIFS(INPUTS!H$32:H$76, INPUTS!$B$32:$B$76, $C147))</f>
        <v>17000</v>
      </c>
      <c r="I147" s="171" cm="1">
        <f t="array" ref="I147">_xlfn.IFS($K147=  "Per Pupil",           I$57*SUMIFS(INPUTS!I$32:I$76, INPUTS!$B$32:$B$76, $C147),
     $K147=  "Per Pupil - EL",      I$66*SUMIFS(INPUTS!I$32:I$76, INPUTS!$B$32:$B$76, $C147),
     $K147=  "Per Pupil - SPED",    I$61*SUMIFS(INPUTS!I$32:I$76, INPUTS!$B$32:$B$76, $C147),
     $K147=  "Direct",                   SUMIFS(INPUTS!I$32:I$76, INPUTS!$B$32:$B$76, $C147),
     $K147=  "Average Cash on Hand",     SUMIFS(INPUTS!I$32:I$76, INPUTS!$B$32:$B$76, $C147))</f>
        <v>17000</v>
      </c>
      <c r="J147"/>
      <c r="K147" s="235" t="str">
        <f>INPUTS!C61</f>
        <v>Direct</v>
      </c>
      <c r="L147" s="235" t="str">
        <f>INPUTS!J61</f>
        <v>Recurring</v>
      </c>
      <c r="M147" s="235" t="str">
        <f>INPUTS!K61</f>
        <v>Operating</v>
      </c>
      <c r="N147" s="1"/>
      <c r="O147" s="748"/>
    </row>
    <row r="148" spans="1:15" s="529" customFormat="1" outlineLevel="1">
      <c r="A148" s="747"/>
      <c r="B148" s="374" t="str">
        <f>INPUTS!L62</f>
        <v>Federal</v>
      </c>
      <c r="C148" s="236" t="str">
        <f>INPUTS!B62</f>
        <v xml:space="preserve">6198 - School Food Services     </v>
      </c>
      <c r="D148" s="171" cm="1">
        <f t="array" ref="D148">_xlfn.IFS($K148=  "Per Pupil",           D$57*SUMIFS(INPUTS!D$32:D$76, INPUTS!$B$32:$B$76, $C148),
     $K148=  "Per Pupil - EL",      D$66*SUMIFS(INPUTS!D$32:D$76, INPUTS!$B$32:$B$76, $C148),
     $K148=  "Per Pupil - SPED",    D$61*SUMIFS(INPUTS!D$32:D$76, INPUTS!$B$32:$B$76, $C148),
     $K148=  "Direct",                   SUMIFS(INPUTS!D$32:D$76, INPUTS!$B$32:$B$76, $C148),
     $K148=  "Average Cash on Hand",     SUMIFS(INPUTS!D$32:D$76, INPUTS!$B$32:$B$76, $C148))</f>
        <v>0</v>
      </c>
      <c r="E148" s="171" cm="1">
        <f t="array" ref="E148">_xlfn.IFS($K148=  "Per Pupil",           E$57*SUMIFS(INPUTS!E$32:E$76, INPUTS!$B$32:$B$76, $C148),
     $K148=  "Per Pupil - EL",      E$66*SUMIFS(INPUTS!E$32:E$76, INPUTS!$B$32:$B$76, $C148),
     $K148=  "Per Pupil - SPED",    E$61*SUMIFS(INPUTS!E$32:E$76, INPUTS!$B$32:$B$76, $C148),
     $K148=  "Direct",                   SUMIFS(INPUTS!E$32:E$76, INPUTS!$B$32:$B$76, $C148),
     $K148=  "Average Cash on Hand",     SUMIFS(INPUTS!E$32:E$76, INPUTS!$B$32:$B$76, $C148))</f>
        <v>193662</v>
      </c>
      <c r="F148" s="171" cm="1">
        <f t="array" ref="F148">_xlfn.IFS($K148=  "Per Pupil",           F$57*SUMIFS(INPUTS!F$32:F$76, INPUTS!$B$32:$B$76, $C148),
     $K148=  "Per Pupil - EL",      F$66*SUMIFS(INPUTS!F$32:F$76, INPUTS!$B$32:$B$76, $C148),
     $K148=  "Per Pupil - SPED",    F$61*SUMIFS(INPUTS!F$32:F$76, INPUTS!$B$32:$B$76, $C148),
     $K148=  "Direct",                   SUMIFS(INPUTS!F$32:F$76, INPUTS!$B$32:$B$76, $C148),
     $K148=  "Average Cash on Hand",     SUMIFS(INPUTS!F$32:F$76, INPUTS!$B$32:$B$76, $C148))</f>
        <v>393133.85999999993</v>
      </c>
      <c r="G148" s="171" cm="1">
        <f t="array" ref="G148">_xlfn.IFS($K148=  "Per Pupil",           G$57*SUMIFS(INPUTS!G$32:G$76, INPUTS!$B$32:$B$76, $C148),
     $K148=  "Per Pupil - EL",      G$66*SUMIFS(INPUTS!G$32:G$76, INPUTS!$B$32:$B$76, $C148),
     $K148=  "Per Pupil - SPED",    G$61*SUMIFS(INPUTS!G$32:G$76, INPUTS!$B$32:$B$76, $C148),
     $K148=  "Direct",                   SUMIFS(INPUTS!G$32:G$76, INPUTS!$B$32:$B$76, $C148),
     $K148=  "Average Cash on Hand",     SUMIFS(INPUTS!G$32:G$76, INPUTS!$B$32:$B$76, $C148))</f>
        <v>573606.87260624988</v>
      </c>
      <c r="H148" s="171" cm="1">
        <f t="array" ref="H148">_xlfn.IFS($K148=  "Per Pupil",           H$57*SUMIFS(INPUTS!H$32:H$76, INPUTS!$B$32:$B$76, $C148),
     $K148=  "Per Pupil - EL",      H$66*SUMIFS(INPUTS!H$32:H$76, INPUTS!$B$32:$B$76, $C148),
     $K148=  "Per Pupil - SPED",    H$61*SUMIFS(INPUTS!H$32:H$76, INPUTS!$B$32:$B$76, $C148),
     $K148=  "Direct",                   SUMIFS(INPUTS!H$32:H$76, INPUTS!$B$32:$B$76, $C148),
     $K148=  "Average Cash on Hand",     SUMIFS(INPUTS!H$32:H$76, INPUTS!$B$32:$B$76, $C148))</f>
        <v>658151.53774256224</v>
      </c>
      <c r="I148" s="171" cm="1">
        <f t="array" ref="I148">_xlfn.IFS($K148=  "Per Pupil",           I$57*SUMIFS(INPUTS!I$32:I$76, INPUTS!$B$32:$B$76, $C148),
     $K148=  "Per Pupil - EL",      I$66*SUMIFS(INPUTS!I$32:I$76, INPUTS!$B$32:$B$76, $C148),
     $K148=  "Per Pupil - SPED",    I$61*SUMIFS(INPUTS!I$32:I$76, INPUTS!$B$32:$B$76, $C148),
     $K148=  "Direct",                   SUMIFS(INPUTS!I$32:I$76, INPUTS!$B$32:$B$76, $C148),
     $K148=  "Average Cash on Hand",     SUMIFS(INPUTS!I$32:I$76, INPUTS!$B$32:$B$76, $C148))</f>
        <v>668023.81080870063</v>
      </c>
      <c r="J148"/>
      <c r="K148" s="235" t="str">
        <f>INPUTS!C62</f>
        <v>Per Pupil</v>
      </c>
      <c r="L148" s="235" t="str">
        <f>INPUTS!J62</f>
        <v>Recurring</v>
      </c>
      <c r="M148" s="235" t="str">
        <f>INPUTS!K62</f>
        <v>Operating</v>
      </c>
      <c r="N148" s="1"/>
      <c r="O148" s="748"/>
    </row>
    <row r="149" spans="1:15" s="529" customFormat="1" outlineLevel="1">
      <c r="A149" s="747"/>
      <c r="B149" s="374" t="str">
        <f>INPUTS!L63</f>
        <v>Federal</v>
      </c>
      <c r="C149" s="236" t="str">
        <f>INPUTS!B63</f>
        <v>All Other 6000 - FEDERAL REVENUE - SPECIAL PURPOSE</v>
      </c>
      <c r="D149" s="171" cm="1">
        <f t="array" ref="D149">_xlfn.IFS($K149=  "Per Pupil",           D$57*SUMIFS(INPUTS!D$32:D$76, INPUTS!$B$32:$B$76, $C149),
     $K149=  "Per Pupil - EL",      D$66*SUMIFS(INPUTS!D$32:D$76, INPUTS!$B$32:$B$76, $C149),
     $K149=  "Per Pupil - SPED",    D$61*SUMIFS(INPUTS!D$32:D$76, INPUTS!$B$32:$B$76, $C149),
     $K149=  "Direct",                   SUMIFS(INPUTS!D$32:D$76, INPUTS!$B$32:$B$76, $C149),
     $K149=  "Average Cash on Hand",     SUMIFS(INPUTS!D$32:D$76, INPUTS!$B$32:$B$76, $C149))</f>
        <v>0</v>
      </c>
      <c r="E149" s="171" cm="1">
        <f t="array" ref="E149">_xlfn.IFS($K149=  "Per Pupil",           E$57*SUMIFS(INPUTS!E$32:E$76, INPUTS!$B$32:$B$76, $C149),
     $K149=  "Per Pupil - EL",      E$66*SUMIFS(INPUTS!E$32:E$76, INPUTS!$B$32:$B$76, $C149),
     $K149=  "Per Pupil - SPED",    E$61*SUMIFS(INPUTS!E$32:E$76, INPUTS!$B$32:$B$76, $C149),
     $K149=  "Direct",                   SUMIFS(INPUTS!E$32:E$76, INPUTS!$B$32:$B$76, $C149),
     $K149=  "Average Cash on Hand",     SUMIFS(INPUTS!E$32:E$76, INPUTS!$B$32:$B$76, $C149))</f>
        <v>0</v>
      </c>
      <c r="F149" s="171" cm="1">
        <f t="array" ref="F149">_xlfn.IFS($K149=  "Per Pupil",           F$57*SUMIFS(INPUTS!F$32:F$76, INPUTS!$B$32:$B$76, $C149),
     $K149=  "Per Pupil - EL",      F$66*SUMIFS(INPUTS!F$32:F$76, INPUTS!$B$32:$B$76, $C149),
     $K149=  "Per Pupil - SPED",    F$61*SUMIFS(INPUTS!F$32:F$76, INPUTS!$B$32:$B$76, $C149),
     $K149=  "Direct",                   SUMIFS(INPUTS!F$32:F$76, INPUTS!$B$32:$B$76, $C149),
     $K149=  "Average Cash on Hand",     SUMIFS(INPUTS!F$32:F$76, INPUTS!$B$32:$B$76, $C149))</f>
        <v>0</v>
      </c>
      <c r="G149" s="171" cm="1">
        <f t="array" ref="G149">_xlfn.IFS($K149=  "Per Pupil",           G$57*SUMIFS(INPUTS!G$32:G$76, INPUTS!$B$32:$B$76, $C149),
     $K149=  "Per Pupil - EL",      G$66*SUMIFS(INPUTS!G$32:G$76, INPUTS!$B$32:$B$76, $C149),
     $K149=  "Per Pupil - SPED",    G$61*SUMIFS(INPUTS!G$32:G$76, INPUTS!$B$32:$B$76, $C149),
     $K149=  "Direct",                   SUMIFS(INPUTS!G$32:G$76, INPUTS!$B$32:$B$76, $C149),
     $K149=  "Average Cash on Hand",     SUMIFS(INPUTS!G$32:G$76, INPUTS!$B$32:$B$76, $C149))</f>
        <v>0</v>
      </c>
      <c r="H149" s="171" cm="1">
        <f t="array" ref="H149">_xlfn.IFS($K149=  "Per Pupil",           H$57*SUMIFS(INPUTS!H$32:H$76, INPUTS!$B$32:$B$76, $C149),
     $K149=  "Per Pupil - EL",      H$66*SUMIFS(INPUTS!H$32:H$76, INPUTS!$B$32:$B$76, $C149),
     $K149=  "Per Pupil - SPED",    H$61*SUMIFS(INPUTS!H$32:H$76, INPUTS!$B$32:$B$76, $C149),
     $K149=  "Direct",                   SUMIFS(INPUTS!H$32:H$76, INPUTS!$B$32:$B$76, $C149),
     $K149=  "Average Cash on Hand",     SUMIFS(INPUTS!H$32:H$76, INPUTS!$B$32:$B$76, $C149))</f>
        <v>0</v>
      </c>
      <c r="I149" s="171" cm="1">
        <f t="array" ref="I149">_xlfn.IFS($K149=  "Per Pupil",           I$57*SUMIFS(INPUTS!I$32:I$76, INPUTS!$B$32:$B$76, $C149),
     $K149=  "Per Pupil - EL",      I$66*SUMIFS(INPUTS!I$32:I$76, INPUTS!$B$32:$B$76, $C149),
     $K149=  "Per Pupil - SPED",    I$61*SUMIFS(INPUTS!I$32:I$76, INPUTS!$B$32:$B$76, $C149),
     $K149=  "Direct",                   SUMIFS(INPUTS!I$32:I$76, INPUTS!$B$32:$B$76, $C149),
     $K149=  "Average Cash on Hand",     SUMIFS(INPUTS!I$32:I$76, INPUTS!$B$32:$B$76, $C149))</f>
        <v>0</v>
      </c>
      <c r="J149"/>
      <c r="K149" s="235" t="str">
        <f>INPUTS!C63</f>
        <v>Direct</v>
      </c>
      <c r="L149" s="235" t="str">
        <f>INPUTS!J63</f>
        <v>Non-Recurring</v>
      </c>
      <c r="M149" s="235" t="str">
        <f>INPUTS!K63</f>
        <v>Non-Operating</v>
      </c>
      <c r="N149" s="1"/>
      <c r="O149" s="748"/>
    </row>
    <row r="150" spans="1:15" s="529" customFormat="1" outlineLevel="1">
      <c r="A150" s="747"/>
      <c r="B150" s="844"/>
      <c r="C150" s="843" t="str">
        <f>INPUTS!B64</f>
        <v>6000 - FEDERAL REVENUE - SPECIAL PURPOSE</v>
      </c>
      <c r="D150" s="845">
        <f>SUM(D147:D149)</f>
        <v>0</v>
      </c>
      <c r="E150" s="845">
        <f t="shared" ref="E150:I150" si="38">SUM(E147:E149)</f>
        <v>210662</v>
      </c>
      <c r="F150" s="845">
        <f t="shared" si="38"/>
        <v>410133.85999999993</v>
      </c>
      <c r="G150" s="845">
        <f t="shared" si="38"/>
        <v>590606.87260624988</v>
      </c>
      <c r="H150" s="845">
        <f t="shared" si="38"/>
        <v>675151.53774256224</v>
      </c>
      <c r="I150" s="845">
        <f t="shared" si="38"/>
        <v>685023.81080870063</v>
      </c>
      <c r="J150"/>
      <c r="K150" s="845"/>
      <c r="L150" s="845"/>
      <c r="M150" s="845"/>
      <c r="N150" s="1"/>
      <c r="O150" s="748"/>
    </row>
    <row r="151" spans="1:15" s="529" customFormat="1" outlineLevel="1">
      <c r="A151" s="747"/>
      <c r="B151" s="374" t="str">
        <f>INPUTS!L65</f>
        <v>State &amp; Local</v>
      </c>
      <c r="C151" s="236" t="str">
        <f>INPUTS!B65</f>
        <v xml:space="preserve">7100 - Program Participation, Unassigned </v>
      </c>
      <c r="D151" s="171" cm="1">
        <f t="array" ref="D151">_xlfn.IFS($K151=  "Per Pupil",           D$57*SUMIFS(INPUTS!D$32:D$76, INPUTS!$B$32:$B$76, $C151),
     $K151=  "Per Pupil - EL",      D$66*SUMIFS(INPUTS!D$32:D$76, INPUTS!$B$32:$B$76, $C151),
     $K151=  "Per Pupil - SPED",    D$61*SUMIFS(INPUTS!D$32:D$76, INPUTS!$B$32:$B$76, $C151),
     $K151=  "Direct",                   SUMIFS(INPUTS!D$32:D$76, INPUTS!$B$32:$B$76, $C151),
     $K151=  "Average Cash on Hand",     SUMIFS(INPUTS!D$32:D$76, INPUTS!$B$32:$B$76, $C151))</f>
        <v>0</v>
      </c>
      <c r="E151" s="171" cm="1">
        <f t="array" ref="E151">_xlfn.IFS($K151=  "Per Pupil",           E$57*SUMIFS(INPUTS!E$32:E$76, INPUTS!$B$32:$B$76, $C151),
     $K151=  "Per Pupil - EL",      E$66*SUMIFS(INPUTS!E$32:E$76, INPUTS!$B$32:$B$76, $C151),
     $K151=  "Per Pupil - SPED",    E$61*SUMIFS(INPUTS!E$32:E$76, INPUTS!$B$32:$B$76, $C151),
     $K151=  "Direct",                   SUMIFS(INPUTS!E$32:E$76, INPUTS!$B$32:$B$76, $C151),
     $K151=  "Average Cash on Hand",     SUMIFS(INPUTS!E$32:E$76, INPUTS!$B$32:$B$76, $C151))</f>
        <v>0</v>
      </c>
      <c r="F151" s="171" cm="1">
        <f t="array" ref="F151">_xlfn.IFS($K151=  "Per Pupil",           F$57*SUMIFS(INPUTS!F$32:F$76, INPUTS!$B$32:$B$76, $C151),
     $K151=  "Per Pupil - EL",      F$66*SUMIFS(INPUTS!F$32:F$76, INPUTS!$B$32:$B$76, $C151),
     $K151=  "Per Pupil - SPED",    F$61*SUMIFS(INPUTS!F$32:F$76, INPUTS!$B$32:$B$76, $C151),
     $K151=  "Direct",                   SUMIFS(INPUTS!F$32:F$76, INPUTS!$B$32:$B$76, $C151),
     $K151=  "Average Cash on Hand",     SUMIFS(INPUTS!F$32:F$76, INPUTS!$B$32:$B$76, $C151))</f>
        <v>0</v>
      </c>
      <c r="G151" s="171" cm="1">
        <f t="array" ref="G151">_xlfn.IFS($K151=  "Per Pupil",           G$57*SUMIFS(INPUTS!G$32:G$76, INPUTS!$B$32:$B$76, $C151),
     $K151=  "Per Pupil - EL",      G$66*SUMIFS(INPUTS!G$32:G$76, INPUTS!$B$32:$B$76, $C151),
     $K151=  "Per Pupil - SPED",    G$61*SUMIFS(INPUTS!G$32:G$76, INPUTS!$B$32:$B$76, $C151),
     $K151=  "Direct",                   SUMIFS(INPUTS!G$32:G$76, INPUTS!$B$32:$B$76, $C151),
     $K151=  "Average Cash on Hand",     SUMIFS(INPUTS!G$32:G$76, INPUTS!$B$32:$B$76, $C151))</f>
        <v>0</v>
      </c>
      <c r="H151" s="171" cm="1">
        <f t="array" ref="H151">_xlfn.IFS($K151=  "Per Pupil",           H$57*SUMIFS(INPUTS!H$32:H$76, INPUTS!$B$32:$B$76, $C151),
     $K151=  "Per Pupil - EL",      H$66*SUMIFS(INPUTS!H$32:H$76, INPUTS!$B$32:$B$76, $C151),
     $K151=  "Per Pupil - SPED",    H$61*SUMIFS(INPUTS!H$32:H$76, INPUTS!$B$32:$B$76, $C151),
     $K151=  "Direct",                   SUMIFS(INPUTS!H$32:H$76, INPUTS!$B$32:$B$76, $C151),
     $K151=  "Average Cash on Hand",     SUMIFS(INPUTS!H$32:H$76, INPUTS!$B$32:$B$76, $C151))</f>
        <v>0</v>
      </c>
      <c r="I151" s="171" cm="1">
        <f t="array" ref="I151">_xlfn.IFS($K151=  "Per Pupil",           I$57*SUMIFS(INPUTS!I$32:I$76, INPUTS!$B$32:$B$76, $C151),
     $K151=  "Per Pupil - EL",      I$66*SUMIFS(INPUTS!I$32:I$76, INPUTS!$B$32:$B$76, $C151),
     $K151=  "Per Pupil - SPED",    I$61*SUMIFS(INPUTS!I$32:I$76, INPUTS!$B$32:$B$76, $C151),
     $K151=  "Direct",                   SUMIFS(INPUTS!I$32:I$76, INPUTS!$B$32:$B$76, $C151),
     $K151=  "Average Cash on Hand",     SUMIFS(INPUTS!I$32:I$76, INPUTS!$B$32:$B$76, $C151))</f>
        <v>0</v>
      </c>
      <c r="J151"/>
      <c r="K151" s="235" t="str">
        <f>INPUTS!C65</f>
        <v>Direct</v>
      </c>
      <c r="L151" s="235" t="str">
        <f>INPUTS!J65</f>
        <v>Non-Recurring</v>
      </c>
      <c r="M151" s="235" t="str">
        <f>INPUTS!K65</f>
        <v>Non-Operating</v>
      </c>
      <c r="N151" s="1"/>
      <c r="O151" s="748"/>
    </row>
    <row r="152" spans="1:15" s="529" customFormat="1" outlineLevel="1">
      <c r="A152" s="747"/>
      <c r="B152" s="374" t="str">
        <f>INPUTS!L66</f>
        <v>State &amp; Local</v>
      </c>
      <c r="C152" s="236" t="str">
        <f>INPUTS!B66</f>
        <v>All Other 7000 - OTHER SCHOOL DISTRICTS</v>
      </c>
      <c r="D152" s="171" cm="1">
        <f t="array" ref="D152">_xlfn.IFS($K152=  "Per Pupil",           D$57*SUMIFS(INPUTS!D$32:D$76, INPUTS!$B$32:$B$76, $C152),
     $K152=  "Per Pupil - EL",      D$66*SUMIFS(INPUTS!D$32:D$76, INPUTS!$B$32:$B$76, $C152),
     $K152=  "Per Pupil - SPED",    D$61*SUMIFS(INPUTS!D$32:D$76, INPUTS!$B$32:$B$76, $C152),
     $K152=  "Direct",                   SUMIFS(INPUTS!D$32:D$76, INPUTS!$B$32:$B$76, $C152),
     $K152=  "Average Cash on Hand",     SUMIFS(INPUTS!D$32:D$76, INPUTS!$B$32:$B$76, $C152))</f>
        <v>0</v>
      </c>
      <c r="E152" s="171" cm="1">
        <f t="array" ref="E152">_xlfn.IFS($K152=  "Per Pupil",           E$57*SUMIFS(INPUTS!E$32:E$76, INPUTS!$B$32:$B$76, $C152),
     $K152=  "Per Pupil - EL",      E$66*SUMIFS(INPUTS!E$32:E$76, INPUTS!$B$32:$B$76, $C152),
     $K152=  "Per Pupil - SPED",    E$61*SUMIFS(INPUTS!E$32:E$76, INPUTS!$B$32:$B$76, $C152),
     $K152=  "Direct",                   SUMIFS(INPUTS!E$32:E$76, INPUTS!$B$32:$B$76, $C152),
     $K152=  "Average Cash on Hand",     SUMIFS(INPUTS!E$32:E$76, INPUTS!$B$32:$B$76, $C152))</f>
        <v>0</v>
      </c>
      <c r="F152" s="171" cm="1">
        <f t="array" ref="F152">_xlfn.IFS($K152=  "Per Pupil",           F$57*SUMIFS(INPUTS!F$32:F$76, INPUTS!$B$32:$B$76, $C152),
     $K152=  "Per Pupil - EL",      F$66*SUMIFS(INPUTS!F$32:F$76, INPUTS!$B$32:$B$76, $C152),
     $K152=  "Per Pupil - SPED",    F$61*SUMIFS(INPUTS!F$32:F$76, INPUTS!$B$32:$B$76, $C152),
     $K152=  "Direct",                   SUMIFS(INPUTS!F$32:F$76, INPUTS!$B$32:$B$76, $C152),
     $K152=  "Average Cash on Hand",     SUMIFS(INPUTS!F$32:F$76, INPUTS!$B$32:$B$76, $C152))</f>
        <v>0</v>
      </c>
      <c r="G152" s="171" cm="1">
        <f t="array" ref="G152">_xlfn.IFS($K152=  "Per Pupil",           G$57*SUMIFS(INPUTS!G$32:G$76, INPUTS!$B$32:$B$76, $C152),
     $K152=  "Per Pupil - EL",      G$66*SUMIFS(INPUTS!G$32:G$76, INPUTS!$B$32:$B$76, $C152),
     $K152=  "Per Pupil - SPED",    G$61*SUMIFS(INPUTS!G$32:G$76, INPUTS!$B$32:$B$76, $C152),
     $K152=  "Direct",                   SUMIFS(INPUTS!G$32:G$76, INPUTS!$B$32:$B$76, $C152),
     $K152=  "Average Cash on Hand",     SUMIFS(INPUTS!G$32:G$76, INPUTS!$B$32:$B$76, $C152))</f>
        <v>0</v>
      </c>
      <c r="H152" s="171" cm="1">
        <f t="array" ref="H152">_xlfn.IFS($K152=  "Per Pupil",           H$57*SUMIFS(INPUTS!H$32:H$76, INPUTS!$B$32:$B$76, $C152),
     $K152=  "Per Pupil - EL",      H$66*SUMIFS(INPUTS!H$32:H$76, INPUTS!$B$32:$B$76, $C152),
     $K152=  "Per Pupil - SPED",    H$61*SUMIFS(INPUTS!H$32:H$76, INPUTS!$B$32:$B$76, $C152),
     $K152=  "Direct",                   SUMIFS(INPUTS!H$32:H$76, INPUTS!$B$32:$B$76, $C152),
     $K152=  "Average Cash on Hand",     SUMIFS(INPUTS!H$32:H$76, INPUTS!$B$32:$B$76, $C152))</f>
        <v>0</v>
      </c>
      <c r="I152" s="171" cm="1">
        <f t="array" ref="I152">_xlfn.IFS($K152=  "Per Pupil",           I$57*SUMIFS(INPUTS!I$32:I$76, INPUTS!$B$32:$B$76, $C152),
     $K152=  "Per Pupil - EL",      I$66*SUMIFS(INPUTS!I$32:I$76, INPUTS!$B$32:$B$76, $C152),
     $K152=  "Per Pupil - SPED",    I$61*SUMIFS(INPUTS!I$32:I$76, INPUTS!$B$32:$B$76, $C152),
     $K152=  "Direct",                   SUMIFS(INPUTS!I$32:I$76, INPUTS!$B$32:$B$76, $C152),
     $K152=  "Average Cash on Hand",     SUMIFS(INPUTS!I$32:I$76, INPUTS!$B$32:$B$76, $C152))</f>
        <v>0</v>
      </c>
      <c r="J152"/>
      <c r="K152" s="235" t="str">
        <f>INPUTS!C66</f>
        <v>Direct</v>
      </c>
      <c r="L152" s="235" t="str">
        <f>INPUTS!J66</f>
        <v>Non-Recurring</v>
      </c>
      <c r="M152" s="235" t="str">
        <f>INPUTS!K66</f>
        <v>Non-Operating</v>
      </c>
      <c r="N152" s="1"/>
      <c r="O152" s="748"/>
    </row>
    <row r="153" spans="1:15" s="529" customFormat="1" outlineLevel="1">
      <c r="A153" s="747"/>
      <c r="B153" s="844"/>
      <c r="C153" s="843" t="str">
        <f>INPUTS!B67</f>
        <v>7000 - OTHER SCHOOL DISTRICTS</v>
      </c>
      <c r="D153" s="845">
        <f>SUM(D151:D152)</f>
        <v>0</v>
      </c>
      <c r="E153" s="845">
        <f t="shared" ref="E153:I153" si="39">SUM(E151:E152)</f>
        <v>0</v>
      </c>
      <c r="F153" s="845">
        <f t="shared" si="39"/>
        <v>0</v>
      </c>
      <c r="G153" s="845">
        <f t="shared" si="39"/>
        <v>0</v>
      </c>
      <c r="H153" s="845">
        <f t="shared" si="39"/>
        <v>0</v>
      </c>
      <c r="I153" s="845">
        <f t="shared" si="39"/>
        <v>0</v>
      </c>
      <c r="J153"/>
      <c r="K153" s="845"/>
      <c r="L153" s="845"/>
      <c r="M153" s="845"/>
      <c r="N153" s="1"/>
      <c r="O153" s="748"/>
    </row>
    <row r="154" spans="1:15" s="529" customFormat="1" outlineLevel="1">
      <c r="A154" s="747"/>
      <c r="B154" s="374" t="str">
        <f>INPUTS!L68</f>
        <v>Mixed</v>
      </c>
      <c r="C154" s="236" t="str">
        <f>INPUTS!B68</f>
        <v xml:space="preserve">8100 - Governmental Entities      </v>
      </c>
      <c r="D154" s="171" cm="1">
        <f t="array" ref="D154">_xlfn.IFS($K154=  "Per Pupil",           D$57*SUMIFS(INPUTS!D$32:D$76, INPUTS!$B$32:$B$76, $C154),
     $K154=  "Per Pupil - EL",      D$66*SUMIFS(INPUTS!D$32:D$76, INPUTS!$B$32:$B$76, $C154),
     $K154=  "Per Pupil - SPED",    D$61*SUMIFS(INPUTS!D$32:D$76, INPUTS!$B$32:$B$76, $C154),
     $K154=  "Direct",                   SUMIFS(INPUTS!D$32:D$76, INPUTS!$B$32:$B$76, $C154),
     $K154=  "Average Cash on Hand",     SUMIFS(INPUTS!D$32:D$76, INPUTS!$B$32:$B$76, $C154))</f>
        <v>0</v>
      </c>
      <c r="E154" s="171" cm="1">
        <f t="array" ref="E154">_xlfn.IFS($K154=  "Per Pupil",           E$57*SUMIFS(INPUTS!E$32:E$76, INPUTS!$B$32:$B$76, $C154),
     $K154=  "Per Pupil - EL",      E$66*SUMIFS(INPUTS!E$32:E$76, INPUTS!$B$32:$B$76, $C154),
     $K154=  "Per Pupil - SPED",    E$61*SUMIFS(INPUTS!E$32:E$76, INPUTS!$B$32:$B$76, $C154),
     $K154=  "Direct",                   SUMIFS(INPUTS!E$32:E$76, INPUTS!$B$32:$B$76, $C154),
     $K154=  "Average Cash on Hand",     SUMIFS(INPUTS!E$32:E$76, INPUTS!$B$32:$B$76, $C154))</f>
        <v>0</v>
      </c>
      <c r="F154" s="171" cm="1">
        <f t="array" ref="F154">_xlfn.IFS($K154=  "Per Pupil",           F$57*SUMIFS(INPUTS!F$32:F$76, INPUTS!$B$32:$B$76, $C154),
     $K154=  "Per Pupil - EL",      F$66*SUMIFS(INPUTS!F$32:F$76, INPUTS!$B$32:$B$76, $C154),
     $K154=  "Per Pupil - SPED",    F$61*SUMIFS(INPUTS!F$32:F$76, INPUTS!$B$32:$B$76, $C154),
     $K154=  "Direct",                   SUMIFS(INPUTS!F$32:F$76, INPUTS!$B$32:$B$76, $C154),
     $K154=  "Average Cash on Hand",     SUMIFS(INPUTS!F$32:F$76, INPUTS!$B$32:$B$76, $C154))</f>
        <v>0</v>
      </c>
      <c r="G154" s="171" cm="1">
        <f t="array" ref="G154">_xlfn.IFS($K154=  "Per Pupil",           G$57*SUMIFS(INPUTS!G$32:G$76, INPUTS!$B$32:$B$76, $C154),
     $K154=  "Per Pupil - EL",      G$66*SUMIFS(INPUTS!G$32:G$76, INPUTS!$B$32:$B$76, $C154),
     $K154=  "Per Pupil - SPED",    G$61*SUMIFS(INPUTS!G$32:G$76, INPUTS!$B$32:$B$76, $C154),
     $K154=  "Direct",                   SUMIFS(INPUTS!G$32:G$76, INPUTS!$B$32:$B$76, $C154),
     $K154=  "Average Cash on Hand",     SUMIFS(INPUTS!G$32:G$76, INPUTS!$B$32:$B$76, $C154))</f>
        <v>0</v>
      </c>
      <c r="H154" s="171" cm="1">
        <f t="array" ref="H154">_xlfn.IFS($K154=  "Per Pupil",           H$57*SUMIFS(INPUTS!H$32:H$76, INPUTS!$B$32:$B$76, $C154),
     $K154=  "Per Pupil - EL",      H$66*SUMIFS(INPUTS!H$32:H$76, INPUTS!$B$32:$B$76, $C154),
     $K154=  "Per Pupil - SPED",    H$61*SUMIFS(INPUTS!H$32:H$76, INPUTS!$B$32:$B$76, $C154),
     $K154=  "Direct",                   SUMIFS(INPUTS!H$32:H$76, INPUTS!$B$32:$B$76, $C154),
     $K154=  "Average Cash on Hand",     SUMIFS(INPUTS!H$32:H$76, INPUTS!$B$32:$B$76, $C154))</f>
        <v>0</v>
      </c>
      <c r="I154" s="171" cm="1">
        <f t="array" ref="I154">_xlfn.IFS($K154=  "Per Pupil",           I$57*SUMIFS(INPUTS!I$32:I$76, INPUTS!$B$32:$B$76, $C154),
     $K154=  "Per Pupil - EL",      I$66*SUMIFS(INPUTS!I$32:I$76, INPUTS!$B$32:$B$76, $C154),
     $K154=  "Per Pupil - SPED",    I$61*SUMIFS(INPUTS!I$32:I$76, INPUTS!$B$32:$B$76, $C154),
     $K154=  "Direct",                   SUMIFS(INPUTS!I$32:I$76, INPUTS!$B$32:$B$76, $C154),
     $K154=  "Average Cash on Hand",     SUMIFS(INPUTS!I$32:I$76, INPUTS!$B$32:$B$76, $C154))</f>
        <v>0</v>
      </c>
      <c r="J154"/>
      <c r="K154" s="235" t="str">
        <f>INPUTS!C68</f>
        <v>Direct</v>
      </c>
      <c r="L154" s="235" t="str">
        <f>INPUTS!J68</f>
        <v>Non-Recurring</v>
      </c>
      <c r="M154" s="235" t="str">
        <f>INPUTS!K68</f>
        <v>Non-Operating</v>
      </c>
      <c r="N154" s="1"/>
      <c r="O154" s="748"/>
    </row>
    <row r="155" spans="1:15" s="529" customFormat="1" outlineLevel="1">
      <c r="A155" s="747"/>
      <c r="B155" s="374" t="str">
        <f>INPUTS!L69</f>
        <v>Private</v>
      </c>
      <c r="C155" s="236" t="str">
        <f>INPUTS!B69</f>
        <v xml:space="preserve">8200 - Private Foundations  </v>
      </c>
      <c r="D155" s="171" cm="1">
        <f t="array" ref="D155">_xlfn.IFS($K155=  "Per Pupil",           D$57*SUMIFS(INPUTS!D$32:D$76, INPUTS!$B$32:$B$76, $C155),
     $K155=  "Per Pupil - EL",      D$66*SUMIFS(INPUTS!D$32:D$76, INPUTS!$B$32:$B$76, $C155),
     $K155=  "Per Pupil - SPED",    D$61*SUMIFS(INPUTS!D$32:D$76, INPUTS!$B$32:$B$76, $C155),
     $K155=  "Direct",                   SUMIFS(INPUTS!D$32:D$76, INPUTS!$B$32:$B$76, $C155),
     $K155=  "Average Cash on Hand",     SUMIFS(INPUTS!D$32:D$76, INPUTS!$B$32:$B$76, $C155))</f>
        <v>250000</v>
      </c>
      <c r="E155" s="171" cm="1">
        <f t="array" ref="E155">_xlfn.IFS($K155=  "Per Pupil",           E$57*SUMIFS(INPUTS!E$32:E$76, INPUTS!$B$32:$B$76, $C155),
     $K155=  "Per Pupil - EL",      E$66*SUMIFS(INPUTS!E$32:E$76, INPUTS!$B$32:$B$76, $C155),
     $K155=  "Per Pupil - SPED",    E$61*SUMIFS(INPUTS!E$32:E$76, INPUTS!$B$32:$B$76, $C155),
     $K155=  "Direct",                   SUMIFS(INPUTS!E$32:E$76, INPUTS!$B$32:$B$76, $C155),
     $K155=  "Average Cash on Hand",     SUMIFS(INPUTS!E$32:E$76, INPUTS!$B$32:$B$76, $C155))</f>
        <v>300000</v>
      </c>
      <c r="F155" s="171" cm="1">
        <f t="array" ref="F155">_xlfn.IFS($K155=  "Per Pupil",           F$57*SUMIFS(INPUTS!F$32:F$76, INPUTS!$B$32:$B$76, $C155),
     $K155=  "Per Pupil - EL",      F$66*SUMIFS(INPUTS!F$32:F$76, INPUTS!$B$32:$B$76, $C155),
     $K155=  "Per Pupil - SPED",    F$61*SUMIFS(INPUTS!F$32:F$76, INPUTS!$B$32:$B$76, $C155),
     $K155=  "Direct",                   SUMIFS(INPUTS!F$32:F$76, INPUTS!$B$32:$B$76, $C155),
     $K155=  "Average Cash on Hand",     SUMIFS(INPUTS!F$32:F$76, INPUTS!$B$32:$B$76, $C155))</f>
        <v>300000</v>
      </c>
      <c r="G155" s="171" cm="1">
        <f t="array" ref="G155">_xlfn.IFS($K155=  "Per Pupil",           G$57*SUMIFS(INPUTS!G$32:G$76, INPUTS!$B$32:$B$76, $C155),
     $K155=  "Per Pupil - EL",      G$66*SUMIFS(INPUTS!G$32:G$76, INPUTS!$B$32:$B$76, $C155),
     $K155=  "Per Pupil - SPED",    G$61*SUMIFS(INPUTS!G$32:G$76, INPUTS!$B$32:$B$76, $C155),
     $K155=  "Direct",                   SUMIFS(INPUTS!G$32:G$76, INPUTS!$B$32:$B$76, $C155),
     $K155=  "Average Cash on Hand",     SUMIFS(INPUTS!G$32:G$76, INPUTS!$B$32:$B$76, $C155))</f>
        <v>300000</v>
      </c>
      <c r="H155" s="171" cm="1">
        <f t="array" ref="H155">_xlfn.IFS($K155=  "Per Pupil",           H$57*SUMIFS(INPUTS!H$32:H$76, INPUTS!$B$32:$B$76, $C155),
     $K155=  "Per Pupil - EL",      H$66*SUMIFS(INPUTS!H$32:H$76, INPUTS!$B$32:$B$76, $C155),
     $K155=  "Per Pupil - SPED",    H$61*SUMIFS(INPUTS!H$32:H$76, INPUTS!$B$32:$B$76, $C155),
     $K155=  "Direct",                   SUMIFS(INPUTS!H$32:H$76, INPUTS!$B$32:$B$76, $C155),
     $K155=  "Average Cash on Hand",     SUMIFS(INPUTS!H$32:H$76, INPUTS!$B$32:$B$76, $C155))</f>
        <v>300000</v>
      </c>
      <c r="I155" s="171" cm="1">
        <f t="array" ref="I155">_xlfn.IFS($K155=  "Per Pupil",           I$57*SUMIFS(INPUTS!I$32:I$76, INPUTS!$B$32:$B$76, $C155),
     $K155=  "Per Pupil - EL",      I$66*SUMIFS(INPUTS!I$32:I$76, INPUTS!$B$32:$B$76, $C155),
     $K155=  "Per Pupil - SPED",    I$61*SUMIFS(INPUTS!I$32:I$76, INPUTS!$B$32:$B$76, $C155),
     $K155=  "Direct",                   SUMIFS(INPUTS!I$32:I$76, INPUTS!$B$32:$B$76, $C155),
     $K155=  "Average Cash on Hand",     SUMIFS(INPUTS!I$32:I$76, INPUTS!$B$32:$B$76, $C155))</f>
        <v>300000</v>
      </c>
      <c r="J155"/>
      <c r="K155" s="235" t="str">
        <f>INPUTS!C69</f>
        <v>Direct</v>
      </c>
      <c r="L155" s="235" t="str">
        <f>INPUTS!J69</f>
        <v>Non-Recurring</v>
      </c>
      <c r="M155" s="235" t="str">
        <f>INPUTS!K69</f>
        <v>Non-Operating</v>
      </c>
      <c r="N155" s="1"/>
      <c r="O155" s="748"/>
    </row>
    <row r="156" spans="1:15" s="529" customFormat="1" outlineLevel="1">
      <c r="A156" s="747"/>
      <c r="B156" s="374" t="str">
        <f>INPUTS!L70</f>
        <v>State &amp; Local</v>
      </c>
      <c r="C156" s="236" t="str">
        <f>INPUTS!B70</f>
        <v xml:space="preserve">8500 - Educational Service Districts   </v>
      </c>
      <c r="D156" s="171" cm="1">
        <f t="array" ref="D156">_xlfn.IFS($K156=  "Per Pupil",           D$57*SUMIFS(INPUTS!D$32:D$76, INPUTS!$B$32:$B$76, $C156),
     $K156=  "Per Pupil - EL",      D$66*SUMIFS(INPUTS!D$32:D$76, INPUTS!$B$32:$B$76, $C156),
     $K156=  "Per Pupil - SPED",    D$61*SUMIFS(INPUTS!D$32:D$76, INPUTS!$B$32:$B$76, $C156),
     $K156=  "Direct",                   SUMIFS(INPUTS!D$32:D$76, INPUTS!$B$32:$B$76, $C156),
     $K156=  "Average Cash on Hand",     SUMIFS(INPUTS!D$32:D$76, INPUTS!$B$32:$B$76, $C156))</f>
        <v>0</v>
      </c>
      <c r="E156" s="171" cm="1">
        <f t="array" ref="E156">_xlfn.IFS($K156=  "Per Pupil",           E$57*SUMIFS(INPUTS!E$32:E$76, INPUTS!$B$32:$B$76, $C156),
     $K156=  "Per Pupil - EL",      E$66*SUMIFS(INPUTS!E$32:E$76, INPUTS!$B$32:$B$76, $C156),
     $K156=  "Per Pupil - SPED",    E$61*SUMIFS(INPUTS!E$32:E$76, INPUTS!$B$32:$B$76, $C156),
     $K156=  "Direct",                   SUMIFS(INPUTS!E$32:E$76, INPUTS!$B$32:$B$76, $C156),
     $K156=  "Average Cash on Hand",     SUMIFS(INPUTS!E$32:E$76, INPUTS!$B$32:$B$76, $C156))</f>
        <v>0</v>
      </c>
      <c r="F156" s="171" cm="1">
        <f t="array" ref="F156">_xlfn.IFS($K156=  "Per Pupil",           F$57*SUMIFS(INPUTS!F$32:F$76, INPUTS!$B$32:$B$76, $C156),
     $K156=  "Per Pupil - EL",      F$66*SUMIFS(INPUTS!F$32:F$76, INPUTS!$B$32:$B$76, $C156),
     $K156=  "Per Pupil - SPED",    F$61*SUMIFS(INPUTS!F$32:F$76, INPUTS!$B$32:$B$76, $C156),
     $K156=  "Direct",                   SUMIFS(INPUTS!F$32:F$76, INPUTS!$B$32:$B$76, $C156),
     $K156=  "Average Cash on Hand",     SUMIFS(INPUTS!F$32:F$76, INPUTS!$B$32:$B$76, $C156))</f>
        <v>0</v>
      </c>
      <c r="G156" s="171" cm="1">
        <f t="array" ref="G156">_xlfn.IFS($K156=  "Per Pupil",           G$57*SUMIFS(INPUTS!G$32:G$76, INPUTS!$B$32:$B$76, $C156),
     $K156=  "Per Pupil - EL",      G$66*SUMIFS(INPUTS!G$32:G$76, INPUTS!$B$32:$B$76, $C156),
     $K156=  "Per Pupil - SPED",    G$61*SUMIFS(INPUTS!G$32:G$76, INPUTS!$B$32:$B$76, $C156),
     $K156=  "Direct",                   SUMIFS(INPUTS!G$32:G$76, INPUTS!$B$32:$B$76, $C156),
     $K156=  "Average Cash on Hand",     SUMIFS(INPUTS!G$32:G$76, INPUTS!$B$32:$B$76, $C156))</f>
        <v>0</v>
      </c>
      <c r="H156" s="171" cm="1">
        <f t="array" ref="H156">_xlfn.IFS($K156=  "Per Pupil",           H$57*SUMIFS(INPUTS!H$32:H$76, INPUTS!$B$32:$B$76, $C156),
     $K156=  "Per Pupil - EL",      H$66*SUMIFS(INPUTS!H$32:H$76, INPUTS!$B$32:$B$76, $C156),
     $K156=  "Per Pupil - SPED",    H$61*SUMIFS(INPUTS!H$32:H$76, INPUTS!$B$32:$B$76, $C156),
     $K156=  "Direct",                   SUMIFS(INPUTS!H$32:H$76, INPUTS!$B$32:$B$76, $C156),
     $K156=  "Average Cash on Hand",     SUMIFS(INPUTS!H$32:H$76, INPUTS!$B$32:$B$76, $C156))</f>
        <v>0</v>
      </c>
      <c r="I156" s="171" cm="1">
        <f t="array" ref="I156">_xlfn.IFS($K156=  "Per Pupil",           I$57*SUMIFS(INPUTS!I$32:I$76, INPUTS!$B$32:$B$76, $C156),
     $K156=  "Per Pupil - EL",      I$66*SUMIFS(INPUTS!I$32:I$76, INPUTS!$B$32:$B$76, $C156),
     $K156=  "Per Pupil - SPED",    I$61*SUMIFS(INPUTS!I$32:I$76, INPUTS!$B$32:$B$76, $C156),
     $K156=  "Direct",                   SUMIFS(INPUTS!I$32:I$76, INPUTS!$B$32:$B$76, $C156),
     $K156=  "Average Cash on Hand",     SUMIFS(INPUTS!I$32:I$76, INPUTS!$B$32:$B$76, $C156))</f>
        <v>0</v>
      </c>
      <c r="J156"/>
      <c r="K156" s="235" t="str">
        <f>INPUTS!C70</f>
        <v>Direct</v>
      </c>
      <c r="L156" s="235" t="str">
        <f>INPUTS!J70</f>
        <v>Non-Recurring</v>
      </c>
      <c r="M156" s="235" t="str">
        <f>INPUTS!K70</f>
        <v>Non-Operating</v>
      </c>
      <c r="N156" s="1"/>
      <c r="O156" s="748"/>
    </row>
    <row r="157" spans="1:15" s="529" customFormat="1" outlineLevel="1">
      <c r="A157" s="747"/>
      <c r="B157" s="374" t="str">
        <f>INPUTS!L71</f>
        <v>Mixed</v>
      </c>
      <c r="C157" s="236" t="str">
        <f>INPUTS!B71</f>
        <v>All Other 8000 - OTHER ENTITIES</v>
      </c>
      <c r="D157" s="171" cm="1">
        <f t="array" ref="D157">_xlfn.IFS($K157=  "Per Pupil",           D$57*SUMIFS(INPUTS!D$32:D$76, INPUTS!$B$32:$B$76, $C157),
     $K157=  "Per Pupil - EL",      D$66*SUMIFS(INPUTS!D$32:D$76, INPUTS!$B$32:$B$76, $C157),
     $K157=  "Per Pupil - SPED",    D$61*SUMIFS(INPUTS!D$32:D$76, INPUTS!$B$32:$B$76, $C157),
     $K157=  "Direct",                   SUMIFS(INPUTS!D$32:D$76, INPUTS!$B$32:$B$76, $C157),
     $K157=  "Average Cash on Hand",     SUMIFS(INPUTS!D$32:D$76, INPUTS!$B$32:$B$76, $C157))</f>
        <v>0</v>
      </c>
      <c r="E157" s="171" cm="1">
        <f t="array" ref="E157">_xlfn.IFS($K157=  "Per Pupil",           E$57*SUMIFS(INPUTS!E$32:E$76, INPUTS!$B$32:$B$76, $C157),
     $K157=  "Per Pupil - EL",      E$66*SUMIFS(INPUTS!E$32:E$76, INPUTS!$B$32:$B$76, $C157),
     $K157=  "Per Pupil - SPED",    E$61*SUMIFS(INPUTS!E$32:E$76, INPUTS!$B$32:$B$76, $C157),
     $K157=  "Direct",                   SUMIFS(INPUTS!E$32:E$76, INPUTS!$B$32:$B$76, $C157),
     $K157=  "Average Cash on Hand",     SUMIFS(INPUTS!E$32:E$76, INPUTS!$B$32:$B$76, $C157))</f>
        <v>0</v>
      </c>
      <c r="F157" s="171" cm="1">
        <f t="array" ref="F157">_xlfn.IFS($K157=  "Per Pupil",           F$57*SUMIFS(INPUTS!F$32:F$76, INPUTS!$B$32:$B$76, $C157),
     $K157=  "Per Pupil - EL",      F$66*SUMIFS(INPUTS!F$32:F$76, INPUTS!$B$32:$B$76, $C157),
     $K157=  "Per Pupil - SPED",    F$61*SUMIFS(INPUTS!F$32:F$76, INPUTS!$B$32:$B$76, $C157),
     $K157=  "Direct",                   SUMIFS(INPUTS!F$32:F$76, INPUTS!$B$32:$B$76, $C157),
     $K157=  "Average Cash on Hand",     SUMIFS(INPUTS!F$32:F$76, INPUTS!$B$32:$B$76, $C157))</f>
        <v>0</v>
      </c>
      <c r="G157" s="171" cm="1">
        <f t="array" ref="G157">_xlfn.IFS($K157=  "Per Pupil",           G$57*SUMIFS(INPUTS!G$32:G$76, INPUTS!$B$32:$B$76, $C157),
     $K157=  "Per Pupil - EL",      G$66*SUMIFS(INPUTS!G$32:G$76, INPUTS!$B$32:$B$76, $C157),
     $K157=  "Per Pupil - SPED",    G$61*SUMIFS(INPUTS!G$32:G$76, INPUTS!$B$32:$B$76, $C157),
     $K157=  "Direct",                   SUMIFS(INPUTS!G$32:G$76, INPUTS!$B$32:$B$76, $C157),
     $K157=  "Average Cash on Hand",     SUMIFS(INPUTS!G$32:G$76, INPUTS!$B$32:$B$76, $C157))</f>
        <v>0</v>
      </c>
      <c r="H157" s="171" cm="1">
        <f t="array" ref="H157">_xlfn.IFS($K157=  "Per Pupil",           H$57*SUMIFS(INPUTS!H$32:H$76, INPUTS!$B$32:$B$76, $C157),
     $K157=  "Per Pupil - EL",      H$66*SUMIFS(INPUTS!H$32:H$76, INPUTS!$B$32:$B$76, $C157),
     $K157=  "Per Pupil - SPED",    H$61*SUMIFS(INPUTS!H$32:H$76, INPUTS!$B$32:$B$76, $C157),
     $K157=  "Direct",                   SUMIFS(INPUTS!H$32:H$76, INPUTS!$B$32:$B$76, $C157),
     $K157=  "Average Cash on Hand",     SUMIFS(INPUTS!H$32:H$76, INPUTS!$B$32:$B$76, $C157))</f>
        <v>0</v>
      </c>
      <c r="I157" s="171" cm="1">
        <f t="array" ref="I157">_xlfn.IFS($K157=  "Per Pupil",           I$57*SUMIFS(INPUTS!I$32:I$76, INPUTS!$B$32:$B$76, $C157),
     $K157=  "Per Pupil - EL",      I$66*SUMIFS(INPUTS!I$32:I$76, INPUTS!$B$32:$B$76, $C157),
     $K157=  "Per Pupil - SPED",    I$61*SUMIFS(INPUTS!I$32:I$76, INPUTS!$B$32:$B$76, $C157),
     $K157=  "Direct",                   SUMIFS(INPUTS!I$32:I$76, INPUTS!$B$32:$B$76, $C157),
     $K157=  "Average Cash on Hand",     SUMIFS(INPUTS!I$32:I$76, INPUTS!$B$32:$B$76, $C157))</f>
        <v>0</v>
      </c>
      <c r="J157"/>
      <c r="K157" s="235" t="str">
        <f>INPUTS!C71</f>
        <v>Direct</v>
      </c>
      <c r="L157" s="235" t="str">
        <f>INPUTS!J71</f>
        <v>Non-Recurring</v>
      </c>
      <c r="M157" s="235" t="str">
        <f>INPUTS!K71</f>
        <v>Non-Operating</v>
      </c>
      <c r="N157" s="1"/>
      <c r="O157" s="748"/>
    </row>
    <row r="158" spans="1:15" s="529" customFormat="1" outlineLevel="1">
      <c r="A158" s="747"/>
      <c r="B158" s="844"/>
      <c r="C158" s="843" t="str">
        <f>INPUTS!B72</f>
        <v>8000 - OTHER ENTITIES</v>
      </c>
      <c r="D158" s="845">
        <f>SUM(D154:D157)</f>
        <v>250000</v>
      </c>
      <c r="E158" s="845">
        <f t="shared" ref="E158:I158" si="40">SUM(E154:E157)</f>
        <v>300000</v>
      </c>
      <c r="F158" s="845">
        <f t="shared" si="40"/>
        <v>300000</v>
      </c>
      <c r="G158" s="845">
        <f t="shared" si="40"/>
        <v>300000</v>
      </c>
      <c r="H158" s="845">
        <f t="shared" si="40"/>
        <v>300000</v>
      </c>
      <c r="I158" s="845">
        <f t="shared" si="40"/>
        <v>300000</v>
      </c>
      <c r="J158"/>
      <c r="K158" s="845"/>
      <c r="L158" s="845"/>
      <c r="M158" s="845"/>
      <c r="N158" s="1"/>
      <c r="O158" s="748"/>
    </row>
    <row r="159" spans="1:15" s="529" customFormat="1" outlineLevel="1">
      <c r="A159" s="747"/>
      <c r="B159" s="374" t="str">
        <f>INPUTS!L73</f>
        <v>State &amp; Local</v>
      </c>
      <c r="C159" s="236" t="str">
        <f>INPUTS!B73</f>
        <v xml:space="preserve">9500 - Long-Term Financing      </v>
      </c>
      <c r="D159" s="171" cm="1">
        <f t="array" ref="D159">_xlfn.IFS($K159=  "Per Pupil",           D$57*SUMIFS(INPUTS!D$32:D$76, INPUTS!$B$32:$B$76, $C159),
     $K159=  "Per Pupil - EL",      D$66*SUMIFS(INPUTS!D$32:D$76, INPUTS!$B$32:$B$76, $C159),
     $K159=  "Per Pupil - SPED",    D$61*SUMIFS(INPUTS!D$32:D$76, INPUTS!$B$32:$B$76, $C159),
     $K159=  "Direct",                   SUMIFS(INPUTS!D$32:D$76, INPUTS!$B$32:$B$76, $C159),
     $K159=  "Average Cash on Hand",     SUMIFS(INPUTS!D$32:D$76, INPUTS!$B$32:$B$76, $C159))</f>
        <v>0</v>
      </c>
      <c r="E159" s="171" cm="1">
        <f t="array" ref="E159">_xlfn.IFS($K159=  "Per Pupil",           E$57*SUMIFS(INPUTS!E$32:E$76, INPUTS!$B$32:$B$76, $C159),
     $K159=  "Per Pupil - EL",      E$66*SUMIFS(INPUTS!E$32:E$76, INPUTS!$B$32:$B$76, $C159),
     $K159=  "Per Pupil - SPED",    E$61*SUMIFS(INPUTS!E$32:E$76, INPUTS!$B$32:$B$76, $C159),
     $K159=  "Direct",                   SUMIFS(INPUTS!E$32:E$76, INPUTS!$B$32:$B$76, $C159),
     $K159=  "Average Cash on Hand",     SUMIFS(INPUTS!E$32:E$76, INPUTS!$B$32:$B$76, $C159))</f>
        <v>0</v>
      </c>
      <c r="F159" s="171" cm="1">
        <f t="array" ref="F159">_xlfn.IFS($K159=  "Per Pupil",           F$57*SUMIFS(INPUTS!F$32:F$76, INPUTS!$B$32:$B$76, $C159),
     $K159=  "Per Pupil - EL",      F$66*SUMIFS(INPUTS!F$32:F$76, INPUTS!$B$32:$B$76, $C159),
     $K159=  "Per Pupil - SPED",    F$61*SUMIFS(INPUTS!F$32:F$76, INPUTS!$B$32:$B$76, $C159),
     $K159=  "Direct",                   SUMIFS(INPUTS!F$32:F$76, INPUTS!$B$32:$B$76, $C159),
     $K159=  "Average Cash on Hand",     SUMIFS(INPUTS!F$32:F$76, INPUTS!$B$32:$B$76, $C159))</f>
        <v>0</v>
      </c>
      <c r="G159" s="171" cm="1">
        <f t="array" ref="G159">_xlfn.IFS($K159=  "Per Pupil",           G$57*SUMIFS(INPUTS!G$32:G$76, INPUTS!$B$32:$B$76, $C159),
     $K159=  "Per Pupil - EL",      G$66*SUMIFS(INPUTS!G$32:G$76, INPUTS!$B$32:$B$76, $C159),
     $K159=  "Per Pupil - SPED",    G$61*SUMIFS(INPUTS!G$32:G$76, INPUTS!$B$32:$B$76, $C159),
     $K159=  "Direct",                   SUMIFS(INPUTS!G$32:G$76, INPUTS!$B$32:$B$76, $C159),
     $K159=  "Average Cash on Hand",     SUMIFS(INPUTS!G$32:G$76, INPUTS!$B$32:$B$76, $C159))</f>
        <v>0</v>
      </c>
      <c r="H159" s="171" cm="1">
        <f t="array" ref="H159">_xlfn.IFS($K159=  "Per Pupil",           H$57*SUMIFS(INPUTS!H$32:H$76, INPUTS!$B$32:$B$76, $C159),
     $K159=  "Per Pupil - EL",      H$66*SUMIFS(INPUTS!H$32:H$76, INPUTS!$B$32:$B$76, $C159),
     $K159=  "Per Pupil - SPED",    H$61*SUMIFS(INPUTS!H$32:H$76, INPUTS!$B$32:$B$76, $C159),
     $K159=  "Direct",                   SUMIFS(INPUTS!H$32:H$76, INPUTS!$B$32:$B$76, $C159),
     $K159=  "Average Cash on Hand",     SUMIFS(INPUTS!H$32:H$76, INPUTS!$B$32:$B$76, $C159))</f>
        <v>0</v>
      </c>
      <c r="I159" s="171" cm="1">
        <f t="array" ref="I159">_xlfn.IFS($K159=  "Per Pupil",           I$57*SUMIFS(INPUTS!I$32:I$76, INPUTS!$B$32:$B$76, $C159),
     $K159=  "Per Pupil - EL",      I$66*SUMIFS(INPUTS!I$32:I$76, INPUTS!$B$32:$B$76, $C159),
     $K159=  "Per Pupil - SPED",    I$61*SUMIFS(INPUTS!I$32:I$76, INPUTS!$B$32:$B$76, $C159),
     $K159=  "Direct",                   SUMIFS(INPUTS!I$32:I$76, INPUTS!$B$32:$B$76, $C159),
     $K159=  "Average Cash on Hand",     SUMIFS(INPUTS!I$32:I$76, INPUTS!$B$32:$B$76, $C159))</f>
        <v>0</v>
      </c>
      <c r="J159"/>
      <c r="K159" s="235" t="str">
        <f>INPUTS!C73</f>
        <v>Direct</v>
      </c>
      <c r="L159" s="235" t="str">
        <f>INPUTS!J73</f>
        <v>Non-Recurring</v>
      </c>
      <c r="M159" s="235" t="str">
        <f>INPUTS!K73</f>
        <v>Non-Operating</v>
      </c>
      <c r="N159" s="1"/>
      <c r="O159" s="748"/>
    </row>
    <row r="160" spans="1:15" s="529" customFormat="1" outlineLevel="1">
      <c r="A160" s="747"/>
      <c r="B160" s="374" t="str">
        <f>INPUTS!L74</f>
        <v>State &amp; Local</v>
      </c>
      <c r="C160" s="236" t="str">
        <f>INPUTS!B74</f>
        <v>9900 - Transfers</v>
      </c>
      <c r="D160" s="171" cm="1">
        <f t="array" ref="D160">_xlfn.IFS($K160=  "Per Pupil",           D$57*SUMIFS(INPUTS!D$32:D$76, INPUTS!$B$32:$B$76, $C160),
     $K160=  "Per Pupil - EL",      D$66*SUMIFS(INPUTS!D$32:D$76, INPUTS!$B$32:$B$76, $C160),
     $K160=  "Per Pupil - SPED",    D$61*SUMIFS(INPUTS!D$32:D$76, INPUTS!$B$32:$B$76, $C160),
     $K160=  "Direct",                   SUMIFS(INPUTS!D$32:D$76, INPUTS!$B$32:$B$76, $C160),
     $K160=  "Average Cash on Hand",     SUMIFS(INPUTS!D$32:D$76, INPUTS!$B$32:$B$76, $C160))</f>
        <v>0</v>
      </c>
      <c r="E160" s="171" cm="1">
        <f t="array" ref="E160">_xlfn.IFS($K160=  "Per Pupil",           E$57*SUMIFS(INPUTS!E$32:E$76, INPUTS!$B$32:$B$76, $C160),
     $K160=  "Per Pupil - EL",      E$66*SUMIFS(INPUTS!E$32:E$76, INPUTS!$B$32:$B$76, $C160),
     $K160=  "Per Pupil - SPED",    E$61*SUMIFS(INPUTS!E$32:E$76, INPUTS!$B$32:$B$76, $C160),
     $K160=  "Direct",                   SUMIFS(INPUTS!E$32:E$76, INPUTS!$B$32:$B$76, $C160),
     $K160=  "Average Cash on Hand",     SUMIFS(INPUTS!E$32:E$76, INPUTS!$B$32:$B$76, $C160))</f>
        <v>0</v>
      </c>
      <c r="F160" s="171" cm="1">
        <f t="array" ref="F160">_xlfn.IFS($K160=  "Per Pupil",           F$57*SUMIFS(INPUTS!F$32:F$76, INPUTS!$B$32:$B$76, $C160),
     $K160=  "Per Pupil - EL",      F$66*SUMIFS(INPUTS!F$32:F$76, INPUTS!$B$32:$B$76, $C160),
     $K160=  "Per Pupil - SPED",    F$61*SUMIFS(INPUTS!F$32:F$76, INPUTS!$B$32:$B$76, $C160),
     $K160=  "Direct",                   SUMIFS(INPUTS!F$32:F$76, INPUTS!$B$32:$B$76, $C160),
     $K160=  "Average Cash on Hand",     SUMIFS(INPUTS!F$32:F$76, INPUTS!$B$32:$B$76, $C160))</f>
        <v>0</v>
      </c>
      <c r="G160" s="171" cm="1">
        <f t="array" ref="G160">_xlfn.IFS($K160=  "Per Pupil",           G$57*SUMIFS(INPUTS!G$32:G$76, INPUTS!$B$32:$B$76, $C160),
     $K160=  "Per Pupil - EL",      G$66*SUMIFS(INPUTS!G$32:G$76, INPUTS!$B$32:$B$76, $C160),
     $K160=  "Per Pupil - SPED",    G$61*SUMIFS(INPUTS!G$32:G$76, INPUTS!$B$32:$B$76, $C160),
     $K160=  "Direct",                   SUMIFS(INPUTS!G$32:G$76, INPUTS!$B$32:$B$76, $C160),
     $K160=  "Average Cash on Hand",     SUMIFS(INPUTS!G$32:G$76, INPUTS!$B$32:$B$76, $C160))</f>
        <v>0</v>
      </c>
      <c r="H160" s="171" cm="1">
        <f t="array" ref="H160">_xlfn.IFS($K160=  "Per Pupil",           H$57*SUMIFS(INPUTS!H$32:H$76, INPUTS!$B$32:$B$76, $C160),
     $K160=  "Per Pupil - EL",      H$66*SUMIFS(INPUTS!H$32:H$76, INPUTS!$B$32:$B$76, $C160),
     $K160=  "Per Pupil - SPED",    H$61*SUMIFS(INPUTS!H$32:H$76, INPUTS!$B$32:$B$76, $C160),
     $K160=  "Direct",                   SUMIFS(INPUTS!H$32:H$76, INPUTS!$B$32:$B$76, $C160),
     $K160=  "Average Cash on Hand",     SUMIFS(INPUTS!H$32:H$76, INPUTS!$B$32:$B$76, $C160))</f>
        <v>0</v>
      </c>
      <c r="I160" s="171" cm="1">
        <f t="array" ref="I160">_xlfn.IFS($K160=  "Per Pupil",           I$57*SUMIFS(INPUTS!I$32:I$76, INPUTS!$B$32:$B$76, $C160),
     $K160=  "Per Pupil - EL",      I$66*SUMIFS(INPUTS!I$32:I$76, INPUTS!$B$32:$B$76, $C160),
     $K160=  "Per Pupil - SPED",    I$61*SUMIFS(INPUTS!I$32:I$76, INPUTS!$B$32:$B$76, $C160),
     $K160=  "Direct",                   SUMIFS(INPUTS!I$32:I$76, INPUTS!$B$32:$B$76, $C160),
     $K160=  "Average Cash on Hand",     SUMIFS(INPUTS!I$32:I$76, INPUTS!$B$32:$B$76, $C160))</f>
        <v>0</v>
      </c>
      <c r="J160"/>
      <c r="K160" s="235" t="str">
        <f>INPUTS!C74</f>
        <v>Direct</v>
      </c>
      <c r="L160" s="235" t="str">
        <f>INPUTS!J74</f>
        <v>Non-Recurring</v>
      </c>
      <c r="M160" s="235" t="str">
        <f>INPUTS!K74</f>
        <v>Non-Operating</v>
      </c>
      <c r="N160" s="1"/>
      <c r="O160" s="748"/>
    </row>
    <row r="161" spans="1:15" s="529" customFormat="1" outlineLevel="1">
      <c r="A161" s="747"/>
      <c r="B161" s="374" t="str">
        <f>INPUTS!L75</f>
        <v>State &amp; Local</v>
      </c>
      <c r="C161" s="236" t="str">
        <f>INPUTS!B75</f>
        <v>All Other 9000 - OTHER FINANCING SOURCES</v>
      </c>
      <c r="D161" s="171" cm="1">
        <f t="array" ref="D161">_xlfn.IFS($K161=  "Per Pupil",           D$57*SUMIFS(INPUTS!D$32:D$76, INPUTS!$B$32:$B$76, $C161),
     $K161=  "Per Pupil - EL",      D$66*SUMIFS(INPUTS!D$32:D$76, INPUTS!$B$32:$B$76, $C161),
     $K161=  "Per Pupil - SPED",    D$61*SUMIFS(INPUTS!D$32:D$76, INPUTS!$B$32:$B$76, $C161),
     $K161=  "Direct",                   SUMIFS(INPUTS!D$32:D$76, INPUTS!$B$32:$B$76, $C161),
     $K161=  "Average Cash on Hand",     SUMIFS(INPUTS!D$32:D$76, INPUTS!$B$32:$B$76, $C161))</f>
        <v>0</v>
      </c>
      <c r="E161" s="171" cm="1">
        <f t="array" ref="E161">_xlfn.IFS($K161=  "Per Pupil",           E$57*SUMIFS(INPUTS!E$32:E$76, INPUTS!$B$32:$B$76, $C161),
     $K161=  "Per Pupil - EL",      E$66*SUMIFS(INPUTS!E$32:E$76, INPUTS!$B$32:$B$76, $C161),
     $K161=  "Per Pupil - SPED",    E$61*SUMIFS(INPUTS!E$32:E$76, INPUTS!$B$32:$B$76, $C161),
     $K161=  "Direct",                   SUMIFS(INPUTS!E$32:E$76, INPUTS!$B$32:$B$76, $C161),
     $K161=  "Average Cash on Hand",     SUMIFS(INPUTS!E$32:E$76, INPUTS!$B$32:$B$76, $C161))</f>
        <v>0</v>
      </c>
      <c r="F161" s="171" cm="1">
        <f t="array" ref="F161">_xlfn.IFS($K161=  "Per Pupil",           F$57*SUMIFS(INPUTS!F$32:F$76, INPUTS!$B$32:$B$76, $C161),
     $K161=  "Per Pupil - EL",      F$66*SUMIFS(INPUTS!F$32:F$76, INPUTS!$B$32:$B$76, $C161),
     $K161=  "Per Pupil - SPED",    F$61*SUMIFS(INPUTS!F$32:F$76, INPUTS!$B$32:$B$76, $C161),
     $K161=  "Direct",                   SUMIFS(INPUTS!F$32:F$76, INPUTS!$B$32:$B$76, $C161),
     $K161=  "Average Cash on Hand",     SUMIFS(INPUTS!F$32:F$76, INPUTS!$B$32:$B$76, $C161))</f>
        <v>0</v>
      </c>
      <c r="G161" s="171" cm="1">
        <f t="array" ref="G161">_xlfn.IFS($K161=  "Per Pupil",           G$57*SUMIFS(INPUTS!G$32:G$76, INPUTS!$B$32:$B$76, $C161),
     $K161=  "Per Pupil - EL",      G$66*SUMIFS(INPUTS!G$32:G$76, INPUTS!$B$32:$B$76, $C161),
     $K161=  "Per Pupil - SPED",    G$61*SUMIFS(INPUTS!G$32:G$76, INPUTS!$B$32:$B$76, $C161),
     $K161=  "Direct",                   SUMIFS(INPUTS!G$32:G$76, INPUTS!$B$32:$B$76, $C161),
     $K161=  "Average Cash on Hand",     SUMIFS(INPUTS!G$32:G$76, INPUTS!$B$32:$B$76, $C161))</f>
        <v>0</v>
      </c>
      <c r="H161" s="171" cm="1">
        <f t="array" ref="H161">_xlfn.IFS($K161=  "Per Pupil",           H$57*SUMIFS(INPUTS!H$32:H$76, INPUTS!$B$32:$B$76, $C161),
     $K161=  "Per Pupil - EL",      H$66*SUMIFS(INPUTS!H$32:H$76, INPUTS!$B$32:$B$76, $C161),
     $K161=  "Per Pupil - SPED",    H$61*SUMIFS(INPUTS!H$32:H$76, INPUTS!$B$32:$B$76, $C161),
     $K161=  "Direct",                   SUMIFS(INPUTS!H$32:H$76, INPUTS!$B$32:$B$76, $C161),
     $K161=  "Average Cash on Hand",     SUMIFS(INPUTS!H$32:H$76, INPUTS!$B$32:$B$76, $C161))</f>
        <v>0</v>
      </c>
      <c r="I161" s="171" cm="1">
        <f t="array" ref="I161">_xlfn.IFS($K161=  "Per Pupil",           I$57*SUMIFS(INPUTS!I$32:I$76, INPUTS!$B$32:$B$76, $C161),
     $K161=  "Per Pupil - EL",      I$66*SUMIFS(INPUTS!I$32:I$76, INPUTS!$B$32:$B$76, $C161),
     $K161=  "Per Pupil - SPED",    I$61*SUMIFS(INPUTS!I$32:I$76, INPUTS!$B$32:$B$76, $C161),
     $K161=  "Direct",                   SUMIFS(INPUTS!I$32:I$76, INPUTS!$B$32:$B$76, $C161),
     $K161=  "Average Cash on Hand",     SUMIFS(INPUTS!I$32:I$76, INPUTS!$B$32:$B$76, $C161))</f>
        <v>0</v>
      </c>
      <c r="J161"/>
      <c r="K161" s="235" t="str">
        <f>INPUTS!C75</f>
        <v>Direct</v>
      </c>
      <c r="L161" s="235" t="str">
        <f>INPUTS!J75</f>
        <v>Non-Recurring</v>
      </c>
      <c r="M161" s="235" t="str">
        <f>INPUTS!K75</f>
        <v>Non-Operating</v>
      </c>
      <c r="N161" s="1"/>
      <c r="O161" s="748"/>
    </row>
    <row r="162" spans="1:15" s="529" customFormat="1" outlineLevel="1">
      <c r="A162" s="747"/>
      <c r="B162" s="844"/>
      <c r="C162" s="843" t="str">
        <f>INPUTS!B76</f>
        <v>9000 - OTHER FINANCING SOURCES</v>
      </c>
      <c r="D162" s="845">
        <f>SUM(D159:D161)</f>
        <v>0</v>
      </c>
      <c r="E162" s="845">
        <f t="shared" ref="E162:I162" si="41">SUM(E159:E161)</f>
        <v>0</v>
      </c>
      <c r="F162" s="845">
        <f t="shared" si="41"/>
        <v>0</v>
      </c>
      <c r="G162" s="845">
        <f t="shared" si="41"/>
        <v>0</v>
      </c>
      <c r="H162" s="845">
        <f t="shared" si="41"/>
        <v>0</v>
      </c>
      <c r="I162" s="845">
        <f t="shared" si="41"/>
        <v>0</v>
      </c>
      <c r="J162"/>
      <c r="K162" s="845"/>
      <c r="L162" s="845"/>
      <c r="M162" s="845"/>
      <c r="N162" s="1"/>
      <c r="O162" s="748"/>
    </row>
    <row r="163" spans="1:15" customFormat="1" outlineLevel="1"/>
    <row r="164" spans="1:15" s="529" customFormat="1" outlineLevel="1">
      <c r="A164" s="747"/>
      <c r="B164" s="237" t="s">
        <v>263</v>
      </c>
      <c r="C164" s="237"/>
      <c r="D164" s="238">
        <f>SUM(D162,D158,D153,D150,D146,D138,D130,D126,D121)</f>
        <v>256000</v>
      </c>
      <c r="E164" s="238">
        <f t="shared" ref="E164:I164" si="42">SUM(E162,E158,E153,E150,E146,E138,E130,E126,E121)</f>
        <v>5089873.8599999994</v>
      </c>
      <c r="F164" s="238">
        <f t="shared" si="42"/>
        <v>9531906.7559999991</v>
      </c>
      <c r="G164" s="238">
        <f t="shared" si="42"/>
        <v>13632355.380974062</v>
      </c>
      <c r="H164" s="238">
        <f t="shared" si="42"/>
        <v>15652036.908919655</v>
      </c>
      <c r="I164" s="238">
        <f t="shared" si="42"/>
        <v>16014494.195805011</v>
      </c>
      <c r="J164" s="1"/>
      <c r="K164" s="1"/>
      <c r="L164" s="1"/>
      <c r="M164" s="1"/>
      <c r="N164" s="1"/>
      <c r="O164" s="748"/>
    </row>
    <row r="165" spans="1:15" s="529" customFormat="1" outlineLevel="1">
      <c r="A165" s="747"/>
      <c r="B165" s="665"/>
      <c r="C165" s="665" t="s">
        <v>285</v>
      </c>
      <c r="D165" s="666">
        <f>IFERROR((D164-#REF!)/#REF!, 0)</f>
        <v>0</v>
      </c>
      <c r="E165" s="666">
        <f>IFERROR((E164-D164)/ABS(D164), 0)</f>
        <v>18.882319765624999</v>
      </c>
      <c r="F165" s="666">
        <f t="shared" ref="F165" si="43">IFERROR((F164-E164)/ABS(E164), 0)</f>
        <v>0.87271964260426682</v>
      </c>
      <c r="G165" s="666">
        <f t="shared" ref="G165" si="44">IFERROR((G164-F164)/ABS(F164), 0)</f>
        <v>0.43018136139371849</v>
      </c>
      <c r="H165" s="666">
        <f t="shared" ref="H165" si="45">IFERROR((H164-G164)/ABS(G164), 0)</f>
        <v>0.14815352677530347</v>
      </c>
      <c r="I165" s="666">
        <f t="shared" ref="I165" si="46">IFERROR((I164-H164)/ABS(H164), 0)</f>
        <v>2.3157196024678573E-2</v>
      </c>
      <c r="J165" s="1"/>
      <c r="K165" s="1"/>
      <c r="L165" s="1"/>
      <c r="M165" s="1"/>
      <c r="N165" s="1"/>
      <c r="O165" s="748"/>
    </row>
    <row r="166" spans="1:15" s="529" customFormat="1" outlineLevel="1">
      <c r="A166" s="747"/>
      <c r="B166" s="1"/>
      <c r="C166" s="1"/>
      <c r="D166" s="1"/>
      <c r="E166" s="1"/>
      <c r="F166" s="1"/>
      <c r="G166" s="1"/>
      <c r="H166" s="1"/>
      <c r="I166" s="1"/>
      <c r="J166" s="1"/>
      <c r="K166" s="1"/>
      <c r="L166" s="1"/>
      <c r="M166" s="1"/>
      <c r="N166" s="1"/>
      <c r="O166" s="748"/>
    </row>
    <row r="167" spans="1:15" ht="27" outlineLevel="1" thickBot="1">
      <c r="A167" s="747"/>
      <c r="B167" s="5"/>
      <c r="C167"/>
      <c r="D167"/>
      <c r="E167"/>
      <c r="F167"/>
      <c r="G167"/>
      <c r="H167"/>
      <c r="I167"/>
      <c r="J167" s="395" t="s">
        <v>262</v>
      </c>
      <c r="K167" s="396"/>
      <c r="L167" s="1"/>
      <c r="M167"/>
      <c r="N167"/>
      <c r="O167" s="464"/>
    </row>
    <row r="168" spans="1:15" outlineLevel="1">
      <c r="A168" s="747"/>
      <c r="B168" s="379" t="s">
        <v>408</v>
      </c>
      <c r="C168" s="380"/>
      <c r="D168" s="381"/>
      <c r="E168" s="382"/>
      <c r="F168" s="382"/>
      <c r="G168" s="382"/>
      <c r="H168" s="382"/>
      <c r="I168" s="383"/>
      <c r="J168"/>
      <c r="K168" s="1"/>
      <c r="L168"/>
      <c r="M168"/>
      <c r="N168"/>
      <c r="O168" s="464"/>
    </row>
    <row r="169" spans="1:15" outlineLevel="1">
      <c r="A169" s="747"/>
      <c r="B169" s="384" t="s">
        <v>286</v>
      </c>
      <c r="C169" s="377"/>
      <c r="D169" s="177">
        <f t="shared" ref="D169:I169" si="47">IFERROR(SUMIFS(D:D,$L:$L, "Recurring"), 0)</f>
        <v>6000</v>
      </c>
      <c r="E169" s="177">
        <f t="shared" si="47"/>
        <v>4789873.8599999994</v>
      </c>
      <c r="F169" s="177">
        <f t="shared" si="47"/>
        <v>9231906.7559999991</v>
      </c>
      <c r="G169" s="177">
        <f t="shared" si="47"/>
        <v>13332355.380974058</v>
      </c>
      <c r="H169" s="177">
        <f t="shared" si="47"/>
        <v>15352036.908919655</v>
      </c>
      <c r="I169" s="385">
        <f t="shared" si="47"/>
        <v>15714494.195805013</v>
      </c>
      <c r="J169"/>
      <c r="K169" s="1"/>
      <c r="L169"/>
      <c r="M169"/>
      <c r="N169"/>
      <c r="O169" s="464"/>
    </row>
    <row r="170" spans="1:15" outlineLevel="1">
      <c r="A170" s="747"/>
      <c r="B170" s="384" t="s">
        <v>287</v>
      </c>
      <c r="C170" s="377"/>
      <c r="D170" s="177">
        <f t="shared" ref="D170:I170" si="48">SUMIFS(D:D, $L:$L, "Non-Recurring")</f>
        <v>250000</v>
      </c>
      <c r="E170" s="177">
        <f t="shared" si="48"/>
        <v>300000</v>
      </c>
      <c r="F170" s="177">
        <f t="shared" si="48"/>
        <v>300000</v>
      </c>
      <c r="G170" s="177">
        <f t="shared" si="48"/>
        <v>300000</v>
      </c>
      <c r="H170" s="177">
        <f t="shared" si="48"/>
        <v>300000</v>
      </c>
      <c r="I170" s="385">
        <f t="shared" si="48"/>
        <v>300000</v>
      </c>
      <c r="J170"/>
      <c r="K170" s="1"/>
      <c r="L170"/>
      <c r="M170"/>
      <c r="N170"/>
      <c r="O170" s="464"/>
    </row>
    <row r="171" spans="1:15" outlineLevel="1">
      <c r="A171" s="747"/>
      <c r="B171" s="386"/>
      <c r="C171"/>
      <c r="D171"/>
      <c r="E171"/>
      <c r="F171"/>
      <c r="G171"/>
      <c r="H171"/>
      <c r="I171" s="387"/>
      <c r="J171"/>
      <c r="K171" s="1"/>
      <c r="L171"/>
      <c r="M171"/>
      <c r="N171"/>
      <c r="O171" s="464"/>
    </row>
    <row r="172" spans="1:15" outlineLevel="1">
      <c r="A172" s="747"/>
      <c r="B172" s="388" t="s">
        <v>409</v>
      </c>
      <c r="C172" s="237"/>
      <c r="D172" s="366"/>
      <c r="E172" s="369"/>
      <c r="F172" s="369"/>
      <c r="G172" s="369"/>
      <c r="H172" s="369"/>
      <c r="I172" s="389"/>
      <c r="J172"/>
      <c r="K172" s="1"/>
      <c r="L172"/>
      <c r="M172"/>
      <c r="N172"/>
      <c r="O172" s="464"/>
    </row>
    <row r="173" spans="1:15" outlineLevel="1">
      <c r="A173" s="747"/>
      <c r="B173" s="384" t="s">
        <v>324</v>
      </c>
      <c r="C173" s="377"/>
      <c r="D173" s="177">
        <f t="shared" ref="D173:I173" si="49">IFERROR(SUMIFS(D:D,$M:$M, "Operating"), 0)</f>
        <v>6000</v>
      </c>
      <c r="E173" s="177">
        <f t="shared" si="49"/>
        <v>4789873.8599999994</v>
      </c>
      <c r="F173" s="177">
        <f t="shared" si="49"/>
        <v>9231906.7559999991</v>
      </c>
      <c r="G173" s="177">
        <f t="shared" si="49"/>
        <v>13332355.380974058</v>
      </c>
      <c r="H173" s="177">
        <f t="shared" si="49"/>
        <v>15352036.908919655</v>
      </c>
      <c r="I173" s="385">
        <f t="shared" si="49"/>
        <v>15714494.195805013</v>
      </c>
      <c r="J173"/>
      <c r="K173" s="1"/>
      <c r="L173"/>
      <c r="M173"/>
      <c r="N173"/>
      <c r="O173" s="464"/>
    </row>
    <row r="174" spans="1:15" outlineLevel="1">
      <c r="A174" s="747"/>
      <c r="B174" s="384" t="s">
        <v>325</v>
      </c>
      <c r="C174" s="377"/>
      <c r="D174" s="177">
        <f t="shared" ref="D174:I174" si="50">IFERROR(SUMIFS(D:D,$M:$M, "Non-Operating"), 0)</f>
        <v>250000</v>
      </c>
      <c r="E174" s="177">
        <f t="shared" si="50"/>
        <v>300000</v>
      </c>
      <c r="F174" s="177">
        <f t="shared" si="50"/>
        <v>300000</v>
      </c>
      <c r="G174" s="177">
        <f t="shared" si="50"/>
        <v>300000</v>
      </c>
      <c r="H174" s="177">
        <f t="shared" si="50"/>
        <v>300000</v>
      </c>
      <c r="I174" s="385">
        <f t="shared" si="50"/>
        <v>300000</v>
      </c>
      <c r="J174"/>
      <c r="K174" s="1"/>
      <c r="L174"/>
      <c r="M174"/>
      <c r="N174"/>
      <c r="O174" s="464"/>
    </row>
    <row r="175" spans="1:15" outlineLevel="1">
      <c r="A175" s="183"/>
      <c r="B175" s="390"/>
      <c r="C175"/>
      <c r="D175"/>
      <c r="E175"/>
      <c r="F175"/>
      <c r="G175"/>
      <c r="H175"/>
      <c r="I175" s="387"/>
      <c r="J175"/>
      <c r="K175" s="1"/>
      <c r="L175"/>
      <c r="M175"/>
      <c r="N175"/>
      <c r="O175" s="464"/>
    </row>
    <row r="176" spans="1:15" outlineLevel="1">
      <c r="A176" s="183"/>
      <c r="B176" s="388" t="s">
        <v>410</v>
      </c>
      <c r="C176" s="237"/>
      <c r="D176" s="366"/>
      <c r="E176" s="369"/>
      <c r="F176" s="369"/>
      <c r="G176" s="369"/>
      <c r="H176" s="369"/>
      <c r="I176" s="389"/>
      <c r="J176"/>
      <c r="K176" s="1"/>
      <c r="L176"/>
      <c r="M176"/>
      <c r="N176"/>
      <c r="O176" s="464"/>
    </row>
    <row r="177" spans="1:15" outlineLevel="1">
      <c r="A177" s="183"/>
      <c r="B177" s="384" t="s">
        <v>404</v>
      </c>
      <c r="C177" s="377"/>
      <c r="D177" s="177">
        <f t="shared" ref="D177:I177" si="51">IFERROR(SUMIFS(D:D,$B:$B, "State &amp; Local"), 0)</f>
        <v>6000</v>
      </c>
      <c r="E177" s="177">
        <f t="shared" si="51"/>
        <v>3959569.2599999988</v>
      </c>
      <c r="F177" s="177">
        <f t="shared" si="51"/>
        <v>8110813.2329999991</v>
      </c>
      <c r="G177" s="177">
        <f t="shared" si="51"/>
        <v>11947949.535107808</v>
      </c>
      <c r="H177" s="177">
        <f t="shared" si="51"/>
        <v>13843173.325156165</v>
      </c>
      <c r="I177" s="385">
        <f t="shared" si="51"/>
        <v>14189252.658285072</v>
      </c>
      <c r="J177"/>
      <c r="K177" s="1"/>
      <c r="L177"/>
      <c r="M177"/>
      <c r="N177"/>
      <c r="O177" s="464"/>
    </row>
    <row r="178" spans="1:15" outlineLevel="1">
      <c r="A178" s="183"/>
      <c r="B178" s="384" t="s">
        <v>405</v>
      </c>
      <c r="C178" s="377"/>
      <c r="D178" s="177">
        <f t="shared" ref="D178:I178" si="52">IFERROR(SUMIFS(D:D,$B:$B, "Federal"), 0)</f>
        <v>0</v>
      </c>
      <c r="E178" s="177">
        <f t="shared" si="52"/>
        <v>830304.6</v>
      </c>
      <c r="F178" s="177">
        <f t="shared" si="52"/>
        <v>1121093.5229999998</v>
      </c>
      <c r="G178" s="177">
        <f t="shared" si="52"/>
        <v>1384405.8458662499</v>
      </c>
      <c r="H178" s="177">
        <f t="shared" si="52"/>
        <v>1508863.5837634872</v>
      </c>
      <c r="I178" s="385">
        <f t="shared" si="52"/>
        <v>1525241.5375199392</v>
      </c>
      <c r="J178"/>
      <c r="K178" s="1"/>
      <c r="L178"/>
      <c r="M178"/>
      <c r="N178"/>
      <c r="O178" s="464"/>
    </row>
    <row r="179" spans="1:15" s="535" customFormat="1" outlineLevel="1">
      <c r="A179" s="747"/>
      <c r="B179" s="384" t="s">
        <v>406</v>
      </c>
      <c r="C179" s="377"/>
      <c r="D179" s="177">
        <f t="shared" ref="D179:I179" si="53">IFERROR(SUMIFS(D:D,$B:$B, "Private"), 0)</f>
        <v>250000</v>
      </c>
      <c r="E179" s="177">
        <f t="shared" si="53"/>
        <v>300000</v>
      </c>
      <c r="F179" s="177">
        <f t="shared" si="53"/>
        <v>300000</v>
      </c>
      <c r="G179" s="177">
        <f t="shared" si="53"/>
        <v>300000</v>
      </c>
      <c r="H179" s="177">
        <f t="shared" si="53"/>
        <v>300000</v>
      </c>
      <c r="I179" s="385">
        <f t="shared" si="53"/>
        <v>300000</v>
      </c>
      <c r="J179" s="749"/>
      <c r="K179" s="1"/>
      <c r="L179" s="749"/>
      <c r="M179" s="749"/>
      <c r="N179" s="749"/>
      <c r="O179" s="750"/>
    </row>
    <row r="180" spans="1:15" s="535" customFormat="1" ht="16" outlineLevel="1" thickBot="1">
      <c r="A180" s="747"/>
      <c r="B180" s="391" t="s">
        <v>411</v>
      </c>
      <c r="C180" s="392"/>
      <c r="D180" s="393">
        <f t="shared" ref="D180:I180" si="54">IFERROR(SUMIFS(D:D,$B:$B, "Mixed - Public &amp; Private")+ SUMIFS(D:D, $B:$B, "Mixed - State &amp; Federal"), 0)</f>
        <v>0</v>
      </c>
      <c r="E180" s="393">
        <f t="shared" si="54"/>
        <v>0</v>
      </c>
      <c r="F180" s="393">
        <f t="shared" si="54"/>
        <v>0</v>
      </c>
      <c r="G180" s="393">
        <f t="shared" si="54"/>
        <v>0</v>
      </c>
      <c r="H180" s="393">
        <f t="shared" si="54"/>
        <v>0</v>
      </c>
      <c r="I180" s="394">
        <f t="shared" si="54"/>
        <v>0</v>
      </c>
      <c r="J180" s="749"/>
      <c r="K180" s="1"/>
      <c r="L180" s="749"/>
      <c r="M180" s="749"/>
      <c r="N180" s="749"/>
      <c r="O180" s="750"/>
    </row>
    <row r="181" spans="1:15" s="535" customFormat="1">
      <c r="A181" s="747"/>
      <c r="B181" s="749"/>
      <c r="C181" s="749"/>
      <c r="D181" s="749"/>
      <c r="E181" s="749"/>
      <c r="F181" s="749"/>
      <c r="G181" s="749"/>
      <c r="H181" s="749"/>
      <c r="I181" s="749"/>
      <c r="J181" s="749"/>
      <c r="K181" s="1"/>
      <c r="L181" s="749"/>
      <c r="M181" s="749"/>
      <c r="N181" s="749"/>
      <c r="O181" s="750"/>
    </row>
    <row r="182" spans="1:15" s="520" customFormat="1" ht="26">
      <c r="A182" s="87" t="s">
        <v>437</v>
      </c>
      <c r="B182" s="88"/>
      <c r="C182" s="88"/>
      <c r="D182" s="89"/>
      <c r="E182" s="88"/>
      <c r="F182" s="88"/>
      <c r="G182" s="89"/>
      <c r="H182" s="88"/>
      <c r="I182" s="360"/>
      <c r="J182" s="88"/>
      <c r="K182" s="88"/>
      <c r="L182" s="88"/>
      <c r="M182" s="88"/>
      <c r="N182" s="88"/>
      <c r="O182" s="90"/>
    </row>
    <row r="183" spans="1:15" s="535" customFormat="1">
      <c r="A183" s="751"/>
      <c r="B183" s="749"/>
      <c r="C183" s="749"/>
      <c r="D183" s="749"/>
      <c r="E183" s="749"/>
      <c r="F183" s="749"/>
      <c r="G183" s="749"/>
      <c r="H183" s="749"/>
      <c r="I183" s="749"/>
      <c r="J183" s="749"/>
      <c r="K183" s="752"/>
      <c r="L183" s="749"/>
      <c r="M183" s="749"/>
      <c r="N183" s="749"/>
      <c r="O183" s="750"/>
    </row>
    <row r="184" spans="1:15" s="535" customFormat="1" outlineLevel="1">
      <c r="A184" s="751"/>
      <c r="B184" s="376" t="s">
        <v>397</v>
      </c>
      <c r="C184" s="376" t="s">
        <v>420</v>
      </c>
      <c r="D184" s="75">
        <f t="shared" ref="D184:I184" si="55">D$1</f>
        <v>2027</v>
      </c>
      <c r="E184" s="75">
        <f t="shared" si="55"/>
        <v>2028</v>
      </c>
      <c r="F184" s="75">
        <f t="shared" si="55"/>
        <v>2029</v>
      </c>
      <c r="G184" s="75">
        <f t="shared" si="55"/>
        <v>2030</v>
      </c>
      <c r="H184" s="75">
        <f t="shared" si="55"/>
        <v>2031</v>
      </c>
      <c r="I184" s="75">
        <f t="shared" si="55"/>
        <v>2032</v>
      </c>
      <c r="J184"/>
      <c r="K184" s="179" t="s">
        <v>418</v>
      </c>
      <c r="L184" s="749"/>
      <c r="M184" s="749"/>
      <c r="N184" s="749"/>
      <c r="O184" s="750"/>
    </row>
    <row r="185" spans="1:15" s="535" customFormat="1" outlineLevel="1">
      <c r="A185" s="751"/>
      <c r="B185" s="354" t="str">
        <f>INPUTS!A83</f>
        <v>Administrative</v>
      </c>
      <c r="C185" s="236" t="str">
        <f t="shared" ref="C185:C217" si="56">C75</f>
        <v>Chief Executive Officer (CEO)/Executive Director</v>
      </c>
      <c r="D185" s="368">
        <f>STAFFING!M88</f>
        <v>206000</v>
      </c>
      <c r="E185" s="368">
        <f>STAFFING!N88</f>
        <v>212180</v>
      </c>
      <c r="F185" s="368">
        <f>STAFFING!O88</f>
        <v>218545.4</v>
      </c>
      <c r="G185" s="368">
        <f>STAFFING!P88</f>
        <v>225101.76199999999</v>
      </c>
      <c r="H185" s="368">
        <f>STAFFING!Q88</f>
        <v>231854.81485999998</v>
      </c>
      <c r="I185" s="368">
        <f>STAFFING!R88</f>
        <v>238810.4593058</v>
      </c>
      <c r="J185" s="749"/>
      <c r="K185" s="367">
        <f>INPUTS!J83</f>
        <v>0.3</v>
      </c>
      <c r="L185" s="749"/>
      <c r="M185" s="749"/>
      <c r="N185" s="749"/>
      <c r="O185" s="750"/>
    </row>
    <row r="186" spans="1:15" s="535" customFormat="1" outlineLevel="1">
      <c r="A186" s="751"/>
      <c r="B186" s="354" t="str">
        <f>INPUTS!A84</f>
        <v>Administrative</v>
      </c>
      <c r="C186" s="236" t="str">
        <f t="shared" si="56"/>
        <v>Principal/Head of School</v>
      </c>
      <c r="D186" s="309">
        <f>STAFFING!M89</f>
        <v>0</v>
      </c>
      <c r="E186" s="309">
        <f>STAFFING!N89</f>
        <v>0</v>
      </c>
      <c r="F186" s="309">
        <f>STAFFING!O89</f>
        <v>142054.51</v>
      </c>
      <c r="G186" s="309">
        <f>STAFFING!P89</f>
        <v>146316.1453</v>
      </c>
      <c r="H186" s="309">
        <f>STAFFING!Q89</f>
        <v>150705.629659</v>
      </c>
      <c r="I186" s="309">
        <f>STAFFING!R89</f>
        <v>155226.79854876999</v>
      </c>
      <c r="J186" s="749"/>
      <c r="K186" s="367">
        <f>INPUTS!J84</f>
        <v>0.3</v>
      </c>
      <c r="L186" s="749"/>
      <c r="M186" s="749"/>
      <c r="N186" s="749"/>
      <c r="O186" s="750"/>
    </row>
    <row r="187" spans="1:15" s="535" customFormat="1" outlineLevel="1">
      <c r="A187" s="751"/>
      <c r="B187" s="354" t="str">
        <f>INPUTS!A85</f>
        <v>Administrative</v>
      </c>
      <c r="C187" s="236" t="str">
        <f t="shared" si="56"/>
        <v>Assistant/Vice Principal</v>
      </c>
      <c r="D187" s="309">
        <f>STAFFING!M90</f>
        <v>0</v>
      </c>
      <c r="E187" s="309">
        <f>STAFFING!N90</f>
        <v>100785.5</v>
      </c>
      <c r="F187" s="309">
        <f>STAFFING!O90</f>
        <v>103809.065</v>
      </c>
      <c r="G187" s="309">
        <f>STAFFING!P90</f>
        <v>213846.67390000002</v>
      </c>
      <c r="H187" s="309">
        <f>STAFFING!Q90</f>
        <v>330393.11117550009</v>
      </c>
      <c r="I187" s="309">
        <f>STAFFING!R90</f>
        <v>340304.9045107651</v>
      </c>
      <c r="J187" s="749"/>
      <c r="K187" s="367">
        <f>INPUTS!J85</f>
        <v>0.3</v>
      </c>
      <c r="L187" s="749"/>
      <c r="M187" s="749"/>
      <c r="N187" s="749"/>
      <c r="O187" s="750"/>
    </row>
    <row r="188" spans="1:15" s="535" customFormat="1" outlineLevel="1">
      <c r="A188" s="751"/>
      <c r="B188" s="355" t="str">
        <f>INPUTS!A86</f>
        <v>Instructional</v>
      </c>
      <c r="C188" s="236" t="str">
        <f t="shared" si="56"/>
        <v>Instructional Coach/Curriculum Specialist</v>
      </c>
      <c r="D188" s="309">
        <f>STAFFING!M91</f>
        <v>0</v>
      </c>
      <c r="E188" s="309">
        <f>STAFFING!N91</f>
        <v>0</v>
      </c>
      <c r="F188" s="309">
        <f>STAFFING!O91</f>
        <v>92881.794999999998</v>
      </c>
      <c r="G188" s="309">
        <f>STAFFING!P91</f>
        <v>191336.49770000001</v>
      </c>
      <c r="H188" s="309">
        <f>STAFFING!Q91</f>
        <v>295614.88894650002</v>
      </c>
      <c r="I188" s="309">
        <f>STAFFING!R91</f>
        <v>304483.33561489498</v>
      </c>
      <c r="J188" s="749"/>
      <c r="K188" s="367">
        <f>INPUTS!J86</f>
        <v>0.3</v>
      </c>
      <c r="L188" s="749"/>
      <c r="M188" s="749"/>
      <c r="N188" s="749"/>
      <c r="O188" s="750"/>
    </row>
    <row r="189" spans="1:15" s="535" customFormat="1" outlineLevel="1">
      <c r="A189" s="751"/>
      <c r="B189" s="355" t="str">
        <f>INPUTS!A87</f>
        <v>Instructional</v>
      </c>
      <c r="C189" s="236" t="str">
        <f t="shared" si="56"/>
        <v>Classroom Teacher - Elementary</v>
      </c>
      <c r="D189" s="309">
        <f>STAFFING!M92</f>
        <v>0</v>
      </c>
      <c r="E189" s="309">
        <f>STAFFING!N92</f>
        <v>0</v>
      </c>
      <c r="F189" s="309">
        <f>STAFFING!O92</f>
        <v>0</v>
      </c>
      <c r="G189" s="309">
        <f>STAFFING!P92</f>
        <v>0</v>
      </c>
      <c r="H189" s="309">
        <f>STAFFING!Q92</f>
        <v>0</v>
      </c>
      <c r="I189" s="309">
        <f>STAFFING!R92</f>
        <v>0</v>
      </c>
      <c r="J189" s="749"/>
      <c r="K189" s="367">
        <f>INPUTS!J87</f>
        <v>0.3</v>
      </c>
      <c r="L189" s="749"/>
      <c r="M189" s="749"/>
      <c r="N189" s="749"/>
      <c r="O189" s="750"/>
    </row>
    <row r="190" spans="1:15" s="535" customFormat="1" outlineLevel="1">
      <c r="A190" s="751"/>
      <c r="B190" s="355" t="str">
        <f>INPUTS!A88</f>
        <v>Instructional</v>
      </c>
      <c r="C190" s="236" t="str">
        <f t="shared" si="56"/>
        <v>Classroom Teacher - Middle School</v>
      </c>
      <c r="D190" s="309">
        <f>STAFFING!M93</f>
        <v>0</v>
      </c>
      <c r="E190" s="309">
        <f>STAFFING!N93</f>
        <v>445578</v>
      </c>
      <c r="F190" s="309">
        <f>STAFFING!O93</f>
        <v>994381.57</v>
      </c>
      <c r="G190" s="309">
        <f>STAFFING!P93</f>
        <v>1418141.1006</v>
      </c>
      <c r="H190" s="309">
        <f>STAFFING!Q93</f>
        <v>1460685.3336179999</v>
      </c>
      <c r="I190" s="309">
        <f>STAFFING!R93</f>
        <v>1504505.89362654</v>
      </c>
      <c r="J190" s="749"/>
      <c r="K190" s="367">
        <f>INPUTS!J88</f>
        <v>0.3</v>
      </c>
      <c r="L190" s="749"/>
      <c r="M190" s="749"/>
      <c r="N190" s="749"/>
      <c r="O190" s="750"/>
    </row>
    <row r="191" spans="1:15" s="535" customFormat="1" outlineLevel="1">
      <c r="A191" s="751"/>
      <c r="B191" s="355" t="str">
        <f>INPUTS!A89</f>
        <v>Instructional</v>
      </c>
      <c r="C191" s="236" t="str">
        <f t="shared" si="56"/>
        <v>Classroom Teacher - High School</v>
      </c>
      <c r="D191" s="309">
        <f>STAFFING!M94</f>
        <v>0</v>
      </c>
      <c r="E191" s="309">
        <f>STAFFING!N94</f>
        <v>445578</v>
      </c>
      <c r="F191" s="309">
        <f>STAFFING!O94</f>
        <v>994381.57</v>
      </c>
      <c r="G191" s="309">
        <f>STAFFING!P94</f>
        <v>1418141.1006</v>
      </c>
      <c r="H191" s="309">
        <f>STAFFING!Q94</f>
        <v>1947580.4448239999</v>
      </c>
      <c r="I191" s="309">
        <f>STAFFING!R94</f>
        <v>2006007.8581687198</v>
      </c>
      <c r="J191" s="749"/>
      <c r="K191" s="367">
        <f>INPUTS!J89</f>
        <v>0.3</v>
      </c>
      <c r="L191" s="749"/>
      <c r="M191" s="749"/>
      <c r="N191" s="749"/>
      <c r="O191" s="750"/>
    </row>
    <row r="192" spans="1:15" s="535" customFormat="1" outlineLevel="1">
      <c r="A192" s="751"/>
      <c r="B192" s="355" t="str">
        <f>INPUTS!A90</f>
        <v>Instructional</v>
      </c>
      <c r="C192" s="236" t="str">
        <f t="shared" si="56"/>
        <v>Special Education (SPED) Teacher</v>
      </c>
      <c r="D192" s="309">
        <f>STAFFING!M95</f>
        <v>0</v>
      </c>
      <c r="E192" s="309">
        <f>STAFFING!N95</f>
        <v>90176.5</v>
      </c>
      <c r="F192" s="309">
        <f>STAFFING!O95</f>
        <v>185763.59</v>
      </c>
      <c r="G192" s="309">
        <f>STAFFING!P95</f>
        <v>287004.74655000004</v>
      </c>
      <c r="H192" s="309">
        <f>STAFFING!Q95</f>
        <v>394153.18526200001</v>
      </c>
      <c r="I192" s="309">
        <f>STAFFING!R95</f>
        <v>405977.78081986</v>
      </c>
      <c r="J192" s="749"/>
      <c r="K192" s="367">
        <f>INPUTS!J90</f>
        <v>0.3</v>
      </c>
      <c r="L192" s="749"/>
      <c r="M192" s="749"/>
      <c r="N192" s="749"/>
      <c r="O192" s="750"/>
    </row>
    <row r="193" spans="1:15" s="535" customFormat="1" outlineLevel="1">
      <c r="A193" s="751"/>
      <c r="B193" s="355" t="str">
        <f>INPUTS!A91</f>
        <v>Instructional</v>
      </c>
      <c r="C193" s="236" t="str">
        <f t="shared" si="56"/>
        <v>English Learner (EL) Specialist</v>
      </c>
      <c r="D193" s="309">
        <f>STAFFING!M96</f>
        <v>0</v>
      </c>
      <c r="E193" s="309">
        <f>STAFFING!N96</f>
        <v>0</v>
      </c>
      <c r="F193" s="309">
        <f>STAFFING!O96</f>
        <v>0</v>
      </c>
      <c r="G193" s="309">
        <f>STAFFING!P96</f>
        <v>0</v>
      </c>
      <c r="H193" s="309">
        <f>STAFFING!Q96</f>
        <v>0</v>
      </c>
      <c r="I193" s="309">
        <f>STAFFING!R96</f>
        <v>0</v>
      </c>
      <c r="J193" s="749"/>
      <c r="K193" s="367">
        <f>INPUTS!J91</f>
        <v>0.3</v>
      </c>
      <c r="L193" s="749"/>
      <c r="M193" s="749"/>
      <c r="N193" s="749"/>
      <c r="O193" s="750"/>
    </row>
    <row r="194" spans="1:15" s="535" customFormat="1" outlineLevel="1">
      <c r="A194" s="751"/>
      <c r="B194" s="355" t="str">
        <f>INPUTS!A92</f>
        <v>Instructional</v>
      </c>
      <c r="C194" s="236" t="str">
        <f t="shared" si="56"/>
        <v>Intervention Specialist (Reading/Math)</v>
      </c>
      <c r="D194" s="309">
        <f>STAFFING!M97</f>
        <v>0</v>
      </c>
      <c r="E194" s="309">
        <f>STAFFING!N97</f>
        <v>0</v>
      </c>
      <c r="F194" s="309">
        <f>STAFFING!O97</f>
        <v>0</v>
      </c>
      <c r="G194" s="309">
        <f>STAFFING!P97</f>
        <v>0</v>
      </c>
      <c r="H194" s="309">
        <f>STAFFING!Q97</f>
        <v>0</v>
      </c>
      <c r="I194" s="309">
        <f>STAFFING!R97</f>
        <v>0</v>
      </c>
      <c r="J194" s="749"/>
      <c r="K194" s="367">
        <f>INPUTS!J92</f>
        <v>0.3</v>
      </c>
      <c r="L194" s="749"/>
      <c r="M194" s="749"/>
      <c r="N194" s="749"/>
      <c r="O194" s="750"/>
    </row>
    <row r="195" spans="1:15" s="535" customFormat="1" outlineLevel="1">
      <c r="A195" s="751"/>
      <c r="B195" s="355" t="str">
        <f>INPUTS!A93</f>
        <v>Instructional</v>
      </c>
      <c r="C195" s="236" t="str">
        <f t="shared" si="56"/>
        <v>Instructional Aides/Paraeducators</v>
      </c>
      <c r="D195" s="309">
        <f>STAFFING!M98</f>
        <v>0</v>
      </c>
      <c r="E195" s="309">
        <f>STAFFING!N98</f>
        <v>84872</v>
      </c>
      <c r="F195" s="309">
        <f>STAFFING!O98</f>
        <v>174836.32</v>
      </c>
      <c r="G195" s="309">
        <f>STAFFING!P98</f>
        <v>270122.11440000002</v>
      </c>
      <c r="H195" s="309">
        <f>STAFFING!Q98</f>
        <v>324596.740804</v>
      </c>
      <c r="I195" s="309">
        <f>STAFFING!R98</f>
        <v>334334.64302811999</v>
      </c>
      <c r="J195" s="749"/>
      <c r="K195" s="367">
        <f>INPUTS!J93</f>
        <v>0.3</v>
      </c>
      <c r="L195" s="749"/>
      <c r="M195" s="749"/>
      <c r="N195" s="749"/>
      <c r="O195" s="750"/>
    </row>
    <row r="196" spans="1:15" s="535" customFormat="1" outlineLevel="1">
      <c r="A196" s="751"/>
      <c r="B196" s="356" t="str">
        <f>INPUTS!A94</f>
        <v>Non-Instructional</v>
      </c>
      <c r="C196" s="236" t="str">
        <f t="shared" si="56"/>
        <v>School Counselor</v>
      </c>
      <c r="D196" s="309">
        <f>STAFFING!M99</f>
        <v>0</v>
      </c>
      <c r="E196" s="309">
        <f>STAFFING!N99</f>
        <v>79567.5</v>
      </c>
      <c r="F196" s="309">
        <f>STAFFING!O99</f>
        <v>81954.525000000009</v>
      </c>
      <c r="G196" s="309">
        <f>STAFFING!P99</f>
        <v>84413.16075000001</v>
      </c>
      <c r="H196" s="309">
        <f>STAFFING!Q99</f>
        <v>86945.555572500016</v>
      </c>
      <c r="I196" s="309">
        <f>STAFFING!R99</f>
        <v>89553.922239675012</v>
      </c>
      <c r="J196" s="749"/>
      <c r="K196" s="367">
        <f>INPUTS!J94</f>
        <v>0.3</v>
      </c>
      <c r="L196" s="749"/>
      <c r="M196" s="749"/>
      <c r="N196" s="749"/>
      <c r="O196" s="750"/>
    </row>
    <row r="197" spans="1:15" s="535" customFormat="1" outlineLevel="1">
      <c r="A197" s="751"/>
      <c r="B197" s="356" t="str">
        <f>INPUTS!A95</f>
        <v>Non-Instructional</v>
      </c>
      <c r="C197" s="236" t="str">
        <f t="shared" si="56"/>
        <v>School Psychologist</v>
      </c>
      <c r="D197" s="309">
        <f>STAFFING!M100</f>
        <v>0</v>
      </c>
      <c r="E197" s="309">
        <f>STAFFING!N100</f>
        <v>0</v>
      </c>
      <c r="F197" s="309">
        <f>STAFFING!O100</f>
        <v>0</v>
      </c>
      <c r="G197" s="309">
        <f>STAFFING!P100</f>
        <v>95668.248850000004</v>
      </c>
      <c r="H197" s="309">
        <f>STAFFING!Q100</f>
        <v>98538.296315500003</v>
      </c>
      <c r="I197" s="309">
        <f>STAFFING!R100</f>
        <v>101494.445204965</v>
      </c>
      <c r="J197" s="749"/>
      <c r="K197" s="367">
        <f>INPUTS!J95</f>
        <v>0.3</v>
      </c>
      <c r="L197" s="749"/>
      <c r="M197" s="749"/>
      <c r="N197" s="749"/>
      <c r="O197" s="750"/>
    </row>
    <row r="198" spans="1:15" s="535" customFormat="1" outlineLevel="1">
      <c r="A198" s="751"/>
      <c r="B198" s="354" t="str">
        <f>INPUTS!A96</f>
        <v>Administrative</v>
      </c>
      <c r="C198" s="236" t="str">
        <f t="shared" si="56"/>
        <v>Registrar/Enrollment Manager</v>
      </c>
      <c r="D198" s="309">
        <f>STAFFING!M101</f>
        <v>0</v>
      </c>
      <c r="E198" s="309">
        <f>STAFFING!N101</f>
        <v>63654</v>
      </c>
      <c r="F198" s="309">
        <f>STAFFING!O101</f>
        <v>65563.62</v>
      </c>
      <c r="G198" s="309">
        <f>STAFFING!P101</f>
        <v>67530.528599999991</v>
      </c>
      <c r="H198" s="309">
        <f>STAFFING!Q101</f>
        <v>69556.444457999998</v>
      </c>
      <c r="I198" s="309">
        <f>STAFFING!R101</f>
        <v>71643.137791739995</v>
      </c>
      <c r="J198" s="749"/>
      <c r="K198" s="367">
        <f>INPUTS!J96</f>
        <v>0.3</v>
      </c>
      <c r="L198" s="749"/>
      <c r="M198" s="749"/>
      <c r="N198" s="749"/>
      <c r="O198" s="750"/>
    </row>
    <row r="199" spans="1:15" s="535" customFormat="1" outlineLevel="1">
      <c r="A199" s="751"/>
      <c r="B199" s="354" t="str">
        <f>INPUTS!A97</f>
        <v>Administrative</v>
      </c>
      <c r="C199" s="236" t="str">
        <f t="shared" si="56"/>
        <v>Chief Operations Officer (COO)/Ops. Manager</v>
      </c>
      <c r="D199" s="309">
        <f>STAFFING!M102</f>
        <v>0</v>
      </c>
      <c r="E199" s="309">
        <f>STAFFING!N102</f>
        <v>169744</v>
      </c>
      <c r="F199" s="309">
        <f>STAFFING!O102</f>
        <v>174836.32</v>
      </c>
      <c r="G199" s="309">
        <f>STAFFING!P102</f>
        <v>180081.40960000001</v>
      </c>
      <c r="H199" s="309">
        <f>STAFFING!Q102</f>
        <v>185483.851888</v>
      </c>
      <c r="I199" s="309">
        <f>STAFFING!R102</f>
        <v>191048.36744464</v>
      </c>
      <c r="J199" s="749"/>
      <c r="K199" s="367">
        <f>INPUTS!J97</f>
        <v>0.3</v>
      </c>
      <c r="L199" s="749"/>
      <c r="M199" s="749"/>
      <c r="N199" s="749"/>
      <c r="O199" s="750"/>
    </row>
    <row r="200" spans="1:15" s="535" customFormat="1" outlineLevel="1">
      <c r="A200" s="751"/>
      <c r="B200" s="354" t="str">
        <f>INPUTS!A98</f>
        <v>Administrative</v>
      </c>
      <c r="C200" s="236" t="str">
        <f t="shared" si="56"/>
        <v>CFO/Finance Manager/Business Manager</v>
      </c>
      <c r="D200" s="309">
        <f>STAFFING!M103</f>
        <v>0</v>
      </c>
      <c r="E200" s="309">
        <f>STAFFING!N103</f>
        <v>37131.5</v>
      </c>
      <c r="F200" s="309">
        <f>STAFFING!O103</f>
        <v>38245.445</v>
      </c>
      <c r="G200" s="309">
        <f>STAFFING!P103</f>
        <v>39392.808349999999</v>
      </c>
      <c r="H200" s="309">
        <f>STAFFING!Q103</f>
        <v>40574.5926005</v>
      </c>
      <c r="I200" s="309">
        <f>STAFFING!R103</f>
        <v>41791.830378514998</v>
      </c>
      <c r="J200" s="749"/>
      <c r="K200" s="367">
        <f>INPUTS!J98</f>
        <v>0.3</v>
      </c>
      <c r="L200" s="749"/>
      <c r="M200" s="749"/>
      <c r="N200" s="749"/>
      <c r="O200" s="750"/>
    </row>
    <row r="201" spans="1:15" s="535" customFormat="1" outlineLevel="1">
      <c r="A201" s="751"/>
      <c r="B201" s="356" t="str">
        <f>INPUTS!A99</f>
        <v>Administrative</v>
      </c>
      <c r="C201" s="236" t="str">
        <f t="shared" si="56"/>
        <v>Administrative Assistant/Office Manager</v>
      </c>
      <c r="D201" s="309">
        <f>STAFFING!M104</f>
        <v>0</v>
      </c>
      <c r="E201" s="309">
        <f>STAFFING!N104</f>
        <v>72141.2</v>
      </c>
      <c r="F201" s="309">
        <f>STAFFING!O104</f>
        <v>74305.436000000002</v>
      </c>
      <c r="G201" s="309">
        <f>STAFFING!P104</f>
        <v>153069.19816</v>
      </c>
      <c r="H201" s="309">
        <f>STAFFING!Q104</f>
        <v>157661.27410480002</v>
      </c>
      <c r="I201" s="309">
        <f>STAFFING!R104</f>
        <v>162391.11232794402</v>
      </c>
      <c r="J201" s="749"/>
      <c r="K201" s="367">
        <f>INPUTS!J99</f>
        <v>0.3</v>
      </c>
      <c r="L201" s="749"/>
      <c r="M201" s="749"/>
      <c r="N201" s="749"/>
      <c r="O201" s="750"/>
    </row>
    <row r="202" spans="1:15" s="535" customFormat="1" outlineLevel="1">
      <c r="A202" s="751"/>
      <c r="B202" s="356" t="str">
        <f>INPUTS!A100</f>
        <v>Non-Instructional</v>
      </c>
      <c r="C202" s="236" t="str">
        <f t="shared" si="56"/>
        <v>Human Resources Specialist</v>
      </c>
      <c r="D202" s="309">
        <f>STAFFING!M105</f>
        <v>0</v>
      </c>
      <c r="E202" s="309">
        <f>STAFFING!N105</f>
        <v>0</v>
      </c>
      <c r="F202" s="309">
        <f>STAFFING!O105</f>
        <v>0</v>
      </c>
      <c r="G202" s="309">
        <f>STAFFING!P105</f>
        <v>76534.59908</v>
      </c>
      <c r="H202" s="309">
        <f>STAFFING!Q105</f>
        <v>78830.637052400009</v>
      </c>
      <c r="I202" s="309">
        <f>STAFFING!R105</f>
        <v>81195.556163972011</v>
      </c>
      <c r="J202" s="749"/>
      <c r="K202" s="367">
        <f>INPUTS!J100</f>
        <v>0.3</v>
      </c>
      <c r="L202" s="749"/>
      <c r="M202" s="749"/>
      <c r="N202" s="749"/>
      <c r="O202" s="750"/>
    </row>
    <row r="203" spans="1:15" s="535" customFormat="1" outlineLevel="1">
      <c r="A203" s="751"/>
      <c r="B203" s="354" t="str">
        <f>INPUTS!A101</f>
        <v>Administrative</v>
      </c>
      <c r="C203" s="236" t="str">
        <f t="shared" si="56"/>
        <v>IT Coordinator/Instructional Technologist</v>
      </c>
      <c r="D203" s="309">
        <f>STAFFING!M106</f>
        <v>0</v>
      </c>
      <c r="E203" s="309">
        <f>STAFFING!N106</f>
        <v>84872</v>
      </c>
      <c r="F203" s="309">
        <f>STAFFING!O106</f>
        <v>87418.16</v>
      </c>
      <c r="G203" s="309">
        <f>STAFFING!P106</f>
        <v>90040.704800000007</v>
      </c>
      <c r="H203" s="309">
        <f>STAFFING!Q106</f>
        <v>92741.925944000002</v>
      </c>
      <c r="I203" s="309">
        <f>STAFFING!R106</f>
        <v>95524.183722319998</v>
      </c>
      <c r="J203" s="749"/>
      <c r="K203" s="367">
        <f>INPUTS!J101</f>
        <v>0.3</v>
      </c>
      <c r="L203" s="749"/>
      <c r="M203" s="749"/>
      <c r="N203" s="749"/>
      <c r="O203" s="750"/>
    </row>
    <row r="204" spans="1:15" s="535" customFormat="1" outlineLevel="1">
      <c r="A204" s="751"/>
      <c r="B204" s="354" t="str">
        <f>INPUTS!A102</f>
        <v>Administrative</v>
      </c>
      <c r="C204" s="236" t="str">
        <f t="shared" si="56"/>
        <v>Facilities Manager</v>
      </c>
      <c r="D204" s="309">
        <f>STAFFING!M107</f>
        <v>0</v>
      </c>
      <c r="E204" s="309">
        <f>STAFFING!N107</f>
        <v>0</v>
      </c>
      <c r="F204" s="309">
        <f>STAFFING!O107</f>
        <v>0</v>
      </c>
      <c r="G204" s="309">
        <f>STAFFING!P107</f>
        <v>0</v>
      </c>
      <c r="H204" s="309">
        <f>STAFFING!Q107</f>
        <v>0</v>
      </c>
      <c r="I204" s="309">
        <f>STAFFING!R107</f>
        <v>0</v>
      </c>
      <c r="J204" s="749"/>
      <c r="K204" s="367">
        <f>INPUTS!J102</f>
        <v>0.3</v>
      </c>
      <c r="L204" s="749"/>
      <c r="M204" s="749"/>
      <c r="N204" s="749"/>
      <c r="O204" s="750"/>
    </row>
    <row r="205" spans="1:15" s="535" customFormat="1" outlineLevel="1">
      <c r="A205" s="751"/>
      <c r="B205" s="356" t="str">
        <f>INPUTS!A103</f>
        <v>Non-Instructional</v>
      </c>
      <c r="C205" s="236" t="str">
        <f t="shared" si="56"/>
        <v>Custodian/Facilities Maintenance</v>
      </c>
      <c r="D205" s="309">
        <f>STAFFING!M108</f>
        <v>0</v>
      </c>
      <c r="E205" s="309">
        <f>STAFFING!N108</f>
        <v>44557.8</v>
      </c>
      <c r="F205" s="309">
        <f>STAFFING!O108</f>
        <v>45894.534000000007</v>
      </c>
      <c r="G205" s="309">
        <f>STAFFING!P108</f>
        <v>94542.740040000019</v>
      </c>
      <c r="H205" s="309">
        <f>STAFFING!Q108</f>
        <v>97379.022241200015</v>
      </c>
      <c r="I205" s="309">
        <f>STAFFING!R108</f>
        <v>100300.39290843601</v>
      </c>
      <c r="J205" s="749"/>
      <c r="K205" s="367">
        <f>INPUTS!J103</f>
        <v>0.3</v>
      </c>
      <c r="L205" s="749"/>
      <c r="M205" s="749"/>
      <c r="N205" s="749"/>
      <c r="O205" s="750"/>
    </row>
    <row r="206" spans="1:15" s="535" customFormat="1" outlineLevel="1">
      <c r="A206" s="751"/>
      <c r="B206" s="356" t="str">
        <f>INPUTS!A104</f>
        <v>Non-Instructional</v>
      </c>
      <c r="C206" s="236" t="str">
        <f t="shared" si="56"/>
        <v>Security/Safety Coordinator</v>
      </c>
      <c r="D206" s="309">
        <f>STAFFING!M109</f>
        <v>0</v>
      </c>
      <c r="E206" s="309">
        <f>STAFFING!N109</f>
        <v>0</v>
      </c>
      <c r="F206" s="309">
        <f>STAFFING!O109</f>
        <v>0</v>
      </c>
      <c r="G206" s="309">
        <f>STAFFING!P109</f>
        <v>0</v>
      </c>
      <c r="H206" s="309">
        <f>STAFFING!Q109</f>
        <v>0</v>
      </c>
      <c r="I206" s="309">
        <f>STAFFING!R109</f>
        <v>0</v>
      </c>
      <c r="J206" s="749"/>
      <c r="K206" s="367">
        <f>INPUTS!J104</f>
        <v>0.3</v>
      </c>
      <c r="L206" s="749"/>
      <c r="M206" s="749"/>
      <c r="N206" s="749"/>
      <c r="O206" s="750"/>
    </row>
    <row r="207" spans="1:15" s="535" customFormat="1" outlineLevel="1">
      <c r="A207" s="751"/>
      <c r="B207" s="354" t="str">
        <f>INPUTS!A105</f>
        <v>Administrative</v>
      </c>
      <c r="C207" s="236" t="str">
        <f t="shared" si="56"/>
        <v>Nutrition Program Manager/Lead</v>
      </c>
      <c r="D207" s="309">
        <f>STAFFING!M110</f>
        <v>0</v>
      </c>
      <c r="E207" s="309">
        <f>STAFFING!N110</f>
        <v>0</v>
      </c>
      <c r="F207" s="309">
        <f>STAFFING!O110</f>
        <v>0</v>
      </c>
      <c r="G207" s="309">
        <f>STAFFING!P110</f>
        <v>0</v>
      </c>
      <c r="H207" s="309">
        <f>STAFFING!Q110</f>
        <v>0</v>
      </c>
      <c r="I207" s="309">
        <f>STAFFING!R110</f>
        <v>0</v>
      </c>
      <c r="J207" s="749"/>
      <c r="K207" s="367">
        <f>INPUTS!J105</f>
        <v>0.3</v>
      </c>
      <c r="L207" s="749"/>
      <c r="M207" s="749"/>
      <c r="N207" s="749"/>
      <c r="O207" s="750"/>
    </row>
    <row r="208" spans="1:15" s="535" customFormat="1" outlineLevel="1">
      <c r="A208" s="751"/>
      <c r="B208" s="356" t="str">
        <f>INPUTS!A106</f>
        <v>Non-Instructional</v>
      </c>
      <c r="C208" s="236" t="str">
        <f t="shared" si="56"/>
        <v>Food Service Staff (Cooks/Servers)</v>
      </c>
      <c r="D208" s="309">
        <f>STAFFING!M111</f>
        <v>0</v>
      </c>
      <c r="E208" s="309">
        <f>STAFFING!N111</f>
        <v>15913.5</v>
      </c>
      <c r="F208" s="309">
        <f>STAFFING!O111</f>
        <v>32781.81</v>
      </c>
      <c r="G208" s="309">
        <f>STAFFING!P111</f>
        <v>33765.264299999995</v>
      </c>
      <c r="H208" s="309">
        <f>STAFFING!Q111</f>
        <v>34778.222228999999</v>
      </c>
      <c r="I208" s="309">
        <f>STAFFING!R111</f>
        <v>35821.568895869998</v>
      </c>
      <c r="J208" s="749"/>
      <c r="K208" s="367">
        <f>INPUTS!J106</f>
        <v>0.3</v>
      </c>
      <c r="L208" s="749"/>
      <c r="M208" s="749"/>
      <c r="N208" s="749"/>
      <c r="O208" s="750"/>
    </row>
    <row r="209" spans="1:15" s="535" customFormat="1" outlineLevel="1">
      <c r="A209" s="751"/>
      <c r="B209" s="356" t="str">
        <f>INPUTS!A107</f>
        <v>Non-Instructional</v>
      </c>
      <c r="C209" s="236" t="str">
        <f t="shared" si="56"/>
        <v>Transportation Coordinator</v>
      </c>
      <c r="D209" s="309">
        <f>STAFFING!M112</f>
        <v>0</v>
      </c>
      <c r="E209" s="309">
        <f>STAFFING!N112</f>
        <v>0</v>
      </c>
      <c r="F209" s="309">
        <f>STAFFING!O112</f>
        <v>0</v>
      </c>
      <c r="G209" s="309">
        <f>STAFFING!P112</f>
        <v>0</v>
      </c>
      <c r="H209" s="309">
        <f>STAFFING!Q112</f>
        <v>0</v>
      </c>
      <c r="I209" s="309">
        <f>STAFFING!R112</f>
        <v>0</v>
      </c>
      <c r="J209" s="749"/>
      <c r="K209" s="367">
        <f>INPUTS!J107</f>
        <v>0.3</v>
      </c>
      <c r="L209" s="749"/>
      <c r="M209" s="749"/>
      <c r="N209" s="749"/>
      <c r="O209" s="750"/>
    </row>
    <row r="210" spans="1:15" s="535" customFormat="1" outlineLevel="1">
      <c r="A210" s="751"/>
      <c r="B210" s="355" t="str">
        <f>INPUTS!A108</f>
        <v>Instructional</v>
      </c>
      <c r="C210" s="236" t="str">
        <f t="shared" si="56"/>
        <v>Substitute Teacher Pool</v>
      </c>
      <c r="D210" s="309">
        <f>STAFFING!M113</f>
        <v>0</v>
      </c>
      <c r="E210" s="309">
        <f>STAFFING!N113</f>
        <v>63654</v>
      </c>
      <c r="F210" s="309">
        <f>STAFFING!O113</f>
        <v>131127.24</v>
      </c>
      <c r="G210" s="309">
        <f>STAFFING!P113</f>
        <v>202591.58579999997</v>
      </c>
      <c r="H210" s="309">
        <f>STAFFING!Q113</f>
        <v>243447.55560299999</v>
      </c>
      <c r="I210" s="309">
        <f>STAFFING!R113</f>
        <v>250750.98227108998</v>
      </c>
      <c r="J210" s="749"/>
      <c r="K210" s="367">
        <f>INPUTS!J108</f>
        <v>0.3</v>
      </c>
      <c r="L210" s="749"/>
      <c r="M210" s="749"/>
      <c r="N210" s="749"/>
      <c r="O210" s="750"/>
    </row>
    <row r="211" spans="1:15" s="535" customFormat="1" outlineLevel="1">
      <c r="A211" s="751"/>
      <c r="B211" s="512" t="str">
        <f>INPUTS!A109</f>
        <v>Non-Instructional</v>
      </c>
      <c r="C211" s="236" t="str">
        <f t="shared" si="56"/>
        <v>Nurse</v>
      </c>
      <c r="D211" s="309">
        <f>STAFFING!M114</f>
        <v>0</v>
      </c>
      <c r="E211" s="309">
        <f>STAFFING!N114</f>
        <v>34479.25</v>
      </c>
      <c r="F211" s="309">
        <f>STAFFING!O114</f>
        <v>71027.255000000005</v>
      </c>
      <c r="G211" s="309">
        <f>STAFFING!P114</f>
        <v>73158.072650000002</v>
      </c>
      <c r="H211" s="309">
        <f>STAFFING!Q114</f>
        <v>75352.814829499999</v>
      </c>
      <c r="I211" s="309">
        <f>STAFFING!R114</f>
        <v>77613.399274384996</v>
      </c>
      <c r="J211" s="749"/>
      <c r="K211" s="367">
        <f>INPUTS!J109</f>
        <v>0.3</v>
      </c>
      <c r="L211" s="749"/>
      <c r="M211" s="749"/>
      <c r="N211" s="749"/>
      <c r="O211" s="750"/>
    </row>
    <row r="212" spans="1:15" s="535" customFormat="1" outlineLevel="1">
      <c r="A212" s="751"/>
      <c r="B212" s="512" t="str">
        <f>INPUTS!A110</f>
        <v>Non-Instructional</v>
      </c>
      <c r="C212" s="236" t="str">
        <f t="shared" si="56"/>
        <v>Librarian</v>
      </c>
      <c r="D212" s="309">
        <f>STAFFING!M115</f>
        <v>0</v>
      </c>
      <c r="E212" s="309">
        <f>STAFFING!N115</f>
        <v>0</v>
      </c>
      <c r="F212" s="309">
        <f>STAFFING!O115</f>
        <v>0</v>
      </c>
      <c r="G212" s="309">
        <f>STAFFING!P115</f>
        <v>0</v>
      </c>
      <c r="H212" s="309">
        <f>STAFFING!Q115</f>
        <v>0</v>
      </c>
      <c r="I212" s="309">
        <f>STAFFING!R115</f>
        <v>0</v>
      </c>
      <c r="J212" s="749"/>
      <c r="K212" s="367">
        <f>INPUTS!J110</f>
        <v>0.3</v>
      </c>
      <c r="L212" s="749"/>
      <c r="M212" s="749"/>
      <c r="N212" s="749"/>
      <c r="O212" s="750"/>
    </row>
    <row r="213" spans="1:15" s="535" customFormat="1" outlineLevel="1">
      <c r="A213" s="751"/>
      <c r="B213" s="512" t="str">
        <f>INPUTS!A111</f>
        <v>Administrative</v>
      </c>
      <c r="C213" s="236" t="str">
        <f t="shared" si="56"/>
        <v>Manager of Student Support</v>
      </c>
      <c r="D213" s="309">
        <f>STAFFING!M116</f>
        <v>0</v>
      </c>
      <c r="E213" s="309">
        <f>STAFFING!N116</f>
        <v>0</v>
      </c>
      <c r="F213" s="309">
        <f>STAFFING!O116</f>
        <v>0</v>
      </c>
      <c r="G213" s="309">
        <f>STAFFING!P116</f>
        <v>0</v>
      </c>
      <c r="H213" s="309">
        <f>STAFFING!Q116</f>
        <v>0</v>
      </c>
      <c r="I213" s="309">
        <f>STAFFING!R116</f>
        <v>0</v>
      </c>
      <c r="J213" s="749"/>
      <c r="K213" s="367">
        <f>INPUTS!J111</f>
        <v>0.3</v>
      </c>
      <c r="L213" s="749"/>
      <c r="M213" s="749"/>
      <c r="N213" s="749"/>
      <c r="O213" s="750"/>
    </row>
    <row r="214" spans="1:15" s="535" customFormat="1" outlineLevel="1">
      <c r="A214" s="751"/>
      <c r="B214" s="512" t="str">
        <f>INPUTS!A112</f>
        <v>Administrative</v>
      </c>
      <c r="C214" s="236" t="str">
        <f t="shared" si="56"/>
        <v>College &amp; Athletics Director</v>
      </c>
      <c r="D214" s="309">
        <f>STAFFING!M117</f>
        <v>0</v>
      </c>
      <c r="E214" s="309">
        <f>STAFFING!N117</f>
        <v>72141.2</v>
      </c>
      <c r="F214" s="309">
        <f>STAFFING!O117</f>
        <v>74305.436000000002</v>
      </c>
      <c r="G214" s="309">
        <f>STAFFING!P117</f>
        <v>76534.59908</v>
      </c>
      <c r="H214" s="309">
        <f>STAFFING!Q117</f>
        <v>78830.637052400009</v>
      </c>
      <c r="I214" s="309">
        <f>STAFFING!R117</f>
        <v>81195.556163972011</v>
      </c>
      <c r="J214" s="749"/>
      <c r="K214" s="367">
        <f>INPUTS!J112</f>
        <v>0.3</v>
      </c>
      <c r="L214" s="749"/>
      <c r="M214" s="749"/>
      <c r="N214" s="749"/>
      <c r="O214" s="750"/>
    </row>
    <row r="215" spans="1:15" s="535" customFormat="1" outlineLevel="1">
      <c r="A215" s="751"/>
      <c r="B215" s="512" t="str">
        <f>INPUTS!A113</f>
        <v>Administrative</v>
      </c>
      <c r="C215" s="236" t="str">
        <f t="shared" si="56"/>
        <v>Manager of College Success</v>
      </c>
      <c r="D215" s="309">
        <f>STAFFING!M118</f>
        <v>0</v>
      </c>
      <c r="E215" s="309">
        <f>STAFFING!N118</f>
        <v>0</v>
      </c>
      <c r="F215" s="309">
        <f>STAFFING!O118</f>
        <v>0</v>
      </c>
      <c r="G215" s="309">
        <f>STAFFING!P118</f>
        <v>76534.59908</v>
      </c>
      <c r="H215" s="309">
        <f>STAFFING!Q118</f>
        <v>78830.637052400009</v>
      </c>
      <c r="I215" s="309">
        <f>STAFFING!R118</f>
        <v>81195.556163972011</v>
      </c>
      <c r="J215" s="749"/>
      <c r="K215" s="367">
        <f>INPUTS!J113</f>
        <v>0.3</v>
      </c>
      <c r="L215" s="749"/>
      <c r="M215" s="749"/>
      <c r="N215" s="749"/>
      <c r="O215" s="750"/>
    </row>
    <row r="216" spans="1:15" s="535" customFormat="1" outlineLevel="1">
      <c r="A216" s="751"/>
      <c r="B216" s="512" t="str">
        <f>INPUTS!A114</f>
        <v>Administrative</v>
      </c>
      <c r="C216" s="236" t="str">
        <f t="shared" si="56"/>
        <v>Coordinator of College Success</v>
      </c>
      <c r="D216" s="309">
        <f>STAFFING!M119</f>
        <v>0</v>
      </c>
      <c r="E216" s="309">
        <f>STAFFING!N119</f>
        <v>0</v>
      </c>
      <c r="F216" s="309">
        <f>STAFFING!O119</f>
        <v>0</v>
      </c>
      <c r="G216" s="309">
        <f>STAFFING!P119</f>
        <v>0</v>
      </c>
      <c r="H216" s="309">
        <f>STAFFING!Q119</f>
        <v>52167.33334350001</v>
      </c>
      <c r="I216" s="309">
        <f>STAFFING!R119</f>
        <v>53732.353343805014</v>
      </c>
      <c r="J216" s="749"/>
      <c r="K216" s="367">
        <f>INPUTS!J114</f>
        <v>0.3</v>
      </c>
      <c r="L216" s="749"/>
      <c r="M216" s="749"/>
      <c r="N216" s="749"/>
      <c r="O216" s="750"/>
    </row>
    <row r="217" spans="1:15" s="535" customFormat="1" outlineLevel="1">
      <c r="A217" s="751"/>
      <c r="B217" s="512">
        <f>INPUTS!A115</f>
        <v>0</v>
      </c>
      <c r="C217" s="236">
        <f t="shared" si="56"/>
        <v>0</v>
      </c>
      <c r="D217" s="309">
        <f>STAFFING!M120</f>
        <v>0</v>
      </c>
      <c r="E217" s="309">
        <f>STAFFING!N120</f>
        <v>0</v>
      </c>
      <c r="F217" s="309">
        <f>STAFFING!O120</f>
        <v>0</v>
      </c>
      <c r="G217" s="309">
        <f>STAFFING!P120</f>
        <v>0</v>
      </c>
      <c r="H217" s="309">
        <f>STAFFING!Q120</f>
        <v>0</v>
      </c>
      <c r="I217" s="309">
        <f>STAFFING!R120</f>
        <v>0</v>
      </c>
      <c r="J217" s="749"/>
      <c r="K217" s="367">
        <f>INPUTS!J115</f>
        <v>0.3</v>
      </c>
      <c r="L217" s="749"/>
      <c r="M217" s="749"/>
      <c r="N217" s="749"/>
      <c r="O217" s="750"/>
    </row>
    <row r="218" spans="1:15" s="535" customFormat="1" outlineLevel="1">
      <c r="A218" s="751"/>
      <c r="B218" s="237" t="s">
        <v>417</v>
      </c>
      <c r="C218" s="237"/>
      <c r="D218" s="238">
        <f>SUM(D185:D217)</f>
        <v>206000</v>
      </c>
      <c r="E218" s="238">
        <f t="shared" ref="E218:I218" si="57">SUM(E185:E217)</f>
        <v>2117025.9500000002</v>
      </c>
      <c r="F218" s="238">
        <f t="shared" si="57"/>
        <v>3784113.6009999993</v>
      </c>
      <c r="G218" s="238">
        <f t="shared" si="57"/>
        <v>5513867.6601900002</v>
      </c>
      <c r="H218" s="238">
        <f t="shared" si="57"/>
        <v>6606702.9494357016</v>
      </c>
      <c r="I218" s="238">
        <f t="shared" si="57"/>
        <v>6804904.0379187716</v>
      </c>
      <c r="J218" s="749"/>
      <c r="K218" s="752"/>
      <c r="L218" s="749"/>
      <c r="M218" s="749"/>
      <c r="N218" s="749"/>
      <c r="O218" s="750"/>
    </row>
    <row r="219" spans="1:15" s="535" customFormat="1" outlineLevel="1">
      <c r="A219" s="751"/>
      <c r="B219" s="665"/>
      <c r="C219" s="665" t="s">
        <v>285</v>
      </c>
      <c r="D219" s="666"/>
      <c r="E219" s="666">
        <f>IFERROR((E218-D218)/ABS(D218), 0)</f>
        <v>9.2768250000000005</v>
      </c>
      <c r="F219" s="666">
        <f t="shared" ref="F219" si="58">IFERROR((F218-E218)/ABS(E218), 0)</f>
        <v>0.78746680030067606</v>
      </c>
      <c r="G219" s="666">
        <f t="shared" ref="G219" si="59">IFERROR((G218-F218)/ABS(F218), 0)</f>
        <v>0.45710944267975773</v>
      </c>
      <c r="H219" s="666">
        <f t="shared" ref="H219" si="60">IFERROR((H218-G218)/ABS(G218), 0)</f>
        <v>0.19819759134517273</v>
      </c>
      <c r="I219" s="666">
        <f t="shared" ref="I219" si="61">IFERROR((I218-H218)/ABS(H218), 0)</f>
        <v>2.9999999999999846E-2</v>
      </c>
      <c r="J219" s="749"/>
      <c r="K219" s="752"/>
      <c r="L219" s="749"/>
      <c r="M219" s="749"/>
      <c r="N219" s="749"/>
      <c r="O219" s="750"/>
    </row>
    <row r="220" spans="1:15" s="535" customFormat="1" outlineLevel="1">
      <c r="A220" s="751"/>
      <c r="B220" s="749"/>
      <c r="C220" s="749"/>
      <c r="D220" s="749"/>
      <c r="E220" s="749"/>
      <c r="F220" s="749"/>
      <c r="G220" s="749"/>
      <c r="H220" s="749"/>
      <c r="I220" s="749"/>
      <c r="J220" s="749"/>
      <c r="K220" s="749"/>
      <c r="L220" s="749"/>
      <c r="M220" s="749"/>
      <c r="N220" s="749"/>
      <c r="O220" s="750"/>
    </row>
    <row r="221" spans="1:15" s="535" customFormat="1" outlineLevel="1">
      <c r="A221" s="751"/>
      <c r="B221" s="749"/>
      <c r="C221" s="376" t="s">
        <v>397</v>
      </c>
      <c r="D221" s="75">
        <f t="shared" ref="D221:I221" si="62">D$1</f>
        <v>2027</v>
      </c>
      <c r="E221" s="75">
        <f t="shared" si="62"/>
        <v>2028</v>
      </c>
      <c r="F221" s="75">
        <f t="shared" si="62"/>
        <v>2029</v>
      </c>
      <c r="G221" s="75">
        <f t="shared" si="62"/>
        <v>2030</v>
      </c>
      <c r="H221" s="75">
        <f t="shared" si="62"/>
        <v>2031</v>
      </c>
      <c r="I221" s="75">
        <f t="shared" si="62"/>
        <v>2032</v>
      </c>
      <c r="J221" s="749"/>
      <c r="K221" s="752"/>
      <c r="L221" s="749"/>
      <c r="M221" s="749"/>
      <c r="N221" s="749"/>
      <c r="O221" s="750"/>
    </row>
    <row r="222" spans="1:15" s="535" customFormat="1" outlineLevel="1">
      <c r="A222" s="751"/>
      <c r="B222" s="749"/>
      <c r="C222" s="192" t="s">
        <v>385</v>
      </c>
      <c r="D222" s="309">
        <f>SUMIFS(D185:D217,$B185:$B217,$C222)</f>
        <v>206000</v>
      </c>
      <c r="E222" s="309">
        <f t="shared" ref="E222:I222" si="63">SUMIFS(E185:E217,$B185:$B217,$C222)</f>
        <v>812649.39999999991</v>
      </c>
      <c r="F222" s="309">
        <f t="shared" si="63"/>
        <v>979083.39199999999</v>
      </c>
      <c r="G222" s="309">
        <f t="shared" si="63"/>
        <v>1268448.4288700002</v>
      </c>
      <c r="H222" s="309">
        <f t="shared" si="63"/>
        <v>1468800.2521381003</v>
      </c>
      <c r="I222" s="309">
        <f t="shared" si="63"/>
        <v>1512864.2597022431</v>
      </c>
      <c r="J222" s="749"/>
      <c r="K222" s="752"/>
      <c r="L222" s="749"/>
      <c r="M222" s="749"/>
      <c r="N222" s="749"/>
      <c r="O222" s="750"/>
    </row>
    <row r="223" spans="1:15" s="535" customFormat="1" outlineLevel="1">
      <c r="A223" s="751"/>
      <c r="B223" s="749"/>
      <c r="C223" s="193" t="s">
        <v>373</v>
      </c>
      <c r="D223" s="309">
        <f>SUMIFS(D185:D217,$B185:$B217,$C223)</f>
        <v>0</v>
      </c>
      <c r="E223" s="309">
        <f t="shared" ref="E223:I223" si="64">SUMIFS(E185:E217,$B185:$B217,$C223)</f>
        <v>1129858.5</v>
      </c>
      <c r="F223" s="309">
        <f t="shared" si="64"/>
        <v>2573372.085</v>
      </c>
      <c r="G223" s="309">
        <f t="shared" si="64"/>
        <v>3787337.1456500003</v>
      </c>
      <c r="H223" s="309">
        <f t="shared" si="64"/>
        <v>4666078.1490575001</v>
      </c>
      <c r="I223" s="309">
        <f t="shared" si="64"/>
        <v>4806060.4935292248</v>
      </c>
      <c r="J223" s="749"/>
      <c r="K223" s="752"/>
      <c r="L223" s="749"/>
      <c r="M223" s="749"/>
      <c r="N223" s="749"/>
      <c r="O223" s="750"/>
    </row>
    <row r="224" spans="1:15" s="535" customFormat="1" outlineLevel="1">
      <c r="A224" s="751"/>
      <c r="B224" s="749"/>
      <c r="C224" s="194" t="s">
        <v>374</v>
      </c>
      <c r="D224" s="309">
        <f>SUMIFS(D185:D217,$B185:$B217,$C224)</f>
        <v>0</v>
      </c>
      <c r="E224" s="309">
        <f t="shared" ref="E224:I224" si="65">SUMIFS(E185:E217,$B185:$B217,$C224)</f>
        <v>174518.05</v>
      </c>
      <c r="F224" s="309">
        <f t="shared" si="65"/>
        <v>231658.12400000001</v>
      </c>
      <c r="G224" s="309">
        <f t="shared" si="65"/>
        <v>458082.08567</v>
      </c>
      <c r="H224" s="309">
        <f t="shared" si="65"/>
        <v>471824.54824010009</v>
      </c>
      <c r="I224" s="309">
        <f t="shared" si="65"/>
        <v>485979.28468730306</v>
      </c>
      <c r="J224" s="749"/>
      <c r="K224" s="752"/>
      <c r="L224" s="749"/>
      <c r="M224" s="749"/>
      <c r="N224" s="749"/>
      <c r="O224" s="750"/>
    </row>
    <row r="225" spans="1:15" s="535" customFormat="1" outlineLevel="1">
      <c r="A225" s="751"/>
      <c r="B225" s="749"/>
      <c r="C225" s="749"/>
      <c r="D225" s="749"/>
      <c r="E225" s="749"/>
      <c r="F225" s="749"/>
      <c r="G225" s="749"/>
      <c r="H225" s="749"/>
      <c r="I225" s="749"/>
      <c r="J225" s="749"/>
      <c r="K225" s="752"/>
      <c r="L225" s="749"/>
      <c r="M225" s="749"/>
      <c r="N225" s="749"/>
      <c r="O225" s="750"/>
    </row>
    <row r="226" spans="1:15" s="535" customFormat="1" outlineLevel="1">
      <c r="A226" s="751"/>
      <c r="B226" s="749"/>
      <c r="C226" s="239" t="s">
        <v>289</v>
      </c>
      <c r="D226" s="75">
        <f t="shared" ref="D226:I226" si="66">D$1</f>
        <v>2027</v>
      </c>
      <c r="E226" s="75">
        <f t="shared" si="66"/>
        <v>2028</v>
      </c>
      <c r="F226" s="75">
        <f t="shared" si="66"/>
        <v>2029</v>
      </c>
      <c r="G226" s="75">
        <f t="shared" si="66"/>
        <v>2030</v>
      </c>
      <c r="H226" s="75">
        <f t="shared" si="66"/>
        <v>2031</v>
      </c>
      <c r="I226" s="75">
        <f t="shared" si="66"/>
        <v>2032</v>
      </c>
      <c r="J226" s="749"/>
      <c r="K226" s="752"/>
      <c r="L226" s="749"/>
      <c r="M226" s="749"/>
      <c r="N226" s="749"/>
      <c r="O226" s="750"/>
    </row>
    <row r="227" spans="1:15" s="535" customFormat="1" outlineLevel="1">
      <c r="A227" s="751"/>
      <c r="B227" s="237" t="s">
        <v>290</v>
      </c>
      <c r="C227" s="237"/>
      <c r="D227" s="238">
        <f>SUMPRODUCT(D185:D217,INPUTS!$J$83:$J$115)</f>
        <v>61800</v>
      </c>
      <c r="E227" s="238">
        <f>SUMPRODUCT(E185:E217,INPUTS!$J$83:$J$115)</f>
        <v>635107.78499999992</v>
      </c>
      <c r="F227" s="238">
        <f>SUMPRODUCT(F185:F217,INPUTS!$J$83:$J$115)</f>
        <v>1135234.0803</v>
      </c>
      <c r="G227" s="238">
        <f>SUMPRODUCT(G185:G217,INPUTS!$J$83:$J$115)</f>
        <v>1654160.2980570002</v>
      </c>
      <c r="H227" s="238">
        <f>SUMPRODUCT(H185:H217,INPUTS!$J$83:$J$115)</f>
        <v>1982010.8848307098</v>
      </c>
      <c r="I227" s="238">
        <f>SUMPRODUCT(I185:I217,INPUTS!$J$83:$J$115)</f>
        <v>2041471.2113756312</v>
      </c>
      <c r="J227" s="749"/>
      <c r="K227" s="749"/>
      <c r="L227" s="749"/>
      <c r="M227" s="749"/>
      <c r="N227" s="749"/>
      <c r="O227" s="750"/>
    </row>
    <row r="228" spans="1:15" outlineLevel="1">
      <c r="A228" s="183"/>
      <c r="B228" s="665"/>
      <c r="C228" s="665" t="s">
        <v>285</v>
      </c>
      <c r="D228" s="666"/>
      <c r="E228" s="666">
        <f>IFERROR((E227-D227)/ABS(D227), 0)</f>
        <v>9.2768249999999988</v>
      </c>
      <c r="F228" s="666">
        <f t="shared" ref="F228" si="67">IFERROR((F227-E227)/ABS(E227), 0)</f>
        <v>0.78746680030067684</v>
      </c>
      <c r="G228" s="666">
        <f t="shared" ref="G228" si="68">IFERROR((G227-F227)/ABS(F227), 0)</f>
        <v>0.4571094426797575</v>
      </c>
      <c r="H228" s="666">
        <f t="shared" ref="H228" si="69">IFERROR((H227-G227)/ABS(G227), 0)</f>
        <v>0.19819759134517223</v>
      </c>
      <c r="I228" s="666">
        <f t="shared" ref="I228" si="70">IFERROR((I227-H227)/ABS(H227), 0)</f>
        <v>3.0000000000000044E-2</v>
      </c>
      <c r="J228"/>
      <c r="K228" s="1"/>
      <c r="L228"/>
      <c r="M228"/>
      <c r="N228"/>
      <c r="O228" s="464"/>
    </row>
    <row r="229" spans="1:15" outlineLevel="1">
      <c r="A229" s="183"/>
      <c r="B229"/>
      <c r="C229"/>
      <c r="D229"/>
      <c r="E229"/>
      <c r="F229"/>
      <c r="G229"/>
      <c r="H229"/>
      <c r="I229"/>
      <c r="J229"/>
      <c r="K229" s="1"/>
      <c r="L229"/>
      <c r="M229"/>
      <c r="N229"/>
      <c r="O229" s="464"/>
    </row>
    <row r="230" spans="1:15" outlineLevel="1">
      <c r="A230" s="179" t="str">
        <f>INPUTS!A119</f>
        <v>Expense Category</v>
      </c>
      <c r="B230" s="179" t="str">
        <f>INPUTS!K119</f>
        <v>Expense Classification</v>
      </c>
      <c r="C230" s="179" t="str">
        <f>INPUTS!B119</f>
        <v>Expense Detail</v>
      </c>
      <c r="D230" s="179"/>
      <c r="E230" s="179"/>
      <c r="F230" s="179"/>
      <c r="G230" s="179"/>
      <c r="H230" s="179"/>
      <c r="I230" s="179"/>
      <c r="J230"/>
      <c r="K230" s="179" t="str">
        <f>INPUTS!C75</f>
        <v>Direct</v>
      </c>
      <c r="L230"/>
      <c r="M230"/>
      <c r="N230"/>
      <c r="O230" s="464"/>
    </row>
    <row r="231" spans="1:15" outlineLevel="1">
      <c r="A231" s="364" t="str">
        <f>INPUTS!A120</f>
        <v>Contracted Services</v>
      </c>
      <c r="B231" s="374" t="str">
        <f>INPUTS!K120</f>
        <v>Operating</v>
      </c>
      <c r="C231" s="850" t="str">
        <f>INPUTS!B120</f>
        <v xml:space="preserve">Accounting / Audit </v>
      </c>
      <c r="D231" s="309">
        <f>INPUTS!D120</f>
        <v>0</v>
      </c>
      <c r="E231" s="309">
        <f>INPUTS!E120</f>
        <v>0</v>
      </c>
      <c r="F231" s="309">
        <f>INPUTS!F120</f>
        <v>30000</v>
      </c>
      <c r="G231" s="309">
        <f>INPUTS!G120</f>
        <v>35000</v>
      </c>
      <c r="H231" s="309">
        <f>INPUTS!H120</f>
        <v>35000</v>
      </c>
      <c r="I231" s="309">
        <f>INPUTS!I120</f>
        <v>35000</v>
      </c>
      <c r="J231"/>
      <c r="K231" s="235">
        <f>INPUTS!C76</f>
        <v>0</v>
      </c>
      <c r="L231"/>
      <c r="M231"/>
      <c r="N231"/>
      <c r="O231" s="464"/>
    </row>
    <row r="232" spans="1:15" outlineLevel="1">
      <c r="A232" s="364" t="str">
        <f>INPUTS!A121</f>
        <v>Contracted Services</v>
      </c>
      <c r="B232" s="374" t="str">
        <f>INPUTS!K121</f>
        <v>Operating</v>
      </c>
      <c r="C232" s="850" t="str">
        <f>INPUTS!B121</f>
        <v>Legal</v>
      </c>
      <c r="D232" s="309">
        <f>INPUTS!D121</f>
        <v>0</v>
      </c>
      <c r="E232" s="309">
        <f>INPUTS!E121</f>
        <v>0</v>
      </c>
      <c r="F232" s="309">
        <f>INPUTS!F121</f>
        <v>0</v>
      </c>
      <c r="G232" s="309">
        <f>INPUTS!G121</f>
        <v>0</v>
      </c>
      <c r="H232" s="309">
        <f>INPUTS!H121</f>
        <v>0</v>
      </c>
      <c r="I232" s="309">
        <f>INPUTS!I121</f>
        <v>0</v>
      </c>
      <c r="J232"/>
      <c r="K232" s="1"/>
      <c r="L232"/>
      <c r="M232"/>
      <c r="N232"/>
      <c r="O232" s="464"/>
    </row>
    <row r="233" spans="1:15" outlineLevel="1">
      <c r="A233" s="364" t="str">
        <f>INPUTS!A122</f>
        <v>Contracted Services</v>
      </c>
      <c r="B233" s="374" t="str">
        <f>INPUTS!K122</f>
        <v>Operating</v>
      </c>
      <c r="C233" s="850" t="str">
        <f>INPUTS!B122</f>
        <v>Oversight Fee (3%)</v>
      </c>
      <c r="D233" s="309">
        <f>INPUTS!D122</f>
        <v>180</v>
      </c>
      <c r="E233" s="309">
        <f>INPUTS!E122</f>
        <v>100973.52899999997</v>
      </c>
      <c r="F233" s="309">
        <f>INPUTS!F122</f>
        <v>206806.62194999997</v>
      </c>
      <c r="G233" s="309">
        <f>INPUTS!G122</f>
        <v>304631.82689273421</v>
      </c>
      <c r="H233" s="309">
        <f>INPUTS!H122</f>
        <v>352949.65772740997</v>
      </c>
      <c r="I233" s="309">
        <f>INPUTS!I122</f>
        <v>361773.39917059534</v>
      </c>
      <c r="J233"/>
      <c r="K233" s="1"/>
      <c r="L233"/>
      <c r="M233"/>
      <c r="N233"/>
      <c r="O233" s="464"/>
    </row>
    <row r="234" spans="1:15" outlineLevel="1">
      <c r="A234" s="364" t="str">
        <f>INPUTS!A123</f>
        <v>Contracted Services</v>
      </c>
      <c r="B234" s="374" t="str">
        <f>INPUTS!K123</f>
        <v>Operating</v>
      </c>
      <c r="C234" s="850" t="str">
        <f>INPUTS!B123</f>
        <v>Management Company Fee</v>
      </c>
      <c r="D234" s="309">
        <f>INPUTS!D123</f>
        <v>0</v>
      </c>
      <c r="E234" s="309">
        <f>INPUTS!E123</f>
        <v>0</v>
      </c>
      <c r="F234" s="309">
        <f>INPUTS!F123</f>
        <v>0</v>
      </c>
      <c r="G234" s="309">
        <f>INPUTS!G123</f>
        <v>0</v>
      </c>
      <c r="H234" s="309">
        <f>INPUTS!H123</f>
        <v>0</v>
      </c>
      <c r="I234" s="309">
        <f>INPUTS!I123</f>
        <v>0</v>
      </c>
      <c r="J234"/>
      <c r="K234" s="1"/>
      <c r="L234"/>
      <c r="M234"/>
      <c r="N234"/>
      <c r="O234" s="464"/>
    </row>
    <row r="235" spans="1:15" outlineLevel="1">
      <c r="A235" s="364" t="str">
        <f>INPUTS!A124</f>
        <v>Contracted Services</v>
      </c>
      <c r="B235" s="374" t="str">
        <f>INPUTS!K124</f>
        <v>Operating</v>
      </c>
      <c r="C235" s="850" t="str">
        <f>INPUTS!B124</f>
        <v>Payroll Services</v>
      </c>
      <c r="D235" s="309">
        <f>INPUTS!D124</f>
        <v>1200</v>
      </c>
      <c r="E235" s="309">
        <f>INPUTS!E124</f>
        <v>30900</v>
      </c>
      <c r="F235" s="309">
        <f>INPUTS!F124</f>
        <v>56700</v>
      </c>
      <c r="G235" s="309">
        <f>INPUTS!G124</f>
        <v>81900</v>
      </c>
      <c r="H235" s="309">
        <f>INPUTS!H124</f>
        <v>95100</v>
      </c>
      <c r="I235" s="309">
        <f>INPUTS!I124</f>
        <v>95100</v>
      </c>
      <c r="J235"/>
      <c r="K235" s="1"/>
      <c r="L235"/>
      <c r="M235"/>
      <c r="N235"/>
      <c r="O235" s="464"/>
    </row>
    <row r="236" spans="1:15" outlineLevel="1">
      <c r="A236" s="364" t="str">
        <f>INPUTS!A125</f>
        <v>Contracted Services</v>
      </c>
      <c r="B236" s="374" t="str">
        <f>INPUTS!K125</f>
        <v>Instructional</v>
      </c>
      <c r="C236" s="850" t="str">
        <f>INPUTS!B125</f>
        <v>Nurse Services</v>
      </c>
      <c r="D236" s="309">
        <f>INPUTS!D125</f>
        <v>0</v>
      </c>
      <c r="E236" s="309">
        <f>INPUTS!E125</f>
        <v>43200</v>
      </c>
      <c r="F236" s="309">
        <f>INPUTS!F125</f>
        <v>86400</v>
      </c>
      <c r="G236" s="309">
        <f>INPUTS!G125</f>
        <v>124200</v>
      </c>
      <c r="H236" s="309">
        <f>INPUTS!H125</f>
        <v>140400</v>
      </c>
      <c r="I236" s="309">
        <f>INPUTS!I125</f>
        <v>140400</v>
      </c>
      <c r="J236"/>
      <c r="K236" s="1"/>
      <c r="L236"/>
      <c r="M236"/>
      <c r="N236"/>
      <c r="O236" s="464"/>
    </row>
    <row r="237" spans="1:15" outlineLevel="1">
      <c r="A237" s="364" t="str">
        <f>INPUTS!A126</f>
        <v>Contracted Services</v>
      </c>
      <c r="B237" s="374" t="str">
        <f>INPUTS!K126</f>
        <v>Instructional</v>
      </c>
      <c r="C237" s="850" t="str">
        <f>INPUTS!B126</f>
        <v>Special Ed Services</v>
      </c>
      <c r="D237" s="309">
        <f>INPUTS!D126</f>
        <v>0</v>
      </c>
      <c r="E237" s="309">
        <f>INPUTS!E126</f>
        <v>264000</v>
      </c>
      <c r="F237" s="309">
        <f>INPUTS!F126</f>
        <v>528000</v>
      </c>
      <c r="G237" s="309">
        <f>INPUTS!G126</f>
        <v>759000</v>
      </c>
      <c r="H237" s="309">
        <f>INPUTS!H126</f>
        <v>858000</v>
      </c>
      <c r="I237" s="309">
        <f>INPUTS!I126</f>
        <v>858000</v>
      </c>
      <c r="J237"/>
      <c r="K237" s="1"/>
      <c r="L237"/>
      <c r="M237"/>
      <c r="N237"/>
      <c r="O237" s="464"/>
    </row>
    <row r="238" spans="1:15" outlineLevel="1">
      <c r="A238" s="364" t="str">
        <f>INPUTS!A127</f>
        <v>Contracted Services</v>
      </c>
      <c r="B238" s="374" t="str">
        <f>INPUTS!K127</f>
        <v>Instructional</v>
      </c>
      <c r="C238" s="850" t="str">
        <f>INPUTS!B127</f>
        <v>Titlement Services</v>
      </c>
      <c r="D238" s="309">
        <f>INPUTS!D127</f>
        <v>0</v>
      </c>
      <c r="E238" s="309">
        <f>INPUTS!E127</f>
        <v>52800</v>
      </c>
      <c r="F238" s="309">
        <f>INPUTS!F127</f>
        <v>105600</v>
      </c>
      <c r="G238" s="309">
        <f>INPUTS!G127</f>
        <v>151800</v>
      </c>
      <c r="H238" s="309">
        <f>INPUTS!H127</f>
        <v>171600</v>
      </c>
      <c r="I238" s="309">
        <f>INPUTS!I127</f>
        <v>171600</v>
      </c>
      <c r="J238"/>
      <c r="K238" s="1"/>
      <c r="L238"/>
      <c r="M238"/>
      <c r="N238"/>
      <c r="O238" s="464"/>
    </row>
    <row r="239" spans="1:15" outlineLevel="1">
      <c r="A239" s="364" t="str">
        <f>INPUTS!A128</f>
        <v>Contracted Services</v>
      </c>
      <c r="B239" s="374" t="str">
        <f>INPUTS!K128</f>
        <v>Operating</v>
      </c>
      <c r="C239" s="850" t="str">
        <f>INPUTS!B128</f>
        <v>ALL OTHER Contracted Services</v>
      </c>
      <c r="D239" s="309">
        <f>INPUTS!D128</f>
        <v>0</v>
      </c>
      <c r="E239" s="309">
        <f>INPUTS!E128</f>
        <v>36000</v>
      </c>
      <c r="F239" s="309">
        <f>INPUTS!F128</f>
        <v>72000</v>
      </c>
      <c r="G239" s="309">
        <f>INPUTS!G128</f>
        <v>103500</v>
      </c>
      <c r="H239" s="309">
        <f>INPUTS!H128</f>
        <v>117000</v>
      </c>
      <c r="I239" s="309">
        <f>INPUTS!I128</f>
        <v>117000</v>
      </c>
      <c r="J239"/>
      <c r="K239" s="1"/>
      <c r="L239"/>
      <c r="M239"/>
      <c r="N239"/>
      <c r="O239" s="464"/>
    </row>
    <row r="240" spans="1:15" outlineLevel="1">
      <c r="A240" s="364" t="str">
        <f>INPUTS!A129</f>
        <v>School Operations</v>
      </c>
      <c r="B240" s="374" t="str">
        <f>INPUTS!K129</f>
        <v>Operating</v>
      </c>
      <c r="C240" s="850" t="str">
        <f>INPUTS!B129</f>
        <v>Board Expenses</v>
      </c>
      <c r="D240" s="309">
        <f>INPUTS!D129</f>
        <v>0</v>
      </c>
      <c r="E240" s="309">
        <f>INPUTS!E129</f>
        <v>18000</v>
      </c>
      <c r="F240" s="309">
        <f>INPUTS!F129</f>
        <v>22000</v>
      </c>
      <c r="G240" s="309">
        <f>INPUTS!G129</f>
        <v>22000</v>
      </c>
      <c r="H240" s="309">
        <f>INPUTS!H129</f>
        <v>22000</v>
      </c>
      <c r="I240" s="309">
        <f>INPUTS!I129</f>
        <v>22000</v>
      </c>
      <c r="J240"/>
      <c r="K240" s="1"/>
      <c r="L240"/>
      <c r="M240"/>
      <c r="N240"/>
      <c r="O240" s="464"/>
    </row>
    <row r="241" spans="1:15" outlineLevel="1">
      <c r="A241" s="364" t="str">
        <f>INPUTS!A130</f>
        <v>School Operations</v>
      </c>
      <c r="B241" s="374" t="str">
        <f>INPUTS!K130</f>
        <v>Instructional</v>
      </c>
      <c r="C241" s="850" t="str">
        <f>INPUTS!B130</f>
        <v>Classroom/Teaching Supplies &amp; Materials</v>
      </c>
      <c r="D241" s="309">
        <f>INPUTS!D130</f>
        <v>0</v>
      </c>
      <c r="E241" s="309">
        <f>INPUTS!E130</f>
        <v>50400</v>
      </c>
      <c r="F241" s="309">
        <f>INPUTS!F130</f>
        <v>100800</v>
      </c>
      <c r="G241" s="309">
        <f>INPUTS!G130</f>
        <v>144900</v>
      </c>
      <c r="H241" s="309">
        <f>INPUTS!H130</f>
        <v>163800</v>
      </c>
      <c r="I241" s="309">
        <f>INPUTS!I130</f>
        <v>163800</v>
      </c>
      <c r="J241"/>
      <c r="K241" s="1"/>
      <c r="L241"/>
      <c r="M241"/>
      <c r="N241"/>
      <c r="O241" s="464"/>
    </row>
    <row r="242" spans="1:15" outlineLevel="1">
      <c r="A242" s="364" t="str">
        <f>INPUTS!A131</f>
        <v>School Operations</v>
      </c>
      <c r="B242" s="374" t="str">
        <f>INPUTS!K131</f>
        <v>Instructional</v>
      </c>
      <c r="C242" s="850" t="str">
        <f>INPUTS!B131</f>
        <v>Special Ed Supplies &amp; Materials</v>
      </c>
      <c r="D242" s="309">
        <f>INPUTS!D131</f>
        <v>0</v>
      </c>
      <c r="E242" s="309">
        <f>INPUTS!E131</f>
        <v>33600</v>
      </c>
      <c r="F242" s="309">
        <f>INPUTS!F131</f>
        <v>67200</v>
      </c>
      <c r="G242" s="309">
        <f>INPUTS!G131</f>
        <v>96600</v>
      </c>
      <c r="H242" s="309">
        <f>INPUTS!H131</f>
        <v>109200</v>
      </c>
      <c r="I242" s="309">
        <f>INPUTS!I131</f>
        <v>109200</v>
      </c>
      <c r="J242"/>
      <c r="K242" s="1"/>
      <c r="L242"/>
      <c r="M242"/>
      <c r="N242"/>
      <c r="O242" s="464"/>
    </row>
    <row r="243" spans="1:15" outlineLevel="1">
      <c r="A243" s="364" t="str">
        <f>INPUTS!A132</f>
        <v>School Operations</v>
      </c>
      <c r="B243" s="374" t="str">
        <f>INPUTS!K132</f>
        <v>Instructional</v>
      </c>
      <c r="C243" s="850" t="str">
        <f>INPUTS!B132</f>
        <v>Textbooks/Workbooks</v>
      </c>
      <c r="D243" s="309">
        <f>INPUTS!D132</f>
        <v>0</v>
      </c>
      <c r="E243" s="309">
        <f>INPUTS!E132</f>
        <v>67200</v>
      </c>
      <c r="F243" s="309">
        <f>INPUTS!F132</f>
        <v>134400</v>
      </c>
      <c r="G243" s="309">
        <f>INPUTS!G132</f>
        <v>193200</v>
      </c>
      <c r="H243" s="309">
        <f>INPUTS!H132</f>
        <v>218400</v>
      </c>
      <c r="I243" s="309">
        <f>INPUTS!I132</f>
        <v>218400</v>
      </c>
      <c r="J243"/>
      <c r="K243" s="1"/>
      <c r="L243"/>
      <c r="M243"/>
      <c r="N243"/>
      <c r="O243" s="464"/>
    </row>
    <row r="244" spans="1:15" outlineLevel="1">
      <c r="A244" s="364" t="str">
        <f>INPUTS!A133</f>
        <v>School Operations</v>
      </c>
      <c r="B244" s="374" t="str">
        <f>INPUTS!K133</f>
        <v>Instructional</v>
      </c>
      <c r="C244" s="850" t="str">
        <f>INPUTS!B133</f>
        <v>Supplies &amp; Materials Other</v>
      </c>
      <c r="D244" s="309">
        <f>INPUTS!D133</f>
        <v>0</v>
      </c>
      <c r="E244" s="309">
        <f>INPUTS!E133</f>
        <v>19200</v>
      </c>
      <c r="F244" s="309">
        <f>INPUTS!F133</f>
        <v>38400</v>
      </c>
      <c r="G244" s="309">
        <f>INPUTS!G133</f>
        <v>55200</v>
      </c>
      <c r="H244" s="309">
        <f>INPUTS!H133</f>
        <v>62400</v>
      </c>
      <c r="I244" s="309">
        <f>INPUTS!I133</f>
        <v>62400</v>
      </c>
      <c r="J244"/>
      <c r="K244" s="1"/>
      <c r="L244"/>
      <c r="M244"/>
      <c r="N244"/>
      <c r="O244" s="464"/>
    </row>
    <row r="245" spans="1:15" outlineLevel="1">
      <c r="A245" s="364" t="str">
        <f>INPUTS!A134</f>
        <v>School Operations</v>
      </c>
      <c r="B245" s="374" t="str">
        <f>INPUTS!K134</f>
        <v>Operating</v>
      </c>
      <c r="C245" s="850" t="str">
        <f>INPUTS!B134</f>
        <v>School Operations Equipment/Furniture</v>
      </c>
      <c r="D245" s="309">
        <f>INPUTS!D134</f>
        <v>0</v>
      </c>
      <c r="E245" s="309">
        <f>INPUTS!E134</f>
        <v>52800</v>
      </c>
      <c r="F245" s="309">
        <f>INPUTS!F134</f>
        <v>105600</v>
      </c>
      <c r="G245" s="309">
        <f>INPUTS!G134</f>
        <v>151800</v>
      </c>
      <c r="H245" s="309">
        <f>INPUTS!H134</f>
        <v>143000</v>
      </c>
      <c r="I245" s="309">
        <f>INPUTS!I134</f>
        <v>50000</v>
      </c>
      <c r="J245"/>
      <c r="K245" s="1"/>
      <c r="L245"/>
      <c r="M245"/>
      <c r="N245"/>
      <c r="O245" s="464"/>
    </row>
    <row r="246" spans="1:15" outlineLevel="1">
      <c r="A246" s="364" t="str">
        <f>INPUTS!A135</f>
        <v>School Operations</v>
      </c>
      <c r="B246" s="374" t="str">
        <f>INPUTS!K135</f>
        <v>Operating</v>
      </c>
      <c r="C246" s="850" t="str">
        <f>INPUTS!B135</f>
        <v>Telephone</v>
      </c>
      <c r="D246" s="309">
        <f>INPUTS!D135</f>
        <v>0</v>
      </c>
      <c r="E246" s="309">
        <f>INPUTS!E135</f>
        <v>6000</v>
      </c>
      <c r="F246" s="309">
        <f>INPUTS!F135</f>
        <v>8000</v>
      </c>
      <c r="G246" s="309">
        <f>INPUTS!G135</f>
        <v>8000</v>
      </c>
      <c r="H246" s="309">
        <f>INPUTS!H135</f>
        <v>8000</v>
      </c>
      <c r="I246" s="309">
        <f>INPUTS!I135</f>
        <v>8000</v>
      </c>
      <c r="J246"/>
      <c r="K246" s="1"/>
      <c r="L246"/>
      <c r="M246"/>
      <c r="N246"/>
      <c r="O246" s="464"/>
    </row>
    <row r="247" spans="1:15" outlineLevel="1">
      <c r="A247" s="364" t="str">
        <f>INPUTS!A136</f>
        <v>School Operations</v>
      </c>
      <c r="B247" s="374" t="str">
        <f>INPUTS!K136</f>
        <v>Instructional</v>
      </c>
      <c r="C247" s="850" t="str">
        <f>INPUTS!B136</f>
        <v>Technology</v>
      </c>
      <c r="D247" s="309">
        <f>INPUTS!D136</f>
        <v>0</v>
      </c>
      <c r="E247" s="309">
        <f>INPUTS!E136</f>
        <v>84000</v>
      </c>
      <c r="F247" s="309">
        <f>INPUTS!F136</f>
        <v>168000</v>
      </c>
      <c r="G247" s="309">
        <f>INPUTS!G136</f>
        <v>241500</v>
      </c>
      <c r="H247" s="309">
        <f>INPUTS!H136</f>
        <v>273000</v>
      </c>
      <c r="I247" s="309">
        <f>INPUTS!I136</f>
        <v>150000</v>
      </c>
      <c r="J247"/>
      <c r="K247" s="1"/>
      <c r="L247"/>
      <c r="M247"/>
      <c r="N247"/>
      <c r="O247" s="464"/>
    </row>
    <row r="248" spans="1:15" outlineLevel="1">
      <c r="A248" s="364" t="str">
        <f>INPUTS!A137</f>
        <v>School Operations</v>
      </c>
      <c r="B248" s="374" t="str">
        <f>INPUTS!K137</f>
        <v>Instructional</v>
      </c>
      <c r="C248" s="850" t="str">
        <f>INPUTS!B137</f>
        <v>Student Testing &amp; Assessment</v>
      </c>
      <c r="D248" s="309">
        <f>INPUTS!D137</f>
        <v>0</v>
      </c>
      <c r="E248" s="309">
        <f>INPUTS!E137</f>
        <v>21600</v>
      </c>
      <c r="F248" s="309">
        <f>INPUTS!F137</f>
        <v>43200</v>
      </c>
      <c r="G248" s="309">
        <f>INPUTS!G137</f>
        <v>62100</v>
      </c>
      <c r="H248" s="309">
        <f>INPUTS!H137</f>
        <v>70200</v>
      </c>
      <c r="I248" s="309">
        <f>INPUTS!I137</f>
        <v>70200</v>
      </c>
      <c r="J248"/>
      <c r="K248" s="1"/>
      <c r="L248"/>
      <c r="M248"/>
      <c r="N248"/>
      <c r="O248" s="464"/>
    </row>
    <row r="249" spans="1:15" outlineLevel="1">
      <c r="A249" s="364" t="str">
        <f>INPUTS!A138</f>
        <v>School Operations</v>
      </c>
      <c r="B249" s="374" t="str">
        <f>INPUTS!K138</f>
        <v>Instructional</v>
      </c>
      <c r="C249" s="850" t="str">
        <f>INPUTS!B138</f>
        <v>Field Trips</v>
      </c>
      <c r="D249" s="309">
        <f>INPUTS!D138</f>
        <v>0</v>
      </c>
      <c r="E249" s="309">
        <f>INPUTS!E138</f>
        <v>18000</v>
      </c>
      <c r="F249" s="309">
        <f>INPUTS!F138</f>
        <v>36000</v>
      </c>
      <c r="G249" s="309">
        <f>INPUTS!G138</f>
        <v>51750</v>
      </c>
      <c r="H249" s="309">
        <f>INPUTS!H138</f>
        <v>58500</v>
      </c>
      <c r="I249" s="309">
        <f>INPUTS!I138</f>
        <v>58500</v>
      </c>
      <c r="J249"/>
      <c r="K249" s="1"/>
      <c r="L249"/>
      <c r="M249"/>
      <c r="N249"/>
      <c r="O249" s="464"/>
    </row>
    <row r="250" spans="1:15" outlineLevel="1">
      <c r="A250" s="364" t="str">
        <f>INPUTS!A139</f>
        <v>School Operations</v>
      </c>
      <c r="B250" s="374" t="str">
        <f>INPUTS!K139</f>
        <v>Operating</v>
      </c>
      <c r="C250" s="850" t="str">
        <f>INPUTS!B139</f>
        <v>Transportation (Student)</v>
      </c>
      <c r="D250" s="309">
        <f>INPUTS!D139</f>
        <v>0</v>
      </c>
      <c r="E250" s="309">
        <f>INPUTS!E139</f>
        <v>202800</v>
      </c>
      <c r="F250" s="309">
        <f>INPUTS!F139</f>
        <v>405600</v>
      </c>
      <c r="G250" s="309">
        <f>INPUTS!G139</f>
        <v>583050</v>
      </c>
      <c r="H250" s="309">
        <f>INPUTS!H139</f>
        <v>659100</v>
      </c>
      <c r="I250" s="309">
        <f>INPUTS!I139</f>
        <v>659100</v>
      </c>
      <c r="J250"/>
      <c r="K250" s="1"/>
      <c r="L250"/>
      <c r="M250"/>
      <c r="N250"/>
      <c r="O250" s="464"/>
    </row>
    <row r="251" spans="1:15" outlineLevel="1">
      <c r="A251" s="364" t="str">
        <f>INPUTS!A140</f>
        <v>School Operations</v>
      </c>
      <c r="B251" s="374" t="str">
        <f>INPUTS!K140</f>
        <v>Instructional</v>
      </c>
      <c r="C251" s="850" t="str">
        <f>INPUTS!B140</f>
        <v>Student Services Other</v>
      </c>
      <c r="D251" s="309">
        <f>INPUTS!D140</f>
        <v>0</v>
      </c>
      <c r="E251" s="309">
        <f>INPUTS!E140</f>
        <v>14400</v>
      </c>
      <c r="F251" s="309">
        <f>INPUTS!F140</f>
        <v>28800</v>
      </c>
      <c r="G251" s="309">
        <f>INPUTS!G140</f>
        <v>41400</v>
      </c>
      <c r="H251" s="309">
        <f>INPUTS!H140</f>
        <v>46800</v>
      </c>
      <c r="I251" s="309">
        <f>INPUTS!I140</f>
        <v>46800</v>
      </c>
      <c r="J251"/>
      <c r="K251" s="1"/>
      <c r="L251"/>
      <c r="M251"/>
      <c r="N251"/>
      <c r="O251" s="464"/>
    </row>
    <row r="252" spans="1:15" outlineLevel="1">
      <c r="A252" s="364" t="str">
        <f>INPUTS!A141</f>
        <v>School Operations</v>
      </c>
      <c r="B252" s="374" t="str">
        <f>INPUTS!K141</f>
        <v>Operating</v>
      </c>
      <c r="C252" s="850" t="str">
        <f>INPUTS!B141</f>
        <v>Office Expense</v>
      </c>
      <c r="D252" s="309">
        <f>INPUTS!D141</f>
        <v>0</v>
      </c>
      <c r="E252" s="309">
        <f>INPUTS!E141</f>
        <v>14000</v>
      </c>
      <c r="F252" s="309">
        <f>INPUTS!F141</f>
        <v>18000</v>
      </c>
      <c r="G252" s="309">
        <f>INPUTS!G141</f>
        <v>18000</v>
      </c>
      <c r="H252" s="309">
        <f>INPUTS!H141</f>
        <v>18000</v>
      </c>
      <c r="I252" s="309">
        <f>INPUTS!I141</f>
        <v>18000</v>
      </c>
      <c r="J252"/>
      <c r="K252" s="1"/>
      <c r="L252"/>
      <c r="M252"/>
      <c r="N252"/>
      <c r="O252" s="464"/>
    </row>
    <row r="253" spans="1:15" outlineLevel="1">
      <c r="A253" s="364" t="str">
        <f>INPUTS!A142</f>
        <v>School Operations</v>
      </c>
      <c r="B253" s="374" t="str">
        <f>INPUTS!K142</f>
        <v>Operating</v>
      </c>
      <c r="C253" s="850" t="str">
        <f>INPUTS!B142</f>
        <v>Staff Development</v>
      </c>
      <c r="D253" s="309">
        <f>INPUTS!D142</f>
        <v>800</v>
      </c>
      <c r="E253" s="309">
        <f>INPUTS!E142</f>
        <v>20600</v>
      </c>
      <c r="F253" s="309">
        <f>INPUTS!F142</f>
        <v>37800</v>
      </c>
      <c r="G253" s="309">
        <f>INPUTS!G142</f>
        <v>54600</v>
      </c>
      <c r="H253" s="309">
        <f>INPUTS!H142</f>
        <v>63400</v>
      </c>
      <c r="I253" s="309">
        <f>INPUTS!I142</f>
        <v>63400</v>
      </c>
      <c r="J253"/>
      <c r="K253" s="1"/>
      <c r="L253"/>
      <c r="M253"/>
      <c r="N253"/>
      <c r="O253" s="464"/>
    </row>
    <row r="254" spans="1:15" outlineLevel="1">
      <c r="A254" s="364" t="str">
        <f>INPUTS!A143</f>
        <v>School Operations</v>
      </c>
      <c r="B254" s="374" t="str">
        <f>INPUTS!K143</f>
        <v>Operating</v>
      </c>
      <c r="C254" s="850" t="str">
        <f>INPUTS!B143</f>
        <v>Staff Recruitment</v>
      </c>
      <c r="D254" s="309">
        <f>INPUTS!D143</f>
        <v>8000</v>
      </c>
      <c r="E254" s="309">
        <f>INPUTS!E143</f>
        <v>12875</v>
      </c>
      <c r="F254" s="309">
        <f>INPUTS!F143</f>
        <v>23625</v>
      </c>
      <c r="G254" s="309">
        <f>INPUTS!G143</f>
        <v>34125</v>
      </c>
      <c r="H254" s="309">
        <f>INPUTS!H143</f>
        <v>39625</v>
      </c>
      <c r="I254" s="309">
        <f>INPUTS!I143</f>
        <v>39625</v>
      </c>
      <c r="J254"/>
      <c r="K254" s="1"/>
      <c r="L254"/>
      <c r="M254"/>
      <c r="N254"/>
      <c r="O254" s="464"/>
    </row>
    <row r="255" spans="1:15" outlineLevel="1">
      <c r="A255" s="364" t="str">
        <f>INPUTS!A144</f>
        <v>School Operations</v>
      </c>
      <c r="B255" s="374" t="str">
        <f>INPUTS!K144</f>
        <v>Operating</v>
      </c>
      <c r="C255" s="850" t="str">
        <f>INPUTS!B144</f>
        <v>Student Recruitment/Marketing</v>
      </c>
      <c r="D255" s="309">
        <f>INPUTS!D144</f>
        <v>0</v>
      </c>
      <c r="E255" s="309">
        <f>INPUTS!E144</f>
        <v>28000</v>
      </c>
      <c r="F255" s="309">
        <f>INPUTS!F144</f>
        <v>20000</v>
      </c>
      <c r="G255" s="309">
        <f>INPUTS!G144</f>
        <v>20000</v>
      </c>
      <c r="H255" s="309">
        <f>INPUTS!H144</f>
        <v>20000</v>
      </c>
      <c r="I255" s="309">
        <f>INPUTS!I144</f>
        <v>20000</v>
      </c>
      <c r="J255"/>
      <c r="K255" s="1"/>
      <c r="L255"/>
      <c r="M255"/>
      <c r="N255"/>
      <c r="O255" s="464"/>
    </row>
    <row r="256" spans="1:15" outlineLevel="1">
      <c r="A256" s="364" t="str">
        <f>INPUTS!A145</f>
        <v>School Operations</v>
      </c>
      <c r="B256" s="374" t="str">
        <f>INPUTS!K145</f>
        <v>Operating</v>
      </c>
      <c r="C256" s="850" t="str">
        <f>INPUTS!B145</f>
        <v>School Meals/Lunch</v>
      </c>
      <c r="D256" s="309">
        <f>INPUTS!D145</f>
        <v>0</v>
      </c>
      <c r="E256" s="309">
        <f>INPUTS!E145</f>
        <v>198000</v>
      </c>
      <c r="F256" s="309">
        <f>INPUTS!F145</f>
        <v>396000</v>
      </c>
      <c r="G256" s="309">
        <f>INPUTS!G145</f>
        <v>569250</v>
      </c>
      <c r="H256" s="309">
        <f>INPUTS!H145</f>
        <v>643500</v>
      </c>
      <c r="I256" s="309">
        <f>INPUTS!I145</f>
        <v>643500</v>
      </c>
      <c r="J256"/>
      <c r="K256" s="1"/>
      <c r="L256"/>
      <c r="M256"/>
      <c r="N256"/>
      <c r="O256" s="464"/>
    </row>
    <row r="257" spans="1:15" outlineLevel="1">
      <c r="A257" s="364" t="str">
        <f>INPUTS!A146</f>
        <v>School Operations</v>
      </c>
      <c r="B257" s="374" t="str">
        <f>INPUTS!K146</f>
        <v>Operating</v>
      </c>
      <c r="C257" s="850" t="str">
        <f>INPUTS!B146</f>
        <v>Stipends/Bonuses</v>
      </c>
      <c r="D257" s="309">
        <f>INPUTS!D146</f>
        <v>400</v>
      </c>
      <c r="E257" s="309">
        <f>INPUTS!E146</f>
        <v>10300</v>
      </c>
      <c r="F257" s="309">
        <f>INPUTS!F146</f>
        <v>18900</v>
      </c>
      <c r="G257" s="309">
        <f>INPUTS!G146</f>
        <v>27300</v>
      </c>
      <c r="H257" s="309">
        <f>INPUTS!H146</f>
        <v>31700</v>
      </c>
      <c r="I257" s="309">
        <f>INPUTS!I146</f>
        <v>31700</v>
      </c>
      <c r="J257"/>
      <c r="K257" s="1"/>
      <c r="L257"/>
      <c r="M257"/>
      <c r="N257"/>
      <c r="O257" s="464"/>
    </row>
    <row r="258" spans="1:15" outlineLevel="1">
      <c r="A258" s="364" t="str">
        <f>INPUTS!A147</f>
        <v>School Operations</v>
      </c>
      <c r="B258" s="374" t="str">
        <f>INPUTS!K147</f>
        <v>Non-Operating</v>
      </c>
      <c r="C258" s="850" t="str">
        <f>INPUTS!B147</f>
        <v>Fundraising</v>
      </c>
      <c r="D258" s="309">
        <f>INPUTS!D147</f>
        <v>0</v>
      </c>
      <c r="E258" s="309">
        <f>INPUTS!E147</f>
        <v>5000</v>
      </c>
      <c r="F258" s="309">
        <f>INPUTS!F147</f>
        <v>7000</v>
      </c>
      <c r="G258" s="309">
        <f>INPUTS!G147</f>
        <v>7000</v>
      </c>
      <c r="H258" s="309">
        <f>INPUTS!H147</f>
        <v>7000</v>
      </c>
      <c r="I258" s="309">
        <f>INPUTS!I147</f>
        <v>7000</v>
      </c>
      <c r="J258"/>
      <c r="K258" s="1"/>
      <c r="L258"/>
      <c r="M258"/>
      <c r="N258"/>
      <c r="O258" s="464"/>
    </row>
    <row r="259" spans="1:15" outlineLevel="1">
      <c r="A259" s="364" t="str">
        <f>INPUTS!A148</f>
        <v>School Operations</v>
      </c>
      <c r="B259" s="374" t="str">
        <f>INPUTS!K148</f>
        <v>Operating</v>
      </c>
      <c r="C259" s="850" t="str">
        <f>INPUTS!B148</f>
        <v>Extra Curricular</v>
      </c>
      <c r="D259" s="309">
        <f>INPUTS!D148</f>
        <v>0</v>
      </c>
      <c r="E259" s="309">
        <f>INPUTS!E148</f>
        <v>26400</v>
      </c>
      <c r="F259" s="309">
        <f>INPUTS!F148</f>
        <v>52800</v>
      </c>
      <c r="G259" s="309">
        <f>INPUTS!G148</f>
        <v>75900</v>
      </c>
      <c r="H259" s="309">
        <f>INPUTS!H148</f>
        <v>85800</v>
      </c>
      <c r="I259" s="309">
        <f>INPUTS!I148</f>
        <v>85800</v>
      </c>
      <c r="J259"/>
      <c r="K259" s="1"/>
      <c r="L259"/>
      <c r="M259"/>
      <c r="N259"/>
      <c r="O259" s="464"/>
    </row>
    <row r="260" spans="1:15" outlineLevel="1">
      <c r="A260" s="364" t="str">
        <f>INPUTS!A149</f>
        <v>School Operations</v>
      </c>
      <c r="B260" s="374" t="str">
        <f>INPUTS!K149</f>
        <v>Operating</v>
      </c>
      <c r="C260" s="850" t="str">
        <f>INPUTS!B149</f>
        <v>Misc. Operating Expenses</v>
      </c>
      <c r="D260" s="309">
        <f>INPUTS!D149</f>
        <v>0</v>
      </c>
      <c r="E260" s="309">
        <f>INPUTS!E149</f>
        <v>13200</v>
      </c>
      <c r="F260" s="309">
        <f>INPUTS!F149</f>
        <v>26400</v>
      </c>
      <c r="G260" s="309">
        <f>INPUTS!G149</f>
        <v>37950</v>
      </c>
      <c r="H260" s="309">
        <f>INPUTS!H149</f>
        <v>42900</v>
      </c>
      <c r="I260" s="309">
        <f>INPUTS!I149</f>
        <v>42900</v>
      </c>
      <c r="J260"/>
      <c r="K260" s="1"/>
      <c r="L260"/>
      <c r="M260"/>
      <c r="N260"/>
      <c r="O260" s="464"/>
    </row>
    <row r="261" spans="1:15" outlineLevel="1">
      <c r="A261" s="364" t="str">
        <f>INPUTS!A150</f>
        <v>School Operations</v>
      </c>
      <c r="B261" s="374" t="str">
        <f>INPUTS!K150</f>
        <v>Operating</v>
      </c>
      <c r="C261" s="850" t="str">
        <f>INPUTS!B150</f>
        <v>ALL OTHER School Operations</v>
      </c>
      <c r="D261" s="309">
        <f>INPUTS!D150</f>
        <v>0</v>
      </c>
      <c r="E261" s="309">
        <f>INPUTS!E150</f>
        <v>10000</v>
      </c>
      <c r="F261" s="309">
        <f>INPUTS!F150</f>
        <v>12000</v>
      </c>
      <c r="G261" s="309">
        <f>INPUTS!G150</f>
        <v>12000</v>
      </c>
      <c r="H261" s="309">
        <f>INPUTS!H150</f>
        <v>12000</v>
      </c>
      <c r="I261" s="309">
        <f>INPUTS!I150</f>
        <v>12000</v>
      </c>
      <c r="J261"/>
      <c r="K261" s="1"/>
      <c r="L261"/>
      <c r="M261"/>
      <c r="N261"/>
      <c r="O261" s="464"/>
    </row>
    <row r="262" spans="1:15" outlineLevel="1">
      <c r="A262" s="364" t="str">
        <f>INPUTS!A151</f>
        <v>Facility Operations &amp; Maintenance</v>
      </c>
      <c r="B262" s="374" t="str">
        <f>INPUTS!K151</f>
        <v>Facilities</v>
      </c>
      <c r="C262" s="850" t="str">
        <f>INPUTS!B151</f>
        <v>Insurance</v>
      </c>
      <c r="D262" s="309">
        <f>INPUTS!D151</f>
        <v>0</v>
      </c>
      <c r="E262" s="309">
        <f>INPUTS!E151</f>
        <v>28000</v>
      </c>
      <c r="F262" s="309">
        <f>INPUTS!F151</f>
        <v>32000</v>
      </c>
      <c r="G262" s="309">
        <f>INPUTS!G151</f>
        <v>32000</v>
      </c>
      <c r="H262" s="309">
        <f>INPUTS!H151</f>
        <v>32000</v>
      </c>
      <c r="I262" s="309">
        <f>INPUTS!I151</f>
        <v>32000</v>
      </c>
      <c r="J262"/>
      <c r="K262" s="1"/>
      <c r="L262"/>
      <c r="M262"/>
      <c r="N262"/>
      <c r="O262" s="464"/>
    </row>
    <row r="263" spans="1:15" outlineLevel="1">
      <c r="A263" s="364" t="str">
        <f>INPUTS!A152</f>
        <v>Facility Operations &amp; Maintenance</v>
      </c>
      <c r="B263" s="374" t="str">
        <f>INPUTS!K152</f>
        <v>Facilities</v>
      </c>
      <c r="C263" s="850" t="str">
        <f>INPUTS!B152</f>
        <v>Janitorial Services</v>
      </c>
      <c r="D263" s="309">
        <f>INPUTS!D152</f>
        <v>0</v>
      </c>
      <c r="E263" s="309">
        <f>INPUTS!E152</f>
        <v>36000</v>
      </c>
      <c r="F263" s="309">
        <f>INPUTS!F152</f>
        <v>52000</v>
      </c>
      <c r="G263" s="309">
        <f>INPUTS!G152</f>
        <v>52000</v>
      </c>
      <c r="H263" s="309">
        <f>INPUTS!H152</f>
        <v>52000</v>
      </c>
      <c r="I263" s="309">
        <f>INPUTS!I152</f>
        <v>52000</v>
      </c>
      <c r="J263"/>
      <c r="K263" s="1"/>
      <c r="L263"/>
      <c r="M263"/>
      <c r="N263"/>
      <c r="O263" s="464"/>
    </row>
    <row r="264" spans="1:15" outlineLevel="1">
      <c r="A264" s="364" t="str">
        <f>INPUTS!A153</f>
        <v>Facility Operations &amp; Maintenance</v>
      </c>
      <c r="B264" s="374" t="str">
        <f>INPUTS!K153</f>
        <v>Facilities</v>
      </c>
      <c r="C264" s="850" t="str">
        <f>INPUTS!B153</f>
        <v>Building and Land Rent/Lease</v>
      </c>
      <c r="D264" s="309">
        <f>INPUTS!D153</f>
        <v>0</v>
      </c>
      <c r="E264" s="309">
        <f>INPUTS!E153</f>
        <v>240000</v>
      </c>
      <c r="F264" s="309">
        <f>INPUTS!F153</f>
        <v>300000</v>
      </c>
      <c r="G264" s="309">
        <f>INPUTS!G153</f>
        <v>300000</v>
      </c>
      <c r="H264" s="309">
        <f>INPUTS!H153</f>
        <v>300000</v>
      </c>
      <c r="I264" s="309">
        <f>INPUTS!I153</f>
        <v>300000</v>
      </c>
      <c r="J264"/>
      <c r="K264" s="1"/>
      <c r="L264"/>
      <c r="M264"/>
      <c r="N264"/>
      <c r="O264" s="464"/>
    </row>
    <row r="265" spans="1:15" outlineLevel="1">
      <c r="A265" s="364" t="str">
        <f>INPUTS!A154</f>
        <v>Facility Operations &amp; Maintenance</v>
      </c>
      <c r="B265" s="374" t="str">
        <f>INPUTS!K154</f>
        <v>Facilities</v>
      </c>
      <c r="C265" s="850" t="str">
        <f>INPUTS!B154</f>
        <v>Repairs &amp; Maintenance</v>
      </c>
      <c r="D265" s="309">
        <f>INPUTS!D154</f>
        <v>0</v>
      </c>
      <c r="E265" s="309">
        <f>INPUTS!E154</f>
        <v>18000</v>
      </c>
      <c r="F265" s="309">
        <f>INPUTS!F154</f>
        <v>24000</v>
      </c>
      <c r="G265" s="309">
        <f>INPUTS!G154</f>
        <v>24000</v>
      </c>
      <c r="H265" s="309">
        <f>INPUTS!H154</f>
        <v>24000</v>
      </c>
      <c r="I265" s="309">
        <f>INPUTS!I154</f>
        <v>24000</v>
      </c>
      <c r="J265"/>
      <c r="K265" s="1"/>
      <c r="L265"/>
      <c r="M265"/>
      <c r="N265"/>
      <c r="O265" s="464"/>
    </row>
    <row r="266" spans="1:15" outlineLevel="1">
      <c r="A266" s="364" t="str">
        <f>INPUTS!A155</f>
        <v>Facility Operations &amp; Maintenance</v>
      </c>
      <c r="B266" s="374" t="str">
        <f>INPUTS!K155</f>
        <v>Facilities</v>
      </c>
      <c r="C266" s="850" t="str">
        <f>INPUTS!B155</f>
        <v>Facility Operations &amp; Maintenance Equipment/Furniture</v>
      </c>
      <c r="D266" s="309">
        <f>INPUTS!D155</f>
        <v>0</v>
      </c>
      <c r="E266" s="309">
        <f>INPUTS!E155</f>
        <v>8000</v>
      </c>
      <c r="F266" s="309">
        <f>INPUTS!F155</f>
        <v>5000</v>
      </c>
      <c r="G266" s="309">
        <f>INPUTS!G155</f>
        <v>5000</v>
      </c>
      <c r="H266" s="309">
        <f>INPUTS!H155</f>
        <v>5000</v>
      </c>
      <c r="I266" s="309">
        <f>INPUTS!I155</f>
        <v>5000</v>
      </c>
      <c r="J266"/>
      <c r="K266" s="1"/>
      <c r="L266"/>
      <c r="M266"/>
      <c r="N266"/>
      <c r="O266" s="464"/>
    </row>
    <row r="267" spans="1:15" outlineLevel="1">
      <c r="A267" s="364" t="str">
        <f>INPUTS!A156</f>
        <v>Facility Operations &amp; Maintenance</v>
      </c>
      <c r="B267" s="374" t="str">
        <f>INPUTS!K156</f>
        <v>Facilities</v>
      </c>
      <c r="C267" s="850" t="str">
        <f>INPUTS!B156</f>
        <v>Security Services</v>
      </c>
      <c r="D267" s="309">
        <f>INPUTS!D156</f>
        <v>0</v>
      </c>
      <c r="E267" s="309">
        <f>INPUTS!E156</f>
        <v>22000</v>
      </c>
      <c r="F267" s="309">
        <f>INPUTS!F156</f>
        <v>28000</v>
      </c>
      <c r="G267" s="309">
        <f>INPUTS!G156</f>
        <v>28000</v>
      </c>
      <c r="H267" s="309">
        <f>INPUTS!H156</f>
        <v>28000</v>
      </c>
      <c r="I267" s="309">
        <f>INPUTS!I156</f>
        <v>28000</v>
      </c>
      <c r="J267"/>
      <c r="K267" s="1"/>
      <c r="L267"/>
      <c r="M267"/>
      <c r="N267"/>
      <c r="O267" s="464"/>
    </row>
    <row r="268" spans="1:15" outlineLevel="1">
      <c r="A268" s="364" t="str">
        <f>INPUTS!A157</f>
        <v>Facility Operations &amp; Maintenance</v>
      </c>
      <c r="B268" s="374" t="str">
        <f>INPUTS!K157</f>
        <v>Facilities</v>
      </c>
      <c r="C268" s="850" t="str">
        <f>INPUTS!B157</f>
        <v>Utilities</v>
      </c>
      <c r="D268" s="309">
        <f>INPUTS!D157</f>
        <v>0</v>
      </c>
      <c r="E268" s="309">
        <f>INPUTS!E157</f>
        <v>48000</v>
      </c>
      <c r="F268" s="309">
        <f>INPUTS!F157</f>
        <v>62000</v>
      </c>
      <c r="G268" s="309">
        <f>INPUTS!G157</f>
        <v>62000</v>
      </c>
      <c r="H268" s="309">
        <f>INPUTS!H157</f>
        <v>62000</v>
      </c>
      <c r="I268" s="309">
        <f>INPUTS!I157</f>
        <v>62000</v>
      </c>
      <c r="J268"/>
      <c r="K268" s="1"/>
      <c r="L268"/>
      <c r="M268"/>
      <c r="N268"/>
      <c r="O268" s="464"/>
    </row>
    <row r="269" spans="1:15" outlineLevel="1">
      <c r="A269" s="364" t="str">
        <f>INPUTS!A158</f>
        <v>Facility Operations &amp; Maintenance</v>
      </c>
      <c r="B269" s="374" t="str">
        <f>INPUTS!K158</f>
        <v>Facilities</v>
      </c>
      <c r="C269" s="850" t="str">
        <f>INPUTS!B158</f>
        <v>ALL OTHER Facilities Operations &amp; Maintenance</v>
      </c>
      <c r="D269" s="309">
        <f>INPUTS!D158</f>
        <v>0</v>
      </c>
      <c r="E269" s="309">
        <f>INPUTS!E158</f>
        <v>8000</v>
      </c>
      <c r="F269" s="309">
        <f>INPUTS!F158</f>
        <v>10000</v>
      </c>
      <c r="G269" s="309">
        <f>INPUTS!G158</f>
        <v>10000</v>
      </c>
      <c r="H269" s="309">
        <f>INPUTS!H158</f>
        <v>10000</v>
      </c>
      <c r="I269" s="309">
        <f>INPUTS!I158</f>
        <v>10000</v>
      </c>
      <c r="J269"/>
      <c r="K269" s="1"/>
      <c r="L269"/>
      <c r="M269"/>
      <c r="N269"/>
      <c r="O269" s="464"/>
    </row>
    <row r="270" spans="1:15" outlineLevel="1">
      <c r="A270" s="364" t="str">
        <f>INPUTS!A159</f>
        <v>Contingency</v>
      </c>
      <c r="B270" s="374" t="str">
        <f>INPUTS!K159</f>
        <v>Operating</v>
      </c>
      <c r="C270" s="850" t="str">
        <f>INPUTS!B159</f>
        <v>RESERVES/CONTINGENCY</v>
      </c>
      <c r="D270" s="309">
        <f>INPUTS!D159</f>
        <v>0</v>
      </c>
      <c r="E270" s="309">
        <f>INPUTS!E159</f>
        <v>0</v>
      </c>
      <c r="F270" s="309">
        <f>INPUTS!F159</f>
        <v>0</v>
      </c>
      <c r="G270" s="309">
        <f>INPUTS!G159</f>
        <v>0</v>
      </c>
      <c r="H270" s="309">
        <f>INPUTS!H159</f>
        <v>0</v>
      </c>
      <c r="I270" s="309">
        <f>INPUTS!I159</f>
        <v>0</v>
      </c>
      <c r="J270"/>
      <c r="K270" s="1"/>
      <c r="L270"/>
      <c r="M270"/>
      <c r="N270"/>
      <c r="O270" s="464"/>
    </row>
    <row r="271" spans="1:15" outlineLevel="1">
      <c r="A271" s="364" t="str">
        <f>INPUTS!A160</f>
        <v>Facility Operations &amp; Maintenance</v>
      </c>
      <c r="B271" s="374" t="str">
        <f>INPUTS!K160</f>
        <v>Non-Operating</v>
      </c>
      <c r="C271" s="850" t="str">
        <f>INPUTS!B160</f>
        <v>Interest Expense</v>
      </c>
      <c r="D271" s="309">
        <f>INPUTS!D160</f>
        <v>0</v>
      </c>
      <c r="E271" s="309">
        <f>INPUTS!E160</f>
        <v>257016.07125742125</v>
      </c>
      <c r="F271" s="309">
        <f>INPUTS!F160</f>
        <v>253109.85234050342</v>
      </c>
      <c r="G271" s="309">
        <f>INPUTS!G160</f>
        <v>249003.78385025455</v>
      </c>
      <c r="H271" s="309">
        <f>INPUTS!H160</f>
        <v>244687.64110321214</v>
      </c>
      <c r="I271" s="309">
        <f>INPUTS!I160</f>
        <v>240150.67630170251</v>
      </c>
      <c r="J271"/>
      <c r="K271" s="1"/>
      <c r="L271"/>
      <c r="M271"/>
      <c r="N271"/>
      <c r="O271" s="464"/>
    </row>
    <row r="272" spans="1:15" outlineLevel="1">
      <c r="A272" s="364" t="str">
        <f>INPUTS!A161</f>
        <v>Depreciation &amp; Amortization</v>
      </c>
      <c r="B272" s="374" t="str">
        <f>INPUTS!K161</f>
        <v>Non-Operating</v>
      </c>
      <c r="C272" s="850" t="str">
        <f>INPUTS!B161</f>
        <v>DEPRECIATION &amp; AMORTIZATION</v>
      </c>
      <c r="D272" s="309">
        <f>INPUTS!D161</f>
        <v>0</v>
      </c>
      <c r="E272" s="309">
        <f>INPUTS!E161</f>
        <v>172500</v>
      </c>
      <c r="F272" s="309">
        <f>INPUTS!F161</f>
        <v>172500</v>
      </c>
      <c r="G272" s="309">
        <f>INPUTS!G161</f>
        <v>172500</v>
      </c>
      <c r="H272" s="309">
        <f>INPUTS!H161</f>
        <v>172500</v>
      </c>
      <c r="I272" s="309">
        <f>INPUTS!I161</f>
        <v>172500</v>
      </c>
      <c r="J272"/>
      <c r="K272" s="1"/>
      <c r="L272"/>
      <c r="M272"/>
      <c r="N272"/>
      <c r="O272" s="464"/>
    </row>
    <row r="273" spans="1:15" outlineLevel="1">
      <c r="A273" s="364" t="str">
        <f>INPUTS!A162</f>
        <v>Personnel Services Costs</v>
      </c>
      <c r="B273" s="374" t="str">
        <f>INPUTS!K162</f>
        <v>Personnel</v>
      </c>
      <c r="C273" s="850" t="str">
        <f>INPUTS!B162</f>
        <v>Personnel Services Costs</v>
      </c>
      <c r="D273" s="309">
        <f>INPUTS!D162</f>
        <v>206000</v>
      </c>
      <c r="E273" s="309">
        <f>INPUTS!E162</f>
        <v>2117025.9500000002</v>
      </c>
      <c r="F273" s="309">
        <f>INPUTS!F162</f>
        <v>3784113.6009999993</v>
      </c>
      <c r="G273" s="309">
        <f>INPUTS!G162</f>
        <v>5513867.6601900002</v>
      </c>
      <c r="H273" s="309">
        <f>INPUTS!H162</f>
        <v>6606702.9494357016</v>
      </c>
      <c r="I273" s="309">
        <f>INPUTS!I162</f>
        <v>6804904.0379187716</v>
      </c>
      <c r="J273"/>
      <c r="K273" s="1"/>
      <c r="L273"/>
      <c r="M273"/>
      <c r="N273"/>
      <c r="O273" s="464"/>
    </row>
    <row r="274" spans="1:15" outlineLevel="1">
      <c r="A274" s="364" t="str">
        <f>INPUTS!A163</f>
        <v>Personnel Taxes &amp; Benefits Costs</v>
      </c>
      <c r="B274" s="374" t="str">
        <f>INPUTS!K163</f>
        <v>Personnel</v>
      </c>
      <c r="C274" s="850" t="str">
        <f>INPUTS!B163</f>
        <v>Personnel Taxes &amp; Benefits Costs</v>
      </c>
      <c r="D274" s="309">
        <f>INPUTS!D163</f>
        <v>61800</v>
      </c>
      <c r="E274" s="309">
        <f>INPUTS!E163</f>
        <v>635107.78499999992</v>
      </c>
      <c r="F274" s="309">
        <f>INPUTS!F163</f>
        <v>1135234.0803</v>
      </c>
      <c r="G274" s="309">
        <f>INPUTS!G163</f>
        <v>1654160.2980570002</v>
      </c>
      <c r="H274" s="309">
        <f>INPUTS!H163</f>
        <v>1982010.8848307098</v>
      </c>
      <c r="I274" s="309">
        <f>INPUTS!I163</f>
        <v>2041471.2113756312</v>
      </c>
      <c r="J274"/>
      <c r="K274" s="1"/>
      <c r="L274"/>
      <c r="M274"/>
      <c r="N274"/>
      <c r="O274" s="464"/>
    </row>
    <row r="275" spans="1:15" outlineLevel="1">
      <c r="A275" s="183"/>
      <c r="B275" s="237" t="s">
        <v>268</v>
      </c>
      <c r="C275" s="237"/>
      <c r="D275" s="238">
        <f>SUM(D231:D274)</f>
        <v>278380</v>
      </c>
      <c r="E275" s="238">
        <f t="shared" ref="E275:I275" si="71">SUM(E231:E274)</f>
        <v>5043898.3352574222</v>
      </c>
      <c r="F275" s="238">
        <f t="shared" si="71"/>
        <v>8713989.1555905025</v>
      </c>
      <c r="G275" s="238">
        <f t="shared" si="71"/>
        <v>12170188.568989988</v>
      </c>
      <c r="H275" s="238">
        <f t="shared" si="71"/>
        <v>14087276.133097034</v>
      </c>
      <c r="I275" s="238">
        <f t="shared" si="71"/>
        <v>14133224.324766701</v>
      </c>
      <c r="J275"/>
      <c r="K275" s="1"/>
      <c r="L275"/>
      <c r="M275"/>
      <c r="N275"/>
      <c r="O275" s="464"/>
    </row>
    <row r="276" spans="1:15" outlineLevel="1">
      <c r="A276" s="183"/>
      <c r="B276" s="665"/>
      <c r="C276" s="665" t="s">
        <v>285</v>
      </c>
      <c r="D276" s="666">
        <f>IFERROR((D275-#REF!)/#REF!, 0)</f>
        <v>0</v>
      </c>
      <c r="E276" s="666">
        <f>IFERROR((E275-D275)/ABS(D275), 0)</f>
        <v>17.118752551395296</v>
      </c>
      <c r="F276" s="666">
        <f t="shared" ref="F276" si="72">IFERROR((F275-E275)/ABS(E275), 0)</f>
        <v>0.72762981654065639</v>
      </c>
      <c r="G276" s="666">
        <f t="shared" ref="G276" si="73">IFERROR((G275-F275)/ABS(F275), 0)</f>
        <v>0.39662654516641715</v>
      </c>
      <c r="H276" s="666">
        <f t="shared" ref="H276" si="74">IFERROR((H275-G275)/ABS(G275), 0)</f>
        <v>0.15752324240824361</v>
      </c>
      <c r="I276" s="666">
        <f t="shared" ref="I276" si="75">IFERROR((I275-H275)/ABS(H275), 0)</f>
        <v>3.2616803444148576E-3</v>
      </c>
      <c r="J276"/>
      <c r="K276" s="1"/>
      <c r="L276"/>
      <c r="M276"/>
      <c r="N276"/>
      <c r="O276" s="464"/>
    </row>
    <row r="277" spans="1:15" outlineLevel="1">
      <c r="A277" s="183"/>
      <c r="B277"/>
      <c r="C277"/>
      <c r="D277"/>
      <c r="E277"/>
      <c r="F277"/>
      <c r="G277"/>
      <c r="H277"/>
      <c r="I277"/>
      <c r="J277"/>
      <c r="K277" s="1"/>
      <c r="L277"/>
      <c r="M277"/>
      <c r="N277"/>
      <c r="O277" s="464"/>
    </row>
    <row r="278" spans="1:15" ht="27" outlineLevel="1" thickBot="1">
      <c r="A278" s="753"/>
      <c r="B278" s="5"/>
      <c r="C278"/>
      <c r="D278"/>
      <c r="E278"/>
      <c r="F278"/>
      <c r="G278"/>
      <c r="H278"/>
      <c r="I278"/>
      <c r="J278" s="395" t="s">
        <v>267</v>
      </c>
      <c r="K278" s="396"/>
      <c r="L278" s="5"/>
      <c r="M278"/>
      <c r="N278"/>
      <c r="O278" s="464"/>
    </row>
    <row r="279" spans="1:15" outlineLevel="1">
      <c r="A279" s="753"/>
      <c r="B279" s="823" t="s">
        <v>423</v>
      </c>
      <c r="C279" s="824"/>
      <c r="D279" s="825"/>
      <c r="E279" s="825"/>
      <c r="F279" s="825"/>
      <c r="G279" s="825"/>
      <c r="H279" s="825"/>
      <c r="I279" s="826"/>
      <c r="J279"/>
      <c r="K279" s="1"/>
      <c r="L279" s="5"/>
      <c r="M279"/>
      <c r="N279"/>
      <c r="O279" s="464"/>
    </row>
    <row r="280" spans="1:15" outlineLevel="1">
      <c r="A280" s="753"/>
      <c r="B280" s="400" t="str">
        <f>Drivers!A105</f>
        <v>Personnel</v>
      </c>
      <c r="C280" s="401"/>
      <c r="D280" s="177">
        <f>IFERROR(SUMIFS(D$231:D$274,$B$231:$B$274, $B280), 0)</f>
        <v>267800</v>
      </c>
      <c r="E280" s="177">
        <f t="shared" ref="E280:I285" si="76">IFERROR(SUMIFS(E$231:E$274,$B$231:$B$274, $B280), 0)</f>
        <v>2752133.7350000003</v>
      </c>
      <c r="F280" s="177">
        <f t="shared" si="76"/>
        <v>4919347.6812999994</v>
      </c>
      <c r="G280" s="177">
        <f t="shared" si="76"/>
        <v>7168027.9582470004</v>
      </c>
      <c r="H280" s="177">
        <f t="shared" si="76"/>
        <v>8588713.8342664111</v>
      </c>
      <c r="I280" s="385">
        <f t="shared" si="76"/>
        <v>8846375.2492944021</v>
      </c>
      <c r="J280"/>
      <c r="K280" s="1"/>
      <c r="L280" s="5"/>
      <c r="M280"/>
      <c r="N280"/>
      <c r="O280" s="464"/>
    </row>
    <row r="281" spans="1:15" outlineLevel="1">
      <c r="A281" s="753"/>
      <c r="B281" s="827" t="str">
        <f>Drivers!A108</f>
        <v>Instructional</v>
      </c>
      <c r="C281" s="819"/>
      <c r="D281" s="177">
        <f t="shared" ref="D281:D285" si="77">IFERROR(SUMIFS(D$231:D$274,$B$231:$B$274, $B281), 0)</f>
        <v>0</v>
      </c>
      <c r="E281" s="177">
        <f t="shared" si="76"/>
        <v>668400</v>
      </c>
      <c r="F281" s="177">
        <f t="shared" si="76"/>
        <v>1336800</v>
      </c>
      <c r="G281" s="177">
        <f t="shared" si="76"/>
        <v>1921650</v>
      </c>
      <c r="H281" s="177">
        <f t="shared" si="76"/>
        <v>2172300</v>
      </c>
      <c r="I281" s="385">
        <f t="shared" si="76"/>
        <v>2049300</v>
      </c>
      <c r="J281"/>
      <c r="K281" s="1"/>
      <c r="L281" s="5"/>
      <c r="M281"/>
      <c r="N281"/>
      <c r="O281" s="464"/>
    </row>
    <row r="282" spans="1:15" outlineLevel="1">
      <c r="A282" s="753"/>
      <c r="B282" s="828" t="str">
        <f>Drivers!A106</f>
        <v>Facilities</v>
      </c>
      <c r="C282" s="820"/>
      <c r="D282" s="177">
        <f t="shared" si="77"/>
        <v>0</v>
      </c>
      <c r="E282" s="177">
        <f t="shared" si="76"/>
        <v>408000</v>
      </c>
      <c r="F282" s="177">
        <f t="shared" si="76"/>
        <v>513000</v>
      </c>
      <c r="G282" s="177">
        <f t="shared" si="76"/>
        <v>513000</v>
      </c>
      <c r="H282" s="177">
        <f t="shared" si="76"/>
        <v>513000</v>
      </c>
      <c r="I282" s="385">
        <f t="shared" si="76"/>
        <v>513000</v>
      </c>
      <c r="J282"/>
      <c r="K282" s="1"/>
      <c r="L282" s="5"/>
      <c r="M282"/>
      <c r="N282"/>
      <c r="O282" s="464"/>
    </row>
    <row r="283" spans="1:15" outlineLevel="1">
      <c r="A283" s="753"/>
      <c r="B283" s="388" t="str">
        <f>Drivers!A107</f>
        <v>Operating</v>
      </c>
      <c r="C283" s="237"/>
      <c r="D283" s="177">
        <f t="shared" si="77"/>
        <v>10580</v>
      </c>
      <c r="E283" s="177">
        <f t="shared" si="76"/>
        <v>780848.52899999998</v>
      </c>
      <c r="F283" s="177">
        <f t="shared" si="76"/>
        <v>1512231.6219500001</v>
      </c>
      <c r="G283" s="177">
        <f t="shared" si="76"/>
        <v>2139006.8268927345</v>
      </c>
      <c r="H283" s="177">
        <f t="shared" si="76"/>
        <v>2389074.6577274101</v>
      </c>
      <c r="I283" s="385">
        <f t="shared" si="76"/>
        <v>2304898.3991705952</v>
      </c>
      <c r="J283"/>
      <c r="K283" s="1"/>
      <c r="L283" s="5"/>
      <c r="M283"/>
      <c r="N283"/>
      <c r="O283" s="464"/>
    </row>
    <row r="284" spans="1:15" outlineLevel="1">
      <c r="A284" s="753"/>
      <c r="B284" s="829" t="str">
        <f>Drivers!A109</f>
        <v>Administrative</v>
      </c>
      <c r="C284" s="821"/>
      <c r="D284" s="177">
        <f t="shared" si="77"/>
        <v>0</v>
      </c>
      <c r="E284" s="177">
        <f t="shared" si="76"/>
        <v>0</v>
      </c>
      <c r="F284" s="177">
        <f t="shared" si="76"/>
        <v>0</v>
      </c>
      <c r="G284" s="177">
        <f t="shared" si="76"/>
        <v>0</v>
      </c>
      <c r="H284" s="177">
        <f t="shared" si="76"/>
        <v>0</v>
      </c>
      <c r="I284" s="385">
        <f t="shared" si="76"/>
        <v>0</v>
      </c>
      <c r="J284"/>
      <c r="K284" s="1"/>
      <c r="L284" s="5"/>
      <c r="M284"/>
      <c r="N284"/>
      <c r="O284" s="464"/>
    </row>
    <row r="285" spans="1:15" outlineLevel="1">
      <c r="A285" s="753"/>
      <c r="B285" s="830" t="str">
        <f>Drivers!A110</f>
        <v>Non-Operating</v>
      </c>
      <c r="C285" s="822"/>
      <c r="D285" s="177">
        <f t="shared" si="77"/>
        <v>0</v>
      </c>
      <c r="E285" s="177">
        <f t="shared" si="76"/>
        <v>434516.07125742128</v>
      </c>
      <c r="F285" s="177">
        <f t="shared" si="76"/>
        <v>432609.85234050342</v>
      </c>
      <c r="G285" s="177">
        <f t="shared" si="76"/>
        <v>428503.78385025455</v>
      </c>
      <c r="H285" s="177">
        <f t="shared" si="76"/>
        <v>424187.64110321214</v>
      </c>
      <c r="I285" s="385">
        <f t="shared" si="76"/>
        <v>419650.67630170251</v>
      </c>
      <c r="J285"/>
      <c r="K285" s="1"/>
      <c r="L285" s="5"/>
      <c r="M285"/>
      <c r="N285"/>
      <c r="O285" s="464"/>
    </row>
    <row r="286" spans="1:15" outlineLevel="1">
      <c r="A286" s="753"/>
      <c r="B286" s="831"/>
      <c r="C286" s="817"/>
      <c r="D286" s="818"/>
      <c r="E286" s="818"/>
      <c r="F286" s="818"/>
      <c r="G286" s="818"/>
      <c r="H286" s="818"/>
      <c r="I286" s="832"/>
      <c r="J286"/>
      <c r="K286" s="1"/>
      <c r="L286" s="5"/>
      <c r="M286"/>
      <c r="N286"/>
      <c r="O286" s="464"/>
    </row>
    <row r="287" spans="1:15" outlineLevel="1">
      <c r="A287" s="753"/>
      <c r="B287" s="833" t="s">
        <v>1439</v>
      </c>
      <c r="C287" s="834"/>
      <c r="D287" s="369"/>
      <c r="E287" s="369"/>
      <c r="F287" s="369"/>
      <c r="G287" s="369"/>
      <c r="H287" s="369"/>
      <c r="I287" s="389"/>
      <c r="J287"/>
      <c r="K287" s="1"/>
      <c r="L287" s="5"/>
      <c r="M287"/>
      <c r="N287"/>
      <c r="O287" s="464"/>
    </row>
    <row r="288" spans="1:15" outlineLevel="1">
      <c r="A288" s="753"/>
      <c r="B288" s="384" t="str" cm="1">
        <f t="array" ref="B288:B294">_xlfn.UNIQUE(A231:A274)</f>
        <v>Contracted Services</v>
      </c>
      <c r="C288" s="377"/>
      <c r="D288" s="177">
        <f>IFERROR(SUMIFS(D$231:D$274,$A$231:$A$274, $B288), 0)</f>
        <v>1380</v>
      </c>
      <c r="E288" s="177">
        <f t="shared" ref="E288:I294" si="78">IFERROR(SUMIFS(E$231:E$274,$A$231:$A$274, $B288), 0)</f>
        <v>527873.52899999998</v>
      </c>
      <c r="F288" s="177">
        <f t="shared" si="78"/>
        <v>1085506.6219500001</v>
      </c>
      <c r="G288" s="177">
        <f t="shared" si="78"/>
        <v>1560031.8268927343</v>
      </c>
      <c r="H288" s="177">
        <f t="shared" si="78"/>
        <v>1770049.6577274101</v>
      </c>
      <c r="I288" s="385">
        <f t="shared" si="78"/>
        <v>1778873.3991705952</v>
      </c>
      <c r="J288"/>
      <c r="K288" s="1"/>
      <c r="L288" s="5"/>
      <c r="M288"/>
      <c r="N288"/>
      <c r="O288" s="464"/>
    </row>
    <row r="289" spans="1:15" outlineLevel="1">
      <c r="A289" s="753"/>
      <c r="B289" s="384" t="str">
        <v>School Operations</v>
      </c>
      <c r="C289" s="377"/>
      <c r="D289" s="177">
        <f t="shared" ref="D289:D294" si="79">IFERROR(SUMIFS(D$231:D$274,$A$231:$A$274, $B289), 0)</f>
        <v>9200</v>
      </c>
      <c r="E289" s="177">
        <f t="shared" si="78"/>
        <v>926375</v>
      </c>
      <c r="F289" s="177">
        <f t="shared" si="78"/>
        <v>1770525</v>
      </c>
      <c r="G289" s="177">
        <f t="shared" si="78"/>
        <v>2507625</v>
      </c>
      <c r="H289" s="177">
        <f t="shared" si="78"/>
        <v>2798325</v>
      </c>
      <c r="I289" s="385">
        <f t="shared" si="78"/>
        <v>2582325</v>
      </c>
      <c r="J289"/>
      <c r="K289" s="1"/>
      <c r="L289" s="5"/>
      <c r="M289"/>
      <c r="N289"/>
      <c r="O289" s="464"/>
    </row>
    <row r="290" spans="1:15" outlineLevel="1">
      <c r="A290" s="753"/>
      <c r="B290" s="384" t="str">
        <v>Facility Operations &amp; Maintenance</v>
      </c>
      <c r="C290" s="377"/>
      <c r="D290" s="177">
        <f t="shared" si="79"/>
        <v>0</v>
      </c>
      <c r="E290" s="177">
        <f t="shared" si="78"/>
        <v>665016.07125742128</v>
      </c>
      <c r="F290" s="177">
        <f t="shared" si="78"/>
        <v>766109.85234050336</v>
      </c>
      <c r="G290" s="177">
        <f t="shared" si="78"/>
        <v>762003.78385025449</v>
      </c>
      <c r="H290" s="177">
        <f t="shared" si="78"/>
        <v>757687.64110321214</v>
      </c>
      <c r="I290" s="385">
        <f t="shared" si="78"/>
        <v>753150.67630170251</v>
      </c>
      <c r="J290"/>
      <c r="K290" s="1"/>
      <c r="L290" s="5"/>
      <c r="M290"/>
      <c r="N290"/>
      <c r="O290" s="464"/>
    </row>
    <row r="291" spans="1:15" outlineLevel="1">
      <c r="A291" s="753"/>
      <c r="B291" s="384" t="str">
        <v>Contingency</v>
      </c>
      <c r="C291" s="377"/>
      <c r="D291" s="177">
        <f t="shared" si="79"/>
        <v>0</v>
      </c>
      <c r="E291" s="177">
        <f t="shared" si="78"/>
        <v>0</v>
      </c>
      <c r="F291" s="177">
        <f t="shared" si="78"/>
        <v>0</v>
      </c>
      <c r="G291" s="177">
        <f t="shared" si="78"/>
        <v>0</v>
      </c>
      <c r="H291" s="177">
        <f t="shared" si="78"/>
        <v>0</v>
      </c>
      <c r="I291" s="385">
        <f t="shared" si="78"/>
        <v>0</v>
      </c>
      <c r="J291"/>
      <c r="K291" s="1"/>
      <c r="L291" s="5"/>
      <c r="M291"/>
      <c r="N291"/>
      <c r="O291" s="464"/>
    </row>
    <row r="292" spans="1:15" outlineLevel="1">
      <c r="A292" s="753"/>
      <c r="B292" s="384" t="str">
        <v>Depreciation &amp; Amortization</v>
      </c>
      <c r="C292" s="377"/>
      <c r="D292" s="177">
        <f t="shared" si="79"/>
        <v>0</v>
      </c>
      <c r="E292" s="177">
        <f t="shared" si="78"/>
        <v>172500</v>
      </c>
      <c r="F292" s="177">
        <f t="shared" si="78"/>
        <v>172500</v>
      </c>
      <c r="G292" s="177">
        <f t="shared" si="78"/>
        <v>172500</v>
      </c>
      <c r="H292" s="177">
        <f t="shared" si="78"/>
        <v>172500</v>
      </c>
      <c r="I292" s="385">
        <f t="shared" si="78"/>
        <v>172500</v>
      </c>
      <c r="J292"/>
      <c r="K292" s="1"/>
      <c r="L292" s="5"/>
      <c r="M292"/>
      <c r="N292"/>
      <c r="O292" s="464"/>
    </row>
    <row r="293" spans="1:15" outlineLevel="1">
      <c r="A293" s="753"/>
      <c r="B293" s="384" t="str">
        <v>Personnel Services Costs</v>
      </c>
      <c r="C293" s="377"/>
      <c r="D293" s="177">
        <f t="shared" si="79"/>
        <v>206000</v>
      </c>
      <c r="E293" s="177">
        <f t="shared" si="78"/>
        <v>2117025.9500000002</v>
      </c>
      <c r="F293" s="177">
        <f t="shared" si="78"/>
        <v>3784113.6009999993</v>
      </c>
      <c r="G293" s="177">
        <f t="shared" si="78"/>
        <v>5513867.6601900002</v>
      </c>
      <c r="H293" s="177">
        <f t="shared" si="78"/>
        <v>6606702.9494357016</v>
      </c>
      <c r="I293" s="385">
        <f t="shared" si="78"/>
        <v>6804904.0379187716</v>
      </c>
      <c r="J293"/>
      <c r="K293" s="1"/>
      <c r="L293" s="5"/>
      <c r="M293"/>
      <c r="N293"/>
      <c r="O293" s="464"/>
    </row>
    <row r="294" spans="1:15" ht="16" outlineLevel="1" thickBot="1">
      <c r="A294" s="753"/>
      <c r="B294" s="391" t="str">
        <v>Personnel Taxes &amp; Benefits Costs</v>
      </c>
      <c r="C294" s="392"/>
      <c r="D294" s="393">
        <f t="shared" si="79"/>
        <v>61800</v>
      </c>
      <c r="E294" s="393">
        <f t="shared" si="78"/>
        <v>635107.78499999992</v>
      </c>
      <c r="F294" s="393">
        <f t="shared" si="78"/>
        <v>1135234.0803</v>
      </c>
      <c r="G294" s="393">
        <f t="shared" si="78"/>
        <v>1654160.2980570002</v>
      </c>
      <c r="H294" s="393">
        <f t="shared" si="78"/>
        <v>1982010.8848307098</v>
      </c>
      <c r="I294" s="394">
        <f t="shared" si="78"/>
        <v>2041471.2113756312</v>
      </c>
      <c r="J294"/>
      <c r="K294" s="1"/>
      <c r="L294" s="5"/>
      <c r="M294"/>
      <c r="N294"/>
      <c r="O294" s="464"/>
    </row>
    <row r="295" spans="1:15" outlineLevel="1">
      <c r="A295" s="753"/>
      <c r="B295" s="5"/>
      <c r="C295" s="5"/>
      <c r="D295" s="5"/>
      <c r="E295" s="5"/>
      <c r="F295" s="5"/>
      <c r="G295" s="5"/>
      <c r="H295" s="5"/>
      <c r="I295" s="5"/>
      <c r="J295" s="5"/>
      <c r="K295" s="5"/>
      <c r="L295" s="5"/>
      <c r="M295"/>
      <c r="N295"/>
      <c r="O295" s="464"/>
    </row>
    <row r="296" spans="1:15" outlineLevel="1">
      <c r="A296" s="753"/>
      <c r="B296" s="237" t="s">
        <v>425</v>
      </c>
      <c r="C296" s="237"/>
      <c r="D296" s="238">
        <f>D164-D275</f>
        <v>-22380</v>
      </c>
      <c r="E296" s="238">
        <f t="shared" ref="E296:I296" si="80">E164-E275</f>
        <v>45975.524742577225</v>
      </c>
      <c r="F296" s="238">
        <f t="shared" si="80"/>
        <v>817917.60040949658</v>
      </c>
      <c r="G296" s="238">
        <f t="shared" si="80"/>
        <v>1462166.8119840734</v>
      </c>
      <c r="H296" s="238">
        <f t="shared" si="80"/>
        <v>1564760.7758226208</v>
      </c>
      <c r="I296" s="238">
        <f t="shared" si="80"/>
        <v>1881269.8710383102</v>
      </c>
      <c r="J296" s="5"/>
      <c r="K296" s="238">
        <f>SUM(D296:I296)</f>
        <v>5749710.5839970782</v>
      </c>
      <c r="L296" s="420" t="s">
        <v>431</v>
      </c>
      <c r="M296" s="237"/>
      <c r="N296"/>
      <c r="O296" s="464"/>
    </row>
    <row r="297" spans="1:15">
      <c r="A297" s="753"/>
      <c r="B297" s="5"/>
      <c r="C297" s="5"/>
      <c r="D297" s="5"/>
      <c r="E297" s="5"/>
      <c r="F297" s="5"/>
      <c r="G297" s="5"/>
      <c r="H297" s="5"/>
      <c r="I297" s="5"/>
      <c r="J297" s="5"/>
      <c r="K297" s="5"/>
      <c r="L297" s="5"/>
      <c r="M297"/>
      <c r="N297"/>
      <c r="O297" s="464"/>
    </row>
    <row r="298" spans="1:15" s="520" customFormat="1" ht="26">
      <c r="A298" s="87" t="s">
        <v>424</v>
      </c>
      <c r="B298" s="88"/>
      <c r="C298" s="88"/>
      <c r="D298" s="88"/>
      <c r="E298" s="88"/>
      <c r="F298" s="88"/>
      <c r="G298" s="88"/>
      <c r="H298" s="88"/>
      <c r="I298" s="88"/>
      <c r="J298" s="88"/>
      <c r="K298" s="88"/>
      <c r="L298" s="88"/>
      <c r="M298" s="88"/>
      <c r="N298" s="88"/>
      <c r="O298" s="90"/>
    </row>
    <row r="299" spans="1:15">
      <c r="A299" s="753"/>
      <c r="B299"/>
      <c r="C299"/>
      <c r="D299"/>
      <c r="E299"/>
      <c r="F299"/>
      <c r="G299"/>
      <c r="H299"/>
      <c r="I299"/>
      <c r="J299" s="5"/>
      <c r="K299" s="5"/>
      <c r="L299" s="5"/>
      <c r="M299"/>
      <c r="N299"/>
      <c r="O299" s="464"/>
    </row>
    <row r="300" spans="1:15" outlineLevel="1">
      <c r="A300" s="753"/>
      <c r="B300" s="5"/>
      <c r="C300" s="376" t="s">
        <v>292</v>
      </c>
      <c r="D300" s="75">
        <f t="shared" ref="D300:I300" si="81">D$1</f>
        <v>2027</v>
      </c>
      <c r="E300" s="75">
        <f t="shared" si="81"/>
        <v>2028</v>
      </c>
      <c r="F300" s="75">
        <f t="shared" si="81"/>
        <v>2029</v>
      </c>
      <c r="G300" s="75">
        <f t="shared" si="81"/>
        <v>2030</v>
      </c>
      <c r="H300" s="75">
        <f t="shared" si="81"/>
        <v>2031</v>
      </c>
      <c r="I300" s="75">
        <f t="shared" si="81"/>
        <v>2032</v>
      </c>
      <c r="J300" s="5"/>
      <c r="K300" s="5"/>
      <c r="L300" s="5"/>
      <c r="M300"/>
      <c r="N300"/>
      <c r="O300" s="464"/>
    </row>
    <row r="301" spans="1:15" outlineLevel="1">
      <c r="A301" s="753"/>
      <c r="B301" s="5"/>
      <c r="C301" s="444" t="s">
        <v>425</v>
      </c>
      <c r="D301" s="177">
        <f>D296</f>
        <v>-22380</v>
      </c>
      <c r="E301" s="177">
        <f t="shared" ref="E301:I301" si="82">E296</f>
        <v>45975.524742577225</v>
      </c>
      <c r="F301" s="177">
        <f t="shared" si="82"/>
        <v>817917.60040949658</v>
      </c>
      <c r="G301" s="177">
        <f t="shared" si="82"/>
        <v>1462166.8119840734</v>
      </c>
      <c r="H301" s="177">
        <f t="shared" si="82"/>
        <v>1564760.7758226208</v>
      </c>
      <c r="I301" s="177">
        <f t="shared" si="82"/>
        <v>1881269.8710383102</v>
      </c>
      <c r="J301" s="5"/>
      <c r="K301" s="5"/>
      <c r="L301" s="5"/>
      <c r="M301"/>
      <c r="N301"/>
      <c r="O301" s="464"/>
    </row>
    <row r="302" spans="1:15" ht="16" outlineLevel="1">
      <c r="A302" s="753"/>
      <c r="B302" s="5"/>
      <c r="C302" s="445" t="s">
        <v>293</v>
      </c>
      <c r="D302" s="177">
        <f>-SUMIFS(DEBT!$R$19:$R$54, DEBT!$P$19:$P$54,'P&amp;L'!D1)</f>
        <v>0</v>
      </c>
      <c r="E302" s="177">
        <f>-SUMIFS(DEBT!$R$19:$R$54, DEBT!$P$19:$P$54,'P&amp;L'!E1)</f>
        <v>-76350.156633117105</v>
      </c>
      <c r="F302" s="177">
        <f>-SUMIFS(DEBT!$R$19:$R$54, DEBT!$P$19:$P$54,'P&amp;L'!F1)</f>
        <v>-80256.375550034965</v>
      </c>
      <c r="G302" s="177">
        <f>-SUMIFS(DEBT!$R$19:$R$54, DEBT!$P$19:$P$54,'P&amp;L'!G1)</f>
        <v>-84362.444040283881</v>
      </c>
      <c r="H302" s="177">
        <f>-SUMIFS(DEBT!$R$19:$R$54, DEBT!$P$19:$P$54,'P&amp;L'!H1)</f>
        <v>-88678.586787326305</v>
      </c>
      <c r="I302" s="177">
        <f>-SUMIFS(DEBT!$R$19:$R$54, DEBT!$P$19:$P$54,'P&amp;L'!I1)</f>
        <v>-93215.551588835908</v>
      </c>
      <c r="J302" s="5"/>
      <c r="K302" s="5"/>
      <c r="L302" s="5"/>
      <c r="M302"/>
      <c r="N302"/>
      <c r="O302" s="464"/>
    </row>
    <row r="303" spans="1:15" ht="16" outlineLevel="1">
      <c r="A303" s="753"/>
      <c r="B303" s="5"/>
      <c r="C303" s="446" t="s">
        <v>294</v>
      </c>
      <c r="D303" s="177">
        <f>D272</f>
        <v>0</v>
      </c>
      <c r="E303" s="177">
        <f t="shared" ref="E303:I303" si="83">E272</f>
        <v>172500</v>
      </c>
      <c r="F303" s="177">
        <f t="shared" si="83"/>
        <v>172500</v>
      </c>
      <c r="G303" s="177">
        <f t="shared" si="83"/>
        <v>172500</v>
      </c>
      <c r="H303" s="177">
        <f t="shared" si="83"/>
        <v>172500</v>
      </c>
      <c r="I303" s="177">
        <f t="shared" si="83"/>
        <v>172500</v>
      </c>
      <c r="J303" s="5"/>
      <c r="K303" s="5"/>
      <c r="L303" s="5"/>
      <c r="M303"/>
      <c r="N303"/>
      <c r="O303" s="464"/>
    </row>
    <row r="304" spans="1:15" outlineLevel="1">
      <c r="A304" s="753"/>
      <c r="B304" s="237" t="s">
        <v>295</v>
      </c>
      <c r="C304" s="237"/>
      <c r="D304" s="238">
        <f>SUM(D301:D303)</f>
        <v>-22380</v>
      </c>
      <c r="E304" s="238">
        <f t="shared" ref="E304:I304" si="84">SUM(E301:E303)</f>
        <v>142125.36810946011</v>
      </c>
      <c r="F304" s="238">
        <f t="shared" si="84"/>
        <v>910161.22485946165</v>
      </c>
      <c r="G304" s="238">
        <f t="shared" si="84"/>
        <v>1550304.3679437896</v>
      </c>
      <c r="H304" s="238">
        <f t="shared" si="84"/>
        <v>1648582.1890352946</v>
      </c>
      <c r="I304" s="238">
        <f t="shared" si="84"/>
        <v>1960554.3194494743</v>
      </c>
      <c r="J304" s="5"/>
      <c r="K304" s="238">
        <f>SUM(D304:I304)</f>
        <v>6189347.4693974806</v>
      </c>
      <c r="L304" s="420" t="s">
        <v>434</v>
      </c>
      <c r="M304" s="237"/>
      <c r="N304"/>
      <c r="O304" s="464"/>
    </row>
    <row r="305" spans="1:15" outlineLevel="1">
      <c r="A305" s="753"/>
      <c r="B305" s="665"/>
      <c r="C305" s="665" t="s">
        <v>285</v>
      </c>
      <c r="D305" s="666"/>
      <c r="E305" s="666">
        <f>IFERROR((E304-D304)/ABS(D304), 0)</f>
        <v>7.3505526411733735</v>
      </c>
      <c r="F305" s="666">
        <f t="shared" ref="F305" si="85">IFERROR((F304-E304)/ABS(E304), 0)</f>
        <v>5.4039322252343194</v>
      </c>
      <c r="G305" s="666">
        <f t="shared" ref="G305" si="86">IFERROR((G304-F304)/ABS(F304), 0)</f>
        <v>0.70332939439731978</v>
      </c>
      <c r="H305" s="666">
        <f t="shared" ref="H305" si="87">IFERROR((H304-G304)/ABS(G304), 0)</f>
        <v>6.3392597688319438E-2</v>
      </c>
      <c r="I305" s="666">
        <f t="shared" ref="I305" si="88">IFERROR((I304-H304)/ABS(H304), 0)</f>
        <v>0.18923662556171211</v>
      </c>
      <c r="J305" s="5"/>
      <c r="K305" s="5"/>
      <c r="L305" s="5"/>
      <c r="M305"/>
      <c r="N305"/>
      <c r="O305" s="464"/>
    </row>
    <row r="306" spans="1:15">
      <c r="A306" s="183"/>
      <c r="B306"/>
      <c r="C306"/>
      <c r="D306"/>
      <c r="E306"/>
      <c r="F306"/>
      <c r="G306"/>
      <c r="H306"/>
      <c r="I306"/>
      <c r="J306"/>
      <c r="K306"/>
      <c r="L306"/>
      <c r="M306"/>
      <c r="N306"/>
      <c r="O306" s="464"/>
    </row>
    <row r="307" spans="1:15" s="520" customFormat="1" ht="26">
      <c r="A307" s="87" t="s">
        <v>427</v>
      </c>
      <c r="B307" s="88"/>
      <c r="C307" s="88"/>
      <c r="D307" s="88"/>
      <c r="E307" s="88"/>
      <c r="F307" s="88"/>
      <c r="G307" s="88"/>
      <c r="H307" s="88"/>
      <c r="I307" s="88"/>
      <c r="J307" s="88"/>
      <c r="K307" s="88"/>
      <c r="L307" s="88"/>
      <c r="M307" s="88"/>
      <c r="N307" s="88"/>
      <c r="O307" s="90"/>
    </row>
    <row r="308" spans="1:15" ht="16" thickBot="1">
      <c r="A308" s="183"/>
      <c r="B308"/>
      <c r="C308"/>
      <c r="D308"/>
      <c r="E308"/>
      <c r="F308"/>
      <c r="G308"/>
      <c r="H308"/>
      <c r="I308"/>
      <c r="J308"/>
      <c r="K308"/>
      <c r="L308"/>
      <c r="M308"/>
      <c r="N308"/>
      <c r="O308" s="464"/>
    </row>
    <row r="309" spans="1:15" ht="17" outlineLevel="1" thickBot="1">
      <c r="A309" s="183"/>
      <c r="B309"/>
      <c r="C309" s="247" t="s">
        <v>296</v>
      </c>
      <c r="D309" s="248">
        <f t="shared" ref="D309:I309" si="89">D1</f>
        <v>2027</v>
      </c>
      <c r="E309" s="248">
        <f t="shared" si="89"/>
        <v>2028</v>
      </c>
      <c r="F309" s="248">
        <f t="shared" si="89"/>
        <v>2029</v>
      </c>
      <c r="G309" s="248">
        <f t="shared" si="89"/>
        <v>2030</v>
      </c>
      <c r="H309" s="248">
        <f t="shared" si="89"/>
        <v>2031</v>
      </c>
      <c r="I309" s="249">
        <f t="shared" si="89"/>
        <v>2032</v>
      </c>
      <c r="J309"/>
      <c r="K309"/>
      <c r="L309"/>
      <c r="M309"/>
      <c r="N309"/>
      <c r="O309" s="464"/>
    </row>
    <row r="310" spans="1:15" ht="16" outlineLevel="1">
      <c r="A310" s="183"/>
      <c r="B310"/>
      <c r="C310" s="250" t="s">
        <v>284</v>
      </c>
      <c r="D310" s="251">
        <f t="shared" ref="D310:I310" si="90">D7</f>
        <v>0</v>
      </c>
      <c r="E310" s="251">
        <f t="shared" si="90"/>
        <v>240</v>
      </c>
      <c r="F310" s="251">
        <f t="shared" si="90"/>
        <v>480</v>
      </c>
      <c r="G310" s="251">
        <f t="shared" si="90"/>
        <v>690</v>
      </c>
      <c r="H310" s="251">
        <f t="shared" si="90"/>
        <v>780</v>
      </c>
      <c r="I310" s="252">
        <f t="shared" si="90"/>
        <v>780</v>
      </c>
      <c r="J310"/>
      <c r="K310"/>
      <c r="L310"/>
      <c r="M310"/>
      <c r="N310"/>
      <c r="O310" s="464"/>
    </row>
    <row r="311" spans="1:15" ht="16" outlineLevel="1">
      <c r="A311" s="183"/>
      <c r="B311"/>
      <c r="C311" s="253" t="s">
        <v>426</v>
      </c>
      <c r="D311" s="254">
        <f t="shared" ref="D311:I311" si="91">D$108</f>
        <v>1</v>
      </c>
      <c r="E311" s="254">
        <f t="shared" si="91"/>
        <v>27.25</v>
      </c>
      <c r="F311" s="254">
        <f t="shared" si="91"/>
        <v>49.25</v>
      </c>
      <c r="G311" s="254">
        <f t="shared" si="91"/>
        <v>71.25</v>
      </c>
      <c r="H311" s="254">
        <f t="shared" si="91"/>
        <v>83.25</v>
      </c>
      <c r="I311" s="255">
        <f t="shared" si="91"/>
        <v>83.25</v>
      </c>
      <c r="J311"/>
      <c r="K311"/>
      <c r="L311"/>
      <c r="M311"/>
      <c r="N311"/>
      <c r="O311" s="464"/>
    </row>
    <row r="312" spans="1:15" ht="16" outlineLevel="1">
      <c r="A312" s="183"/>
      <c r="B312"/>
      <c r="C312" s="253" t="s">
        <v>326</v>
      </c>
      <c r="D312" s="256">
        <f>D310/D311</f>
        <v>0</v>
      </c>
      <c r="E312" s="256">
        <f t="shared" ref="E312:I312" si="92">E310/E311</f>
        <v>8.8073394495412849</v>
      </c>
      <c r="F312" s="256">
        <f t="shared" si="92"/>
        <v>9.746192893401016</v>
      </c>
      <c r="G312" s="256">
        <f t="shared" si="92"/>
        <v>9.6842105263157894</v>
      </c>
      <c r="H312" s="256">
        <f t="shared" si="92"/>
        <v>9.3693693693693696</v>
      </c>
      <c r="I312" s="257">
        <f t="shared" si="92"/>
        <v>9.3693693693693696</v>
      </c>
      <c r="J312"/>
      <c r="K312"/>
      <c r="L312"/>
      <c r="M312"/>
      <c r="N312"/>
      <c r="O312" s="464"/>
    </row>
    <row r="313" spans="1:15" ht="17" outlineLevel="1" thickBot="1">
      <c r="A313" s="183"/>
      <c r="B313"/>
      <c r="C313" s="258" t="s">
        <v>297</v>
      </c>
      <c r="D313" s="259">
        <f t="shared" ref="D313:I313" si="93">IFERROR(D57/SUM(D79:D84), 0)</f>
        <v>0</v>
      </c>
      <c r="E313" s="259">
        <f t="shared" si="93"/>
        <v>18.46153846153846</v>
      </c>
      <c r="F313" s="259">
        <f t="shared" si="93"/>
        <v>17.142857142857142</v>
      </c>
      <c r="G313" s="259">
        <f t="shared" si="93"/>
        <v>17.692307692307693</v>
      </c>
      <c r="H313" s="259">
        <f t="shared" si="93"/>
        <v>16.956521739130434</v>
      </c>
      <c r="I313" s="260">
        <f t="shared" si="93"/>
        <v>16.956521739130434</v>
      </c>
      <c r="J313"/>
      <c r="K313"/>
      <c r="L313"/>
      <c r="M313"/>
      <c r="N313"/>
      <c r="O313" s="464"/>
    </row>
    <row r="314" spans="1:15" ht="17" outlineLevel="1" thickBot="1">
      <c r="A314" s="183"/>
      <c r="B314"/>
      <c r="C314" s="261"/>
      <c r="D314" s="721"/>
      <c r="E314" s="721"/>
      <c r="F314" s="721"/>
      <c r="G314" s="721"/>
      <c r="H314" s="721"/>
      <c r="I314" s="262"/>
      <c r="J314"/>
      <c r="K314"/>
      <c r="L314"/>
      <c r="M314"/>
      <c r="N314"/>
      <c r="O314" s="464"/>
    </row>
    <row r="315" spans="1:15" ht="16" outlineLevel="1">
      <c r="A315" s="183"/>
      <c r="B315"/>
      <c r="C315" s="263" t="s">
        <v>24</v>
      </c>
      <c r="D315" s="264"/>
      <c r="E315" s="264"/>
      <c r="F315" s="264"/>
      <c r="G315" s="264"/>
      <c r="H315" s="264"/>
      <c r="I315" s="265"/>
      <c r="J315"/>
      <c r="K315"/>
      <c r="L315"/>
      <c r="M315"/>
      <c r="N315"/>
      <c r="O315" s="464"/>
    </row>
    <row r="316" spans="1:15" ht="16" outlineLevel="1">
      <c r="A316" s="183"/>
      <c r="B316"/>
      <c r="C316" s="266" t="s">
        <v>389</v>
      </c>
      <c r="D316" s="267">
        <f t="shared" ref="D316:I319" si="94">D177</f>
        <v>6000</v>
      </c>
      <c r="E316" s="267">
        <f t="shared" si="94"/>
        <v>3959569.2599999988</v>
      </c>
      <c r="F316" s="267">
        <f t="shared" si="94"/>
        <v>8110813.2329999991</v>
      </c>
      <c r="G316" s="267">
        <f t="shared" si="94"/>
        <v>11947949.535107808</v>
      </c>
      <c r="H316" s="267">
        <f t="shared" si="94"/>
        <v>13843173.325156165</v>
      </c>
      <c r="I316" s="268">
        <f t="shared" si="94"/>
        <v>14189252.658285072</v>
      </c>
      <c r="J316"/>
      <c r="K316"/>
      <c r="L316"/>
      <c r="M316"/>
      <c r="N316"/>
      <c r="O316" s="464"/>
    </row>
    <row r="317" spans="1:15" ht="16" outlineLevel="1">
      <c r="A317" s="183"/>
      <c r="B317"/>
      <c r="C317" s="266" t="s">
        <v>390</v>
      </c>
      <c r="D317" s="267">
        <f t="shared" si="94"/>
        <v>0</v>
      </c>
      <c r="E317" s="267">
        <f t="shared" si="94"/>
        <v>830304.6</v>
      </c>
      <c r="F317" s="267">
        <f t="shared" si="94"/>
        <v>1121093.5229999998</v>
      </c>
      <c r="G317" s="267">
        <f t="shared" si="94"/>
        <v>1384405.8458662499</v>
      </c>
      <c r="H317" s="267">
        <f t="shared" si="94"/>
        <v>1508863.5837634872</v>
      </c>
      <c r="I317" s="268">
        <f t="shared" si="94"/>
        <v>1525241.5375199392</v>
      </c>
      <c r="J317"/>
      <c r="K317"/>
      <c r="L317"/>
      <c r="M317"/>
      <c r="N317"/>
      <c r="O317" s="464"/>
    </row>
    <row r="318" spans="1:15" ht="16" outlineLevel="1">
      <c r="A318" s="183"/>
      <c r="B318"/>
      <c r="C318" s="266" t="s">
        <v>391</v>
      </c>
      <c r="D318" s="267">
        <f t="shared" si="94"/>
        <v>250000</v>
      </c>
      <c r="E318" s="267">
        <f t="shared" si="94"/>
        <v>300000</v>
      </c>
      <c r="F318" s="267">
        <f t="shared" si="94"/>
        <v>300000</v>
      </c>
      <c r="G318" s="267">
        <f t="shared" si="94"/>
        <v>300000</v>
      </c>
      <c r="H318" s="267">
        <f t="shared" si="94"/>
        <v>300000</v>
      </c>
      <c r="I318" s="268">
        <f t="shared" si="94"/>
        <v>300000</v>
      </c>
      <c r="J318"/>
      <c r="K318"/>
      <c r="L318"/>
      <c r="M318"/>
      <c r="N318"/>
      <c r="O318" s="464"/>
    </row>
    <row r="319" spans="1:15" ht="17" outlineLevel="1" thickBot="1">
      <c r="A319" s="183"/>
      <c r="B319"/>
      <c r="C319" s="266" t="s">
        <v>1481</v>
      </c>
      <c r="D319" s="267">
        <f t="shared" si="94"/>
        <v>0</v>
      </c>
      <c r="E319" s="267">
        <f t="shared" si="94"/>
        <v>0</v>
      </c>
      <c r="F319" s="267">
        <f t="shared" si="94"/>
        <v>0</v>
      </c>
      <c r="G319" s="267">
        <f t="shared" si="94"/>
        <v>0</v>
      </c>
      <c r="H319" s="267">
        <f t="shared" si="94"/>
        <v>0</v>
      </c>
      <c r="I319" s="268">
        <f t="shared" si="94"/>
        <v>0</v>
      </c>
      <c r="J319"/>
      <c r="K319"/>
      <c r="L319"/>
      <c r="M319"/>
      <c r="N319"/>
      <c r="O319" s="464"/>
    </row>
    <row r="320" spans="1:15" ht="17" outlineLevel="1" thickBot="1">
      <c r="A320" s="183"/>
      <c r="B320"/>
      <c r="C320" s="269" t="s">
        <v>298</v>
      </c>
      <c r="D320" s="270">
        <f t="shared" ref="D320:I320" si="95">SUM(D316:D319)</f>
        <v>256000</v>
      </c>
      <c r="E320" s="270">
        <f t="shared" si="95"/>
        <v>5089873.8599999985</v>
      </c>
      <c r="F320" s="270">
        <f t="shared" si="95"/>
        <v>9531906.7559999991</v>
      </c>
      <c r="G320" s="270">
        <f t="shared" si="95"/>
        <v>13632355.380974058</v>
      </c>
      <c r="H320" s="270">
        <f t="shared" si="95"/>
        <v>15652036.908919653</v>
      </c>
      <c r="I320" s="271">
        <f t="shared" si="95"/>
        <v>16014494.195805011</v>
      </c>
      <c r="J320"/>
      <c r="K320"/>
      <c r="L320"/>
      <c r="M320"/>
      <c r="N320"/>
      <c r="O320" s="464"/>
    </row>
    <row r="321" spans="1:15" ht="16" outlineLevel="1">
      <c r="A321" s="183"/>
      <c r="B321"/>
      <c r="C321" s="272" t="s">
        <v>299</v>
      </c>
      <c r="D321" s="264"/>
      <c r="E321" s="264"/>
      <c r="F321" s="264"/>
      <c r="G321" s="264"/>
      <c r="H321" s="264"/>
      <c r="I321" s="265"/>
      <c r="J321"/>
      <c r="K321"/>
      <c r="L321"/>
      <c r="M321"/>
      <c r="N321"/>
      <c r="O321" s="464"/>
    </row>
    <row r="322" spans="1:15" ht="16" outlineLevel="1">
      <c r="A322" s="183"/>
      <c r="B322"/>
      <c r="C322" s="852" t="str">
        <f>B280</f>
        <v>Personnel</v>
      </c>
      <c r="D322" s="274">
        <f>D280</f>
        <v>267800</v>
      </c>
      <c r="E322" s="274">
        <f t="shared" ref="E322:I322" si="96">E280</f>
        <v>2752133.7350000003</v>
      </c>
      <c r="F322" s="274">
        <f t="shared" si="96"/>
        <v>4919347.6812999994</v>
      </c>
      <c r="G322" s="274">
        <f t="shared" si="96"/>
        <v>7168027.9582470004</v>
      </c>
      <c r="H322" s="274">
        <f t="shared" si="96"/>
        <v>8588713.8342664111</v>
      </c>
      <c r="I322" s="275">
        <f t="shared" si="96"/>
        <v>8846375.2492944021</v>
      </c>
      <c r="J322"/>
      <c r="K322"/>
      <c r="L322"/>
      <c r="M322"/>
      <c r="N322"/>
      <c r="O322" s="464"/>
    </row>
    <row r="323" spans="1:15" ht="16" outlineLevel="1">
      <c r="A323" s="183"/>
      <c r="B323"/>
      <c r="C323" s="273" t="str">
        <f t="shared" ref="C323:C327" si="97">B281</f>
        <v>Instructional</v>
      </c>
      <c r="D323" s="274">
        <f t="shared" ref="D323:I323" si="98">D281</f>
        <v>0</v>
      </c>
      <c r="E323" s="274">
        <f t="shared" si="98"/>
        <v>668400</v>
      </c>
      <c r="F323" s="274">
        <f t="shared" si="98"/>
        <v>1336800</v>
      </c>
      <c r="G323" s="274">
        <f t="shared" si="98"/>
        <v>1921650</v>
      </c>
      <c r="H323" s="274">
        <f t="shared" si="98"/>
        <v>2172300</v>
      </c>
      <c r="I323" s="275">
        <f t="shared" si="98"/>
        <v>2049300</v>
      </c>
      <c r="J323"/>
      <c r="K323"/>
      <c r="L323"/>
      <c r="M323"/>
      <c r="N323"/>
      <c r="O323" s="464"/>
    </row>
    <row r="324" spans="1:15" ht="16" outlineLevel="1">
      <c r="A324" s="183"/>
      <c r="B324"/>
      <c r="C324" s="273" t="str">
        <f t="shared" si="97"/>
        <v>Facilities</v>
      </c>
      <c r="D324" s="274">
        <f t="shared" ref="D324:I324" si="99">D282</f>
        <v>0</v>
      </c>
      <c r="E324" s="274">
        <f t="shared" si="99"/>
        <v>408000</v>
      </c>
      <c r="F324" s="274">
        <f t="shared" si="99"/>
        <v>513000</v>
      </c>
      <c r="G324" s="274">
        <f t="shared" si="99"/>
        <v>513000</v>
      </c>
      <c r="H324" s="274">
        <f t="shared" si="99"/>
        <v>513000</v>
      </c>
      <c r="I324" s="275">
        <f t="shared" si="99"/>
        <v>513000</v>
      </c>
      <c r="J324"/>
      <c r="K324"/>
      <c r="L324"/>
      <c r="M324"/>
      <c r="N324"/>
      <c r="O324" s="464"/>
    </row>
    <row r="325" spans="1:15" ht="16" outlineLevel="1">
      <c r="A325" s="183"/>
      <c r="B325"/>
      <c r="C325" s="273" t="str">
        <f t="shared" si="97"/>
        <v>Operating</v>
      </c>
      <c r="D325" s="274">
        <f t="shared" ref="D325:I325" si="100">D283</f>
        <v>10580</v>
      </c>
      <c r="E325" s="274">
        <f t="shared" si="100"/>
        <v>780848.52899999998</v>
      </c>
      <c r="F325" s="274">
        <f t="shared" si="100"/>
        <v>1512231.6219500001</v>
      </c>
      <c r="G325" s="274">
        <f t="shared" si="100"/>
        <v>2139006.8268927345</v>
      </c>
      <c r="H325" s="274">
        <f t="shared" si="100"/>
        <v>2389074.6577274101</v>
      </c>
      <c r="I325" s="275">
        <f t="shared" si="100"/>
        <v>2304898.3991705952</v>
      </c>
      <c r="J325"/>
      <c r="K325"/>
      <c r="L325"/>
      <c r="M325"/>
      <c r="N325"/>
      <c r="O325" s="464"/>
    </row>
    <row r="326" spans="1:15" ht="16" outlineLevel="1">
      <c r="A326" s="183"/>
      <c r="B326"/>
      <c r="C326" s="273" t="str">
        <f t="shared" si="97"/>
        <v>Administrative</v>
      </c>
      <c r="D326" s="274">
        <f t="shared" ref="D326:I326" si="101">D284</f>
        <v>0</v>
      </c>
      <c r="E326" s="274">
        <f t="shared" si="101"/>
        <v>0</v>
      </c>
      <c r="F326" s="274">
        <f t="shared" si="101"/>
        <v>0</v>
      </c>
      <c r="G326" s="274">
        <f t="shared" si="101"/>
        <v>0</v>
      </c>
      <c r="H326" s="274">
        <f t="shared" si="101"/>
        <v>0</v>
      </c>
      <c r="I326" s="275">
        <f t="shared" si="101"/>
        <v>0</v>
      </c>
      <c r="J326"/>
      <c r="K326"/>
      <c r="L326"/>
      <c r="M326"/>
      <c r="N326"/>
      <c r="O326" s="464"/>
    </row>
    <row r="327" spans="1:15" ht="17" outlineLevel="1" thickBot="1">
      <c r="A327" s="183"/>
      <c r="B327"/>
      <c r="C327" s="276" t="str">
        <f t="shared" si="97"/>
        <v>Non-Operating</v>
      </c>
      <c r="D327" s="274">
        <f t="shared" ref="D327:I327" si="102">D285</f>
        <v>0</v>
      </c>
      <c r="E327" s="274">
        <f t="shared" si="102"/>
        <v>434516.07125742128</v>
      </c>
      <c r="F327" s="274">
        <f t="shared" si="102"/>
        <v>432609.85234050342</v>
      </c>
      <c r="G327" s="274">
        <f t="shared" si="102"/>
        <v>428503.78385025455</v>
      </c>
      <c r="H327" s="274">
        <f t="shared" si="102"/>
        <v>424187.64110321214</v>
      </c>
      <c r="I327" s="275">
        <f t="shared" si="102"/>
        <v>419650.67630170251</v>
      </c>
      <c r="J327"/>
      <c r="K327"/>
      <c r="L327"/>
      <c r="M327"/>
      <c r="N327"/>
      <c r="O327" s="464"/>
    </row>
    <row r="328" spans="1:15" ht="17" outlineLevel="1" thickBot="1">
      <c r="A328" s="183"/>
      <c r="B328"/>
      <c r="C328" s="277" t="s">
        <v>300</v>
      </c>
      <c r="D328" s="278">
        <f t="shared" ref="D328:I328" si="103">SUM(D322:D327)</f>
        <v>278380</v>
      </c>
      <c r="E328" s="278">
        <f t="shared" si="103"/>
        <v>5043898.3352574222</v>
      </c>
      <c r="F328" s="278">
        <f t="shared" si="103"/>
        <v>8713989.1555905025</v>
      </c>
      <c r="G328" s="278">
        <f t="shared" si="103"/>
        <v>12170188.56898999</v>
      </c>
      <c r="H328" s="278">
        <f t="shared" si="103"/>
        <v>14087276.133097034</v>
      </c>
      <c r="I328" s="279">
        <f t="shared" si="103"/>
        <v>14133224.324766699</v>
      </c>
      <c r="J328"/>
      <c r="K328"/>
      <c r="L328"/>
      <c r="M328"/>
      <c r="N328"/>
      <c r="O328" s="464"/>
    </row>
    <row r="329" spans="1:15" ht="17" outlineLevel="1" thickBot="1">
      <c r="A329" s="183"/>
      <c r="B329"/>
      <c r="C329" s="280" t="s">
        <v>291</v>
      </c>
      <c r="D329" s="402">
        <f t="shared" ref="D329:I329" si="104">D320-D328</f>
        <v>-22380</v>
      </c>
      <c r="E329" s="402">
        <f t="shared" si="104"/>
        <v>45975.524742576294</v>
      </c>
      <c r="F329" s="402">
        <f t="shared" si="104"/>
        <v>817917.60040949658</v>
      </c>
      <c r="G329" s="402">
        <f t="shared" si="104"/>
        <v>1462166.8119840678</v>
      </c>
      <c r="H329" s="402">
        <f t="shared" si="104"/>
        <v>1564760.775822619</v>
      </c>
      <c r="I329" s="403">
        <f t="shared" si="104"/>
        <v>1881269.8710383121</v>
      </c>
      <c r="J329"/>
      <c r="K329"/>
      <c r="L329"/>
      <c r="M329"/>
      <c r="N329"/>
      <c r="O329" s="464"/>
    </row>
    <row r="330" spans="1:15" ht="17" outlineLevel="1" thickTop="1">
      <c r="A330" s="183"/>
      <c r="B330"/>
      <c r="C330" s="281" t="s">
        <v>301</v>
      </c>
      <c r="D330" s="722"/>
      <c r="E330" s="722"/>
      <c r="F330" s="722"/>
      <c r="G330" s="722"/>
      <c r="H330" s="722"/>
      <c r="I330" s="282"/>
      <c r="J330"/>
      <c r="K330"/>
      <c r="L330"/>
      <c r="M330"/>
      <c r="N330"/>
      <c r="O330" s="464"/>
    </row>
    <row r="331" spans="1:15" ht="16" outlineLevel="1">
      <c r="A331" s="183"/>
      <c r="B331"/>
      <c r="C331" s="283" t="s">
        <v>302</v>
      </c>
      <c r="D331" s="284">
        <f>INPUTS!C21</f>
        <v>1250000</v>
      </c>
      <c r="E331" s="284">
        <f>D333</f>
        <v>1227620</v>
      </c>
      <c r="F331" s="284">
        <f>E333</f>
        <v>1369745.36810946</v>
      </c>
      <c r="G331" s="284">
        <f t="shared" ref="G331:I331" si="105">F333</f>
        <v>2279906.5929689216</v>
      </c>
      <c r="H331" s="284">
        <f t="shared" si="105"/>
        <v>3830210.960912711</v>
      </c>
      <c r="I331" s="285">
        <f t="shared" si="105"/>
        <v>5478793.1499480056</v>
      </c>
      <c r="J331"/>
      <c r="K331"/>
      <c r="L331"/>
      <c r="M331"/>
      <c r="N331"/>
      <c r="O331" s="464"/>
    </row>
    <row r="332" spans="1:15" ht="16" outlineLevel="1">
      <c r="A332" s="183"/>
      <c r="B332"/>
      <c r="C332" s="286" t="s">
        <v>295</v>
      </c>
      <c r="D332" s="287">
        <f t="shared" ref="D332:I332" si="106">D304</f>
        <v>-22380</v>
      </c>
      <c r="E332" s="287">
        <f t="shared" si="106"/>
        <v>142125.36810946011</v>
      </c>
      <c r="F332" s="287">
        <f t="shared" si="106"/>
        <v>910161.22485946165</v>
      </c>
      <c r="G332" s="287">
        <f t="shared" si="106"/>
        <v>1550304.3679437896</v>
      </c>
      <c r="H332" s="287">
        <f t="shared" si="106"/>
        <v>1648582.1890352946</v>
      </c>
      <c r="I332" s="288">
        <f t="shared" si="106"/>
        <v>1960554.3194494743</v>
      </c>
      <c r="J332"/>
      <c r="K332"/>
      <c r="L332"/>
      <c r="M332"/>
      <c r="N332"/>
      <c r="O332" s="464"/>
    </row>
    <row r="333" spans="1:15" ht="17" outlineLevel="1" thickBot="1">
      <c r="A333" s="183"/>
      <c r="B333"/>
      <c r="C333" s="289" t="s">
        <v>303</v>
      </c>
      <c r="D333" s="290">
        <f>D331+D332</f>
        <v>1227620</v>
      </c>
      <c r="E333" s="290">
        <f t="shared" ref="E333:I333" si="107">E331+E332</f>
        <v>1369745.36810946</v>
      </c>
      <c r="F333" s="290">
        <f t="shared" si="107"/>
        <v>2279906.5929689216</v>
      </c>
      <c r="G333" s="290">
        <f t="shared" si="107"/>
        <v>3830210.960912711</v>
      </c>
      <c r="H333" s="290">
        <f t="shared" si="107"/>
        <v>5478793.1499480056</v>
      </c>
      <c r="I333" s="291">
        <f t="shared" si="107"/>
        <v>7439347.4693974797</v>
      </c>
      <c r="J333"/>
      <c r="K333"/>
      <c r="L333"/>
      <c r="M333"/>
      <c r="N333"/>
      <c r="O333" s="464"/>
    </row>
    <row r="334" spans="1:15" ht="17" outlineLevel="1" thickBot="1">
      <c r="A334" s="183"/>
      <c r="B334"/>
      <c r="C334" s="722"/>
      <c r="D334" s="722"/>
      <c r="E334" s="722"/>
      <c r="F334" s="722"/>
      <c r="G334" s="722"/>
      <c r="H334" s="722"/>
      <c r="I334" s="722"/>
      <c r="J334"/>
      <c r="K334"/>
      <c r="L334"/>
      <c r="M334"/>
      <c r="N334"/>
      <c r="O334" s="464"/>
    </row>
    <row r="335" spans="1:15" ht="17" outlineLevel="1" thickBot="1">
      <c r="A335" s="183"/>
      <c r="B335"/>
      <c r="C335" s="292" t="s">
        <v>304</v>
      </c>
      <c r="D335" s="293">
        <f>D333/((E328-E303)/365)</f>
        <v>91.98206945158833</v>
      </c>
      <c r="E335" s="293">
        <f>E333/((E328-E303)/365)</f>
        <v>102.63111840833139</v>
      </c>
      <c r="F335" s="293">
        <f>F333/((F328-F303)/365)</f>
        <v>97.426325933926208</v>
      </c>
      <c r="G335" s="293">
        <f>G333/((G328-G303)/365)</f>
        <v>116.52469496054194</v>
      </c>
      <c r="H335" s="293">
        <f>H333/((H328-H303)/365)</f>
        <v>143.71481658080637</v>
      </c>
      <c r="I335" s="294">
        <f>I333/((I328-I303)/365)</f>
        <v>194.50006770157015</v>
      </c>
      <c r="J335"/>
      <c r="K335"/>
      <c r="L335"/>
      <c r="M335"/>
      <c r="N335"/>
      <c r="O335" s="464"/>
    </row>
    <row r="336" spans="1:15">
      <c r="A336" s="183"/>
      <c r="B336"/>
      <c r="C336"/>
      <c r="D336" s="295"/>
      <c r="E336"/>
      <c r="F336"/>
      <c r="G336"/>
      <c r="H336"/>
      <c r="I336"/>
      <c r="J336"/>
      <c r="K336"/>
      <c r="L336"/>
      <c r="M336"/>
      <c r="N336"/>
      <c r="O336" s="464"/>
    </row>
    <row r="337" spans="1:15" s="520" customFormat="1" ht="26">
      <c r="A337" s="87" t="s">
        <v>428</v>
      </c>
      <c r="B337" s="88"/>
      <c r="C337" s="88"/>
      <c r="D337" s="88"/>
      <c r="E337" s="88"/>
      <c r="F337" s="88"/>
      <c r="G337" s="88"/>
      <c r="H337" s="88"/>
      <c r="I337" s="88"/>
      <c r="J337" s="88"/>
      <c r="K337" s="88"/>
      <c r="L337" s="88"/>
      <c r="M337" s="88"/>
      <c r="N337" s="88"/>
      <c r="O337" s="90"/>
    </row>
    <row r="338" spans="1:15">
      <c r="A338" s="183"/>
      <c r="B338"/>
      <c r="C338"/>
      <c r="D338" s="295"/>
      <c r="E338"/>
      <c r="F338"/>
      <c r="G338"/>
      <c r="H338"/>
      <c r="I338"/>
      <c r="J338"/>
      <c r="K338"/>
      <c r="L338"/>
      <c r="M338"/>
      <c r="N338"/>
      <c r="O338" s="464"/>
    </row>
    <row r="339" spans="1:15" ht="17" outlineLevel="1">
      <c r="A339" s="183"/>
      <c r="B339"/>
      <c r="C339" s="296" t="s">
        <v>305</v>
      </c>
      <c r="D339" s="297"/>
      <c r="E339" s="297"/>
      <c r="F339" s="297"/>
      <c r="G339" s="297"/>
      <c r="H339" s="297"/>
      <c r="I339" s="298"/>
      <c r="J339"/>
      <c r="K339"/>
      <c r="L339"/>
      <c r="M339"/>
      <c r="N339"/>
      <c r="O339" s="464"/>
    </row>
    <row r="340" spans="1:15" ht="17" outlineLevel="1">
      <c r="A340" s="183"/>
      <c r="B340"/>
      <c r="C340" s="299" t="s">
        <v>306</v>
      </c>
      <c r="D340" s="300"/>
      <c r="E340" s="300">
        <v>30</v>
      </c>
      <c r="F340" s="300">
        <v>30</v>
      </c>
      <c r="G340" s="300">
        <v>60</v>
      </c>
      <c r="H340" s="300">
        <v>60</v>
      </c>
      <c r="I340" s="300">
        <v>60</v>
      </c>
      <c r="J340"/>
      <c r="K340"/>
      <c r="L340"/>
      <c r="M340"/>
      <c r="N340"/>
      <c r="O340" s="464"/>
    </row>
    <row r="341" spans="1:15" ht="17" outlineLevel="1">
      <c r="A341" s="183"/>
      <c r="B341"/>
      <c r="C341" s="301" t="s">
        <v>307</v>
      </c>
      <c r="D341" s="310">
        <f>((D328-D326)/365)*D340</f>
        <v>0</v>
      </c>
      <c r="E341" s="310">
        <f t="shared" ref="E341:I341" si="108">((E328-E326)/365)*E340</f>
        <v>414566.98645951413</v>
      </c>
      <c r="F341" s="310">
        <f t="shared" si="108"/>
        <v>716218.28676086327</v>
      </c>
      <c r="G341" s="310">
        <f t="shared" si="108"/>
        <v>2000578.9428476696</v>
      </c>
      <c r="H341" s="310">
        <f t="shared" si="108"/>
        <v>2315716.6246186905</v>
      </c>
      <c r="I341" s="310">
        <f t="shared" si="108"/>
        <v>2323269.7520164438</v>
      </c>
      <c r="J341"/>
      <c r="K341"/>
      <c r="L341"/>
      <c r="M341"/>
      <c r="N341"/>
      <c r="O341" s="464"/>
    </row>
    <row r="342" spans="1:15" ht="17" outlineLevel="1">
      <c r="A342" s="183"/>
      <c r="B342"/>
      <c r="C342" s="301" t="s">
        <v>308</v>
      </c>
      <c r="D342" s="310">
        <f>MAX((D333), D341)</f>
        <v>1227620</v>
      </c>
      <c r="E342" s="310">
        <f>MAX((E333), E341)</f>
        <v>1369745.36810946</v>
      </c>
      <c r="F342" s="310">
        <f t="shared" ref="F342:H342" si="109">MAX((F333), F341)</f>
        <v>2279906.5929689216</v>
      </c>
      <c r="G342" s="310">
        <f t="shared" si="109"/>
        <v>3830210.960912711</v>
      </c>
      <c r="H342" s="310">
        <f t="shared" si="109"/>
        <v>5478793.1499480056</v>
      </c>
      <c r="I342" s="310">
        <f>MAX((I333), I341)</f>
        <v>7439347.4693974797</v>
      </c>
      <c r="J342"/>
      <c r="K342"/>
      <c r="L342"/>
      <c r="M342"/>
      <c r="N342"/>
      <c r="O342" s="464"/>
    </row>
    <row r="343" spans="1:15" ht="17" outlineLevel="1">
      <c r="A343" s="183"/>
      <c r="B343"/>
      <c r="C343" s="245" t="s">
        <v>309</v>
      </c>
      <c r="D343" s="311">
        <f>IF(D333&lt;D341, D341-D333, 0)</f>
        <v>0</v>
      </c>
      <c r="E343" s="311">
        <f>IF((D342+E332)&lt;E341, E341-(D342+E332), 0)</f>
        <v>0</v>
      </c>
      <c r="F343" s="311">
        <f>IF((E342+F332)&lt;F341, F341-(E342+F332), 0)</f>
        <v>0</v>
      </c>
      <c r="G343" s="311">
        <f>IF((F342+G332)&lt;G341, G341-(F342+G332), 0)</f>
        <v>0</v>
      </c>
      <c r="H343" s="311">
        <f>IF((G342+H332)&lt;H341, H341-(G342+H332), 0)</f>
        <v>0</v>
      </c>
      <c r="I343" s="311">
        <f>IF((H342+I332)&lt;I341, I341-(H342+I332), 0)</f>
        <v>0</v>
      </c>
      <c r="J343"/>
      <c r="K343" s="1"/>
      <c r="L343"/>
      <c r="M343"/>
      <c r="N343"/>
      <c r="O343" s="464"/>
    </row>
    <row r="344" spans="1:15" ht="17" outlineLevel="1">
      <c r="A344" s="183"/>
      <c r="B344"/>
      <c r="C344" s="245" t="s">
        <v>310</v>
      </c>
      <c r="D344" s="311">
        <f>SUM($D343:D343)</f>
        <v>0</v>
      </c>
      <c r="E344" s="311">
        <f>SUM($D343:E343)</f>
        <v>0</v>
      </c>
      <c r="F344" s="311">
        <f>SUM($D343:F343)</f>
        <v>0</v>
      </c>
      <c r="G344" s="311">
        <f>SUM($D343:G343)</f>
        <v>0</v>
      </c>
      <c r="H344" s="311">
        <f>SUM($D343:H343)</f>
        <v>0</v>
      </c>
      <c r="I344" s="311">
        <f>SUM(D343:I343)</f>
        <v>0</v>
      </c>
      <c r="J344"/>
      <c r="K344" s="1"/>
      <c r="L344"/>
      <c r="M344"/>
      <c r="N344"/>
      <c r="O344" s="464"/>
    </row>
    <row r="345" spans="1:15" ht="15.75" customHeight="1" outlineLevel="1">
      <c r="A345" s="183"/>
      <c r="B345"/>
      <c r="C345" s="245" t="s">
        <v>311</v>
      </c>
      <c r="D345" s="302"/>
      <c r="E345" s="302"/>
      <c r="F345" s="302"/>
      <c r="G345" s="302"/>
      <c r="H345" s="302"/>
      <c r="I345" s="311">
        <f>I344/(I7-D7)</f>
        <v>0</v>
      </c>
      <c r="J345"/>
      <c r="K345" s="1"/>
      <c r="L345"/>
      <c r="M345"/>
      <c r="N345"/>
      <c r="O345" s="464"/>
    </row>
    <row r="346" spans="1:15" ht="16" outlineLevel="1">
      <c r="A346" s="183"/>
      <c r="B346"/>
      <c r="C346" s="754"/>
      <c r="D346" s="754"/>
      <c r="E346" s="754"/>
      <c r="F346" s="754"/>
      <c r="G346" s="754"/>
      <c r="H346" s="754"/>
      <c r="I346" s="754"/>
      <c r="J346"/>
      <c r="K346" s="1"/>
      <c r="L346"/>
      <c r="M346"/>
      <c r="N346"/>
      <c r="O346" s="464"/>
    </row>
    <row r="347" spans="1:15" ht="17" outlineLevel="1">
      <c r="A347" s="183"/>
      <c r="B347"/>
      <c r="C347" s="240" t="s">
        <v>312</v>
      </c>
      <c r="D347" s="241"/>
      <c r="E347" s="241"/>
      <c r="F347" s="241"/>
      <c r="G347" s="241"/>
      <c r="H347" s="241"/>
      <c r="I347" s="241"/>
      <c r="J347"/>
      <c r="K347" s="1"/>
      <c r="L347"/>
      <c r="M347"/>
      <c r="N347"/>
      <c r="O347" s="464"/>
    </row>
    <row r="348" spans="1:15" ht="17" outlineLevel="1">
      <c r="A348" s="183"/>
      <c r="B348"/>
      <c r="C348" s="242" t="s">
        <v>291</v>
      </c>
      <c r="D348" s="244">
        <f t="shared" ref="D348:I348" si="110">D332</f>
        <v>-22380</v>
      </c>
      <c r="E348" s="244">
        <f t="shared" si="110"/>
        <v>142125.36810946011</v>
      </c>
      <c r="F348" s="244">
        <f t="shared" si="110"/>
        <v>910161.22485946165</v>
      </c>
      <c r="G348" s="244">
        <f t="shared" si="110"/>
        <v>1550304.3679437896</v>
      </c>
      <c r="H348" s="244">
        <f t="shared" si="110"/>
        <v>1648582.1890352946</v>
      </c>
      <c r="I348" s="244">
        <f t="shared" si="110"/>
        <v>1960554.3194494743</v>
      </c>
      <c r="J348"/>
      <c r="K348" s="1"/>
      <c r="L348"/>
      <c r="M348"/>
      <c r="N348"/>
      <c r="O348" s="464"/>
    </row>
    <row r="349" spans="1:15" ht="17" outlineLevel="1">
      <c r="A349" s="183"/>
      <c r="B349"/>
      <c r="C349" s="243" t="s">
        <v>294</v>
      </c>
      <c r="D349" s="244">
        <f t="shared" ref="D349:I349" si="111">D303</f>
        <v>0</v>
      </c>
      <c r="E349" s="244">
        <f t="shared" si="111"/>
        <v>172500</v>
      </c>
      <c r="F349" s="244">
        <f t="shared" si="111"/>
        <v>172500</v>
      </c>
      <c r="G349" s="244">
        <f t="shared" si="111"/>
        <v>172500</v>
      </c>
      <c r="H349" s="244">
        <f t="shared" si="111"/>
        <v>172500</v>
      </c>
      <c r="I349" s="244">
        <f t="shared" si="111"/>
        <v>172500</v>
      </c>
      <c r="J349"/>
      <c r="K349" s="1"/>
      <c r="L349"/>
      <c r="M349"/>
      <c r="N349"/>
      <c r="O349" s="464"/>
    </row>
    <row r="350" spans="1:15" ht="17" outlineLevel="1">
      <c r="A350" s="183"/>
      <c r="B350"/>
      <c r="C350" s="243" t="s">
        <v>313</v>
      </c>
      <c r="D350" s="244"/>
      <c r="E350" s="244"/>
      <c r="F350" s="244"/>
      <c r="G350" s="244"/>
      <c r="H350" s="244"/>
      <c r="I350" s="244"/>
      <c r="J350"/>
      <c r="K350" s="1"/>
      <c r="L350"/>
      <c r="M350"/>
      <c r="N350"/>
      <c r="O350" s="464"/>
    </row>
    <row r="351" spans="1:15" ht="17" outlineLevel="1">
      <c r="A351" s="183"/>
      <c r="B351"/>
      <c r="C351" s="243" t="s">
        <v>314</v>
      </c>
      <c r="D351" s="244">
        <f>D264</f>
        <v>0</v>
      </c>
      <c r="E351" s="244">
        <f t="shared" ref="E351:I351" si="112">E264</f>
        <v>240000</v>
      </c>
      <c r="F351" s="244">
        <f t="shared" si="112"/>
        <v>300000</v>
      </c>
      <c r="G351" s="244">
        <f t="shared" si="112"/>
        <v>300000</v>
      </c>
      <c r="H351" s="244">
        <f t="shared" si="112"/>
        <v>300000</v>
      </c>
      <c r="I351" s="244">
        <f t="shared" si="112"/>
        <v>300000</v>
      </c>
      <c r="J351"/>
      <c r="K351" s="1"/>
      <c r="L351"/>
      <c r="M351"/>
      <c r="N351"/>
      <c r="O351" s="464"/>
    </row>
    <row r="352" spans="1:15" ht="17" outlineLevel="1">
      <c r="A352" s="183"/>
      <c r="B352"/>
      <c r="C352" s="243" t="s">
        <v>315</v>
      </c>
      <c r="D352" s="244">
        <f>D271</f>
        <v>0</v>
      </c>
      <c r="E352" s="244">
        <f t="shared" ref="E352:I352" si="113">E271</f>
        <v>257016.07125742125</v>
      </c>
      <c r="F352" s="244">
        <f t="shared" si="113"/>
        <v>253109.85234050342</v>
      </c>
      <c r="G352" s="244">
        <f t="shared" si="113"/>
        <v>249003.78385025455</v>
      </c>
      <c r="H352" s="244">
        <f t="shared" si="113"/>
        <v>244687.64110321214</v>
      </c>
      <c r="I352" s="244">
        <f t="shared" si="113"/>
        <v>240150.67630170251</v>
      </c>
      <c r="J352"/>
      <c r="K352" s="1"/>
      <c r="L352"/>
      <c r="M352"/>
      <c r="N352"/>
      <c r="O352" s="464"/>
    </row>
    <row r="353" spans="1:15" ht="34" outlineLevel="1">
      <c r="A353" s="183"/>
      <c r="B353"/>
      <c r="C353" s="301" t="s">
        <v>316</v>
      </c>
      <c r="D353" s="312">
        <f>SUM(D348:D352)</f>
        <v>-22380</v>
      </c>
      <c r="E353" s="312">
        <f t="shared" ref="E353:I353" si="114">SUM(E348:E352)</f>
        <v>811641.43936688139</v>
      </c>
      <c r="F353" s="312">
        <f t="shared" si="114"/>
        <v>1635771.077199965</v>
      </c>
      <c r="G353" s="312">
        <f t="shared" si="114"/>
        <v>2271808.1517940443</v>
      </c>
      <c r="H353" s="312">
        <f t="shared" si="114"/>
        <v>2365769.8301385068</v>
      </c>
      <c r="I353" s="312">
        <f t="shared" si="114"/>
        <v>2673204.9957511765</v>
      </c>
      <c r="J353"/>
      <c r="K353" s="1"/>
      <c r="L353"/>
      <c r="M353"/>
      <c r="N353"/>
      <c r="O353" s="464"/>
    </row>
    <row r="354" spans="1:15" ht="17" outlineLevel="1">
      <c r="A354" s="183"/>
      <c r="B354"/>
      <c r="C354" s="303" t="s">
        <v>317</v>
      </c>
      <c r="D354" s="313">
        <f xml:space="preserve"> SUM(D271, D264, D302)</f>
        <v>0</v>
      </c>
      <c r="E354" s="313">
        <f t="shared" ref="E354:I354" si="115" xml:space="preserve"> SUM(E271, E264, E302)</f>
        <v>420665.91462430416</v>
      </c>
      <c r="F354" s="313">
        <f t="shared" si="115"/>
        <v>472853.47679046838</v>
      </c>
      <c r="G354" s="313">
        <f t="shared" si="115"/>
        <v>464641.33980997058</v>
      </c>
      <c r="H354" s="313">
        <f t="shared" si="115"/>
        <v>456009.05431588582</v>
      </c>
      <c r="I354" s="313">
        <f t="shared" si="115"/>
        <v>446935.12471286661</v>
      </c>
      <c r="J354"/>
      <c r="K354" s="1"/>
      <c r="L354"/>
      <c r="M354"/>
      <c r="N354"/>
      <c r="O354" s="464"/>
    </row>
    <row r="355" spans="1:15" ht="17" outlineLevel="1">
      <c r="A355" s="183"/>
      <c r="B355"/>
      <c r="C355" s="245" t="s">
        <v>312</v>
      </c>
      <c r="D355" s="304" t="str">
        <f t="shared" ref="D355:I355" si="116">IFERROR(D353/D354, "NA")</f>
        <v>NA</v>
      </c>
      <c r="E355" s="304">
        <f t="shared" si="116"/>
        <v>1.9294205000938967</v>
      </c>
      <c r="F355" s="304">
        <f t="shared" si="116"/>
        <v>3.4593614248178843</v>
      </c>
      <c r="G355" s="304">
        <f t="shared" si="116"/>
        <v>4.8893801673419119</v>
      </c>
      <c r="H355" s="304">
        <f t="shared" si="116"/>
        <v>5.1879887202846957</v>
      </c>
      <c r="I355" s="304">
        <f t="shared" si="116"/>
        <v>5.9811924548749138</v>
      </c>
      <c r="J355"/>
      <c r="K355" s="1"/>
      <c r="L355"/>
      <c r="M355"/>
      <c r="N355"/>
      <c r="O355" s="464"/>
    </row>
    <row r="356" spans="1:15" ht="16" outlineLevel="1">
      <c r="A356" s="183"/>
      <c r="B356"/>
      <c r="C356" s="754"/>
      <c r="D356" s="754"/>
      <c r="E356" s="754"/>
      <c r="F356" s="754"/>
      <c r="G356" s="754"/>
      <c r="H356" s="754"/>
      <c r="I356" s="754"/>
      <c r="J356"/>
      <c r="K356" s="1"/>
      <c r="L356"/>
      <c r="M356"/>
      <c r="N356"/>
      <c r="O356" s="464"/>
    </row>
    <row r="357" spans="1:15" ht="17" outlineLevel="1">
      <c r="A357" s="183"/>
      <c r="B357"/>
      <c r="C357" s="296" t="s">
        <v>429</v>
      </c>
      <c r="D357" s="297"/>
      <c r="E357" s="297"/>
      <c r="F357" s="297"/>
      <c r="G357" s="297"/>
      <c r="H357" s="297"/>
      <c r="I357" s="298"/>
      <c r="J357"/>
      <c r="K357" s="1"/>
      <c r="L357"/>
      <c r="M357"/>
      <c r="N357"/>
      <c r="O357" s="464"/>
    </row>
    <row r="358" spans="1:15" ht="17" outlineLevel="1">
      <c r="A358" s="183"/>
      <c r="B358"/>
      <c r="C358" s="299" t="s">
        <v>318</v>
      </c>
      <c r="D358" s="424">
        <v>1.2</v>
      </c>
      <c r="E358" s="424">
        <v>1.2</v>
      </c>
      <c r="F358" s="424">
        <v>1.2</v>
      </c>
      <c r="G358" s="424">
        <v>1.2</v>
      </c>
      <c r="H358" s="424">
        <v>1.2</v>
      </c>
      <c r="I358" s="424">
        <v>1.2</v>
      </c>
      <c r="J358"/>
      <c r="K358" s="1"/>
      <c r="L358"/>
      <c r="M358"/>
      <c r="N358"/>
      <c r="O358" s="464"/>
    </row>
    <row r="359" spans="1:15" ht="17" outlineLevel="1">
      <c r="A359" s="183"/>
      <c r="B359"/>
      <c r="C359" s="301" t="s">
        <v>319</v>
      </c>
      <c r="D359" s="310">
        <f>D354*D358</f>
        <v>0</v>
      </c>
      <c r="E359" s="310">
        <f>E354*E358</f>
        <v>504799.09754916496</v>
      </c>
      <c r="F359" s="310">
        <f t="shared" ref="F359:I359" si="117">F354*F358</f>
        <v>567424.17214856204</v>
      </c>
      <c r="G359" s="310">
        <f t="shared" si="117"/>
        <v>557569.60777196463</v>
      </c>
      <c r="H359" s="310">
        <f t="shared" si="117"/>
        <v>547210.86517906294</v>
      </c>
      <c r="I359" s="310">
        <f t="shared" si="117"/>
        <v>536322.14965543989</v>
      </c>
      <c r="J359"/>
      <c r="K359" s="1"/>
      <c r="L359"/>
      <c r="M359"/>
      <c r="N359"/>
      <c r="O359" s="464"/>
    </row>
    <row r="360" spans="1:15" ht="17" outlineLevel="1">
      <c r="A360" s="183"/>
      <c r="B360"/>
      <c r="C360" s="301" t="s">
        <v>320</v>
      </c>
      <c r="D360" s="310">
        <f>D353</f>
        <v>-22380</v>
      </c>
      <c r="E360" s="310">
        <f t="shared" ref="E360:I360" si="118">E353</f>
        <v>811641.43936688139</v>
      </c>
      <c r="F360" s="310">
        <f t="shared" si="118"/>
        <v>1635771.077199965</v>
      </c>
      <c r="G360" s="310">
        <f t="shared" si="118"/>
        <v>2271808.1517940443</v>
      </c>
      <c r="H360" s="310">
        <f t="shared" si="118"/>
        <v>2365769.8301385068</v>
      </c>
      <c r="I360" s="310">
        <f t="shared" si="118"/>
        <v>2673204.9957511765</v>
      </c>
      <c r="J360"/>
      <c r="K360" s="1"/>
      <c r="L360"/>
      <c r="M360"/>
      <c r="N360"/>
      <c r="O360" s="464"/>
    </row>
    <row r="361" spans="1:15" ht="17" outlineLevel="1">
      <c r="A361" s="183"/>
      <c r="B361"/>
      <c r="C361" s="245" t="s">
        <v>309</v>
      </c>
      <c r="D361" s="311">
        <f>IF(D359&gt;D360,D359-D360, 0)</f>
        <v>22380</v>
      </c>
      <c r="E361" s="311">
        <f t="shared" ref="E361:I361" si="119">IF(E359&gt;E360,E359-E360, 0)</f>
        <v>0</v>
      </c>
      <c r="F361" s="311">
        <f t="shared" si="119"/>
        <v>0</v>
      </c>
      <c r="G361" s="311">
        <f t="shared" si="119"/>
        <v>0</v>
      </c>
      <c r="H361" s="311">
        <f t="shared" si="119"/>
        <v>0</v>
      </c>
      <c r="I361" s="311">
        <f t="shared" si="119"/>
        <v>0</v>
      </c>
      <c r="J361"/>
      <c r="K361" s="1"/>
      <c r="L361"/>
      <c r="M361"/>
      <c r="N361"/>
      <c r="O361" s="464"/>
    </row>
    <row r="362" spans="1:15" ht="17" outlineLevel="1">
      <c r="A362" s="183"/>
      <c r="B362"/>
      <c r="C362" s="245" t="s">
        <v>310</v>
      </c>
      <c r="D362" s="302"/>
      <c r="E362" s="302"/>
      <c r="F362" s="302"/>
      <c r="G362" s="302"/>
      <c r="H362" s="302"/>
      <c r="I362" s="246">
        <f>SUM(D361:I361)</f>
        <v>22380</v>
      </c>
      <c r="J362"/>
      <c r="K362" s="1"/>
      <c r="L362"/>
      <c r="M362"/>
      <c r="N362"/>
      <c r="O362" s="464"/>
    </row>
    <row r="363" spans="1:15" ht="17" outlineLevel="1">
      <c r="A363" s="183"/>
      <c r="B363"/>
      <c r="C363" s="245" t="s">
        <v>311</v>
      </c>
      <c r="D363" s="302"/>
      <c r="E363" s="302"/>
      <c r="F363" s="302"/>
      <c r="G363" s="302"/>
      <c r="H363" s="302"/>
      <c r="I363" s="246">
        <f>I362/(I7-D7)</f>
        <v>28.692307692307693</v>
      </c>
      <c r="J363"/>
      <c r="K363" s="1"/>
      <c r="L363"/>
      <c r="M363"/>
      <c r="N363"/>
      <c r="O363" s="464"/>
    </row>
    <row r="364" spans="1:15">
      <c r="A364" s="305"/>
      <c r="B364" s="597"/>
      <c r="C364" s="597"/>
      <c r="D364" s="597"/>
      <c r="E364" s="597"/>
      <c r="F364" s="597"/>
      <c r="G364" s="597"/>
      <c r="H364" s="597"/>
      <c r="I364" s="597"/>
      <c r="J364" s="597"/>
      <c r="K364" s="755"/>
      <c r="L364" s="597"/>
      <c r="M364" s="597"/>
      <c r="N364" s="597"/>
      <c r="O364" s="598"/>
    </row>
    <row r="659" spans="2:9">
      <c r="B659" s="527"/>
      <c r="C659" s="528"/>
      <c r="D659" s="528"/>
      <c r="E659" s="528"/>
      <c r="F659" s="528"/>
      <c r="G659" s="528"/>
      <c r="H659" s="528"/>
      <c r="I659" s="528"/>
    </row>
    <row r="660" spans="2:9">
      <c r="B660" s="530"/>
    </row>
    <row r="661" spans="2:9">
      <c r="B661" s="530"/>
    </row>
    <row r="662" spans="2:9">
      <c r="B662" s="530"/>
    </row>
    <row r="663" spans="2:9">
      <c r="B663" s="530"/>
    </row>
    <row r="664" spans="2:9">
      <c r="B664" s="530"/>
    </row>
    <row r="665" spans="2:9">
      <c r="B665" s="530"/>
    </row>
    <row r="666" spans="2:9">
      <c r="B666" s="530"/>
    </row>
    <row r="667" spans="2:9">
      <c r="B667" s="530"/>
    </row>
    <row r="668" spans="2:9">
      <c r="B668" s="530"/>
    </row>
    <row r="669" spans="2:9">
      <c r="B669" s="530"/>
    </row>
    <row r="670" spans="2:9">
      <c r="B670" s="530"/>
    </row>
    <row r="671" spans="2:9">
      <c r="B671" s="530"/>
    </row>
    <row r="672" spans="2:9">
      <c r="B672" s="531"/>
      <c r="C672" s="532"/>
      <c r="D672" s="532"/>
      <c r="E672" s="532"/>
      <c r="F672" s="532"/>
      <c r="G672" s="532"/>
      <c r="H672" s="532"/>
      <c r="I672" s="532"/>
    </row>
  </sheetData>
  <phoneticPr fontId="13" type="noConversion"/>
  <conditionalFormatting sqref="B54 K73 K179:K181 K183 K218:K219 K221:K227">
    <cfRule type="notContainsBlanks" dxfId="23" priority="14">
      <formula>LEN(TRIM(B54))&gt;0</formula>
    </cfRule>
  </conditionalFormatting>
  <conditionalFormatting sqref="B231:B274">
    <cfRule type="cellIs" dxfId="22" priority="1" operator="equal">
      <formula>"Personnel"</formula>
    </cfRule>
    <cfRule type="cellIs" dxfId="21" priority="2" operator="equal">
      <formula>"Operating"</formula>
    </cfRule>
    <cfRule type="cellIs" dxfId="20" priority="3" operator="equal">
      <formula>"Facilities"</formula>
    </cfRule>
    <cfRule type="cellIs" dxfId="19" priority="4" operator="equal">
      <formula>"Non-Operating"</formula>
    </cfRule>
    <cfRule type="cellIs" dxfId="18" priority="5" operator="equal">
      <formula>"Instructional"</formula>
    </cfRule>
    <cfRule type="cellIs" dxfId="17" priority="6" operator="equal">
      <formula>"Administrative"</formula>
    </cfRule>
  </conditionalFormatting>
  <conditionalFormatting sqref="K40">
    <cfRule type="notContainsBlanks" dxfId="16" priority="20">
      <formula>LEN(TRIM(K40))&gt;0</formula>
    </cfRule>
  </conditionalFormatting>
  <conditionalFormatting sqref="K109">
    <cfRule type="notContainsBlanks" dxfId="15" priority="16">
      <formula>LEN(TRIM(K109))&gt;0</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79E19-D086-428D-A335-2D688B181AB0}">
  <sheetPr codeName="Sheet7">
    <tabColor rgb="FFCC99FF"/>
  </sheetPr>
  <dimension ref="A1:R107"/>
  <sheetViews>
    <sheetView showGridLines="0" zoomScale="70" zoomScaleNormal="70" workbookViewId="0">
      <pane ySplit="1" topLeftCell="A2" activePane="bottomLeft" state="frozen"/>
      <selection pane="bottomLeft" activeCell="G28" sqref="G28"/>
    </sheetView>
  </sheetViews>
  <sheetFormatPr baseColWidth="10" defaultColWidth="8.6640625" defaultRowHeight="15"/>
  <cols>
    <col min="1" max="1" width="17.83203125" style="541" customWidth="1"/>
    <col min="2" max="2" width="31.33203125" style="542" bestFit="1" customWidth="1"/>
    <col min="3" max="3" width="55.1640625" style="542" bestFit="1" customWidth="1"/>
    <col min="4" max="15" width="18.33203125" style="542" customWidth="1"/>
    <col min="16" max="16" width="16" style="542" customWidth="1"/>
    <col min="17" max="17" width="3.5" style="542" customWidth="1"/>
    <col min="18" max="18" width="8.6640625" style="536"/>
    <col min="19" max="16384" width="8.6640625" style="513"/>
  </cols>
  <sheetData>
    <row r="1" spans="1:18" ht="26">
      <c r="A1" s="45" t="s">
        <v>89</v>
      </c>
      <c r="B1" s="46"/>
      <c r="C1" s="46"/>
      <c r="D1" s="307" t="s">
        <v>58</v>
      </c>
      <c r="E1" s="307" t="s">
        <v>59</v>
      </c>
      <c r="F1" s="307" t="s">
        <v>60</v>
      </c>
      <c r="G1" s="307" t="s">
        <v>61</v>
      </c>
      <c r="H1" s="307" t="s">
        <v>62</v>
      </c>
      <c r="I1" s="307" t="s">
        <v>63</v>
      </c>
      <c r="J1" s="307" t="s">
        <v>64</v>
      </c>
      <c r="K1" s="307" t="s">
        <v>65</v>
      </c>
      <c r="L1" s="307" t="s">
        <v>66</v>
      </c>
      <c r="M1" s="307" t="s">
        <v>67</v>
      </c>
      <c r="N1" s="307" t="s">
        <v>56</v>
      </c>
      <c r="O1" s="307" t="s">
        <v>57</v>
      </c>
      <c r="P1" s="46"/>
      <c r="Q1" s="86"/>
    </row>
    <row r="2" spans="1:18" s="538" customFormat="1" ht="16">
      <c r="A2" s="724"/>
      <c r="B2" s="725"/>
      <c r="C2" s="725"/>
      <c r="D2" s="725"/>
      <c r="E2" s="725"/>
      <c r="F2" s="725"/>
      <c r="G2" s="725"/>
      <c r="H2" s="725"/>
      <c r="I2" s="725"/>
      <c r="J2" s="725"/>
      <c r="K2" s="725"/>
      <c r="L2" s="725"/>
      <c r="M2" s="725"/>
      <c r="N2" s="725"/>
      <c r="O2" s="725"/>
      <c r="P2" s="726"/>
      <c r="Q2" s="727"/>
      <c r="R2" s="537"/>
    </row>
    <row r="3" spans="1:18" s="538" customFormat="1" ht="16">
      <c r="A3" s="728"/>
      <c r="B3" s="108" t="s">
        <v>171</v>
      </c>
      <c r="C3" s="725"/>
      <c r="D3" s="109" t="s">
        <v>53</v>
      </c>
      <c r="E3" s="110"/>
      <c r="F3" s="110"/>
      <c r="G3" s="111"/>
      <c r="H3" s="725"/>
      <c r="I3" s="725"/>
      <c r="J3" s="725"/>
      <c r="K3" s="725"/>
      <c r="L3" s="725"/>
      <c r="M3" s="725"/>
      <c r="N3" s="725"/>
      <c r="O3" s="725"/>
      <c r="P3" s="726"/>
      <c r="Q3" s="727"/>
      <c r="R3" s="537"/>
    </row>
    <row r="4" spans="1:18" s="538" customFormat="1" ht="16">
      <c r="A4" s="728"/>
      <c r="B4" s="506">
        <f>'P&amp;L'!E331</f>
        <v>1227620</v>
      </c>
      <c r="C4" s="725"/>
      <c r="D4" s="113" t="s">
        <v>55</v>
      </c>
      <c r="E4" s="113" t="s">
        <v>55</v>
      </c>
      <c r="F4" s="113" t="s">
        <v>55</v>
      </c>
      <c r="G4" s="113" t="s">
        <v>55</v>
      </c>
      <c r="H4" s="113" t="s">
        <v>55</v>
      </c>
      <c r="I4" s="113" t="s">
        <v>55</v>
      </c>
      <c r="J4" s="113" t="s">
        <v>55</v>
      </c>
      <c r="K4" s="113" t="s">
        <v>55</v>
      </c>
      <c r="L4" s="113" t="s">
        <v>55</v>
      </c>
      <c r="M4" s="113" t="s">
        <v>55</v>
      </c>
      <c r="N4" s="113" t="s">
        <v>55</v>
      </c>
      <c r="O4" s="113" t="s">
        <v>55</v>
      </c>
      <c r="P4" s="726"/>
      <c r="Q4" s="727"/>
      <c r="R4" s="537"/>
    </row>
    <row r="5" spans="1:18" s="538" customFormat="1" ht="16">
      <c r="A5" s="729"/>
      <c r="B5" s="108" t="s">
        <v>91</v>
      </c>
      <c r="C5" s="725"/>
      <c r="D5" s="114">
        <f t="shared" ref="D5:O5" si="0">IF(D$4="ACT",1,0)</f>
        <v>0</v>
      </c>
      <c r="E5" s="114">
        <f t="shared" si="0"/>
        <v>0</v>
      </c>
      <c r="F5" s="114">
        <f t="shared" si="0"/>
        <v>0</v>
      </c>
      <c r="G5" s="114">
        <f t="shared" si="0"/>
        <v>0</v>
      </c>
      <c r="H5" s="114">
        <f t="shared" si="0"/>
        <v>0</v>
      </c>
      <c r="I5" s="114">
        <f t="shared" si="0"/>
        <v>0</v>
      </c>
      <c r="J5" s="114">
        <f t="shared" si="0"/>
        <v>0</v>
      </c>
      <c r="K5" s="114">
        <f t="shared" si="0"/>
        <v>0</v>
      </c>
      <c r="L5" s="114">
        <f t="shared" si="0"/>
        <v>0</v>
      </c>
      <c r="M5" s="114">
        <f t="shared" si="0"/>
        <v>0</v>
      </c>
      <c r="N5" s="114">
        <f t="shared" si="0"/>
        <v>0</v>
      </c>
      <c r="O5" s="114">
        <f t="shared" si="0"/>
        <v>0</v>
      </c>
      <c r="P5" s="726"/>
      <c r="Q5" s="730"/>
      <c r="R5" s="537"/>
    </row>
    <row r="6" spans="1:18" s="538" customFormat="1" ht="17" thickBot="1">
      <c r="A6" s="729"/>
      <c r="B6" s="112">
        <v>45</v>
      </c>
      <c r="C6" s="725"/>
      <c r="D6" s="725"/>
      <c r="E6" s="725"/>
      <c r="F6" s="725"/>
      <c r="G6" s="725"/>
      <c r="H6" s="725"/>
      <c r="I6" s="725"/>
      <c r="J6" s="725"/>
      <c r="K6" s="725"/>
      <c r="L6" s="725"/>
      <c r="M6" s="725"/>
      <c r="N6" s="725"/>
      <c r="O6" s="725"/>
      <c r="P6" s="726"/>
      <c r="Q6" s="730"/>
      <c r="R6" s="537"/>
    </row>
    <row r="7" spans="1:18" s="538" customFormat="1" ht="16">
      <c r="A7" s="729"/>
      <c r="B7" s="725"/>
      <c r="C7" s="725"/>
      <c r="D7" s="115" t="s">
        <v>58</v>
      </c>
      <c r="E7" s="115" t="s">
        <v>59</v>
      </c>
      <c r="F7" s="115" t="s">
        <v>60</v>
      </c>
      <c r="G7" s="115" t="s">
        <v>61</v>
      </c>
      <c r="H7" s="115" t="s">
        <v>62</v>
      </c>
      <c r="I7" s="115" t="s">
        <v>63</v>
      </c>
      <c r="J7" s="115" t="s">
        <v>64</v>
      </c>
      <c r="K7" s="115" t="s">
        <v>65</v>
      </c>
      <c r="L7" s="115" t="s">
        <v>66</v>
      </c>
      <c r="M7" s="115" t="s">
        <v>67</v>
      </c>
      <c r="N7" s="115" t="s">
        <v>56</v>
      </c>
      <c r="O7" s="115" t="s">
        <v>57</v>
      </c>
      <c r="P7" s="116" t="s">
        <v>92</v>
      </c>
      <c r="Q7" s="730"/>
      <c r="R7" s="537"/>
    </row>
    <row r="8" spans="1:18" s="538" customFormat="1" ht="16">
      <c r="A8" s="729"/>
      <c r="B8" s="725"/>
      <c r="C8" s="725"/>
      <c r="D8" s="726"/>
      <c r="E8" s="726"/>
      <c r="F8" s="726"/>
      <c r="G8" s="726"/>
      <c r="H8" s="726"/>
      <c r="I8" s="726"/>
      <c r="J8" s="726"/>
      <c r="K8" s="726"/>
      <c r="L8" s="726"/>
      <c r="M8" s="726"/>
      <c r="N8" s="726"/>
      <c r="O8" s="726"/>
      <c r="P8" s="117"/>
      <c r="Q8" s="730"/>
      <c r="R8" s="537"/>
    </row>
    <row r="9" spans="1:18" s="538" customFormat="1" ht="16">
      <c r="A9" s="729"/>
      <c r="B9" s="725"/>
      <c r="C9" s="70" t="s">
        <v>93</v>
      </c>
      <c r="D9" s="118">
        <f>B4</f>
        <v>1227620</v>
      </c>
      <c r="E9" s="118">
        <f>D11</f>
        <v>1318652.4054618815</v>
      </c>
      <c r="F9" s="118">
        <f t="shared" ref="F9:O9" si="1">E11</f>
        <v>1230663.1052710032</v>
      </c>
      <c r="G9" s="118">
        <f t="shared" si="1"/>
        <v>1075708.1106134583</v>
      </c>
      <c r="H9" s="118">
        <f t="shared" si="1"/>
        <v>1078889.8863559132</v>
      </c>
      <c r="I9" s="118">
        <f t="shared" si="1"/>
        <v>1062304.5657983683</v>
      </c>
      <c r="J9" s="118">
        <f t="shared" si="1"/>
        <v>1207336.3415408235</v>
      </c>
      <c r="K9" s="118">
        <f t="shared" si="1"/>
        <v>1210518.1172832786</v>
      </c>
      <c r="L9" s="118">
        <f t="shared" si="1"/>
        <v>1213699.8930257335</v>
      </c>
      <c r="M9" s="118">
        <f t="shared" si="1"/>
        <v>1058744.8983681886</v>
      </c>
      <c r="N9" s="118">
        <f t="shared" si="1"/>
        <v>943324.09631064371</v>
      </c>
      <c r="O9" s="118">
        <f t="shared" si="1"/>
        <v>1153134.3461530986</v>
      </c>
      <c r="P9" s="119">
        <f>D9</f>
        <v>1227620</v>
      </c>
      <c r="Q9" s="730"/>
      <c r="R9" s="537"/>
    </row>
    <row r="10" spans="1:18" s="538" customFormat="1" ht="16">
      <c r="A10" s="728"/>
      <c r="B10" s="725"/>
      <c r="C10" s="731"/>
      <c r="D10" s="120"/>
      <c r="E10" s="120"/>
      <c r="F10" s="120"/>
      <c r="G10" s="120"/>
      <c r="H10" s="120"/>
      <c r="I10" s="120"/>
      <c r="J10" s="120"/>
      <c r="K10" s="120"/>
      <c r="L10" s="120"/>
      <c r="M10" s="120"/>
      <c r="N10" s="120"/>
      <c r="O10" s="120"/>
      <c r="P10" s="121"/>
      <c r="Q10" s="730"/>
      <c r="R10" s="537"/>
    </row>
    <row r="11" spans="1:18" s="538" customFormat="1" ht="17" thickBot="1">
      <c r="A11" s="732"/>
      <c r="B11" s="725"/>
      <c r="C11" s="70" t="s">
        <v>94</v>
      </c>
      <c r="D11" s="118">
        <f t="shared" ref="D11:P11" si="2">SUM(D9,D97)</f>
        <v>1318652.4054618815</v>
      </c>
      <c r="E11" s="118">
        <f t="shared" si="2"/>
        <v>1230663.1052710032</v>
      </c>
      <c r="F11" s="118">
        <f t="shared" si="2"/>
        <v>1075708.1106134583</v>
      </c>
      <c r="G11" s="118">
        <f t="shared" si="2"/>
        <v>1078889.8863559132</v>
      </c>
      <c r="H11" s="118">
        <f t="shared" si="2"/>
        <v>1062304.5657983683</v>
      </c>
      <c r="I11" s="118">
        <f t="shared" si="2"/>
        <v>1207336.3415408235</v>
      </c>
      <c r="J11" s="118">
        <f t="shared" si="2"/>
        <v>1210518.1172832786</v>
      </c>
      <c r="K11" s="118">
        <f t="shared" si="2"/>
        <v>1213699.8930257335</v>
      </c>
      <c r="L11" s="118">
        <f t="shared" si="2"/>
        <v>1058744.8983681886</v>
      </c>
      <c r="M11" s="118">
        <f t="shared" si="2"/>
        <v>943324.09631064371</v>
      </c>
      <c r="N11" s="118">
        <f t="shared" si="2"/>
        <v>1153134.3461530986</v>
      </c>
      <c r="O11" s="122">
        <f t="shared" si="2"/>
        <v>1361732.8811622204</v>
      </c>
      <c r="P11" s="123">
        <f t="shared" si="2"/>
        <v>1361732.8811622197</v>
      </c>
      <c r="Q11" s="730"/>
      <c r="R11" s="537"/>
    </row>
    <row r="12" spans="1:18" s="538" customFormat="1" ht="16">
      <c r="A12" s="732"/>
      <c r="B12" s="725"/>
      <c r="C12" s="725"/>
      <c r="D12" s="726"/>
      <c r="E12" s="726"/>
      <c r="F12" s="726"/>
      <c r="G12" s="726"/>
      <c r="H12" s="726"/>
      <c r="I12" s="726"/>
      <c r="J12" s="726"/>
      <c r="K12" s="726"/>
      <c r="L12" s="726"/>
      <c r="M12" s="726"/>
      <c r="N12" s="726"/>
      <c r="O12" s="726"/>
      <c r="P12" s="726"/>
      <c r="Q12" s="730"/>
      <c r="R12" s="537"/>
    </row>
    <row r="13" spans="1:18" s="538" customFormat="1" ht="16">
      <c r="A13" s="732"/>
      <c r="B13" s="725"/>
      <c r="C13" s="70" t="s">
        <v>99</v>
      </c>
      <c r="D13" s="124">
        <f>D11/(('P&amp;L'!$E275-'P&amp;L'!$E272)/365)</f>
        <v>98.802868266807977</v>
      </c>
      <c r="E13" s="124">
        <f>E11/(('P&amp;L'!$E275-'P&amp;L'!$E272)/365)</f>
        <v>92.210080660582904</v>
      </c>
      <c r="F13" s="124">
        <f>F11/(('P&amp;L'!$E275-'P&amp;L'!$E272)/365)</f>
        <v>80.599744334634494</v>
      </c>
      <c r="G13" s="124">
        <f>G11/(('P&amp;L'!$E275-'P&amp;L'!$E272)/365)</f>
        <v>80.838145727021271</v>
      </c>
      <c r="H13" s="124">
        <f>H11/(('P&amp;L'!$E275-'P&amp;L'!$E272)/365)</f>
        <v>79.595454904616176</v>
      </c>
      <c r="I13" s="124">
        <f>I11/(('P&amp;L'!$E275-'P&amp;L'!$E272)/365)</f>
        <v>90.46227270575146</v>
      </c>
      <c r="J13" s="124">
        <f>J11/(('P&amp;L'!$E275-'P&amp;L'!$E272)/365)</f>
        <v>90.700674098138251</v>
      </c>
      <c r="K13" s="124">
        <f>K11/(('P&amp;L'!$E275-'P&amp;L'!$E272)/365)</f>
        <v>90.939075490525042</v>
      </c>
      <c r="L13" s="124">
        <f>L11/(('P&amp;L'!$E275-'P&amp;L'!$E272)/365)</f>
        <v>79.328739164576632</v>
      </c>
      <c r="M13" s="124">
        <f>M11/(('P&amp;L'!$E275-'P&amp;L'!$E272)/365)</f>
        <v>70.680587268212008</v>
      </c>
      <c r="N13" s="124">
        <f>N11/(('P&amp;L'!$E275-'P&amp;L'!$E272)/365)</f>
        <v>86.40107159777962</v>
      </c>
      <c r="O13" s="125">
        <f>O11/(('P&amp;L'!$E275-'P&amp;L'!$E272)/365)</f>
        <v>102.03076558672458</v>
      </c>
      <c r="P13" s="126"/>
      <c r="Q13" s="730"/>
      <c r="R13" s="537"/>
    </row>
    <row r="14" spans="1:18" s="538" customFormat="1" ht="17" thickBot="1">
      <c r="A14" s="732"/>
      <c r="B14" s="725"/>
      <c r="C14" s="725"/>
      <c r="D14" s="726"/>
      <c r="E14" s="726"/>
      <c r="F14" s="726"/>
      <c r="G14" s="726"/>
      <c r="H14" s="726"/>
      <c r="I14" s="726"/>
      <c r="J14" s="726"/>
      <c r="K14" s="726"/>
      <c r="L14" s="726"/>
      <c r="M14" s="726"/>
      <c r="N14" s="726"/>
      <c r="O14" s="726"/>
      <c r="P14" s="726"/>
      <c r="Q14" s="730"/>
      <c r="R14" s="537"/>
    </row>
    <row r="15" spans="1:18" s="538" customFormat="1" ht="17" thickBot="1">
      <c r="A15" s="733"/>
      <c r="B15" s="71" t="s">
        <v>433</v>
      </c>
      <c r="C15" s="71" t="s">
        <v>96</v>
      </c>
      <c r="D15" s="127"/>
      <c r="E15" s="127"/>
      <c r="F15" s="127"/>
      <c r="G15" s="127"/>
      <c r="H15" s="127"/>
      <c r="I15" s="127"/>
      <c r="J15" s="127"/>
      <c r="K15" s="127"/>
      <c r="L15" s="127"/>
      <c r="M15" s="127"/>
      <c r="N15" s="127"/>
      <c r="O15" s="127"/>
      <c r="P15" s="128"/>
      <c r="Q15" s="730"/>
      <c r="R15" s="537"/>
    </row>
    <row r="16" spans="1:18" s="538" customFormat="1" ht="17" thickBot="1">
      <c r="A16" s="417" t="s">
        <v>168</v>
      </c>
      <c r="B16" s="419" t="s">
        <v>440</v>
      </c>
      <c r="C16" s="725" t="str">
        <f>'P&amp;L'!C122</f>
        <v xml:space="preserve">2200 - Sale Of Goods, Supplies, &amp; Services - Unassigned </v>
      </c>
      <c r="D16" s="421" cm="1">
        <f t="array" ref="D16">_xlfn.IFS($B16="12-Month Smoothing", 'P&amp;L'!$E122*Drivers!G$113, $B16="10-Month Academic Calendar", 'P&amp;L'!$E122*Drivers!G$114, $B16="Quarterly Smoothing", 'P&amp;L'!$E122*Drivers!G$115,
     $B16="Two-Installment (front-loaded)", 'P&amp;L'!$E122*Drivers!G$116, $B16="Two-Installment (back-loaded)", 'P&amp;L'!$E122*Drivers!G$117,
     $B16="Year Start Lump Sum", 'P&amp;L'!$E122*Drivers!G$118,$B16="OSPI State Apportionment", 'P&amp;L'!$E122*Drivers!G$119, $B16="Expense Reimbursement", 'P&amp;L'!$E122*Drivers!G$120,
     $B16="Direct Monthly Input", 0)</f>
        <v>615</v>
      </c>
      <c r="E16" s="421" cm="1">
        <f t="array" ref="E16">_xlfn.IFS($B16="12-Month Smoothing", 'P&amp;L'!$E122*Drivers!H$113, $B16="10-Month Academic Calendar", 'P&amp;L'!$E122*Drivers!H$114, $B16="Quarterly Smoothing", 'P&amp;L'!$E122*Drivers!H$115,
     $B16="Two-Installment (front-loaded)", 'P&amp;L'!$E122*Drivers!H$116, $B16="Two-Installment (back-loaded)", 'P&amp;L'!$E122*Drivers!H$117,
     $B16="Year Start Lump Sum", 'P&amp;L'!$E122*Drivers!H$118,$B16="OSPI State Apportionment", 'P&amp;L'!$E122*Drivers!H$119, $B16="Expense Reimbursement", 'P&amp;L'!$E122*Drivers!H$120,
     $B16="Direct Monthly Input", 0)</f>
        <v>615</v>
      </c>
      <c r="F16" s="421" cm="1">
        <f t="array" ref="F16">_xlfn.IFS($B16="12-Month Smoothing", 'P&amp;L'!$E122*Drivers!I$113, $B16="10-Month Academic Calendar", 'P&amp;L'!$E122*Drivers!I$114, $B16="Quarterly Smoothing", 'P&amp;L'!$E122*Drivers!I$115,
     $B16="Two-Installment (front-loaded)", 'P&amp;L'!$E122*Drivers!I$116, $B16="Two-Installment (back-loaded)", 'P&amp;L'!$E122*Drivers!I$117,
     $B16="Year Start Lump Sum", 'P&amp;L'!$E122*Drivers!I$118,$B16="OSPI State Apportionment", 'P&amp;L'!$E122*Drivers!I$119, $B16="Expense Reimbursement", 'P&amp;L'!$E122*Drivers!I$120,
     $B16="Direct Monthly Input", 0)</f>
        <v>615</v>
      </c>
      <c r="G16" s="421" cm="1">
        <f t="array" ref="G16">_xlfn.IFS($B16="12-Month Smoothing", 'P&amp;L'!$E122*Drivers!J$113, $B16="10-Month Academic Calendar", 'P&amp;L'!$E122*Drivers!J$114, $B16="Quarterly Smoothing", 'P&amp;L'!$E122*Drivers!J$115,
     $B16="Two-Installment (front-loaded)", 'P&amp;L'!$E122*Drivers!J$116, $B16="Two-Installment (back-loaded)", 'P&amp;L'!$E122*Drivers!J$117,
     $B16="Year Start Lump Sum", 'P&amp;L'!$E122*Drivers!J$118,$B16="OSPI State Apportionment", 'P&amp;L'!$E122*Drivers!J$119, $B16="Expense Reimbursement", 'P&amp;L'!$E122*Drivers!J$120,
     $B16="Direct Monthly Input", 0)</f>
        <v>615</v>
      </c>
      <c r="H16" s="421" cm="1">
        <f t="array" ref="H16">_xlfn.IFS($B16="12-Month Smoothing", 'P&amp;L'!$E122*Drivers!K$113, $B16="10-Month Academic Calendar", 'P&amp;L'!$E122*Drivers!K$114, $B16="Quarterly Smoothing", 'P&amp;L'!$E122*Drivers!K$115,
     $B16="Two-Installment (front-loaded)", 'P&amp;L'!$E122*Drivers!K$116, $B16="Two-Installment (back-loaded)", 'P&amp;L'!$E122*Drivers!K$117,
     $B16="Year Start Lump Sum", 'P&amp;L'!$E122*Drivers!K$118,$B16="OSPI State Apportionment", 'P&amp;L'!$E122*Drivers!K$119, $B16="Expense Reimbursement", 'P&amp;L'!$E122*Drivers!K$120,
     $B16="Direct Monthly Input", 0)</f>
        <v>615</v>
      </c>
      <c r="I16" s="421" cm="1">
        <f t="array" ref="I16">_xlfn.IFS($B16="12-Month Smoothing", 'P&amp;L'!$E122*Drivers!L$113, $B16="10-Month Academic Calendar", 'P&amp;L'!$E122*Drivers!L$114, $B16="Quarterly Smoothing", 'P&amp;L'!$E122*Drivers!L$115,
     $B16="Two-Installment (front-loaded)", 'P&amp;L'!$E122*Drivers!L$116, $B16="Two-Installment (back-loaded)", 'P&amp;L'!$E122*Drivers!L$117,
     $B16="Year Start Lump Sum", 'P&amp;L'!$E122*Drivers!L$118,$B16="OSPI State Apportionment", 'P&amp;L'!$E122*Drivers!L$119, $B16="Expense Reimbursement", 'P&amp;L'!$E122*Drivers!L$120,
     $B16="Direct Monthly Input", 0)</f>
        <v>615</v>
      </c>
      <c r="J16" s="421" cm="1">
        <f t="array" ref="J16">_xlfn.IFS($B16="12-Month Smoothing", 'P&amp;L'!$E122*Drivers!M$113, $B16="10-Month Academic Calendar", 'P&amp;L'!$E122*Drivers!M$114, $B16="Quarterly Smoothing", 'P&amp;L'!$E122*Drivers!M$115,
     $B16="Two-Installment (front-loaded)", 'P&amp;L'!$E122*Drivers!M$116, $B16="Two-Installment (back-loaded)", 'P&amp;L'!$E122*Drivers!M$117,
     $B16="Year Start Lump Sum", 'P&amp;L'!$E122*Drivers!M$118,$B16="OSPI State Apportionment", 'P&amp;L'!$E122*Drivers!M$119, $B16="Expense Reimbursement", 'P&amp;L'!$E122*Drivers!M$120,
     $B16="Direct Monthly Input", 0)</f>
        <v>615</v>
      </c>
      <c r="K16" s="421" cm="1">
        <f t="array" ref="K16">_xlfn.IFS($B16="12-Month Smoothing", 'P&amp;L'!$E122*Drivers!N$113, $B16="10-Month Academic Calendar", 'P&amp;L'!$E122*Drivers!N$114, $B16="Quarterly Smoothing", 'P&amp;L'!$E122*Drivers!N$115,
     $B16="Two-Installment (front-loaded)", 'P&amp;L'!$E122*Drivers!N$116, $B16="Two-Installment (back-loaded)", 'P&amp;L'!$E122*Drivers!N$117,
     $B16="Year Start Lump Sum", 'P&amp;L'!$E122*Drivers!N$118,$B16="OSPI State Apportionment", 'P&amp;L'!$E122*Drivers!N$119, $B16="Expense Reimbursement", 'P&amp;L'!$E122*Drivers!N$120,
     $B16="Direct Monthly Input", 0)</f>
        <v>615</v>
      </c>
      <c r="L16" s="421" cm="1">
        <f t="array" ref="L16">_xlfn.IFS($B16="12-Month Smoothing", 'P&amp;L'!$E122*Drivers!O$113, $B16="10-Month Academic Calendar", 'P&amp;L'!$E122*Drivers!O$114, $B16="Quarterly Smoothing", 'P&amp;L'!$E122*Drivers!O$115,
     $B16="Two-Installment (front-loaded)", 'P&amp;L'!$E122*Drivers!O$116, $B16="Two-Installment (back-loaded)", 'P&amp;L'!$E122*Drivers!O$117,
     $B16="Year Start Lump Sum", 'P&amp;L'!$E122*Drivers!O$118,$B16="OSPI State Apportionment", 'P&amp;L'!$E122*Drivers!O$119, $B16="Expense Reimbursement", 'P&amp;L'!$E122*Drivers!O$120,
     $B16="Direct Monthly Input", 0)</f>
        <v>615</v>
      </c>
      <c r="M16" s="421" cm="1">
        <f t="array" ref="M16">_xlfn.IFS($B16="12-Month Smoothing", 'P&amp;L'!$E122*Drivers!P$113, $B16="10-Month Academic Calendar", 'P&amp;L'!$E122*Drivers!P$114, $B16="Quarterly Smoothing", 'P&amp;L'!$E122*Drivers!P$115,
     $B16="Two-Installment (front-loaded)", 'P&amp;L'!$E122*Drivers!P$116, $B16="Two-Installment (back-loaded)", 'P&amp;L'!$E122*Drivers!P$117,
     $B16="Year Start Lump Sum", 'P&amp;L'!$E122*Drivers!P$118,$B16="OSPI State Apportionment", 'P&amp;L'!$E122*Drivers!P$119, $B16="Expense Reimbursement", 'P&amp;L'!$E122*Drivers!P$120,
     $B16="Direct Monthly Input", 0)</f>
        <v>615</v>
      </c>
      <c r="N16" s="421" cm="1">
        <f t="array" ref="N16">_xlfn.IFS($B16="12-Month Smoothing", 'P&amp;L'!$E122*Drivers!Q$113, $B16="10-Month Academic Calendar", 'P&amp;L'!$E122*Drivers!Q$114, $B16="Quarterly Smoothing", 'P&amp;L'!$E122*Drivers!Q$115,
     $B16="Two-Installment (front-loaded)", 'P&amp;L'!$E122*Drivers!Q$116, $B16="Two-Installment (back-loaded)", 'P&amp;L'!$E122*Drivers!Q$117,
     $B16="Year Start Lump Sum", 'P&amp;L'!$E122*Drivers!Q$118,$B16="OSPI State Apportionment", 'P&amp;L'!$E122*Drivers!Q$119, $B16="Expense Reimbursement", 'P&amp;L'!$E122*Drivers!Q$120,
     $B16="Direct Monthly Input", 0)</f>
        <v>0</v>
      </c>
      <c r="O16" s="427" cm="1">
        <f t="array" ref="O16">_xlfn.IFS($B16="12-Month Smoothing", 'P&amp;L'!$E122*Drivers!R$113, $B16="10-Month Academic Calendar", 'P&amp;L'!$E122*Drivers!R$114, $B16="Quarterly Smoothing", 'P&amp;L'!$E122*Drivers!R$115,
     $B16="Two-Installment (front-loaded)", 'P&amp;L'!$E122*Drivers!R$116, $B16="Two-Installment (back-loaded)", 'P&amp;L'!$E122*Drivers!R$117,
     $B16="Year Start Lump Sum", 'P&amp;L'!$E122*Drivers!R$118,$B16="OSPI State Apportionment", 'P&amp;L'!$E122*Drivers!R$119, $B16="Expense Reimbursement", 'P&amp;L'!$E122*Drivers!R$120,
     $B16="Direct Monthly Input", 0)</f>
        <v>0</v>
      </c>
      <c r="P16" s="129">
        <f t="shared" ref="P16:P48" si="3">SUM(D16:O16)</f>
        <v>6150</v>
      </c>
      <c r="Q16" s="730"/>
      <c r="R16" s="537"/>
    </row>
    <row r="17" spans="1:18" s="538" customFormat="1" ht="16" customHeight="1" thickBot="1">
      <c r="A17" s="418" t="s">
        <v>169</v>
      </c>
      <c r="B17" s="419" t="s">
        <v>439</v>
      </c>
      <c r="C17" s="725" t="str">
        <f>'P&amp;L'!C123</f>
        <v>2300 - Investment Earnings</v>
      </c>
      <c r="D17" s="421" cm="1">
        <f t="array" ref="D17">_xlfn.IFS($B17="12-Month Smoothing", 'P&amp;L'!$E123*Drivers!G$113, $B17="10-Month Academic Calendar", 'P&amp;L'!$E123*Drivers!G$114, $B17="Quarterly Smoothing", 'P&amp;L'!$E123*Drivers!G$115,
     $B17="Two-Installment (front-loaded)", 'P&amp;L'!$E123*Drivers!G$116, $B17="Two-Installment (back-loaded)", 'P&amp;L'!$E123*Drivers!G$117,
     $B17="Year Start Lump Sum", 'P&amp;L'!$E123*Drivers!G$118,$B17="OSPI State Apportionment", 'P&amp;L'!$E123*Drivers!G$119, $B17="Expense Reimbursement", 'P&amp;L'!$E123*Drivers!G$120,
     $B17="Direct Monthly Input", 0)</f>
        <v>0</v>
      </c>
      <c r="E17" s="421" cm="1">
        <f t="array" ref="E17">_xlfn.IFS($B17="12-Month Smoothing", 'P&amp;L'!$E123*Drivers!H$113, $B17="10-Month Academic Calendar", 'P&amp;L'!$E123*Drivers!H$114, $B17="Quarterly Smoothing", 'P&amp;L'!$E123*Drivers!H$115,
     $B17="Two-Installment (front-loaded)", 'P&amp;L'!$E123*Drivers!H$116, $B17="Two-Installment (back-loaded)", 'P&amp;L'!$E123*Drivers!H$117,
     $B17="Year Start Lump Sum", 'P&amp;L'!$E123*Drivers!H$118,$B17="OSPI State Apportionment", 'P&amp;L'!$E123*Drivers!H$119, $B17="Expense Reimbursement", 'P&amp;L'!$E123*Drivers!H$120,
     $B17="Direct Monthly Input", 0)</f>
        <v>0</v>
      </c>
      <c r="F17" s="421" cm="1">
        <f t="array" ref="F17">_xlfn.IFS($B17="12-Month Smoothing", 'P&amp;L'!$E123*Drivers!I$113, $B17="10-Month Academic Calendar", 'P&amp;L'!$E123*Drivers!I$114, $B17="Quarterly Smoothing", 'P&amp;L'!$E123*Drivers!I$115,
     $B17="Two-Installment (front-loaded)", 'P&amp;L'!$E123*Drivers!I$116, $B17="Two-Installment (back-loaded)", 'P&amp;L'!$E123*Drivers!I$117,
     $B17="Year Start Lump Sum", 'P&amp;L'!$E123*Drivers!I$118,$B17="OSPI State Apportionment", 'P&amp;L'!$E123*Drivers!I$119, $B17="Expense Reimbursement", 'P&amp;L'!$E123*Drivers!I$120,
     $B17="Direct Monthly Input", 0)</f>
        <v>0</v>
      </c>
      <c r="G17" s="421" cm="1">
        <f t="array" ref="G17">_xlfn.IFS($B17="12-Month Smoothing", 'P&amp;L'!$E123*Drivers!J$113, $B17="10-Month Academic Calendar", 'P&amp;L'!$E123*Drivers!J$114, $B17="Quarterly Smoothing", 'P&amp;L'!$E123*Drivers!J$115,
     $B17="Two-Installment (front-loaded)", 'P&amp;L'!$E123*Drivers!J$116, $B17="Two-Installment (back-loaded)", 'P&amp;L'!$E123*Drivers!J$117,
     $B17="Year Start Lump Sum", 'P&amp;L'!$E123*Drivers!J$118,$B17="OSPI State Apportionment", 'P&amp;L'!$E123*Drivers!J$119, $B17="Expense Reimbursement", 'P&amp;L'!$E123*Drivers!J$120,
     $B17="Direct Monthly Input", 0)</f>
        <v>0</v>
      </c>
      <c r="H17" s="421" cm="1">
        <f t="array" ref="H17">_xlfn.IFS($B17="12-Month Smoothing", 'P&amp;L'!$E123*Drivers!K$113, $B17="10-Month Academic Calendar", 'P&amp;L'!$E123*Drivers!K$114, $B17="Quarterly Smoothing", 'P&amp;L'!$E123*Drivers!K$115,
     $B17="Two-Installment (front-loaded)", 'P&amp;L'!$E123*Drivers!K$116, $B17="Two-Installment (back-loaded)", 'P&amp;L'!$E123*Drivers!K$117,
     $B17="Year Start Lump Sum", 'P&amp;L'!$E123*Drivers!K$118,$B17="OSPI State Apportionment", 'P&amp;L'!$E123*Drivers!K$119, $B17="Expense Reimbursement", 'P&amp;L'!$E123*Drivers!K$120,
     $B17="Direct Monthly Input", 0)</f>
        <v>0</v>
      </c>
      <c r="I17" s="421" cm="1">
        <f t="array" ref="I17">_xlfn.IFS($B17="12-Month Smoothing", 'P&amp;L'!$E123*Drivers!L$113, $B17="10-Month Academic Calendar", 'P&amp;L'!$E123*Drivers!L$114, $B17="Quarterly Smoothing", 'P&amp;L'!$E123*Drivers!L$115,
     $B17="Two-Installment (front-loaded)", 'P&amp;L'!$E123*Drivers!L$116, $B17="Two-Installment (back-loaded)", 'P&amp;L'!$E123*Drivers!L$117,
     $B17="Year Start Lump Sum", 'P&amp;L'!$E123*Drivers!L$118,$B17="OSPI State Apportionment", 'P&amp;L'!$E123*Drivers!L$119, $B17="Expense Reimbursement", 'P&amp;L'!$E123*Drivers!L$120,
     $B17="Direct Monthly Input", 0)</f>
        <v>0</v>
      </c>
      <c r="J17" s="421" cm="1">
        <f t="array" ref="J17">_xlfn.IFS($B17="12-Month Smoothing", 'P&amp;L'!$E123*Drivers!M$113, $B17="10-Month Academic Calendar", 'P&amp;L'!$E123*Drivers!M$114, $B17="Quarterly Smoothing", 'P&amp;L'!$E123*Drivers!M$115,
     $B17="Two-Installment (front-loaded)", 'P&amp;L'!$E123*Drivers!M$116, $B17="Two-Installment (back-loaded)", 'P&amp;L'!$E123*Drivers!M$117,
     $B17="Year Start Lump Sum", 'P&amp;L'!$E123*Drivers!M$118,$B17="OSPI State Apportionment", 'P&amp;L'!$E123*Drivers!M$119, $B17="Expense Reimbursement", 'P&amp;L'!$E123*Drivers!M$120,
     $B17="Direct Monthly Input", 0)</f>
        <v>0</v>
      </c>
      <c r="K17" s="421" cm="1">
        <f t="array" ref="K17">_xlfn.IFS($B17="12-Month Smoothing", 'P&amp;L'!$E123*Drivers!N$113, $B17="10-Month Academic Calendar", 'P&amp;L'!$E123*Drivers!N$114, $B17="Quarterly Smoothing", 'P&amp;L'!$E123*Drivers!N$115,
     $B17="Two-Installment (front-loaded)", 'P&amp;L'!$E123*Drivers!N$116, $B17="Two-Installment (back-loaded)", 'P&amp;L'!$E123*Drivers!N$117,
     $B17="Year Start Lump Sum", 'P&amp;L'!$E123*Drivers!N$118,$B17="OSPI State Apportionment", 'P&amp;L'!$E123*Drivers!N$119, $B17="Expense Reimbursement", 'P&amp;L'!$E123*Drivers!N$120,
     $B17="Direct Monthly Input", 0)</f>
        <v>0</v>
      </c>
      <c r="L17" s="421" cm="1">
        <f t="array" ref="L17">_xlfn.IFS($B17="12-Month Smoothing", 'P&amp;L'!$E123*Drivers!O$113, $B17="10-Month Academic Calendar", 'P&amp;L'!$E123*Drivers!O$114, $B17="Quarterly Smoothing", 'P&amp;L'!$E123*Drivers!O$115,
     $B17="Two-Installment (front-loaded)", 'P&amp;L'!$E123*Drivers!O$116, $B17="Two-Installment (back-loaded)", 'P&amp;L'!$E123*Drivers!O$117,
     $B17="Year Start Lump Sum", 'P&amp;L'!$E123*Drivers!O$118,$B17="OSPI State Apportionment", 'P&amp;L'!$E123*Drivers!O$119, $B17="Expense Reimbursement", 'P&amp;L'!$E123*Drivers!O$120,
     $B17="Direct Monthly Input", 0)</f>
        <v>0</v>
      </c>
      <c r="M17" s="421" cm="1">
        <f t="array" ref="M17">_xlfn.IFS($B17="12-Month Smoothing", 'P&amp;L'!$E123*Drivers!P$113, $B17="10-Month Academic Calendar", 'P&amp;L'!$E123*Drivers!P$114, $B17="Quarterly Smoothing", 'P&amp;L'!$E123*Drivers!P$115,
     $B17="Two-Installment (front-loaded)", 'P&amp;L'!$E123*Drivers!P$116, $B17="Two-Installment (back-loaded)", 'P&amp;L'!$E123*Drivers!P$117,
     $B17="Year Start Lump Sum", 'P&amp;L'!$E123*Drivers!P$118,$B17="OSPI State Apportionment", 'P&amp;L'!$E123*Drivers!P$119, $B17="Expense Reimbursement", 'P&amp;L'!$E123*Drivers!P$120,
     $B17="Direct Monthly Input", 0)</f>
        <v>0</v>
      </c>
      <c r="N17" s="421" cm="1">
        <f t="array" ref="N17">_xlfn.IFS($B17="12-Month Smoothing", 'P&amp;L'!$E123*Drivers!Q$113, $B17="10-Month Academic Calendar", 'P&amp;L'!$E123*Drivers!Q$114, $B17="Quarterly Smoothing", 'P&amp;L'!$E123*Drivers!Q$115,
     $B17="Two-Installment (front-loaded)", 'P&amp;L'!$E123*Drivers!Q$116, $B17="Two-Installment (back-loaded)", 'P&amp;L'!$E123*Drivers!Q$117,
     $B17="Year Start Lump Sum", 'P&amp;L'!$E123*Drivers!Q$118,$B17="OSPI State Apportionment", 'P&amp;L'!$E123*Drivers!Q$119, $B17="Expense Reimbursement", 'P&amp;L'!$E123*Drivers!Q$120,
     $B17="Direct Monthly Input", 0)</f>
        <v>0</v>
      </c>
      <c r="O17" s="427" cm="1">
        <f t="array" ref="O17">_xlfn.IFS($B17="12-Month Smoothing", 'P&amp;L'!$E123*Drivers!R$113, $B17="10-Month Academic Calendar", 'P&amp;L'!$E123*Drivers!R$114, $B17="Quarterly Smoothing", 'P&amp;L'!$E123*Drivers!R$115,
     $B17="Two-Installment (front-loaded)", 'P&amp;L'!$E123*Drivers!R$116, $B17="Two-Installment (back-loaded)", 'P&amp;L'!$E123*Drivers!R$117,
     $B17="Year Start Lump Sum", 'P&amp;L'!$E123*Drivers!R$118,$B17="OSPI State Apportionment", 'P&amp;L'!$E123*Drivers!R$119, $B17="Expense Reimbursement", 'P&amp;L'!$E123*Drivers!R$120,
     $B17="Direct Monthly Input", 0)</f>
        <v>0</v>
      </c>
      <c r="P17" s="129">
        <f t="shared" si="3"/>
        <v>0</v>
      </c>
      <c r="Q17" s="730"/>
      <c r="R17" s="537"/>
    </row>
    <row r="18" spans="1:18" s="538" customFormat="1" ht="17" thickBot="1">
      <c r="A18" s="732"/>
      <c r="B18" s="419" t="s">
        <v>439</v>
      </c>
      <c r="C18" s="725" t="str">
        <f>'P&amp;L'!C124</f>
        <v xml:space="preserve">2500 - Gifts Grants, and Donations (Local)   </v>
      </c>
      <c r="D18" s="421" cm="1">
        <f t="array" ref="D18">_xlfn.IFS($B18="12-Month Smoothing", 'P&amp;L'!$E124*Drivers!G$113, $B18="10-Month Academic Calendar", 'P&amp;L'!$E124*Drivers!G$114, $B18="Quarterly Smoothing", 'P&amp;L'!$E124*Drivers!G$115,
     $B18="Two-Installment (front-loaded)", 'P&amp;L'!$E124*Drivers!G$116, $B18="Two-Installment (back-loaded)", 'P&amp;L'!$E124*Drivers!G$117,
     $B18="Year Start Lump Sum", 'P&amp;L'!$E124*Drivers!G$118,$B18="OSPI State Apportionment", 'P&amp;L'!$E124*Drivers!G$119, $B18="Expense Reimbursement", 'P&amp;L'!$E124*Drivers!G$120,
     $B18="Direct Monthly Input", 0)</f>
        <v>0</v>
      </c>
      <c r="E18" s="421" cm="1">
        <f t="array" ref="E18">_xlfn.IFS($B18="12-Month Smoothing", 'P&amp;L'!$E124*Drivers!H$113, $B18="10-Month Academic Calendar", 'P&amp;L'!$E124*Drivers!H$114, $B18="Quarterly Smoothing", 'P&amp;L'!$E124*Drivers!H$115,
     $B18="Two-Installment (front-loaded)", 'P&amp;L'!$E124*Drivers!H$116, $B18="Two-Installment (back-loaded)", 'P&amp;L'!$E124*Drivers!H$117,
     $B18="Year Start Lump Sum", 'P&amp;L'!$E124*Drivers!H$118,$B18="OSPI State Apportionment", 'P&amp;L'!$E124*Drivers!H$119, $B18="Expense Reimbursement", 'P&amp;L'!$E124*Drivers!H$120,
     $B18="Direct Monthly Input", 0)</f>
        <v>0</v>
      </c>
      <c r="F18" s="421" cm="1">
        <f t="array" ref="F18">_xlfn.IFS($B18="12-Month Smoothing", 'P&amp;L'!$E124*Drivers!I$113, $B18="10-Month Academic Calendar", 'P&amp;L'!$E124*Drivers!I$114, $B18="Quarterly Smoothing", 'P&amp;L'!$E124*Drivers!I$115,
     $B18="Two-Installment (front-loaded)", 'P&amp;L'!$E124*Drivers!I$116, $B18="Two-Installment (back-loaded)", 'P&amp;L'!$E124*Drivers!I$117,
     $B18="Year Start Lump Sum", 'P&amp;L'!$E124*Drivers!I$118,$B18="OSPI State Apportionment", 'P&amp;L'!$E124*Drivers!I$119, $B18="Expense Reimbursement", 'P&amp;L'!$E124*Drivers!I$120,
     $B18="Direct Monthly Input", 0)</f>
        <v>0</v>
      </c>
      <c r="G18" s="421" cm="1">
        <f t="array" ref="G18">_xlfn.IFS($B18="12-Month Smoothing", 'P&amp;L'!$E124*Drivers!J$113, $B18="10-Month Academic Calendar", 'P&amp;L'!$E124*Drivers!J$114, $B18="Quarterly Smoothing", 'P&amp;L'!$E124*Drivers!J$115,
     $B18="Two-Installment (front-loaded)", 'P&amp;L'!$E124*Drivers!J$116, $B18="Two-Installment (back-loaded)", 'P&amp;L'!$E124*Drivers!J$117,
     $B18="Year Start Lump Sum", 'P&amp;L'!$E124*Drivers!J$118,$B18="OSPI State Apportionment", 'P&amp;L'!$E124*Drivers!J$119, $B18="Expense Reimbursement", 'P&amp;L'!$E124*Drivers!J$120,
     $B18="Direct Monthly Input", 0)</f>
        <v>0</v>
      </c>
      <c r="H18" s="421" cm="1">
        <f t="array" ref="H18">_xlfn.IFS($B18="12-Month Smoothing", 'P&amp;L'!$E124*Drivers!K$113, $B18="10-Month Academic Calendar", 'P&amp;L'!$E124*Drivers!K$114, $B18="Quarterly Smoothing", 'P&amp;L'!$E124*Drivers!K$115,
     $B18="Two-Installment (front-loaded)", 'P&amp;L'!$E124*Drivers!K$116, $B18="Two-Installment (back-loaded)", 'P&amp;L'!$E124*Drivers!K$117,
     $B18="Year Start Lump Sum", 'P&amp;L'!$E124*Drivers!K$118,$B18="OSPI State Apportionment", 'P&amp;L'!$E124*Drivers!K$119, $B18="Expense Reimbursement", 'P&amp;L'!$E124*Drivers!K$120,
     $B18="Direct Monthly Input", 0)</f>
        <v>0</v>
      </c>
      <c r="I18" s="421" cm="1">
        <f t="array" ref="I18">_xlfn.IFS($B18="12-Month Smoothing", 'P&amp;L'!$E124*Drivers!L$113, $B18="10-Month Academic Calendar", 'P&amp;L'!$E124*Drivers!L$114, $B18="Quarterly Smoothing", 'P&amp;L'!$E124*Drivers!L$115,
     $B18="Two-Installment (front-loaded)", 'P&amp;L'!$E124*Drivers!L$116, $B18="Two-Installment (back-loaded)", 'P&amp;L'!$E124*Drivers!L$117,
     $B18="Year Start Lump Sum", 'P&amp;L'!$E124*Drivers!L$118,$B18="OSPI State Apportionment", 'P&amp;L'!$E124*Drivers!L$119, $B18="Expense Reimbursement", 'P&amp;L'!$E124*Drivers!L$120,
     $B18="Direct Monthly Input", 0)</f>
        <v>0</v>
      </c>
      <c r="J18" s="421" cm="1">
        <f t="array" ref="J18">_xlfn.IFS($B18="12-Month Smoothing", 'P&amp;L'!$E124*Drivers!M$113, $B18="10-Month Academic Calendar", 'P&amp;L'!$E124*Drivers!M$114, $B18="Quarterly Smoothing", 'P&amp;L'!$E124*Drivers!M$115,
     $B18="Two-Installment (front-loaded)", 'P&amp;L'!$E124*Drivers!M$116, $B18="Two-Installment (back-loaded)", 'P&amp;L'!$E124*Drivers!M$117,
     $B18="Year Start Lump Sum", 'P&amp;L'!$E124*Drivers!M$118,$B18="OSPI State Apportionment", 'P&amp;L'!$E124*Drivers!M$119, $B18="Expense Reimbursement", 'P&amp;L'!$E124*Drivers!M$120,
     $B18="Direct Monthly Input", 0)</f>
        <v>0</v>
      </c>
      <c r="K18" s="421" cm="1">
        <f t="array" ref="K18">_xlfn.IFS($B18="12-Month Smoothing", 'P&amp;L'!$E124*Drivers!N$113, $B18="10-Month Academic Calendar", 'P&amp;L'!$E124*Drivers!N$114, $B18="Quarterly Smoothing", 'P&amp;L'!$E124*Drivers!N$115,
     $B18="Two-Installment (front-loaded)", 'P&amp;L'!$E124*Drivers!N$116, $B18="Two-Installment (back-loaded)", 'P&amp;L'!$E124*Drivers!N$117,
     $B18="Year Start Lump Sum", 'P&amp;L'!$E124*Drivers!N$118,$B18="OSPI State Apportionment", 'P&amp;L'!$E124*Drivers!N$119, $B18="Expense Reimbursement", 'P&amp;L'!$E124*Drivers!N$120,
     $B18="Direct Monthly Input", 0)</f>
        <v>0</v>
      </c>
      <c r="L18" s="421" cm="1">
        <f t="array" ref="L18">_xlfn.IFS($B18="12-Month Smoothing", 'P&amp;L'!$E124*Drivers!O$113, $B18="10-Month Academic Calendar", 'P&amp;L'!$E124*Drivers!O$114, $B18="Quarterly Smoothing", 'P&amp;L'!$E124*Drivers!O$115,
     $B18="Two-Installment (front-loaded)", 'P&amp;L'!$E124*Drivers!O$116, $B18="Two-Installment (back-loaded)", 'P&amp;L'!$E124*Drivers!O$117,
     $B18="Year Start Lump Sum", 'P&amp;L'!$E124*Drivers!O$118,$B18="OSPI State Apportionment", 'P&amp;L'!$E124*Drivers!O$119, $B18="Expense Reimbursement", 'P&amp;L'!$E124*Drivers!O$120,
     $B18="Direct Monthly Input", 0)</f>
        <v>0</v>
      </c>
      <c r="M18" s="421" cm="1">
        <f t="array" ref="M18">_xlfn.IFS($B18="12-Month Smoothing", 'P&amp;L'!$E124*Drivers!P$113, $B18="10-Month Academic Calendar", 'P&amp;L'!$E124*Drivers!P$114, $B18="Quarterly Smoothing", 'P&amp;L'!$E124*Drivers!P$115,
     $B18="Two-Installment (front-loaded)", 'P&amp;L'!$E124*Drivers!P$116, $B18="Two-Installment (back-loaded)", 'P&amp;L'!$E124*Drivers!P$117,
     $B18="Year Start Lump Sum", 'P&amp;L'!$E124*Drivers!P$118,$B18="OSPI State Apportionment", 'P&amp;L'!$E124*Drivers!P$119, $B18="Expense Reimbursement", 'P&amp;L'!$E124*Drivers!P$120,
     $B18="Direct Monthly Input", 0)</f>
        <v>0</v>
      </c>
      <c r="N18" s="421" cm="1">
        <f t="array" ref="N18">_xlfn.IFS($B18="12-Month Smoothing", 'P&amp;L'!$E124*Drivers!Q$113, $B18="10-Month Academic Calendar", 'P&amp;L'!$E124*Drivers!Q$114, $B18="Quarterly Smoothing", 'P&amp;L'!$E124*Drivers!Q$115,
     $B18="Two-Installment (front-loaded)", 'P&amp;L'!$E124*Drivers!Q$116, $B18="Two-Installment (back-loaded)", 'P&amp;L'!$E124*Drivers!Q$117,
     $B18="Year Start Lump Sum", 'P&amp;L'!$E124*Drivers!Q$118,$B18="OSPI State Apportionment", 'P&amp;L'!$E124*Drivers!Q$119, $B18="Expense Reimbursement", 'P&amp;L'!$E124*Drivers!Q$120,
     $B18="Direct Monthly Input", 0)</f>
        <v>0</v>
      </c>
      <c r="O18" s="427" cm="1">
        <f t="array" ref="O18">_xlfn.IFS($B18="12-Month Smoothing", 'P&amp;L'!$E124*Drivers!R$113, $B18="10-Month Academic Calendar", 'P&amp;L'!$E124*Drivers!R$114, $B18="Quarterly Smoothing", 'P&amp;L'!$E124*Drivers!R$115,
     $B18="Two-Installment (front-loaded)", 'P&amp;L'!$E124*Drivers!R$116, $B18="Two-Installment (back-loaded)", 'P&amp;L'!$E124*Drivers!R$117,
     $B18="Year Start Lump Sum", 'P&amp;L'!$E124*Drivers!R$118,$B18="OSPI State Apportionment", 'P&amp;L'!$E124*Drivers!R$119, $B18="Expense Reimbursement", 'P&amp;L'!$E124*Drivers!R$120,
     $B18="Direct Monthly Input", 0)</f>
        <v>0</v>
      </c>
      <c r="P18" s="129">
        <f t="shared" si="3"/>
        <v>0</v>
      </c>
      <c r="Q18" s="730"/>
      <c r="R18" s="537"/>
    </row>
    <row r="19" spans="1:18" s="538" customFormat="1" ht="17" thickBot="1">
      <c r="A19" s="732"/>
      <c r="B19" s="419" t="s">
        <v>445</v>
      </c>
      <c r="C19" s="725" t="str">
        <f>'P&amp;L'!C125</f>
        <v>All Other 2000 - LOCAL SUPPORT - NON-TAX</v>
      </c>
      <c r="D19" s="421" cm="1">
        <f t="array" ref="D19">_xlfn.IFS($B19="12-Month Smoothing", 'P&amp;L'!$E125*Drivers!G$113, $B19="10-Month Academic Calendar", 'P&amp;L'!$E125*Drivers!G$114, $B19="Quarterly Smoothing", 'P&amp;L'!$E125*Drivers!G$115,
     $B19="Two-Installment (front-loaded)", 'P&amp;L'!$E125*Drivers!G$116, $B19="Two-Installment (back-loaded)", 'P&amp;L'!$E125*Drivers!G$117,
     $B19="Year Start Lump Sum", 'P&amp;L'!$E125*Drivers!G$118,$B19="OSPI State Apportionment", 'P&amp;L'!$E125*Drivers!G$119, $B19="Expense Reimbursement", 'P&amp;L'!$E125*Drivers!G$120,
     $B19="Direct Monthly Input", 0)</f>
        <v>0</v>
      </c>
      <c r="E19" s="421" cm="1">
        <f t="array" ref="E19">_xlfn.IFS($B19="12-Month Smoothing", 'P&amp;L'!$E125*Drivers!H$113, $B19="10-Month Academic Calendar", 'P&amp;L'!$E125*Drivers!H$114, $B19="Quarterly Smoothing", 'P&amp;L'!$E125*Drivers!H$115,
     $B19="Two-Installment (front-loaded)", 'P&amp;L'!$E125*Drivers!H$116, $B19="Two-Installment (back-loaded)", 'P&amp;L'!$E125*Drivers!H$117,
     $B19="Year Start Lump Sum", 'P&amp;L'!$E125*Drivers!H$118,$B19="OSPI State Apportionment", 'P&amp;L'!$E125*Drivers!H$119, $B19="Expense Reimbursement", 'P&amp;L'!$E125*Drivers!H$120,
     $B19="Direct Monthly Input", 0)</f>
        <v>0</v>
      </c>
      <c r="F19" s="421" cm="1">
        <f t="array" ref="F19">_xlfn.IFS($B19="12-Month Smoothing", 'P&amp;L'!$E125*Drivers!I$113, $B19="10-Month Academic Calendar", 'P&amp;L'!$E125*Drivers!I$114, $B19="Quarterly Smoothing", 'P&amp;L'!$E125*Drivers!I$115,
     $B19="Two-Installment (front-loaded)", 'P&amp;L'!$E125*Drivers!I$116, $B19="Two-Installment (back-loaded)", 'P&amp;L'!$E125*Drivers!I$117,
     $B19="Year Start Lump Sum", 'P&amp;L'!$E125*Drivers!I$118,$B19="OSPI State Apportionment", 'P&amp;L'!$E125*Drivers!I$119, $B19="Expense Reimbursement", 'P&amp;L'!$E125*Drivers!I$120,
     $B19="Direct Monthly Input", 0)</f>
        <v>0</v>
      </c>
      <c r="G19" s="421" cm="1">
        <f t="array" ref="G19">_xlfn.IFS($B19="12-Month Smoothing", 'P&amp;L'!$E125*Drivers!J$113, $B19="10-Month Academic Calendar", 'P&amp;L'!$E125*Drivers!J$114, $B19="Quarterly Smoothing", 'P&amp;L'!$E125*Drivers!J$115,
     $B19="Two-Installment (front-loaded)", 'P&amp;L'!$E125*Drivers!J$116, $B19="Two-Installment (back-loaded)", 'P&amp;L'!$E125*Drivers!J$117,
     $B19="Year Start Lump Sum", 'P&amp;L'!$E125*Drivers!J$118,$B19="OSPI State Apportionment", 'P&amp;L'!$E125*Drivers!J$119, $B19="Expense Reimbursement", 'P&amp;L'!$E125*Drivers!J$120,
     $B19="Direct Monthly Input", 0)</f>
        <v>0</v>
      </c>
      <c r="H19" s="421" cm="1">
        <f t="array" ref="H19">_xlfn.IFS($B19="12-Month Smoothing", 'P&amp;L'!$E125*Drivers!K$113, $B19="10-Month Academic Calendar", 'P&amp;L'!$E125*Drivers!K$114, $B19="Quarterly Smoothing", 'P&amp;L'!$E125*Drivers!K$115,
     $B19="Two-Installment (front-loaded)", 'P&amp;L'!$E125*Drivers!K$116, $B19="Two-Installment (back-loaded)", 'P&amp;L'!$E125*Drivers!K$117,
     $B19="Year Start Lump Sum", 'P&amp;L'!$E125*Drivers!K$118,$B19="OSPI State Apportionment", 'P&amp;L'!$E125*Drivers!K$119, $B19="Expense Reimbursement", 'P&amp;L'!$E125*Drivers!K$120,
     $B19="Direct Monthly Input", 0)</f>
        <v>0</v>
      </c>
      <c r="I19" s="421" cm="1">
        <f t="array" ref="I19">_xlfn.IFS($B19="12-Month Smoothing", 'P&amp;L'!$E125*Drivers!L$113, $B19="10-Month Academic Calendar", 'P&amp;L'!$E125*Drivers!L$114, $B19="Quarterly Smoothing", 'P&amp;L'!$E125*Drivers!L$115,
     $B19="Two-Installment (front-loaded)", 'P&amp;L'!$E125*Drivers!L$116, $B19="Two-Installment (back-loaded)", 'P&amp;L'!$E125*Drivers!L$117,
     $B19="Year Start Lump Sum", 'P&amp;L'!$E125*Drivers!L$118,$B19="OSPI State Apportionment", 'P&amp;L'!$E125*Drivers!L$119, $B19="Expense Reimbursement", 'P&amp;L'!$E125*Drivers!L$120,
     $B19="Direct Monthly Input", 0)</f>
        <v>0</v>
      </c>
      <c r="J19" s="421" cm="1">
        <f t="array" ref="J19">_xlfn.IFS($B19="12-Month Smoothing", 'P&amp;L'!$E125*Drivers!M$113, $B19="10-Month Academic Calendar", 'P&amp;L'!$E125*Drivers!M$114, $B19="Quarterly Smoothing", 'P&amp;L'!$E125*Drivers!M$115,
     $B19="Two-Installment (front-loaded)", 'P&amp;L'!$E125*Drivers!M$116, $B19="Two-Installment (back-loaded)", 'P&amp;L'!$E125*Drivers!M$117,
     $B19="Year Start Lump Sum", 'P&amp;L'!$E125*Drivers!M$118,$B19="OSPI State Apportionment", 'P&amp;L'!$E125*Drivers!M$119, $B19="Expense Reimbursement", 'P&amp;L'!$E125*Drivers!M$120,
     $B19="Direct Monthly Input", 0)</f>
        <v>0</v>
      </c>
      <c r="K19" s="421" cm="1">
        <f t="array" ref="K19">_xlfn.IFS($B19="12-Month Smoothing", 'P&amp;L'!$E125*Drivers!N$113, $B19="10-Month Academic Calendar", 'P&amp;L'!$E125*Drivers!N$114, $B19="Quarterly Smoothing", 'P&amp;L'!$E125*Drivers!N$115,
     $B19="Two-Installment (front-loaded)", 'P&amp;L'!$E125*Drivers!N$116, $B19="Two-Installment (back-loaded)", 'P&amp;L'!$E125*Drivers!N$117,
     $B19="Year Start Lump Sum", 'P&amp;L'!$E125*Drivers!N$118,$B19="OSPI State Apportionment", 'P&amp;L'!$E125*Drivers!N$119, $B19="Expense Reimbursement", 'P&amp;L'!$E125*Drivers!N$120,
     $B19="Direct Monthly Input", 0)</f>
        <v>0</v>
      </c>
      <c r="L19" s="421" cm="1">
        <f t="array" ref="L19">_xlfn.IFS($B19="12-Month Smoothing", 'P&amp;L'!$E125*Drivers!O$113, $B19="10-Month Academic Calendar", 'P&amp;L'!$E125*Drivers!O$114, $B19="Quarterly Smoothing", 'P&amp;L'!$E125*Drivers!O$115,
     $B19="Two-Installment (front-loaded)", 'P&amp;L'!$E125*Drivers!O$116, $B19="Two-Installment (back-loaded)", 'P&amp;L'!$E125*Drivers!O$117,
     $B19="Year Start Lump Sum", 'P&amp;L'!$E125*Drivers!O$118,$B19="OSPI State Apportionment", 'P&amp;L'!$E125*Drivers!O$119, $B19="Expense Reimbursement", 'P&amp;L'!$E125*Drivers!O$120,
     $B19="Direct Monthly Input", 0)</f>
        <v>0</v>
      </c>
      <c r="M19" s="421" cm="1">
        <f t="array" ref="M19">_xlfn.IFS($B19="12-Month Smoothing", 'P&amp;L'!$E125*Drivers!P$113, $B19="10-Month Academic Calendar", 'P&amp;L'!$E125*Drivers!P$114, $B19="Quarterly Smoothing", 'P&amp;L'!$E125*Drivers!P$115,
     $B19="Two-Installment (front-loaded)", 'P&amp;L'!$E125*Drivers!P$116, $B19="Two-Installment (back-loaded)", 'P&amp;L'!$E125*Drivers!P$117,
     $B19="Year Start Lump Sum", 'P&amp;L'!$E125*Drivers!P$118,$B19="OSPI State Apportionment", 'P&amp;L'!$E125*Drivers!P$119, $B19="Expense Reimbursement", 'P&amp;L'!$E125*Drivers!P$120,
     $B19="Direct Monthly Input", 0)</f>
        <v>0</v>
      </c>
      <c r="N19" s="421" cm="1">
        <f t="array" ref="N19">_xlfn.IFS($B19="12-Month Smoothing", 'P&amp;L'!$E125*Drivers!Q$113, $B19="10-Month Academic Calendar", 'P&amp;L'!$E125*Drivers!Q$114, $B19="Quarterly Smoothing", 'P&amp;L'!$E125*Drivers!Q$115,
     $B19="Two-Installment (front-loaded)", 'P&amp;L'!$E125*Drivers!Q$116, $B19="Two-Installment (back-loaded)", 'P&amp;L'!$E125*Drivers!Q$117,
     $B19="Year Start Lump Sum", 'P&amp;L'!$E125*Drivers!Q$118,$B19="OSPI State Apportionment", 'P&amp;L'!$E125*Drivers!Q$119, $B19="Expense Reimbursement", 'P&amp;L'!$E125*Drivers!Q$120,
     $B19="Direct Monthly Input", 0)</f>
        <v>0</v>
      </c>
      <c r="O19" s="427" cm="1">
        <f t="array" ref="O19">_xlfn.IFS($B19="12-Month Smoothing", 'P&amp;L'!$E125*Drivers!R$113, $B19="10-Month Academic Calendar", 'P&amp;L'!$E125*Drivers!R$114, $B19="Quarterly Smoothing", 'P&amp;L'!$E125*Drivers!R$115,
     $B19="Two-Installment (front-loaded)", 'P&amp;L'!$E125*Drivers!R$116, $B19="Two-Installment (back-loaded)", 'P&amp;L'!$E125*Drivers!R$117,
     $B19="Year Start Lump Sum", 'P&amp;L'!$E125*Drivers!R$118,$B19="OSPI State Apportionment", 'P&amp;L'!$E125*Drivers!R$119, $B19="Expense Reimbursement", 'P&amp;L'!$E125*Drivers!R$120,
     $B19="Direct Monthly Input", 0)</f>
        <v>0</v>
      </c>
      <c r="P19" s="129">
        <f t="shared" si="3"/>
        <v>0</v>
      </c>
      <c r="Q19" s="730"/>
      <c r="R19" s="537"/>
    </row>
    <row r="20" spans="1:18" s="538" customFormat="1" ht="17" thickBot="1">
      <c r="A20" s="733"/>
      <c r="B20" s="485" t="s">
        <v>1319</v>
      </c>
      <c r="C20" s="725" t="str">
        <f>'P&amp;L'!C127</f>
        <v>3100 - Basic Education Apportionment (BEA)</v>
      </c>
      <c r="D20" s="421" cm="1">
        <f t="array" ref="D20">_xlfn.IFS($B20="12-Month Smoothing", 'P&amp;L'!$E127*Drivers!G$113, $B20="10-Month Academic Calendar", 'P&amp;L'!$E127*Drivers!G$114, $B20="Quarterly Smoothing", 'P&amp;L'!$E127*Drivers!G$115,
     $B20="Two-Installment (front-loaded)", 'P&amp;L'!$E127*Drivers!G$116, $B20="Two-Installment (back-loaded)", 'P&amp;L'!$E127*Drivers!G$117,
     $B20="Year Start Lump Sum", 'P&amp;L'!$E127*Drivers!G$118,$B20="OSPI State Apportionment", 'P&amp;L'!$E127*Drivers!G$119, $B20="Expense Reimbursement", 'P&amp;L'!$E127*Drivers!G$120,
     $B20="Direct Monthly Input", 0)</f>
        <v>279251.81999999995</v>
      </c>
      <c r="E20" s="421" cm="1">
        <f t="array" ref="E20">_xlfn.IFS($B20="12-Month Smoothing", 'P&amp;L'!$E127*Drivers!H$113, $B20="10-Month Academic Calendar", 'P&amp;L'!$E127*Drivers!H$114, $B20="Quarterly Smoothing", 'P&amp;L'!$E127*Drivers!H$115,
     $B20="Two-Installment (front-loaded)", 'P&amp;L'!$E127*Drivers!H$116, $B20="Two-Installment (back-loaded)", 'P&amp;L'!$E127*Drivers!H$117,
     $B20="Year Start Lump Sum", 'P&amp;L'!$E127*Drivers!H$118,$B20="OSPI State Apportionment", 'P&amp;L'!$E127*Drivers!H$119, $B20="Expense Reimbursement", 'P&amp;L'!$E127*Drivers!H$120,
     $B20="Direct Monthly Input", 0)</f>
        <v>248223.83999999997</v>
      </c>
      <c r="F20" s="421" cm="1">
        <f t="array" ref="F20">_xlfn.IFS($B20="12-Month Smoothing", 'P&amp;L'!$E127*Drivers!I$113, $B20="10-Month Academic Calendar", 'P&amp;L'!$E127*Drivers!I$114, $B20="Quarterly Smoothing", 'P&amp;L'!$E127*Drivers!I$115,
     $B20="Two-Installment (front-loaded)", 'P&amp;L'!$E127*Drivers!I$116, $B20="Two-Installment (back-loaded)", 'P&amp;L'!$E127*Drivers!I$117,
     $B20="Year Start Lump Sum", 'P&amp;L'!$E127*Drivers!I$118,$B20="OSPI State Apportionment", 'P&amp;L'!$E127*Drivers!I$119, $B20="Expense Reimbursement", 'P&amp;L'!$E127*Drivers!I$120,
     $B20="Direct Monthly Input", 0)</f>
        <v>155139.9</v>
      </c>
      <c r="G20" s="421" cm="1">
        <f t="array" ref="G20">_xlfn.IFS($B20="12-Month Smoothing", 'P&amp;L'!$E127*Drivers!J$113, $B20="10-Month Academic Calendar", 'P&amp;L'!$E127*Drivers!J$114, $B20="Quarterly Smoothing", 'P&amp;L'!$E127*Drivers!J$115,
     $B20="Two-Installment (front-loaded)", 'P&amp;L'!$E127*Drivers!J$116, $B20="Two-Installment (back-loaded)", 'P&amp;L'!$E127*Drivers!J$117,
     $B20="Year Start Lump Sum", 'P&amp;L'!$E127*Drivers!J$118,$B20="OSPI State Apportionment", 'P&amp;L'!$E127*Drivers!J$119, $B20="Expense Reimbursement", 'P&amp;L'!$E127*Drivers!J$120,
     $B20="Direct Monthly Input", 0)</f>
        <v>279251.81999999995</v>
      </c>
      <c r="H20" s="421" cm="1">
        <f t="array" ref="H20">_xlfn.IFS($B20="12-Month Smoothing", 'P&amp;L'!$E127*Drivers!K$113, $B20="10-Month Academic Calendar", 'P&amp;L'!$E127*Drivers!K$114, $B20="Quarterly Smoothing", 'P&amp;L'!$E127*Drivers!K$115,
     $B20="Two-Installment (front-loaded)", 'P&amp;L'!$E127*Drivers!K$116, $B20="Two-Installment (back-loaded)", 'P&amp;L'!$E127*Drivers!K$117,
     $B20="Year Start Lump Sum", 'P&amp;L'!$E127*Drivers!K$118,$B20="OSPI State Apportionment", 'P&amp;L'!$E127*Drivers!K$119, $B20="Expense Reimbursement", 'P&amp;L'!$E127*Drivers!K$120,
     $B20="Direct Monthly Input", 0)</f>
        <v>263737.82999999996</v>
      </c>
      <c r="I20" s="421" cm="1">
        <f t="array" ref="I20">_xlfn.IFS($B20="12-Month Smoothing", 'P&amp;L'!$E127*Drivers!L$113, $B20="10-Month Academic Calendar", 'P&amp;L'!$E127*Drivers!L$114, $B20="Quarterly Smoothing", 'P&amp;L'!$E127*Drivers!L$115,
     $B20="Two-Installment (front-loaded)", 'P&amp;L'!$E127*Drivers!L$116, $B20="Two-Installment (back-loaded)", 'P&amp;L'!$E127*Drivers!L$117,
     $B20="Year Start Lump Sum", 'P&amp;L'!$E127*Drivers!L$118,$B20="OSPI State Apportionment", 'P&amp;L'!$E127*Drivers!L$119, $B20="Expense Reimbursement", 'P&amp;L'!$E127*Drivers!L$120,
     $B20="Direct Monthly Input", 0)</f>
        <v>279251.81999999995</v>
      </c>
      <c r="J20" s="421" cm="1">
        <f t="array" ref="J20">_xlfn.IFS($B20="12-Month Smoothing", 'P&amp;L'!$E127*Drivers!M$113, $B20="10-Month Academic Calendar", 'P&amp;L'!$E127*Drivers!M$114, $B20="Quarterly Smoothing", 'P&amp;L'!$E127*Drivers!M$115,
     $B20="Two-Installment (front-loaded)", 'P&amp;L'!$E127*Drivers!M$116, $B20="Two-Installment (back-loaded)", 'P&amp;L'!$E127*Drivers!M$117,
     $B20="Year Start Lump Sum", 'P&amp;L'!$E127*Drivers!M$118,$B20="OSPI State Apportionment", 'P&amp;L'!$E127*Drivers!M$119, $B20="Expense Reimbursement", 'P&amp;L'!$E127*Drivers!M$120,
     $B20="Direct Monthly Input", 0)</f>
        <v>279251.81999999995</v>
      </c>
      <c r="K20" s="421" cm="1">
        <f t="array" ref="K20">_xlfn.IFS($B20="12-Month Smoothing", 'P&amp;L'!$E127*Drivers!N$113, $B20="10-Month Academic Calendar", 'P&amp;L'!$E127*Drivers!N$114, $B20="Quarterly Smoothing", 'P&amp;L'!$E127*Drivers!N$115,
     $B20="Two-Installment (front-loaded)", 'P&amp;L'!$E127*Drivers!N$116, $B20="Two-Installment (back-loaded)", 'P&amp;L'!$E127*Drivers!N$117,
     $B20="Year Start Lump Sum", 'P&amp;L'!$E127*Drivers!N$118,$B20="OSPI State Apportionment", 'P&amp;L'!$E127*Drivers!N$119, $B20="Expense Reimbursement", 'P&amp;L'!$E127*Drivers!N$120,
     $B20="Direct Monthly Input", 0)</f>
        <v>279251.81999999995</v>
      </c>
      <c r="L20" s="421" cm="1">
        <f t="array" ref="L20">_xlfn.IFS($B20="12-Month Smoothing", 'P&amp;L'!$E127*Drivers!O$113, $B20="10-Month Academic Calendar", 'P&amp;L'!$E127*Drivers!O$114, $B20="Quarterly Smoothing", 'P&amp;L'!$E127*Drivers!O$115,
     $B20="Two-Installment (front-loaded)", 'P&amp;L'!$E127*Drivers!O$116, $B20="Two-Installment (back-loaded)", 'P&amp;L'!$E127*Drivers!O$117,
     $B20="Year Start Lump Sum", 'P&amp;L'!$E127*Drivers!O$118,$B20="OSPI State Apportionment", 'P&amp;L'!$E127*Drivers!O$119, $B20="Expense Reimbursement", 'P&amp;L'!$E127*Drivers!O$120,
     $B20="Direct Monthly Input", 0)</f>
        <v>155139.9</v>
      </c>
      <c r="M20" s="421" cm="1">
        <f t="array" ref="M20">_xlfn.IFS($B20="12-Month Smoothing", 'P&amp;L'!$E127*Drivers!P$113, $B20="10-Month Academic Calendar", 'P&amp;L'!$E127*Drivers!P$114, $B20="Quarterly Smoothing", 'P&amp;L'!$E127*Drivers!P$115,
     $B20="Two-Installment (front-loaded)", 'P&amp;L'!$E127*Drivers!P$116, $B20="Two-Installment (back-loaded)", 'P&amp;L'!$E127*Drivers!P$117,
     $B20="Year Start Lump Sum", 'P&amp;L'!$E127*Drivers!P$118,$B20="OSPI State Apportionment", 'P&amp;L'!$E127*Drivers!P$119, $B20="Expense Reimbursement", 'P&amp;L'!$E127*Drivers!P$120,
     $B20="Direct Monthly Input", 0)</f>
        <v>186167.87999999998</v>
      </c>
      <c r="N20" s="421" cm="1">
        <f t="array" ref="N20">_xlfn.IFS($B20="12-Month Smoothing", 'P&amp;L'!$E127*Drivers!Q$113, $B20="10-Month Academic Calendar", 'P&amp;L'!$E127*Drivers!Q$114, $B20="Quarterly Smoothing", 'P&amp;L'!$E127*Drivers!Q$115,
     $B20="Two-Installment (front-loaded)", 'P&amp;L'!$E127*Drivers!Q$116, $B20="Two-Installment (back-loaded)", 'P&amp;L'!$E127*Drivers!Q$117,
     $B20="Year Start Lump Sum", 'P&amp;L'!$E127*Drivers!Q$118,$B20="OSPI State Apportionment", 'P&amp;L'!$E127*Drivers!Q$119, $B20="Expense Reimbursement", 'P&amp;L'!$E127*Drivers!Q$120,
     $B20="Direct Monthly Input", 0)</f>
        <v>387849.74999999994</v>
      </c>
      <c r="O20" s="427" cm="1">
        <f t="array" ref="O20">_xlfn.IFS($B20="12-Month Smoothing", 'P&amp;L'!$E127*Drivers!R$113, $B20="10-Month Academic Calendar", 'P&amp;L'!$E127*Drivers!R$114, $B20="Quarterly Smoothing", 'P&amp;L'!$E127*Drivers!R$115,
     $B20="Two-Installment (front-loaded)", 'P&amp;L'!$E127*Drivers!R$116, $B20="Two-Installment (back-loaded)", 'P&amp;L'!$E127*Drivers!R$117,
     $B20="Year Start Lump Sum", 'P&amp;L'!$E127*Drivers!R$118,$B20="OSPI State Apportionment", 'P&amp;L'!$E127*Drivers!R$119, $B20="Expense Reimbursement", 'P&amp;L'!$E127*Drivers!R$120,
     $B20="Direct Monthly Input", 0)</f>
        <v>310279.8</v>
      </c>
      <c r="P20" s="129">
        <f t="shared" si="3"/>
        <v>3102797.9999999991</v>
      </c>
      <c r="Q20" s="730"/>
      <c r="R20" s="537"/>
    </row>
    <row r="21" spans="1:18" s="538" customFormat="1" ht="17" thickBot="1">
      <c r="A21" s="734"/>
      <c r="B21" s="485" t="s">
        <v>1319</v>
      </c>
      <c r="C21" s="725" t="str">
        <f>'P&amp;L'!C128</f>
        <v xml:space="preserve">3121 - Special Education - General Apportionment  </v>
      </c>
      <c r="D21" s="421" cm="1">
        <f t="array" ref="D21">_xlfn.IFS($B21="12-Month Smoothing", 'P&amp;L'!$E128*Drivers!G$113, $B21="10-Month Academic Calendar", 'P&amp;L'!$E128*Drivers!G$114, $B21="Quarterly Smoothing", 'P&amp;L'!$E128*Drivers!G$115,
     $B21="Two-Installment (front-loaded)", 'P&amp;L'!$E128*Drivers!G$116, $B21="Two-Installment (back-loaded)", 'P&amp;L'!$E128*Drivers!G$117,
     $B21="Year Start Lump Sum", 'P&amp;L'!$E128*Drivers!G$118,$B21="OSPI State Apportionment", 'P&amp;L'!$E128*Drivers!G$119, $B21="Expense Reimbursement", 'P&amp;L'!$E128*Drivers!G$120,
     $B21="Direct Monthly Input", 0)</f>
        <v>1611.7919999999995</v>
      </c>
      <c r="E21" s="421" cm="1">
        <f t="array" ref="E21">_xlfn.IFS($B21="12-Month Smoothing", 'P&amp;L'!$E128*Drivers!H$113, $B21="10-Month Academic Calendar", 'P&amp;L'!$E128*Drivers!H$114, $B21="Quarterly Smoothing", 'P&amp;L'!$E128*Drivers!H$115,
     $B21="Two-Installment (front-loaded)", 'P&amp;L'!$E128*Drivers!H$116, $B21="Two-Installment (back-loaded)", 'P&amp;L'!$E128*Drivers!H$117,
     $B21="Year Start Lump Sum", 'P&amp;L'!$E128*Drivers!H$118,$B21="OSPI State Apportionment", 'P&amp;L'!$E128*Drivers!H$119, $B21="Expense Reimbursement", 'P&amp;L'!$E128*Drivers!H$120,
     $B21="Direct Monthly Input", 0)</f>
        <v>1432.7039999999997</v>
      </c>
      <c r="F21" s="421" cm="1">
        <f t="array" ref="F21">_xlfn.IFS($B21="12-Month Smoothing", 'P&amp;L'!$E128*Drivers!I$113, $B21="10-Month Academic Calendar", 'P&amp;L'!$E128*Drivers!I$114, $B21="Quarterly Smoothing", 'P&amp;L'!$E128*Drivers!I$115,
     $B21="Two-Installment (front-loaded)", 'P&amp;L'!$E128*Drivers!I$116, $B21="Two-Installment (back-loaded)", 'P&amp;L'!$E128*Drivers!I$117,
     $B21="Year Start Lump Sum", 'P&amp;L'!$E128*Drivers!I$118,$B21="OSPI State Apportionment", 'P&amp;L'!$E128*Drivers!I$119, $B21="Expense Reimbursement", 'P&amp;L'!$E128*Drivers!I$120,
     $B21="Direct Monthly Input", 0)</f>
        <v>895.43999999999983</v>
      </c>
      <c r="G21" s="421" cm="1">
        <f t="array" ref="G21">_xlfn.IFS($B21="12-Month Smoothing", 'P&amp;L'!$E128*Drivers!J$113, $B21="10-Month Academic Calendar", 'P&amp;L'!$E128*Drivers!J$114, $B21="Quarterly Smoothing", 'P&amp;L'!$E128*Drivers!J$115,
     $B21="Two-Installment (front-loaded)", 'P&amp;L'!$E128*Drivers!J$116, $B21="Two-Installment (back-loaded)", 'P&amp;L'!$E128*Drivers!J$117,
     $B21="Year Start Lump Sum", 'P&amp;L'!$E128*Drivers!J$118,$B21="OSPI State Apportionment", 'P&amp;L'!$E128*Drivers!J$119, $B21="Expense Reimbursement", 'P&amp;L'!$E128*Drivers!J$120,
     $B21="Direct Monthly Input", 0)</f>
        <v>1611.7919999999995</v>
      </c>
      <c r="H21" s="421" cm="1">
        <f t="array" ref="H21">_xlfn.IFS($B21="12-Month Smoothing", 'P&amp;L'!$E128*Drivers!K$113, $B21="10-Month Academic Calendar", 'P&amp;L'!$E128*Drivers!K$114, $B21="Quarterly Smoothing", 'P&amp;L'!$E128*Drivers!K$115,
     $B21="Two-Installment (front-loaded)", 'P&amp;L'!$E128*Drivers!K$116, $B21="Two-Installment (back-loaded)", 'P&amp;L'!$E128*Drivers!K$117,
     $B21="Year Start Lump Sum", 'P&amp;L'!$E128*Drivers!K$118,$B21="OSPI State Apportionment", 'P&amp;L'!$E128*Drivers!K$119, $B21="Expense Reimbursement", 'P&amp;L'!$E128*Drivers!K$120,
     $B21="Direct Monthly Input", 0)</f>
        <v>1522.2479999999998</v>
      </c>
      <c r="I21" s="421" cm="1">
        <f t="array" ref="I21">_xlfn.IFS($B21="12-Month Smoothing", 'P&amp;L'!$E128*Drivers!L$113, $B21="10-Month Academic Calendar", 'P&amp;L'!$E128*Drivers!L$114, $B21="Quarterly Smoothing", 'P&amp;L'!$E128*Drivers!L$115,
     $B21="Two-Installment (front-loaded)", 'P&amp;L'!$E128*Drivers!L$116, $B21="Two-Installment (back-loaded)", 'P&amp;L'!$E128*Drivers!L$117,
     $B21="Year Start Lump Sum", 'P&amp;L'!$E128*Drivers!L$118,$B21="OSPI State Apportionment", 'P&amp;L'!$E128*Drivers!L$119, $B21="Expense Reimbursement", 'P&amp;L'!$E128*Drivers!L$120,
     $B21="Direct Monthly Input", 0)</f>
        <v>1611.7919999999995</v>
      </c>
      <c r="J21" s="421" cm="1">
        <f t="array" ref="J21">_xlfn.IFS($B21="12-Month Smoothing", 'P&amp;L'!$E128*Drivers!M$113, $B21="10-Month Academic Calendar", 'P&amp;L'!$E128*Drivers!M$114, $B21="Quarterly Smoothing", 'P&amp;L'!$E128*Drivers!M$115,
     $B21="Two-Installment (front-loaded)", 'P&amp;L'!$E128*Drivers!M$116, $B21="Two-Installment (back-loaded)", 'P&amp;L'!$E128*Drivers!M$117,
     $B21="Year Start Lump Sum", 'P&amp;L'!$E128*Drivers!M$118,$B21="OSPI State Apportionment", 'P&amp;L'!$E128*Drivers!M$119, $B21="Expense Reimbursement", 'P&amp;L'!$E128*Drivers!M$120,
     $B21="Direct Monthly Input", 0)</f>
        <v>1611.7919999999995</v>
      </c>
      <c r="K21" s="421" cm="1">
        <f t="array" ref="K21">_xlfn.IFS($B21="12-Month Smoothing", 'P&amp;L'!$E128*Drivers!N$113, $B21="10-Month Academic Calendar", 'P&amp;L'!$E128*Drivers!N$114, $B21="Quarterly Smoothing", 'P&amp;L'!$E128*Drivers!N$115,
     $B21="Two-Installment (front-loaded)", 'P&amp;L'!$E128*Drivers!N$116, $B21="Two-Installment (back-loaded)", 'P&amp;L'!$E128*Drivers!N$117,
     $B21="Year Start Lump Sum", 'P&amp;L'!$E128*Drivers!N$118,$B21="OSPI State Apportionment", 'P&amp;L'!$E128*Drivers!N$119, $B21="Expense Reimbursement", 'P&amp;L'!$E128*Drivers!N$120,
     $B21="Direct Monthly Input", 0)</f>
        <v>1611.7919999999995</v>
      </c>
      <c r="L21" s="421" cm="1">
        <f t="array" ref="L21">_xlfn.IFS($B21="12-Month Smoothing", 'P&amp;L'!$E128*Drivers!O$113, $B21="10-Month Academic Calendar", 'P&amp;L'!$E128*Drivers!O$114, $B21="Quarterly Smoothing", 'P&amp;L'!$E128*Drivers!O$115,
     $B21="Two-Installment (front-loaded)", 'P&amp;L'!$E128*Drivers!O$116, $B21="Two-Installment (back-loaded)", 'P&amp;L'!$E128*Drivers!O$117,
     $B21="Year Start Lump Sum", 'P&amp;L'!$E128*Drivers!O$118,$B21="OSPI State Apportionment", 'P&amp;L'!$E128*Drivers!O$119, $B21="Expense Reimbursement", 'P&amp;L'!$E128*Drivers!O$120,
     $B21="Direct Monthly Input", 0)</f>
        <v>895.43999999999983</v>
      </c>
      <c r="M21" s="421" cm="1">
        <f t="array" ref="M21">_xlfn.IFS($B21="12-Month Smoothing", 'P&amp;L'!$E128*Drivers!P$113, $B21="10-Month Academic Calendar", 'P&amp;L'!$E128*Drivers!P$114, $B21="Quarterly Smoothing", 'P&amp;L'!$E128*Drivers!P$115,
     $B21="Two-Installment (front-loaded)", 'P&amp;L'!$E128*Drivers!P$116, $B21="Two-Installment (back-loaded)", 'P&amp;L'!$E128*Drivers!P$117,
     $B21="Year Start Lump Sum", 'P&amp;L'!$E128*Drivers!P$118,$B21="OSPI State Apportionment", 'P&amp;L'!$E128*Drivers!P$119, $B21="Expense Reimbursement", 'P&amp;L'!$E128*Drivers!P$120,
     $B21="Direct Monthly Input", 0)</f>
        <v>1074.5279999999998</v>
      </c>
      <c r="N21" s="421" cm="1">
        <f t="array" ref="N21">_xlfn.IFS($B21="12-Month Smoothing", 'P&amp;L'!$E128*Drivers!Q$113, $B21="10-Month Academic Calendar", 'P&amp;L'!$E128*Drivers!Q$114, $B21="Quarterly Smoothing", 'P&amp;L'!$E128*Drivers!Q$115,
     $B21="Two-Installment (front-loaded)", 'P&amp;L'!$E128*Drivers!Q$116, $B21="Two-Installment (back-loaded)", 'P&amp;L'!$E128*Drivers!Q$117,
     $B21="Year Start Lump Sum", 'P&amp;L'!$E128*Drivers!Q$118,$B21="OSPI State Apportionment", 'P&amp;L'!$E128*Drivers!Q$119, $B21="Expense Reimbursement", 'P&amp;L'!$E128*Drivers!Q$120,
     $B21="Direct Monthly Input", 0)</f>
        <v>2238.5999999999995</v>
      </c>
      <c r="O21" s="427" cm="1">
        <f t="array" ref="O21">_xlfn.IFS($B21="12-Month Smoothing", 'P&amp;L'!$E128*Drivers!R$113, $B21="10-Month Academic Calendar", 'P&amp;L'!$E128*Drivers!R$114, $B21="Quarterly Smoothing", 'P&amp;L'!$E128*Drivers!R$115,
     $B21="Two-Installment (front-loaded)", 'P&amp;L'!$E128*Drivers!R$116, $B21="Two-Installment (back-loaded)", 'P&amp;L'!$E128*Drivers!R$117,
     $B21="Year Start Lump Sum", 'P&amp;L'!$E128*Drivers!R$118,$B21="OSPI State Apportionment", 'P&amp;L'!$E128*Drivers!R$119, $B21="Expense Reimbursement", 'P&amp;L'!$E128*Drivers!R$120,
     $B21="Direct Monthly Input", 0)</f>
        <v>1790.8799999999997</v>
      </c>
      <c r="P21" s="129">
        <f t="shared" si="3"/>
        <v>17908.799999999996</v>
      </c>
      <c r="Q21" s="730"/>
      <c r="R21" s="537"/>
    </row>
    <row r="22" spans="1:18" s="538" customFormat="1" ht="17" thickBot="1">
      <c r="A22" s="734"/>
      <c r="B22" s="419" t="s">
        <v>445</v>
      </c>
      <c r="C22" s="725" t="str">
        <f>'P&amp;L'!C129</f>
        <v>All Other 3000 - STATE REVENUE - GENERAL PURPOSE</v>
      </c>
      <c r="D22" s="421" cm="1">
        <f t="array" ref="D22">_xlfn.IFS($B22="12-Month Smoothing", 'P&amp;L'!$E129*Drivers!G$113, $B22="10-Month Academic Calendar", 'P&amp;L'!$E129*Drivers!G$114, $B22="Quarterly Smoothing", 'P&amp;L'!$E129*Drivers!G$115,
     $B22="Two-Installment (front-loaded)", 'P&amp;L'!$E129*Drivers!G$116, $B22="Two-Installment (back-loaded)", 'P&amp;L'!$E129*Drivers!G$117,
     $B22="Year Start Lump Sum", 'P&amp;L'!$E129*Drivers!G$118,$B22="OSPI State Apportionment", 'P&amp;L'!$E129*Drivers!G$119, $B22="Expense Reimbursement", 'P&amp;L'!$E129*Drivers!G$120,
     $B22="Direct Monthly Input", 0)</f>
        <v>0</v>
      </c>
      <c r="E22" s="421" cm="1">
        <f t="array" ref="E22">_xlfn.IFS($B22="12-Month Smoothing", 'P&amp;L'!$E129*Drivers!H$113, $B22="10-Month Academic Calendar", 'P&amp;L'!$E129*Drivers!H$114, $B22="Quarterly Smoothing", 'P&amp;L'!$E129*Drivers!H$115,
     $B22="Two-Installment (front-loaded)", 'P&amp;L'!$E129*Drivers!H$116, $B22="Two-Installment (back-loaded)", 'P&amp;L'!$E129*Drivers!H$117,
     $B22="Year Start Lump Sum", 'P&amp;L'!$E129*Drivers!H$118,$B22="OSPI State Apportionment", 'P&amp;L'!$E129*Drivers!H$119, $B22="Expense Reimbursement", 'P&amp;L'!$E129*Drivers!H$120,
     $B22="Direct Monthly Input", 0)</f>
        <v>0</v>
      </c>
      <c r="F22" s="421" cm="1">
        <f t="array" ref="F22">_xlfn.IFS($B22="12-Month Smoothing", 'P&amp;L'!$E129*Drivers!I$113, $B22="10-Month Academic Calendar", 'P&amp;L'!$E129*Drivers!I$114, $B22="Quarterly Smoothing", 'P&amp;L'!$E129*Drivers!I$115,
     $B22="Two-Installment (front-loaded)", 'P&amp;L'!$E129*Drivers!I$116, $B22="Two-Installment (back-loaded)", 'P&amp;L'!$E129*Drivers!I$117,
     $B22="Year Start Lump Sum", 'P&amp;L'!$E129*Drivers!I$118,$B22="OSPI State Apportionment", 'P&amp;L'!$E129*Drivers!I$119, $B22="Expense Reimbursement", 'P&amp;L'!$E129*Drivers!I$120,
     $B22="Direct Monthly Input", 0)</f>
        <v>0</v>
      </c>
      <c r="G22" s="421" cm="1">
        <f t="array" ref="G22">_xlfn.IFS($B22="12-Month Smoothing", 'P&amp;L'!$E129*Drivers!J$113, $B22="10-Month Academic Calendar", 'P&amp;L'!$E129*Drivers!J$114, $B22="Quarterly Smoothing", 'P&amp;L'!$E129*Drivers!J$115,
     $B22="Two-Installment (front-loaded)", 'P&amp;L'!$E129*Drivers!J$116, $B22="Two-Installment (back-loaded)", 'P&amp;L'!$E129*Drivers!J$117,
     $B22="Year Start Lump Sum", 'P&amp;L'!$E129*Drivers!J$118,$B22="OSPI State Apportionment", 'P&amp;L'!$E129*Drivers!J$119, $B22="Expense Reimbursement", 'P&amp;L'!$E129*Drivers!J$120,
     $B22="Direct Monthly Input", 0)</f>
        <v>0</v>
      </c>
      <c r="H22" s="421" cm="1">
        <f t="array" ref="H22">_xlfn.IFS($B22="12-Month Smoothing", 'P&amp;L'!$E129*Drivers!K$113, $B22="10-Month Academic Calendar", 'P&amp;L'!$E129*Drivers!K$114, $B22="Quarterly Smoothing", 'P&amp;L'!$E129*Drivers!K$115,
     $B22="Two-Installment (front-loaded)", 'P&amp;L'!$E129*Drivers!K$116, $B22="Two-Installment (back-loaded)", 'P&amp;L'!$E129*Drivers!K$117,
     $B22="Year Start Lump Sum", 'P&amp;L'!$E129*Drivers!K$118,$B22="OSPI State Apportionment", 'P&amp;L'!$E129*Drivers!K$119, $B22="Expense Reimbursement", 'P&amp;L'!$E129*Drivers!K$120,
     $B22="Direct Monthly Input", 0)</f>
        <v>0</v>
      </c>
      <c r="I22" s="421" cm="1">
        <f t="array" ref="I22">_xlfn.IFS($B22="12-Month Smoothing", 'P&amp;L'!$E129*Drivers!L$113, $B22="10-Month Academic Calendar", 'P&amp;L'!$E129*Drivers!L$114, $B22="Quarterly Smoothing", 'P&amp;L'!$E129*Drivers!L$115,
     $B22="Two-Installment (front-loaded)", 'P&amp;L'!$E129*Drivers!L$116, $B22="Two-Installment (back-loaded)", 'P&amp;L'!$E129*Drivers!L$117,
     $B22="Year Start Lump Sum", 'P&amp;L'!$E129*Drivers!L$118,$B22="OSPI State Apportionment", 'P&amp;L'!$E129*Drivers!L$119, $B22="Expense Reimbursement", 'P&amp;L'!$E129*Drivers!L$120,
     $B22="Direct Monthly Input", 0)</f>
        <v>0</v>
      </c>
      <c r="J22" s="421" cm="1">
        <f t="array" ref="J22">_xlfn.IFS($B22="12-Month Smoothing", 'P&amp;L'!$E129*Drivers!M$113, $B22="10-Month Academic Calendar", 'P&amp;L'!$E129*Drivers!M$114, $B22="Quarterly Smoothing", 'P&amp;L'!$E129*Drivers!M$115,
     $B22="Two-Installment (front-loaded)", 'P&amp;L'!$E129*Drivers!M$116, $B22="Two-Installment (back-loaded)", 'P&amp;L'!$E129*Drivers!M$117,
     $B22="Year Start Lump Sum", 'P&amp;L'!$E129*Drivers!M$118,$B22="OSPI State Apportionment", 'P&amp;L'!$E129*Drivers!M$119, $B22="Expense Reimbursement", 'P&amp;L'!$E129*Drivers!M$120,
     $B22="Direct Monthly Input", 0)</f>
        <v>0</v>
      </c>
      <c r="K22" s="421" cm="1">
        <f t="array" ref="K22">_xlfn.IFS($B22="12-Month Smoothing", 'P&amp;L'!$E129*Drivers!N$113, $B22="10-Month Academic Calendar", 'P&amp;L'!$E129*Drivers!N$114, $B22="Quarterly Smoothing", 'P&amp;L'!$E129*Drivers!N$115,
     $B22="Two-Installment (front-loaded)", 'P&amp;L'!$E129*Drivers!N$116, $B22="Two-Installment (back-loaded)", 'P&amp;L'!$E129*Drivers!N$117,
     $B22="Year Start Lump Sum", 'P&amp;L'!$E129*Drivers!N$118,$B22="OSPI State Apportionment", 'P&amp;L'!$E129*Drivers!N$119, $B22="Expense Reimbursement", 'P&amp;L'!$E129*Drivers!N$120,
     $B22="Direct Monthly Input", 0)</f>
        <v>0</v>
      </c>
      <c r="L22" s="421" cm="1">
        <f t="array" ref="L22">_xlfn.IFS($B22="12-Month Smoothing", 'P&amp;L'!$E129*Drivers!O$113, $B22="10-Month Academic Calendar", 'P&amp;L'!$E129*Drivers!O$114, $B22="Quarterly Smoothing", 'P&amp;L'!$E129*Drivers!O$115,
     $B22="Two-Installment (front-loaded)", 'P&amp;L'!$E129*Drivers!O$116, $B22="Two-Installment (back-loaded)", 'P&amp;L'!$E129*Drivers!O$117,
     $B22="Year Start Lump Sum", 'P&amp;L'!$E129*Drivers!O$118,$B22="OSPI State Apportionment", 'P&amp;L'!$E129*Drivers!O$119, $B22="Expense Reimbursement", 'P&amp;L'!$E129*Drivers!O$120,
     $B22="Direct Monthly Input", 0)</f>
        <v>0</v>
      </c>
      <c r="M22" s="421" cm="1">
        <f t="array" ref="M22">_xlfn.IFS($B22="12-Month Smoothing", 'P&amp;L'!$E129*Drivers!P$113, $B22="10-Month Academic Calendar", 'P&amp;L'!$E129*Drivers!P$114, $B22="Quarterly Smoothing", 'P&amp;L'!$E129*Drivers!P$115,
     $B22="Two-Installment (front-loaded)", 'P&amp;L'!$E129*Drivers!P$116, $B22="Two-Installment (back-loaded)", 'P&amp;L'!$E129*Drivers!P$117,
     $B22="Year Start Lump Sum", 'P&amp;L'!$E129*Drivers!P$118,$B22="OSPI State Apportionment", 'P&amp;L'!$E129*Drivers!P$119, $B22="Expense Reimbursement", 'P&amp;L'!$E129*Drivers!P$120,
     $B22="Direct Monthly Input", 0)</f>
        <v>0</v>
      </c>
      <c r="N22" s="421" cm="1">
        <f t="array" ref="N22">_xlfn.IFS($B22="12-Month Smoothing", 'P&amp;L'!$E129*Drivers!Q$113, $B22="10-Month Academic Calendar", 'P&amp;L'!$E129*Drivers!Q$114, $B22="Quarterly Smoothing", 'P&amp;L'!$E129*Drivers!Q$115,
     $B22="Two-Installment (front-loaded)", 'P&amp;L'!$E129*Drivers!Q$116, $B22="Two-Installment (back-loaded)", 'P&amp;L'!$E129*Drivers!Q$117,
     $B22="Year Start Lump Sum", 'P&amp;L'!$E129*Drivers!Q$118,$B22="OSPI State Apportionment", 'P&amp;L'!$E129*Drivers!Q$119, $B22="Expense Reimbursement", 'P&amp;L'!$E129*Drivers!Q$120,
     $B22="Direct Monthly Input", 0)</f>
        <v>0</v>
      </c>
      <c r="O22" s="427" cm="1">
        <f t="array" ref="O22">_xlfn.IFS($B22="12-Month Smoothing", 'P&amp;L'!$E129*Drivers!R$113, $B22="10-Month Academic Calendar", 'P&amp;L'!$E129*Drivers!R$114, $B22="Quarterly Smoothing", 'P&amp;L'!$E129*Drivers!R$115,
     $B22="Two-Installment (front-loaded)", 'P&amp;L'!$E129*Drivers!R$116, $B22="Two-Installment (back-loaded)", 'P&amp;L'!$E129*Drivers!R$117,
     $B22="Year Start Lump Sum", 'P&amp;L'!$E129*Drivers!R$118,$B22="OSPI State Apportionment", 'P&amp;L'!$E129*Drivers!R$119, $B22="Expense Reimbursement", 'P&amp;L'!$E129*Drivers!R$120,
     $B22="Direct Monthly Input", 0)</f>
        <v>0</v>
      </c>
      <c r="P22" s="129">
        <f t="shared" si="3"/>
        <v>0</v>
      </c>
      <c r="Q22" s="730"/>
      <c r="R22" s="537"/>
    </row>
    <row r="23" spans="1:18" s="538" customFormat="1" ht="17" thickBot="1">
      <c r="A23" s="734"/>
      <c r="B23" s="485" t="s">
        <v>1319</v>
      </c>
      <c r="C23" s="725" t="str">
        <f>'P&amp;L'!C131</f>
        <v xml:space="preserve">4121 - Special Education - State   </v>
      </c>
      <c r="D23" s="421" cm="1">
        <f t="array" ref="D23">_xlfn.IFS($B23="12-Month Smoothing", 'P&amp;L'!$E131*Drivers!G$113, $B23="10-Month Academic Calendar", 'P&amp;L'!$E131*Drivers!G$114, $B23="Quarterly Smoothing", 'P&amp;L'!$E131*Drivers!G$115,
     $B23="Two-Installment (front-loaded)", 'P&amp;L'!$E131*Drivers!G$116, $B23="Two-Installment (back-loaded)", 'P&amp;L'!$E131*Drivers!G$117,
     $B23="Year Start Lump Sum", 'P&amp;L'!$E131*Drivers!G$118,$B23="OSPI State Apportionment", 'P&amp;L'!$E131*Drivers!G$119, $B23="Expense Reimbursement", 'P&amp;L'!$E131*Drivers!G$120,
     $B23="Direct Monthly Input", 0)</f>
        <v>51828.854399999989</v>
      </c>
      <c r="E23" s="421" cm="1">
        <f t="array" ref="E23">_xlfn.IFS($B23="12-Month Smoothing", 'P&amp;L'!$E131*Drivers!H$113, $B23="10-Month Academic Calendar", 'P&amp;L'!$E131*Drivers!H$114, $B23="Quarterly Smoothing", 'P&amp;L'!$E131*Drivers!H$115,
     $B23="Two-Installment (front-loaded)", 'P&amp;L'!$E131*Drivers!H$116, $B23="Two-Installment (back-loaded)", 'P&amp;L'!$E131*Drivers!H$117,
     $B23="Year Start Lump Sum", 'P&amp;L'!$E131*Drivers!H$118,$B23="OSPI State Apportionment", 'P&amp;L'!$E131*Drivers!H$119, $B23="Expense Reimbursement", 'P&amp;L'!$E131*Drivers!H$120,
     $B23="Direct Monthly Input", 0)</f>
        <v>46070.092799999991</v>
      </c>
      <c r="F23" s="421" cm="1">
        <f t="array" ref="F23">_xlfn.IFS($B23="12-Month Smoothing", 'P&amp;L'!$E131*Drivers!I$113, $B23="10-Month Academic Calendar", 'P&amp;L'!$E131*Drivers!I$114, $B23="Quarterly Smoothing", 'P&amp;L'!$E131*Drivers!I$115,
     $B23="Two-Installment (front-loaded)", 'P&amp;L'!$E131*Drivers!I$116, $B23="Two-Installment (back-loaded)", 'P&amp;L'!$E131*Drivers!I$117,
     $B23="Year Start Lump Sum", 'P&amp;L'!$E131*Drivers!I$118,$B23="OSPI State Apportionment", 'P&amp;L'!$E131*Drivers!I$119, $B23="Expense Reimbursement", 'P&amp;L'!$E131*Drivers!I$120,
     $B23="Direct Monthly Input", 0)</f>
        <v>28793.807999999997</v>
      </c>
      <c r="G23" s="421" cm="1">
        <f t="array" ref="G23">_xlfn.IFS($B23="12-Month Smoothing", 'P&amp;L'!$E131*Drivers!J$113, $B23="10-Month Academic Calendar", 'P&amp;L'!$E131*Drivers!J$114, $B23="Quarterly Smoothing", 'P&amp;L'!$E131*Drivers!J$115,
     $B23="Two-Installment (front-loaded)", 'P&amp;L'!$E131*Drivers!J$116, $B23="Two-Installment (back-loaded)", 'P&amp;L'!$E131*Drivers!J$117,
     $B23="Year Start Lump Sum", 'P&amp;L'!$E131*Drivers!J$118,$B23="OSPI State Apportionment", 'P&amp;L'!$E131*Drivers!J$119, $B23="Expense Reimbursement", 'P&amp;L'!$E131*Drivers!J$120,
     $B23="Direct Monthly Input", 0)</f>
        <v>51828.854399999989</v>
      </c>
      <c r="H23" s="421" cm="1">
        <f t="array" ref="H23">_xlfn.IFS($B23="12-Month Smoothing", 'P&amp;L'!$E131*Drivers!K$113, $B23="10-Month Academic Calendar", 'P&amp;L'!$E131*Drivers!K$114, $B23="Quarterly Smoothing", 'P&amp;L'!$E131*Drivers!K$115,
     $B23="Two-Installment (front-loaded)", 'P&amp;L'!$E131*Drivers!K$116, $B23="Two-Installment (back-loaded)", 'P&amp;L'!$E131*Drivers!K$117,
     $B23="Year Start Lump Sum", 'P&amp;L'!$E131*Drivers!K$118,$B23="OSPI State Apportionment", 'P&amp;L'!$E131*Drivers!K$119, $B23="Expense Reimbursement", 'P&amp;L'!$E131*Drivers!K$120,
     $B23="Direct Monthly Input", 0)</f>
        <v>48949.473599999998</v>
      </c>
      <c r="I23" s="421" cm="1">
        <f t="array" ref="I23">_xlfn.IFS($B23="12-Month Smoothing", 'P&amp;L'!$E131*Drivers!L$113, $B23="10-Month Academic Calendar", 'P&amp;L'!$E131*Drivers!L$114, $B23="Quarterly Smoothing", 'P&amp;L'!$E131*Drivers!L$115,
     $B23="Two-Installment (front-loaded)", 'P&amp;L'!$E131*Drivers!L$116, $B23="Two-Installment (back-loaded)", 'P&amp;L'!$E131*Drivers!L$117,
     $B23="Year Start Lump Sum", 'P&amp;L'!$E131*Drivers!L$118,$B23="OSPI State Apportionment", 'P&amp;L'!$E131*Drivers!L$119, $B23="Expense Reimbursement", 'P&amp;L'!$E131*Drivers!L$120,
     $B23="Direct Monthly Input", 0)</f>
        <v>51828.854399999989</v>
      </c>
      <c r="J23" s="421" cm="1">
        <f t="array" ref="J23">_xlfn.IFS($B23="12-Month Smoothing", 'P&amp;L'!$E131*Drivers!M$113, $B23="10-Month Academic Calendar", 'P&amp;L'!$E131*Drivers!M$114, $B23="Quarterly Smoothing", 'P&amp;L'!$E131*Drivers!M$115,
     $B23="Two-Installment (front-loaded)", 'P&amp;L'!$E131*Drivers!M$116, $B23="Two-Installment (back-loaded)", 'P&amp;L'!$E131*Drivers!M$117,
     $B23="Year Start Lump Sum", 'P&amp;L'!$E131*Drivers!M$118,$B23="OSPI State Apportionment", 'P&amp;L'!$E131*Drivers!M$119, $B23="Expense Reimbursement", 'P&amp;L'!$E131*Drivers!M$120,
     $B23="Direct Monthly Input", 0)</f>
        <v>51828.854399999989</v>
      </c>
      <c r="K23" s="421" cm="1">
        <f t="array" ref="K23">_xlfn.IFS($B23="12-Month Smoothing", 'P&amp;L'!$E131*Drivers!N$113, $B23="10-Month Academic Calendar", 'P&amp;L'!$E131*Drivers!N$114, $B23="Quarterly Smoothing", 'P&amp;L'!$E131*Drivers!N$115,
     $B23="Two-Installment (front-loaded)", 'P&amp;L'!$E131*Drivers!N$116, $B23="Two-Installment (back-loaded)", 'P&amp;L'!$E131*Drivers!N$117,
     $B23="Year Start Lump Sum", 'P&amp;L'!$E131*Drivers!N$118,$B23="OSPI State Apportionment", 'P&amp;L'!$E131*Drivers!N$119, $B23="Expense Reimbursement", 'P&amp;L'!$E131*Drivers!N$120,
     $B23="Direct Monthly Input", 0)</f>
        <v>51828.854399999989</v>
      </c>
      <c r="L23" s="421" cm="1">
        <f t="array" ref="L23">_xlfn.IFS($B23="12-Month Smoothing", 'P&amp;L'!$E131*Drivers!O$113, $B23="10-Month Academic Calendar", 'P&amp;L'!$E131*Drivers!O$114, $B23="Quarterly Smoothing", 'P&amp;L'!$E131*Drivers!O$115,
     $B23="Two-Installment (front-loaded)", 'P&amp;L'!$E131*Drivers!O$116, $B23="Two-Installment (back-loaded)", 'P&amp;L'!$E131*Drivers!O$117,
     $B23="Year Start Lump Sum", 'P&amp;L'!$E131*Drivers!O$118,$B23="OSPI State Apportionment", 'P&amp;L'!$E131*Drivers!O$119, $B23="Expense Reimbursement", 'P&amp;L'!$E131*Drivers!O$120,
     $B23="Direct Monthly Input", 0)</f>
        <v>28793.807999999997</v>
      </c>
      <c r="M23" s="421" cm="1">
        <f t="array" ref="M23">_xlfn.IFS($B23="12-Month Smoothing", 'P&amp;L'!$E131*Drivers!P$113, $B23="10-Month Academic Calendar", 'P&amp;L'!$E131*Drivers!P$114, $B23="Quarterly Smoothing", 'P&amp;L'!$E131*Drivers!P$115,
     $B23="Two-Installment (front-loaded)", 'P&amp;L'!$E131*Drivers!P$116, $B23="Two-Installment (back-loaded)", 'P&amp;L'!$E131*Drivers!P$117,
     $B23="Year Start Lump Sum", 'P&amp;L'!$E131*Drivers!P$118,$B23="OSPI State Apportionment", 'P&amp;L'!$E131*Drivers!P$119, $B23="Expense Reimbursement", 'P&amp;L'!$E131*Drivers!P$120,
     $B23="Direct Monthly Input", 0)</f>
        <v>34552.569599999995</v>
      </c>
      <c r="N23" s="421" cm="1">
        <f t="array" ref="N23">_xlfn.IFS($B23="12-Month Smoothing", 'P&amp;L'!$E131*Drivers!Q$113, $B23="10-Month Academic Calendar", 'P&amp;L'!$E131*Drivers!Q$114, $B23="Quarterly Smoothing", 'P&amp;L'!$E131*Drivers!Q$115,
     $B23="Two-Installment (front-loaded)", 'P&amp;L'!$E131*Drivers!Q$116, $B23="Two-Installment (back-loaded)", 'P&amp;L'!$E131*Drivers!Q$117,
     $B23="Year Start Lump Sum", 'P&amp;L'!$E131*Drivers!Q$118,$B23="OSPI State Apportionment", 'P&amp;L'!$E131*Drivers!Q$119, $B23="Expense Reimbursement", 'P&amp;L'!$E131*Drivers!Q$120,
     $B23="Direct Monthly Input", 0)</f>
        <v>71984.51999999999</v>
      </c>
      <c r="O23" s="427" cm="1">
        <f t="array" ref="O23">_xlfn.IFS($B23="12-Month Smoothing", 'P&amp;L'!$E131*Drivers!R$113, $B23="10-Month Academic Calendar", 'P&amp;L'!$E131*Drivers!R$114, $B23="Quarterly Smoothing", 'P&amp;L'!$E131*Drivers!R$115,
     $B23="Two-Installment (front-loaded)", 'P&amp;L'!$E131*Drivers!R$116, $B23="Two-Installment (back-loaded)", 'P&amp;L'!$E131*Drivers!R$117,
     $B23="Year Start Lump Sum", 'P&amp;L'!$E131*Drivers!R$118,$B23="OSPI State Apportionment", 'P&amp;L'!$E131*Drivers!R$119, $B23="Expense Reimbursement", 'P&amp;L'!$E131*Drivers!R$120,
     $B23="Direct Monthly Input", 0)</f>
        <v>57587.615999999995</v>
      </c>
      <c r="P23" s="129">
        <f t="shared" si="3"/>
        <v>575876.16</v>
      </c>
      <c r="Q23" s="730"/>
      <c r="R23" s="537"/>
    </row>
    <row r="24" spans="1:18" s="538" customFormat="1" ht="17" thickBot="1">
      <c r="A24" s="734"/>
      <c r="B24" s="485" t="s">
        <v>1319</v>
      </c>
      <c r="C24" s="725" t="str">
        <f>'P&amp;L'!C132</f>
        <v>4155 - Learning Assistance Program (LAP)</v>
      </c>
      <c r="D24" s="421" cm="1">
        <f t="array" ref="D24">_xlfn.IFS($B24="12-Month Smoothing", 'P&amp;L'!$E132*Drivers!G$113, $B24="10-Month Academic Calendar", 'P&amp;L'!$E132*Drivers!G$114, $B24="Quarterly Smoothing", 'P&amp;L'!$E132*Drivers!G$115,
     $B24="Two-Installment (front-loaded)", 'P&amp;L'!$E132*Drivers!G$116, $B24="Two-Installment (back-loaded)", 'P&amp;L'!$E132*Drivers!G$117,
     $B24="Year Start Lump Sum", 'P&amp;L'!$E132*Drivers!G$118,$B24="OSPI State Apportionment", 'P&amp;L'!$E132*Drivers!G$119, $B24="Expense Reimbursement", 'P&amp;L'!$E132*Drivers!G$120,
     $B24="Direct Monthly Input", 0)</f>
        <v>8191.7999999999984</v>
      </c>
      <c r="E24" s="421" cm="1">
        <f t="array" ref="E24">_xlfn.IFS($B24="12-Month Smoothing", 'P&amp;L'!$E132*Drivers!H$113, $B24="10-Month Academic Calendar", 'P&amp;L'!$E132*Drivers!H$114, $B24="Quarterly Smoothing", 'P&amp;L'!$E132*Drivers!H$115,
     $B24="Two-Installment (front-loaded)", 'P&amp;L'!$E132*Drivers!H$116, $B24="Two-Installment (back-loaded)", 'P&amp;L'!$E132*Drivers!H$117,
     $B24="Year Start Lump Sum", 'P&amp;L'!$E132*Drivers!H$118,$B24="OSPI State Apportionment", 'P&amp;L'!$E132*Drivers!H$119, $B24="Expense Reimbursement", 'P&amp;L'!$E132*Drivers!H$120,
     $B24="Direct Monthly Input", 0)</f>
        <v>7281.5999999999985</v>
      </c>
      <c r="F24" s="421" cm="1">
        <f t="array" ref="F24">_xlfn.IFS($B24="12-Month Smoothing", 'P&amp;L'!$E132*Drivers!I$113, $B24="10-Month Academic Calendar", 'P&amp;L'!$E132*Drivers!I$114, $B24="Quarterly Smoothing", 'P&amp;L'!$E132*Drivers!I$115,
     $B24="Two-Installment (front-loaded)", 'P&amp;L'!$E132*Drivers!I$116, $B24="Two-Installment (back-loaded)", 'P&amp;L'!$E132*Drivers!I$117,
     $B24="Year Start Lump Sum", 'P&amp;L'!$E132*Drivers!I$118,$B24="OSPI State Apportionment", 'P&amp;L'!$E132*Drivers!I$119, $B24="Expense Reimbursement", 'P&amp;L'!$E132*Drivers!I$120,
     $B24="Direct Monthly Input", 0)</f>
        <v>4550.9999999999991</v>
      </c>
      <c r="G24" s="421" cm="1">
        <f t="array" ref="G24">_xlfn.IFS($B24="12-Month Smoothing", 'P&amp;L'!$E132*Drivers!J$113, $B24="10-Month Academic Calendar", 'P&amp;L'!$E132*Drivers!J$114, $B24="Quarterly Smoothing", 'P&amp;L'!$E132*Drivers!J$115,
     $B24="Two-Installment (front-loaded)", 'P&amp;L'!$E132*Drivers!J$116, $B24="Two-Installment (back-loaded)", 'P&amp;L'!$E132*Drivers!J$117,
     $B24="Year Start Lump Sum", 'P&amp;L'!$E132*Drivers!J$118,$B24="OSPI State Apportionment", 'P&amp;L'!$E132*Drivers!J$119, $B24="Expense Reimbursement", 'P&amp;L'!$E132*Drivers!J$120,
     $B24="Direct Monthly Input", 0)</f>
        <v>8191.7999999999984</v>
      </c>
      <c r="H24" s="421" cm="1">
        <f t="array" ref="H24">_xlfn.IFS($B24="12-Month Smoothing", 'P&amp;L'!$E132*Drivers!K$113, $B24="10-Month Academic Calendar", 'P&amp;L'!$E132*Drivers!K$114, $B24="Quarterly Smoothing", 'P&amp;L'!$E132*Drivers!K$115,
     $B24="Two-Installment (front-loaded)", 'P&amp;L'!$E132*Drivers!K$116, $B24="Two-Installment (back-loaded)", 'P&amp;L'!$E132*Drivers!K$117,
     $B24="Year Start Lump Sum", 'P&amp;L'!$E132*Drivers!K$118,$B24="OSPI State Apportionment", 'P&amp;L'!$E132*Drivers!K$119, $B24="Expense Reimbursement", 'P&amp;L'!$E132*Drivers!K$120,
     $B24="Direct Monthly Input", 0)</f>
        <v>7736.6999999999989</v>
      </c>
      <c r="I24" s="421" cm="1">
        <f t="array" ref="I24">_xlfn.IFS($B24="12-Month Smoothing", 'P&amp;L'!$E132*Drivers!L$113, $B24="10-Month Academic Calendar", 'P&amp;L'!$E132*Drivers!L$114, $B24="Quarterly Smoothing", 'P&amp;L'!$E132*Drivers!L$115,
     $B24="Two-Installment (front-loaded)", 'P&amp;L'!$E132*Drivers!L$116, $B24="Two-Installment (back-loaded)", 'P&amp;L'!$E132*Drivers!L$117,
     $B24="Year Start Lump Sum", 'P&amp;L'!$E132*Drivers!L$118,$B24="OSPI State Apportionment", 'P&amp;L'!$E132*Drivers!L$119, $B24="Expense Reimbursement", 'P&amp;L'!$E132*Drivers!L$120,
     $B24="Direct Monthly Input", 0)</f>
        <v>8191.7999999999984</v>
      </c>
      <c r="J24" s="421" cm="1">
        <f t="array" ref="J24">_xlfn.IFS($B24="12-Month Smoothing", 'P&amp;L'!$E132*Drivers!M$113, $B24="10-Month Academic Calendar", 'P&amp;L'!$E132*Drivers!M$114, $B24="Quarterly Smoothing", 'P&amp;L'!$E132*Drivers!M$115,
     $B24="Two-Installment (front-loaded)", 'P&amp;L'!$E132*Drivers!M$116, $B24="Two-Installment (back-loaded)", 'P&amp;L'!$E132*Drivers!M$117,
     $B24="Year Start Lump Sum", 'P&amp;L'!$E132*Drivers!M$118,$B24="OSPI State Apportionment", 'P&amp;L'!$E132*Drivers!M$119, $B24="Expense Reimbursement", 'P&amp;L'!$E132*Drivers!M$120,
     $B24="Direct Monthly Input", 0)</f>
        <v>8191.7999999999984</v>
      </c>
      <c r="K24" s="421" cm="1">
        <f t="array" ref="K24">_xlfn.IFS($B24="12-Month Smoothing", 'P&amp;L'!$E132*Drivers!N$113, $B24="10-Month Academic Calendar", 'P&amp;L'!$E132*Drivers!N$114, $B24="Quarterly Smoothing", 'P&amp;L'!$E132*Drivers!N$115,
     $B24="Two-Installment (front-loaded)", 'P&amp;L'!$E132*Drivers!N$116, $B24="Two-Installment (back-loaded)", 'P&amp;L'!$E132*Drivers!N$117,
     $B24="Year Start Lump Sum", 'P&amp;L'!$E132*Drivers!N$118,$B24="OSPI State Apportionment", 'P&amp;L'!$E132*Drivers!N$119, $B24="Expense Reimbursement", 'P&amp;L'!$E132*Drivers!N$120,
     $B24="Direct Monthly Input", 0)</f>
        <v>8191.7999999999984</v>
      </c>
      <c r="L24" s="421" cm="1">
        <f t="array" ref="L24">_xlfn.IFS($B24="12-Month Smoothing", 'P&amp;L'!$E132*Drivers!O$113, $B24="10-Month Academic Calendar", 'P&amp;L'!$E132*Drivers!O$114, $B24="Quarterly Smoothing", 'P&amp;L'!$E132*Drivers!O$115,
     $B24="Two-Installment (front-loaded)", 'P&amp;L'!$E132*Drivers!O$116, $B24="Two-Installment (back-loaded)", 'P&amp;L'!$E132*Drivers!O$117,
     $B24="Year Start Lump Sum", 'P&amp;L'!$E132*Drivers!O$118,$B24="OSPI State Apportionment", 'P&amp;L'!$E132*Drivers!O$119, $B24="Expense Reimbursement", 'P&amp;L'!$E132*Drivers!O$120,
     $B24="Direct Monthly Input", 0)</f>
        <v>4550.9999999999991</v>
      </c>
      <c r="M24" s="421" cm="1">
        <f t="array" ref="M24">_xlfn.IFS($B24="12-Month Smoothing", 'P&amp;L'!$E132*Drivers!P$113, $B24="10-Month Academic Calendar", 'P&amp;L'!$E132*Drivers!P$114, $B24="Quarterly Smoothing", 'P&amp;L'!$E132*Drivers!P$115,
     $B24="Two-Installment (front-loaded)", 'P&amp;L'!$E132*Drivers!P$116, $B24="Two-Installment (back-loaded)", 'P&amp;L'!$E132*Drivers!P$117,
     $B24="Year Start Lump Sum", 'P&amp;L'!$E132*Drivers!P$118,$B24="OSPI State Apportionment", 'P&amp;L'!$E132*Drivers!P$119, $B24="Expense Reimbursement", 'P&amp;L'!$E132*Drivers!P$120,
     $B24="Direct Monthly Input", 0)</f>
        <v>5461.1999999999989</v>
      </c>
      <c r="N24" s="421" cm="1">
        <f t="array" ref="N24">_xlfn.IFS($B24="12-Month Smoothing", 'P&amp;L'!$E132*Drivers!Q$113, $B24="10-Month Academic Calendar", 'P&amp;L'!$E132*Drivers!Q$114, $B24="Quarterly Smoothing", 'P&amp;L'!$E132*Drivers!Q$115,
     $B24="Two-Installment (front-loaded)", 'P&amp;L'!$E132*Drivers!Q$116, $B24="Two-Installment (back-loaded)", 'P&amp;L'!$E132*Drivers!Q$117,
     $B24="Year Start Lump Sum", 'P&amp;L'!$E132*Drivers!Q$118,$B24="OSPI State Apportionment", 'P&amp;L'!$E132*Drivers!Q$119, $B24="Expense Reimbursement", 'P&amp;L'!$E132*Drivers!Q$120,
     $B24="Direct Monthly Input", 0)</f>
        <v>11377.499999999998</v>
      </c>
      <c r="O24" s="427" cm="1">
        <f t="array" ref="O24">_xlfn.IFS($B24="12-Month Smoothing", 'P&amp;L'!$E132*Drivers!R$113, $B24="10-Month Academic Calendar", 'P&amp;L'!$E132*Drivers!R$114, $B24="Quarterly Smoothing", 'P&amp;L'!$E132*Drivers!R$115,
     $B24="Two-Installment (front-loaded)", 'P&amp;L'!$E132*Drivers!R$116, $B24="Two-Installment (back-loaded)", 'P&amp;L'!$E132*Drivers!R$117,
     $B24="Year Start Lump Sum", 'P&amp;L'!$E132*Drivers!R$118,$B24="OSPI State Apportionment", 'P&amp;L'!$E132*Drivers!R$119, $B24="Expense Reimbursement", 'P&amp;L'!$E132*Drivers!R$120,
     $B24="Direct Monthly Input", 0)</f>
        <v>9101.9999999999982</v>
      </c>
      <c r="P24" s="129">
        <f t="shared" si="3"/>
        <v>91019.999999999985</v>
      </c>
      <c r="Q24" s="730"/>
      <c r="R24" s="537"/>
    </row>
    <row r="25" spans="1:18" s="538" customFormat="1" ht="17" thickBot="1">
      <c r="A25" s="734"/>
      <c r="B25" s="485" t="s">
        <v>1319</v>
      </c>
      <c r="C25" s="725" t="str">
        <f>'P&amp;L'!C133</f>
        <v>4165 - Transitional Bilingual (TBIP)</v>
      </c>
      <c r="D25" s="421" cm="1">
        <f t="array" ref="D25">_xlfn.IFS($B25="12-Month Smoothing", 'P&amp;L'!$E133*Drivers!G$113, $B25="10-Month Academic Calendar", 'P&amp;L'!$E133*Drivers!G$114, $B25="Quarterly Smoothing", 'P&amp;L'!$E133*Drivers!G$115,
     $B25="Two-Installment (front-loaded)", 'P&amp;L'!$E133*Drivers!G$116, $B25="Two-Installment (back-loaded)", 'P&amp;L'!$E133*Drivers!G$117,
     $B25="Year Start Lump Sum", 'P&amp;L'!$E133*Drivers!G$118,$B25="OSPI State Apportionment", 'P&amp;L'!$E133*Drivers!G$119, $B25="Expense Reimbursement", 'P&amp;L'!$E133*Drivers!G$120,
     $B25="Direct Monthly Input", 0)</f>
        <v>532.46699999999987</v>
      </c>
      <c r="E25" s="421" cm="1">
        <f t="array" ref="E25">_xlfn.IFS($B25="12-Month Smoothing", 'P&amp;L'!$E133*Drivers!H$113, $B25="10-Month Academic Calendar", 'P&amp;L'!$E133*Drivers!H$114, $B25="Quarterly Smoothing", 'P&amp;L'!$E133*Drivers!H$115,
     $B25="Two-Installment (front-loaded)", 'P&amp;L'!$E133*Drivers!H$116, $B25="Two-Installment (back-loaded)", 'P&amp;L'!$E133*Drivers!H$117,
     $B25="Year Start Lump Sum", 'P&amp;L'!$E133*Drivers!H$118,$B25="OSPI State Apportionment", 'P&amp;L'!$E133*Drivers!H$119, $B25="Expense Reimbursement", 'P&amp;L'!$E133*Drivers!H$120,
     $B25="Direct Monthly Input", 0)</f>
        <v>473.30399999999997</v>
      </c>
      <c r="F25" s="421" cm="1">
        <f t="array" ref="F25">_xlfn.IFS($B25="12-Month Smoothing", 'P&amp;L'!$E133*Drivers!I$113, $B25="10-Month Academic Calendar", 'P&amp;L'!$E133*Drivers!I$114, $B25="Quarterly Smoothing", 'P&amp;L'!$E133*Drivers!I$115,
     $B25="Two-Installment (front-loaded)", 'P&amp;L'!$E133*Drivers!I$116, $B25="Two-Installment (back-loaded)", 'P&amp;L'!$E133*Drivers!I$117,
     $B25="Year Start Lump Sum", 'P&amp;L'!$E133*Drivers!I$118,$B25="OSPI State Apportionment", 'P&amp;L'!$E133*Drivers!I$119, $B25="Expense Reimbursement", 'P&amp;L'!$E133*Drivers!I$120,
     $B25="Direct Monthly Input", 0)</f>
        <v>295.815</v>
      </c>
      <c r="G25" s="421" cm="1">
        <f t="array" ref="G25">_xlfn.IFS($B25="12-Month Smoothing", 'P&amp;L'!$E133*Drivers!J$113, $B25="10-Month Academic Calendar", 'P&amp;L'!$E133*Drivers!J$114, $B25="Quarterly Smoothing", 'P&amp;L'!$E133*Drivers!J$115,
     $B25="Two-Installment (front-loaded)", 'P&amp;L'!$E133*Drivers!J$116, $B25="Two-Installment (back-loaded)", 'P&amp;L'!$E133*Drivers!J$117,
     $B25="Year Start Lump Sum", 'P&amp;L'!$E133*Drivers!J$118,$B25="OSPI State Apportionment", 'P&amp;L'!$E133*Drivers!J$119, $B25="Expense Reimbursement", 'P&amp;L'!$E133*Drivers!J$120,
     $B25="Direct Monthly Input", 0)</f>
        <v>532.46699999999987</v>
      </c>
      <c r="H25" s="421" cm="1">
        <f t="array" ref="H25">_xlfn.IFS($B25="12-Month Smoothing", 'P&amp;L'!$E133*Drivers!K$113, $B25="10-Month Academic Calendar", 'P&amp;L'!$E133*Drivers!K$114, $B25="Quarterly Smoothing", 'P&amp;L'!$E133*Drivers!K$115,
     $B25="Two-Installment (front-loaded)", 'P&amp;L'!$E133*Drivers!K$116, $B25="Two-Installment (back-loaded)", 'P&amp;L'!$E133*Drivers!K$117,
     $B25="Year Start Lump Sum", 'P&amp;L'!$E133*Drivers!K$118,$B25="OSPI State Apportionment", 'P&amp;L'!$E133*Drivers!K$119, $B25="Expense Reimbursement", 'P&amp;L'!$E133*Drivers!K$120,
     $B25="Direct Monthly Input", 0)</f>
        <v>502.88549999999998</v>
      </c>
      <c r="I25" s="421" cm="1">
        <f t="array" ref="I25">_xlfn.IFS($B25="12-Month Smoothing", 'P&amp;L'!$E133*Drivers!L$113, $B25="10-Month Academic Calendar", 'P&amp;L'!$E133*Drivers!L$114, $B25="Quarterly Smoothing", 'P&amp;L'!$E133*Drivers!L$115,
     $B25="Two-Installment (front-loaded)", 'P&amp;L'!$E133*Drivers!L$116, $B25="Two-Installment (back-loaded)", 'P&amp;L'!$E133*Drivers!L$117,
     $B25="Year Start Lump Sum", 'P&amp;L'!$E133*Drivers!L$118,$B25="OSPI State Apportionment", 'P&amp;L'!$E133*Drivers!L$119, $B25="Expense Reimbursement", 'P&amp;L'!$E133*Drivers!L$120,
     $B25="Direct Monthly Input", 0)</f>
        <v>532.46699999999987</v>
      </c>
      <c r="J25" s="421" cm="1">
        <f t="array" ref="J25">_xlfn.IFS($B25="12-Month Smoothing", 'P&amp;L'!$E133*Drivers!M$113, $B25="10-Month Academic Calendar", 'P&amp;L'!$E133*Drivers!M$114, $B25="Quarterly Smoothing", 'P&amp;L'!$E133*Drivers!M$115,
     $B25="Two-Installment (front-loaded)", 'P&amp;L'!$E133*Drivers!M$116, $B25="Two-Installment (back-loaded)", 'P&amp;L'!$E133*Drivers!M$117,
     $B25="Year Start Lump Sum", 'P&amp;L'!$E133*Drivers!M$118,$B25="OSPI State Apportionment", 'P&amp;L'!$E133*Drivers!M$119, $B25="Expense Reimbursement", 'P&amp;L'!$E133*Drivers!M$120,
     $B25="Direct Monthly Input", 0)</f>
        <v>532.46699999999987</v>
      </c>
      <c r="K25" s="421" cm="1">
        <f t="array" ref="K25">_xlfn.IFS($B25="12-Month Smoothing", 'P&amp;L'!$E133*Drivers!N$113, $B25="10-Month Academic Calendar", 'P&amp;L'!$E133*Drivers!N$114, $B25="Quarterly Smoothing", 'P&amp;L'!$E133*Drivers!N$115,
     $B25="Two-Installment (front-loaded)", 'P&amp;L'!$E133*Drivers!N$116, $B25="Two-Installment (back-loaded)", 'P&amp;L'!$E133*Drivers!N$117,
     $B25="Year Start Lump Sum", 'P&amp;L'!$E133*Drivers!N$118,$B25="OSPI State Apportionment", 'P&amp;L'!$E133*Drivers!N$119, $B25="Expense Reimbursement", 'P&amp;L'!$E133*Drivers!N$120,
     $B25="Direct Monthly Input", 0)</f>
        <v>532.46699999999987</v>
      </c>
      <c r="L25" s="421" cm="1">
        <f t="array" ref="L25">_xlfn.IFS($B25="12-Month Smoothing", 'P&amp;L'!$E133*Drivers!O$113, $B25="10-Month Academic Calendar", 'P&amp;L'!$E133*Drivers!O$114, $B25="Quarterly Smoothing", 'P&amp;L'!$E133*Drivers!O$115,
     $B25="Two-Installment (front-loaded)", 'P&amp;L'!$E133*Drivers!O$116, $B25="Two-Installment (back-loaded)", 'P&amp;L'!$E133*Drivers!O$117,
     $B25="Year Start Lump Sum", 'P&amp;L'!$E133*Drivers!O$118,$B25="OSPI State Apportionment", 'P&amp;L'!$E133*Drivers!O$119, $B25="Expense Reimbursement", 'P&amp;L'!$E133*Drivers!O$120,
     $B25="Direct Monthly Input", 0)</f>
        <v>295.815</v>
      </c>
      <c r="M25" s="421" cm="1">
        <f t="array" ref="M25">_xlfn.IFS($B25="12-Month Smoothing", 'P&amp;L'!$E133*Drivers!P$113, $B25="10-Month Academic Calendar", 'P&amp;L'!$E133*Drivers!P$114, $B25="Quarterly Smoothing", 'P&amp;L'!$E133*Drivers!P$115,
     $B25="Two-Installment (front-loaded)", 'P&amp;L'!$E133*Drivers!P$116, $B25="Two-Installment (back-loaded)", 'P&amp;L'!$E133*Drivers!P$117,
     $B25="Year Start Lump Sum", 'P&amp;L'!$E133*Drivers!P$118,$B25="OSPI State Apportionment", 'P&amp;L'!$E133*Drivers!P$119, $B25="Expense Reimbursement", 'P&amp;L'!$E133*Drivers!P$120,
     $B25="Direct Monthly Input", 0)</f>
        <v>354.97799999999995</v>
      </c>
      <c r="N25" s="421" cm="1">
        <f t="array" ref="N25">_xlfn.IFS($B25="12-Month Smoothing", 'P&amp;L'!$E133*Drivers!Q$113, $B25="10-Month Academic Calendar", 'P&amp;L'!$E133*Drivers!Q$114, $B25="Quarterly Smoothing", 'P&amp;L'!$E133*Drivers!Q$115,
     $B25="Two-Installment (front-loaded)", 'P&amp;L'!$E133*Drivers!Q$116, $B25="Two-Installment (back-loaded)", 'P&amp;L'!$E133*Drivers!Q$117,
     $B25="Year Start Lump Sum", 'P&amp;L'!$E133*Drivers!Q$118,$B25="OSPI State Apportionment", 'P&amp;L'!$E133*Drivers!Q$119, $B25="Expense Reimbursement", 'P&amp;L'!$E133*Drivers!Q$120,
     $B25="Direct Monthly Input", 0)</f>
        <v>739.53749999999991</v>
      </c>
      <c r="O25" s="427" cm="1">
        <f t="array" ref="O25">_xlfn.IFS($B25="12-Month Smoothing", 'P&amp;L'!$E133*Drivers!R$113, $B25="10-Month Academic Calendar", 'P&amp;L'!$E133*Drivers!R$114, $B25="Quarterly Smoothing", 'P&amp;L'!$E133*Drivers!R$115,
     $B25="Two-Installment (front-loaded)", 'P&amp;L'!$E133*Drivers!R$116, $B25="Two-Installment (back-loaded)", 'P&amp;L'!$E133*Drivers!R$117,
     $B25="Year Start Lump Sum", 'P&amp;L'!$E133*Drivers!R$118,$B25="OSPI State Apportionment", 'P&amp;L'!$E133*Drivers!R$119, $B25="Expense Reimbursement", 'P&amp;L'!$E133*Drivers!R$120,
     $B25="Direct Monthly Input", 0)</f>
        <v>591.63</v>
      </c>
      <c r="P25" s="129">
        <f t="shared" si="3"/>
        <v>5916.2999999999984</v>
      </c>
      <c r="Q25" s="730"/>
      <c r="R25" s="537"/>
    </row>
    <row r="26" spans="1:18" s="538" customFormat="1" ht="17" thickBot="1">
      <c r="A26" s="734"/>
      <c r="B26" s="485" t="s">
        <v>1319</v>
      </c>
      <c r="C26" s="725" t="str">
        <f>'P&amp;L'!C134</f>
        <v xml:space="preserve">4174 - Highly Capable      </v>
      </c>
      <c r="D26" s="421" cm="1">
        <f t="array" ref="D26">_xlfn.IFS($B26="12-Month Smoothing", 'P&amp;L'!$E134*Drivers!G$113, $B26="10-Month Academic Calendar", 'P&amp;L'!$E134*Drivers!G$114, $B26="Quarterly Smoothing", 'P&amp;L'!$E134*Drivers!G$115,
     $B26="Two-Installment (front-loaded)", 'P&amp;L'!$E134*Drivers!G$116, $B26="Two-Installment (back-loaded)", 'P&amp;L'!$E134*Drivers!G$117,
     $B26="Year Start Lump Sum", 'P&amp;L'!$E134*Drivers!G$118,$B26="OSPI State Apportionment", 'P&amp;L'!$E134*Drivers!G$119, $B26="Expense Reimbursement", 'P&amp;L'!$E134*Drivers!G$120,
     $B26="Direct Monthly Input", 0)</f>
        <v>708.4799999999999</v>
      </c>
      <c r="E26" s="421" cm="1">
        <f t="array" ref="E26">_xlfn.IFS($B26="12-Month Smoothing", 'P&amp;L'!$E134*Drivers!H$113, $B26="10-Month Academic Calendar", 'P&amp;L'!$E134*Drivers!H$114, $B26="Quarterly Smoothing", 'P&amp;L'!$E134*Drivers!H$115,
     $B26="Two-Installment (front-loaded)", 'P&amp;L'!$E134*Drivers!H$116, $B26="Two-Installment (back-loaded)", 'P&amp;L'!$E134*Drivers!H$117,
     $B26="Year Start Lump Sum", 'P&amp;L'!$E134*Drivers!H$118,$B26="OSPI State Apportionment", 'P&amp;L'!$E134*Drivers!H$119, $B26="Expense Reimbursement", 'P&amp;L'!$E134*Drivers!H$120,
     $B26="Direct Monthly Input", 0)</f>
        <v>629.76</v>
      </c>
      <c r="F26" s="421" cm="1">
        <f t="array" ref="F26">_xlfn.IFS($B26="12-Month Smoothing", 'P&amp;L'!$E134*Drivers!I$113, $B26="10-Month Academic Calendar", 'P&amp;L'!$E134*Drivers!I$114, $B26="Quarterly Smoothing", 'P&amp;L'!$E134*Drivers!I$115,
     $B26="Two-Installment (front-loaded)", 'P&amp;L'!$E134*Drivers!I$116, $B26="Two-Installment (back-loaded)", 'P&amp;L'!$E134*Drivers!I$117,
     $B26="Year Start Lump Sum", 'P&amp;L'!$E134*Drivers!I$118,$B26="OSPI State Apportionment", 'P&amp;L'!$E134*Drivers!I$119, $B26="Expense Reimbursement", 'P&amp;L'!$E134*Drivers!I$120,
     $B26="Direct Monthly Input", 0)</f>
        <v>393.59999999999997</v>
      </c>
      <c r="G26" s="421" cm="1">
        <f t="array" ref="G26">_xlfn.IFS($B26="12-Month Smoothing", 'P&amp;L'!$E134*Drivers!J$113, $B26="10-Month Academic Calendar", 'P&amp;L'!$E134*Drivers!J$114, $B26="Quarterly Smoothing", 'P&amp;L'!$E134*Drivers!J$115,
     $B26="Two-Installment (front-loaded)", 'P&amp;L'!$E134*Drivers!J$116, $B26="Two-Installment (back-loaded)", 'P&amp;L'!$E134*Drivers!J$117,
     $B26="Year Start Lump Sum", 'P&amp;L'!$E134*Drivers!J$118,$B26="OSPI State Apportionment", 'P&amp;L'!$E134*Drivers!J$119, $B26="Expense Reimbursement", 'P&amp;L'!$E134*Drivers!J$120,
     $B26="Direct Monthly Input", 0)</f>
        <v>708.4799999999999</v>
      </c>
      <c r="H26" s="421" cm="1">
        <f t="array" ref="H26">_xlfn.IFS($B26="12-Month Smoothing", 'P&amp;L'!$E134*Drivers!K$113, $B26="10-Month Academic Calendar", 'P&amp;L'!$E134*Drivers!K$114, $B26="Quarterly Smoothing", 'P&amp;L'!$E134*Drivers!K$115,
     $B26="Two-Installment (front-loaded)", 'P&amp;L'!$E134*Drivers!K$116, $B26="Two-Installment (back-loaded)", 'P&amp;L'!$E134*Drivers!K$117,
     $B26="Year Start Lump Sum", 'P&amp;L'!$E134*Drivers!K$118,$B26="OSPI State Apportionment", 'P&amp;L'!$E134*Drivers!K$119, $B26="Expense Reimbursement", 'P&amp;L'!$E134*Drivers!K$120,
     $B26="Direct Monthly Input", 0)</f>
        <v>669.12</v>
      </c>
      <c r="I26" s="421" cm="1">
        <f t="array" ref="I26">_xlfn.IFS($B26="12-Month Smoothing", 'P&amp;L'!$E134*Drivers!L$113, $B26="10-Month Academic Calendar", 'P&amp;L'!$E134*Drivers!L$114, $B26="Quarterly Smoothing", 'P&amp;L'!$E134*Drivers!L$115,
     $B26="Two-Installment (front-loaded)", 'P&amp;L'!$E134*Drivers!L$116, $B26="Two-Installment (back-loaded)", 'P&amp;L'!$E134*Drivers!L$117,
     $B26="Year Start Lump Sum", 'P&amp;L'!$E134*Drivers!L$118,$B26="OSPI State Apportionment", 'P&amp;L'!$E134*Drivers!L$119, $B26="Expense Reimbursement", 'P&amp;L'!$E134*Drivers!L$120,
     $B26="Direct Monthly Input", 0)</f>
        <v>708.4799999999999</v>
      </c>
      <c r="J26" s="421" cm="1">
        <f t="array" ref="J26">_xlfn.IFS($B26="12-Month Smoothing", 'P&amp;L'!$E134*Drivers!M$113, $B26="10-Month Academic Calendar", 'P&amp;L'!$E134*Drivers!M$114, $B26="Quarterly Smoothing", 'P&amp;L'!$E134*Drivers!M$115,
     $B26="Two-Installment (front-loaded)", 'P&amp;L'!$E134*Drivers!M$116, $B26="Two-Installment (back-loaded)", 'P&amp;L'!$E134*Drivers!M$117,
     $B26="Year Start Lump Sum", 'P&amp;L'!$E134*Drivers!M$118,$B26="OSPI State Apportionment", 'P&amp;L'!$E134*Drivers!M$119, $B26="Expense Reimbursement", 'P&amp;L'!$E134*Drivers!M$120,
     $B26="Direct Monthly Input", 0)</f>
        <v>708.4799999999999</v>
      </c>
      <c r="K26" s="421" cm="1">
        <f t="array" ref="K26">_xlfn.IFS($B26="12-Month Smoothing", 'P&amp;L'!$E134*Drivers!N$113, $B26="10-Month Academic Calendar", 'P&amp;L'!$E134*Drivers!N$114, $B26="Quarterly Smoothing", 'P&amp;L'!$E134*Drivers!N$115,
     $B26="Two-Installment (front-loaded)", 'P&amp;L'!$E134*Drivers!N$116, $B26="Two-Installment (back-loaded)", 'P&amp;L'!$E134*Drivers!N$117,
     $B26="Year Start Lump Sum", 'P&amp;L'!$E134*Drivers!N$118,$B26="OSPI State Apportionment", 'P&amp;L'!$E134*Drivers!N$119, $B26="Expense Reimbursement", 'P&amp;L'!$E134*Drivers!N$120,
     $B26="Direct Monthly Input", 0)</f>
        <v>708.4799999999999</v>
      </c>
      <c r="L26" s="421" cm="1">
        <f t="array" ref="L26">_xlfn.IFS($B26="12-Month Smoothing", 'P&amp;L'!$E134*Drivers!O$113, $B26="10-Month Academic Calendar", 'P&amp;L'!$E134*Drivers!O$114, $B26="Quarterly Smoothing", 'P&amp;L'!$E134*Drivers!O$115,
     $B26="Two-Installment (front-loaded)", 'P&amp;L'!$E134*Drivers!O$116, $B26="Two-Installment (back-loaded)", 'P&amp;L'!$E134*Drivers!O$117,
     $B26="Year Start Lump Sum", 'P&amp;L'!$E134*Drivers!O$118,$B26="OSPI State Apportionment", 'P&amp;L'!$E134*Drivers!O$119, $B26="Expense Reimbursement", 'P&amp;L'!$E134*Drivers!O$120,
     $B26="Direct Monthly Input", 0)</f>
        <v>393.59999999999997</v>
      </c>
      <c r="M26" s="421" cm="1">
        <f t="array" ref="M26">_xlfn.IFS($B26="12-Month Smoothing", 'P&amp;L'!$E134*Drivers!P$113, $B26="10-Month Academic Calendar", 'P&amp;L'!$E134*Drivers!P$114, $B26="Quarterly Smoothing", 'P&amp;L'!$E134*Drivers!P$115,
     $B26="Two-Installment (front-loaded)", 'P&amp;L'!$E134*Drivers!P$116, $B26="Two-Installment (back-loaded)", 'P&amp;L'!$E134*Drivers!P$117,
     $B26="Year Start Lump Sum", 'P&amp;L'!$E134*Drivers!P$118,$B26="OSPI State Apportionment", 'P&amp;L'!$E134*Drivers!P$119, $B26="Expense Reimbursement", 'P&amp;L'!$E134*Drivers!P$120,
     $B26="Direct Monthly Input", 0)</f>
        <v>472.31999999999994</v>
      </c>
      <c r="N26" s="421" cm="1">
        <f t="array" ref="N26">_xlfn.IFS($B26="12-Month Smoothing", 'P&amp;L'!$E134*Drivers!Q$113, $B26="10-Month Academic Calendar", 'P&amp;L'!$E134*Drivers!Q$114, $B26="Quarterly Smoothing", 'P&amp;L'!$E134*Drivers!Q$115,
     $B26="Two-Installment (front-loaded)", 'P&amp;L'!$E134*Drivers!Q$116, $B26="Two-Installment (back-loaded)", 'P&amp;L'!$E134*Drivers!Q$117,
     $B26="Year Start Lump Sum", 'P&amp;L'!$E134*Drivers!Q$118,$B26="OSPI State Apportionment", 'P&amp;L'!$E134*Drivers!Q$119, $B26="Expense Reimbursement", 'P&amp;L'!$E134*Drivers!Q$120,
     $B26="Direct Monthly Input", 0)</f>
        <v>983.99999999999989</v>
      </c>
      <c r="O26" s="427" cm="1">
        <f t="array" ref="O26">_xlfn.IFS($B26="12-Month Smoothing", 'P&amp;L'!$E134*Drivers!R$113, $B26="10-Month Academic Calendar", 'P&amp;L'!$E134*Drivers!R$114, $B26="Quarterly Smoothing", 'P&amp;L'!$E134*Drivers!R$115,
     $B26="Two-Installment (front-loaded)", 'P&amp;L'!$E134*Drivers!R$116, $B26="Two-Installment (back-loaded)", 'P&amp;L'!$E134*Drivers!R$117,
     $B26="Year Start Lump Sum", 'P&amp;L'!$E134*Drivers!R$118,$B26="OSPI State Apportionment", 'P&amp;L'!$E134*Drivers!R$119, $B26="Expense Reimbursement", 'P&amp;L'!$E134*Drivers!R$120,
     $B26="Direct Monthly Input", 0)</f>
        <v>787.19999999999993</v>
      </c>
      <c r="P26" s="129">
        <f t="shared" si="3"/>
        <v>7871.9999999999991</v>
      </c>
      <c r="Q26" s="730"/>
      <c r="R26" s="537"/>
    </row>
    <row r="27" spans="1:18" s="538" customFormat="1" ht="17" thickBot="1">
      <c r="A27" s="734"/>
      <c r="B27" s="485" t="s">
        <v>1319</v>
      </c>
      <c r="C27" s="725" t="str">
        <f>'P&amp;L'!C135</f>
        <v xml:space="preserve">4198 - School Food Service      </v>
      </c>
      <c r="D27" s="421" cm="1">
        <f t="array" ref="D27">_xlfn.IFS($B27="12-Month Smoothing", 'P&amp;L'!$E135*Drivers!G$113, $B27="10-Month Academic Calendar", 'P&amp;L'!$E135*Drivers!G$114, $B27="Quarterly Smoothing", 'P&amp;L'!$E135*Drivers!G$115,
     $B27="Two-Installment (front-loaded)", 'P&amp;L'!$E135*Drivers!G$116, $B27="Two-Installment (back-loaded)", 'P&amp;L'!$E135*Drivers!G$117,
     $B27="Year Start Lump Sum", 'P&amp;L'!$E135*Drivers!G$118,$B27="OSPI State Apportionment", 'P&amp;L'!$E135*Drivers!G$119, $B27="Expense Reimbursement", 'P&amp;L'!$E135*Drivers!G$120,
     $B27="Direct Monthly Input", 0)</f>
        <v>509.21999999999997</v>
      </c>
      <c r="E27" s="421" cm="1">
        <f t="array" ref="E27">_xlfn.IFS($B27="12-Month Smoothing", 'P&amp;L'!$E135*Drivers!H$113, $B27="10-Month Academic Calendar", 'P&amp;L'!$E135*Drivers!H$114, $B27="Quarterly Smoothing", 'P&amp;L'!$E135*Drivers!H$115,
     $B27="Two-Installment (front-loaded)", 'P&amp;L'!$E135*Drivers!H$116, $B27="Two-Installment (back-loaded)", 'P&amp;L'!$E135*Drivers!H$117,
     $B27="Year Start Lump Sum", 'P&amp;L'!$E135*Drivers!H$118,$B27="OSPI State Apportionment", 'P&amp;L'!$E135*Drivers!H$119, $B27="Expense Reimbursement", 'P&amp;L'!$E135*Drivers!H$120,
     $B27="Direct Monthly Input", 0)</f>
        <v>452.64</v>
      </c>
      <c r="F27" s="421" cm="1">
        <f t="array" ref="F27">_xlfn.IFS($B27="12-Month Smoothing", 'P&amp;L'!$E135*Drivers!I$113, $B27="10-Month Academic Calendar", 'P&amp;L'!$E135*Drivers!I$114, $B27="Quarterly Smoothing", 'P&amp;L'!$E135*Drivers!I$115,
     $B27="Two-Installment (front-loaded)", 'P&amp;L'!$E135*Drivers!I$116, $B27="Two-Installment (back-loaded)", 'P&amp;L'!$E135*Drivers!I$117,
     $B27="Year Start Lump Sum", 'P&amp;L'!$E135*Drivers!I$118,$B27="OSPI State Apportionment", 'P&amp;L'!$E135*Drivers!I$119, $B27="Expense Reimbursement", 'P&amp;L'!$E135*Drivers!I$120,
     $B27="Direct Monthly Input", 0)</f>
        <v>282.90000000000003</v>
      </c>
      <c r="G27" s="421" cm="1">
        <f t="array" ref="G27">_xlfn.IFS($B27="12-Month Smoothing", 'P&amp;L'!$E135*Drivers!J$113, $B27="10-Month Academic Calendar", 'P&amp;L'!$E135*Drivers!J$114, $B27="Quarterly Smoothing", 'P&amp;L'!$E135*Drivers!J$115,
     $B27="Two-Installment (front-loaded)", 'P&amp;L'!$E135*Drivers!J$116, $B27="Two-Installment (back-loaded)", 'P&amp;L'!$E135*Drivers!J$117,
     $B27="Year Start Lump Sum", 'P&amp;L'!$E135*Drivers!J$118,$B27="OSPI State Apportionment", 'P&amp;L'!$E135*Drivers!J$119, $B27="Expense Reimbursement", 'P&amp;L'!$E135*Drivers!J$120,
     $B27="Direct Monthly Input", 0)</f>
        <v>509.21999999999997</v>
      </c>
      <c r="H27" s="421" cm="1">
        <f t="array" ref="H27">_xlfn.IFS($B27="12-Month Smoothing", 'P&amp;L'!$E135*Drivers!K$113, $B27="10-Month Academic Calendar", 'P&amp;L'!$E135*Drivers!K$114, $B27="Quarterly Smoothing", 'P&amp;L'!$E135*Drivers!K$115,
     $B27="Two-Installment (front-loaded)", 'P&amp;L'!$E135*Drivers!K$116, $B27="Two-Installment (back-loaded)", 'P&amp;L'!$E135*Drivers!K$117,
     $B27="Year Start Lump Sum", 'P&amp;L'!$E135*Drivers!K$118,$B27="OSPI State Apportionment", 'P&amp;L'!$E135*Drivers!K$119, $B27="Expense Reimbursement", 'P&amp;L'!$E135*Drivers!K$120,
     $B27="Direct Monthly Input", 0)</f>
        <v>480.93</v>
      </c>
      <c r="I27" s="421" cm="1">
        <f t="array" ref="I27">_xlfn.IFS($B27="12-Month Smoothing", 'P&amp;L'!$E135*Drivers!L$113, $B27="10-Month Academic Calendar", 'P&amp;L'!$E135*Drivers!L$114, $B27="Quarterly Smoothing", 'P&amp;L'!$E135*Drivers!L$115,
     $B27="Two-Installment (front-loaded)", 'P&amp;L'!$E135*Drivers!L$116, $B27="Two-Installment (back-loaded)", 'P&amp;L'!$E135*Drivers!L$117,
     $B27="Year Start Lump Sum", 'P&amp;L'!$E135*Drivers!L$118,$B27="OSPI State Apportionment", 'P&amp;L'!$E135*Drivers!L$119, $B27="Expense Reimbursement", 'P&amp;L'!$E135*Drivers!L$120,
     $B27="Direct Monthly Input", 0)</f>
        <v>509.21999999999997</v>
      </c>
      <c r="J27" s="421" cm="1">
        <f t="array" ref="J27">_xlfn.IFS($B27="12-Month Smoothing", 'P&amp;L'!$E135*Drivers!M$113, $B27="10-Month Academic Calendar", 'P&amp;L'!$E135*Drivers!M$114, $B27="Quarterly Smoothing", 'P&amp;L'!$E135*Drivers!M$115,
     $B27="Two-Installment (front-loaded)", 'P&amp;L'!$E135*Drivers!M$116, $B27="Two-Installment (back-loaded)", 'P&amp;L'!$E135*Drivers!M$117,
     $B27="Year Start Lump Sum", 'P&amp;L'!$E135*Drivers!M$118,$B27="OSPI State Apportionment", 'P&amp;L'!$E135*Drivers!M$119, $B27="Expense Reimbursement", 'P&amp;L'!$E135*Drivers!M$120,
     $B27="Direct Monthly Input", 0)</f>
        <v>509.21999999999997</v>
      </c>
      <c r="K27" s="421" cm="1">
        <f t="array" ref="K27">_xlfn.IFS($B27="12-Month Smoothing", 'P&amp;L'!$E135*Drivers!N$113, $B27="10-Month Academic Calendar", 'P&amp;L'!$E135*Drivers!N$114, $B27="Quarterly Smoothing", 'P&amp;L'!$E135*Drivers!N$115,
     $B27="Two-Installment (front-loaded)", 'P&amp;L'!$E135*Drivers!N$116, $B27="Two-Installment (back-loaded)", 'P&amp;L'!$E135*Drivers!N$117,
     $B27="Year Start Lump Sum", 'P&amp;L'!$E135*Drivers!N$118,$B27="OSPI State Apportionment", 'P&amp;L'!$E135*Drivers!N$119, $B27="Expense Reimbursement", 'P&amp;L'!$E135*Drivers!N$120,
     $B27="Direct Monthly Input", 0)</f>
        <v>509.21999999999997</v>
      </c>
      <c r="L27" s="421" cm="1">
        <f t="array" ref="L27">_xlfn.IFS($B27="12-Month Smoothing", 'P&amp;L'!$E135*Drivers!O$113, $B27="10-Month Academic Calendar", 'P&amp;L'!$E135*Drivers!O$114, $B27="Quarterly Smoothing", 'P&amp;L'!$E135*Drivers!O$115,
     $B27="Two-Installment (front-loaded)", 'P&amp;L'!$E135*Drivers!O$116, $B27="Two-Installment (back-loaded)", 'P&amp;L'!$E135*Drivers!O$117,
     $B27="Year Start Lump Sum", 'P&amp;L'!$E135*Drivers!O$118,$B27="OSPI State Apportionment", 'P&amp;L'!$E135*Drivers!O$119, $B27="Expense Reimbursement", 'P&amp;L'!$E135*Drivers!O$120,
     $B27="Direct Monthly Input", 0)</f>
        <v>282.90000000000003</v>
      </c>
      <c r="M27" s="421" cm="1">
        <f t="array" ref="M27">_xlfn.IFS($B27="12-Month Smoothing", 'P&amp;L'!$E135*Drivers!P$113, $B27="10-Month Academic Calendar", 'P&amp;L'!$E135*Drivers!P$114, $B27="Quarterly Smoothing", 'P&amp;L'!$E135*Drivers!P$115,
     $B27="Two-Installment (front-loaded)", 'P&amp;L'!$E135*Drivers!P$116, $B27="Two-Installment (back-loaded)", 'P&amp;L'!$E135*Drivers!P$117,
     $B27="Year Start Lump Sum", 'P&amp;L'!$E135*Drivers!P$118,$B27="OSPI State Apportionment", 'P&amp;L'!$E135*Drivers!P$119, $B27="Expense Reimbursement", 'P&amp;L'!$E135*Drivers!P$120,
     $B27="Direct Monthly Input", 0)</f>
        <v>339.47999999999996</v>
      </c>
      <c r="N27" s="421" cm="1">
        <f t="array" ref="N27">_xlfn.IFS($B27="12-Month Smoothing", 'P&amp;L'!$E135*Drivers!Q$113, $B27="10-Month Academic Calendar", 'P&amp;L'!$E135*Drivers!Q$114, $B27="Quarterly Smoothing", 'P&amp;L'!$E135*Drivers!Q$115,
     $B27="Two-Installment (front-loaded)", 'P&amp;L'!$E135*Drivers!Q$116, $B27="Two-Installment (back-loaded)", 'P&amp;L'!$E135*Drivers!Q$117,
     $B27="Year Start Lump Sum", 'P&amp;L'!$E135*Drivers!Q$118,$B27="OSPI State Apportionment", 'P&amp;L'!$E135*Drivers!Q$119, $B27="Expense Reimbursement", 'P&amp;L'!$E135*Drivers!Q$120,
     $B27="Direct Monthly Input", 0)</f>
        <v>707.25</v>
      </c>
      <c r="O27" s="427" cm="1">
        <f t="array" ref="O27">_xlfn.IFS($B27="12-Month Smoothing", 'P&amp;L'!$E135*Drivers!R$113, $B27="10-Month Academic Calendar", 'P&amp;L'!$E135*Drivers!R$114, $B27="Quarterly Smoothing", 'P&amp;L'!$E135*Drivers!R$115,
     $B27="Two-Installment (front-loaded)", 'P&amp;L'!$E135*Drivers!R$116, $B27="Two-Installment (back-loaded)", 'P&amp;L'!$E135*Drivers!R$117,
     $B27="Year Start Lump Sum", 'P&amp;L'!$E135*Drivers!R$118,$B27="OSPI State Apportionment", 'P&amp;L'!$E135*Drivers!R$119, $B27="Expense Reimbursement", 'P&amp;L'!$E135*Drivers!R$120,
     $B27="Direct Monthly Input", 0)</f>
        <v>565.80000000000007</v>
      </c>
      <c r="P27" s="129">
        <f t="shared" si="3"/>
        <v>5657.9999999999991</v>
      </c>
      <c r="Q27" s="730"/>
      <c r="R27" s="537"/>
    </row>
    <row r="28" spans="1:18" s="538" customFormat="1" ht="17" thickBot="1">
      <c r="A28" s="734"/>
      <c r="B28" s="485" t="s">
        <v>1319</v>
      </c>
      <c r="C28" s="725" t="str">
        <f>'P&amp;L'!C136</f>
        <v>4199 - Transportation - Operations</v>
      </c>
      <c r="D28" s="421" cm="1">
        <f t="array" ref="D28">_xlfn.IFS($B28="12-Month Smoothing", 'P&amp;L'!$E136*Drivers!G$113, $B28="10-Month Academic Calendar", 'P&amp;L'!$E136*Drivers!G$114, $B28="Quarterly Smoothing", 'P&amp;L'!$E136*Drivers!G$115,
     $B28="Two-Installment (front-loaded)", 'P&amp;L'!$E136*Drivers!G$116, $B28="Two-Installment (back-loaded)", 'P&amp;L'!$E136*Drivers!G$117,
     $B28="Year Start Lump Sum", 'P&amp;L'!$E136*Drivers!G$118,$B28="OSPI State Apportionment", 'P&amp;L'!$E136*Drivers!G$119, $B28="Expense Reimbursement", 'P&amp;L'!$E136*Drivers!G$120,
     $B28="Direct Monthly Input", 0)</f>
        <v>13173.3</v>
      </c>
      <c r="E28" s="421" cm="1">
        <f t="array" ref="E28">_xlfn.IFS($B28="12-Month Smoothing", 'P&amp;L'!$E136*Drivers!H$113, $B28="10-Month Academic Calendar", 'P&amp;L'!$E136*Drivers!H$114, $B28="Quarterly Smoothing", 'P&amp;L'!$E136*Drivers!H$115,
     $B28="Two-Installment (front-loaded)", 'P&amp;L'!$E136*Drivers!H$116, $B28="Two-Installment (back-loaded)", 'P&amp;L'!$E136*Drivers!H$117,
     $B28="Year Start Lump Sum", 'P&amp;L'!$E136*Drivers!H$118,$B28="OSPI State Apportionment", 'P&amp;L'!$E136*Drivers!H$119, $B28="Expense Reimbursement", 'P&amp;L'!$E136*Drivers!H$120,
     $B28="Direct Monthly Input", 0)</f>
        <v>11709.6</v>
      </c>
      <c r="F28" s="421" cm="1">
        <f t="array" ref="F28">_xlfn.IFS($B28="12-Month Smoothing", 'P&amp;L'!$E136*Drivers!I$113, $B28="10-Month Academic Calendar", 'P&amp;L'!$E136*Drivers!I$114, $B28="Quarterly Smoothing", 'P&amp;L'!$E136*Drivers!I$115,
     $B28="Two-Installment (front-loaded)", 'P&amp;L'!$E136*Drivers!I$116, $B28="Two-Installment (back-loaded)", 'P&amp;L'!$E136*Drivers!I$117,
     $B28="Year Start Lump Sum", 'P&amp;L'!$E136*Drivers!I$118,$B28="OSPI State Apportionment", 'P&amp;L'!$E136*Drivers!I$119, $B28="Expense Reimbursement", 'P&amp;L'!$E136*Drivers!I$120,
     $B28="Direct Monthly Input", 0)</f>
        <v>7318.5</v>
      </c>
      <c r="G28" s="421" cm="1">
        <f t="array" ref="G28">_xlfn.IFS($B28="12-Month Smoothing", 'P&amp;L'!$E136*Drivers!J$113, $B28="10-Month Academic Calendar", 'P&amp;L'!$E136*Drivers!J$114, $B28="Quarterly Smoothing", 'P&amp;L'!$E136*Drivers!J$115,
     $B28="Two-Installment (front-loaded)", 'P&amp;L'!$E136*Drivers!J$116, $B28="Two-Installment (back-loaded)", 'P&amp;L'!$E136*Drivers!J$117,
     $B28="Year Start Lump Sum", 'P&amp;L'!$E136*Drivers!J$118,$B28="OSPI State Apportionment", 'P&amp;L'!$E136*Drivers!J$119, $B28="Expense Reimbursement", 'P&amp;L'!$E136*Drivers!J$120,
     $B28="Direct Monthly Input", 0)</f>
        <v>13173.3</v>
      </c>
      <c r="H28" s="421" cm="1">
        <f t="array" ref="H28">_xlfn.IFS($B28="12-Month Smoothing", 'P&amp;L'!$E136*Drivers!K$113, $B28="10-Month Academic Calendar", 'P&amp;L'!$E136*Drivers!K$114, $B28="Quarterly Smoothing", 'P&amp;L'!$E136*Drivers!K$115,
     $B28="Two-Installment (front-loaded)", 'P&amp;L'!$E136*Drivers!K$116, $B28="Two-Installment (back-loaded)", 'P&amp;L'!$E136*Drivers!K$117,
     $B28="Year Start Lump Sum", 'P&amp;L'!$E136*Drivers!K$118,$B28="OSPI State Apportionment", 'P&amp;L'!$E136*Drivers!K$119, $B28="Expense Reimbursement", 'P&amp;L'!$E136*Drivers!K$120,
     $B28="Direct Monthly Input", 0)</f>
        <v>12441.45</v>
      </c>
      <c r="I28" s="421" cm="1">
        <f t="array" ref="I28">_xlfn.IFS($B28="12-Month Smoothing", 'P&amp;L'!$E136*Drivers!L$113, $B28="10-Month Academic Calendar", 'P&amp;L'!$E136*Drivers!L$114, $B28="Quarterly Smoothing", 'P&amp;L'!$E136*Drivers!L$115,
     $B28="Two-Installment (front-loaded)", 'P&amp;L'!$E136*Drivers!L$116, $B28="Two-Installment (back-loaded)", 'P&amp;L'!$E136*Drivers!L$117,
     $B28="Year Start Lump Sum", 'P&amp;L'!$E136*Drivers!L$118,$B28="OSPI State Apportionment", 'P&amp;L'!$E136*Drivers!L$119, $B28="Expense Reimbursement", 'P&amp;L'!$E136*Drivers!L$120,
     $B28="Direct Monthly Input", 0)</f>
        <v>13173.3</v>
      </c>
      <c r="J28" s="421" cm="1">
        <f t="array" ref="J28">_xlfn.IFS($B28="12-Month Smoothing", 'P&amp;L'!$E136*Drivers!M$113, $B28="10-Month Academic Calendar", 'P&amp;L'!$E136*Drivers!M$114, $B28="Quarterly Smoothing", 'P&amp;L'!$E136*Drivers!M$115,
     $B28="Two-Installment (front-loaded)", 'P&amp;L'!$E136*Drivers!M$116, $B28="Two-Installment (back-loaded)", 'P&amp;L'!$E136*Drivers!M$117,
     $B28="Year Start Lump Sum", 'P&amp;L'!$E136*Drivers!M$118,$B28="OSPI State Apportionment", 'P&amp;L'!$E136*Drivers!M$119, $B28="Expense Reimbursement", 'P&amp;L'!$E136*Drivers!M$120,
     $B28="Direct Monthly Input", 0)</f>
        <v>13173.3</v>
      </c>
      <c r="K28" s="421" cm="1">
        <f t="array" ref="K28">_xlfn.IFS($B28="12-Month Smoothing", 'P&amp;L'!$E136*Drivers!N$113, $B28="10-Month Academic Calendar", 'P&amp;L'!$E136*Drivers!N$114, $B28="Quarterly Smoothing", 'P&amp;L'!$E136*Drivers!N$115,
     $B28="Two-Installment (front-loaded)", 'P&amp;L'!$E136*Drivers!N$116, $B28="Two-Installment (back-loaded)", 'P&amp;L'!$E136*Drivers!N$117,
     $B28="Year Start Lump Sum", 'P&amp;L'!$E136*Drivers!N$118,$B28="OSPI State Apportionment", 'P&amp;L'!$E136*Drivers!N$119, $B28="Expense Reimbursement", 'P&amp;L'!$E136*Drivers!N$120,
     $B28="Direct Monthly Input", 0)</f>
        <v>13173.3</v>
      </c>
      <c r="L28" s="421" cm="1">
        <f t="array" ref="L28">_xlfn.IFS($B28="12-Month Smoothing", 'P&amp;L'!$E136*Drivers!O$113, $B28="10-Month Academic Calendar", 'P&amp;L'!$E136*Drivers!O$114, $B28="Quarterly Smoothing", 'P&amp;L'!$E136*Drivers!O$115,
     $B28="Two-Installment (front-loaded)", 'P&amp;L'!$E136*Drivers!O$116, $B28="Two-Installment (back-loaded)", 'P&amp;L'!$E136*Drivers!O$117,
     $B28="Year Start Lump Sum", 'P&amp;L'!$E136*Drivers!O$118,$B28="OSPI State Apportionment", 'P&amp;L'!$E136*Drivers!O$119, $B28="Expense Reimbursement", 'P&amp;L'!$E136*Drivers!O$120,
     $B28="Direct Monthly Input", 0)</f>
        <v>7318.5</v>
      </c>
      <c r="M28" s="421" cm="1">
        <f t="array" ref="M28">_xlfn.IFS($B28="12-Month Smoothing", 'P&amp;L'!$E136*Drivers!P$113, $B28="10-Month Academic Calendar", 'P&amp;L'!$E136*Drivers!P$114, $B28="Quarterly Smoothing", 'P&amp;L'!$E136*Drivers!P$115,
     $B28="Two-Installment (front-loaded)", 'P&amp;L'!$E136*Drivers!P$116, $B28="Two-Installment (back-loaded)", 'P&amp;L'!$E136*Drivers!P$117,
     $B28="Year Start Lump Sum", 'P&amp;L'!$E136*Drivers!P$118,$B28="OSPI State Apportionment", 'P&amp;L'!$E136*Drivers!P$119, $B28="Expense Reimbursement", 'P&amp;L'!$E136*Drivers!P$120,
     $B28="Direct Monthly Input", 0)</f>
        <v>8782.1999999999989</v>
      </c>
      <c r="N28" s="421" cm="1">
        <f t="array" ref="N28">_xlfn.IFS($B28="12-Month Smoothing", 'P&amp;L'!$E136*Drivers!Q$113, $B28="10-Month Academic Calendar", 'P&amp;L'!$E136*Drivers!Q$114, $B28="Quarterly Smoothing", 'P&amp;L'!$E136*Drivers!Q$115,
     $B28="Two-Installment (front-loaded)", 'P&amp;L'!$E136*Drivers!Q$116, $B28="Two-Installment (back-loaded)", 'P&amp;L'!$E136*Drivers!Q$117,
     $B28="Year Start Lump Sum", 'P&amp;L'!$E136*Drivers!Q$118,$B28="OSPI State Apportionment", 'P&amp;L'!$E136*Drivers!Q$119, $B28="Expense Reimbursement", 'P&amp;L'!$E136*Drivers!Q$120,
     $B28="Direct Monthly Input", 0)</f>
        <v>18296.25</v>
      </c>
      <c r="O28" s="427" cm="1">
        <f t="array" ref="O28">_xlfn.IFS($B28="12-Month Smoothing", 'P&amp;L'!$E136*Drivers!R$113, $B28="10-Month Academic Calendar", 'P&amp;L'!$E136*Drivers!R$114, $B28="Quarterly Smoothing", 'P&amp;L'!$E136*Drivers!R$115,
     $B28="Two-Installment (front-loaded)", 'P&amp;L'!$E136*Drivers!R$116, $B28="Two-Installment (back-loaded)", 'P&amp;L'!$E136*Drivers!R$117,
     $B28="Year Start Lump Sum", 'P&amp;L'!$E136*Drivers!R$118,$B28="OSPI State Apportionment", 'P&amp;L'!$E136*Drivers!R$119, $B28="Expense Reimbursement", 'P&amp;L'!$E136*Drivers!R$120,
     $B28="Direct Monthly Input", 0)</f>
        <v>14637</v>
      </c>
      <c r="P28" s="129">
        <f t="shared" si="3"/>
        <v>146370</v>
      </c>
      <c r="Q28" s="730"/>
      <c r="R28" s="537"/>
    </row>
    <row r="29" spans="1:18" s="538" customFormat="1" ht="17" thickBot="1">
      <c r="A29" s="734"/>
      <c r="B29" s="419" t="s">
        <v>445</v>
      </c>
      <c r="C29" s="725" t="str">
        <f>'P&amp;L'!C137</f>
        <v>All Other 4000 - STATE REVENUE - SPECIAL PURPOSE</v>
      </c>
      <c r="D29" s="421" cm="1">
        <f t="array" ref="D29">_xlfn.IFS($B29="12-Month Smoothing", 'P&amp;L'!$E137*Drivers!G$113, $B29="10-Month Academic Calendar", 'P&amp;L'!$E137*Drivers!G$114, $B29="Quarterly Smoothing", 'P&amp;L'!$E137*Drivers!G$115,
     $B29="Two-Installment (front-loaded)", 'P&amp;L'!$E137*Drivers!G$116, $B29="Two-Installment (back-loaded)", 'P&amp;L'!$E137*Drivers!G$117,
     $B29="Year Start Lump Sum", 'P&amp;L'!$E137*Drivers!G$118,$B29="OSPI State Apportionment", 'P&amp;L'!$E137*Drivers!G$119, $B29="Expense Reimbursement", 'P&amp;L'!$E137*Drivers!G$120,
     $B29="Direct Monthly Input", 0)</f>
        <v>0</v>
      </c>
      <c r="E29" s="421" cm="1">
        <f t="array" ref="E29">_xlfn.IFS($B29="12-Month Smoothing", 'P&amp;L'!$E137*Drivers!H$113, $B29="10-Month Academic Calendar", 'P&amp;L'!$E137*Drivers!H$114, $B29="Quarterly Smoothing", 'P&amp;L'!$E137*Drivers!H$115,
     $B29="Two-Installment (front-loaded)", 'P&amp;L'!$E137*Drivers!H$116, $B29="Two-Installment (back-loaded)", 'P&amp;L'!$E137*Drivers!H$117,
     $B29="Year Start Lump Sum", 'P&amp;L'!$E137*Drivers!H$118,$B29="OSPI State Apportionment", 'P&amp;L'!$E137*Drivers!H$119, $B29="Expense Reimbursement", 'P&amp;L'!$E137*Drivers!H$120,
     $B29="Direct Monthly Input", 0)</f>
        <v>0</v>
      </c>
      <c r="F29" s="421" cm="1">
        <f t="array" ref="F29">_xlfn.IFS($B29="12-Month Smoothing", 'P&amp;L'!$E137*Drivers!I$113, $B29="10-Month Academic Calendar", 'P&amp;L'!$E137*Drivers!I$114, $B29="Quarterly Smoothing", 'P&amp;L'!$E137*Drivers!I$115,
     $B29="Two-Installment (front-loaded)", 'P&amp;L'!$E137*Drivers!I$116, $B29="Two-Installment (back-loaded)", 'P&amp;L'!$E137*Drivers!I$117,
     $B29="Year Start Lump Sum", 'P&amp;L'!$E137*Drivers!I$118,$B29="OSPI State Apportionment", 'P&amp;L'!$E137*Drivers!I$119, $B29="Expense Reimbursement", 'P&amp;L'!$E137*Drivers!I$120,
     $B29="Direct Monthly Input", 0)</f>
        <v>0</v>
      </c>
      <c r="G29" s="421" cm="1">
        <f t="array" ref="G29">_xlfn.IFS($B29="12-Month Smoothing", 'P&amp;L'!$E137*Drivers!J$113, $B29="10-Month Academic Calendar", 'P&amp;L'!$E137*Drivers!J$114, $B29="Quarterly Smoothing", 'P&amp;L'!$E137*Drivers!J$115,
     $B29="Two-Installment (front-loaded)", 'P&amp;L'!$E137*Drivers!J$116, $B29="Two-Installment (back-loaded)", 'P&amp;L'!$E137*Drivers!J$117,
     $B29="Year Start Lump Sum", 'P&amp;L'!$E137*Drivers!J$118,$B29="OSPI State Apportionment", 'P&amp;L'!$E137*Drivers!J$119, $B29="Expense Reimbursement", 'P&amp;L'!$E137*Drivers!J$120,
     $B29="Direct Monthly Input", 0)</f>
        <v>0</v>
      </c>
      <c r="H29" s="421" cm="1">
        <f t="array" ref="H29">_xlfn.IFS($B29="12-Month Smoothing", 'P&amp;L'!$E137*Drivers!K$113, $B29="10-Month Academic Calendar", 'P&amp;L'!$E137*Drivers!K$114, $B29="Quarterly Smoothing", 'P&amp;L'!$E137*Drivers!K$115,
     $B29="Two-Installment (front-loaded)", 'P&amp;L'!$E137*Drivers!K$116, $B29="Two-Installment (back-loaded)", 'P&amp;L'!$E137*Drivers!K$117,
     $B29="Year Start Lump Sum", 'P&amp;L'!$E137*Drivers!K$118,$B29="OSPI State Apportionment", 'P&amp;L'!$E137*Drivers!K$119, $B29="Expense Reimbursement", 'P&amp;L'!$E137*Drivers!K$120,
     $B29="Direct Monthly Input", 0)</f>
        <v>0</v>
      </c>
      <c r="I29" s="421" cm="1">
        <f t="array" ref="I29">_xlfn.IFS($B29="12-Month Smoothing", 'P&amp;L'!$E137*Drivers!L$113, $B29="10-Month Academic Calendar", 'P&amp;L'!$E137*Drivers!L$114, $B29="Quarterly Smoothing", 'P&amp;L'!$E137*Drivers!L$115,
     $B29="Two-Installment (front-loaded)", 'P&amp;L'!$E137*Drivers!L$116, $B29="Two-Installment (back-loaded)", 'P&amp;L'!$E137*Drivers!L$117,
     $B29="Year Start Lump Sum", 'P&amp;L'!$E137*Drivers!L$118,$B29="OSPI State Apportionment", 'P&amp;L'!$E137*Drivers!L$119, $B29="Expense Reimbursement", 'P&amp;L'!$E137*Drivers!L$120,
     $B29="Direct Monthly Input", 0)</f>
        <v>0</v>
      </c>
      <c r="J29" s="421" cm="1">
        <f t="array" ref="J29">_xlfn.IFS($B29="12-Month Smoothing", 'P&amp;L'!$E137*Drivers!M$113, $B29="10-Month Academic Calendar", 'P&amp;L'!$E137*Drivers!M$114, $B29="Quarterly Smoothing", 'P&amp;L'!$E137*Drivers!M$115,
     $B29="Two-Installment (front-loaded)", 'P&amp;L'!$E137*Drivers!M$116, $B29="Two-Installment (back-loaded)", 'P&amp;L'!$E137*Drivers!M$117,
     $B29="Year Start Lump Sum", 'P&amp;L'!$E137*Drivers!M$118,$B29="OSPI State Apportionment", 'P&amp;L'!$E137*Drivers!M$119, $B29="Expense Reimbursement", 'P&amp;L'!$E137*Drivers!M$120,
     $B29="Direct Monthly Input", 0)</f>
        <v>0</v>
      </c>
      <c r="K29" s="421" cm="1">
        <f t="array" ref="K29">_xlfn.IFS($B29="12-Month Smoothing", 'P&amp;L'!$E137*Drivers!N$113, $B29="10-Month Academic Calendar", 'P&amp;L'!$E137*Drivers!N$114, $B29="Quarterly Smoothing", 'P&amp;L'!$E137*Drivers!N$115,
     $B29="Two-Installment (front-loaded)", 'P&amp;L'!$E137*Drivers!N$116, $B29="Two-Installment (back-loaded)", 'P&amp;L'!$E137*Drivers!N$117,
     $B29="Year Start Lump Sum", 'P&amp;L'!$E137*Drivers!N$118,$B29="OSPI State Apportionment", 'P&amp;L'!$E137*Drivers!N$119, $B29="Expense Reimbursement", 'P&amp;L'!$E137*Drivers!N$120,
     $B29="Direct Monthly Input", 0)</f>
        <v>0</v>
      </c>
      <c r="L29" s="421" cm="1">
        <f t="array" ref="L29">_xlfn.IFS($B29="12-Month Smoothing", 'P&amp;L'!$E137*Drivers!O$113, $B29="10-Month Academic Calendar", 'P&amp;L'!$E137*Drivers!O$114, $B29="Quarterly Smoothing", 'P&amp;L'!$E137*Drivers!O$115,
     $B29="Two-Installment (front-loaded)", 'P&amp;L'!$E137*Drivers!O$116, $B29="Two-Installment (back-loaded)", 'P&amp;L'!$E137*Drivers!O$117,
     $B29="Year Start Lump Sum", 'P&amp;L'!$E137*Drivers!O$118,$B29="OSPI State Apportionment", 'P&amp;L'!$E137*Drivers!O$119, $B29="Expense Reimbursement", 'P&amp;L'!$E137*Drivers!O$120,
     $B29="Direct Monthly Input", 0)</f>
        <v>0</v>
      </c>
      <c r="M29" s="421" cm="1">
        <f t="array" ref="M29">_xlfn.IFS($B29="12-Month Smoothing", 'P&amp;L'!$E137*Drivers!P$113, $B29="10-Month Academic Calendar", 'P&amp;L'!$E137*Drivers!P$114, $B29="Quarterly Smoothing", 'P&amp;L'!$E137*Drivers!P$115,
     $B29="Two-Installment (front-loaded)", 'P&amp;L'!$E137*Drivers!P$116, $B29="Two-Installment (back-loaded)", 'P&amp;L'!$E137*Drivers!P$117,
     $B29="Year Start Lump Sum", 'P&amp;L'!$E137*Drivers!P$118,$B29="OSPI State Apportionment", 'P&amp;L'!$E137*Drivers!P$119, $B29="Expense Reimbursement", 'P&amp;L'!$E137*Drivers!P$120,
     $B29="Direct Monthly Input", 0)</f>
        <v>0</v>
      </c>
      <c r="N29" s="421" cm="1">
        <f t="array" ref="N29">_xlfn.IFS($B29="12-Month Smoothing", 'P&amp;L'!$E137*Drivers!Q$113, $B29="10-Month Academic Calendar", 'P&amp;L'!$E137*Drivers!Q$114, $B29="Quarterly Smoothing", 'P&amp;L'!$E137*Drivers!Q$115,
     $B29="Two-Installment (front-loaded)", 'P&amp;L'!$E137*Drivers!Q$116, $B29="Two-Installment (back-loaded)", 'P&amp;L'!$E137*Drivers!Q$117,
     $B29="Year Start Lump Sum", 'P&amp;L'!$E137*Drivers!Q$118,$B29="OSPI State Apportionment", 'P&amp;L'!$E137*Drivers!Q$119, $B29="Expense Reimbursement", 'P&amp;L'!$E137*Drivers!Q$120,
     $B29="Direct Monthly Input", 0)</f>
        <v>0</v>
      </c>
      <c r="O29" s="427" cm="1">
        <f t="array" ref="O29">_xlfn.IFS($B29="12-Month Smoothing", 'P&amp;L'!$E137*Drivers!R$113, $B29="10-Month Academic Calendar", 'P&amp;L'!$E137*Drivers!R$114, $B29="Quarterly Smoothing", 'P&amp;L'!$E137*Drivers!R$115,
     $B29="Two-Installment (front-loaded)", 'P&amp;L'!$E137*Drivers!R$116, $B29="Two-Installment (back-loaded)", 'P&amp;L'!$E137*Drivers!R$117,
     $B29="Year Start Lump Sum", 'P&amp;L'!$E137*Drivers!R$118,$B29="OSPI State Apportionment", 'P&amp;L'!$E137*Drivers!R$119, $B29="Expense Reimbursement", 'P&amp;L'!$E137*Drivers!R$120,
     $B29="Direct Monthly Input", 0)</f>
        <v>0</v>
      </c>
      <c r="P29" s="129">
        <f t="shared" si="3"/>
        <v>0</v>
      </c>
      <c r="Q29" s="730"/>
      <c r="R29" s="537"/>
    </row>
    <row r="30" spans="1:18" s="538" customFormat="1" ht="17" thickBot="1">
      <c r="A30" s="734"/>
      <c r="B30" s="419" t="s">
        <v>440</v>
      </c>
      <c r="C30" s="725" t="str">
        <f>'P&amp;L'!C139</f>
        <v xml:space="preserve">5200 - General Purpose Direct Fed. Grants - Unassigned  </v>
      </c>
      <c r="D30" s="421" cm="1">
        <f t="array" ref="D30">_xlfn.IFS($B30="12-Month Smoothing", 'P&amp;L'!$E139*Drivers!G$113, $B30="10-Month Academic Calendar", 'P&amp;L'!$E139*Drivers!G$114, $B30="Quarterly Smoothing", 'P&amp;L'!$E139*Drivers!G$115,
     $B30="Two-Installment (front-loaded)", 'P&amp;L'!$E139*Drivers!G$116, $B30="Two-Installment (back-loaded)", 'P&amp;L'!$E139*Drivers!G$117,
     $B30="Year Start Lump Sum", 'P&amp;L'!$E139*Drivers!G$118,$B30="OSPI State Apportionment", 'P&amp;L'!$E139*Drivers!G$119, $B30="Expense Reimbursement", 'P&amp;L'!$E139*Drivers!G$120,
     $B30="Direct Monthly Input", 0)</f>
        <v>0</v>
      </c>
      <c r="E30" s="421" cm="1">
        <f t="array" ref="E30">_xlfn.IFS($B30="12-Month Smoothing", 'P&amp;L'!$E139*Drivers!H$113, $B30="10-Month Academic Calendar", 'P&amp;L'!$E139*Drivers!H$114, $B30="Quarterly Smoothing", 'P&amp;L'!$E139*Drivers!H$115,
     $B30="Two-Installment (front-loaded)", 'P&amp;L'!$E139*Drivers!H$116, $B30="Two-Installment (back-loaded)", 'P&amp;L'!$E139*Drivers!H$117,
     $B30="Year Start Lump Sum", 'P&amp;L'!$E139*Drivers!H$118,$B30="OSPI State Apportionment", 'P&amp;L'!$E139*Drivers!H$119, $B30="Expense Reimbursement", 'P&amp;L'!$E139*Drivers!H$120,
     $B30="Direct Monthly Input", 0)</f>
        <v>0</v>
      </c>
      <c r="F30" s="421" cm="1">
        <f t="array" ref="F30">_xlfn.IFS($B30="12-Month Smoothing", 'P&amp;L'!$E139*Drivers!I$113, $B30="10-Month Academic Calendar", 'P&amp;L'!$E139*Drivers!I$114, $B30="Quarterly Smoothing", 'P&amp;L'!$E139*Drivers!I$115,
     $B30="Two-Installment (front-loaded)", 'P&amp;L'!$E139*Drivers!I$116, $B30="Two-Installment (back-loaded)", 'P&amp;L'!$E139*Drivers!I$117,
     $B30="Year Start Lump Sum", 'P&amp;L'!$E139*Drivers!I$118,$B30="OSPI State Apportionment", 'P&amp;L'!$E139*Drivers!I$119, $B30="Expense Reimbursement", 'P&amp;L'!$E139*Drivers!I$120,
     $B30="Direct Monthly Input", 0)</f>
        <v>0</v>
      </c>
      <c r="G30" s="421" cm="1">
        <f t="array" ref="G30">_xlfn.IFS($B30="12-Month Smoothing", 'P&amp;L'!$E139*Drivers!J$113, $B30="10-Month Academic Calendar", 'P&amp;L'!$E139*Drivers!J$114, $B30="Quarterly Smoothing", 'P&amp;L'!$E139*Drivers!J$115,
     $B30="Two-Installment (front-loaded)", 'P&amp;L'!$E139*Drivers!J$116, $B30="Two-Installment (back-loaded)", 'P&amp;L'!$E139*Drivers!J$117,
     $B30="Year Start Lump Sum", 'P&amp;L'!$E139*Drivers!J$118,$B30="OSPI State Apportionment", 'P&amp;L'!$E139*Drivers!J$119, $B30="Expense Reimbursement", 'P&amp;L'!$E139*Drivers!J$120,
     $B30="Direct Monthly Input", 0)</f>
        <v>0</v>
      </c>
      <c r="H30" s="421" cm="1">
        <f t="array" ref="H30">_xlfn.IFS($B30="12-Month Smoothing", 'P&amp;L'!$E139*Drivers!K$113, $B30="10-Month Academic Calendar", 'P&amp;L'!$E139*Drivers!K$114, $B30="Quarterly Smoothing", 'P&amp;L'!$E139*Drivers!K$115,
     $B30="Two-Installment (front-loaded)", 'P&amp;L'!$E139*Drivers!K$116, $B30="Two-Installment (back-loaded)", 'P&amp;L'!$E139*Drivers!K$117,
     $B30="Year Start Lump Sum", 'P&amp;L'!$E139*Drivers!K$118,$B30="OSPI State Apportionment", 'P&amp;L'!$E139*Drivers!K$119, $B30="Expense Reimbursement", 'P&amp;L'!$E139*Drivers!K$120,
     $B30="Direct Monthly Input", 0)</f>
        <v>0</v>
      </c>
      <c r="I30" s="421" cm="1">
        <f t="array" ref="I30">_xlfn.IFS($B30="12-Month Smoothing", 'P&amp;L'!$E139*Drivers!L$113, $B30="10-Month Academic Calendar", 'P&amp;L'!$E139*Drivers!L$114, $B30="Quarterly Smoothing", 'P&amp;L'!$E139*Drivers!L$115,
     $B30="Two-Installment (front-loaded)", 'P&amp;L'!$E139*Drivers!L$116, $B30="Two-Installment (back-loaded)", 'P&amp;L'!$E139*Drivers!L$117,
     $B30="Year Start Lump Sum", 'P&amp;L'!$E139*Drivers!L$118,$B30="OSPI State Apportionment", 'P&amp;L'!$E139*Drivers!L$119, $B30="Expense Reimbursement", 'P&amp;L'!$E139*Drivers!L$120,
     $B30="Direct Monthly Input", 0)</f>
        <v>0</v>
      </c>
      <c r="J30" s="421" cm="1">
        <f t="array" ref="J30">_xlfn.IFS($B30="12-Month Smoothing", 'P&amp;L'!$E139*Drivers!M$113, $B30="10-Month Academic Calendar", 'P&amp;L'!$E139*Drivers!M$114, $B30="Quarterly Smoothing", 'P&amp;L'!$E139*Drivers!M$115,
     $B30="Two-Installment (front-loaded)", 'P&amp;L'!$E139*Drivers!M$116, $B30="Two-Installment (back-loaded)", 'P&amp;L'!$E139*Drivers!M$117,
     $B30="Year Start Lump Sum", 'P&amp;L'!$E139*Drivers!M$118,$B30="OSPI State Apportionment", 'P&amp;L'!$E139*Drivers!M$119, $B30="Expense Reimbursement", 'P&amp;L'!$E139*Drivers!M$120,
     $B30="Direct Monthly Input", 0)</f>
        <v>0</v>
      </c>
      <c r="K30" s="421" cm="1">
        <f t="array" ref="K30">_xlfn.IFS($B30="12-Month Smoothing", 'P&amp;L'!$E139*Drivers!N$113, $B30="10-Month Academic Calendar", 'P&amp;L'!$E139*Drivers!N$114, $B30="Quarterly Smoothing", 'P&amp;L'!$E139*Drivers!N$115,
     $B30="Two-Installment (front-loaded)", 'P&amp;L'!$E139*Drivers!N$116, $B30="Two-Installment (back-loaded)", 'P&amp;L'!$E139*Drivers!N$117,
     $B30="Year Start Lump Sum", 'P&amp;L'!$E139*Drivers!N$118,$B30="OSPI State Apportionment", 'P&amp;L'!$E139*Drivers!N$119, $B30="Expense Reimbursement", 'P&amp;L'!$E139*Drivers!N$120,
     $B30="Direct Monthly Input", 0)</f>
        <v>0</v>
      </c>
      <c r="L30" s="421" cm="1">
        <f t="array" ref="L30">_xlfn.IFS($B30="12-Month Smoothing", 'P&amp;L'!$E139*Drivers!O$113, $B30="10-Month Academic Calendar", 'P&amp;L'!$E139*Drivers!O$114, $B30="Quarterly Smoothing", 'P&amp;L'!$E139*Drivers!O$115,
     $B30="Two-Installment (front-loaded)", 'P&amp;L'!$E139*Drivers!O$116, $B30="Two-Installment (back-loaded)", 'P&amp;L'!$E139*Drivers!O$117,
     $B30="Year Start Lump Sum", 'P&amp;L'!$E139*Drivers!O$118,$B30="OSPI State Apportionment", 'P&amp;L'!$E139*Drivers!O$119, $B30="Expense Reimbursement", 'P&amp;L'!$E139*Drivers!O$120,
     $B30="Direct Monthly Input", 0)</f>
        <v>0</v>
      </c>
      <c r="M30" s="421" cm="1">
        <f t="array" ref="M30">_xlfn.IFS($B30="12-Month Smoothing", 'P&amp;L'!$E139*Drivers!P$113, $B30="10-Month Academic Calendar", 'P&amp;L'!$E139*Drivers!P$114, $B30="Quarterly Smoothing", 'P&amp;L'!$E139*Drivers!P$115,
     $B30="Two-Installment (front-loaded)", 'P&amp;L'!$E139*Drivers!P$116, $B30="Two-Installment (back-loaded)", 'P&amp;L'!$E139*Drivers!P$117,
     $B30="Year Start Lump Sum", 'P&amp;L'!$E139*Drivers!P$118,$B30="OSPI State Apportionment", 'P&amp;L'!$E139*Drivers!P$119, $B30="Expense Reimbursement", 'P&amp;L'!$E139*Drivers!P$120,
     $B30="Direct Monthly Input", 0)</f>
        <v>0</v>
      </c>
      <c r="N30" s="421" cm="1">
        <f t="array" ref="N30">_xlfn.IFS($B30="12-Month Smoothing", 'P&amp;L'!$E139*Drivers!Q$113, $B30="10-Month Academic Calendar", 'P&amp;L'!$E139*Drivers!Q$114, $B30="Quarterly Smoothing", 'P&amp;L'!$E139*Drivers!Q$115,
     $B30="Two-Installment (front-loaded)", 'P&amp;L'!$E139*Drivers!Q$116, $B30="Two-Installment (back-loaded)", 'P&amp;L'!$E139*Drivers!Q$117,
     $B30="Year Start Lump Sum", 'P&amp;L'!$E139*Drivers!Q$118,$B30="OSPI State Apportionment", 'P&amp;L'!$E139*Drivers!Q$119, $B30="Expense Reimbursement", 'P&amp;L'!$E139*Drivers!Q$120,
     $B30="Direct Monthly Input", 0)</f>
        <v>0</v>
      </c>
      <c r="O30" s="427" cm="1">
        <f t="array" ref="O30">_xlfn.IFS($B30="12-Month Smoothing", 'P&amp;L'!$E139*Drivers!R$113, $B30="10-Month Academic Calendar", 'P&amp;L'!$E139*Drivers!R$114, $B30="Quarterly Smoothing", 'P&amp;L'!$E139*Drivers!R$115,
     $B30="Two-Installment (front-loaded)", 'P&amp;L'!$E139*Drivers!R$116, $B30="Two-Installment (back-loaded)", 'P&amp;L'!$E139*Drivers!R$117,
     $B30="Year Start Lump Sum", 'P&amp;L'!$E139*Drivers!R$118,$B30="OSPI State Apportionment", 'P&amp;L'!$E139*Drivers!R$119, $B30="Expense Reimbursement", 'P&amp;L'!$E139*Drivers!R$120,
     $B30="Direct Monthly Input", 0)</f>
        <v>0</v>
      </c>
      <c r="P30" s="129">
        <f t="shared" si="3"/>
        <v>0</v>
      </c>
      <c r="Q30" s="730"/>
      <c r="R30" s="537"/>
    </row>
    <row r="31" spans="1:18" s="538" customFormat="1" ht="17" thickBot="1">
      <c r="A31" s="734"/>
      <c r="B31" s="419" t="s">
        <v>443</v>
      </c>
      <c r="C31" s="725" t="str">
        <f>'P&amp;L'!C140</f>
        <v>Title I</v>
      </c>
      <c r="D31" s="421" cm="1">
        <f t="array" ref="D31">_xlfn.IFS($B31="12-Month Smoothing", 'P&amp;L'!$E140*Drivers!G$113, $B31="10-Month Academic Calendar", 'P&amp;L'!$E140*Drivers!G$114, $B31="Quarterly Smoothing", 'P&amp;L'!$E140*Drivers!G$115,
     $B31="Two-Installment (front-loaded)", 'P&amp;L'!$E140*Drivers!G$116, $B31="Two-Installment (back-loaded)", 'P&amp;L'!$E140*Drivers!G$117,
     $B31="Year Start Lump Sum", 'P&amp;L'!$E140*Drivers!G$118,$B31="OSPI State Apportionment", 'P&amp;L'!$E140*Drivers!G$119, $B31="Expense Reimbursement", 'P&amp;L'!$E140*Drivers!G$120,
     $B31="Direct Monthly Input", 0)</f>
        <v>0</v>
      </c>
      <c r="E31" s="421" cm="1">
        <f t="array" ref="E31">_xlfn.IFS($B31="12-Month Smoothing", 'P&amp;L'!$E140*Drivers!H$113, $B31="10-Month Academic Calendar", 'P&amp;L'!$E140*Drivers!H$114, $B31="Quarterly Smoothing", 'P&amp;L'!$E140*Drivers!H$115,
     $B31="Two-Installment (front-loaded)", 'P&amp;L'!$E140*Drivers!H$116, $B31="Two-Installment (back-loaded)", 'P&amp;L'!$E140*Drivers!H$117,
     $B31="Year Start Lump Sum", 'P&amp;L'!$E140*Drivers!H$118,$B31="OSPI State Apportionment", 'P&amp;L'!$E140*Drivers!H$119, $B31="Expense Reimbursement", 'P&amp;L'!$E140*Drivers!H$120,
     $B31="Direct Monthly Input", 0)</f>
        <v>0</v>
      </c>
      <c r="F31" s="421" cm="1">
        <f t="array" ref="F31">_xlfn.IFS($B31="12-Month Smoothing", 'P&amp;L'!$E140*Drivers!I$113, $B31="10-Month Academic Calendar", 'P&amp;L'!$E140*Drivers!I$114, $B31="Quarterly Smoothing", 'P&amp;L'!$E140*Drivers!I$115,
     $B31="Two-Installment (front-loaded)", 'P&amp;L'!$E140*Drivers!I$116, $B31="Two-Installment (back-loaded)", 'P&amp;L'!$E140*Drivers!I$117,
     $B31="Year Start Lump Sum", 'P&amp;L'!$E140*Drivers!I$118,$B31="OSPI State Apportionment", 'P&amp;L'!$E140*Drivers!I$119, $B31="Expense Reimbursement", 'P&amp;L'!$E140*Drivers!I$120,
     $B31="Direct Monthly Input", 0)</f>
        <v>6029.0999999999995</v>
      </c>
      <c r="G31" s="421" cm="1">
        <f t="array" ref="G31">_xlfn.IFS($B31="12-Month Smoothing", 'P&amp;L'!$E140*Drivers!J$113, $B31="10-Month Academic Calendar", 'P&amp;L'!$E140*Drivers!J$114, $B31="Quarterly Smoothing", 'P&amp;L'!$E140*Drivers!J$115,
     $B31="Two-Installment (front-loaded)", 'P&amp;L'!$E140*Drivers!J$116, $B31="Two-Installment (back-loaded)", 'P&amp;L'!$E140*Drivers!J$117,
     $B31="Year Start Lump Sum", 'P&amp;L'!$E140*Drivers!J$118,$B31="OSPI State Apportionment", 'P&amp;L'!$E140*Drivers!J$119, $B31="Expense Reimbursement", 'P&amp;L'!$E140*Drivers!J$120,
     $B31="Direct Monthly Input", 0)</f>
        <v>6029.0999999999995</v>
      </c>
      <c r="H31" s="421" cm="1">
        <f t="array" ref="H31">_xlfn.IFS($B31="12-Month Smoothing", 'P&amp;L'!$E140*Drivers!K$113, $B31="10-Month Academic Calendar", 'P&amp;L'!$E140*Drivers!K$114, $B31="Quarterly Smoothing", 'P&amp;L'!$E140*Drivers!K$115,
     $B31="Two-Installment (front-loaded)", 'P&amp;L'!$E140*Drivers!K$116, $B31="Two-Installment (back-loaded)", 'P&amp;L'!$E140*Drivers!K$117,
     $B31="Year Start Lump Sum", 'P&amp;L'!$E140*Drivers!K$118,$B31="OSPI State Apportionment", 'P&amp;L'!$E140*Drivers!K$119, $B31="Expense Reimbursement", 'P&amp;L'!$E140*Drivers!K$120,
     $B31="Direct Monthly Input", 0)</f>
        <v>6029.0999999999995</v>
      </c>
      <c r="I31" s="421" cm="1">
        <f t="array" ref="I31">_xlfn.IFS($B31="12-Month Smoothing", 'P&amp;L'!$E140*Drivers!L$113, $B31="10-Month Academic Calendar", 'P&amp;L'!$E140*Drivers!L$114, $B31="Quarterly Smoothing", 'P&amp;L'!$E140*Drivers!L$115,
     $B31="Two-Installment (front-loaded)", 'P&amp;L'!$E140*Drivers!L$116, $B31="Two-Installment (back-loaded)", 'P&amp;L'!$E140*Drivers!L$117,
     $B31="Year Start Lump Sum", 'P&amp;L'!$E140*Drivers!L$118,$B31="OSPI State Apportionment", 'P&amp;L'!$E140*Drivers!L$119, $B31="Expense Reimbursement", 'P&amp;L'!$E140*Drivers!L$120,
     $B31="Direct Monthly Input", 0)</f>
        <v>6029.0999999999995</v>
      </c>
      <c r="J31" s="421" cm="1">
        <f t="array" ref="J31">_xlfn.IFS($B31="12-Month Smoothing", 'P&amp;L'!$E140*Drivers!M$113, $B31="10-Month Academic Calendar", 'P&amp;L'!$E140*Drivers!M$114, $B31="Quarterly Smoothing", 'P&amp;L'!$E140*Drivers!M$115,
     $B31="Two-Installment (front-loaded)", 'P&amp;L'!$E140*Drivers!M$116, $B31="Two-Installment (back-loaded)", 'P&amp;L'!$E140*Drivers!M$117,
     $B31="Year Start Lump Sum", 'P&amp;L'!$E140*Drivers!M$118,$B31="OSPI State Apportionment", 'P&amp;L'!$E140*Drivers!M$119, $B31="Expense Reimbursement", 'P&amp;L'!$E140*Drivers!M$120,
     $B31="Direct Monthly Input", 0)</f>
        <v>6029.0999999999995</v>
      </c>
      <c r="K31" s="421" cm="1">
        <f t="array" ref="K31">_xlfn.IFS($B31="12-Month Smoothing", 'P&amp;L'!$E140*Drivers!N$113, $B31="10-Month Academic Calendar", 'P&amp;L'!$E140*Drivers!N$114, $B31="Quarterly Smoothing", 'P&amp;L'!$E140*Drivers!N$115,
     $B31="Two-Installment (front-loaded)", 'P&amp;L'!$E140*Drivers!N$116, $B31="Two-Installment (back-loaded)", 'P&amp;L'!$E140*Drivers!N$117,
     $B31="Year Start Lump Sum", 'P&amp;L'!$E140*Drivers!N$118,$B31="OSPI State Apportionment", 'P&amp;L'!$E140*Drivers!N$119, $B31="Expense Reimbursement", 'P&amp;L'!$E140*Drivers!N$120,
     $B31="Direct Monthly Input", 0)</f>
        <v>6029.0999999999995</v>
      </c>
      <c r="L31" s="421" cm="1">
        <f t="array" ref="L31">_xlfn.IFS($B31="12-Month Smoothing", 'P&amp;L'!$E140*Drivers!O$113, $B31="10-Month Academic Calendar", 'P&amp;L'!$E140*Drivers!O$114, $B31="Quarterly Smoothing", 'P&amp;L'!$E140*Drivers!O$115,
     $B31="Two-Installment (front-loaded)", 'P&amp;L'!$E140*Drivers!O$116, $B31="Two-Installment (back-loaded)", 'P&amp;L'!$E140*Drivers!O$117,
     $B31="Year Start Lump Sum", 'P&amp;L'!$E140*Drivers!O$118,$B31="OSPI State Apportionment", 'P&amp;L'!$E140*Drivers!O$119, $B31="Expense Reimbursement", 'P&amp;L'!$E140*Drivers!O$120,
     $B31="Direct Monthly Input", 0)</f>
        <v>6029.0999999999995</v>
      </c>
      <c r="M31" s="421" cm="1">
        <f t="array" ref="M31">_xlfn.IFS($B31="12-Month Smoothing", 'P&amp;L'!$E140*Drivers!P$113, $B31="10-Month Academic Calendar", 'P&amp;L'!$E140*Drivers!P$114, $B31="Quarterly Smoothing", 'P&amp;L'!$E140*Drivers!P$115,
     $B31="Two-Installment (front-loaded)", 'P&amp;L'!$E140*Drivers!P$116, $B31="Two-Installment (back-loaded)", 'P&amp;L'!$E140*Drivers!P$117,
     $B31="Year Start Lump Sum", 'P&amp;L'!$E140*Drivers!P$118,$B31="OSPI State Apportionment", 'P&amp;L'!$E140*Drivers!P$119, $B31="Expense Reimbursement", 'P&amp;L'!$E140*Drivers!P$120,
     $B31="Direct Monthly Input", 0)</f>
        <v>6029.0999999999995</v>
      </c>
      <c r="N31" s="421" cm="1">
        <f t="array" ref="N31">_xlfn.IFS($B31="12-Month Smoothing", 'P&amp;L'!$E140*Drivers!Q$113, $B31="10-Month Academic Calendar", 'P&amp;L'!$E140*Drivers!Q$114, $B31="Quarterly Smoothing", 'P&amp;L'!$E140*Drivers!Q$115,
     $B31="Two-Installment (front-loaded)", 'P&amp;L'!$E140*Drivers!Q$116, $B31="Two-Installment (back-loaded)", 'P&amp;L'!$E140*Drivers!Q$117,
     $B31="Year Start Lump Sum", 'P&amp;L'!$E140*Drivers!Q$118,$B31="OSPI State Apportionment", 'P&amp;L'!$E140*Drivers!Q$119, $B31="Expense Reimbursement", 'P&amp;L'!$E140*Drivers!Q$120,
     $B31="Direct Monthly Input", 0)</f>
        <v>6029.0999999999995</v>
      </c>
      <c r="O31" s="427" cm="1">
        <f t="array" ref="O31">_xlfn.IFS($B31="12-Month Smoothing", 'P&amp;L'!$E140*Drivers!R$113, $B31="10-Month Academic Calendar", 'P&amp;L'!$E140*Drivers!R$114, $B31="Quarterly Smoothing", 'P&amp;L'!$E140*Drivers!R$115,
     $B31="Two-Installment (front-loaded)", 'P&amp;L'!$E140*Drivers!R$116, $B31="Two-Installment (back-loaded)", 'P&amp;L'!$E140*Drivers!R$117,
     $B31="Year Start Lump Sum", 'P&amp;L'!$E140*Drivers!R$118,$B31="OSPI State Apportionment", 'P&amp;L'!$E140*Drivers!R$119, $B31="Expense Reimbursement", 'P&amp;L'!$E140*Drivers!R$120,
     $B31="Direct Monthly Input", 0)</f>
        <v>18087.3</v>
      </c>
      <c r="P31" s="129">
        <f t="shared" si="3"/>
        <v>72349.2</v>
      </c>
      <c r="Q31" s="730"/>
      <c r="R31" s="537"/>
    </row>
    <row r="32" spans="1:18" s="538" customFormat="1" ht="17" thickBot="1">
      <c r="A32" s="734"/>
      <c r="B32" s="419" t="s">
        <v>443</v>
      </c>
      <c r="C32" s="725" t="str">
        <f>'P&amp;L'!C141</f>
        <v>Title II</v>
      </c>
      <c r="D32" s="421" cm="1">
        <f t="array" ref="D32">_xlfn.IFS($B32="12-Month Smoothing", 'P&amp;L'!$E141*Drivers!G$113, $B32="10-Month Academic Calendar", 'P&amp;L'!$E141*Drivers!G$114, $B32="Quarterly Smoothing", 'P&amp;L'!$E141*Drivers!G$115,
     $B32="Two-Installment (front-loaded)", 'P&amp;L'!$E141*Drivers!G$116, $B32="Two-Installment (back-loaded)", 'P&amp;L'!$E141*Drivers!G$117,
     $B32="Year Start Lump Sum", 'P&amp;L'!$E141*Drivers!G$118,$B32="OSPI State Apportionment", 'P&amp;L'!$E141*Drivers!G$119, $B32="Expense Reimbursement", 'P&amp;L'!$E141*Drivers!G$120,
     $B32="Direct Monthly Input", 0)</f>
        <v>0</v>
      </c>
      <c r="E32" s="421" cm="1">
        <f t="array" ref="E32">_xlfn.IFS($B32="12-Month Smoothing", 'P&amp;L'!$E141*Drivers!H$113, $B32="10-Month Academic Calendar", 'P&amp;L'!$E141*Drivers!H$114, $B32="Quarterly Smoothing", 'P&amp;L'!$E141*Drivers!H$115,
     $B32="Two-Installment (front-loaded)", 'P&amp;L'!$E141*Drivers!H$116, $B32="Two-Installment (back-loaded)", 'P&amp;L'!$E141*Drivers!H$117,
     $B32="Year Start Lump Sum", 'P&amp;L'!$E141*Drivers!H$118,$B32="OSPI State Apportionment", 'P&amp;L'!$E141*Drivers!H$119, $B32="Expense Reimbursement", 'P&amp;L'!$E141*Drivers!H$120,
     $B32="Direct Monthly Input", 0)</f>
        <v>0</v>
      </c>
      <c r="F32" s="421" cm="1">
        <f t="array" ref="F32">_xlfn.IFS($B32="12-Month Smoothing", 'P&amp;L'!$E141*Drivers!I$113, $B32="10-Month Academic Calendar", 'P&amp;L'!$E141*Drivers!I$114, $B32="Quarterly Smoothing", 'P&amp;L'!$E141*Drivers!I$115,
     $B32="Two-Installment (front-loaded)", 'P&amp;L'!$E141*Drivers!I$116, $B32="Two-Installment (back-loaded)", 'P&amp;L'!$E141*Drivers!I$117,
     $B32="Year Start Lump Sum", 'P&amp;L'!$E141*Drivers!I$118,$B32="OSPI State Apportionment", 'P&amp;L'!$E141*Drivers!I$119, $B32="Expense Reimbursement", 'P&amp;L'!$E141*Drivers!I$120,
     $B32="Direct Monthly Input", 0)</f>
        <v>730.8</v>
      </c>
      <c r="G32" s="421" cm="1">
        <f t="array" ref="G32">_xlfn.IFS($B32="12-Month Smoothing", 'P&amp;L'!$E141*Drivers!J$113, $B32="10-Month Academic Calendar", 'P&amp;L'!$E141*Drivers!J$114, $B32="Quarterly Smoothing", 'P&amp;L'!$E141*Drivers!J$115,
     $B32="Two-Installment (front-loaded)", 'P&amp;L'!$E141*Drivers!J$116, $B32="Two-Installment (back-loaded)", 'P&amp;L'!$E141*Drivers!J$117,
     $B32="Year Start Lump Sum", 'P&amp;L'!$E141*Drivers!J$118,$B32="OSPI State Apportionment", 'P&amp;L'!$E141*Drivers!J$119, $B32="Expense Reimbursement", 'P&amp;L'!$E141*Drivers!J$120,
     $B32="Direct Monthly Input", 0)</f>
        <v>730.8</v>
      </c>
      <c r="H32" s="421" cm="1">
        <f t="array" ref="H32">_xlfn.IFS($B32="12-Month Smoothing", 'P&amp;L'!$E141*Drivers!K$113, $B32="10-Month Academic Calendar", 'P&amp;L'!$E141*Drivers!K$114, $B32="Quarterly Smoothing", 'P&amp;L'!$E141*Drivers!K$115,
     $B32="Two-Installment (front-loaded)", 'P&amp;L'!$E141*Drivers!K$116, $B32="Two-Installment (back-loaded)", 'P&amp;L'!$E141*Drivers!K$117,
     $B32="Year Start Lump Sum", 'P&amp;L'!$E141*Drivers!K$118,$B32="OSPI State Apportionment", 'P&amp;L'!$E141*Drivers!K$119, $B32="Expense Reimbursement", 'P&amp;L'!$E141*Drivers!K$120,
     $B32="Direct Monthly Input", 0)</f>
        <v>730.8</v>
      </c>
      <c r="I32" s="421" cm="1">
        <f t="array" ref="I32">_xlfn.IFS($B32="12-Month Smoothing", 'P&amp;L'!$E141*Drivers!L$113, $B32="10-Month Academic Calendar", 'P&amp;L'!$E141*Drivers!L$114, $B32="Quarterly Smoothing", 'P&amp;L'!$E141*Drivers!L$115,
     $B32="Two-Installment (front-loaded)", 'P&amp;L'!$E141*Drivers!L$116, $B32="Two-Installment (back-loaded)", 'P&amp;L'!$E141*Drivers!L$117,
     $B32="Year Start Lump Sum", 'P&amp;L'!$E141*Drivers!L$118,$B32="OSPI State Apportionment", 'P&amp;L'!$E141*Drivers!L$119, $B32="Expense Reimbursement", 'P&amp;L'!$E141*Drivers!L$120,
     $B32="Direct Monthly Input", 0)</f>
        <v>730.8</v>
      </c>
      <c r="J32" s="421" cm="1">
        <f t="array" ref="J32">_xlfn.IFS($B32="12-Month Smoothing", 'P&amp;L'!$E141*Drivers!M$113, $B32="10-Month Academic Calendar", 'P&amp;L'!$E141*Drivers!M$114, $B32="Quarterly Smoothing", 'P&amp;L'!$E141*Drivers!M$115,
     $B32="Two-Installment (front-loaded)", 'P&amp;L'!$E141*Drivers!M$116, $B32="Two-Installment (back-loaded)", 'P&amp;L'!$E141*Drivers!M$117,
     $B32="Year Start Lump Sum", 'P&amp;L'!$E141*Drivers!M$118,$B32="OSPI State Apportionment", 'P&amp;L'!$E141*Drivers!M$119, $B32="Expense Reimbursement", 'P&amp;L'!$E141*Drivers!M$120,
     $B32="Direct Monthly Input", 0)</f>
        <v>730.8</v>
      </c>
      <c r="K32" s="421" cm="1">
        <f t="array" ref="K32">_xlfn.IFS($B32="12-Month Smoothing", 'P&amp;L'!$E141*Drivers!N$113, $B32="10-Month Academic Calendar", 'P&amp;L'!$E141*Drivers!N$114, $B32="Quarterly Smoothing", 'P&amp;L'!$E141*Drivers!N$115,
     $B32="Two-Installment (front-loaded)", 'P&amp;L'!$E141*Drivers!N$116, $B32="Two-Installment (back-loaded)", 'P&amp;L'!$E141*Drivers!N$117,
     $B32="Year Start Lump Sum", 'P&amp;L'!$E141*Drivers!N$118,$B32="OSPI State Apportionment", 'P&amp;L'!$E141*Drivers!N$119, $B32="Expense Reimbursement", 'P&amp;L'!$E141*Drivers!N$120,
     $B32="Direct Monthly Input", 0)</f>
        <v>730.8</v>
      </c>
      <c r="L32" s="421" cm="1">
        <f t="array" ref="L32">_xlfn.IFS($B32="12-Month Smoothing", 'P&amp;L'!$E141*Drivers!O$113, $B32="10-Month Academic Calendar", 'P&amp;L'!$E141*Drivers!O$114, $B32="Quarterly Smoothing", 'P&amp;L'!$E141*Drivers!O$115,
     $B32="Two-Installment (front-loaded)", 'P&amp;L'!$E141*Drivers!O$116, $B32="Two-Installment (back-loaded)", 'P&amp;L'!$E141*Drivers!O$117,
     $B32="Year Start Lump Sum", 'P&amp;L'!$E141*Drivers!O$118,$B32="OSPI State Apportionment", 'P&amp;L'!$E141*Drivers!O$119, $B32="Expense Reimbursement", 'P&amp;L'!$E141*Drivers!O$120,
     $B32="Direct Monthly Input", 0)</f>
        <v>730.8</v>
      </c>
      <c r="M32" s="421" cm="1">
        <f t="array" ref="M32">_xlfn.IFS($B32="12-Month Smoothing", 'P&amp;L'!$E141*Drivers!P$113, $B32="10-Month Academic Calendar", 'P&amp;L'!$E141*Drivers!P$114, $B32="Quarterly Smoothing", 'P&amp;L'!$E141*Drivers!P$115,
     $B32="Two-Installment (front-loaded)", 'P&amp;L'!$E141*Drivers!P$116, $B32="Two-Installment (back-loaded)", 'P&amp;L'!$E141*Drivers!P$117,
     $B32="Year Start Lump Sum", 'P&amp;L'!$E141*Drivers!P$118,$B32="OSPI State Apportionment", 'P&amp;L'!$E141*Drivers!P$119, $B32="Expense Reimbursement", 'P&amp;L'!$E141*Drivers!P$120,
     $B32="Direct Monthly Input", 0)</f>
        <v>730.8</v>
      </c>
      <c r="N32" s="421" cm="1">
        <f t="array" ref="N32">_xlfn.IFS($B32="12-Month Smoothing", 'P&amp;L'!$E141*Drivers!Q$113, $B32="10-Month Academic Calendar", 'P&amp;L'!$E141*Drivers!Q$114, $B32="Quarterly Smoothing", 'P&amp;L'!$E141*Drivers!Q$115,
     $B32="Two-Installment (front-loaded)", 'P&amp;L'!$E141*Drivers!Q$116, $B32="Two-Installment (back-loaded)", 'P&amp;L'!$E141*Drivers!Q$117,
     $B32="Year Start Lump Sum", 'P&amp;L'!$E141*Drivers!Q$118,$B32="OSPI State Apportionment", 'P&amp;L'!$E141*Drivers!Q$119, $B32="Expense Reimbursement", 'P&amp;L'!$E141*Drivers!Q$120,
     $B32="Direct Monthly Input", 0)</f>
        <v>730.8</v>
      </c>
      <c r="O32" s="427" cm="1">
        <f t="array" ref="O32">_xlfn.IFS($B32="12-Month Smoothing", 'P&amp;L'!$E141*Drivers!R$113, $B32="10-Month Academic Calendar", 'P&amp;L'!$E141*Drivers!R$114, $B32="Quarterly Smoothing", 'P&amp;L'!$E141*Drivers!R$115,
     $B32="Two-Installment (front-loaded)", 'P&amp;L'!$E141*Drivers!R$116, $B32="Two-Installment (back-loaded)", 'P&amp;L'!$E141*Drivers!R$117,
     $B32="Year Start Lump Sum", 'P&amp;L'!$E141*Drivers!R$118,$B32="OSPI State Apportionment", 'P&amp;L'!$E141*Drivers!R$119, $B32="Expense Reimbursement", 'P&amp;L'!$E141*Drivers!R$120,
     $B32="Direct Monthly Input", 0)</f>
        <v>2192.4</v>
      </c>
      <c r="P32" s="129">
        <f t="shared" si="3"/>
        <v>8769.6</v>
      </c>
      <c r="Q32" s="730"/>
      <c r="R32" s="537"/>
    </row>
    <row r="33" spans="1:18" s="538" customFormat="1" ht="17" thickBot="1">
      <c r="A33" s="734"/>
      <c r="B33" s="419" t="s">
        <v>443</v>
      </c>
      <c r="C33" s="725" t="str">
        <f>'P&amp;L'!C142</f>
        <v>Title III</v>
      </c>
      <c r="D33" s="421" cm="1">
        <f t="array" ref="D33">_xlfn.IFS($B33="12-Month Smoothing", 'P&amp;L'!$E142*Drivers!G$113, $B33="10-Month Academic Calendar", 'P&amp;L'!$E142*Drivers!G$114, $B33="Quarterly Smoothing", 'P&amp;L'!$E142*Drivers!G$115,
     $B33="Two-Installment (front-loaded)", 'P&amp;L'!$E142*Drivers!G$116, $B33="Two-Installment (back-loaded)", 'P&amp;L'!$E142*Drivers!G$117,
     $B33="Year Start Lump Sum", 'P&amp;L'!$E142*Drivers!G$118,$B33="OSPI State Apportionment", 'P&amp;L'!$E142*Drivers!G$119, $B33="Expense Reimbursement", 'P&amp;L'!$E142*Drivers!G$120,
     $B33="Direct Monthly Input", 0)</f>
        <v>0</v>
      </c>
      <c r="E33" s="421" cm="1">
        <f t="array" ref="E33">_xlfn.IFS($B33="12-Month Smoothing", 'P&amp;L'!$E142*Drivers!H$113, $B33="10-Month Academic Calendar", 'P&amp;L'!$E142*Drivers!H$114, $B33="Quarterly Smoothing", 'P&amp;L'!$E142*Drivers!H$115,
     $B33="Two-Installment (front-loaded)", 'P&amp;L'!$E142*Drivers!H$116, $B33="Two-Installment (back-loaded)", 'P&amp;L'!$E142*Drivers!H$117,
     $B33="Year Start Lump Sum", 'P&amp;L'!$E142*Drivers!H$118,$B33="OSPI State Apportionment", 'P&amp;L'!$E142*Drivers!H$119, $B33="Expense Reimbursement", 'P&amp;L'!$E142*Drivers!H$120,
     $B33="Direct Monthly Input", 0)</f>
        <v>0</v>
      </c>
      <c r="F33" s="421" cm="1">
        <f t="array" ref="F33">_xlfn.IFS($B33="12-Month Smoothing", 'P&amp;L'!$E142*Drivers!I$113, $B33="10-Month Academic Calendar", 'P&amp;L'!$E142*Drivers!I$114, $B33="Quarterly Smoothing", 'P&amp;L'!$E142*Drivers!I$115,
     $B33="Two-Installment (front-loaded)", 'P&amp;L'!$E142*Drivers!I$116, $B33="Two-Installment (back-loaded)", 'P&amp;L'!$E142*Drivers!I$117,
     $B33="Year Start Lump Sum", 'P&amp;L'!$E142*Drivers!I$118,$B33="OSPI State Apportionment", 'P&amp;L'!$E142*Drivers!I$119, $B33="Expense Reimbursement", 'P&amp;L'!$E142*Drivers!I$120,
     $B33="Direct Monthly Input", 0)</f>
        <v>466.89999999999992</v>
      </c>
      <c r="G33" s="421" cm="1">
        <f t="array" ref="G33">_xlfn.IFS($B33="12-Month Smoothing", 'P&amp;L'!$E142*Drivers!J$113, $B33="10-Month Academic Calendar", 'P&amp;L'!$E142*Drivers!J$114, $B33="Quarterly Smoothing", 'P&amp;L'!$E142*Drivers!J$115,
     $B33="Two-Installment (front-loaded)", 'P&amp;L'!$E142*Drivers!J$116, $B33="Two-Installment (back-loaded)", 'P&amp;L'!$E142*Drivers!J$117,
     $B33="Year Start Lump Sum", 'P&amp;L'!$E142*Drivers!J$118,$B33="OSPI State Apportionment", 'P&amp;L'!$E142*Drivers!J$119, $B33="Expense Reimbursement", 'P&amp;L'!$E142*Drivers!J$120,
     $B33="Direct Monthly Input", 0)</f>
        <v>466.89999999999992</v>
      </c>
      <c r="H33" s="421" cm="1">
        <f t="array" ref="H33">_xlfn.IFS($B33="12-Month Smoothing", 'P&amp;L'!$E142*Drivers!K$113, $B33="10-Month Academic Calendar", 'P&amp;L'!$E142*Drivers!K$114, $B33="Quarterly Smoothing", 'P&amp;L'!$E142*Drivers!K$115,
     $B33="Two-Installment (front-loaded)", 'P&amp;L'!$E142*Drivers!K$116, $B33="Two-Installment (back-loaded)", 'P&amp;L'!$E142*Drivers!K$117,
     $B33="Year Start Lump Sum", 'P&amp;L'!$E142*Drivers!K$118,$B33="OSPI State Apportionment", 'P&amp;L'!$E142*Drivers!K$119, $B33="Expense Reimbursement", 'P&amp;L'!$E142*Drivers!K$120,
     $B33="Direct Monthly Input", 0)</f>
        <v>466.89999999999992</v>
      </c>
      <c r="I33" s="421" cm="1">
        <f t="array" ref="I33">_xlfn.IFS($B33="12-Month Smoothing", 'P&amp;L'!$E142*Drivers!L$113, $B33="10-Month Academic Calendar", 'P&amp;L'!$E142*Drivers!L$114, $B33="Quarterly Smoothing", 'P&amp;L'!$E142*Drivers!L$115,
     $B33="Two-Installment (front-loaded)", 'P&amp;L'!$E142*Drivers!L$116, $B33="Two-Installment (back-loaded)", 'P&amp;L'!$E142*Drivers!L$117,
     $B33="Year Start Lump Sum", 'P&amp;L'!$E142*Drivers!L$118,$B33="OSPI State Apportionment", 'P&amp;L'!$E142*Drivers!L$119, $B33="Expense Reimbursement", 'P&amp;L'!$E142*Drivers!L$120,
     $B33="Direct Monthly Input", 0)</f>
        <v>466.89999999999992</v>
      </c>
      <c r="J33" s="421" cm="1">
        <f t="array" ref="J33">_xlfn.IFS($B33="12-Month Smoothing", 'P&amp;L'!$E142*Drivers!M$113, $B33="10-Month Academic Calendar", 'P&amp;L'!$E142*Drivers!M$114, $B33="Quarterly Smoothing", 'P&amp;L'!$E142*Drivers!M$115,
     $B33="Two-Installment (front-loaded)", 'P&amp;L'!$E142*Drivers!M$116, $B33="Two-Installment (back-loaded)", 'P&amp;L'!$E142*Drivers!M$117,
     $B33="Year Start Lump Sum", 'P&amp;L'!$E142*Drivers!M$118,$B33="OSPI State Apportionment", 'P&amp;L'!$E142*Drivers!M$119, $B33="Expense Reimbursement", 'P&amp;L'!$E142*Drivers!M$120,
     $B33="Direct Monthly Input", 0)</f>
        <v>466.89999999999992</v>
      </c>
      <c r="K33" s="421" cm="1">
        <f t="array" ref="K33">_xlfn.IFS($B33="12-Month Smoothing", 'P&amp;L'!$E142*Drivers!N$113, $B33="10-Month Academic Calendar", 'P&amp;L'!$E142*Drivers!N$114, $B33="Quarterly Smoothing", 'P&amp;L'!$E142*Drivers!N$115,
     $B33="Two-Installment (front-loaded)", 'P&amp;L'!$E142*Drivers!N$116, $B33="Two-Installment (back-loaded)", 'P&amp;L'!$E142*Drivers!N$117,
     $B33="Year Start Lump Sum", 'P&amp;L'!$E142*Drivers!N$118,$B33="OSPI State Apportionment", 'P&amp;L'!$E142*Drivers!N$119, $B33="Expense Reimbursement", 'P&amp;L'!$E142*Drivers!N$120,
     $B33="Direct Monthly Input", 0)</f>
        <v>466.89999999999992</v>
      </c>
      <c r="L33" s="421" cm="1">
        <f t="array" ref="L33">_xlfn.IFS($B33="12-Month Smoothing", 'P&amp;L'!$E142*Drivers!O$113, $B33="10-Month Academic Calendar", 'P&amp;L'!$E142*Drivers!O$114, $B33="Quarterly Smoothing", 'P&amp;L'!$E142*Drivers!O$115,
     $B33="Two-Installment (front-loaded)", 'P&amp;L'!$E142*Drivers!O$116, $B33="Two-Installment (back-loaded)", 'P&amp;L'!$E142*Drivers!O$117,
     $B33="Year Start Lump Sum", 'P&amp;L'!$E142*Drivers!O$118,$B33="OSPI State Apportionment", 'P&amp;L'!$E142*Drivers!O$119, $B33="Expense Reimbursement", 'P&amp;L'!$E142*Drivers!O$120,
     $B33="Direct Monthly Input", 0)</f>
        <v>466.89999999999992</v>
      </c>
      <c r="M33" s="421" cm="1">
        <f t="array" ref="M33">_xlfn.IFS($B33="12-Month Smoothing", 'P&amp;L'!$E142*Drivers!P$113, $B33="10-Month Academic Calendar", 'P&amp;L'!$E142*Drivers!P$114, $B33="Quarterly Smoothing", 'P&amp;L'!$E142*Drivers!P$115,
     $B33="Two-Installment (front-loaded)", 'P&amp;L'!$E142*Drivers!P$116, $B33="Two-Installment (back-loaded)", 'P&amp;L'!$E142*Drivers!P$117,
     $B33="Year Start Lump Sum", 'P&amp;L'!$E142*Drivers!P$118,$B33="OSPI State Apportionment", 'P&amp;L'!$E142*Drivers!P$119, $B33="Expense Reimbursement", 'P&amp;L'!$E142*Drivers!P$120,
     $B33="Direct Monthly Input", 0)</f>
        <v>466.89999999999992</v>
      </c>
      <c r="N33" s="421" cm="1">
        <f t="array" ref="N33">_xlfn.IFS($B33="12-Month Smoothing", 'P&amp;L'!$E142*Drivers!Q$113, $B33="10-Month Academic Calendar", 'P&amp;L'!$E142*Drivers!Q$114, $B33="Quarterly Smoothing", 'P&amp;L'!$E142*Drivers!Q$115,
     $B33="Two-Installment (front-loaded)", 'P&amp;L'!$E142*Drivers!Q$116, $B33="Two-Installment (back-loaded)", 'P&amp;L'!$E142*Drivers!Q$117,
     $B33="Year Start Lump Sum", 'P&amp;L'!$E142*Drivers!Q$118,$B33="OSPI State Apportionment", 'P&amp;L'!$E142*Drivers!Q$119, $B33="Expense Reimbursement", 'P&amp;L'!$E142*Drivers!Q$120,
     $B33="Direct Monthly Input", 0)</f>
        <v>466.89999999999992</v>
      </c>
      <c r="O33" s="427" cm="1">
        <f t="array" ref="O33">_xlfn.IFS($B33="12-Month Smoothing", 'P&amp;L'!$E142*Drivers!R$113, $B33="10-Month Academic Calendar", 'P&amp;L'!$E142*Drivers!R$114, $B33="Quarterly Smoothing", 'P&amp;L'!$E142*Drivers!R$115,
     $B33="Two-Installment (front-loaded)", 'P&amp;L'!$E142*Drivers!R$116, $B33="Two-Installment (back-loaded)", 'P&amp;L'!$E142*Drivers!R$117,
     $B33="Year Start Lump Sum", 'P&amp;L'!$E142*Drivers!R$118,$B33="OSPI State Apportionment", 'P&amp;L'!$E142*Drivers!R$119, $B33="Expense Reimbursement", 'P&amp;L'!$E142*Drivers!R$120,
     $B33="Direct Monthly Input", 0)</f>
        <v>1400.6999999999998</v>
      </c>
      <c r="P33" s="129">
        <f t="shared" si="3"/>
        <v>5602.7999999999993</v>
      </c>
      <c r="Q33" s="730"/>
      <c r="R33" s="537"/>
    </row>
    <row r="34" spans="1:18" s="538" customFormat="1" ht="17" thickBot="1">
      <c r="A34" s="734"/>
      <c r="B34" s="419" t="s">
        <v>443</v>
      </c>
      <c r="C34" s="725" t="str">
        <f>'P&amp;L'!C143</f>
        <v>IDEA Funding</v>
      </c>
      <c r="D34" s="421" cm="1">
        <f t="array" ref="D34">_xlfn.IFS($B34="12-Month Smoothing", 'P&amp;L'!$E143*Drivers!G$113, $B34="10-Month Academic Calendar", 'P&amp;L'!$E143*Drivers!G$114, $B34="Quarterly Smoothing", 'P&amp;L'!$E143*Drivers!G$115,
     $B34="Two-Installment (front-loaded)", 'P&amp;L'!$E143*Drivers!G$116, $B34="Two-Installment (back-loaded)", 'P&amp;L'!$E143*Drivers!G$117,
     $B34="Year Start Lump Sum", 'P&amp;L'!$E143*Drivers!G$118,$B34="OSPI State Apportionment", 'P&amp;L'!$E143*Drivers!G$119, $B34="Expense Reimbursement", 'P&amp;L'!$E143*Drivers!G$120,
     $B34="Direct Monthly Input", 0)</f>
        <v>0</v>
      </c>
      <c r="E34" s="421" cm="1">
        <f t="array" ref="E34">_xlfn.IFS($B34="12-Month Smoothing", 'P&amp;L'!$E143*Drivers!H$113, $B34="10-Month Academic Calendar", 'P&amp;L'!$E143*Drivers!H$114, $B34="Quarterly Smoothing", 'P&amp;L'!$E143*Drivers!H$115,
     $B34="Two-Installment (front-loaded)", 'P&amp;L'!$E143*Drivers!H$116, $B34="Two-Installment (back-loaded)", 'P&amp;L'!$E143*Drivers!H$117,
     $B34="Year Start Lump Sum", 'P&amp;L'!$E143*Drivers!H$118,$B34="OSPI State Apportionment", 'P&amp;L'!$E143*Drivers!H$119, $B34="Expense Reimbursement", 'P&amp;L'!$E143*Drivers!H$120,
     $B34="Direct Monthly Input", 0)</f>
        <v>0</v>
      </c>
      <c r="F34" s="421" cm="1">
        <f t="array" ref="F34">_xlfn.IFS($B34="12-Month Smoothing", 'P&amp;L'!$E143*Drivers!I$113, $B34="10-Month Academic Calendar", 'P&amp;L'!$E143*Drivers!I$114, $B34="Quarterly Smoothing", 'P&amp;L'!$E143*Drivers!I$115,
     $B34="Two-Installment (front-loaded)", 'P&amp;L'!$E143*Drivers!I$116, $B34="Two-Installment (back-loaded)", 'P&amp;L'!$E143*Drivers!I$117,
     $B34="Year Start Lump Sum", 'P&amp;L'!$E143*Drivers!I$118,$B34="OSPI State Apportionment", 'P&amp;L'!$E143*Drivers!I$119, $B34="Expense Reimbursement", 'P&amp;L'!$E143*Drivers!I$120,
     $B34="Direct Monthly Input", 0)</f>
        <v>11076.75</v>
      </c>
      <c r="G34" s="421" cm="1">
        <f t="array" ref="G34">_xlfn.IFS($B34="12-Month Smoothing", 'P&amp;L'!$E143*Drivers!J$113, $B34="10-Month Academic Calendar", 'P&amp;L'!$E143*Drivers!J$114, $B34="Quarterly Smoothing", 'P&amp;L'!$E143*Drivers!J$115,
     $B34="Two-Installment (front-loaded)", 'P&amp;L'!$E143*Drivers!J$116, $B34="Two-Installment (back-loaded)", 'P&amp;L'!$E143*Drivers!J$117,
     $B34="Year Start Lump Sum", 'P&amp;L'!$E143*Drivers!J$118,$B34="OSPI State Apportionment", 'P&amp;L'!$E143*Drivers!J$119, $B34="Expense Reimbursement", 'P&amp;L'!$E143*Drivers!J$120,
     $B34="Direct Monthly Input", 0)</f>
        <v>11076.75</v>
      </c>
      <c r="H34" s="421" cm="1">
        <f t="array" ref="H34">_xlfn.IFS($B34="12-Month Smoothing", 'P&amp;L'!$E143*Drivers!K$113, $B34="10-Month Academic Calendar", 'P&amp;L'!$E143*Drivers!K$114, $B34="Quarterly Smoothing", 'P&amp;L'!$E143*Drivers!K$115,
     $B34="Two-Installment (front-loaded)", 'P&amp;L'!$E143*Drivers!K$116, $B34="Two-Installment (back-loaded)", 'P&amp;L'!$E143*Drivers!K$117,
     $B34="Year Start Lump Sum", 'P&amp;L'!$E143*Drivers!K$118,$B34="OSPI State Apportionment", 'P&amp;L'!$E143*Drivers!K$119, $B34="Expense Reimbursement", 'P&amp;L'!$E143*Drivers!K$120,
     $B34="Direct Monthly Input", 0)</f>
        <v>11076.75</v>
      </c>
      <c r="I34" s="421" cm="1">
        <f t="array" ref="I34">_xlfn.IFS($B34="12-Month Smoothing", 'P&amp;L'!$E143*Drivers!L$113, $B34="10-Month Academic Calendar", 'P&amp;L'!$E143*Drivers!L$114, $B34="Quarterly Smoothing", 'P&amp;L'!$E143*Drivers!L$115,
     $B34="Two-Installment (front-loaded)", 'P&amp;L'!$E143*Drivers!L$116, $B34="Two-Installment (back-loaded)", 'P&amp;L'!$E143*Drivers!L$117,
     $B34="Year Start Lump Sum", 'P&amp;L'!$E143*Drivers!L$118,$B34="OSPI State Apportionment", 'P&amp;L'!$E143*Drivers!L$119, $B34="Expense Reimbursement", 'P&amp;L'!$E143*Drivers!L$120,
     $B34="Direct Monthly Input", 0)</f>
        <v>11076.75</v>
      </c>
      <c r="J34" s="421" cm="1">
        <f t="array" ref="J34">_xlfn.IFS($B34="12-Month Smoothing", 'P&amp;L'!$E143*Drivers!M$113, $B34="10-Month Academic Calendar", 'P&amp;L'!$E143*Drivers!M$114, $B34="Quarterly Smoothing", 'P&amp;L'!$E143*Drivers!M$115,
     $B34="Two-Installment (front-loaded)", 'P&amp;L'!$E143*Drivers!M$116, $B34="Two-Installment (back-loaded)", 'P&amp;L'!$E143*Drivers!M$117,
     $B34="Year Start Lump Sum", 'P&amp;L'!$E143*Drivers!M$118,$B34="OSPI State Apportionment", 'P&amp;L'!$E143*Drivers!M$119, $B34="Expense Reimbursement", 'P&amp;L'!$E143*Drivers!M$120,
     $B34="Direct Monthly Input", 0)</f>
        <v>11076.75</v>
      </c>
      <c r="K34" s="421" cm="1">
        <f t="array" ref="K34">_xlfn.IFS($B34="12-Month Smoothing", 'P&amp;L'!$E143*Drivers!N$113, $B34="10-Month Academic Calendar", 'P&amp;L'!$E143*Drivers!N$114, $B34="Quarterly Smoothing", 'P&amp;L'!$E143*Drivers!N$115,
     $B34="Two-Installment (front-loaded)", 'P&amp;L'!$E143*Drivers!N$116, $B34="Two-Installment (back-loaded)", 'P&amp;L'!$E143*Drivers!N$117,
     $B34="Year Start Lump Sum", 'P&amp;L'!$E143*Drivers!N$118,$B34="OSPI State Apportionment", 'P&amp;L'!$E143*Drivers!N$119, $B34="Expense Reimbursement", 'P&amp;L'!$E143*Drivers!N$120,
     $B34="Direct Monthly Input", 0)</f>
        <v>11076.75</v>
      </c>
      <c r="L34" s="421" cm="1">
        <f t="array" ref="L34">_xlfn.IFS($B34="12-Month Smoothing", 'P&amp;L'!$E143*Drivers!O$113, $B34="10-Month Academic Calendar", 'P&amp;L'!$E143*Drivers!O$114, $B34="Quarterly Smoothing", 'P&amp;L'!$E143*Drivers!O$115,
     $B34="Two-Installment (front-loaded)", 'P&amp;L'!$E143*Drivers!O$116, $B34="Two-Installment (back-loaded)", 'P&amp;L'!$E143*Drivers!O$117,
     $B34="Year Start Lump Sum", 'P&amp;L'!$E143*Drivers!O$118,$B34="OSPI State Apportionment", 'P&amp;L'!$E143*Drivers!O$119, $B34="Expense Reimbursement", 'P&amp;L'!$E143*Drivers!O$120,
     $B34="Direct Monthly Input", 0)</f>
        <v>11076.75</v>
      </c>
      <c r="M34" s="421" cm="1">
        <f t="array" ref="M34">_xlfn.IFS($B34="12-Month Smoothing", 'P&amp;L'!$E143*Drivers!P$113, $B34="10-Month Academic Calendar", 'P&amp;L'!$E143*Drivers!P$114, $B34="Quarterly Smoothing", 'P&amp;L'!$E143*Drivers!P$115,
     $B34="Two-Installment (front-loaded)", 'P&amp;L'!$E143*Drivers!P$116, $B34="Two-Installment (back-loaded)", 'P&amp;L'!$E143*Drivers!P$117,
     $B34="Year Start Lump Sum", 'P&amp;L'!$E143*Drivers!P$118,$B34="OSPI State Apportionment", 'P&amp;L'!$E143*Drivers!P$119, $B34="Expense Reimbursement", 'P&amp;L'!$E143*Drivers!P$120,
     $B34="Direct Monthly Input", 0)</f>
        <v>11076.75</v>
      </c>
      <c r="N34" s="421" cm="1">
        <f t="array" ref="N34">_xlfn.IFS($B34="12-Month Smoothing", 'P&amp;L'!$E143*Drivers!Q$113, $B34="10-Month Academic Calendar", 'P&amp;L'!$E143*Drivers!Q$114, $B34="Quarterly Smoothing", 'P&amp;L'!$E143*Drivers!Q$115,
     $B34="Two-Installment (front-loaded)", 'P&amp;L'!$E143*Drivers!Q$116, $B34="Two-Installment (back-loaded)", 'P&amp;L'!$E143*Drivers!Q$117,
     $B34="Year Start Lump Sum", 'P&amp;L'!$E143*Drivers!Q$118,$B34="OSPI State Apportionment", 'P&amp;L'!$E143*Drivers!Q$119, $B34="Expense Reimbursement", 'P&amp;L'!$E143*Drivers!Q$120,
     $B34="Direct Monthly Input", 0)</f>
        <v>11076.75</v>
      </c>
      <c r="O34" s="427" cm="1">
        <f t="array" ref="O34">_xlfn.IFS($B34="12-Month Smoothing", 'P&amp;L'!$E143*Drivers!R$113, $B34="10-Month Academic Calendar", 'P&amp;L'!$E143*Drivers!R$114, $B34="Quarterly Smoothing", 'P&amp;L'!$E143*Drivers!R$115,
     $B34="Two-Installment (front-loaded)", 'P&amp;L'!$E143*Drivers!R$116, $B34="Two-Installment (back-loaded)", 'P&amp;L'!$E143*Drivers!R$117,
     $B34="Year Start Lump Sum", 'P&amp;L'!$E143*Drivers!R$118,$B34="OSPI State Apportionment", 'P&amp;L'!$E143*Drivers!R$119, $B34="Expense Reimbursement", 'P&amp;L'!$E143*Drivers!R$120,
     $B34="Direct Monthly Input", 0)</f>
        <v>33230.25</v>
      </c>
      <c r="P34" s="129">
        <f t="shared" si="3"/>
        <v>132921</v>
      </c>
      <c r="Q34" s="730"/>
      <c r="R34" s="537"/>
    </row>
    <row r="35" spans="1:18" s="538" customFormat="1" ht="17" thickBot="1">
      <c r="A35" s="734"/>
      <c r="B35" s="419" t="s">
        <v>443</v>
      </c>
      <c r="C35" s="725" t="str">
        <f>'P&amp;L'!C144</f>
        <v>CSP</v>
      </c>
      <c r="D35" s="421" cm="1">
        <f t="array" ref="D35">_xlfn.IFS($B35="12-Month Smoothing", 'P&amp;L'!$E144*Drivers!G$113, $B35="10-Month Academic Calendar", 'P&amp;L'!$E144*Drivers!G$114, $B35="Quarterly Smoothing", 'P&amp;L'!$E144*Drivers!G$115,
     $B35="Two-Installment (front-loaded)", 'P&amp;L'!$E144*Drivers!G$116, $B35="Two-Installment (back-loaded)", 'P&amp;L'!$E144*Drivers!G$117,
     $B35="Year Start Lump Sum", 'P&amp;L'!$E144*Drivers!G$118,$B35="OSPI State Apportionment", 'P&amp;L'!$E144*Drivers!G$119, $B35="Expense Reimbursement", 'P&amp;L'!$E144*Drivers!G$120,
     $B35="Direct Monthly Input", 0)</f>
        <v>0</v>
      </c>
      <c r="E35" s="421" cm="1">
        <f t="array" ref="E35">_xlfn.IFS($B35="12-Month Smoothing", 'P&amp;L'!$E144*Drivers!H$113, $B35="10-Month Academic Calendar", 'P&amp;L'!$E144*Drivers!H$114, $B35="Quarterly Smoothing", 'P&amp;L'!$E144*Drivers!H$115,
     $B35="Two-Installment (front-loaded)", 'P&amp;L'!$E144*Drivers!H$116, $B35="Two-Installment (back-loaded)", 'P&amp;L'!$E144*Drivers!H$117,
     $B35="Year Start Lump Sum", 'P&amp;L'!$E144*Drivers!H$118,$B35="OSPI State Apportionment", 'P&amp;L'!$E144*Drivers!H$119, $B35="Expense Reimbursement", 'P&amp;L'!$E144*Drivers!H$120,
     $B35="Direct Monthly Input", 0)</f>
        <v>0</v>
      </c>
      <c r="F35" s="421" cm="1">
        <f t="array" ref="F35">_xlfn.IFS($B35="12-Month Smoothing", 'P&amp;L'!$E144*Drivers!I$113, $B35="10-Month Academic Calendar", 'P&amp;L'!$E144*Drivers!I$114, $B35="Quarterly Smoothing", 'P&amp;L'!$E144*Drivers!I$115,
     $B35="Two-Installment (front-loaded)", 'P&amp;L'!$E144*Drivers!I$116, $B35="Two-Installment (back-loaded)", 'P&amp;L'!$E144*Drivers!I$117,
     $B35="Year Start Lump Sum", 'P&amp;L'!$E144*Drivers!I$118,$B35="OSPI State Apportionment", 'P&amp;L'!$E144*Drivers!I$119, $B35="Expense Reimbursement", 'P&amp;L'!$E144*Drivers!I$120,
     $B35="Direct Monthly Input", 0)</f>
        <v>33333.333333333328</v>
      </c>
      <c r="G35" s="421" cm="1">
        <f t="array" ref="G35">_xlfn.IFS($B35="12-Month Smoothing", 'P&amp;L'!$E144*Drivers!J$113, $B35="10-Month Academic Calendar", 'P&amp;L'!$E144*Drivers!J$114, $B35="Quarterly Smoothing", 'P&amp;L'!$E144*Drivers!J$115,
     $B35="Two-Installment (front-loaded)", 'P&amp;L'!$E144*Drivers!J$116, $B35="Two-Installment (back-loaded)", 'P&amp;L'!$E144*Drivers!J$117,
     $B35="Year Start Lump Sum", 'P&amp;L'!$E144*Drivers!J$118,$B35="OSPI State Apportionment", 'P&amp;L'!$E144*Drivers!J$119, $B35="Expense Reimbursement", 'P&amp;L'!$E144*Drivers!J$120,
     $B35="Direct Monthly Input", 0)</f>
        <v>33333.333333333328</v>
      </c>
      <c r="H35" s="421" cm="1">
        <f t="array" ref="H35">_xlfn.IFS($B35="12-Month Smoothing", 'P&amp;L'!$E144*Drivers!K$113, $B35="10-Month Academic Calendar", 'P&amp;L'!$E144*Drivers!K$114, $B35="Quarterly Smoothing", 'P&amp;L'!$E144*Drivers!K$115,
     $B35="Two-Installment (front-loaded)", 'P&amp;L'!$E144*Drivers!K$116, $B35="Two-Installment (back-loaded)", 'P&amp;L'!$E144*Drivers!K$117,
     $B35="Year Start Lump Sum", 'P&amp;L'!$E144*Drivers!K$118,$B35="OSPI State Apportionment", 'P&amp;L'!$E144*Drivers!K$119, $B35="Expense Reimbursement", 'P&amp;L'!$E144*Drivers!K$120,
     $B35="Direct Monthly Input", 0)</f>
        <v>33333.333333333328</v>
      </c>
      <c r="I35" s="421" cm="1">
        <f t="array" ref="I35">_xlfn.IFS($B35="12-Month Smoothing", 'P&amp;L'!$E144*Drivers!L$113, $B35="10-Month Academic Calendar", 'P&amp;L'!$E144*Drivers!L$114, $B35="Quarterly Smoothing", 'P&amp;L'!$E144*Drivers!L$115,
     $B35="Two-Installment (front-loaded)", 'P&amp;L'!$E144*Drivers!L$116, $B35="Two-Installment (back-loaded)", 'P&amp;L'!$E144*Drivers!L$117,
     $B35="Year Start Lump Sum", 'P&amp;L'!$E144*Drivers!L$118,$B35="OSPI State Apportionment", 'P&amp;L'!$E144*Drivers!L$119, $B35="Expense Reimbursement", 'P&amp;L'!$E144*Drivers!L$120,
     $B35="Direct Monthly Input", 0)</f>
        <v>33333.333333333328</v>
      </c>
      <c r="J35" s="421" cm="1">
        <f t="array" ref="J35">_xlfn.IFS($B35="12-Month Smoothing", 'P&amp;L'!$E144*Drivers!M$113, $B35="10-Month Academic Calendar", 'P&amp;L'!$E144*Drivers!M$114, $B35="Quarterly Smoothing", 'P&amp;L'!$E144*Drivers!M$115,
     $B35="Two-Installment (front-loaded)", 'P&amp;L'!$E144*Drivers!M$116, $B35="Two-Installment (back-loaded)", 'P&amp;L'!$E144*Drivers!M$117,
     $B35="Year Start Lump Sum", 'P&amp;L'!$E144*Drivers!M$118,$B35="OSPI State Apportionment", 'P&amp;L'!$E144*Drivers!M$119, $B35="Expense Reimbursement", 'P&amp;L'!$E144*Drivers!M$120,
     $B35="Direct Monthly Input", 0)</f>
        <v>33333.333333333328</v>
      </c>
      <c r="K35" s="421" cm="1">
        <f t="array" ref="K35">_xlfn.IFS($B35="12-Month Smoothing", 'P&amp;L'!$E144*Drivers!N$113, $B35="10-Month Academic Calendar", 'P&amp;L'!$E144*Drivers!N$114, $B35="Quarterly Smoothing", 'P&amp;L'!$E144*Drivers!N$115,
     $B35="Two-Installment (front-loaded)", 'P&amp;L'!$E144*Drivers!N$116, $B35="Two-Installment (back-loaded)", 'P&amp;L'!$E144*Drivers!N$117,
     $B35="Year Start Lump Sum", 'P&amp;L'!$E144*Drivers!N$118,$B35="OSPI State Apportionment", 'P&amp;L'!$E144*Drivers!N$119, $B35="Expense Reimbursement", 'P&amp;L'!$E144*Drivers!N$120,
     $B35="Direct Monthly Input", 0)</f>
        <v>33333.333333333328</v>
      </c>
      <c r="L35" s="421" cm="1">
        <f t="array" ref="L35">_xlfn.IFS($B35="12-Month Smoothing", 'P&amp;L'!$E144*Drivers!O$113, $B35="10-Month Academic Calendar", 'P&amp;L'!$E144*Drivers!O$114, $B35="Quarterly Smoothing", 'P&amp;L'!$E144*Drivers!O$115,
     $B35="Two-Installment (front-loaded)", 'P&amp;L'!$E144*Drivers!O$116, $B35="Two-Installment (back-loaded)", 'P&amp;L'!$E144*Drivers!O$117,
     $B35="Year Start Lump Sum", 'P&amp;L'!$E144*Drivers!O$118,$B35="OSPI State Apportionment", 'P&amp;L'!$E144*Drivers!O$119, $B35="Expense Reimbursement", 'P&amp;L'!$E144*Drivers!O$120,
     $B35="Direct Monthly Input", 0)</f>
        <v>33333.333333333328</v>
      </c>
      <c r="M35" s="421" cm="1">
        <f t="array" ref="M35">_xlfn.IFS($B35="12-Month Smoothing", 'P&amp;L'!$E144*Drivers!P$113, $B35="10-Month Academic Calendar", 'P&amp;L'!$E144*Drivers!P$114, $B35="Quarterly Smoothing", 'P&amp;L'!$E144*Drivers!P$115,
     $B35="Two-Installment (front-loaded)", 'P&amp;L'!$E144*Drivers!P$116, $B35="Two-Installment (back-loaded)", 'P&amp;L'!$E144*Drivers!P$117,
     $B35="Year Start Lump Sum", 'P&amp;L'!$E144*Drivers!P$118,$B35="OSPI State Apportionment", 'P&amp;L'!$E144*Drivers!P$119, $B35="Expense Reimbursement", 'P&amp;L'!$E144*Drivers!P$120,
     $B35="Direct Monthly Input", 0)</f>
        <v>33333.333333333328</v>
      </c>
      <c r="N35" s="421" cm="1">
        <f t="array" ref="N35">_xlfn.IFS($B35="12-Month Smoothing", 'P&amp;L'!$E144*Drivers!Q$113, $B35="10-Month Academic Calendar", 'P&amp;L'!$E144*Drivers!Q$114, $B35="Quarterly Smoothing", 'P&amp;L'!$E144*Drivers!Q$115,
     $B35="Two-Installment (front-loaded)", 'P&amp;L'!$E144*Drivers!Q$116, $B35="Two-Installment (back-loaded)", 'P&amp;L'!$E144*Drivers!Q$117,
     $B35="Year Start Lump Sum", 'P&amp;L'!$E144*Drivers!Q$118,$B35="OSPI State Apportionment", 'P&amp;L'!$E144*Drivers!Q$119, $B35="Expense Reimbursement", 'P&amp;L'!$E144*Drivers!Q$120,
     $B35="Direct Monthly Input", 0)</f>
        <v>33333.333333333328</v>
      </c>
      <c r="O35" s="427" cm="1">
        <f t="array" ref="O35">_xlfn.IFS($B35="12-Month Smoothing", 'P&amp;L'!$E144*Drivers!R$113, $B35="10-Month Academic Calendar", 'P&amp;L'!$E144*Drivers!R$114, $B35="Quarterly Smoothing", 'P&amp;L'!$E144*Drivers!R$115,
     $B35="Two-Installment (front-loaded)", 'P&amp;L'!$E144*Drivers!R$116, $B35="Two-Installment (back-loaded)", 'P&amp;L'!$E144*Drivers!R$117,
     $B35="Year Start Lump Sum", 'P&amp;L'!$E144*Drivers!R$118,$B35="OSPI State Apportionment", 'P&amp;L'!$E144*Drivers!R$119, $B35="Expense Reimbursement", 'P&amp;L'!$E144*Drivers!R$120,
     $B35="Direct Monthly Input", 0)</f>
        <v>100000</v>
      </c>
      <c r="P35" s="129">
        <f t="shared" si="3"/>
        <v>399999.99999999988</v>
      </c>
      <c r="Q35" s="730"/>
      <c r="R35" s="537"/>
    </row>
    <row r="36" spans="1:18" s="538" customFormat="1" ht="17" thickBot="1">
      <c r="A36" s="734"/>
      <c r="B36" s="419" t="s">
        <v>445</v>
      </c>
      <c r="C36" s="725" t="str">
        <f>'P&amp;L'!C145</f>
        <v>All Other 5000 - FEDERAL REVENUE - GENERAL PURPOSE</v>
      </c>
      <c r="D36" s="421" cm="1">
        <f t="array" ref="D36">_xlfn.IFS($B36="12-Month Smoothing", 'P&amp;L'!$E145*Drivers!G$113, $B36="10-Month Academic Calendar", 'P&amp;L'!$E145*Drivers!G$114, $B36="Quarterly Smoothing", 'P&amp;L'!$E145*Drivers!G$115,
     $B36="Two-Installment (front-loaded)", 'P&amp;L'!$E145*Drivers!G$116, $B36="Two-Installment (back-loaded)", 'P&amp;L'!$E145*Drivers!G$117,
     $B36="Year Start Lump Sum", 'P&amp;L'!$E145*Drivers!G$118,$B36="OSPI State Apportionment", 'P&amp;L'!$E145*Drivers!G$119, $B36="Expense Reimbursement", 'P&amp;L'!$E145*Drivers!G$120,
     $B36="Direct Monthly Input", 0)</f>
        <v>0</v>
      </c>
      <c r="E36" s="421" cm="1">
        <f t="array" ref="E36">_xlfn.IFS($B36="12-Month Smoothing", 'P&amp;L'!$E145*Drivers!H$113, $B36="10-Month Academic Calendar", 'P&amp;L'!$E145*Drivers!H$114, $B36="Quarterly Smoothing", 'P&amp;L'!$E145*Drivers!H$115,
     $B36="Two-Installment (front-loaded)", 'P&amp;L'!$E145*Drivers!H$116, $B36="Two-Installment (back-loaded)", 'P&amp;L'!$E145*Drivers!H$117,
     $B36="Year Start Lump Sum", 'P&amp;L'!$E145*Drivers!H$118,$B36="OSPI State Apportionment", 'P&amp;L'!$E145*Drivers!H$119, $B36="Expense Reimbursement", 'P&amp;L'!$E145*Drivers!H$120,
     $B36="Direct Monthly Input", 0)</f>
        <v>0</v>
      </c>
      <c r="F36" s="421" cm="1">
        <f t="array" ref="F36">_xlfn.IFS($B36="12-Month Smoothing", 'P&amp;L'!$E145*Drivers!I$113, $B36="10-Month Academic Calendar", 'P&amp;L'!$E145*Drivers!I$114, $B36="Quarterly Smoothing", 'P&amp;L'!$E145*Drivers!I$115,
     $B36="Two-Installment (front-loaded)", 'P&amp;L'!$E145*Drivers!I$116, $B36="Two-Installment (back-loaded)", 'P&amp;L'!$E145*Drivers!I$117,
     $B36="Year Start Lump Sum", 'P&amp;L'!$E145*Drivers!I$118,$B36="OSPI State Apportionment", 'P&amp;L'!$E145*Drivers!I$119, $B36="Expense Reimbursement", 'P&amp;L'!$E145*Drivers!I$120,
     $B36="Direct Monthly Input", 0)</f>
        <v>0</v>
      </c>
      <c r="G36" s="421" cm="1">
        <f t="array" ref="G36">_xlfn.IFS($B36="12-Month Smoothing", 'P&amp;L'!$E145*Drivers!J$113, $B36="10-Month Academic Calendar", 'P&amp;L'!$E145*Drivers!J$114, $B36="Quarterly Smoothing", 'P&amp;L'!$E145*Drivers!J$115,
     $B36="Two-Installment (front-loaded)", 'P&amp;L'!$E145*Drivers!J$116, $B36="Two-Installment (back-loaded)", 'P&amp;L'!$E145*Drivers!J$117,
     $B36="Year Start Lump Sum", 'P&amp;L'!$E145*Drivers!J$118,$B36="OSPI State Apportionment", 'P&amp;L'!$E145*Drivers!J$119, $B36="Expense Reimbursement", 'P&amp;L'!$E145*Drivers!J$120,
     $B36="Direct Monthly Input", 0)</f>
        <v>0</v>
      </c>
      <c r="H36" s="421" cm="1">
        <f t="array" ref="H36">_xlfn.IFS($B36="12-Month Smoothing", 'P&amp;L'!$E145*Drivers!K$113, $B36="10-Month Academic Calendar", 'P&amp;L'!$E145*Drivers!K$114, $B36="Quarterly Smoothing", 'P&amp;L'!$E145*Drivers!K$115,
     $B36="Two-Installment (front-loaded)", 'P&amp;L'!$E145*Drivers!K$116, $B36="Two-Installment (back-loaded)", 'P&amp;L'!$E145*Drivers!K$117,
     $B36="Year Start Lump Sum", 'P&amp;L'!$E145*Drivers!K$118,$B36="OSPI State Apportionment", 'P&amp;L'!$E145*Drivers!K$119, $B36="Expense Reimbursement", 'P&amp;L'!$E145*Drivers!K$120,
     $B36="Direct Monthly Input", 0)</f>
        <v>0</v>
      </c>
      <c r="I36" s="421" cm="1">
        <f t="array" ref="I36">_xlfn.IFS($B36="12-Month Smoothing", 'P&amp;L'!$E145*Drivers!L$113, $B36="10-Month Academic Calendar", 'P&amp;L'!$E145*Drivers!L$114, $B36="Quarterly Smoothing", 'P&amp;L'!$E145*Drivers!L$115,
     $B36="Two-Installment (front-loaded)", 'P&amp;L'!$E145*Drivers!L$116, $B36="Two-Installment (back-loaded)", 'P&amp;L'!$E145*Drivers!L$117,
     $B36="Year Start Lump Sum", 'P&amp;L'!$E145*Drivers!L$118,$B36="OSPI State Apportionment", 'P&amp;L'!$E145*Drivers!L$119, $B36="Expense Reimbursement", 'P&amp;L'!$E145*Drivers!L$120,
     $B36="Direct Monthly Input", 0)</f>
        <v>0</v>
      </c>
      <c r="J36" s="421" cm="1">
        <f t="array" ref="J36">_xlfn.IFS($B36="12-Month Smoothing", 'P&amp;L'!$E145*Drivers!M$113, $B36="10-Month Academic Calendar", 'P&amp;L'!$E145*Drivers!M$114, $B36="Quarterly Smoothing", 'P&amp;L'!$E145*Drivers!M$115,
     $B36="Two-Installment (front-loaded)", 'P&amp;L'!$E145*Drivers!M$116, $B36="Two-Installment (back-loaded)", 'P&amp;L'!$E145*Drivers!M$117,
     $B36="Year Start Lump Sum", 'P&amp;L'!$E145*Drivers!M$118,$B36="OSPI State Apportionment", 'P&amp;L'!$E145*Drivers!M$119, $B36="Expense Reimbursement", 'P&amp;L'!$E145*Drivers!M$120,
     $B36="Direct Monthly Input", 0)</f>
        <v>0</v>
      </c>
      <c r="K36" s="421" cm="1">
        <f t="array" ref="K36">_xlfn.IFS($B36="12-Month Smoothing", 'P&amp;L'!$E145*Drivers!N$113, $B36="10-Month Academic Calendar", 'P&amp;L'!$E145*Drivers!N$114, $B36="Quarterly Smoothing", 'P&amp;L'!$E145*Drivers!N$115,
     $B36="Two-Installment (front-loaded)", 'P&amp;L'!$E145*Drivers!N$116, $B36="Two-Installment (back-loaded)", 'P&amp;L'!$E145*Drivers!N$117,
     $B36="Year Start Lump Sum", 'P&amp;L'!$E145*Drivers!N$118,$B36="OSPI State Apportionment", 'P&amp;L'!$E145*Drivers!N$119, $B36="Expense Reimbursement", 'P&amp;L'!$E145*Drivers!N$120,
     $B36="Direct Monthly Input", 0)</f>
        <v>0</v>
      </c>
      <c r="L36" s="421" cm="1">
        <f t="array" ref="L36">_xlfn.IFS($B36="12-Month Smoothing", 'P&amp;L'!$E145*Drivers!O$113, $B36="10-Month Academic Calendar", 'P&amp;L'!$E145*Drivers!O$114, $B36="Quarterly Smoothing", 'P&amp;L'!$E145*Drivers!O$115,
     $B36="Two-Installment (front-loaded)", 'P&amp;L'!$E145*Drivers!O$116, $B36="Two-Installment (back-loaded)", 'P&amp;L'!$E145*Drivers!O$117,
     $B36="Year Start Lump Sum", 'P&amp;L'!$E145*Drivers!O$118,$B36="OSPI State Apportionment", 'P&amp;L'!$E145*Drivers!O$119, $B36="Expense Reimbursement", 'P&amp;L'!$E145*Drivers!O$120,
     $B36="Direct Monthly Input", 0)</f>
        <v>0</v>
      </c>
      <c r="M36" s="421" cm="1">
        <f t="array" ref="M36">_xlfn.IFS($B36="12-Month Smoothing", 'P&amp;L'!$E145*Drivers!P$113, $B36="10-Month Academic Calendar", 'P&amp;L'!$E145*Drivers!P$114, $B36="Quarterly Smoothing", 'P&amp;L'!$E145*Drivers!P$115,
     $B36="Two-Installment (front-loaded)", 'P&amp;L'!$E145*Drivers!P$116, $B36="Two-Installment (back-loaded)", 'P&amp;L'!$E145*Drivers!P$117,
     $B36="Year Start Lump Sum", 'P&amp;L'!$E145*Drivers!P$118,$B36="OSPI State Apportionment", 'P&amp;L'!$E145*Drivers!P$119, $B36="Expense Reimbursement", 'P&amp;L'!$E145*Drivers!P$120,
     $B36="Direct Monthly Input", 0)</f>
        <v>0</v>
      </c>
      <c r="N36" s="421" cm="1">
        <f t="array" ref="N36">_xlfn.IFS($B36="12-Month Smoothing", 'P&amp;L'!$E145*Drivers!Q$113, $B36="10-Month Academic Calendar", 'P&amp;L'!$E145*Drivers!Q$114, $B36="Quarterly Smoothing", 'P&amp;L'!$E145*Drivers!Q$115,
     $B36="Two-Installment (front-loaded)", 'P&amp;L'!$E145*Drivers!Q$116, $B36="Two-Installment (back-loaded)", 'P&amp;L'!$E145*Drivers!Q$117,
     $B36="Year Start Lump Sum", 'P&amp;L'!$E145*Drivers!Q$118,$B36="OSPI State Apportionment", 'P&amp;L'!$E145*Drivers!Q$119, $B36="Expense Reimbursement", 'P&amp;L'!$E145*Drivers!Q$120,
     $B36="Direct Monthly Input", 0)</f>
        <v>0</v>
      </c>
      <c r="O36" s="427" cm="1">
        <f t="array" ref="O36">_xlfn.IFS($B36="12-Month Smoothing", 'P&amp;L'!$E145*Drivers!R$113, $B36="10-Month Academic Calendar", 'P&amp;L'!$E145*Drivers!R$114, $B36="Quarterly Smoothing", 'P&amp;L'!$E145*Drivers!R$115,
     $B36="Two-Installment (front-loaded)", 'P&amp;L'!$E145*Drivers!R$116, $B36="Two-Installment (back-loaded)", 'P&amp;L'!$E145*Drivers!R$117,
     $B36="Year Start Lump Sum", 'P&amp;L'!$E145*Drivers!R$118,$B36="OSPI State Apportionment", 'P&amp;L'!$E145*Drivers!R$119, $B36="Expense Reimbursement", 'P&amp;L'!$E145*Drivers!R$120,
     $B36="Direct Monthly Input", 0)</f>
        <v>0</v>
      </c>
      <c r="P36" s="129">
        <f t="shared" si="3"/>
        <v>0</v>
      </c>
      <c r="Q36" s="730"/>
      <c r="R36" s="537"/>
    </row>
    <row r="37" spans="1:18" s="538" customFormat="1" ht="17" thickBot="1">
      <c r="A37" s="734"/>
      <c r="B37" s="419" t="s">
        <v>445</v>
      </c>
      <c r="C37" s="725" t="str">
        <f>'P&amp;L'!C147</f>
        <v xml:space="preserve">6100 - Special Purpose - OSPI Unassigned    </v>
      </c>
      <c r="D37" s="421" cm="1">
        <f t="array" ref="D37">_xlfn.IFS($B37="12-Month Smoothing", 'P&amp;L'!$E147*Drivers!G$113, $B37="10-Month Academic Calendar", 'P&amp;L'!$E147*Drivers!G$114, $B37="Quarterly Smoothing", 'P&amp;L'!$E147*Drivers!G$115,
     $B37="Two-Installment (front-loaded)", 'P&amp;L'!$E147*Drivers!G$116, $B37="Two-Installment (back-loaded)", 'P&amp;L'!$E147*Drivers!G$117,
     $B37="Year Start Lump Sum", 'P&amp;L'!$E147*Drivers!G$118,$B37="OSPI State Apportionment", 'P&amp;L'!$E147*Drivers!G$119, $B37="Expense Reimbursement", 'P&amp;L'!$E147*Drivers!G$120,
     $B37="Direct Monthly Input", 0)</f>
        <v>0</v>
      </c>
      <c r="E37" s="421" cm="1">
        <f t="array" ref="E37">_xlfn.IFS($B37="12-Month Smoothing", 'P&amp;L'!$E147*Drivers!H$113, $B37="10-Month Academic Calendar", 'P&amp;L'!$E147*Drivers!H$114, $B37="Quarterly Smoothing", 'P&amp;L'!$E147*Drivers!H$115,
     $B37="Two-Installment (front-loaded)", 'P&amp;L'!$E147*Drivers!H$116, $B37="Two-Installment (back-loaded)", 'P&amp;L'!$E147*Drivers!H$117,
     $B37="Year Start Lump Sum", 'P&amp;L'!$E147*Drivers!H$118,$B37="OSPI State Apportionment", 'P&amp;L'!$E147*Drivers!H$119, $B37="Expense Reimbursement", 'P&amp;L'!$E147*Drivers!H$120,
     $B37="Direct Monthly Input", 0)</f>
        <v>0</v>
      </c>
      <c r="F37" s="421" cm="1">
        <f t="array" ref="F37">_xlfn.IFS($B37="12-Month Smoothing", 'P&amp;L'!$E147*Drivers!I$113, $B37="10-Month Academic Calendar", 'P&amp;L'!$E147*Drivers!I$114, $B37="Quarterly Smoothing", 'P&amp;L'!$E147*Drivers!I$115,
     $B37="Two-Installment (front-loaded)", 'P&amp;L'!$E147*Drivers!I$116, $B37="Two-Installment (back-loaded)", 'P&amp;L'!$E147*Drivers!I$117,
     $B37="Year Start Lump Sum", 'P&amp;L'!$E147*Drivers!I$118,$B37="OSPI State Apportionment", 'P&amp;L'!$E147*Drivers!I$119, $B37="Expense Reimbursement", 'P&amp;L'!$E147*Drivers!I$120,
     $B37="Direct Monthly Input", 0)</f>
        <v>0</v>
      </c>
      <c r="G37" s="421" cm="1">
        <f t="array" ref="G37">_xlfn.IFS($B37="12-Month Smoothing", 'P&amp;L'!$E147*Drivers!J$113, $B37="10-Month Academic Calendar", 'P&amp;L'!$E147*Drivers!J$114, $B37="Quarterly Smoothing", 'P&amp;L'!$E147*Drivers!J$115,
     $B37="Two-Installment (front-loaded)", 'P&amp;L'!$E147*Drivers!J$116, $B37="Two-Installment (back-loaded)", 'P&amp;L'!$E147*Drivers!J$117,
     $B37="Year Start Lump Sum", 'P&amp;L'!$E147*Drivers!J$118,$B37="OSPI State Apportionment", 'P&amp;L'!$E147*Drivers!J$119, $B37="Expense Reimbursement", 'P&amp;L'!$E147*Drivers!J$120,
     $B37="Direct Monthly Input", 0)</f>
        <v>0</v>
      </c>
      <c r="H37" s="421" cm="1">
        <f t="array" ref="H37">_xlfn.IFS($B37="12-Month Smoothing", 'P&amp;L'!$E147*Drivers!K$113, $B37="10-Month Academic Calendar", 'P&amp;L'!$E147*Drivers!K$114, $B37="Quarterly Smoothing", 'P&amp;L'!$E147*Drivers!K$115,
     $B37="Two-Installment (front-loaded)", 'P&amp;L'!$E147*Drivers!K$116, $B37="Two-Installment (back-loaded)", 'P&amp;L'!$E147*Drivers!K$117,
     $B37="Year Start Lump Sum", 'P&amp;L'!$E147*Drivers!K$118,$B37="OSPI State Apportionment", 'P&amp;L'!$E147*Drivers!K$119, $B37="Expense Reimbursement", 'P&amp;L'!$E147*Drivers!K$120,
     $B37="Direct Monthly Input", 0)</f>
        <v>0</v>
      </c>
      <c r="I37" s="421" cm="1">
        <f t="array" ref="I37">_xlfn.IFS($B37="12-Month Smoothing", 'P&amp;L'!$E147*Drivers!L$113, $B37="10-Month Academic Calendar", 'P&amp;L'!$E147*Drivers!L$114, $B37="Quarterly Smoothing", 'P&amp;L'!$E147*Drivers!L$115,
     $B37="Two-Installment (front-loaded)", 'P&amp;L'!$E147*Drivers!L$116, $B37="Two-Installment (back-loaded)", 'P&amp;L'!$E147*Drivers!L$117,
     $B37="Year Start Lump Sum", 'P&amp;L'!$E147*Drivers!L$118,$B37="OSPI State Apportionment", 'P&amp;L'!$E147*Drivers!L$119, $B37="Expense Reimbursement", 'P&amp;L'!$E147*Drivers!L$120,
     $B37="Direct Monthly Input", 0)</f>
        <v>8500</v>
      </c>
      <c r="J37" s="421" cm="1">
        <f t="array" ref="J37">_xlfn.IFS($B37="12-Month Smoothing", 'P&amp;L'!$E147*Drivers!M$113, $B37="10-Month Academic Calendar", 'P&amp;L'!$E147*Drivers!M$114, $B37="Quarterly Smoothing", 'P&amp;L'!$E147*Drivers!M$115,
     $B37="Two-Installment (front-loaded)", 'P&amp;L'!$E147*Drivers!M$116, $B37="Two-Installment (back-loaded)", 'P&amp;L'!$E147*Drivers!M$117,
     $B37="Year Start Lump Sum", 'P&amp;L'!$E147*Drivers!M$118,$B37="OSPI State Apportionment", 'P&amp;L'!$E147*Drivers!M$119, $B37="Expense Reimbursement", 'P&amp;L'!$E147*Drivers!M$120,
     $B37="Direct Monthly Input", 0)</f>
        <v>0</v>
      </c>
      <c r="K37" s="421" cm="1">
        <f t="array" ref="K37">_xlfn.IFS($B37="12-Month Smoothing", 'P&amp;L'!$E147*Drivers!N$113, $B37="10-Month Academic Calendar", 'P&amp;L'!$E147*Drivers!N$114, $B37="Quarterly Smoothing", 'P&amp;L'!$E147*Drivers!N$115,
     $B37="Two-Installment (front-loaded)", 'P&amp;L'!$E147*Drivers!N$116, $B37="Two-Installment (back-loaded)", 'P&amp;L'!$E147*Drivers!N$117,
     $B37="Year Start Lump Sum", 'P&amp;L'!$E147*Drivers!N$118,$B37="OSPI State Apportionment", 'P&amp;L'!$E147*Drivers!N$119, $B37="Expense Reimbursement", 'P&amp;L'!$E147*Drivers!N$120,
     $B37="Direct Monthly Input", 0)</f>
        <v>0</v>
      </c>
      <c r="L37" s="421" cm="1">
        <f t="array" ref="L37">_xlfn.IFS($B37="12-Month Smoothing", 'P&amp;L'!$E147*Drivers!O$113, $B37="10-Month Academic Calendar", 'P&amp;L'!$E147*Drivers!O$114, $B37="Quarterly Smoothing", 'P&amp;L'!$E147*Drivers!O$115,
     $B37="Two-Installment (front-loaded)", 'P&amp;L'!$E147*Drivers!O$116, $B37="Two-Installment (back-loaded)", 'P&amp;L'!$E147*Drivers!O$117,
     $B37="Year Start Lump Sum", 'P&amp;L'!$E147*Drivers!O$118,$B37="OSPI State Apportionment", 'P&amp;L'!$E147*Drivers!O$119, $B37="Expense Reimbursement", 'P&amp;L'!$E147*Drivers!O$120,
     $B37="Direct Monthly Input", 0)</f>
        <v>0</v>
      </c>
      <c r="M37" s="421" cm="1">
        <f t="array" ref="M37">_xlfn.IFS($B37="12-Month Smoothing", 'P&amp;L'!$E147*Drivers!P$113, $B37="10-Month Academic Calendar", 'P&amp;L'!$E147*Drivers!P$114, $B37="Quarterly Smoothing", 'P&amp;L'!$E147*Drivers!P$115,
     $B37="Two-Installment (front-loaded)", 'P&amp;L'!$E147*Drivers!P$116, $B37="Two-Installment (back-loaded)", 'P&amp;L'!$E147*Drivers!P$117,
     $B37="Year Start Lump Sum", 'P&amp;L'!$E147*Drivers!P$118,$B37="OSPI State Apportionment", 'P&amp;L'!$E147*Drivers!P$119, $B37="Expense Reimbursement", 'P&amp;L'!$E147*Drivers!P$120,
     $B37="Direct Monthly Input", 0)</f>
        <v>0</v>
      </c>
      <c r="N37" s="421" cm="1">
        <f t="array" ref="N37">_xlfn.IFS($B37="12-Month Smoothing", 'P&amp;L'!$E147*Drivers!Q$113, $B37="10-Month Academic Calendar", 'P&amp;L'!$E147*Drivers!Q$114, $B37="Quarterly Smoothing", 'P&amp;L'!$E147*Drivers!Q$115,
     $B37="Two-Installment (front-loaded)", 'P&amp;L'!$E147*Drivers!Q$116, $B37="Two-Installment (back-loaded)", 'P&amp;L'!$E147*Drivers!Q$117,
     $B37="Year Start Lump Sum", 'P&amp;L'!$E147*Drivers!Q$118,$B37="OSPI State Apportionment", 'P&amp;L'!$E147*Drivers!Q$119, $B37="Expense Reimbursement", 'P&amp;L'!$E147*Drivers!Q$120,
     $B37="Direct Monthly Input", 0)</f>
        <v>0</v>
      </c>
      <c r="O37" s="427" cm="1">
        <f t="array" ref="O37">_xlfn.IFS($B37="12-Month Smoothing", 'P&amp;L'!$E147*Drivers!R$113, $B37="10-Month Academic Calendar", 'P&amp;L'!$E147*Drivers!R$114, $B37="Quarterly Smoothing", 'P&amp;L'!$E147*Drivers!R$115,
     $B37="Two-Installment (front-loaded)", 'P&amp;L'!$E147*Drivers!R$116, $B37="Two-Installment (back-loaded)", 'P&amp;L'!$E147*Drivers!R$117,
     $B37="Year Start Lump Sum", 'P&amp;L'!$E147*Drivers!R$118,$B37="OSPI State Apportionment", 'P&amp;L'!$E147*Drivers!R$119, $B37="Expense Reimbursement", 'P&amp;L'!$E147*Drivers!R$120,
     $B37="Direct Monthly Input", 0)</f>
        <v>8500</v>
      </c>
      <c r="P37" s="129">
        <f t="shared" si="3"/>
        <v>17000</v>
      </c>
      <c r="Q37" s="730"/>
      <c r="R37" s="537"/>
    </row>
    <row r="38" spans="1:18" s="538" customFormat="1" ht="17" thickBot="1">
      <c r="A38" s="734"/>
      <c r="B38" s="419" t="s">
        <v>440</v>
      </c>
      <c r="C38" s="725" t="str">
        <f>'P&amp;L'!C148</f>
        <v xml:space="preserve">6198 - School Food Services     </v>
      </c>
      <c r="D38" s="421" cm="1">
        <f t="array" ref="D38">_xlfn.IFS($B38="12-Month Smoothing", 'P&amp;L'!$E148*Drivers!G$113, $B38="10-Month Academic Calendar", 'P&amp;L'!$E148*Drivers!G$114, $B38="Quarterly Smoothing", 'P&amp;L'!$E148*Drivers!G$115,
     $B38="Two-Installment (front-loaded)", 'P&amp;L'!$E148*Drivers!G$116, $B38="Two-Installment (back-loaded)", 'P&amp;L'!$E148*Drivers!G$117,
     $B38="Year Start Lump Sum", 'P&amp;L'!$E148*Drivers!G$118,$B38="OSPI State Apportionment", 'P&amp;L'!$E148*Drivers!G$119, $B38="Expense Reimbursement", 'P&amp;L'!$E148*Drivers!G$120,
     $B38="Direct Monthly Input", 0)</f>
        <v>19366.2</v>
      </c>
      <c r="E38" s="421" cm="1">
        <f t="array" ref="E38">_xlfn.IFS($B38="12-Month Smoothing", 'P&amp;L'!$E148*Drivers!H$113, $B38="10-Month Academic Calendar", 'P&amp;L'!$E148*Drivers!H$114, $B38="Quarterly Smoothing", 'P&amp;L'!$E148*Drivers!H$115,
     $B38="Two-Installment (front-loaded)", 'P&amp;L'!$E148*Drivers!H$116, $B38="Two-Installment (back-loaded)", 'P&amp;L'!$E148*Drivers!H$117,
     $B38="Year Start Lump Sum", 'P&amp;L'!$E148*Drivers!H$118,$B38="OSPI State Apportionment", 'P&amp;L'!$E148*Drivers!H$119, $B38="Expense Reimbursement", 'P&amp;L'!$E148*Drivers!H$120,
     $B38="Direct Monthly Input", 0)</f>
        <v>19366.2</v>
      </c>
      <c r="F38" s="421" cm="1">
        <f t="array" ref="F38">_xlfn.IFS($B38="12-Month Smoothing", 'P&amp;L'!$E148*Drivers!I$113, $B38="10-Month Academic Calendar", 'P&amp;L'!$E148*Drivers!I$114, $B38="Quarterly Smoothing", 'P&amp;L'!$E148*Drivers!I$115,
     $B38="Two-Installment (front-loaded)", 'P&amp;L'!$E148*Drivers!I$116, $B38="Two-Installment (back-loaded)", 'P&amp;L'!$E148*Drivers!I$117,
     $B38="Year Start Lump Sum", 'P&amp;L'!$E148*Drivers!I$118,$B38="OSPI State Apportionment", 'P&amp;L'!$E148*Drivers!I$119, $B38="Expense Reimbursement", 'P&amp;L'!$E148*Drivers!I$120,
     $B38="Direct Monthly Input", 0)</f>
        <v>19366.2</v>
      </c>
      <c r="G38" s="421" cm="1">
        <f t="array" ref="G38">_xlfn.IFS($B38="12-Month Smoothing", 'P&amp;L'!$E148*Drivers!J$113, $B38="10-Month Academic Calendar", 'P&amp;L'!$E148*Drivers!J$114, $B38="Quarterly Smoothing", 'P&amp;L'!$E148*Drivers!J$115,
     $B38="Two-Installment (front-loaded)", 'P&amp;L'!$E148*Drivers!J$116, $B38="Two-Installment (back-loaded)", 'P&amp;L'!$E148*Drivers!J$117,
     $B38="Year Start Lump Sum", 'P&amp;L'!$E148*Drivers!J$118,$B38="OSPI State Apportionment", 'P&amp;L'!$E148*Drivers!J$119, $B38="Expense Reimbursement", 'P&amp;L'!$E148*Drivers!J$120,
     $B38="Direct Monthly Input", 0)</f>
        <v>19366.2</v>
      </c>
      <c r="H38" s="421" cm="1">
        <f t="array" ref="H38">_xlfn.IFS($B38="12-Month Smoothing", 'P&amp;L'!$E148*Drivers!K$113, $B38="10-Month Academic Calendar", 'P&amp;L'!$E148*Drivers!K$114, $B38="Quarterly Smoothing", 'P&amp;L'!$E148*Drivers!K$115,
     $B38="Two-Installment (front-loaded)", 'P&amp;L'!$E148*Drivers!K$116, $B38="Two-Installment (back-loaded)", 'P&amp;L'!$E148*Drivers!K$117,
     $B38="Year Start Lump Sum", 'P&amp;L'!$E148*Drivers!K$118,$B38="OSPI State Apportionment", 'P&amp;L'!$E148*Drivers!K$119, $B38="Expense Reimbursement", 'P&amp;L'!$E148*Drivers!K$120,
     $B38="Direct Monthly Input", 0)</f>
        <v>19366.2</v>
      </c>
      <c r="I38" s="421" cm="1">
        <f t="array" ref="I38">_xlfn.IFS($B38="12-Month Smoothing", 'P&amp;L'!$E148*Drivers!L$113, $B38="10-Month Academic Calendar", 'P&amp;L'!$E148*Drivers!L$114, $B38="Quarterly Smoothing", 'P&amp;L'!$E148*Drivers!L$115,
     $B38="Two-Installment (front-loaded)", 'P&amp;L'!$E148*Drivers!L$116, $B38="Two-Installment (back-loaded)", 'P&amp;L'!$E148*Drivers!L$117,
     $B38="Year Start Lump Sum", 'P&amp;L'!$E148*Drivers!L$118,$B38="OSPI State Apportionment", 'P&amp;L'!$E148*Drivers!L$119, $B38="Expense Reimbursement", 'P&amp;L'!$E148*Drivers!L$120,
     $B38="Direct Monthly Input", 0)</f>
        <v>19366.2</v>
      </c>
      <c r="J38" s="421" cm="1">
        <f t="array" ref="J38">_xlfn.IFS($B38="12-Month Smoothing", 'P&amp;L'!$E148*Drivers!M$113, $B38="10-Month Academic Calendar", 'P&amp;L'!$E148*Drivers!M$114, $B38="Quarterly Smoothing", 'P&amp;L'!$E148*Drivers!M$115,
     $B38="Two-Installment (front-loaded)", 'P&amp;L'!$E148*Drivers!M$116, $B38="Two-Installment (back-loaded)", 'P&amp;L'!$E148*Drivers!M$117,
     $B38="Year Start Lump Sum", 'P&amp;L'!$E148*Drivers!M$118,$B38="OSPI State Apportionment", 'P&amp;L'!$E148*Drivers!M$119, $B38="Expense Reimbursement", 'P&amp;L'!$E148*Drivers!M$120,
     $B38="Direct Monthly Input", 0)</f>
        <v>19366.2</v>
      </c>
      <c r="K38" s="421" cm="1">
        <f t="array" ref="K38">_xlfn.IFS($B38="12-Month Smoothing", 'P&amp;L'!$E148*Drivers!N$113, $B38="10-Month Academic Calendar", 'P&amp;L'!$E148*Drivers!N$114, $B38="Quarterly Smoothing", 'P&amp;L'!$E148*Drivers!N$115,
     $B38="Two-Installment (front-loaded)", 'P&amp;L'!$E148*Drivers!N$116, $B38="Two-Installment (back-loaded)", 'P&amp;L'!$E148*Drivers!N$117,
     $B38="Year Start Lump Sum", 'P&amp;L'!$E148*Drivers!N$118,$B38="OSPI State Apportionment", 'P&amp;L'!$E148*Drivers!N$119, $B38="Expense Reimbursement", 'P&amp;L'!$E148*Drivers!N$120,
     $B38="Direct Monthly Input", 0)</f>
        <v>19366.2</v>
      </c>
      <c r="L38" s="421" cm="1">
        <f t="array" ref="L38">_xlfn.IFS($B38="12-Month Smoothing", 'P&amp;L'!$E148*Drivers!O$113, $B38="10-Month Academic Calendar", 'P&amp;L'!$E148*Drivers!O$114, $B38="Quarterly Smoothing", 'P&amp;L'!$E148*Drivers!O$115,
     $B38="Two-Installment (front-loaded)", 'P&amp;L'!$E148*Drivers!O$116, $B38="Two-Installment (back-loaded)", 'P&amp;L'!$E148*Drivers!O$117,
     $B38="Year Start Lump Sum", 'P&amp;L'!$E148*Drivers!O$118,$B38="OSPI State Apportionment", 'P&amp;L'!$E148*Drivers!O$119, $B38="Expense Reimbursement", 'P&amp;L'!$E148*Drivers!O$120,
     $B38="Direct Monthly Input", 0)</f>
        <v>19366.2</v>
      </c>
      <c r="M38" s="421" cm="1">
        <f t="array" ref="M38">_xlfn.IFS($B38="12-Month Smoothing", 'P&amp;L'!$E148*Drivers!P$113, $B38="10-Month Academic Calendar", 'P&amp;L'!$E148*Drivers!P$114, $B38="Quarterly Smoothing", 'P&amp;L'!$E148*Drivers!P$115,
     $B38="Two-Installment (front-loaded)", 'P&amp;L'!$E148*Drivers!P$116, $B38="Two-Installment (back-loaded)", 'P&amp;L'!$E148*Drivers!P$117,
     $B38="Year Start Lump Sum", 'P&amp;L'!$E148*Drivers!P$118,$B38="OSPI State Apportionment", 'P&amp;L'!$E148*Drivers!P$119, $B38="Expense Reimbursement", 'P&amp;L'!$E148*Drivers!P$120,
     $B38="Direct Monthly Input", 0)</f>
        <v>19366.2</v>
      </c>
      <c r="N38" s="421" cm="1">
        <f t="array" ref="N38">_xlfn.IFS($B38="12-Month Smoothing", 'P&amp;L'!$E148*Drivers!Q$113, $B38="10-Month Academic Calendar", 'P&amp;L'!$E148*Drivers!Q$114, $B38="Quarterly Smoothing", 'P&amp;L'!$E148*Drivers!Q$115,
     $B38="Two-Installment (front-loaded)", 'P&amp;L'!$E148*Drivers!Q$116, $B38="Two-Installment (back-loaded)", 'P&amp;L'!$E148*Drivers!Q$117,
     $B38="Year Start Lump Sum", 'P&amp;L'!$E148*Drivers!Q$118,$B38="OSPI State Apportionment", 'P&amp;L'!$E148*Drivers!Q$119, $B38="Expense Reimbursement", 'P&amp;L'!$E148*Drivers!Q$120,
     $B38="Direct Monthly Input", 0)</f>
        <v>0</v>
      </c>
      <c r="O38" s="427" cm="1">
        <f t="array" ref="O38">_xlfn.IFS($B38="12-Month Smoothing", 'P&amp;L'!$E148*Drivers!R$113, $B38="10-Month Academic Calendar", 'P&amp;L'!$E148*Drivers!R$114, $B38="Quarterly Smoothing", 'P&amp;L'!$E148*Drivers!R$115,
     $B38="Two-Installment (front-loaded)", 'P&amp;L'!$E148*Drivers!R$116, $B38="Two-Installment (back-loaded)", 'P&amp;L'!$E148*Drivers!R$117,
     $B38="Year Start Lump Sum", 'P&amp;L'!$E148*Drivers!R$118,$B38="OSPI State Apportionment", 'P&amp;L'!$E148*Drivers!R$119, $B38="Expense Reimbursement", 'P&amp;L'!$E148*Drivers!R$120,
     $B38="Direct Monthly Input", 0)</f>
        <v>0</v>
      </c>
      <c r="P38" s="129">
        <f t="shared" si="3"/>
        <v>193662.00000000003</v>
      </c>
      <c r="Q38" s="730"/>
      <c r="R38" s="537"/>
    </row>
    <row r="39" spans="1:18" s="538" customFormat="1" ht="17" thickBot="1">
      <c r="A39" s="734"/>
      <c r="B39" s="419" t="s">
        <v>445</v>
      </c>
      <c r="C39" s="725" t="str">
        <f>'P&amp;L'!C149</f>
        <v>All Other 6000 - FEDERAL REVENUE - SPECIAL PURPOSE</v>
      </c>
      <c r="D39" s="421" cm="1">
        <f t="array" ref="D39">_xlfn.IFS($B39="12-Month Smoothing", 'P&amp;L'!$E149*Drivers!G$113, $B39="10-Month Academic Calendar", 'P&amp;L'!$E149*Drivers!G$114, $B39="Quarterly Smoothing", 'P&amp;L'!$E149*Drivers!G$115,
     $B39="Two-Installment (front-loaded)", 'P&amp;L'!$E149*Drivers!G$116, $B39="Two-Installment (back-loaded)", 'P&amp;L'!$E149*Drivers!G$117,
     $B39="Year Start Lump Sum", 'P&amp;L'!$E149*Drivers!G$118,$B39="OSPI State Apportionment", 'P&amp;L'!$E149*Drivers!G$119, $B39="Expense Reimbursement", 'P&amp;L'!$E149*Drivers!G$120,
     $B39="Direct Monthly Input", 0)</f>
        <v>0</v>
      </c>
      <c r="E39" s="421" cm="1">
        <f t="array" ref="E39">_xlfn.IFS($B39="12-Month Smoothing", 'P&amp;L'!$E149*Drivers!H$113, $B39="10-Month Academic Calendar", 'P&amp;L'!$E149*Drivers!H$114, $B39="Quarterly Smoothing", 'P&amp;L'!$E149*Drivers!H$115,
     $B39="Two-Installment (front-loaded)", 'P&amp;L'!$E149*Drivers!H$116, $B39="Two-Installment (back-loaded)", 'P&amp;L'!$E149*Drivers!H$117,
     $B39="Year Start Lump Sum", 'P&amp;L'!$E149*Drivers!H$118,$B39="OSPI State Apportionment", 'P&amp;L'!$E149*Drivers!H$119, $B39="Expense Reimbursement", 'P&amp;L'!$E149*Drivers!H$120,
     $B39="Direct Monthly Input", 0)</f>
        <v>0</v>
      </c>
      <c r="F39" s="421" cm="1">
        <f t="array" ref="F39">_xlfn.IFS($B39="12-Month Smoothing", 'P&amp;L'!$E149*Drivers!I$113, $B39="10-Month Academic Calendar", 'P&amp;L'!$E149*Drivers!I$114, $B39="Quarterly Smoothing", 'P&amp;L'!$E149*Drivers!I$115,
     $B39="Two-Installment (front-loaded)", 'P&amp;L'!$E149*Drivers!I$116, $B39="Two-Installment (back-loaded)", 'P&amp;L'!$E149*Drivers!I$117,
     $B39="Year Start Lump Sum", 'P&amp;L'!$E149*Drivers!I$118,$B39="OSPI State Apportionment", 'P&amp;L'!$E149*Drivers!I$119, $B39="Expense Reimbursement", 'P&amp;L'!$E149*Drivers!I$120,
     $B39="Direct Monthly Input", 0)</f>
        <v>0</v>
      </c>
      <c r="G39" s="421" cm="1">
        <f t="array" ref="G39">_xlfn.IFS($B39="12-Month Smoothing", 'P&amp;L'!$E149*Drivers!J$113, $B39="10-Month Academic Calendar", 'P&amp;L'!$E149*Drivers!J$114, $B39="Quarterly Smoothing", 'P&amp;L'!$E149*Drivers!J$115,
     $B39="Two-Installment (front-loaded)", 'P&amp;L'!$E149*Drivers!J$116, $B39="Two-Installment (back-loaded)", 'P&amp;L'!$E149*Drivers!J$117,
     $B39="Year Start Lump Sum", 'P&amp;L'!$E149*Drivers!J$118,$B39="OSPI State Apportionment", 'P&amp;L'!$E149*Drivers!J$119, $B39="Expense Reimbursement", 'P&amp;L'!$E149*Drivers!J$120,
     $B39="Direct Monthly Input", 0)</f>
        <v>0</v>
      </c>
      <c r="H39" s="421" cm="1">
        <f t="array" ref="H39">_xlfn.IFS($B39="12-Month Smoothing", 'P&amp;L'!$E149*Drivers!K$113, $B39="10-Month Academic Calendar", 'P&amp;L'!$E149*Drivers!K$114, $B39="Quarterly Smoothing", 'P&amp;L'!$E149*Drivers!K$115,
     $B39="Two-Installment (front-loaded)", 'P&amp;L'!$E149*Drivers!K$116, $B39="Two-Installment (back-loaded)", 'P&amp;L'!$E149*Drivers!K$117,
     $B39="Year Start Lump Sum", 'P&amp;L'!$E149*Drivers!K$118,$B39="OSPI State Apportionment", 'P&amp;L'!$E149*Drivers!K$119, $B39="Expense Reimbursement", 'P&amp;L'!$E149*Drivers!K$120,
     $B39="Direct Monthly Input", 0)</f>
        <v>0</v>
      </c>
      <c r="I39" s="421" cm="1">
        <f t="array" ref="I39">_xlfn.IFS($B39="12-Month Smoothing", 'P&amp;L'!$E149*Drivers!L$113, $B39="10-Month Academic Calendar", 'P&amp;L'!$E149*Drivers!L$114, $B39="Quarterly Smoothing", 'P&amp;L'!$E149*Drivers!L$115,
     $B39="Two-Installment (front-loaded)", 'P&amp;L'!$E149*Drivers!L$116, $B39="Two-Installment (back-loaded)", 'P&amp;L'!$E149*Drivers!L$117,
     $B39="Year Start Lump Sum", 'P&amp;L'!$E149*Drivers!L$118,$B39="OSPI State Apportionment", 'P&amp;L'!$E149*Drivers!L$119, $B39="Expense Reimbursement", 'P&amp;L'!$E149*Drivers!L$120,
     $B39="Direct Monthly Input", 0)</f>
        <v>0</v>
      </c>
      <c r="J39" s="421" cm="1">
        <f t="array" ref="J39">_xlfn.IFS($B39="12-Month Smoothing", 'P&amp;L'!$E149*Drivers!M$113, $B39="10-Month Academic Calendar", 'P&amp;L'!$E149*Drivers!M$114, $B39="Quarterly Smoothing", 'P&amp;L'!$E149*Drivers!M$115,
     $B39="Two-Installment (front-loaded)", 'P&amp;L'!$E149*Drivers!M$116, $B39="Two-Installment (back-loaded)", 'P&amp;L'!$E149*Drivers!M$117,
     $B39="Year Start Lump Sum", 'P&amp;L'!$E149*Drivers!M$118,$B39="OSPI State Apportionment", 'P&amp;L'!$E149*Drivers!M$119, $B39="Expense Reimbursement", 'P&amp;L'!$E149*Drivers!M$120,
     $B39="Direct Monthly Input", 0)</f>
        <v>0</v>
      </c>
      <c r="K39" s="421" cm="1">
        <f t="array" ref="K39">_xlfn.IFS($B39="12-Month Smoothing", 'P&amp;L'!$E149*Drivers!N$113, $B39="10-Month Academic Calendar", 'P&amp;L'!$E149*Drivers!N$114, $B39="Quarterly Smoothing", 'P&amp;L'!$E149*Drivers!N$115,
     $B39="Two-Installment (front-loaded)", 'P&amp;L'!$E149*Drivers!N$116, $B39="Two-Installment (back-loaded)", 'P&amp;L'!$E149*Drivers!N$117,
     $B39="Year Start Lump Sum", 'P&amp;L'!$E149*Drivers!N$118,$B39="OSPI State Apportionment", 'P&amp;L'!$E149*Drivers!N$119, $B39="Expense Reimbursement", 'P&amp;L'!$E149*Drivers!N$120,
     $B39="Direct Monthly Input", 0)</f>
        <v>0</v>
      </c>
      <c r="L39" s="421" cm="1">
        <f t="array" ref="L39">_xlfn.IFS($B39="12-Month Smoothing", 'P&amp;L'!$E149*Drivers!O$113, $B39="10-Month Academic Calendar", 'P&amp;L'!$E149*Drivers!O$114, $B39="Quarterly Smoothing", 'P&amp;L'!$E149*Drivers!O$115,
     $B39="Two-Installment (front-loaded)", 'P&amp;L'!$E149*Drivers!O$116, $B39="Two-Installment (back-loaded)", 'P&amp;L'!$E149*Drivers!O$117,
     $B39="Year Start Lump Sum", 'P&amp;L'!$E149*Drivers!O$118,$B39="OSPI State Apportionment", 'P&amp;L'!$E149*Drivers!O$119, $B39="Expense Reimbursement", 'P&amp;L'!$E149*Drivers!O$120,
     $B39="Direct Monthly Input", 0)</f>
        <v>0</v>
      </c>
      <c r="M39" s="421" cm="1">
        <f t="array" ref="M39">_xlfn.IFS($B39="12-Month Smoothing", 'P&amp;L'!$E149*Drivers!P$113, $B39="10-Month Academic Calendar", 'P&amp;L'!$E149*Drivers!P$114, $B39="Quarterly Smoothing", 'P&amp;L'!$E149*Drivers!P$115,
     $B39="Two-Installment (front-loaded)", 'P&amp;L'!$E149*Drivers!P$116, $B39="Two-Installment (back-loaded)", 'P&amp;L'!$E149*Drivers!P$117,
     $B39="Year Start Lump Sum", 'P&amp;L'!$E149*Drivers!P$118,$B39="OSPI State Apportionment", 'P&amp;L'!$E149*Drivers!P$119, $B39="Expense Reimbursement", 'P&amp;L'!$E149*Drivers!P$120,
     $B39="Direct Monthly Input", 0)</f>
        <v>0</v>
      </c>
      <c r="N39" s="421" cm="1">
        <f t="array" ref="N39">_xlfn.IFS($B39="12-Month Smoothing", 'P&amp;L'!$E149*Drivers!Q$113, $B39="10-Month Academic Calendar", 'P&amp;L'!$E149*Drivers!Q$114, $B39="Quarterly Smoothing", 'P&amp;L'!$E149*Drivers!Q$115,
     $B39="Two-Installment (front-loaded)", 'P&amp;L'!$E149*Drivers!Q$116, $B39="Two-Installment (back-loaded)", 'P&amp;L'!$E149*Drivers!Q$117,
     $B39="Year Start Lump Sum", 'P&amp;L'!$E149*Drivers!Q$118,$B39="OSPI State Apportionment", 'P&amp;L'!$E149*Drivers!Q$119, $B39="Expense Reimbursement", 'P&amp;L'!$E149*Drivers!Q$120,
     $B39="Direct Monthly Input", 0)</f>
        <v>0</v>
      </c>
      <c r="O39" s="427" cm="1">
        <f t="array" ref="O39">_xlfn.IFS($B39="12-Month Smoothing", 'P&amp;L'!$E149*Drivers!R$113, $B39="10-Month Academic Calendar", 'P&amp;L'!$E149*Drivers!R$114, $B39="Quarterly Smoothing", 'P&amp;L'!$E149*Drivers!R$115,
     $B39="Two-Installment (front-loaded)", 'P&amp;L'!$E149*Drivers!R$116, $B39="Two-Installment (back-loaded)", 'P&amp;L'!$E149*Drivers!R$117,
     $B39="Year Start Lump Sum", 'P&amp;L'!$E149*Drivers!R$118,$B39="OSPI State Apportionment", 'P&amp;L'!$E149*Drivers!R$119, $B39="Expense Reimbursement", 'P&amp;L'!$E149*Drivers!R$120,
     $B39="Direct Monthly Input", 0)</f>
        <v>0</v>
      </c>
      <c r="P39" s="129">
        <f t="shared" si="3"/>
        <v>0</v>
      </c>
      <c r="Q39" s="730"/>
      <c r="R39" s="537"/>
    </row>
    <row r="40" spans="1:18" s="538" customFormat="1" ht="17" thickBot="1">
      <c r="A40" s="734"/>
      <c r="B40" s="419" t="s">
        <v>440</v>
      </c>
      <c r="C40" s="725" t="str">
        <f>'P&amp;L'!C151</f>
        <v xml:space="preserve">7100 - Program Participation, Unassigned </v>
      </c>
      <c r="D40" s="421" cm="1">
        <f t="array" ref="D40">_xlfn.IFS($B40="12-Month Smoothing", 'P&amp;L'!$E151*Drivers!G$113, $B40="10-Month Academic Calendar", 'P&amp;L'!$E151*Drivers!G$114, $B40="Quarterly Smoothing", 'P&amp;L'!$E151*Drivers!G$115,
     $B40="Two-Installment (front-loaded)", 'P&amp;L'!$E151*Drivers!G$116, $B40="Two-Installment (back-loaded)", 'P&amp;L'!$E151*Drivers!G$117,
     $B40="Year Start Lump Sum", 'P&amp;L'!$E151*Drivers!G$118,$B40="OSPI State Apportionment", 'P&amp;L'!$E151*Drivers!G$119, $B40="Expense Reimbursement", 'P&amp;L'!$E151*Drivers!G$120,
     $B40="Direct Monthly Input", 0)</f>
        <v>0</v>
      </c>
      <c r="E40" s="421" cm="1">
        <f t="array" ref="E40">_xlfn.IFS($B40="12-Month Smoothing", 'P&amp;L'!$E151*Drivers!H$113, $B40="10-Month Academic Calendar", 'P&amp;L'!$E151*Drivers!H$114, $B40="Quarterly Smoothing", 'P&amp;L'!$E151*Drivers!H$115,
     $B40="Two-Installment (front-loaded)", 'P&amp;L'!$E151*Drivers!H$116, $B40="Two-Installment (back-loaded)", 'P&amp;L'!$E151*Drivers!H$117,
     $B40="Year Start Lump Sum", 'P&amp;L'!$E151*Drivers!H$118,$B40="OSPI State Apportionment", 'P&amp;L'!$E151*Drivers!H$119, $B40="Expense Reimbursement", 'P&amp;L'!$E151*Drivers!H$120,
     $B40="Direct Monthly Input", 0)</f>
        <v>0</v>
      </c>
      <c r="F40" s="421" cm="1">
        <f t="array" ref="F40">_xlfn.IFS($B40="12-Month Smoothing", 'P&amp;L'!$E151*Drivers!I$113, $B40="10-Month Academic Calendar", 'P&amp;L'!$E151*Drivers!I$114, $B40="Quarterly Smoothing", 'P&amp;L'!$E151*Drivers!I$115,
     $B40="Two-Installment (front-loaded)", 'P&amp;L'!$E151*Drivers!I$116, $B40="Two-Installment (back-loaded)", 'P&amp;L'!$E151*Drivers!I$117,
     $B40="Year Start Lump Sum", 'P&amp;L'!$E151*Drivers!I$118,$B40="OSPI State Apportionment", 'P&amp;L'!$E151*Drivers!I$119, $B40="Expense Reimbursement", 'P&amp;L'!$E151*Drivers!I$120,
     $B40="Direct Monthly Input", 0)</f>
        <v>0</v>
      </c>
      <c r="G40" s="421" cm="1">
        <f t="array" ref="G40">_xlfn.IFS($B40="12-Month Smoothing", 'P&amp;L'!$E151*Drivers!J$113, $B40="10-Month Academic Calendar", 'P&amp;L'!$E151*Drivers!J$114, $B40="Quarterly Smoothing", 'P&amp;L'!$E151*Drivers!J$115,
     $B40="Two-Installment (front-loaded)", 'P&amp;L'!$E151*Drivers!J$116, $B40="Two-Installment (back-loaded)", 'P&amp;L'!$E151*Drivers!J$117,
     $B40="Year Start Lump Sum", 'P&amp;L'!$E151*Drivers!J$118,$B40="OSPI State Apportionment", 'P&amp;L'!$E151*Drivers!J$119, $B40="Expense Reimbursement", 'P&amp;L'!$E151*Drivers!J$120,
     $B40="Direct Monthly Input", 0)</f>
        <v>0</v>
      </c>
      <c r="H40" s="421" cm="1">
        <f t="array" ref="H40">_xlfn.IFS($B40="12-Month Smoothing", 'P&amp;L'!$E151*Drivers!K$113, $B40="10-Month Academic Calendar", 'P&amp;L'!$E151*Drivers!K$114, $B40="Quarterly Smoothing", 'P&amp;L'!$E151*Drivers!K$115,
     $B40="Two-Installment (front-loaded)", 'P&amp;L'!$E151*Drivers!K$116, $B40="Two-Installment (back-loaded)", 'P&amp;L'!$E151*Drivers!K$117,
     $B40="Year Start Lump Sum", 'P&amp;L'!$E151*Drivers!K$118,$B40="OSPI State Apportionment", 'P&amp;L'!$E151*Drivers!K$119, $B40="Expense Reimbursement", 'P&amp;L'!$E151*Drivers!K$120,
     $B40="Direct Monthly Input", 0)</f>
        <v>0</v>
      </c>
      <c r="I40" s="421" cm="1">
        <f t="array" ref="I40">_xlfn.IFS($B40="12-Month Smoothing", 'P&amp;L'!$E151*Drivers!L$113, $B40="10-Month Academic Calendar", 'P&amp;L'!$E151*Drivers!L$114, $B40="Quarterly Smoothing", 'P&amp;L'!$E151*Drivers!L$115,
     $B40="Two-Installment (front-loaded)", 'P&amp;L'!$E151*Drivers!L$116, $B40="Two-Installment (back-loaded)", 'P&amp;L'!$E151*Drivers!L$117,
     $B40="Year Start Lump Sum", 'P&amp;L'!$E151*Drivers!L$118,$B40="OSPI State Apportionment", 'P&amp;L'!$E151*Drivers!L$119, $B40="Expense Reimbursement", 'P&amp;L'!$E151*Drivers!L$120,
     $B40="Direct Monthly Input", 0)</f>
        <v>0</v>
      </c>
      <c r="J40" s="421" cm="1">
        <f t="array" ref="J40">_xlfn.IFS($B40="12-Month Smoothing", 'P&amp;L'!$E151*Drivers!M$113, $B40="10-Month Academic Calendar", 'P&amp;L'!$E151*Drivers!M$114, $B40="Quarterly Smoothing", 'P&amp;L'!$E151*Drivers!M$115,
     $B40="Two-Installment (front-loaded)", 'P&amp;L'!$E151*Drivers!M$116, $B40="Two-Installment (back-loaded)", 'P&amp;L'!$E151*Drivers!M$117,
     $B40="Year Start Lump Sum", 'P&amp;L'!$E151*Drivers!M$118,$B40="OSPI State Apportionment", 'P&amp;L'!$E151*Drivers!M$119, $B40="Expense Reimbursement", 'P&amp;L'!$E151*Drivers!M$120,
     $B40="Direct Monthly Input", 0)</f>
        <v>0</v>
      </c>
      <c r="K40" s="421" cm="1">
        <f t="array" ref="K40">_xlfn.IFS($B40="12-Month Smoothing", 'P&amp;L'!$E151*Drivers!N$113, $B40="10-Month Academic Calendar", 'P&amp;L'!$E151*Drivers!N$114, $B40="Quarterly Smoothing", 'P&amp;L'!$E151*Drivers!N$115,
     $B40="Two-Installment (front-loaded)", 'P&amp;L'!$E151*Drivers!N$116, $B40="Two-Installment (back-loaded)", 'P&amp;L'!$E151*Drivers!N$117,
     $B40="Year Start Lump Sum", 'P&amp;L'!$E151*Drivers!N$118,$B40="OSPI State Apportionment", 'P&amp;L'!$E151*Drivers!N$119, $B40="Expense Reimbursement", 'P&amp;L'!$E151*Drivers!N$120,
     $B40="Direct Monthly Input", 0)</f>
        <v>0</v>
      </c>
      <c r="L40" s="421" cm="1">
        <f t="array" ref="L40">_xlfn.IFS($B40="12-Month Smoothing", 'P&amp;L'!$E151*Drivers!O$113, $B40="10-Month Academic Calendar", 'P&amp;L'!$E151*Drivers!O$114, $B40="Quarterly Smoothing", 'P&amp;L'!$E151*Drivers!O$115,
     $B40="Two-Installment (front-loaded)", 'P&amp;L'!$E151*Drivers!O$116, $B40="Two-Installment (back-loaded)", 'P&amp;L'!$E151*Drivers!O$117,
     $B40="Year Start Lump Sum", 'P&amp;L'!$E151*Drivers!O$118,$B40="OSPI State Apportionment", 'P&amp;L'!$E151*Drivers!O$119, $B40="Expense Reimbursement", 'P&amp;L'!$E151*Drivers!O$120,
     $B40="Direct Monthly Input", 0)</f>
        <v>0</v>
      </c>
      <c r="M40" s="421" cm="1">
        <f t="array" ref="M40">_xlfn.IFS($B40="12-Month Smoothing", 'P&amp;L'!$E151*Drivers!P$113, $B40="10-Month Academic Calendar", 'P&amp;L'!$E151*Drivers!P$114, $B40="Quarterly Smoothing", 'P&amp;L'!$E151*Drivers!P$115,
     $B40="Two-Installment (front-loaded)", 'P&amp;L'!$E151*Drivers!P$116, $B40="Two-Installment (back-loaded)", 'P&amp;L'!$E151*Drivers!P$117,
     $B40="Year Start Lump Sum", 'P&amp;L'!$E151*Drivers!P$118,$B40="OSPI State Apportionment", 'P&amp;L'!$E151*Drivers!P$119, $B40="Expense Reimbursement", 'P&amp;L'!$E151*Drivers!P$120,
     $B40="Direct Monthly Input", 0)</f>
        <v>0</v>
      </c>
      <c r="N40" s="421" cm="1">
        <f t="array" ref="N40">_xlfn.IFS($B40="12-Month Smoothing", 'P&amp;L'!$E151*Drivers!Q$113, $B40="10-Month Academic Calendar", 'P&amp;L'!$E151*Drivers!Q$114, $B40="Quarterly Smoothing", 'P&amp;L'!$E151*Drivers!Q$115,
     $B40="Two-Installment (front-loaded)", 'P&amp;L'!$E151*Drivers!Q$116, $B40="Two-Installment (back-loaded)", 'P&amp;L'!$E151*Drivers!Q$117,
     $B40="Year Start Lump Sum", 'P&amp;L'!$E151*Drivers!Q$118,$B40="OSPI State Apportionment", 'P&amp;L'!$E151*Drivers!Q$119, $B40="Expense Reimbursement", 'P&amp;L'!$E151*Drivers!Q$120,
     $B40="Direct Monthly Input", 0)</f>
        <v>0</v>
      </c>
      <c r="O40" s="427" cm="1">
        <f t="array" ref="O40">_xlfn.IFS($B40="12-Month Smoothing", 'P&amp;L'!$E151*Drivers!R$113, $B40="10-Month Academic Calendar", 'P&amp;L'!$E151*Drivers!R$114, $B40="Quarterly Smoothing", 'P&amp;L'!$E151*Drivers!R$115,
     $B40="Two-Installment (front-loaded)", 'P&amp;L'!$E151*Drivers!R$116, $B40="Two-Installment (back-loaded)", 'P&amp;L'!$E151*Drivers!R$117,
     $B40="Year Start Lump Sum", 'P&amp;L'!$E151*Drivers!R$118,$B40="OSPI State Apportionment", 'P&amp;L'!$E151*Drivers!R$119, $B40="Expense Reimbursement", 'P&amp;L'!$E151*Drivers!R$120,
     $B40="Direct Monthly Input", 0)</f>
        <v>0</v>
      </c>
      <c r="P40" s="129">
        <f t="shared" si="3"/>
        <v>0</v>
      </c>
      <c r="Q40" s="730"/>
      <c r="R40" s="537"/>
    </row>
    <row r="41" spans="1:18" s="538" customFormat="1" ht="17" thickBot="1">
      <c r="A41" s="734"/>
      <c r="B41" s="419" t="s">
        <v>440</v>
      </c>
      <c r="C41" s="725" t="str">
        <f>'P&amp;L'!C152</f>
        <v>All Other 7000 - OTHER SCHOOL DISTRICTS</v>
      </c>
      <c r="D41" s="421" cm="1">
        <f t="array" ref="D41">_xlfn.IFS($B41="12-Month Smoothing", 'P&amp;L'!$E152*Drivers!G$113, $B41="10-Month Academic Calendar", 'P&amp;L'!$E152*Drivers!G$114, $B41="Quarterly Smoothing", 'P&amp;L'!$E152*Drivers!G$115,
     $B41="Two-Installment (front-loaded)", 'P&amp;L'!$E152*Drivers!G$116, $B41="Two-Installment (back-loaded)", 'P&amp;L'!$E152*Drivers!G$117,
     $B41="Year Start Lump Sum", 'P&amp;L'!$E152*Drivers!G$118,$B41="OSPI State Apportionment", 'P&amp;L'!$E152*Drivers!G$119, $B41="Expense Reimbursement", 'P&amp;L'!$E152*Drivers!G$120,
     $B41="Direct Monthly Input", 0)</f>
        <v>0</v>
      </c>
      <c r="E41" s="421" cm="1">
        <f t="array" ref="E41">_xlfn.IFS($B41="12-Month Smoothing", 'P&amp;L'!$E152*Drivers!H$113, $B41="10-Month Academic Calendar", 'P&amp;L'!$E152*Drivers!H$114, $B41="Quarterly Smoothing", 'P&amp;L'!$E152*Drivers!H$115,
     $B41="Two-Installment (front-loaded)", 'P&amp;L'!$E152*Drivers!H$116, $B41="Two-Installment (back-loaded)", 'P&amp;L'!$E152*Drivers!H$117,
     $B41="Year Start Lump Sum", 'P&amp;L'!$E152*Drivers!H$118,$B41="OSPI State Apportionment", 'P&amp;L'!$E152*Drivers!H$119, $B41="Expense Reimbursement", 'P&amp;L'!$E152*Drivers!H$120,
     $B41="Direct Monthly Input", 0)</f>
        <v>0</v>
      </c>
      <c r="F41" s="421" cm="1">
        <f t="array" ref="F41">_xlfn.IFS($B41="12-Month Smoothing", 'P&amp;L'!$E152*Drivers!I$113, $B41="10-Month Academic Calendar", 'P&amp;L'!$E152*Drivers!I$114, $B41="Quarterly Smoothing", 'P&amp;L'!$E152*Drivers!I$115,
     $B41="Two-Installment (front-loaded)", 'P&amp;L'!$E152*Drivers!I$116, $B41="Two-Installment (back-loaded)", 'P&amp;L'!$E152*Drivers!I$117,
     $B41="Year Start Lump Sum", 'P&amp;L'!$E152*Drivers!I$118,$B41="OSPI State Apportionment", 'P&amp;L'!$E152*Drivers!I$119, $B41="Expense Reimbursement", 'P&amp;L'!$E152*Drivers!I$120,
     $B41="Direct Monthly Input", 0)</f>
        <v>0</v>
      </c>
      <c r="G41" s="421" cm="1">
        <f t="array" ref="G41">_xlfn.IFS($B41="12-Month Smoothing", 'P&amp;L'!$E152*Drivers!J$113, $B41="10-Month Academic Calendar", 'P&amp;L'!$E152*Drivers!J$114, $B41="Quarterly Smoothing", 'P&amp;L'!$E152*Drivers!J$115,
     $B41="Two-Installment (front-loaded)", 'P&amp;L'!$E152*Drivers!J$116, $B41="Two-Installment (back-loaded)", 'P&amp;L'!$E152*Drivers!J$117,
     $B41="Year Start Lump Sum", 'P&amp;L'!$E152*Drivers!J$118,$B41="OSPI State Apportionment", 'P&amp;L'!$E152*Drivers!J$119, $B41="Expense Reimbursement", 'P&amp;L'!$E152*Drivers!J$120,
     $B41="Direct Monthly Input", 0)</f>
        <v>0</v>
      </c>
      <c r="H41" s="421" cm="1">
        <f t="array" ref="H41">_xlfn.IFS($B41="12-Month Smoothing", 'P&amp;L'!$E152*Drivers!K$113, $B41="10-Month Academic Calendar", 'P&amp;L'!$E152*Drivers!K$114, $B41="Quarterly Smoothing", 'P&amp;L'!$E152*Drivers!K$115,
     $B41="Two-Installment (front-loaded)", 'P&amp;L'!$E152*Drivers!K$116, $B41="Two-Installment (back-loaded)", 'P&amp;L'!$E152*Drivers!K$117,
     $B41="Year Start Lump Sum", 'P&amp;L'!$E152*Drivers!K$118,$B41="OSPI State Apportionment", 'P&amp;L'!$E152*Drivers!K$119, $B41="Expense Reimbursement", 'P&amp;L'!$E152*Drivers!K$120,
     $B41="Direct Monthly Input", 0)</f>
        <v>0</v>
      </c>
      <c r="I41" s="421" cm="1">
        <f t="array" ref="I41">_xlfn.IFS($B41="12-Month Smoothing", 'P&amp;L'!$E152*Drivers!L$113, $B41="10-Month Academic Calendar", 'P&amp;L'!$E152*Drivers!L$114, $B41="Quarterly Smoothing", 'P&amp;L'!$E152*Drivers!L$115,
     $B41="Two-Installment (front-loaded)", 'P&amp;L'!$E152*Drivers!L$116, $B41="Two-Installment (back-loaded)", 'P&amp;L'!$E152*Drivers!L$117,
     $B41="Year Start Lump Sum", 'P&amp;L'!$E152*Drivers!L$118,$B41="OSPI State Apportionment", 'P&amp;L'!$E152*Drivers!L$119, $B41="Expense Reimbursement", 'P&amp;L'!$E152*Drivers!L$120,
     $B41="Direct Monthly Input", 0)</f>
        <v>0</v>
      </c>
      <c r="J41" s="421" cm="1">
        <f t="array" ref="J41">_xlfn.IFS($B41="12-Month Smoothing", 'P&amp;L'!$E152*Drivers!M$113, $B41="10-Month Academic Calendar", 'P&amp;L'!$E152*Drivers!M$114, $B41="Quarterly Smoothing", 'P&amp;L'!$E152*Drivers!M$115,
     $B41="Two-Installment (front-loaded)", 'P&amp;L'!$E152*Drivers!M$116, $B41="Two-Installment (back-loaded)", 'P&amp;L'!$E152*Drivers!M$117,
     $B41="Year Start Lump Sum", 'P&amp;L'!$E152*Drivers!M$118,$B41="OSPI State Apportionment", 'P&amp;L'!$E152*Drivers!M$119, $B41="Expense Reimbursement", 'P&amp;L'!$E152*Drivers!M$120,
     $B41="Direct Monthly Input", 0)</f>
        <v>0</v>
      </c>
      <c r="K41" s="421" cm="1">
        <f t="array" ref="K41">_xlfn.IFS($B41="12-Month Smoothing", 'P&amp;L'!$E152*Drivers!N$113, $B41="10-Month Academic Calendar", 'P&amp;L'!$E152*Drivers!N$114, $B41="Quarterly Smoothing", 'P&amp;L'!$E152*Drivers!N$115,
     $B41="Two-Installment (front-loaded)", 'P&amp;L'!$E152*Drivers!N$116, $B41="Two-Installment (back-loaded)", 'P&amp;L'!$E152*Drivers!N$117,
     $B41="Year Start Lump Sum", 'P&amp;L'!$E152*Drivers!N$118,$B41="OSPI State Apportionment", 'P&amp;L'!$E152*Drivers!N$119, $B41="Expense Reimbursement", 'P&amp;L'!$E152*Drivers!N$120,
     $B41="Direct Monthly Input", 0)</f>
        <v>0</v>
      </c>
      <c r="L41" s="421" cm="1">
        <f t="array" ref="L41">_xlfn.IFS($B41="12-Month Smoothing", 'P&amp;L'!$E152*Drivers!O$113, $B41="10-Month Academic Calendar", 'P&amp;L'!$E152*Drivers!O$114, $B41="Quarterly Smoothing", 'P&amp;L'!$E152*Drivers!O$115,
     $B41="Two-Installment (front-loaded)", 'P&amp;L'!$E152*Drivers!O$116, $B41="Two-Installment (back-loaded)", 'P&amp;L'!$E152*Drivers!O$117,
     $B41="Year Start Lump Sum", 'P&amp;L'!$E152*Drivers!O$118,$B41="OSPI State Apportionment", 'P&amp;L'!$E152*Drivers!O$119, $B41="Expense Reimbursement", 'P&amp;L'!$E152*Drivers!O$120,
     $B41="Direct Monthly Input", 0)</f>
        <v>0</v>
      </c>
      <c r="M41" s="421" cm="1">
        <f t="array" ref="M41">_xlfn.IFS($B41="12-Month Smoothing", 'P&amp;L'!$E152*Drivers!P$113, $B41="10-Month Academic Calendar", 'P&amp;L'!$E152*Drivers!P$114, $B41="Quarterly Smoothing", 'P&amp;L'!$E152*Drivers!P$115,
     $B41="Two-Installment (front-loaded)", 'P&amp;L'!$E152*Drivers!P$116, $B41="Two-Installment (back-loaded)", 'P&amp;L'!$E152*Drivers!P$117,
     $B41="Year Start Lump Sum", 'P&amp;L'!$E152*Drivers!P$118,$B41="OSPI State Apportionment", 'P&amp;L'!$E152*Drivers!P$119, $B41="Expense Reimbursement", 'P&amp;L'!$E152*Drivers!P$120,
     $B41="Direct Monthly Input", 0)</f>
        <v>0</v>
      </c>
      <c r="N41" s="421" cm="1">
        <f t="array" ref="N41">_xlfn.IFS($B41="12-Month Smoothing", 'P&amp;L'!$E152*Drivers!Q$113, $B41="10-Month Academic Calendar", 'P&amp;L'!$E152*Drivers!Q$114, $B41="Quarterly Smoothing", 'P&amp;L'!$E152*Drivers!Q$115,
     $B41="Two-Installment (front-loaded)", 'P&amp;L'!$E152*Drivers!Q$116, $B41="Two-Installment (back-loaded)", 'P&amp;L'!$E152*Drivers!Q$117,
     $B41="Year Start Lump Sum", 'P&amp;L'!$E152*Drivers!Q$118,$B41="OSPI State Apportionment", 'P&amp;L'!$E152*Drivers!Q$119, $B41="Expense Reimbursement", 'P&amp;L'!$E152*Drivers!Q$120,
     $B41="Direct Monthly Input", 0)</f>
        <v>0</v>
      </c>
      <c r="O41" s="427" cm="1">
        <f t="array" ref="O41">_xlfn.IFS($B41="12-Month Smoothing", 'P&amp;L'!$E152*Drivers!R$113, $B41="10-Month Academic Calendar", 'P&amp;L'!$E152*Drivers!R$114, $B41="Quarterly Smoothing", 'P&amp;L'!$E152*Drivers!R$115,
     $B41="Two-Installment (front-loaded)", 'P&amp;L'!$E152*Drivers!R$116, $B41="Two-Installment (back-loaded)", 'P&amp;L'!$E152*Drivers!R$117,
     $B41="Year Start Lump Sum", 'P&amp;L'!$E152*Drivers!R$118,$B41="OSPI State Apportionment", 'P&amp;L'!$E152*Drivers!R$119, $B41="Expense Reimbursement", 'P&amp;L'!$E152*Drivers!R$120,
     $B41="Direct Monthly Input", 0)</f>
        <v>0</v>
      </c>
      <c r="P41" s="129">
        <f t="shared" si="3"/>
        <v>0</v>
      </c>
      <c r="Q41" s="730"/>
      <c r="R41" s="537"/>
    </row>
    <row r="42" spans="1:18" s="538" customFormat="1" ht="17" thickBot="1">
      <c r="A42" s="734"/>
      <c r="B42" s="419" t="s">
        <v>440</v>
      </c>
      <c r="C42" s="725" t="str">
        <f>'P&amp;L'!C154</f>
        <v xml:space="preserve">8100 - Governmental Entities      </v>
      </c>
      <c r="D42" s="421" cm="1">
        <f t="array" ref="D42">_xlfn.IFS($B42="12-Month Smoothing", 'P&amp;L'!$E154*Drivers!G$113, $B42="10-Month Academic Calendar", 'P&amp;L'!$E154*Drivers!G$114, $B42="Quarterly Smoothing", 'P&amp;L'!$E154*Drivers!G$115,
     $B42="Two-Installment (front-loaded)", 'P&amp;L'!$E154*Drivers!G$116, $B42="Two-Installment (back-loaded)", 'P&amp;L'!$E154*Drivers!G$117,
     $B42="Year Start Lump Sum", 'P&amp;L'!$E154*Drivers!G$118,$B42="OSPI State Apportionment", 'P&amp;L'!$E154*Drivers!G$119, $B42="Expense Reimbursement", 'P&amp;L'!$E154*Drivers!G$120,
     $B42="Direct Monthly Input", 0)</f>
        <v>0</v>
      </c>
      <c r="E42" s="421" cm="1">
        <f t="array" ref="E42">_xlfn.IFS($B42="12-Month Smoothing", 'P&amp;L'!$E154*Drivers!H$113, $B42="10-Month Academic Calendar", 'P&amp;L'!$E154*Drivers!H$114, $B42="Quarterly Smoothing", 'P&amp;L'!$E154*Drivers!H$115,
     $B42="Two-Installment (front-loaded)", 'P&amp;L'!$E154*Drivers!H$116, $B42="Two-Installment (back-loaded)", 'P&amp;L'!$E154*Drivers!H$117,
     $B42="Year Start Lump Sum", 'P&amp;L'!$E154*Drivers!H$118,$B42="OSPI State Apportionment", 'P&amp;L'!$E154*Drivers!H$119, $B42="Expense Reimbursement", 'P&amp;L'!$E154*Drivers!H$120,
     $B42="Direct Monthly Input", 0)</f>
        <v>0</v>
      </c>
      <c r="F42" s="421" cm="1">
        <f t="array" ref="F42">_xlfn.IFS($B42="12-Month Smoothing", 'P&amp;L'!$E154*Drivers!I$113, $B42="10-Month Academic Calendar", 'P&amp;L'!$E154*Drivers!I$114, $B42="Quarterly Smoothing", 'P&amp;L'!$E154*Drivers!I$115,
     $B42="Two-Installment (front-loaded)", 'P&amp;L'!$E154*Drivers!I$116, $B42="Two-Installment (back-loaded)", 'P&amp;L'!$E154*Drivers!I$117,
     $B42="Year Start Lump Sum", 'P&amp;L'!$E154*Drivers!I$118,$B42="OSPI State Apportionment", 'P&amp;L'!$E154*Drivers!I$119, $B42="Expense Reimbursement", 'P&amp;L'!$E154*Drivers!I$120,
     $B42="Direct Monthly Input", 0)</f>
        <v>0</v>
      </c>
      <c r="G42" s="421" cm="1">
        <f t="array" ref="G42">_xlfn.IFS($B42="12-Month Smoothing", 'P&amp;L'!$E154*Drivers!J$113, $B42="10-Month Academic Calendar", 'P&amp;L'!$E154*Drivers!J$114, $B42="Quarterly Smoothing", 'P&amp;L'!$E154*Drivers!J$115,
     $B42="Two-Installment (front-loaded)", 'P&amp;L'!$E154*Drivers!J$116, $B42="Two-Installment (back-loaded)", 'P&amp;L'!$E154*Drivers!J$117,
     $B42="Year Start Lump Sum", 'P&amp;L'!$E154*Drivers!J$118,$B42="OSPI State Apportionment", 'P&amp;L'!$E154*Drivers!J$119, $B42="Expense Reimbursement", 'P&amp;L'!$E154*Drivers!J$120,
     $B42="Direct Monthly Input", 0)</f>
        <v>0</v>
      </c>
      <c r="H42" s="421" cm="1">
        <f t="array" ref="H42">_xlfn.IFS($B42="12-Month Smoothing", 'P&amp;L'!$E154*Drivers!K$113, $B42="10-Month Academic Calendar", 'P&amp;L'!$E154*Drivers!K$114, $B42="Quarterly Smoothing", 'P&amp;L'!$E154*Drivers!K$115,
     $B42="Two-Installment (front-loaded)", 'P&amp;L'!$E154*Drivers!K$116, $B42="Two-Installment (back-loaded)", 'P&amp;L'!$E154*Drivers!K$117,
     $B42="Year Start Lump Sum", 'P&amp;L'!$E154*Drivers!K$118,$B42="OSPI State Apportionment", 'P&amp;L'!$E154*Drivers!K$119, $B42="Expense Reimbursement", 'P&amp;L'!$E154*Drivers!K$120,
     $B42="Direct Monthly Input", 0)</f>
        <v>0</v>
      </c>
      <c r="I42" s="421" cm="1">
        <f t="array" ref="I42">_xlfn.IFS($B42="12-Month Smoothing", 'P&amp;L'!$E154*Drivers!L$113, $B42="10-Month Academic Calendar", 'P&amp;L'!$E154*Drivers!L$114, $B42="Quarterly Smoothing", 'P&amp;L'!$E154*Drivers!L$115,
     $B42="Two-Installment (front-loaded)", 'P&amp;L'!$E154*Drivers!L$116, $B42="Two-Installment (back-loaded)", 'P&amp;L'!$E154*Drivers!L$117,
     $B42="Year Start Lump Sum", 'P&amp;L'!$E154*Drivers!L$118,$B42="OSPI State Apportionment", 'P&amp;L'!$E154*Drivers!L$119, $B42="Expense Reimbursement", 'P&amp;L'!$E154*Drivers!L$120,
     $B42="Direct Monthly Input", 0)</f>
        <v>0</v>
      </c>
      <c r="J42" s="421" cm="1">
        <f t="array" ref="J42">_xlfn.IFS($B42="12-Month Smoothing", 'P&amp;L'!$E154*Drivers!M$113, $B42="10-Month Academic Calendar", 'P&amp;L'!$E154*Drivers!M$114, $B42="Quarterly Smoothing", 'P&amp;L'!$E154*Drivers!M$115,
     $B42="Two-Installment (front-loaded)", 'P&amp;L'!$E154*Drivers!M$116, $B42="Two-Installment (back-loaded)", 'P&amp;L'!$E154*Drivers!M$117,
     $B42="Year Start Lump Sum", 'P&amp;L'!$E154*Drivers!M$118,$B42="OSPI State Apportionment", 'P&amp;L'!$E154*Drivers!M$119, $B42="Expense Reimbursement", 'P&amp;L'!$E154*Drivers!M$120,
     $B42="Direct Monthly Input", 0)</f>
        <v>0</v>
      </c>
      <c r="K42" s="421" cm="1">
        <f t="array" ref="K42">_xlfn.IFS($B42="12-Month Smoothing", 'P&amp;L'!$E154*Drivers!N$113, $B42="10-Month Academic Calendar", 'P&amp;L'!$E154*Drivers!N$114, $B42="Quarterly Smoothing", 'P&amp;L'!$E154*Drivers!N$115,
     $B42="Two-Installment (front-loaded)", 'P&amp;L'!$E154*Drivers!N$116, $B42="Two-Installment (back-loaded)", 'P&amp;L'!$E154*Drivers!N$117,
     $B42="Year Start Lump Sum", 'P&amp;L'!$E154*Drivers!N$118,$B42="OSPI State Apportionment", 'P&amp;L'!$E154*Drivers!N$119, $B42="Expense Reimbursement", 'P&amp;L'!$E154*Drivers!N$120,
     $B42="Direct Monthly Input", 0)</f>
        <v>0</v>
      </c>
      <c r="L42" s="421" cm="1">
        <f t="array" ref="L42">_xlfn.IFS($B42="12-Month Smoothing", 'P&amp;L'!$E154*Drivers!O$113, $B42="10-Month Academic Calendar", 'P&amp;L'!$E154*Drivers!O$114, $B42="Quarterly Smoothing", 'P&amp;L'!$E154*Drivers!O$115,
     $B42="Two-Installment (front-loaded)", 'P&amp;L'!$E154*Drivers!O$116, $B42="Two-Installment (back-loaded)", 'P&amp;L'!$E154*Drivers!O$117,
     $B42="Year Start Lump Sum", 'P&amp;L'!$E154*Drivers!O$118,$B42="OSPI State Apportionment", 'P&amp;L'!$E154*Drivers!O$119, $B42="Expense Reimbursement", 'P&amp;L'!$E154*Drivers!O$120,
     $B42="Direct Monthly Input", 0)</f>
        <v>0</v>
      </c>
      <c r="M42" s="421" cm="1">
        <f t="array" ref="M42">_xlfn.IFS($B42="12-Month Smoothing", 'P&amp;L'!$E154*Drivers!P$113, $B42="10-Month Academic Calendar", 'P&amp;L'!$E154*Drivers!P$114, $B42="Quarterly Smoothing", 'P&amp;L'!$E154*Drivers!P$115,
     $B42="Two-Installment (front-loaded)", 'P&amp;L'!$E154*Drivers!P$116, $B42="Two-Installment (back-loaded)", 'P&amp;L'!$E154*Drivers!P$117,
     $B42="Year Start Lump Sum", 'P&amp;L'!$E154*Drivers!P$118,$B42="OSPI State Apportionment", 'P&amp;L'!$E154*Drivers!P$119, $B42="Expense Reimbursement", 'P&amp;L'!$E154*Drivers!P$120,
     $B42="Direct Monthly Input", 0)</f>
        <v>0</v>
      </c>
      <c r="N42" s="421" cm="1">
        <f t="array" ref="N42">_xlfn.IFS($B42="12-Month Smoothing", 'P&amp;L'!$E154*Drivers!Q$113, $B42="10-Month Academic Calendar", 'P&amp;L'!$E154*Drivers!Q$114, $B42="Quarterly Smoothing", 'P&amp;L'!$E154*Drivers!Q$115,
     $B42="Two-Installment (front-loaded)", 'P&amp;L'!$E154*Drivers!Q$116, $B42="Two-Installment (back-loaded)", 'P&amp;L'!$E154*Drivers!Q$117,
     $B42="Year Start Lump Sum", 'P&amp;L'!$E154*Drivers!Q$118,$B42="OSPI State Apportionment", 'P&amp;L'!$E154*Drivers!Q$119, $B42="Expense Reimbursement", 'P&amp;L'!$E154*Drivers!Q$120,
     $B42="Direct Monthly Input", 0)</f>
        <v>0</v>
      </c>
      <c r="O42" s="427" cm="1">
        <f t="array" ref="O42">_xlfn.IFS($B42="12-Month Smoothing", 'P&amp;L'!$E154*Drivers!R$113, $B42="10-Month Academic Calendar", 'P&amp;L'!$E154*Drivers!R$114, $B42="Quarterly Smoothing", 'P&amp;L'!$E154*Drivers!R$115,
     $B42="Two-Installment (front-loaded)", 'P&amp;L'!$E154*Drivers!R$116, $B42="Two-Installment (back-loaded)", 'P&amp;L'!$E154*Drivers!R$117,
     $B42="Year Start Lump Sum", 'P&amp;L'!$E154*Drivers!R$118,$B42="OSPI State Apportionment", 'P&amp;L'!$E154*Drivers!R$119, $B42="Expense Reimbursement", 'P&amp;L'!$E154*Drivers!R$120,
     $B42="Direct Monthly Input", 0)</f>
        <v>0</v>
      </c>
      <c r="P42" s="129">
        <f t="shared" si="3"/>
        <v>0</v>
      </c>
      <c r="Q42" s="730"/>
      <c r="R42" s="537"/>
    </row>
    <row r="43" spans="1:18" s="538" customFormat="1" ht="17" thickBot="1">
      <c r="A43" s="734"/>
      <c r="B43" s="419" t="s">
        <v>444</v>
      </c>
      <c r="C43" s="725" t="str">
        <f>'P&amp;L'!C155</f>
        <v xml:space="preserve">8200 - Private Foundations  </v>
      </c>
      <c r="D43" s="421" cm="1">
        <f t="array" ref="D43">_xlfn.IFS($B43="12-Month Smoothing", 'P&amp;L'!$E155*Drivers!G$113, $B43="10-Month Academic Calendar", 'P&amp;L'!$E155*Drivers!G$114, $B43="Quarterly Smoothing", 'P&amp;L'!$E155*Drivers!G$115,
     $B43="Two-Installment (front-loaded)", 'P&amp;L'!$E155*Drivers!G$116, $B43="Two-Installment (back-loaded)", 'P&amp;L'!$E155*Drivers!G$117,
     $B43="Year Start Lump Sum", 'P&amp;L'!$E155*Drivers!G$118,$B43="OSPI State Apportionment", 'P&amp;L'!$E155*Drivers!G$119, $B43="Expense Reimbursement", 'P&amp;L'!$E155*Drivers!G$120,
     $B43="Direct Monthly Input", 0)</f>
        <v>150000</v>
      </c>
      <c r="E43" s="421" cm="1">
        <f t="array" ref="E43">_xlfn.IFS($B43="12-Month Smoothing", 'P&amp;L'!$E155*Drivers!H$113, $B43="10-Month Academic Calendar", 'P&amp;L'!$E155*Drivers!H$114, $B43="Quarterly Smoothing", 'P&amp;L'!$E155*Drivers!H$115,
     $B43="Two-Installment (front-loaded)", 'P&amp;L'!$E155*Drivers!H$116, $B43="Two-Installment (back-loaded)", 'P&amp;L'!$E155*Drivers!H$117,
     $B43="Year Start Lump Sum", 'P&amp;L'!$E155*Drivers!H$118,$B43="OSPI State Apportionment", 'P&amp;L'!$E155*Drivers!H$119, $B43="Expense Reimbursement", 'P&amp;L'!$E155*Drivers!H$120,
     $B43="Direct Monthly Input", 0)</f>
        <v>0</v>
      </c>
      <c r="F43" s="421" cm="1">
        <f t="array" ref="F43">_xlfn.IFS($B43="12-Month Smoothing", 'P&amp;L'!$E155*Drivers!I$113, $B43="10-Month Academic Calendar", 'P&amp;L'!$E155*Drivers!I$114, $B43="Quarterly Smoothing", 'P&amp;L'!$E155*Drivers!I$115,
     $B43="Two-Installment (front-loaded)", 'P&amp;L'!$E155*Drivers!I$116, $B43="Two-Installment (back-loaded)", 'P&amp;L'!$E155*Drivers!I$117,
     $B43="Year Start Lump Sum", 'P&amp;L'!$E155*Drivers!I$118,$B43="OSPI State Apportionment", 'P&amp;L'!$E155*Drivers!I$119, $B43="Expense Reimbursement", 'P&amp;L'!$E155*Drivers!I$120,
     $B43="Direct Monthly Input", 0)</f>
        <v>0</v>
      </c>
      <c r="G43" s="421" cm="1">
        <f t="array" ref="G43">_xlfn.IFS($B43="12-Month Smoothing", 'P&amp;L'!$E155*Drivers!J$113, $B43="10-Month Academic Calendar", 'P&amp;L'!$E155*Drivers!J$114, $B43="Quarterly Smoothing", 'P&amp;L'!$E155*Drivers!J$115,
     $B43="Two-Installment (front-loaded)", 'P&amp;L'!$E155*Drivers!J$116, $B43="Two-Installment (back-loaded)", 'P&amp;L'!$E155*Drivers!J$117,
     $B43="Year Start Lump Sum", 'P&amp;L'!$E155*Drivers!J$118,$B43="OSPI State Apportionment", 'P&amp;L'!$E155*Drivers!J$119, $B43="Expense Reimbursement", 'P&amp;L'!$E155*Drivers!J$120,
     $B43="Direct Monthly Input", 0)</f>
        <v>0</v>
      </c>
      <c r="H43" s="421" cm="1">
        <f t="array" ref="H43">_xlfn.IFS($B43="12-Month Smoothing", 'P&amp;L'!$E155*Drivers!K$113, $B43="10-Month Academic Calendar", 'P&amp;L'!$E155*Drivers!K$114, $B43="Quarterly Smoothing", 'P&amp;L'!$E155*Drivers!K$115,
     $B43="Two-Installment (front-loaded)", 'P&amp;L'!$E155*Drivers!K$116, $B43="Two-Installment (back-loaded)", 'P&amp;L'!$E155*Drivers!K$117,
     $B43="Year Start Lump Sum", 'P&amp;L'!$E155*Drivers!K$118,$B43="OSPI State Apportionment", 'P&amp;L'!$E155*Drivers!K$119, $B43="Expense Reimbursement", 'P&amp;L'!$E155*Drivers!K$120,
     $B43="Direct Monthly Input", 0)</f>
        <v>0</v>
      </c>
      <c r="I43" s="421" cm="1">
        <f t="array" ref="I43">_xlfn.IFS($B43="12-Month Smoothing", 'P&amp;L'!$E155*Drivers!L$113, $B43="10-Month Academic Calendar", 'P&amp;L'!$E155*Drivers!L$114, $B43="Quarterly Smoothing", 'P&amp;L'!$E155*Drivers!L$115,
     $B43="Two-Installment (front-loaded)", 'P&amp;L'!$E155*Drivers!L$116, $B43="Two-Installment (back-loaded)", 'P&amp;L'!$E155*Drivers!L$117,
     $B43="Year Start Lump Sum", 'P&amp;L'!$E155*Drivers!L$118,$B43="OSPI State Apportionment", 'P&amp;L'!$E155*Drivers!L$119, $B43="Expense Reimbursement", 'P&amp;L'!$E155*Drivers!L$120,
     $B43="Direct Monthly Input", 0)</f>
        <v>150000</v>
      </c>
      <c r="J43" s="421" cm="1">
        <f t="array" ref="J43">_xlfn.IFS($B43="12-Month Smoothing", 'P&amp;L'!$E155*Drivers!M$113, $B43="10-Month Academic Calendar", 'P&amp;L'!$E155*Drivers!M$114, $B43="Quarterly Smoothing", 'P&amp;L'!$E155*Drivers!M$115,
     $B43="Two-Installment (front-loaded)", 'P&amp;L'!$E155*Drivers!M$116, $B43="Two-Installment (back-loaded)", 'P&amp;L'!$E155*Drivers!M$117,
     $B43="Year Start Lump Sum", 'P&amp;L'!$E155*Drivers!M$118,$B43="OSPI State Apportionment", 'P&amp;L'!$E155*Drivers!M$119, $B43="Expense Reimbursement", 'P&amp;L'!$E155*Drivers!M$120,
     $B43="Direct Monthly Input", 0)</f>
        <v>0</v>
      </c>
      <c r="K43" s="421" cm="1">
        <f t="array" ref="K43">_xlfn.IFS($B43="12-Month Smoothing", 'P&amp;L'!$E155*Drivers!N$113, $B43="10-Month Academic Calendar", 'P&amp;L'!$E155*Drivers!N$114, $B43="Quarterly Smoothing", 'P&amp;L'!$E155*Drivers!N$115,
     $B43="Two-Installment (front-loaded)", 'P&amp;L'!$E155*Drivers!N$116, $B43="Two-Installment (back-loaded)", 'P&amp;L'!$E155*Drivers!N$117,
     $B43="Year Start Lump Sum", 'P&amp;L'!$E155*Drivers!N$118,$B43="OSPI State Apportionment", 'P&amp;L'!$E155*Drivers!N$119, $B43="Expense Reimbursement", 'P&amp;L'!$E155*Drivers!N$120,
     $B43="Direct Monthly Input", 0)</f>
        <v>0</v>
      </c>
      <c r="L43" s="421" cm="1">
        <f t="array" ref="L43">_xlfn.IFS($B43="12-Month Smoothing", 'P&amp;L'!$E155*Drivers!O$113, $B43="10-Month Academic Calendar", 'P&amp;L'!$E155*Drivers!O$114, $B43="Quarterly Smoothing", 'P&amp;L'!$E155*Drivers!O$115,
     $B43="Two-Installment (front-loaded)", 'P&amp;L'!$E155*Drivers!O$116, $B43="Two-Installment (back-loaded)", 'P&amp;L'!$E155*Drivers!O$117,
     $B43="Year Start Lump Sum", 'P&amp;L'!$E155*Drivers!O$118,$B43="OSPI State Apportionment", 'P&amp;L'!$E155*Drivers!O$119, $B43="Expense Reimbursement", 'P&amp;L'!$E155*Drivers!O$120,
     $B43="Direct Monthly Input", 0)</f>
        <v>0</v>
      </c>
      <c r="M43" s="421" cm="1">
        <f t="array" ref="M43">_xlfn.IFS($B43="12-Month Smoothing", 'P&amp;L'!$E155*Drivers!P$113, $B43="10-Month Academic Calendar", 'P&amp;L'!$E155*Drivers!P$114, $B43="Quarterly Smoothing", 'P&amp;L'!$E155*Drivers!P$115,
     $B43="Two-Installment (front-loaded)", 'P&amp;L'!$E155*Drivers!P$116, $B43="Two-Installment (back-loaded)", 'P&amp;L'!$E155*Drivers!P$117,
     $B43="Year Start Lump Sum", 'P&amp;L'!$E155*Drivers!P$118,$B43="OSPI State Apportionment", 'P&amp;L'!$E155*Drivers!P$119, $B43="Expense Reimbursement", 'P&amp;L'!$E155*Drivers!P$120,
     $B43="Direct Monthly Input", 0)</f>
        <v>0</v>
      </c>
      <c r="N43" s="421" cm="1">
        <f t="array" ref="N43">_xlfn.IFS($B43="12-Month Smoothing", 'P&amp;L'!$E155*Drivers!Q$113, $B43="10-Month Academic Calendar", 'P&amp;L'!$E155*Drivers!Q$114, $B43="Quarterly Smoothing", 'P&amp;L'!$E155*Drivers!Q$115,
     $B43="Two-Installment (front-loaded)", 'P&amp;L'!$E155*Drivers!Q$116, $B43="Two-Installment (back-loaded)", 'P&amp;L'!$E155*Drivers!Q$117,
     $B43="Year Start Lump Sum", 'P&amp;L'!$E155*Drivers!Q$118,$B43="OSPI State Apportionment", 'P&amp;L'!$E155*Drivers!Q$119, $B43="Expense Reimbursement", 'P&amp;L'!$E155*Drivers!Q$120,
     $B43="Direct Monthly Input", 0)</f>
        <v>0</v>
      </c>
      <c r="O43" s="427" cm="1">
        <f t="array" ref="O43">_xlfn.IFS($B43="12-Month Smoothing", 'P&amp;L'!$E155*Drivers!R$113, $B43="10-Month Academic Calendar", 'P&amp;L'!$E155*Drivers!R$114, $B43="Quarterly Smoothing", 'P&amp;L'!$E155*Drivers!R$115,
     $B43="Two-Installment (front-loaded)", 'P&amp;L'!$E155*Drivers!R$116, $B43="Two-Installment (back-loaded)", 'P&amp;L'!$E155*Drivers!R$117,
     $B43="Year Start Lump Sum", 'P&amp;L'!$E155*Drivers!R$118,$B43="OSPI State Apportionment", 'P&amp;L'!$E155*Drivers!R$119, $B43="Expense Reimbursement", 'P&amp;L'!$E155*Drivers!R$120,
     $B43="Direct Monthly Input", 0)</f>
        <v>0</v>
      </c>
      <c r="P43" s="129">
        <f t="shared" si="3"/>
        <v>300000</v>
      </c>
      <c r="Q43" s="730"/>
      <c r="R43" s="537"/>
    </row>
    <row r="44" spans="1:18" s="538" customFormat="1" ht="17" thickBot="1">
      <c r="A44" s="734"/>
      <c r="B44" s="419" t="s">
        <v>440</v>
      </c>
      <c r="C44" s="725" t="str">
        <f>'P&amp;L'!C156</f>
        <v xml:space="preserve">8500 - Educational Service Districts   </v>
      </c>
      <c r="D44" s="421" cm="1">
        <f t="array" ref="D44">_xlfn.IFS($B44="12-Month Smoothing", 'P&amp;L'!$E156*Drivers!G$113, $B44="10-Month Academic Calendar", 'P&amp;L'!$E156*Drivers!G$114, $B44="Quarterly Smoothing", 'P&amp;L'!$E156*Drivers!G$115,
     $B44="Two-Installment (front-loaded)", 'P&amp;L'!$E156*Drivers!G$116, $B44="Two-Installment (back-loaded)", 'P&amp;L'!$E156*Drivers!G$117,
     $B44="Year Start Lump Sum", 'P&amp;L'!$E156*Drivers!G$118,$B44="OSPI State Apportionment", 'P&amp;L'!$E156*Drivers!G$119, $B44="Expense Reimbursement", 'P&amp;L'!$E156*Drivers!G$120,
     $B44="Direct Monthly Input", 0)</f>
        <v>0</v>
      </c>
      <c r="E44" s="421" cm="1">
        <f t="array" ref="E44">_xlfn.IFS($B44="12-Month Smoothing", 'P&amp;L'!$E156*Drivers!H$113, $B44="10-Month Academic Calendar", 'P&amp;L'!$E156*Drivers!H$114, $B44="Quarterly Smoothing", 'P&amp;L'!$E156*Drivers!H$115,
     $B44="Two-Installment (front-loaded)", 'P&amp;L'!$E156*Drivers!H$116, $B44="Two-Installment (back-loaded)", 'P&amp;L'!$E156*Drivers!H$117,
     $B44="Year Start Lump Sum", 'P&amp;L'!$E156*Drivers!H$118,$B44="OSPI State Apportionment", 'P&amp;L'!$E156*Drivers!H$119, $B44="Expense Reimbursement", 'P&amp;L'!$E156*Drivers!H$120,
     $B44="Direct Monthly Input", 0)</f>
        <v>0</v>
      </c>
      <c r="F44" s="421" cm="1">
        <f t="array" ref="F44">_xlfn.IFS($B44="12-Month Smoothing", 'P&amp;L'!$E156*Drivers!I$113, $B44="10-Month Academic Calendar", 'P&amp;L'!$E156*Drivers!I$114, $B44="Quarterly Smoothing", 'P&amp;L'!$E156*Drivers!I$115,
     $B44="Two-Installment (front-loaded)", 'P&amp;L'!$E156*Drivers!I$116, $B44="Two-Installment (back-loaded)", 'P&amp;L'!$E156*Drivers!I$117,
     $B44="Year Start Lump Sum", 'P&amp;L'!$E156*Drivers!I$118,$B44="OSPI State Apportionment", 'P&amp;L'!$E156*Drivers!I$119, $B44="Expense Reimbursement", 'P&amp;L'!$E156*Drivers!I$120,
     $B44="Direct Monthly Input", 0)</f>
        <v>0</v>
      </c>
      <c r="G44" s="421" cm="1">
        <f t="array" ref="G44">_xlfn.IFS($B44="12-Month Smoothing", 'P&amp;L'!$E156*Drivers!J$113, $B44="10-Month Academic Calendar", 'P&amp;L'!$E156*Drivers!J$114, $B44="Quarterly Smoothing", 'P&amp;L'!$E156*Drivers!J$115,
     $B44="Two-Installment (front-loaded)", 'P&amp;L'!$E156*Drivers!J$116, $B44="Two-Installment (back-loaded)", 'P&amp;L'!$E156*Drivers!J$117,
     $B44="Year Start Lump Sum", 'P&amp;L'!$E156*Drivers!J$118,$B44="OSPI State Apportionment", 'P&amp;L'!$E156*Drivers!J$119, $B44="Expense Reimbursement", 'P&amp;L'!$E156*Drivers!J$120,
     $B44="Direct Monthly Input", 0)</f>
        <v>0</v>
      </c>
      <c r="H44" s="421" cm="1">
        <f t="array" ref="H44">_xlfn.IFS($B44="12-Month Smoothing", 'P&amp;L'!$E156*Drivers!K$113, $B44="10-Month Academic Calendar", 'P&amp;L'!$E156*Drivers!K$114, $B44="Quarterly Smoothing", 'P&amp;L'!$E156*Drivers!K$115,
     $B44="Two-Installment (front-loaded)", 'P&amp;L'!$E156*Drivers!K$116, $B44="Two-Installment (back-loaded)", 'P&amp;L'!$E156*Drivers!K$117,
     $B44="Year Start Lump Sum", 'P&amp;L'!$E156*Drivers!K$118,$B44="OSPI State Apportionment", 'P&amp;L'!$E156*Drivers!K$119, $B44="Expense Reimbursement", 'P&amp;L'!$E156*Drivers!K$120,
     $B44="Direct Monthly Input", 0)</f>
        <v>0</v>
      </c>
      <c r="I44" s="421" cm="1">
        <f t="array" ref="I44">_xlfn.IFS($B44="12-Month Smoothing", 'P&amp;L'!$E156*Drivers!L$113, $B44="10-Month Academic Calendar", 'P&amp;L'!$E156*Drivers!L$114, $B44="Quarterly Smoothing", 'P&amp;L'!$E156*Drivers!L$115,
     $B44="Two-Installment (front-loaded)", 'P&amp;L'!$E156*Drivers!L$116, $B44="Two-Installment (back-loaded)", 'P&amp;L'!$E156*Drivers!L$117,
     $B44="Year Start Lump Sum", 'P&amp;L'!$E156*Drivers!L$118,$B44="OSPI State Apportionment", 'P&amp;L'!$E156*Drivers!L$119, $B44="Expense Reimbursement", 'P&amp;L'!$E156*Drivers!L$120,
     $B44="Direct Monthly Input", 0)</f>
        <v>0</v>
      </c>
      <c r="J44" s="421" cm="1">
        <f t="array" ref="J44">_xlfn.IFS($B44="12-Month Smoothing", 'P&amp;L'!$E156*Drivers!M$113, $B44="10-Month Academic Calendar", 'P&amp;L'!$E156*Drivers!M$114, $B44="Quarterly Smoothing", 'P&amp;L'!$E156*Drivers!M$115,
     $B44="Two-Installment (front-loaded)", 'P&amp;L'!$E156*Drivers!M$116, $B44="Two-Installment (back-loaded)", 'P&amp;L'!$E156*Drivers!M$117,
     $B44="Year Start Lump Sum", 'P&amp;L'!$E156*Drivers!M$118,$B44="OSPI State Apportionment", 'P&amp;L'!$E156*Drivers!M$119, $B44="Expense Reimbursement", 'P&amp;L'!$E156*Drivers!M$120,
     $B44="Direct Monthly Input", 0)</f>
        <v>0</v>
      </c>
      <c r="K44" s="421" cm="1">
        <f t="array" ref="K44">_xlfn.IFS($B44="12-Month Smoothing", 'P&amp;L'!$E156*Drivers!N$113, $B44="10-Month Academic Calendar", 'P&amp;L'!$E156*Drivers!N$114, $B44="Quarterly Smoothing", 'P&amp;L'!$E156*Drivers!N$115,
     $B44="Two-Installment (front-loaded)", 'P&amp;L'!$E156*Drivers!N$116, $B44="Two-Installment (back-loaded)", 'P&amp;L'!$E156*Drivers!N$117,
     $B44="Year Start Lump Sum", 'P&amp;L'!$E156*Drivers!N$118,$B44="OSPI State Apportionment", 'P&amp;L'!$E156*Drivers!N$119, $B44="Expense Reimbursement", 'P&amp;L'!$E156*Drivers!N$120,
     $B44="Direct Monthly Input", 0)</f>
        <v>0</v>
      </c>
      <c r="L44" s="421" cm="1">
        <f t="array" ref="L44">_xlfn.IFS($B44="12-Month Smoothing", 'P&amp;L'!$E156*Drivers!O$113, $B44="10-Month Academic Calendar", 'P&amp;L'!$E156*Drivers!O$114, $B44="Quarterly Smoothing", 'P&amp;L'!$E156*Drivers!O$115,
     $B44="Two-Installment (front-loaded)", 'P&amp;L'!$E156*Drivers!O$116, $B44="Two-Installment (back-loaded)", 'P&amp;L'!$E156*Drivers!O$117,
     $B44="Year Start Lump Sum", 'P&amp;L'!$E156*Drivers!O$118,$B44="OSPI State Apportionment", 'P&amp;L'!$E156*Drivers!O$119, $B44="Expense Reimbursement", 'P&amp;L'!$E156*Drivers!O$120,
     $B44="Direct Monthly Input", 0)</f>
        <v>0</v>
      </c>
      <c r="M44" s="421" cm="1">
        <f t="array" ref="M44">_xlfn.IFS($B44="12-Month Smoothing", 'P&amp;L'!$E156*Drivers!P$113, $B44="10-Month Academic Calendar", 'P&amp;L'!$E156*Drivers!P$114, $B44="Quarterly Smoothing", 'P&amp;L'!$E156*Drivers!P$115,
     $B44="Two-Installment (front-loaded)", 'P&amp;L'!$E156*Drivers!P$116, $B44="Two-Installment (back-loaded)", 'P&amp;L'!$E156*Drivers!P$117,
     $B44="Year Start Lump Sum", 'P&amp;L'!$E156*Drivers!P$118,$B44="OSPI State Apportionment", 'P&amp;L'!$E156*Drivers!P$119, $B44="Expense Reimbursement", 'P&amp;L'!$E156*Drivers!P$120,
     $B44="Direct Monthly Input", 0)</f>
        <v>0</v>
      </c>
      <c r="N44" s="421" cm="1">
        <f t="array" ref="N44">_xlfn.IFS($B44="12-Month Smoothing", 'P&amp;L'!$E156*Drivers!Q$113, $B44="10-Month Academic Calendar", 'P&amp;L'!$E156*Drivers!Q$114, $B44="Quarterly Smoothing", 'P&amp;L'!$E156*Drivers!Q$115,
     $B44="Two-Installment (front-loaded)", 'P&amp;L'!$E156*Drivers!Q$116, $B44="Two-Installment (back-loaded)", 'P&amp;L'!$E156*Drivers!Q$117,
     $B44="Year Start Lump Sum", 'P&amp;L'!$E156*Drivers!Q$118,$B44="OSPI State Apportionment", 'P&amp;L'!$E156*Drivers!Q$119, $B44="Expense Reimbursement", 'P&amp;L'!$E156*Drivers!Q$120,
     $B44="Direct Monthly Input", 0)</f>
        <v>0</v>
      </c>
      <c r="O44" s="427" cm="1">
        <f t="array" ref="O44">_xlfn.IFS($B44="12-Month Smoothing", 'P&amp;L'!$E156*Drivers!R$113, $B44="10-Month Academic Calendar", 'P&amp;L'!$E156*Drivers!R$114, $B44="Quarterly Smoothing", 'P&amp;L'!$E156*Drivers!R$115,
     $B44="Two-Installment (front-loaded)", 'P&amp;L'!$E156*Drivers!R$116, $B44="Two-Installment (back-loaded)", 'P&amp;L'!$E156*Drivers!R$117,
     $B44="Year Start Lump Sum", 'P&amp;L'!$E156*Drivers!R$118,$B44="OSPI State Apportionment", 'P&amp;L'!$E156*Drivers!R$119, $B44="Expense Reimbursement", 'P&amp;L'!$E156*Drivers!R$120,
     $B44="Direct Monthly Input", 0)</f>
        <v>0</v>
      </c>
      <c r="P44" s="129">
        <f t="shared" si="3"/>
        <v>0</v>
      </c>
      <c r="Q44" s="730"/>
      <c r="R44" s="537"/>
    </row>
    <row r="45" spans="1:18" s="538" customFormat="1" ht="17" thickBot="1">
      <c r="A45" s="734"/>
      <c r="B45" s="419" t="s">
        <v>444</v>
      </c>
      <c r="C45" s="725" t="str">
        <f>'P&amp;L'!C157</f>
        <v>All Other 8000 - OTHER ENTITIES</v>
      </c>
      <c r="D45" s="421" cm="1">
        <f t="array" ref="D45">_xlfn.IFS($B45="12-Month Smoothing", 'P&amp;L'!$E157*Drivers!G$113, $B45="10-Month Academic Calendar", 'P&amp;L'!$E157*Drivers!G$114, $B45="Quarterly Smoothing", 'P&amp;L'!$E157*Drivers!G$115,
     $B45="Two-Installment (front-loaded)", 'P&amp;L'!$E157*Drivers!G$116, $B45="Two-Installment (back-loaded)", 'P&amp;L'!$E157*Drivers!G$117,
     $B45="Year Start Lump Sum", 'P&amp;L'!$E157*Drivers!G$118,$B45="OSPI State Apportionment", 'P&amp;L'!$E157*Drivers!G$119, $B45="Expense Reimbursement", 'P&amp;L'!$E157*Drivers!G$120,
     $B45="Direct Monthly Input", 0)</f>
        <v>0</v>
      </c>
      <c r="E45" s="421" cm="1">
        <f t="array" ref="E45">_xlfn.IFS($B45="12-Month Smoothing", 'P&amp;L'!$E157*Drivers!H$113, $B45="10-Month Academic Calendar", 'P&amp;L'!$E157*Drivers!H$114, $B45="Quarterly Smoothing", 'P&amp;L'!$E157*Drivers!H$115,
     $B45="Two-Installment (front-loaded)", 'P&amp;L'!$E157*Drivers!H$116, $B45="Two-Installment (back-loaded)", 'P&amp;L'!$E157*Drivers!H$117,
     $B45="Year Start Lump Sum", 'P&amp;L'!$E157*Drivers!H$118,$B45="OSPI State Apportionment", 'P&amp;L'!$E157*Drivers!H$119, $B45="Expense Reimbursement", 'P&amp;L'!$E157*Drivers!H$120,
     $B45="Direct Monthly Input", 0)</f>
        <v>0</v>
      </c>
      <c r="F45" s="421" cm="1">
        <f t="array" ref="F45">_xlfn.IFS($B45="12-Month Smoothing", 'P&amp;L'!$E157*Drivers!I$113, $B45="10-Month Academic Calendar", 'P&amp;L'!$E157*Drivers!I$114, $B45="Quarterly Smoothing", 'P&amp;L'!$E157*Drivers!I$115,
     $B45="Two-Installment (front-loaded)", 'P&amp;L'!$E157*Drivers!I$116, $B45="Two-Installment (back-loaded)", 'P&amp;L'!$E157*Drivers!I$117,
     $B45="Year Start Lump Sum", 'P&amp;L'!$E157*Drivers!I$118,$B45="OSPI State Apportionment", 'P&amp;L'!$E157*Drivers!I$119, $B45="Expense Reimbursement", 'P&amp;L'!$E157*Drivers!I$120,
     $B45="Direct Monthly Input", 0)</f>
        <v>0</v>
      </c>
      <c r="G45" s="421" cm="1">
        <f t="array" ref="G45">_xlfn.IFS($B45="12-Month Smoothing", 'P&amp;L'!$E157*Drivers!J$113, $B45="10-Month Academic Calendar", 'P&amp;L'!$E157*Drivers!J$114, $B45="Quarterly Smoothing", 'P&amp;L'!$E157*Drivers!J$115,
     $B45="Two-Installment (front-loaded)", 'P&amp;L'!$E157*Drivers!J$116, $B45="Two-Installment (back-loaded)", 'P&amp;L'!$E157*Drivers!J$117,
     $B45="Year Start Lump Sum", 'P&amp;L'!$E157*Drivers!J$118,$B45="OSPI State Apportionment", 'P&amp;L'!$E157*Drivers!J$119, $B45="Expense Reimbursement", 'P&amp;L'!$E157*Drivers!J$120,
     $B45="Direct Monthly Input", 0)</f>
        <v>0</v>
      </c>
      <c r="H45" s="421" cm="1">
        <f t="array" ref="H45">_xlfn.IFS($B45="12-Month Smoothing", 'P&amp;L'!$E157*Drivers!K$113, $B45="10-Month Academic Calendar", 'P&amp;L'!$E157*Drivers!K$114, $B45="Quarterly Smoothing", 'P&amp;L'!$E157*Drivers!K$115,
     $B45="Two-Installment (front-loaded)", 'P&amp;L'!$E157*Drivers!K$116, $B45="Two-Installment (back-loaded)", 'P&amp;L'!$E157*Drivers!K$117,
     $B45="Year Start Lump Sum", 'P&amp;L'!$E157*Drivers!K$118,$B45="OSPI State Apportionment", 'P&amp;L'!$E157*Drivers!K$119, $B45="Expense Reimbursement", 'P&amp;L'!$E157*Drivers!K$120,
     $B45="Direct Monthly Input", 0)</f>
        <v>0</v>
      </c>
      <c r="I45" s="421" cm="1">
        <f t="array" ref="I45">_xlfn.IFS($B45="12-Month Smoothing", 'P&amp;L'!$E157*Drivers!L$113, $B45="10-Month Academic Calendar", 'P&amp;L'!$E157*Drivers!L$114, $B45="Quarterly Smoothing", 'P&amp;L'!$E157*Drivers!L$115,
     $B45="Two-Installment (front-loaded)", 'P&amp;L'!$E157*Drivers!L$116, $B45="Two-Installment (back-loaded)", 'P&amp;L'!$E157*Drivers!L$117,
     $B45="Year Start Lump Sum", 'P&amp;L'!$E157*Drivers!L$118,$B45="OSPI State Apportionment", 'P&amp;L'!$E157*Drivers!L$119, $B45="Expense Reimbursement", 'P&amp;L'!$E157*Drivers!L$120,
     $B45="Direct Monthly Input", 0)</f>
        <v>0</v>
      </c>
      <c r="J45" s="421" cm="1">
        <f t="array" ref="J45">_xlfn.IFS($B45="12-Month Smoothing", 'P&amp;L'!$E157*Drivers!M$113, $B45="10-Month Academic Calendar", 'P&amp;L'!$E157*Drivers!M$114, $B45="Quarterly Smoothing", 'P&amp;L'!$E157*Drivers!M$115,
     $B45="Two-Installment (front-loaded)", 'P&amp;L'!$E157*Drivers!M$116, $B45="Two-Installment (back-loaded)", 'P&amp;L'!$E157*Drivers!M$117,
     $B45="Year Start Lump Sum", 'P&amp;L'!$E157*Drivers!M$118,$B45="OSPI State Apportionment", 'P&amp;L'!$E157*Drivers!M$119, $B45="Expense Reimbursement", 'P&amp;L'!$E157*Drivers!M$120,
     $B45="Direct Monthly Input", 0)</f>
        <v>0</v>
      </c>
      <c r="K45" s="421" cm="1">
        <f t="array" ref="K45">_xlfn.IFS($B45="12-Month Smoothing", 'P&amp;L'!$E157*Drivers!N$113, $B45="10-Month Academic Calendar", 'P&amp;L'!$E157*Drivers!N$114, $B45="Quarterly Smoothing", 'P&amp;L'!$E157*Drivers!N$115,
     $B45="Two-Installment (front-loaded)", 'P&amp;L'!$E157*Drivers!N$116, $B45="Two-Installment (back-loaded)", 'P&amp;L'!$E157*Drivers!N$117,
     $B45="Year Start Lump Sum", 'P&amp;L'!$E157*Drivers!N$118,$B45="OSPI State Apportionment", 'P&amp;L'!$E157*Drivers!N$119, $B45="Expense Reimbursement", 'P&amp;L'!$E157*Drivers!N$120,
     $B45="Direct Monthly Input", 0)</f>
        <v>0</v>
      </c>
      <c r="L45" s="421" cm="1">
        <f t="array" ref="L45">_xlfn.IFS($B45="12-Month Smoothing", 'P&amp;L'!$E157*Drivers!O$113, $B45="10-Month Academic Calendar", 'P&amp;L'!$E157*Drivers!O$114, $B45="Quarterly Smoothing", 'P&amp;L'!$E157*Drivers!O$115,
     $B45="Two-Installment (front-loaded)", 'P&amp;L'!$E157*Drivers!O$116, $B45="Two-Installment (back-loaded)", 'P&amp;L'!$E157*Drivers!O$117,
     $B45="Year Start Lump Sum", 'P&amp;L'!$E157*Drivers!O$118,$B45="OSPI State Apportionment", 'P&amp;L'!$E157*Drivers!O$119, $B45="Expense Reimbursement", 'P&amp;L'!$E157*Drivers!O$120,
     $B45="Direct Monthly Input", 0)</f>
        <v>0</v>
      </c>
      <c r="M45" s="421" cm="1">
        <f t="array" ref="M45">_xlfn.IFS($B45="12-Month Smoothing", 'P&amp;L'!$E157*Drivers!P$113, $B45="10-Month Academic Calendar", 'P&amp;L'!$E157*Drivers!P$114, $B45="Quarterly Smoothing", 'P&amp;L'!$E157*Drivers!P$115,
     $B45="Two-Installment (front-loaded)", 'P&amp;L'!$E157*Drivers!P$116, $B45="Two-Installment (back-loaded)", 'P&amp;L'!$E157*Drivers!P$117,
     $B45="Year Start Lump Sum", 'P&amp;L'!$E157*Drivers!P$118,$B45="OSPI State Apportionment", 'P&amp;L'!$E157*Drivers!P$119, $B45="Expense Reimbursement", 'P&amp;L'!$E157*Drivers!P$120,
     $B45="Direct Monthly Input", 0)</f>
        <v>0</v>
      </c>
      <c r="N45" s="421" cm="1">
        <f t="array" ref="N45">_xlfn.IFS($B45="12-Month Smoothing", 'P&amp;L'!$E157*Drivers!Q$113, $B45="10-Month Academic Calendar", 'P&amp;L'!$E157*Drivers!Q$114, $B45="Quarterly Smoothing", 'P&amp;L'!$E157*Drivers!Q$115,
     $B45="Two-Installment (front-loaded)", 'P&amp;L'!$E157*Drivers!Q$116, $B45="Two-Installment (back-loaded)", 'P&amp;L'!$E157*Drivers!Q$117,
     $B45="Year Start Lump Sum", 'P&amp;L'!$E157*Drivers!Q$118,$B45="OSPI State Apportionment", 'P&amp;L'!$E157*Drivers!Q$119, $B45="Expense Reimbursement", 'P&amp;L'!$E157*Drivers!Q$120,
     $B45="Direct Monthly Input", 0)</f>
        <v>0</v>
      </c>
      <c r="O45" s="427" cm="1">
        <f t="array" ref="O45">_xlfn.IFS($B45="12-Month Smoothing", 'P&amp;L'!$E157*Drivers!R$113, $B45="10-Month Academic Calendar", 'P&amp;L'!$E157*Drivers!R$114, $B45="Quarterly Smoothing", 'P&amp;L'!$E157*Drivers!R$115,
     $B45="Two-Installment (front-loaded)", 'P&amp;L'!$E157*Drivers!R$116, $B45="Two-Installment (back-loaded)", 'P&amp;L'!$E157*Drivers!R$117,
     $B45="Year Start Lump Sum", 'P&amp;L'!$E157*Drivers!R$118,$B45="OSPI State Apportionment", 'P&amp;L'!$E157*Drivers!R$119, $B45="Expense Reimbursement", 'P&amp;L'!$E157*Drivers!R$120,
     $B45="Direct Monthly Input", 0)</f>
        <v>0</v>
      </c>
      <c r="P45" s="129">
        <f t="shared" si="3"/>
        <v>0</v>
      </c>
      <c r="Q45" s="730"/>
      <c r="R45" s="537"/>
    </row>
    <row r="46" spans="1:18" s="538" customFormat="1" ht="17" thickBot="1">
      <c r="A46" s="734"/>
      <c r="B46" s="419" t="s">
        <v>439</v>
      </c>
      <c r="C46" s="725" t="str">
        <f>'P&amp;L'!C159</f>
        <v xml:space="preserve">9500 - Long-Term Financing      </v>
      </c>
      <c r="D46" s="421" cm="1">
        <f t="array" ref="D46">_xlfn.IFS($B46="12-Month Smoothing", 'P&amp;L'!$E159*Drivers!G$113, $B46="10-Month Academic Calendar", 'P&amp;L'!$E159*Drivers!G$114, $B46="Quarterly Smoothing", 'P&amp;L'!$E159*Drivers!G$115,
     $B46="Two-Installment (front-loaded)", 'P&amp;L'!$E159*Drivers!G$116, $B46="Two-Installment (back-loaded)", 'P&amp;L'!$E159*Drivers!G$117,
     $B46="Year Start Lump Sum", 'P&amp;L'!$E159*Drivers!G$118,$B46="OSPI State Apportionment", 'P&amp;L'!$E159*Drivers!G$119, $B46="Expense Reimbursement", 'P&amp;L'!$E159*Drivers!G$120,
     $B46="Direct Monthly Input", 0)</f>
        <v>0</v>
      </c>
      <c r="E46" s="421" cm="1">
        <f t="array" ref="E46">_xlfn.IFS($B46="12-Month Smoothing", 'P&amp;L'!$E159*Drivers!H$113, $B46="10-Month Academic Calendar", 'P&amp;L'!$E159*Drivers!H$114, $B46="Quarterly Smoothing", 'P&amp;L'!$E159*Drivers!H$115,
     $B46="Two-Installment (front-loaded)", 'P&amp;L'!$E159*Drivers!H$116, $B46="Two-Installment (back-loaded)", 'P&amp;L'!$E159*Drivers!H$117,
     $B46="Year Start Lump Sum", 'P&amp;L'!$E159*Drivers!H$118,$B46="OSPI State Apportionment", 'P&amp;L'!$E159*Drivers!H$119, $B46="Expense Reimbursement", 'P&amp;L'!$E159*Drivers!H$120,
     $B46="Direct Monthly Input", 0)</f>
        <v>0</v>
      </c>
      <c r="F46" s="421" cm="1">
        <f t="array" ref="F46">_xlfn.IFS($B46="12-Month Smoothing", 'P&amp;L'!$E159*Drivers!I$113, $B46="10-Month Academic Calendar", 'P&amp;L'!$E159*Drivers!I$114, $B46="Quarterly Smoothing", 'P&amp;L'!$E159*Drivers!I$115,
     $B46="Two-Installment (front-loaded)", 'P&amp;L'!$E159*Drivers!I$116, $B46="Two-Installment (back-loaded)", 'P&amp;L'!$E159*Drivers!I$117,
     $B46="Year Start Lump Sum", 'P&amp;L'!$E159*Drivers!I$118,$B46="OSPI State Apportionment", 'P&amp;L'!$E159*Drivers!I$119, $B46="Expense Reimbursement", 'P&amp;L'!$E159*Drivers!I$120,
     $B46="Direct Monthly Input", 0)</f>
        <v>0</v>
      </c>
      <c r="G46" s="421" cm="1">
        <f t="array" ref="G46">_xlfn.IFS($B46="12-Month Smoothing", 'P&amp;L'!$E159*Drivers!J$113, $B46="10-Month Academic Calendar", 'P&amp;L'!$E159*Drivers!J$114, $B46="Quarterly Smoothing", 'P&amp;L'!$E159*Drivers!J$115,
     $B46="Two-Installment (front-loaded)", 'P&amp;L'!$E159*Drivers!J$116, $B46="Two-Installment (back-loaded)", 'P&amp;L'!$E159*Drivers!J$117,
     $B46="Year Start Lump Sum", 'P&amp;L'!$E159*Drivers!J$118,$B46="OSPI State Apportionment", 'P&amp;L'!$E159*Drivers!J$119, $B46="Expense Reimbursement", 'P&amp;L'!$E159*Drivers!J$120,
     $B46="Direct Monthly Input", 0)</f>
        <v>0</v>
      </c>
      <c r="H46" s="421" cm="1">
        <f t="array" ref="H46">_xlfn.IFS($B46="12-Month Smoothing", 'P&amp;L'!$E159*Drivers!K$113, $B46="10-Month Academic Calendar", 'P&amp;L'!$E159*Drivers!K$114, $B46="Quarterly Smoothing", 'P&amp;L'!$E159*Drivers!K$115,
     $B46="Two-Installment (front-loaded)", 'P&amp;L'!$E159*Drivers!K$116, $B46="Two-Installment (back-loaded)", 'P&amp;L'!$E159*Drivers!K$117,
     $B46="Year Start Lump Sum", 'P&amp;L'!$E159*Drivers!K$118,$B46="OSPI State Apportionment", 'P&amp;L'!$E159*Drivers!K$119, $B46="Expense Reimbursement", 'P&amp;L'!$E159*Drivers!K$120,
     $B46="Direct Monthly Input", 0)</f>
        <v>0</v>
      </c>
      <c r="I46" s="421" cm="1">
        <f t="array" ref="I46">_xlfn.IFS($B46="12-Month Smoothing", 'P&amp;L'!$E159*Drivers!L$113, $B46="10-Month Academic Calendar", 'P&amp;L'!$E159*Drivers!L$114, $B46="Quarterly Smoothing", 'P&amp;L'!$E159*Drivers!L$115,
     $B46="Two-Installment (front-loaded)", 'P&amp;L'!$E159*Drivers!L$116, $B46="Two-Installment (back-loaded)", 'P&amp;L'!$E159*Drivers!L$117,
     $B46="Year Start Lump Sum", 'P&amp;L'!$E159*Drivers!L$118,$B46="OSPI State Apportionment", 'P&amp;L'!$E159*Drivers!L$119, $B46="Expense Reimbursement", 'P&amp;L'!$E159*Drivers!L$120,
     $B46="Direct Monthly Input", 0)</f>
        <v>0</v>
      </c>
      <c r="J46" s="421" cm="1">
        <f t="array" ref="J46">_xlfn.IFS($B46="12-Month Smoothing", 'P&amp;L'!$E159*Drivers!M$113, $B46="10-Month Academic Calendar", 'P&amp;L'!$E159*Drivers!M$114, $B46="Quarterly Smoothing", 'P&amp;L'!$E159*Drivers!M$115,
     $B46="Two-Installment (front-loaded)", 'P&amp;L'!$E159*Drivers!M$116, $B46="Two-Installment (back-loaded)", 'P&amp;L'!$E159*Drivers!M$117,
     $B46="Year Start Lump Sum", 'P&amp;L'!$E159*Drivers!M$118,$B46="OSPI State Apportionment", 'P&amp;L'!$E159*Drivers!M$119, $B46="Expense Reimbursement", 'P&amp;L'!$E159*Drivers!M$120,
     $B46="Direct Monthly Input", 0)</f>
        <v>0</v>
      </c>
      <c r="K46" s="421" cm="1">
        <f t="array" ref="K46">_xlfn.IFS($B46="12-Month Smoothing", 'P&amp;L'!$E159*Drivers!N$113, $B46="10-Month Academic Calendar", 'P&amp;L'!$E159*Drivers!N$114, $B46="Quarterly Smoothing", 'P&amp;L'!$E159*Drivers!N$115,
     $B46="Two-Installment (front-loaded)", 'P&amp;L'!$E159*Drivers!N$116, $B46="Two-Installment (back-loaded)", 'P&amp;L'!$E159*Drivers!N$117,
     $B46="Year Start Lump Sum", 'P&amp;L'!$E159*Drivers!N$118,$B46="OSPI State Apportionment", 'P&amp;L'!$E159*Drivers!N$119, $B46="Expense Reimbursement", 'P&amp;L'!$E159*Drivers!N$120,
     $B46="Direct Monthly Input", 0)</f>
        <v>0</v>
      </c>
      <c r="L46" s="421" cm="1">
        <f t="array" ref="L46">_xlfn.IFS($B46="12-Month Smoothing", 'P&amp;L'!$E159*Drivers!O$113, $B46="10-Month Academic Calendar", 'P&amp;L'!$E159*Drivers!O$114, $B46="Quarterly Smoothing", 'P&amp;L'!$E159*Drivers!O$115,
     $B46="Two-Installment (front-loaded)", 'P&amp;L'!$E159*Drivers!O$116, $B46="Two-Installment (back-loaded)", 'P&amp;L'!$E159*Drivers!O$117,
     $B46="Year Start Lump Sum", 'P&amp;L'!$E159*Drivers!O$118,$B46="OSPI State Apportionment", 'P&amp;L'!$E159*Drivers!O$119, $B46="Expense Reimbursement", 'P&amp;L'!$E159*Drivers!O$120,
     $B46="Direct Monthly Input", 0)</f>
        <v>0</v>
      </c>
      <c r="M46" s="421" cm="1">
        <f t="array" ref="M46">_xlfn.IFS($B46="12-Month Smoothing", 'P&amp;L'!$E159*Drivers!P$113, $B46="10-Month Academic Calendar", 'P&amp;L'!$E159*Drivers!P$114, $B46="Quarterly Smoothing", 'P&amp;L'!$E159*Drivers!P$115,
     $B46="Two-Installment (front-loaded)", 'P&amp;L'!$E159*Drivers!P$116, $B46="Two-Installment (back-loaded)", 'P&amp;L'!$E159*Drivers!P$117,
     $B46="Year Start Lump Sum", 'P&amp;L'!$E159*Drivers!P$118,$B46="OSPI State Apportionment", 'P&amp;L'!$E159*Drivers!P$119, $B46="Expense Reimbursement", 'P&amp;L'!$E159*Drivers!P$120,
     $B46="Direct Monthly Input", 0)</f>
        <v>0</v>
      </c>
      <c r="N46" s="421" cm="1">
        <f t="array" ref="N46">_xlfn.IFS($B46="12-Month Smoothing", 'P&amp;L'!$E159*Drivers!Q$113, $B46="10-Month Academic Calendar", 'P&amp;L'!$E159*Drivers!Q$114, $B46="Quarterly Smoothing", 'P&amp;L'!$E159*Drivers!Q$115,
     $B46="Two-Installment (front-loaded)", 'P&amp;L'!$E159*Drivers!Q$116, $B46="Two-Installment (back-loaded)", 'P&amp;L'!$E159*Drivers!Q$117,
     $B46="Year Start Lump Sum", 'P&amp;L'!$E159*Drivers!Q$118,$B46="OSPI State Apportionment", 'P&amp;L'!$E159*Drivers!Q$119, $B46="Expense Reimbursement", 'P&amp;L'!$E159*Drivers!Q$120,
     $B46="Direct Monthly Input", 0)</f>
        <v>0</v>
      </c>
      <c r="O46" s="427" cm="1">
        <f t="array" ref="O46">_xlfn.IFS($B46="12-Month Smoothing", 'P&amp;L'!$E159*Drivers!R$113, $B46="10-Month Academic Calendar", 'P&amp;L'!$E159*Drivers!R$114, $B46="Quarterly Smoothing", 'P&amp;L'!$E159*Drivers!R$115,
     $B46="Two-Installment (front-loaded)", 'P&amp;L'!$E159*Drivers!R$116, $B46="Two-Installment (back-loaded)", 'P&amp;L'!$E159*Drivers!R$117,
     $B46="Year Start Lump Sum", 'P&amp;L'!$E159*Drivers!R$118,$B46="OSPI State Apportionment", 'P&amp;L'!$E159*Drivers!R$119, $B46="Expense Reimbursement", 'P&amp;L'!$E159*Drivers!R$120,
     $B46="Direct Monthly Input", 0)</f>
        <v>0</v>
      </c>
      <c r="P46" s="129">
        <f t="shared" si="3"/>
        <v>0</v>
      </c>
      <c r="Q46" s="730"/>
      <c r="R46" s="537"/>
    </row>
    <row r="47" spans="1:18" s="538" customFormat="1" ht="17" thickBot="1">
      <c r="A47" s="734"/>
      <c r="B47" s="419" t="s">
        <v>440</v>
      </c>
      <c r="C47" s="725" t="str">
        <f>'P&amp;L'!C160</f>
        <v>9900 - Transfers</v>
      </c>
      <c r="D47" s="421" cm="1">
        <f t="array" ref="D47">_xlfn.IFS($B47="12-Month Smoothing", 'P&amp;L'!$E160*Drivers!G$113, $B47="10-Month Academic Calendar", 'P&amp;L'!$E160*Drivers!G$114, $B47="Quarterly Smoothing", 'P&amp;L'!$E160*Drivers!G$115,
     $B47="Two-Installment (front-loaded)", 'P&amp;L'!$E160*Drivers!G$116, $B47="Two-Installment (back-loaded)", 'P&amp;L'!$E160*Drivers!G$117,
     $B47="Year Start Lump Sum", 'P&amp;L'!$E160*Drivers!G$118,$B47="OSPI State Apportionment", 'P&amp;L'!$E160*Drivers!G$119, $B47="Expense Reimbursement", 'P&amp;L'!$E160*Drivers!G$120,
     $B47="Direct Monthly Input", 0)</f>
        <v>0</v>
      </c>
      <c r="E47" s="421" cm="1">
        <f t="array" ref="E47">_xlfn.IFS($B47="12-Month Smoothing", 'P&amp;L'!$E160*Drivers!H$113, $B47="10-Month Academic Calendar", 'P&amp;L'!$E160*Drivers!H$114, $B47="Quarterly Smoothing", 'P&amp;L'!$E160*Drivers!H$115,
     $B47="Two-Installment (front-loaded)", 'P&amp;L'!$E160*Drivers!H$116, $B47="Two-Installment (back-loaded)", 'P&amp;L'!$E160*Drivers!H$117,
     $B47="Year Start Lump Sum", 'P&amp;L'!$E160*Drivers!H$118,$B47="OSPI State Apportionment", 'P&amp;L'!$E160*Drivers!H$119, $B47="Expense Reimbursement", 'P&amp;L'!$E160*Drivers!H$120,
     $B47="Direct Monthly Input", 0)</f>
        <v>0</v>
      </c>
      <c r="F47" s="421" cm="1">
        <f t="array" ref="F47">_xlfn.IFS($B47="12-Month Smoothing", 'P&amp;L'!$E160*Drivers!I$113, $B47="10-Month Academic Calendar", 'P&amp;L'!$E160*Drivers!I$114, $B47="Quarterly Smoothing", 'P&amp;L'!$E160*Drivers!I$115,
     $B47="Two-Installment (front-loaded)", 'P&amp;L'!$E160*Drivers!I$116, $B47="Two-Installment (back-loaded)", 'P&amp;L'!$E160*Drivers!I$117,
     $B47="Year Start Lump Sum", 'P&amp;L'!$E160*Drivers!I$118,$B47="OSPI State Apportionment", 'P&amp;L'!$E160*Drivers!I$119, $B47="Expense Reimbursement", 'P&amp;L'!$E160*Drivers!I$120,
     $B47="Direct Monthly Input", 0)</f>
        <v>0</v>
      </c>
      <c r="G47" s="421" cm="1">
        <f t="array" ref="G47">_xlfn.IFS($B47="12-Month Smoothing", 'P&amp;L'!$E160*Drivers!J$113, $B47="10-Month Academic Calendar", 'P&amp;L'!$E160*Drivers!J$114, $B47="Quarterly Smoothing", 'P&amp;L'!$E160*Drivers!J$115,
     $B47="Two-Installment (front-loaded)", 'P&amp;L'!$E160*Drivers!J$116, $B47="Two-Installment (back-loaded)", 'P&amp;L'!$E160*Drivers!J$117,
     $B47="Year Start Lump Sum", 'P&amp;L'!$E160*Drivers!J$118,$B47="OSPI State Apportionment", 'P&amp;L'!$E160*Drivers!J$119, $B47="Expense Reimbursement", 'P&amp;L'!$E160*Drivers!J$120,
     $B47="Direct Monthly Input", 0)</f>
        <v>0</v>
      </c>
      <c r="H47" s="421" cm="1">
        <f t="array" ref="H47">_xlfn.IFS($B47="12-Month Smoothing", 'P&amp;L'!$E160*Drivers!K$113, $B47="10-Month Academic Calendar", 'P&amp;L'!$E160*Drivers!K$114, $B47="Quarterly Smoothing", 'P&amp;L'!$E160*Drivers!K$115,
     $B47="Two-Installment (front-loaded)", 'P&amp;L'!$E160*Drivers!K$116, $B47="Two-Installment (back-loaded)", 'P&amp;L'!$E160*Drivers!K$117,
     $B47="Year Start Lump Sum", 'P&amp;L'!$E160*Drivers!K$118,$B47="OSPI State Apportionment", 'P&amp;L'!$E160*Drivers!K$119, $B47="Expense Reimbursement", 'P&amp;L'!$E160*Drivers!K$120,
     $B47="Direct Monthly Input", 0)</f>
        <v>0</v>
      </c>
      <c r="I47" s="421" cm="1">
        <f t="array" ref="I47">_xlfn.IFS($B47="12-Month Smoothing", 'P&amp;L'!$E160*Drivers!L$113, $B47="10-Month Academic Calendar", 'P&amp;L'!$E160*Drivers!L$114, $B47="Quarterly Smoothing", 'P&amp;L'!$E160*Drivers!L$115,
     $B47="Two-Installment (front-loaded)", 'P&amp;L'!$E160*Drivers!L$116, $B47="Two-Installment (back-loaded)", 'P&amp;L'!$E160*Drivers!L$117,
     $B47="Year Start Lump Sum", 'P&amp;L'!$E160*Drivers!L$118,$B47="OSPI State Apportionment", 'P&amp;L'!$E160*Drivers!L$119, $B47="Expense Reimbursement", 'P&amp;L'!$E160*Drivers!L$120,
     $B47="Direct Monthly Input", 0)</f>
        <v>0</v>
      </c>
      <c r="J47" s="421" cm="1">
        <f t="array" ref="J47">_xlfn.IFS($B47="12-Month Smoothing", 'P&amp;L'!$E160*Drivers!M$113, $B47="10-Month Academic Calendar", 'P&amp;L'!$E160*Drivers!M$114, $B47="Quarterly Smoothing", 'P&amp;L'!$E160*Drivers!M$115,
     $B47="Two-Installment (front-loaded)", 'P&amp;L'!$E160*Drivers!M$116, $B47="Two-Installment (back-loaded)", 'P&amp;L'!$E160*Drivers!M$117,
     $B47="Year Start Lump Sum", 'P&amp;L'!$E160*Drivers!M$118,$B47="OSPI State Apportionment", 'P&amp;L'!$E160*Drivers!M$119, $B47="Expense Reimbursement", 'P&amp;L'!$E160*Drivers!M$120,
     $B47="Direct Monthly Input", 0)</f>
        <v>0</v>
      </c>
      <c r="K47" s="421" cm="1">
        <f t="array" ref="K47">_xlfn.IFS($B47="12-Month Smoothing", 'P&amp;L'!$E160*Drivers!N$113, $B47="10-Month Academic Calendar", 'P&amp;L'!$E160*Drivers!N$114, $B47="Quarterly Smoothing", 'P&amp;L'!$E160*Drivers!N$115,
     $B47="Two-Installment (front-loaded)", 'P&amp;L'!$E160*Drivers!N$116, $B47="Two-Installment (back-loaded)", 'P&amp;L'!$E160*Drivers!N$117,
     $B47="Year Start Lump Sum", 'P&amp;L'!$E160*Drivers!N$118,$B47="OSPI State Apportionment", 'P&amp;L'!$E160*Drivers!N$119, $B47="Expense Reimbursement", 'P&amp;L'!$E160*Drivers!N$120,
     $B47="Direct Monthly Input", 0)</f>
        <v>0</v>
      </c>
      <c r="L47" s="421" cm="1">
        <f t="array" ref="L47">_xlfn.IFS($B47="12-Month Smoothing", 'P&amp;L'!$E160*Drivers!O$113, $B47="10-Month Academic Calendar", 'P&amp;L'!$E160*Drivers!O$114, $B47="Quarterly Smoothing", 'P&amp;L'!$E160*Drivers!O$115,
     $B47="Two-Installment (front-loaded)", 'P&amp;L'!$E160*Drivers!O$116, $B47="Two-Installment (back-loaded)", 'P&amp;L'!$E160*Drivers!O$117,
     $B47="Year Start Lump Sum", 'P&amp;L'!$E160*Drivers!O$118,$B47="OSPI State Apportionment", 'P&amp;L'!$E160*Drivers!O$119, $B47="Expense Reimbursement", 'P&amp;L'!$E160*Drivers!O$120,
     $B47="Direct Monthly Input", 0)</f>
        <v>0</v>
      </c>
      <c r="M47" s="421" cm="1">
        <f t="array" ref="M47">_xlfn.IFS($B47="12-Month Smoothing", 'P&amp;L'!$E160*Drivers!P$113, $B47="10-Month Academic Calendar", 'P&amp;L'!$E160*Drivers!P$114, $B47="Quarterly Smoothing", 'P&amp;L'!$E160*Drivers!P$115,
     $B47="Two-Installment (front-loaded)", 'P&amp;L'!$E160*Drivers!P$116, $B47="Two-Installment (back-loaded)", 'P&amp;L'!$E160*Drivers!P$117,
     $B47="Year Start Lump Sum", 'P&amp;L'!$E160*Drivers!P$118,$B47="OSPI State Apportionment", 'P&amp;L'!$E160*Drivers!P$119, $B47="Expense Reimbursement", 'P&amp;L'!$E160*Drivers!P$120,
     $B47="Direct Monthly Input", 0)</f>
        <v>0</v>
      </c>
      <c r="N47" s="421" cm="1">
        <f t="array" ref="N47">_xlfn.IFS($B47="12-Month Smoothing", 'P&amp;L'!$E160*Drivers!Q$113, $B47="10-Month Academic Calendar", 'P&amp;L'!$E160*Drivers!Q$114, $B47="Quarterly Smoothing", 'P&amp;L'!$E160*Drivers!Q$115,
     $B47="Two-Installment (front-loaded)", 'P&amp;L'!$E160*Drivers!Q$116, $B47="Two-Installment (back-loaded)", 'P&amp;L'!$E160*Drivers!Q$117,
     $B47="Year Start Lump Sum", 'P&amp;L'!$E160*Drivers!Q$118,$B47="OSPI State Apportionment", 'P&amp;L'!$E160*Drivers!Q$119, $B47="Expense Reimbursement", 'P&amp;L'!$E160*Drivers!Q$120,
     $B47="Direct Monthly Input", 0)</f>
        <v>0</v>
      </c>
      <c r="O47" s="427" cm="1">
        <f t="array" ref="O47">_xlfn.IFS($B47="12-Month Smoothing", 'P&amp;L'!$E160*Drivers!R$113, $B47="10-Month Academic Calendar", 'P&amp;L'!$E160*Drivers!R$114, $B47="Quarterly Smoothing", 'P&amp;L'!$E160*Drivers!R$115,
     $B47="Two-Installment (front-loaded)", 'P&amp;L'!$E160*Drivers!R$116, $B47="Two-Installment (back-loaded)", 'P&amp;L'!$E160*Drivers!R$117,
     $B47="Year Start Lump Sum", 'P&amp;L'!$E160*Drivers!R$118,$B47="OSPI State Apportionment", 'P&amp;L'!$E160*Drivers!R$119, $B47="Expense Reimbursement", 'P&amp;L'!$E160*Drivers!R$120,
     $B47="Direct Monthly Input", 0)</f>
        <v>0</v>
      </c>
      <c r="P47" s="129">
        <f t="shared" si="3"/>
        <v>0</v>
      </c>
      <c r="Q47" s="730"/>
      <c r="R47" s="537"/>
    </row>
    <row r="48" spans="1:18" s="538" customFormat="1" ht="17" thickBot="1">
      <c r="A48" s="734"/>
      <c r="B48" s="419" t="s">
        <v>440</v>
      </c>
      <c r="C48" s="725" t="str">
        <f>'P&amp;L'!C161</f>
        <v>All Other 9000 - OTHER FINANCING SOURCES</v>
      </c>
      <c r="D48" s="421" cm="1">
        <f t="array" ref="D48">_xlfn.IFS($B48="12-Month Smoothing", 'P&amp;L'!$E161*Drivers!G$113, $B48="10-Month Academic Calendar", 'P&amp;L'!$E161*Drivers!G$114, $B48="Quarterly Smoothing", 'P&amp;L'!$E161*Drivers!G$115,
     $B48="Two-Installment (front-loaded)", 'P&amp;L'!$E161*Drivers!G$116, $B48="Two-Installment (back-loaded)", 'P&amp;L'!$E161*Drivers!G$117,
     $B48="Year Start Lump Sum", 'P&amp;L'!$E161*Drivers!G$118,$B48="OSPI State Apportionment", 'P&amp;L'!$E161*Drivers!G$119, $B48="Expense Reimbursement", 'P&amp;L'!$E161*Drivers!G$120,
     $B48="Direct Monthly Input", 0)</f>
        <v>0</v>
      </c>
      <c r="E48" s="421" cm="1">
        <f t="array" ref="E48">_xlfn.IFS($B48="12-Month Smoothing", 'P&amp;L'!$E161*Drivers!H$113, $B48="10-Month Academic Calendar", 'P&amp;L'!$E161*Drivers!H$114, $B48="Quarterly Smoothing", 'P&amp;L'!$E161*Drivers!H$115,
     $B48="Two-Installment (front-loaded)", 'P&amp;L'!$E161*Drivers!H$116, $B48="Two-Installment (back-loaded)", 'P&amp;L'!$E161*Drivers!H$117,
     $B48="Year Start Lump Sum", 'P&amp;L'!$E161*Drivers!H$118,$B48="OSPI State Apportionment", 'P&amp;L'!$E161*Drivers!H$119, $B48="Expense Reimbursement", 'P&amp;L'!$E161*Drivers!H$120,
     $B48="Direct Monthly Input", 0)</f>
        <v>0</v>
      </c>
      <c r="F48" s="421" cm="1">
        <f t="array" ref="F48">_xlfn.IFS($B48="12-Month Smoothing", 'P&amp;L'!$E161*Drivers!I$113, $B48="10-Month Academic Calendar", 'P&amp;L'!$E161*Drivers!I$114, $B48="Quarterly Smoothing", 'P&amp;L'!$E161*Drivers!I$115,
     $B48="Two-Installment (front-loaded)", 'P&amp;L'!$E161*Drivers!I$116, $B48="Two-Installment (back-loaded)", 'P&amp;L'!$E161*Drivers!I$117,
     $B48="Year Start Lump Sum", 'P&amp;L'!$E161*Drivers!I$118,$B48="OSPI State Apportionment", 'P&amp;L'!$E161*Drivers!I$119, $B48="Expense Reimbursement", 'P&amp;L'!$E161*Drivers!I$120,
     $B48="Direct Monthly Input", 0)</f>
        <v>0</v>
      </c>
      <c r="G48" s="421" cm="1">
        <f t="array" ref="G48">_xlfn.IFS($B48="12-Month Smoothing", 'P&amp;L'!$E161*Drivers!J$113, $B48="10-Month Academic Calendar", 'P&amp;L'!$E161*Drivers!J$114, $B48="Quarterly Smoothing", 'P&amp;L'!$E161*Drivers!J$115,
     $B48="Two-Installment (front-loaded)", 'P&amp;L'!$E161*Drivers!J$116, $B48="Two-Installment (back-loaded)", 'P&amp;L'!$E161*Drivers!J$117,
     $B48="Year Start Lump Sum", 'P&amp;L'!$E161*Drivers!J$118,$B48="OSPI State Apportionment", 'P&amp;L'!$E161*Drivers!J$119, $B48="Expense Reimbursement", 'P&amp;L'!$E161*Drivers!J$120,
     $B48="Direct Monthly Input", 0)</f>
        <v>0</v>
      </c>
      <c r="H48" s="421" cm="1">
        <f t="array" ref="H48">_xlfn.IFS($B48="12-Month Smoothing", 'P&amp;L'!$E161*Drivers!K$113, $B48="10-Month Academic Calendar", 'P&amp;L'!$E161*Drivers!K$114, $B48="Quarterly Smoothing", 'P&amp;L'!$E161*Drivers!K$115,
     $B48="Two-Installment (front-loaded)", 'P&amp;L'!$E161*Drivers!K$116, $B48="Two-Installment (back-loaded)", 'P&amp;L'!$E161*Drivers!K$117,
     $B48="Year Start Lump Sum", 'P&amp;L'!$E161*Drivers!K$118,$B48="OSPI State Apportionment", 'P&amp;L'!$E161*Drivers!K$119, $B48="Expense Reimbursement", 'P&amp;L'!$E161*Drivers!K$120,
     $B48="Direct Monthly Input", 0)</f>
        <v>0</v>
      </c>
      <c r="I48" s="421" cm="1">
        <f t="array" ref="I48">_xlfn.IFS($B48="12-Month Smoothing", 'P&amp;L'!$E161*Drivers!L$113, $B48="10-Month Academic Calendar", 'P&amp;L'!$E161*Drivers!L$114, $B48="Quarterly Smoothing", 'P&amp;L'!$E161*Drivers!L$115,
     $B48="Two-Installment (front-loaded)", 'P&amp;L'!$E161*Drivers!L$116, $B48="Two-Installment (back-loaded)", 'P&amp;L'!$E161*Drivers!L$117,
     $B48="Year Start Lump Sum", 'P&amp;L'!$E161*Drivers!L$118,$B48="OSPI State Apportionment", 'P&amp;L'!$E161*Drivers!L$119, $B48="Expense Reimbursement", 'P&amp;L'!$E161*Drivers!L$120,
     $B48="Direct Monthly Input", 0)</f>
        <v>0</v>
      </c>
      <c r="J48" s="421" cm="1">
        <f t="array" ref="J48">_xlfn.IFS($B48="12-Month Smoothing", 'P&amp;L'!$E161*Drivers!M$113, $B48="10-Month Academic Calendar", 'P&amp;L'!$E161*Drivers!M$114, $B48="Quarterly Smoothing", 'P&amp;L'!$E161*Drivers!M$115,
     $B48="Two-Installment (front-loaded)", 'P&amp;L'!$E161*Drivers!M$116, $B48="Two-Installment (back-loaded)", 'P&amp;L'!$E161*Drivers!M$117,
     $B48="Year Start Lump Sum", 'P&amp;L'!$E161*Drivers!M$118,$B48="OSPI State Apportionment", 'P&amp;L'!$E161*Drivers!M$119, $B48="Expense Reimbursement", 'P&amp;L'!$E161*Drivers!M$120,
     $B48="Direct Monthly Input", 0)</f>
        <v>0</v>
      </c>
      <c r="K48" s="421" cm="1">
        <f t="array" ref="K48">_xlfn.IFS($B48="12-Month Smoothing", 'P&amp;L'!$E161*Drivers!N$113, $B48="10-Month Academic Calendar", 'P&amp;L'!$E161*Drivers!N$114, $B48="Quarterly Smoothing", 'P&amp;L'!$E161*Drivers!N$115,
     $B48="Two-Installment (front-loaded)", 'P&amp;L'!$E161*Drivers!N$116, $B48="Two-Installment (back-loaded)", 'P&amp;L'!$E161*Drivers!N$117,
     $B48="Year Start Lump Sum", 'P&amp;L'!$E161*Drivers!N$118,$B48="OSPI State Apportionment", 'P&amp;L'!$E161*Drivers!N$119, $B48="Expense Reimbursement", 'P&amp;L'!$E161*Drivers!N$120,
     $B48="Direct Monthly Input", 0)</f>
        <v>0</v>
      </c>
      <c r="L48" s="421" cm="1">
        <f t="array" ref="L48">_xlfn.IFS($B48="12-Month Smoothing", 'P&amp;L'!$E161*Drivers!O$113, $B48="10-Month Academic Calendar", 'P&amp;L'!$E161*Drivers!O$114, $B48="Quarterly Smoothing", 'P&amp;L'!$E161*Drivers!O$115,
     $B48="Two-Installment (front-loaded)", 'P&amp;L'!$E161*Drivers!O$116, $B48="Two-Installment (back-loaded)", 'P&amp;L'!$E161*Drivers!O$117,
     $B48="Year Start Lump Sum", 'P&amp;L'!$E161*Drivers!O$118,$B48="OSPI State Apportionment", 'P&amp;L'!$E161*Drivers!O$119, $B48="Expense Reimbursement", 'P&amp;L'!$E161*Drivers!O$120,
     $B48="Direct Monthly Input", 0)</f>
        <v>0</v>
      </c>
      <c r="M48" s="421" cm="1">
        <f t="array" ref="M48">_xlfn.IFS($B48="12-Month Smoothing", 'P&amp;L'!$E161*Drivers!P$113, $B48="10-Month Academic Calendar", 'P&amp;L'!$E161*Drivers!P$114, $B48="Quarterly Smoothing", 'P&amp;L'!$E161*Drivers!P$115,
     $B48="Two-Installment (front-loaded)", 'P&amp;L'!$E161*Drivers!P$116, $B48="Two-Installment (back-loaded)", 'P&amp;L'!$E161*Drivers!P$117,
     $B48="Year Start Lump Sum", 'P&amp;L'!$E161*Drivers!P$118,$B48="OSPI State Apportionment", 'P&amp;L'!$E161*Drivers!P$119, $B48="Expense Reimbursement", 'P&amp;L'!$E161*Drivers!P$120,
     $B48="Direct Monthly Input", 0)</f>
        <v>0</v>
      </c>
      <c r="N48" s="421" cm="1">
        <f t="array" ref="N48">_xlfn.IFS($B48="12-Month Smoothing", 'P&amp;L'!$E161*Drivers!Q$113, $B48="10-Month Academic Calendar", 'P&amp;L'!$E161*Drivers!Q$114, $B48="Quarterly Smoothing", 'P&amp;L'!$E161*Drivers!Q$115,
     $B48="Two-Installment (front-loaded)", 'P&amp;L'!$E161*Drivers!Q$116, $B48="Two-Installment (back-loaded)", 'P&amp;L'!$E161*Drivers!Q$117,
     $B48="Year Start Lump Sum", 'P&amp;L'!$E161*Drivers!Q$118,$B48="OSPI State Apportionment", 'P&amp;L'!$E161*Drivers!Q$119, $B48="Expense Reimbursement", 'P&amp;L'!$E161*Drivers!Q$120,
     $B48="Direct Monthly Input", 0)</f>
        <v>0</v>
      </c>
      <c r="O48" s="427" cm="1">
        <f t="array" ref="O48">_xlfn.IFS($B48="12-Month Smoothing", 'P&amp;L'!$E161*Drivers!R$113, $B48="10-Month Academic Calendar", 'P&amp;L'!$E161*Drivers!R$114, $B48="Quarterly Smoothing", 'P&amp;L'!$E161*Drivers!R$115,
     $B48="Two-Installment (front-loaded)", 'P&amp;L'!$E161*Drivers!R$116, $B48="Two-Installment (back-loaded)", 'P&amp;L'!$E161*Drivers!R$117,
     $B48="Year Start Lump Sum", 'P&amp;L'!$E161*Drivers!R$118,$B48="OSPI State Apportionment", 'P&amp;L'!$E161*Drivers!R$119, $B48="Expense Reimbursement", 'P&amp;L'!$E161*Drivers!R$120,
     $B48="Direct Monthly Input", 0)</f>
        <v>0</v>
      </c>
      <c r="P48" s="129">
        <f t="shared" si="3"/>
        <v>0</v>
      </c>
      <c r="Q48" s="730"/>
      <c r="R48" s="537"/>
    </row>
    <row r="49" spans="1:18" s="538" customFormat="1" ht="17" thickBot="1">
      <c r="A49" s="734"/>
      <c r="B49" s="725"/>
      <c r="C49" s="71" t="s">
        <v>97</v>
      </c>
      <c r="D49" s="127"/>
      <c r="E49" s="127"/>
      <c r="F49" s="127"/>
      <c r="G49" s="127"/>
      <c r="H49" s="127"/>
      <c r="I49" s="127"/>
      <c r="J49" s="127"/>
      <c r="K49" s="127"/>
      <c r="L49" s="127"/>
      <c r="M49" s="127"/>
      <c r="N49" s="127"/>
      <c r="O49" s="127"/>
      <c r="P49" s="849"/>
      <c r="Q49" s="730"/>
      <c r="R49" s="537"/>
    </row>
    <row r="50" spans="1:18" s="538" customFormat="1" ht="17" thickBot="1">
      <c r="A50" s="147" t="s">
        <v>51</v>
      </c>
      <c r="B50" s="419" t="s">
        <v>439</v>
      </c>
      <c r="C50" s="856" t="str">
        <f>'P&amp;L'!C231</f>
        <v xml:space="preserve">Accounting / Audit </v>
      </c>
      <c r="D50" s="854" cm="1">
        <f t="array" ref="D50">_xlfn.IFS($B50="12-Month Smoothing", 'P&amp;L'!$E231*Drivers!G$113, $B50="10-Month Academic Calendar", 'P&amp;L'!$E231*Drivers!G$114, $B50="Quarterly Smoothing", 'P&amp;L'!$E231*Drivers!G$115,
     $B50="Two-Installment (front-loaded)", 'P&amp;L'!$E231*Drivers!G$116, $B50="Two-Installment (back-loaded)", 'P&amp;L'!$E231*Drivers!G$117,
     $B50="Year Start Lump Sum", 'P&amp;L'!$E231*Drivers!G$118,$B50="Expense Reimbursement", 'P&amp;L'!$E231*Drivers!G$120,
     $B50="Direct Monthly Input", 0)</f>
        <v>0</v>
      </c>
      <c r="E50" s="428" cm="1">
        <f t="array" ref="E50">_xlfn.IFS($B50="12-Month Smoothing", 'P&amp;L'!$E231*Drivers!H$113, $B50="10-Month Academic Calendar", 'P&amp;L'!$E231*Drivers!H$114, $B50="Quarterly Smoothing", 'P&amp;L'!$E231*Drivers!H$115,
     $B50="Two-Installment (front-loaded)", 'P&amp;L'!$E231*Drivers!H$116, $B50="Two-Installment (back-loaded)", 'P&amp;L'!$E231*Drivers!H$117,
     $B50="Year Start Lump Sum", 'P&amp;L'!$E231*Drivers!H$118,$B50="Expense Reimbursement", 'P&amp;L'!$E231*Drivers!H$120,
     $B50="Direct Monthly Input", 0)</f>
        <v>0</v>
      </c>
      <c r="F50" s="428" cm="1">
        <f t="array" ref="F50">_xlfn.IFS($B50="12-Month Smoothing", 'P&amp;L'!$E231*Drivers!I$113, $B50="10-Month Academic Calendar", 'P&amp;L'!$E231*Drivers!I$114, $B50="Quarterly Smoothing", 'P&amp;L'!$E231*Drivers!I$115,
     $B50="Two-Installment (front-loaded)", 'P&amp;L'!$E231*Drivers!I$116, $B50="Two-Installment (back-loaded)", 'P&amp;L'!$E231*Drivers!I$117,
     $B50="Year Start Lump Sum", 'P&amp;L'!$E231*Drivers!I$118,$B50="Expense Reimbursement", 'P&amp;L'!$E231*Drivers!I$120,
     $B50="Direct Monthly Input", 0)</f>
        <v>0</v>
      </c>
      <c r="G50" s="428" cm="1">
        <f t="array" ref="G50">_xlfn.IFS($B50="12-Month Smoothing", 'P&amp;L'!$E231*Drivers!J$113, $B50="10-Month Academic Calendar", 'P&amp;L'!$E231*Drivers!J$114, $B50="Quarterly Smoothing", 'P&amp;L'!$E231*Drivers!J$115,
     $B50="Two-Installment (front-loaded)", 'P&amp;L'!$E231*Drivers!J$116, $B50="Two-Installment (back-loaded)", 'P&amp;L'!$E231*Drivers!J$117,
     $B50="Year Start Lump Sum", 'P&amp;L'!$E231*Drivers!J$118,$B50="Expense Reimbursement", 'P&amp;L'!$E231*Drivers!J$120,
     $B50="Direct Monthly Input", 0)</f>
        <v>0</v>
      </c>
      <c r="H50" s="428" cm="1">
        <f t="array" ref="H50">_xlfn.IFS($B50="12-Month Smoothing", 'P&amp;L'!$E231*Drivers!K$113, $B50="10-Month Academic Calendar", 'P&amp;L'!$E231*Drivers!K$114, $B50="Quarterly Smoothing", 'P&amp;L'!$E231*Drivers!K$115,
     $B50="Two-Installment (front-loaded)", 'P&amp;L'!$E231*Drivers!K$116, $B50="Two-Installment (back-loaded)", 'P&amp;L'!$E231*Drivers!K$117,
     $B50="Year Start Lump Sum", 'P&amp;L'!$E231*Drivers!K$118,$B50="Expense Reimbursement", 'P&amp;L'!$E231*Drivers!K$120,
     $B50="Direct Monthly Input", 0)</f>
        <v>0</v>
      </c>
      <c r="I50" s="428" cm="1">
        <f t="array" ref="I50">_xlfn.IFS($B50="12-Month Smoothing", 'P&amp;L'!$E231*Drivers!L$113, $B50="10-Month Academic Calendar", 'P&amp;L'!$E231*Drivers!L$114, $B50="Quarterly Smoothing", 'P&amp;L'!$E231*Drivers!L$115,
     $B50="Two-Installment (front-loaded)", 'P&amp;L'!$E231*Drivers!L$116, $B50="Two-Installment (back-loaded)", 'P&amp;L'!$E231*Drivers!L$117,
     $B50="Year Start Lump Sum", 'P&amp;L'!$E231*Drivers!L$118,$B50="Expense Reimbursement", 'P&amp;L'!$E231*Drivers!L$120,
     $B50="Direct Monthly Input", 0)</f>
        <v>0</v>
      </c>
      <c r="J50" s="428" cm="1">
        <f t="array" ref="J50">_xlfn.IFS($B50="12-Month Smoothing", 'P&amp;L'!$E231*Drivers!M$113, $B50="10-Month Academic Calendar", 'P&amp;L'!$E231*Drivers!M$114, $B50="Quarterly Smoothing", 'P&amp;L'!$E231*Drivers!M$115,
     $B50="Two-Installment (front-loaded)", 'P&amp;L'!$E231*Drivers!M$116, $B50="Two-Installment (back-loaded)", 'P&amp;L'!$E231*Drivers!M$117,
     $B50="Year Start Lump Sum", 'P&amp;L'!$E231*Drivers!M$118,$B50="Expense Reimbursement", 'P&amp;L'!$E231*Drivers!M$120,
     $B50="Direct Monthly Input", 0)</f>
        <v>0</v>
      </c>
      <c r="K50" s="428" cm="1">
        <f t="array" ref="K50">_xlfn.IFS($B50="12-Month Smoothing", 'P&amp;L'!$E231*Drivers!N$113, $B50="10-Month Academic Calendar", 'P&amp;L'!$E231*Drivers!N$114, $B50="Quarterly Smoothing", 'P&amp;L'!$E231*Drivers!N$115,
     $B50="Two-Installment (front-loaded)", 'P&amp;L'!$E231*Drivers!N$116, $B50="Two-Installment (back-loaded)", 'P&amp;L'!$E231*Drivers!N$117,
     $B50="Year Start Lump Sum", 'P&amp;L'!$E231*Drivers!N$118,$B50="Expense Reimbursement", 'P&amp;L'!$E231*Drivers!N$120,
     $B50="Direct Monthly Input", 0)</f>
        <v>0</v>
      </c>
      <c r="L50" s="428" cm="1">
        <f t="array" ref="L50">_xlfn.IFS($B50="12-Month Smoothing", 'P&amp;L'!$E231*Drivers!O$113, $B50="10-Month Academic Calendar", 'P&amp;L'!$E231*Drivers!O$114, $B50="Quarterly Smoothing", 'P&amp;L'!$E231*Drivers!O$115,
     $B50="Two-Installment (front-loaded)", 'P&amp;L'!$E231*Drivers!O$116, $B50="Two-Installment (back-loaded)", 'P&amp;L'!$E231*Drivers!O$117,
     $B50="Year Start Lump Sum", 'P&amp;L'!$E231*Drivers!O$118,$B50="Expense Reimbursement", 'P&amp;L'!$E231*Drivers!O$120,
     $B50="Direct Monthly Input", 0)</f>
        <v>0</v>
      </c>
      <c r="M50" s="428" cm="1">
        <f t="array" ref="M50">_xlfn.IFS($B50="12-Month Smoothing", 'P&amp;L'!$E231*Drivers!P$113, $B50="10-Month Academic Calendar", 'P&amp;L'!$E231*Drivers!P$114, $B50="Quarterly Smoothing", 'P&amp;L'!$E231*Drivers!P$115,
     $B50="Two-Installment (front-loaded)", 'P&amp;L'!$E231*Drivers!P$116, $B50="Two-Installment (back-loaded)", 'P&amp;L'!$E231*Drivers!P$117,
     $B50="Year Start Lump Sum", 'P&amp;L'!$E231*Drivers!P$118,$B50="Expense Reimbursement", 'P&amp;L'!$E231*Drivers!P$120,
     $B50="Direct Monthly Input", 0)</f>
        <v>0</v>
      </c>
      <c r="N50" s="428" cm="1">
        <f t="array" ref="N50">_xlfn.IFS($B50="12-Month Smoothing", 'P&amp;L'!$E231*Drivers!Q$113, $B50="10-Month Academic Calendar", 'P&amp;L'!$E231*Drivers!Q$114, $B50="Quarterly Smoothing", 'P&amp;L'!$E231*Drivers!Q$115,
     $B50="Two-Installment (front-loaded)", 'P&amp;L'!$E231*Drivers!Q$116, $B50="Two-Installment (back-loaded)", 'P&amp;L'!$E231*Drivers!Q$117,
     $B50="Year Start Lump Sum", 'P&amp;L'!$E231*Drivers!Q$118,$B50="Expense Reimbursement", 'P&amp;L'!$E231*Drivers!Q$120,
     $B50="Direct Monthly Input", 0)</f>
        <v>0</v>
      </c>
      <c r="O50" s="847" cm="1">
        <f t="array" ref="O50">_xlfn.IFS($B50="12-Month Smoothing", 'P&amp;L'!$E231*Drivers!R$113, $B50="10-Month Academic Calendar", 'P&amp;L'!$E231*Drivers!R$114, $B50="Quarterly Smoothing", 'P&amp;L'!$E231*Drivers!R$115,
     $B50="Two-Installment (front-loaded)", 'P&amp;L'!$E231*Drivers!R$116, $B50="Two-Installment (back-loaded)", 'P&amp;L'!$E231*Drivers!R$117,
     $B50="Year Start Lump Sum", 'P&amp;L'!$E231*Drivers!R$118,$B50="Expense Reimbursement", 'P&amp;L'!$E231*Drivers!R$120,
     $B50="Direct Monthly Input", 0)</f>
        <v>0</v>
      </c>
      <c r="P50" s="149">
        <f t="shared" ref="P50:P82" si="4">SUM(D50:O50)</f>
        <v>0</v>
      </c>
      <c r="Q50" s="730"/>
      <c r="R50" s="537"/>
    </row>
    <row r="51" spans="1:18" s="538" customFormat="1" ht="17" thickBot="1">
      <c r="A51" s="148" t="s">
        <v>170</v>
      </c>
      <c r="B51" s="419" t="s">
        <v>439</v>
      </c>
      <c r="C51" s="857" t="str">
        <f>'P&amp;L'!C232</f>
        <v>Legal</v>
      </c>
      <c r="D51" s="854" cm="1">
        <f t="array" ref="D51">_xlfn.IFS($B51="12-Month Smoothing", 'P&amp;L'!$E232*Drivers!G$113, $B51="10-Month Academic Calendar", 'P&amp;L'!$E232*Drivers!G$114, $B51="Quarterly Smoothing", 'P&amp;L'!$E232*Drivers!G$115,
     $B51="Two-Installment (front-loaded)", 'P&amp;L'!$E232*Drivers!G$116, $B51="Two-Installment (back-loaded)", 'P&amp;L'!$E232*Drivers!G$117,
     $B51="Year Start Lump Sum", 'P&amp;L'!$E232*Drivers!G$118,$B51="Expense Reimbursement", 'P&amp;L'!$E232*Drivers!G$120,
     $B51="Direct Monthly Input", 0)</f>
        <v>0</v>
      </c>
      <c r="E51" s="428" cm="1">
        <f t="array" ref="E51">_xlfn.IFS($B51="12-Month Smoothing", 'P&amp;L'!$E232*Drivers!H$113, $B51="10-Month Academic Calendar", 'P&amp;L'!$E232*Drivers!H$114, $B51="Quarterly Smoothing", 'P&amp;L'!$E232*Drivers!H$115,
     $B51="Two-Installment (front-loaded)", 'P&amp;L'!$E232*Drivers!H$116, $B51="Two-Installment (back-loaded)", 'P&amp;L'!$E232*Drivers!H$117,
     $B51="Year Start Lump Sum", 'P&amp;L'!$E232*Drivers!H$118,$B51="Expense Reimbursement", 'P&amp;L'!$E232*Drivers!H$120,
     $B51="Direct Monthly Input", 0)</f>
        <v>0</v>
      </c>
      <c r="F51" s="428" cm="1">
        <f t="array" ref="F51">_xlfn.IFS($B51="12-Month Smoothing", 'P&amp;L'!$E232*Drivers!I$113, $B51="10-Month Academic Calendar", 'P&amp;L'!$E232*Drivers!I$114, $B51="Quarterly Smoothing", 'P&amp;L'!$E232*Drivers!I$115,
     $B51="Two-Installment (front-loaded)", 'P&amp;L'!$E232*Drivers!I$116, $B51="Two-Installment (back-loaded)", 'P&amp;L'!$E232*Drivers!I$117,
     $B51="Year Start Lump Sum", 'P&amp;L'!$E232*Drivers!I$118,$B51="Expense Reimbursement", 'P&amp;L'!$E232*Drivers!I$120,
     $B51="Direct Monthly Input", 0)</f>
        <v>0</v>
      </c>
      <c r="G51" s="428" cm="1">
        <f t="array" ref="G51">_xlfn.IFS($B51="12-Month Smoothing", 'P&amp;L'!$E232*Drivers!J$113, $B51="10-Month Academic Calendar", 'P&amp;L'!$E232*Drivers!J$114, $B51="Quarterly Smoothing", 'P&amp;L'!$E232*Drivers!J$115,
     $B51="Two-Installment (front-loaded)", 'P&amp;L'!$E232*Drivers!J$116, $B51="Two-Installment (back-loaded)", 'P&amp;L'!$E232*Drivers!J$117,
     $B51="Year Start Lump Sum", 'P&amp;L'!$E232*Drivers!J$118,$B51="Expense Reimbursement", 'P&amp;L'!$E232*Drivers!J$120,
     $B51="Direct Monthly Input", 0)</f>
        <v>0</v>
      </c>
      <c r="H51" s="428" cm="1">
        <f t="array" ref="H51">_xlfn.IFS($B51="12-Month Smoothing", 'P&amp;L'!$E232*Drivers!K$113, $B51="10-Month Academic Calendar", 'P&amp;L'!$E232*Drivers!K$114, $B51="Quarterly Smoothing", 'P&amp;L'!$E232*Drivers!K$115,
     $B51="Two-Installment (front-loaded)", 'P&amp;L'!$E232*Drivers!K$116, $B51="Two-Installment (back-loaded)", 'P&amp;L'!$E232*Drivers!K$117,
     $B51="Year Start Lump Sum", 'P&amp;L'!$E232*Drivers!K$118,$B51="Expense Reimbursement", 'P&amp;L'!$E232*Drivers!K$120,
     $B51="Direct Monthly Input", 0)</f>
        <v>0</v>
      </c>
      <c r="I51" s="428" cm="1">
        <f t="array" ref="I51">_xlfn.IFS($B51="12-Month Smoothing", 'P&amp;L'!$E232*Drivers!L$113, $B51="10-Month Academic Calendar", 'P&amp;L'!$E232*Drivers!L$114, $B51="Quarterly Smoothing", 'P&amp;L'!$E232*Drivers!L$115,
     $B51="Two-Installment (front-loaded)", 'P&amp;L'!$E232*Drivers!L$116, $B51="Two-Installment (back-loaded)", 'P&amp;L'!$E232*Drivers!L$117,
     $B51="Year Start Lump Sum", 'P&amp;L'!$E232*Drivers!L$118,$B51="Expense Reimbursement", 'P&amp;L'!$E232*Drivers!L$120,
     $B51="Direct Monthly Input", 0)</f>
        <v>0</v>
      </c>
      <c r="J51" s="428" cm="1">
        <f t="array" ref="J51">_xlfn.IFS($B51="12-Month Smoothing", 'P&amp;L'!$E232*Drivers!M$113, $B51="10-Month Academic Calendar", 'P&amp;L'!$E232*Drivers!M$114, $B51="Quarterly Smoothing", 'P&amp;L'!$E232*Drivers!M$115,
     $B51="Two-Installment (front-loaded)", 'P&amp;L'!$E232*Drivers!M$116, $B51="Two-Installment (back-loaded)", 'P&amp;L'!$E232*Drivers!M$117,
     $B51="Year Start Lump Sum", 'P&amp;L'!$E232*Drivers!M$118,$B51="Expense Reimbursement", 'P&amp;L'!$E232*Drivers!M$120,
     $B51="Direct Monthly Input", 0)</f>
        <v>0</v>
      </c>
      <c r="K51" s="428" cm="1">
        <f t="array" ref="K51">_xlfn.IFS($B51="12-Month Smoothing", 'P&amp;L'!$E232*Drivers!N$113, $B51="10-Month Academic Calendar", 'P&amp;L'!$E232*Drivers!N$114, $B51="Quarterly Smoothing", 'P&amp;L'!$E232*Drivers!N$115,
     $B51="Two-Installment (front-loaded)", 'P&amp;L'!$E232*Drivers!N$116, $B51="Two-Installment (back-loaded)", 'P&amp;L'!$E232*Drivers!N$117,
     $B51="Year Start Lump Sum", 'P&amp;L'!$E232*Drivers!N$118,$B51="Expense Reimbursement", 'P&amp;L'!$E232*Drivers!N$120,
     $B51="Direct Monthly Input", 0)</f>
        <v>0</v>
      </c>
      <c r="L51" s="428" cm="1">
        <f t="array" ref="L51">_xlfn.IFS($B51="12-Month Smoothing", 'P&amp;L'!$E232*Drivers!O$113, $B51="10-Month Academic Calendar", 'P&amp;L'!$E232*Drivers!O$114, $B51="Quarterly Smoothing", 'P&amp;L'!$E232*Drivers!O$115,
     $B51="Two-Installment (front-loaded)", 'P&amp;L'!$E232*Drivers!O$116, $B51="Two-Installment (back-loaded)", 'P&amp;L'!$E232*Drivers!O$117,
     $B51="Year Start Lump Sum", 'P&amp;L'!$E232*Drivers!O$118,$B51="Expense Reimbursement", 'P&amp;L'!$E232*Drivers!O$120,
     $B51="Direct Monthly Input", 0)</f>
        <v>0</v>
      </c>
      <c r="M51" s="428" cm="1">
        <f t="array" ref="M51">_xlfn.IFS($B51="12-Month Smoothing", 'P&amp;L'!$E232*Drivers!P$113, $B51="10-Month Academic Calendar", 'P&amp;L'!$E232*Drivers!P$114, $B51="Quarterly Smoothing", 'P&amp;L'!$E232*Drivers!P$115,
     $B51="Two-Installment (front-loaded)", 'P&amp;L'!$E232*Drivers!P$116, $B51="Two-Installment (back-loaded)", 'P&amp;L'!$E232*Drivers!P$117,
     $B51="Year Start Lump Sum", 'P&amp;L'!$E232*Drivers!P$118,$B51="Expense Reimbursement", 'P&amp;L'!$E232*Drivers!P$120,
     $B51="Direct Monthly Input", 0)</f>
        <v>0</v>
      </c>
      <c r="N51" s="428" cm="1">
        <f t="array" ref="N51">_xlfn.IFS($B51="12-Month Smoothing", 'P&amp;L'!$E232*Drivers!Q$113, $B51="10-Month Academic Calendar", 'P&amp;L'!$E232*Drivers!Q$114, $B51="Quarterly Smoothing", 'P&amp;L'!$E232*Drivers!Q$115,
     $B51="Two-Installment (front-loaded)", 'P&amp;L'!$E232*Drivers!Q$116, $B51="Two-Installment (back-loaded)", 'P&amp;L'!$E232*Drivers!Q$117,
     $B51="Year Start Lump Sum", 'P&amp;L'!$E232*Drivers!Q$118,$B51="Expense Reimbursement", 'P&amp;L'!$E232*Drivers!Q$120,
     $B51="Direct Monthly Input", 0)</f>
        <v>0</v>
      </c>
      <c r="O51" s="847" cm="1">
        <f t="array" ref="O51">_xlfn.IFS($B51="12-Month Smoothing", 'P&amp;L'!$E232*Drivers!R$113, $B51="10-Month Academic Calendar", 'P&amp;L'!$E232*Drivers!R$114, $B51="Quarterly Smoothing", 'P&amp;L'!$E232*Drivers!R$115,
     $B51="Two-Installment (front-loaded)", 'P&amp;L'!$E232*Drivers!R$116, $B51="Two-Installment (back-loaded)", 'P&amp;L'!$E232*Drivers!R$117,
     $B51="Year Start Lump Sum", 'P&amp;L'!$E232*Drivers!R$118,$B51="Expense Reimbursement", 'P&amp;L'!$E232*Drivers!R$120,
     $B51="Direct Monthly Input", 0)</f>
        <v>0</v>
      </c>
      <c r="P51" s="130">
        <f t="shared" ref="P51" si="5">SUM(D51:O51)</f>
        <v>0</v>
      </c>
      <c r="Q51" s="730"/>
      <c r="R51" s="537"/>
    </row>
    <row r="52" spans="1:18" s="538" customFormat="1" ht="17" thickBot="1">
      <c r="B52" s="419" t="s">
        <v>439</v>
      </c>
      <c r="C52" s="857" t="str">
        <f>'P&amp;L'!C233</f>
        <v>Oversight Fee (3%)</v>
      </c>
      <c r="D52" s="854" cm="1">
        <f t="array" ref="D52">_xlfn.IFS($B52="12-Month Smoothing", 'P&amp;L'!$E233*Drivers!G$113, $B52="10-Month Academic Calendar", 'P&amp;L'!$E233*Drivers!G$114, $B52="Quarterly Smoothing", 'P&amp;L'!$E233*Drivers!G$115,
     $B52="Two-Installment (front-loaded)", 'P&amp;L'!$E233*Drivers!G$116, $B52="Two-Installment (back-loaded)", 'P&amp;L'!$E233*Drivers!G$117,
     $B52="Year Start Lump Sum", 'P&amp;L'!$E233*Drivers!G$118,$B52="Expense Reimbursement", 'P&amp;L'!$E233*Drivers!G$120,
     $B52="Direct Monthly Input", 0)</f>
        <v>8414.4607499999966</v>
      </c>
      <c r="E52" s="428" cm="1">
        <f t="array" ref="E52">_xlfn.IFS($B52="12-Month Smoothing", 'P&amp;L'!$E233*Drivers!H$113, $B52="10-Month Academic Calendar", 'P&amp;L'!$E233*Drivers!H$114, $B52="Quarterly Smoothing", 'P&amp;L'!$E233*Drivers!H$115,
     $B52="Two-Installment (front-loaded)", 'P&amp;L'!$E233*Drivers!H$116, $B52="Two-Installment (back-loaded)", 'P&amp;L'!$E233*Drivers!H$117,
     $B52="Year Start Lump Sum", 'P&amp;L'!$E233*Drivers!H$118,$B52="Expense Reimbursement", 'P&amp;L'!$E233*Drivers!H$120,
     $B52="Direct Monthly Input", 0)</f>
        <v>8414.4607499999966</v>
      </c>
      <c r="F52" s="428" cm="1">
        <f t="array" ref="F52">_xlfn.IFS($B52="12-Month Smoothing", 'P&amp;L'!$E233*Drivers!I$113, $B52="10-Month Academic Calendar", 'P&amp;L'!$E233*Drivers!I$114, $B52="Quarterly Smoothing", 'P&amp;L'!$E233*Drivers!I$115,
     $B52="Two-Installment (front-loaded)", 'P&amp;L'!$E233*Drivers!I$116, $B52="Two-Installment (back-loaded)", 'P&amp;L'!$E233*Drivers!I$117,
     $B52="Year Start Lump Sum", 'P&amp;L'!$E233*Drivers!I$118,$B52="Expense Reimbursement", 'P&amp;L'!$E233*Drivers!I$120,
     $B52="Direct Monthly Input", 0)</f>
        <v>8414.4607499999966</v>
      </c>
      <c r="G52" s="428" cm="1">
        <f t="array" ref="G52">_xlfn.IFS($B52="12-Month Smoothing", 'P&amp;L'!$E233*Drivers!J$113, $B52="10-Month Academic Calendar", 'P&amp;L'!$E233*Drivers!J$114, $B52="Quarterly Smoothing", 'P&amp;L'!$E233*Drivers!J$115,
     $B52="Two-Installment (front-loaded)", 'P&amp;L'!$E233*Drivers!J$116, $B52="Two-Installment (back-loaded)", 'P&amp;L'!$E233*Drivers!J$117,
     $B52="Year Start Lump Sum", 'P&amp;L'!$E233*Drivers!J$118,$B52="Expense Reimbursement", 'P&amp;L'!$E233*Drivers!J$120,
     $B52="Direct Monthly Input", 0)</f>
        <v>8414.4607499999966</v>
      </c>
      <c r="H52" s="428" cm="1">
        <f t="array" ref="H52">_xlfn.IFS($B52="12-Month Smoothing", 'P&amp;L'!$E233*Drivers!K$113, $B52="10-Month Academic Calendar", 'P&amp;L'!$E233*Drivers!K$114, $B52="Quarterly Smoothing", 'P&amp;L'!$E233*Drivers!K$115,
     $B52="Two-Installment (front-loaded)", 'P&amp;L'!$E233*Drivers!K$116, $B52="Two-Installment (back-loaded)", 'P&amp;L'!$E233*Drivers!K$117,
     $B52="Year Start Lump Sum", 'P&amp;L'!$E233*Drivers!K$118,$B52="Expense Reimbursement", 'P&amp;L'!$E233*Drivers!K$120,
     $B52="Direct Monthly Input", 0)</f>
        <v>8414.4607499999966</v>
      </c>
      <c r="I52" s="428" cm="1">
        <f t="array" ref="I52">_xlfn.IFS($B52="12-Month Smoothing", 'P&amp;L'!$E233*Drivers!L$113, $B52="10-Month Academic Calendar", 'P&amp;L'!$E233*Drivers!L$114, $B52="Quarterly Smoothing", 'P&amp;L'!$E233*Drivers!L$115,
     $B52="Two-Installment (front-loaded)", 'P&amp;L'!$E233*Drivers!L$116, $B52="Two-Installment (back-loaded)", 'P&amp;L'!$E233*Drivers!L$117,
     $B52="Year Start Lump Sum", 'P&amp;L'!$E233*Drivers!L$118,$B52="Expense Reimbursement", 'P&amp;L'!$E233*Drivers!L$120,
     $B52="Direct Monthly Input", 0)</f>
        <v>8414.4607499999966</v>
      </c>
      <c r="J52" s="428" cm="1">
        <f t="array" ref="J52">_xlfn.IFS($B52="12-Month Smoothing", 'P&amp;L'!$E233*Drivers!M$113, $B52="10-Month Academic Calendar", 'P&amp;L'!$E233*Drivers!M$114, $B52="Quarterly Smoothing", 'P&amp;L'!$E233*Drivers!M$115,
     $B52="Two-Installment (front-loaded)", 'P&amp;L'!$E233*Drivers!M$116, $B52="Two-Installment (back-loaded)", 'P&amp;L'!$E233*Drivers!M$117,
     $B52="Year Start Lump Sum", 'P&amp;L'!$E233*Drivers!M$118,$B52="Expense Reimbursement", 'P&amp;L'!$E233*Drivers!M$120,
     $B52="Direct Monthly Input", 0)</f>
        <v>8414.4607499999966</v>
      </c>
      <c r="K52" s="428" cm="1">
        <f t="array" ref="K52">_xlfn.IFS($B52="12-Month Smoothing", 'P&amp;L'!$E233*Drivers!N$113, $B52="10-Month Academic Calendar", 'P&amp;L'!$E233*Drivers!N$114, $B52="Quarterly Smoothing", 'P&amp;L'!$E233*Drivers!N$115,
     $B52="Two-Installment (front-loaded)", 'P&amp;L'!$E233*Drivers!N$116, $B52="Two-Installment (back-loaded)", 'P&amp;L'!$E233*Drivers!N$117,
     $B52="Year Start Lump Sum", 'P&amp;L'!$E233*Drivers!N$118,$B52="Expense Reimbursement", 'P&amp;L'!$E233*Drivers!N$120,
     $B52="Direct Monthly Input", 0)</f>
        <v>8414.4607499999966</v>
      </c>
      <c r="L52" s="428" cm="1">
        <f t="array" ref="L52">_xlfn.IFS($B52="12-Month Smoothing", 'P&amp;L'!$E233*Drivers!O$113, $B52="10-Month Academic Calendar", 'P&amp;L'!$E233*Drivers!O$114, $B52="Quarterly Smoothing", 'P&amp;L'!$E233*Drivers!O$115,
     $B52="Two-Installment (front-loaded)", 'P&amp;L'!$E233*Drivers!O$116, $B52="Two-Installment (back-loaded)", 'P&amp;L'!$E233*Drivers!O$117,
     $B52="Year Start Lump Sum", 'P&amp;L'!$E233*Drivers!O$118,$B52="Expense Reimbursement", 'P&amp;L'!$E233*Drivers!O$120,
     $B52="Direct Monthly Input", 0)</f>
        <v>8414.4607499999966</v>
      </c>
      <c r="M52" s="428" cm="1">
        <f t="array" ref="M52">_xlfn.IFS($B52="12-Month Smoothing", 'P&amp;L'!$E233*Drivers!P$113, $B52="10-Month Academic Calendar", 'P&amp;L'!$E233*Drivers!P$114, $B52="Quarterly Smoothing", 'P&amp;L'!$E233*Drivers!P$115,
     $B52="Two-Installment (front-loaded)", 'P&amp;L'!$E233*Drivers!P$116, $B52="Two-Installment (back-loaded)", 'P&amp;L'!$E233*Drivers!P$117,
     $B52="Year Start Lump Sum", 'P&amp;L'!$E233*Drivers!P$118,$B52="Expense Reimbursement", 'P&amp;L'!$E233*Drivers!P$120,
     $B52="Direct Monthly Input", 0)</f>
        <v>8414.4607499999966</v>
      </c>
      <c r="N52" s="428" cm="1">
        <f t="array" ref="N52">_xlfn.IFS($B52="12-Month Smoothing", 'P&amp;L'!$E233*Drivers!Q$113, $B52="10-Month Academic Calendar", 'P&amp;L'!$E233*Drivers!Q$114, $B52="Quarterly Smoothing", 'P&amp;L'!$E233*Drivers!Q$115,
     $B52="Two-Installment (front-loaded)", 'P&amp;L'!$E233*Drivers!Q$116, $B52="Two-Installment (back-loaded)", 'P&amp;L'!$E233*Drivers!Q$117,
     $B52="Year Start Lump Sum", 'P&amp;L'!$E233*Drivers!Q$118,$B52="Expense Reimbursement", 'P&amp;L'!$E233*Drivers!Q$120,
     $B52="Direct Monthly Input", 0)</f>
        <v>8414.4607499999966</v>
      </c>
      <c r="O52" s="847" cm="1">
        <f t="array" ref="O52">_xlfn.IFS($B52="12-Month Smoothing", 'P&amp;L'!$E233*Drivers!R$113, $B52="10-Month Academic Calendar", 'P&amp;L'!$E233*Drivers!R$114, $B52="Quarterly Smoothing", 'P&amp;L'!$E233*Drivers!R$115,
     $B52="Two-Installment (front-loaded)", 'P&amp;L'!$E233*Drivers!R$116, $B52="Two-Installment (back-loaded)", 'P&amp;L'!$E233*Drivers!R$117,
     $B52="Year Start Lump Sum", 'P&amp;L'!$E233*Drivers!R$118,$B52="Expense Reimbursement", 'P&amp;L'!$E233*Drivers!R$120,
     $B52="Direct Monthly Input", 0)</f>
        <v>8414.4607499999966</v>
      </c>
      <c r="P52" s="130">
        <f t="shared" si="4"/>
        <v>100973.52899999997</v>
      </c>
      <c r="Q52" s="730"/>
      <c r="R52" s="537"/>
    </row>
    <row r="53" spans="1:18" s="538" customFormat="1" ht="17" thickBot="1">
      <c r="A53" s="735"/>
      <c r="B53" s="419" t="s">
        <v>439</v>
      </c>
      <c r="C53" s="857" t="str">
        <f>'P&amp;L'!C234</f>
        <v>Management Company Fee</v>
      </c>
      <c r="D53" s="854" cm="1">
        <f t="array" ref="D53">_xlfn.IFS($B53="12-Month Smoothing", 'P&amp;L'!$E234*Drivers!G$113, $B53="10-Month Academic Calendar", 'P&amp;L'!$E234*Drivers!G$114, $B53="Quarterly Smoothing", 'P&amp;L'!$E234*Drivers!G$115,
     $B53="Two-Installment (front-loaded)", 'P&amp;L'!$E234*Drivers!G$116, $B53="Two-Installment (back-loaded)", 'P&amp;L'!$E234*Drivers!G$117,
     $B53="Year Start Lump Sum", 'P&amp;L'!$E234*Drivers!G$118,$B53="Expense Reimbursement", 'P&amp;L'!$E234*Drivers!G$120,
     $B53="Direct Monthly Input", 0)</f>
        <v>0</v>
      </c>
      <c r="E53" s="428" cm="1">
        <f t="array" ref="E53">_xlfn.IFS($B53="12-Month Smoothing", 'P&amp;L'!$E234*Drivers!H$113, $B53="10-Month Academic Calendar", 'P&amp;L'!$E234*Drivers!H$114, $B53="Quarterly Smoothing", 'P&amp;L'!$E234*Drivers!H$115,
     $B53="Two-Installment (front-loaded)", 'P&amp;L'!$E234*Drivers!H$116, $B53="Two-Installment (back-loaded)", 'P&amp;L'!$E234*Drivers!H$117,
     $B53="Year Start Lump Sum", 'P&amp;L'!$E234*Drivers!H$118,$B53="Expense Reimbursement", 'P&amp;L'!$E234*Drivers!H$120,
     $B53="Direct Monthly Input", 0)</f>
        <v>0</v>
      </c>
      <c r="F53" s="428" cm="1">
        <f t="array" ref="F53">_xlfn.IFS($B53="12-Month Smoothing", 'P&amp;L'!$E234*Drivers!I$113, $B53="10-Month Academic Calendar", 'P&amp;L'!$E234*Drivers!I$114, $B53="Quarterly Smoothing", 'P&amp;L'!$E234*Drivers!I$115,
     $B53="Two-Installment (front-loaded)", 'P&amp;L'!$E234*Drivers!I$116, $B53="Two-Installment (back-loaded)", 'P&amp;L'!$E234*Drivers!I$117,
     $B53="Year Start Lump Sum", 'P&amp;L'!$E234*Drivers!I$118,$B53="Expense Reimbursement", 'P&amp;L'!$E234*Drivers!I$120,
     $B53="Direct Monthly Input", 0)</f>
        <v>0</v>
      </c>
      <c r="G53" s="428" cm="1">
        <f t="array" ref="G53">_xlfn.IFS($B53="12-Month Smoothing", 'P&amp;L'!$E234*Drivers!J$113, $B53="10-Month Academic Calendar", 'P&amp;L'!$E234*Drivers!J$114, $B53="Quarterly Smoothing", 'P&amp;L'!$E234*Drivers!J$115,
     $B53="Two-Installment (front-loaded)", 'P&amp;L'!$E234*Drivers!J$116, $B53="Two-Installment (back-loaded)", 'P&amp;L'!$E234*Drivers!J$117,
     $B53="Year Start Lump Sum", 'P&amp;L'!$E234*Drivers!J$118,$B53="Expense Reimbursement", 'P&amp;L'!$E234*Drivers!J$120,
     $B53="Direct Monthly Input", 0)</f>
        <v>0</v>
      </c>
      <c r="H53" s="428" cm="1">
        <f t="array" ref="H53">_xlfn.IFS($B53="12-Month Smoothing", 'P&amp;L'!$E234*Drivers!K$113, $B53="10-Month Academic Calendar", 'P&amp;L'!$E234*Drivers!K$114, $B53="Quarterly Smoothing", 'P&amp;L'!$E234*Drivers!K$115,
     $B53="Two-Installment (front-loaded)", 'P&amp;L'!$E234*Drivers!K$116, $B53="Two-Installment (back-loaded)", 'P&amp;L'!$E234*Drivers!K$117,
     $B53="Year Start Lump Sum", 'P&amp;L'!$E234*Drivers!K$118,$B53="Expense Reimbursement", 'P&amp;L'!$E234*Drivers!K$120,
     $B53="Direct Monthly Input", 0)</f>
        <v>0</v>
      </c>
      <c r="I53" s="428" cm="1">
        <f t="array" ref="I53">_xlfn.IFS($B53="12-Month Smoothing", 'P&amp;L'!$E234*Drivers!L$113, $B53="10-Month Academic Calendar", 'P&amp;L'!$E234*Drivers!L$114, $B53="Quarterly Smoothing", 'P&amp;L'!$E234*Drivers!L$115,
     $B53="Two-Installment (front-loaded)", 'P&amp;L'!$E234*Drivers!L$116, $B53="Two-Installment (back-loaded)", 'P&amp;L'!$E234*Drivers!L$117,
     $B53="Year Start Lump Sum", 'P&amp;L'!$E234*Drivers!L$118,$B53="Expense Reimbursement", 'P&amp;L'!$E234*Drivers!L$120,
     $B53="Direct Monthly Input", 0)</f>
        <v>0</v>
      </c>
      <c r="J53" s="428" cm="1">
        <f t="array" ref="J53">_xlfn.IFS($B53="12-Month Smoothing", 'P&amp;L'!$E234*Drivers!M$113, $B53="10-Month Academic Calendar", 'P&amp;L'!$E234*Drivers!M$114, $B53="Quarterly Smoothing", 'P&amp;L'!$E234*Drivers!M$115,
     $B53="Two-Installment (front-loaded)", 'P&amp;L'!$E234*Drivers!M$116, $B53="Two-Installment (back-loaded)", 'P&amp;L'!$E234*Drivers!M$117,
     $B53="Year Start Lump Sum", 'P&amp;L'!$E234*Drivers!M$118,$B53="Expense Reimbursement", 'P&amp;L'!$E234*Drivers!M$120,
     $B53="Direct Monthly Input", 0)</f>
        <v>0</v>
      </c>
      <c r="K53" s="428" cm="1">
        <f t="array" ref="K53">_xlfn.IFS($B53="12-Month Smoothing", 'P&amp;L'!$E234*Drivers!N$113, $B53="10-Month Academic Calendar", 'P&amp;L'!$E234*Drivers!N$114, $B53="Quarterly Smoothing", 'P&amp;L'!$E234*Drivers!N$115,
     $B53="Two-Installment (front-loaded)", 'P&amp;L'!$E234*Drivers!N$116, $B53="Two-Installment (back-loaded)", 'P&amp;L'!$E234*Drivers!N$117,
     $B53="Year Start Lump Sum", 'P&amp;L'!$E234*Drivers!N$118,$B53="Expense Reimbursement", 'P&amp;L'!$E234*Drivers!N$120,
     $B53="Direct Monthly Input", 0)</f>
        <v>0</v>
      </c>
      <c r="L53" s="428" cm="1">
        <f t="array" ref="L53">_xlfn.IFS($B53="12-Month Smoothing", 'P&amp;L'!$E234*Drivers!O$113, $B53="10-Month Academic Calendar", 'P&amp;L'!$E234*Drivers!O$114, $B53="Quarterly Smoothing", 'P&amp;L'!$E234*Drivers!O$115,
     $B53="Two-Installment (front-loaded)", 'P&amp;L'!$E234*Drivers!O$116, $B53="Two-Installment (back-loaded)", 'P&amp;L'!$E234*Drivers!O$117,
     $B53="Year Start Lump Sum", 'P&amp;L'!$E234*Drivers!O$118,$B53="Expense Reimbursement", 'P&amp;L'!$E234*Drivers!O$120,
     $B53="Direct Monthly Input", 0)</f>
        <v>0</v>
      </c>
      <c r="M53" s="428" cm="1">
        <f t="array" ref="M53">_xlfn.IFS($B53="12-Month Smoothing", 'P&amp;L'!$E234*Drivers!P$113, $B53="10-Month Academic Calendar", 'P&amp;L'!$E234*Drivers!P$114, $B53="Quarterly Smoothing", 'P&amp;L'!$E234*Drivers!P$115,
     $B53="Two-Installment (front-loaded)", 'P&amp;L'!$E234*Drivers!P$116, $B53="Two-Installment (back-loaded)", 'P&amp;L'!$E234*Drivers!P$117,
     $B53="Year Start Lump Sum", 'P&amp;L'!$E234*Drivers!P$118,$B53="Expense Reimbursement", 'P&amp;L'!$E234*Drivers!P$120,
     $B53="Direct Monthly Input", 0)</f>
        <v>0</v>
      </c>
      <c r="N53" s="428" cm="1">
        <f t="array" ref="N53">_xlfn.IFS($B53="12-Month Smoothing", 'P&amp;L'!$E234*Drivers!Q$113, $B53="10-Month Academic Calendar", 'P&amp;L'!$E234*Drivers!Q$114, $B53="Quarterly Smoothing", 'P&amp;L'!$E234*Drivers!Q$115,
     $B53="Two-Installment (front-loaded)", 'P&amp;L'!$E234*Drivers!Q$116, $B53="Two-Installment (back-loaded)", 'P&amp;L'!$E234*Drivers!Q$117,
     $B53="Year Start Lump Sum", 'P&amp;L'!$E234*Drivers!Q$118,$B53="Expense Reimbursement", 'P&amp;L'!$E234*Drivers!Q$120,
     $B53="Direct Monthly Input", 0)</f>
        <v>0</v>
      </c>
      <c r="O53" s="847" cm="1">
        <f t="array" ref="O53">_xlfn.IFS($B53="12-Month Smoothing", 'P&amp;L'!$E234*Drivers!R$113, $B53="10-Month Academic Calendar", 'P&amp;L'!$E234*Drivers!R$114, $B53="Quarterly Smoothing", 'P&amp;L'!$E234*Drivers!R$115,
     $B53="Two-Installment (front-loaded)", 'P&amp;L'!$E234*Drivers!R$116, $B53="Two-Installment (back-loaded)", 'P&amp;L'!$E234*Drivers!R$117,
     $B53="Year Start Lump Sum", 'P&amp;L'!$E234*Drivers!R$118,$B53="Expense Reimbursement", 'P&amp;L'!$E234*Drivers!R$120,
     $B53="Direct Monthly Input", 0)</f>
        <v>0</v>
      </c>
      <c r="P53" s="130">
        <f t="shared" si="4"/>
        <v>0</v>
      </c>
      <c r="Q53" s="730"/>
      <c r="R53" s="537"/>
    </row>
    <row r="54" spans="1:18" s="538" customFormat="1" ht="17" thickBot="1">
      <c r="A54" s="735"/>
      <c r="B54" s="419" t="s">
        <v>439</v>
      </c>
      <c r="C54" s="857" t="str">
        <f>'P&amp;L'!C235</f>
        <v>Payroll Services</v>
      </c>
      <c r="D54" s="854" cm="1">
        <f t="array" ref="D54">_xlfn.IFS($B54="12-Month Smoothing", 'P&amp;L'!$E235*Drivers!G$113, $B54="10-Month Academic Calendar", 'P&amp;L'!$E235*Drivers!G$114, $B54="Quarterly Smoothing", 'P&amp;L'!$E235*Drivers!G$115,
     $B54="Two-Installment (front-loaded)", 'P&amp;L'!$E235*Drivers!G$116, $B54="Two-Installment (back-loaded)", 'P&amp;L'!$E235*Drivers!G$117,
     $B54="Year Start Lump Sum", 'P&amp;L'!$E235*Drivers!G$118,$B54="Expense Reimbursement", 'P&amp;L'!$E235*Drivers!G$120,
     $B54="Direct Monthly Input", 0)</f>
        <v>2575</v>
      </c>
      <c r="E54" s="428" cm="1">
        <f t="array" ref="E54">_xlfn.IFS($B54="12-Month Smoothing", 'P&amp;L'!$E235*Drivers!H$113, $B54="10-Month Academic Calendar", 'P&amp;L'!$E235*Drivers!H$114, $B54="Quarterly Smoothing", 'P&amp;L'!$E235*Drivers!H$115,
     $B54="Two-Installment (front-loaded)", 'P&amp;L'!$E235*Drivers!H$116, $B54="Two-Installment (back-loaded)", 'P&amp;L'!$E235*Drivers!H$117,
     $B54="Year Start Lump Sum", 'P&amp;L'!$E235*Drivers!H$118,$B54="Expense Reimbursement", 'P&amp;L'!$E235*Drivers!H$120,
     $B54="Direct Monthly Input", 0)</f>
        <v>2575</v>
      </c>
      <c r="F54" s="428" cm="1">
        <f t="array" ref="F54">_xlfn.IFS($B54="12-Month Smoothing", 'P&amp;L'!$E235*Drivers!I$113, $B54="10-Month Academic Calendar", 'P&amp;L'!$E235*Drivers!I$114, $B54="Quarterly Smoothing", 'P&amp;L'!$E235*Drivers!I$115,
     $B54="Two-Installment (front-loaded)", 'P&amp;L'!$E235*Drivers!I$116, $B54="Two-Installment (back-loaded)", 'P&amp;L'!$E235*Drivers!I$117,
     $B54="Year Start Lump Sum", 'P&amp;L'!$E235*Drivers!I$118,$B54="Expense Reimbursement", 'P&amp;L'!$E235*Drivers!I$120,
     $B54="Direct Monthly Input", 0)</f>
        <v>2575</v>
      </c>
      <c r="G54" s="428" cm="1">
        <f t="array" ref="G54">_xlfn.IFS($B54="12-Month Smoothing", 'P&amp;L'!$E235*Drivers!J$113, $B54="10-Month Academic Calendar", 'P&amp;L'!$E235*Drivers!J$114, $B54="Quarterly Smoothing", 'P&amp;L'!$E235*Drivers!J$115,
     $B54="Two-Installment (front-loaded)", 'P&amp;L'!$E235*Drivers!J$116, $B54="Two-Installment (back-loaded)", 'P&amp;L'!$E235*Drivers!J$117,
     $B54="Year Start Lump Sum", 'P&amp;L'!$E235*Drivers!J$118,$B54="Expense Reimbursement", 'P&amp;L'!$E235*Drivers!J$120,
     $B54="Direct Monthly Input", 0)</f>
        <v>2575</v>
      </c>
      <c r="H54" s="428" cm="1">
        <f t="array" ref="H54">_xlfn.IFS($B54="12-Month Smoothing", 'P&amp;L'!$E235*Drivers!K$113, $B54="10-Month Academic Calendar", 'P&amp;L'!$E235*Drivers!K$114, $B54="Quarterly Smoothing", 'P&amp;L'!$E235*Drivers!K$115,
     $B54="Two-Installment (front-loaded)", 'P&amp;L'!$E235*Drivers!K$116, $B54="Two-Installment (back-loaded)", 'P&amp;L'!$E235*Drivers!K$117,
     $B54="Year Start Lump Sum", 'P&amp;L'!$E235*Drivers!K$118,$B54="Expense Reimbursement", 'P&amp;L'!$E235*Drivers!K$120,
     $B54="Direct Monthly Input", 0)</f>
        <v>2575</v>
      </c>
      <c r="I54" s="428" cm="1">
        <f t="array" ref="I54">_xlfn.IFS($B54="12-Month Smoothing", 'P&amp;L'!$E235*Drivers!L$113, $B54="10-Month Academic Calendar", 'P&amp;L'!$E235*Drivers!L$114, $B54="Quarterly Smoothing", 'P&amp;L'!$E235*Drivers!L$115,
     $B54="Two-Installment (front-loaded)", 'P&amp;L'!$E235*Drivers!L$116, $B54="Two-Installment (back-loaded)", 'P&amp;L'!$E235*Drivers!L$117,
     $B54="Year Start Lump Sum", 'P&amp;L'!$E235*Drivers!L$118,$B54="Expense Reimbursement", 'P&amp;L'!$E235*Drivers!L$120,
     $B54="Direct Monthly Input", 0)</f>
        <v>2575</v>
      </c>
      <c r="J54" s="428" cm="1">
        <f t="array" ref="J54">_xlfn.IFS($B54="12-Month Smoothing", 'P&amp;L'!$E235*Drivers!M$113, $B54="10-Month Academic Calendar", 'P&amp;L'!$E235*Drivers!M$114, $B54="Quarterly Smoothing", 'P&amp;L'!$E235*Drivers!M$115,
     $B54="Two-Installment (front-loaded)", 'P&amp;L'!$E235*Drivers!M$116, $B54="Two-Installment (back-loaded)", 'P&amp;L'!$E235*Drivers!M$117,
     $B54="Year Start Lump Sum", 'P&amp;L'!$E235*Drivers!M$118,$B54="Expense Reimbursement", 'P&amp;L'!$E235*Drivers!M$120,
     $B54="Direct Monthly Input", 0)</f>
        <v>2575</v>
      </c>
      <c r="K54" s="428" cm="1">
        <f t="array" ref="K54">_xlfn.IFS($B54="12-Month Smoothing", 'P&amp;L'!$E235*Drivers!N$113, $B54="10-Month Academic Calendar", 'P&amp;L'!$E235*Drivers!N$114, $B54="Quarterly Smoothing", 'P&amp;L'!$E235*Drivers!N$115,
     $B54="Two-Installment (front-loaded)", 'P&amp;L'!$E235*Drivers!N$116, $B54="Two-Installment (back-loaded)", 'P&amp;L'!$E235*Drivers!N$117,
     $B54="Year Start Lump Sum", 'P&amp;L'!$E235*Drivers!N$118,$B54="Expense Reimbursement", 'P&amp;L'!$E235*Drivers!N$120,
     $B54="Direct Monthly Input", 0)</f>
        <v>2575</v>
      </c>
      <c r="L54" s="428" cm="1">
        <f t="array" ref="L54">_xlfn.IFS($B54="12-Month Smoothing", 'P&amp;L'!$E235*Drivers!O$113, $B54="10-Month Academic Calendar", 'P&amp;L'!$E235*Drivers!O$114, $B54="Quarterly Smoothing", 'P&amp;L'!$E235*Drivers!O$115,
     $B54="Two-Installment (front-loaded)", 'P&amp;L'!$E235*Drivers!O$116, $B54="Two-Installment (back-loaded)", 'P&amp;L'!$E235*Drivers!O$117,
     $B54="Year Start Lump Sum", 'P&amp;L'!$E235*Drivers!O$118,$B54="Expense Reimbursement", 'P&amp;L'!$E235*Drivers!O$120,
     $B54="Direct Monthly Input", 0)</f>
        <v>2575</v>
      </c>
      <c r="M54" s="428" cm="1">
        <f t="array" ref="M54">_xlfn.IFS($B54="12-Month Smoothing", 'P&amp;L'!$E235*Drivers!P$113, $B54="10-Month Academic Calendar", 'P&amp;L'!$E235*Drivers!P$114, $B54="Quarterly Smoothing", 'P&amp;L'!$E235*Drivers!P$115,
     $B54="Two-Installment (front-loaded)", 'P&amp;L'!$E235*Drivers!P$116, $B54="Two-Installment (back-loaded)", 'P&amp;L'!$E235*Drivers!P$117,
     $B54="Year Start Lump Sum", 'P&amp;L'!$E235*Drivers!P$118,$B54="Expense Reimbursement", 'P&amp;L'!$E235*Drivers!P$120,
     $B54="Direct Monthly Input", 0)</f>
        <v>2575</v>
      </c>
      <c r="N54" s="428" cm="1">
        <f t="array" ref="N54">_xlfn.IFS($B54="12-Month Smoothing", 'P&amp;L'!$E235*Drivers!Q$113, $B54="10-Month Academic Calendar", 'P&amp;L'!$E235*Drivers!Q$114, $B54="Quarterly Smoothing", 'P&amp;L'!$E235*Drivers!Q$115,
     $B54="Two-Installment (front-loaded)", 'P&amp;L'!$E235*Drivers!Q$116, $B54="Two-Installment (back-loaded)", 'P&amp;L'!$E235*Drivers!Q$117,
     $B54="Year Start Lump Sum", 'P&amp;L'!$E235*Drivers!Q$118,$B54="Expense Reimbursement", 'P&amp;L'!$E235*Drivers!Q$120,
     $B54="Direct Monthly Input", 0)</f>
        <v>2575</v>
      </c>
      <c r="O54" s="847" cm="1">
        <f t="array" ref="O54">_xlfn.IFS($B54="12-Month Smoothing", 'P&amp;L'!$E235*Drivers!R$113, $B54="10-Month Academic Calendar", 'P&amp;L'!$E235*Drivers!R$114, $B54="Quarterly Smoothing", 'P&amp;L'!$E235*Drivers!R$115,
     $B54="Two-Installment (front-loaded)", 'P&amp;L'!$E235*Drivers!R$116, $B54="Two-Installment (back-loaded)", 'P&amp;L'!$E235*Drivers!R$117,
     $B54="Year Start Lump Sum", 'P&amp;L'!$E235*Drivers!R$118,$B54="Expense Reimbursement", 'P&amp;L'!$E235*Drivers!R$120,
     $B54="Direct Monthly Input", 0)</f>
        <v>2575</v>
      </c>
      <c r="P54" s="130">
        <f t="shared" si="4"/>
        <v>30900</v>
      </c>
      <c r="Q54" s="730"/>
      <c r="R54" s="537"/>
    </row>
    <row r="55" spans="1:18" s="538" customFormat="1" ht="17" thickBot="1">
      <c r="A55" s="735"/>
      <c r="B55" s="419" t="s">
        <v>440</v>
      </c>
      <c r="C55" s="857" t="str">
        <f>'P&amp;L'!C236</f>
        <v>Nurse Services</v>
      </c>
      <c r="D55" s="854" cm="1">
        <f t="array" ref="D55">_xlfn.IFS($B55="12-Month Smoothing", 'P&amp;L'!$E236*Drivers!G$113, $B55="10-Month Academic Calendar", 'P&amp;L'!$E236*Drivers!G$114, $B55="Quarterly Smoothing", 'P&amp;L'!$E236*Drivers!G$115,
     $B55="Two-Installment (front-loaded)", 'P&amp;L'!$E236*Drivers!G$116, $B55="Two-Installment (back-loaded)", 'P&amp;L'!$E236*Drivers!G$117,
     $B55="Year Start Lump Sum", 'P&amp;L'!$E236*Drivers!G$118,$B55="Expense Reimbursement", 'P&amp;L'!$E236*Drivers!G$120,
     $B55="Direct Monthly Input", 0)</f>
        <v>4320</v>
      </c>
      <c r="E55" s="428" cm="1">
        <f t="array" ref="E55">_xlfn.IFS($B55="12-Month Smoothing", 'P&amp;L'!$E236*Drivers!H$113, $B55="10-Month Academic Calendar", 'P&amp;L'!$E236*Drivers!H$114, $B55="Quarterly Smoothing", 'P&amp;L'!$E236*Drivers!H$115,
     $B55="Two-Installment (front-loaded)", 'P&amp;L'!$E236*Drivers!H$116, $B55="Two-Installment (back-loaded)", 'P&amp;L'!$E236*Drivers!H$117,
     $B55="Year Start Lump Sum", 'P&amp;L'!$E236*Drivers!H$118,$B55="Expense Reimbursement", 'P&amp;L'!$E236*Drivers!H$120,
     $B55="Direct Monthly Input", 0)</f>
        <v>4320</v>
      </c>
      <c r="F55" s="428" cm="1">
        <f t="array" ref="F55">_xlfn.IFS($B55="12-Month Smoothing", 'P&amp;L'!$E236*Drivers!I$113, $B55="10-Month Academic Calendar", 'P&amp;L'!$E236*Drivers!I$114, $B55="Quarterly Smoothing", 'P&amp;L'!$E236*Drivers!I$115,
     $B55="Two-Installment (front-loaded)", 'P&amp;L'!$E236*Drivers!I$116, $B55="Two-Installment (back-loaded)", 'P&amp;L'!$E236*Drivers!I$117,
     $B55="Year Start Lump Sum", 'P&amp;L'!$E236*Drivers!I$118,$B55="Expense Reimbursement", 'P&amp;L'!$E236*Drivers!I$120,
     $B55="Direct Monthly Input", 0)</f>
        <v>4320</v>
      </c>
      <c r="G55" s="428" cm="1">
        <f t="array" ref="G55">_xlfn.IFS($B55="12-Month Smoothing", 'P&amp;L'!$E236*Drivers!J$113, $B55="10-Month Academic Calendar", 'P&amp;L'!$E236*Drivers!J$114, $B55="Quarterly Smoothing", 'P&amp;L'!$E236*Drivers!J$115,
     $B55="Two-Installment (front-loaded)", 'P&amp;L'!$E236*Drivers!J$116, $B55="Two-Installment (back-loaded)", 'P&amp;L'!$E236*Drivers!J$117,
     $B55="Year Start Lump Sum", 'P&amp;L'!$E236*Drivers!J$118,$B55="Expense Reimbursement", 'P&amp;L'!$E236*Drivers!J$120,
     $B55="Direct Monthly Input", 0)</f>
        <v>4320</v>
      </c>
      <c r="H55" s="428" cm="1">
        <f t="array" ref="H55">_xlfn.IFS($B55="12-Month Smoothing", 'P&amp;L'!$E236*Drivers!K$113, $B55="10-Month Academic Calendar", 'P&amp;L'!$E236*Drivers!K$114, $B55="Quarterly Smoothing", 'P&amp;L'!$E236*Drivers!K$115,
     $B55="Two-Installment (front-loaded)", 'P&amp;L'!$E236*Drivers!K$116, $B55="Two-Installment (back-loaded)", 'P&amp;L'!$E236*Drivers!K$117,
     $B55="Year Start Lump Sum", 'P&amp;L'!$E236*Drivers!K$118,$B55="Expense Reimbursement", 'P&amp;L'!$E236*Drivers!K$120,
     $B55="Direct Monthly Input", 0)</f>
        <v>4320</v>
      </c>
      <c r="I55" s="428" cm="1">
        <f t="array" ref="I55">_xlfn.IFS($B55="12-Month Smoothing", 'P&amp;L'!$E236*Drivers!L$113, $B55="10-Month Academic Calendar", 'P&amp;L'!$E236*Drivers!L$114, $B55="Quarterly Smoothing", 'P&amp;L'!$E236*Drivers!L$115,
     $B55="Two-Installment (front-loaded)", 'P&amp;L'!$E236*Drivers!L$116, $B55="Two-Installment (back-loaded)", 'P&amp;L'!$E236*Drivers!L$117,
     $B55="Year Start Lump Sum", 'P&amp;L'!$E236*Drivers!L$118,$B55="Expense Reimbursement", 'P&amp;L'!$E236*Drivers!L$120,
     $B55="Direct Monthly Input", 0)</f>
        <v>4320</v>
      </c>
      <c r="J55" s="428" cm="1">
        <f t="array" ref="J55">_xlfn.IFS($B55="12-Month Smoothing", 'P&amp;L'!$E236*Drivers!M$113, $B55="10-Month Academic Calendar", 'P&amp;L'!$E236*Drivers!M$114, $B55="Quarterly Smoothing", 'P&amp;L'!$E236*Drivers!M$115,
     $B55="Two-Installment (front-loaded)", 'P&amp;L'!$E236*Drivers!M$116, $B55="Two-Installment (back-loaded)", 'P&amp;L'!$E236*Drivers!M$117,
     $B55="Year Start Lump Sum", 'P&amp;L'!$E236*Drivers!M$118,$B55="Expense Reimbursement", 'P&amp;L'!$E236*Drivers!M$120,
     $B55="Direct Monthly Input", 0)</f>
        <v>4320</v>
      </c>
      <c r="K55" s="428" cm="1">
        <f t="array" ref="K55">_xlfn.IFS($B55="12-Month Smoothing", 'P&amp;L'!$E236*Drivers!N$113, $B55="10-Month Academic Calendar", 'P&amp;L'!$E236*Drivers!N$114, $B55="Quarterly Smoothing", 'P&amp;L'!$E236*Drivers!N$115,
     $B55="Two-Installment (front-loaded)", 'P&amp;L'!$E236*Drivers!N$116, $B55="Two-Installment (back-loaded)", 'P&amp;L'!$E236*Drivers!N$117,
     $B55="Year Start Lump Sum", 'P&amp;L'!$E236*Drivers!N$118,$B55="Expense Reimbursement", 'P&amp;L'!$E236*Drivers!N$120,
     $B55="Direct Monthly Input", 0)</f>
        <v>4320</v>
      </c>
      <c r="L55" s="428" cm="1">
        <f t="array" ref="L55">_xlfn.IFS($B55="12-Month Smoothing", 'P&amp;L'!$E236*Drivers!O$113, $B55="10-Month Academic Calendar", 'P&amp;L'!$E236*Drivers!O$114, $B55="Quarterly Smoothing", 'P&amp;L'!$E236*Drivers!O$115,
     $B55="Two-Installment (front-loaded)", 'P&amp;L'!$E236*Drivers!O$116, $B55="Two-Installment (back-loaded)", 'P&amp;L'!$E236*Drivers!O$117,
     $B55="Year Start Lump Sum", 'P&amp;L'!$E236*Drivers!O$118,$B55="Expense Reimbursement", 'P&amp;L'!$E236*Drivers!O$120,
     $B55="Direct Monthly Input", 0)</f>
        <v>4320</v>
      </c>
      <c r="M55" s="428" cm="1">
        <f t="array" ref="M55">_xlfn.IFS($B55="12-Month Smoothing", 'P&amp;L'!$E236*Drivers!P$113, $B55="10-Month Academic Calendar", 'P&amp;L'!$E236*Drivers!P$114, $B55="Quarterly Smoothing", 'P&amp;L'!$E236*Drivers!P$115,
     $B55="Two-Installment (front-loaded)", 'P&amp;L'!$E236*Drivers!P$116, $B55="Two-Installment (back-loaded)", 'P&amp;L'!$E236*Drivers!P$117,
     $B55="Year Start Lump Sum", 'P&amp;L'!$E236*Drivers!P$118,$B55="Expense Reimbursement", 'P&amp;L'!$E236*Drivers!P$120,
     $B55="Direct Monthly Input", 0)</f>
        <v>4320</v>
      </c>
      <c r="N55" s="428" cm="1">
        <f t="array" ref="N55">_xlfn.IFS($B55="12-Month Smoothing", 'P&amp;L'!$E236*Drivers!Q$113, $B55="10-Month Academic Calendar", 'P&amp;L'!$E236*Drivers!Q$114, $B55="Quarterly Smoothing", 'P&amp;L'!$E236*Drivers!Q$115,
     $B55="Two-Installment (front-loaded)", 'P&amp;L'!$E236*Drivers!Q$116, $B55="Two-Installment (back-loaded)", 'P&amp;L'!$E236*Drivers!Q$117,
     $B55="Year Start Lump Sum", 'P&amp;L'!$E236*Drivers!Q$118,$B55="Expense Reimbursement", 'P&amp;L'!$E236*Drivers!Q$120,
     $B55="Direct Monthly Input", 0)</f>
        <v>0</v>
      </c>
      <c r="O55" s="847" cm="1">
        <f t="array" ref="O55">_xlfn.IFS($B55="12-Month Smoothing", 'P&amp;L'!$E236*Drivers!R$113, $B55="10-Month Academic Calendar", 'P&amp;L'!$E236*Drivers!R$114, $B55="Quarterly Smoothing", 'P&amp;L'!$E236*Drivers!R$115,
     $B55="Two-Installment (front-loaded)", 'P&amp;L'!$E236*Drivers!R$116, $B55="Two-Installment (back-loaded)", 'P&amp;L'!$E236*Drivers!R$117,
     $B55="Year Start Lump Sum", 'P&amp;L'!$E236*Drivers!R$118,$B55="Expense Reimbursement", 'P&amp;L'!$E236*Drivers!R$120,
     $B55="Direct Monthly Input", 0)</f>
        <v>0</v>
      </c>
      <c r="P55" s="130">
        <f t="shared" si="4"/>
        <v>43200</v>
      </c>
      <c r="Q55" s="730"/>
      <c r="R55" s="537"/>
    </row>
    <row r="56" spans="1:18" s="538" customFormat="1" ht="17" thickBot="1">
      <c r="A56" s="735"/>
      <c r="B56" s="419" t="s">
        <v>440</v>
      </c>
      <c r="C56" s="857" t="str">
        <f>'P&amp;L'!C237</f>
        <v>Special Ed Services</v>
      </c>
      <c r="D56" s="854" cm="1">
        <f t="array" ref="D56">_xlfn.IFS($B56="12-Month Smoothing", 'P&amp;L'!$E237*Drivers!G$113, $B56="10-Month Academic Calendar", 'P&amp;L'!$E237*Drivers!G$114, $B56="Quarterly Smoothing", 'P&amp;L'!$E237*Drivers!G$115,
     $B56="Two-Installment (front-loaded)", 'P&amp;L'!$E237*Drivers!G$116, $B56="Two-Installment (back-loaded)", 'P&amp;L'!$E237*Drivers!G$117,
     $B56="Year Start Lump Sum", 'P&amp;L'!$E237*Drivers!G$118,$B56="Expense Reimbursement", 'P&amp;L'!$E237*Drivers!G$120,
     $B56="Direct Monthly Input", 0)</f>
        <v>26400</v>
      </c>
      <c r="E56" s="428" cm="1">
        <f t="array" ref="E56">_xlfn.IFS($B56="12-Month Smoothing", 'P&amp;L'!$E237*Drivers!H$113, $B56="10-Month Academic Calendar", 'P&amp;L'!$E237*Drivers!H$114, $B56="Quarterly Smoothing", 'P&amp;L'!$E237*Drivers!H$115,
     $B56="Two-Installment (front-loaded)", 'P&amp;L'!$E237*Drivers!H$116, $B56="Two-Installment (back-loaded)", 'P&amp;L'!$E237*Drivers!H$117,
     $B56="Year Start Lump Sum", 'P&amp;L'!$E237*Drivers!H$118,$B56="Expense Reimbursement", 'P&amp;L'!$E237*Drivers!H$120,
     $B56="Direct Monthly Input", 0)</f>
        <v>26400</v>
      </c>
      <c r="F56" s="428" cm="1">
        <f t="array" ref="F56">_xlfn.IFS($B56="12-Month Smoothing", 'P&amp;L'!$E237*Drivers!I$113, $B56="10-Month Academic Calendar", 'P&amp;L'!$E237*Drivers!I$114, $B56="Quarterly Smoothing", 'P&amp;L'!$E237*Drivers!I$115,
     $B56="Two-Installment (front-loaded)", 'P&amp;L'!$E237*Drivers!I$116, $B56="Two-Installment (back-loaded)", 'P&amp;L'!$E237*Drivers!I$117,
     $B56="Year Start Lump Sum", 'P&amp;L'!$E237*Drivers!I$118,$B56="Expense Reimbursement", 'P&amp;L'!$E237*Drivers!I$120,
     $B56="Direct Monthly Input", 0)</f>
        <v>26400</v>
      </c>
      <c r="G56" s="428" cm="1">
        <f t="array" ref="G56">_xlfn.IFS($B56="12-Month Smoothing", 'P&amp;L'!$E237*Drivers!J$113, $B56="10-Month Academic Calendar", 'P&amp;L'!$E237*Drivers!J$114, $B56="Quarterly Smoothing", 'P&amp;L'!$E237*Drivers!J$115,
     $B56="Two-Installment (front-loaded)", 'P&amp;L'!$E237*Drivers!J$116, $B56="Two-Installment (back-loaded)", 'P&amp;L'!$E237*Drivers!J$117,
     $B56="Year Start Lump Sum", 'P&amp;L'!$E237*Drivers!J$118,$B56="Expense Reimbursement", 'P&amp;L'!$E237*Drivers!J$120,
     $B56="Direct Monthly Input", 0)</f>
        <v>26400</v>
      </c>
      <c r="H56" s="428" cm="1">
        <f t="array" ref="H56">_xlfn.IFS($B56="12-Month Smoothing", 'P&amp;L'!$E237*Drivers!K$113, $B56="10-Month Academic Calendar", 'P&amp;L'!$E237*Drivers!K$114, $B56="Quarterly Smoothing", 'P&amp;L'!$E237*Drivers!K$115,
     $B56="Two-Installment (front-loaded)", 'P&amp;L'!$E237*Drivers!K$116, $B56="Two-Installment (back-loaded)", 'P&amp;L'!$E237*Drivers!K$117,
     $B56="Year Start Lump Sum", 'P&amp;L'!$E237*Drivers!K$118,$B56="Expense Reimbursement", 'P&amp;L'!$E237*Drivers!K$120,
     $B56="Direct Monthly Input", 0)</f>
        <v>26400</v>
      </c>
      <c r="I56" s="428" cm="1">
        <f t="array" ref="I56">_xlfn.IFS($B56="12-Month Smoothing", 'P&amp;L'!$E237*Drivers!L$113, $B56="10-Month Academic Calendar", 'P&amp;L'!$E237*Drivers!L$114, $B56="Quarterly Smoothing", 'P&amp;L'!$E237*Drivers!L$115,
     $B56="Two-Installment (front-loaded)", 'P&amp;L'!$E237*Drivers!L$116, $B56="Two-Installment (back-loaded)", 'P&amp;L'!$E237*Drivers!L$117,
     $B56="Year Start Lump Sum", 'P&amp;L'!$E237*Drivers!L$118,$B56="Expense Reimbursement", 'P&amp;L'!$E237*Drivers!L$120,
     $B56="Direct Monthly Input", 0)</f>
        <v>26400</v>
      </c>
      <c r="J56" s="428" cm="1">
        <f t="array" ref="J56">_xlfn.IFS($B56="12-Month Smoothing", 'P&amp;L'!$E237*Drivers!M$113, $B56="10-Month Academic Calendar", 'P&amp;L'!$E237*Drivers!M$114, $B56="Quarterly Smoothing", 'P&amp;L'!$E237*Drivers!M$115,
     $B56="Two-Installment (front-loaded)", 'P&amp;L'!$E237*Drivers!M$116, $B56="Two-Installment (back-loaded)", 'P&amp;L'!$E237*Drivers!M$117,
     $B56="Year Start Lump Sum", 'P&amp;L'!$E237*Drivers!M$118,$B56="Expense Reimbursement", 'P&amp;L'!$E237*Drivers!M$120,
     $B56="Direct Monthly Input", 0)</f>
        <v>26400</v>
      </c>
      <c r="K56" s="428" cm="1">
        <f t="array" ref="K56">_xlfn.IFS($B56="12-Month Smoothing", 'P&amp;L'!$E237*Drivers!N$113, $B56="10-Month Academic Calendar", 'P&amp;L'!$E237*Drivers!N$114, $B56="Quarterly Smoothing", 'P&amp;L'!$E237*Drivers!N$115,
     $B56="Two-Installment (front-loaded)", 'P&amp;L'!$E237*Drivers!N$116, $B56="Two-Installment (back-loaded)", 'P&amp;L'!$E237*Drivers!N$117,
     $B56="Year Start Lump Sum", 'P&amp;L'!$E237*Drivers!N$118,$B56="Expense Reimbursement", 'P&amp;L'!$E237*Drivers!N$120,
     $B56="Direct Monthly Input", 0)</f>
        <v>26400</v>
      </c>
      <c r="L56" s="428" cm="1">
        <f t="array" ref="L56">_xlfn.IFS($B56="12-Month Smoothing", 'P&amp;L'!$E237*Drivers!O$113, $B56="10-Month Academic Calendar", 'P&amp;L'!$E237*Drivers!O$114, $B56="Quarterly Smoothing", 'P&amp;L'!$E237*Drivers!O$115,
     $B56="Two-Installment (front-loaded)", 'P&amp;L'!$E237*Drivers!O$116, $B56="Two-Installment (back-loaded)", 'P&amp;L'!$E237*Drivers!O$117,
     $B56="Year Start Lump Sum", 'P&amp;L'!$E237*Drivers!O$118,$B56="Expense Reimbursement", 'P&amp;L'!$E237*Drivers!O$120,
     $B56="Direct Monthly Input", 0)</f>
        <v>26400</v>
      </c>
      <c r="M56" s="428" cm="1">
        <f t="array" ref="M56">_xlfn.IFS($B56="12-Month Smoothing", 'P&amp;L'!$E237*Drivers!P$113, $B56="10-Month Academic Calendar", 'P&amp;L'!$E237*Drivers!P$114, $B56="Quarterly Smoothing", 'P&amp;L'!$E237*Drivers!P$115,
     $B56="Two-Installment (front-loaded)", 'P&amp;L'!$E237*Drivers!P$116, $B56="Two-Installment (back-loaded)", 'P&amp;L'!$E237*Drivers!P$117,
     $B56="Year Start Lump Sum", 'P&amp;L'!$E237*Drivers!P$118,$B56="Expense Reimbursement", 'P&amp;L'!$E237*Drivers!P$120,
     $B56="Direct Monthly Input", 0)</f>
        <v>26400</v>
      </c>
      <c r="N56" s="428" cm="1">
        <f t="array" ref="N56">_xlfn.IFS($B56="12-Month Smoothing", 'P&amp;L'!$E237*Drivers!Q$113, $B56="10-Month Academic Calendar", 'P&amp;L'!$E237*Drivers!Q$114, $B56="Quarterly Smoothing", 'P&amp;L'!$E237*Drivers!Q$115,
     $B56="Two-Installment (front-loaded)", 'P&amp;L'!$E237*Drivers!Q$116, $B56="Two-Installment (back-loaded)", 'P&amp;L'!$E237*Drivers!Q$117,
     $B56="Year Start Lump Sum", 'P&amp;L'!$E237*Drivers!Q$118,$B56="Expense Reimbursement", 'P&amp;L'!$E237*Drivers!Q$120,
     $B56="Direct Monthly Input", 0)</f>
        <v>0</v>
      </c>
      <c r="O56" s="847" cm="1">
        <f t="array" ref="O56">_xlfn.IFS($B56="12-Month Smoothing", 'P&amp;L'!$E237*Drivers!R$113, $B56="10-Month Academic Calendar", 'P&amp;L'!$E237*Drivers!R$114, $B56="Quarterly Smoothing", 'P&amp;L'!$E237*Drivers!R$115,
     $B56="Two-Installment (front-loaded)", 'P&amp;L'!$E237*Drivers!R$116, $B56="Two-Installment (back-loaded)", 'P&amp;L'!$E237*Drivers!R$117,
     $B56="Year Start Lump Sum", 'P&amp;L'!$E237*Drivers!R$118,$B56="Expense Reimbursement", 'P&amp;L'!$E237*Drivers!R$120,
     $B56="Direct Monthly Input", 0)</f>
        <v>0</v>
      </c>
      <c r="P56" s="130">
        <f t="shared" si="4"/>
        <v>264000</v>
      </c>
      <c r="Q56" s="730"/>
      <c r="R56" s="537"/>
    </row>
    <row r="57" spans="1:18" s="538" customFormat="1" ht="17" thickBot="1">
      <c r="A57" s="735"/>
      <c r="B57" s="419" t="s">
        <v>440</v>
      </c>
      <c r="C57" s="857" t="str">
        <f>'P&amp;L'!C238</f>
        <v>Titlement Services</v>
      </c>
      <c r="D57" s="854" cm="1">
        <f t="array" ref="D57">_xlfn.IFS($B57="12-Month Smoothing", 'P&amp;L'!$E238*Drivers!G$113, $B57="10-Month Academic Calendar", 'P&amp;L'!$E238*Drivers!G$114, $B57="Quarterly Smoothing", 'P&amp;L'!$E238*Drivers!G$115,
     $B57="Two-Installment (front-loaded)", 'P&amp;L'!$E238*Drivers!G$116, $B57="Two-Installment (back-loaded)", 'P&amp;L'!$E238*Drivers!G$117,
     $B57="Year Start Lump Sum", 'P&amp;L'!$E238*Drivers!G$118,$B57="Expense Reimbursement", 'P&amp;L'!$E238*Drivers!G$120,
     $B57="Direct Monthly Input", 0)</f>
        <v>5280</v>
      </c>
      <c r="E57" s="428" cm="1">
        <f t="array" ref="E57">_xlfn.IFS($B57="12-Month Smoothing", 'P&amp;L'!$E238*Drivers!H$113, $B57="10-Month Academic Calendar", 'P&amp;L'!$E238*Drivers!H$114, $B57="Quarterly Smoothing", 'P&amp;L'!$E238*Drivers!H$115,
     $B57="Two-Installment (front-loaded)", 'P&amp;L'!$E238*Drivers!H$116, $B57="Two-Installment (back-loaded)", 'P&amp;L'!$E238*Drivers!H$117,
     $B57="Year Start Lump Sum", 'P&amp;L'!$E238*Drivers!H$118,$B57="Expense Reimbursement", 'P&amp;L'!$E238*Drivers!H$120,
     $B57="Direct Monthly Input", 0)</f>
        <v>5280</v>
      </c>
      <c r="F57" s="428" cm="1">
        <f t="array" ref="F57">_xlfn.IFS($B57="12-Month Smoothing", 'P&amp;L'!$E238*Drivers!I$113, $B57="10-Month Academic Calendar", 'P&amp;L'!$E238*Drivers!I$114, $B57="Quarterly Smoothing", 'P&amp;L'!$E238*Drivers!I$115,
     $B57="Two-Installment (front-loaded)", 'P&amp;L'!$E238*Drivers!I$116, $B57="Two-Installment (back-loaded)", 'P&amp;L'!$E238*Drivers!I$117,
     $B57="Year Start Lump Sum", 'P&amp;L'!$E238*Drivers!I$118,$B57="Expense Reimbursement", 'P&amp;L'!$E238*Drivers!I$120,
     $B57="Direct Monthly Input", 0)</f>
        <v>5280</v>
      </c>
      <c r="G57" s="428" cm="1">
        <f t="array" ref="G57">_xlfn.IFS($B57="12-Month Smoothing", 'P&amp;L'!$E238*Drivers!J$113, $B57="10-Month Academic Calendar", 'P&amp;L'!$E238*Drivers!J$114, $B57="Quarterly Smoothing", 'P&amp;L'!$E238*Drivers!J$115,
     $B57="Two-Installment (front-loaded)", 'P&amp;L'!$E238*Drivers!J$116, $B57="Two-Installment (back-loaded)", 'P&amp;L'!$E238*Drivers!J$117,
     $B57="Year Start Lump Sum", 'P&amp;L'!$E238*Drivers!J$118,$B57="Expense Reimbursement", 'P&amp;L'!$E238*Drivers!J$120,
     $B57="Direct Monthly Input", 0)</f>
        <v>5280</v>
      </c>
      <c r="H57" s="428" cm="1">
        <f t="array" ref="H57">_xlfn.IFS($B57="12-Month Smoothing", 'P&amp;L'!$E238*Drivers!K$113, $B57="10-Month Academic Calendar", 'P&amp;L'!$E238*Drivers!K$114, $B57="Quarterly Smoothing", 'P&amp;L'!$E238*Drivers!K$115,
     $B57="Two-Installment (front-loaded)", 'P&amp;L'!$E238*Drivers!K$116, $B57="Two-Installment (back-loaded)", 'P&amp;L'!$E238*Drivers!K$117,
     $B57="Year Start Lump Sum", 'P&amp;L'!$E238*Drivers!K$118,$B57="Expense Reimbursement", 'P&amp;L'!$E238*Drivers!K$120,
     $B57="Direct Monthly Input", 0)</f>
        <v>5280</v>
      </c>
      <c r="I57" s="428" cm="1">
        <f t="array" ref="I57">_xlfn.IFS($B57="12-Month Smoothing", 'P&amp;L'!$E238*Drivers!L$113, $B57="10-Month Academic Calendar", 'P&amp;L'!$E238*Drivers!L$114, $B57="Quarterly Smoothing", 'P&amp;L'!$E238*Drivers!L$115,
     $B57="Two-Installment (front-loaded)", 'P&amp;L'!$E238*Drivers!L$116, $B57="Two-Installment (back-loaded)", 'P&amp;L'!$E238*Drivers!L$117,
     $B57="Year Start Lump Sum", 'P&amp;L'!$E238*Drivers!L$118,$B57="Expense Reimbursement", 'P&amp;L'!$E238*Drivers!L$120,
     $B57="Direct Monthly Input", 0)</f>
        <v>5280</v>
      </c>
      <c r="J57" s="428" cm="1">
        <f t="array" ref="J57">_xlfn.IFS($B57="12-Month Smoothing", 'P&amp;L'!$E238*Drivers!M$113, $B57="10-Month Academic Calendar", 'P&amp;L'!$E238*Drivers!M$114, $B57="Quarterly Smoothing", 'P&amp;L'!$E238*Drivers!M$115,
     $B57="Two-Installment (front-loaded)", 'P&amp;L'!$E238*Drivers!M$116, $B57="Two-Installment (back-loaded)", 'P&amp;L'!$E238*Drivers!M$117,
     $B57="Year Start Lump Sum", 'P&amp;L'!$E238*Drivers!M$118,$B57="Expense Reimbursement", 'P&amp;L'!$E238*Drivers!M$120,
     $B57="Direct Monthly Input", 0)</f>
        <v>5280</v>
      </c>
      <c r="K57" s="428" cm="1">
        <f t="array" ref="K57">_xlfn.IFS($B57="12-Month Smoothing", 'P&amp;L'!$E238*Drivers!N$113, $B57="10-Month Academic Calendar", 'P&amp;L'!$E238*Drivers!N$114, $B57="Quarterly Smoothing", 'P&amp;L'!$E238*Drivers!N$115,
     $B57="Two-Installment (front-loaded)", 'P&amp;L'!$E238*Drivers!N$116, $B57="Two-Installment (back-loaded)", 'P&amp;L'!$E238*Drivers!N$117,
     $B57="Year Start Lump Sum", 'P&amp;L'!$E238*Drivers!N$118,$B57="Expense Reimbursement", 'P&amp;L'!$E238*Drivers!N$120,
     $B57="Direct Monthly Input", 0)</f>
        <v>5280</v>
      </c>
      <c r="L57" s="428" cm="1">
        <f t="array" ref="L57">_xlfn.IFS($B57="12-Month Smoothing", 'P&amp;L'!$E238*Drivers!O$113, $B57="10-Month Academic Calendar", 'P&amp;L'!$E238*Drivers!O$114, $B57="Quarterly Smoothing", 'P&amp;L'!$E238*Drivers!O$115,
     $B57="Two-Installment (front-loaded)", 'P&amp;L'!$E238*Drivers!O$116, $B57="Two-Installment (back-loaded)", 'P&amp;L'!$E238*Drivers!O$117,
     $B57="Year Start Lump Sum", 'P&amp;L'!$E238*Drivers!O$118,$B57="Expense Reimbursement", 'P&amp;L'!$E238*Drivers!O$120,
     $B57="Direct Monthly Input", 0)</f>
        <v>5280</v>
      </c>
      <c r="M57" s="428" cm="1">
        <f t="array" ref="M57">_xlfn.IFS($B57="12-Month Smoothing", 'P&amp;L'!$E238*Drivers!P$113, $B57="10-Month Academic Calendar", 'P&amp;L'!$E238*Drivers!P$114, $B57="Quarterly Smoothing", 'P&amp;L'!$E238*Drivers!P$115,
     $B57="Two-Installment (front-loaded)", 'P&amp;L'!$E238*Drivers!P$116, $B57="Two-Installment (back-loaded)", 'P&amp;L'!$E238*Drivers!P$117,
     $B57="Year Start Lump Sum", 'P&amp;L'!$E238*Drivers!P$118,$B57="Expense Reimbursement", 'P&amp;L'!$E238*Drivers!P$120,
     $B57="Direct Monthly Input", 0)</f>
        <v>5280</v>
      </c>
      <c r="N57" s="428" cm="1">
        <f t="array" ref="N57">_xlfn.IFS($B57="12-Month Smoothing", 'P&amp;L'!$E238*Drivers!Q$113, $B57="10-Month Academic Calendar", 'P&amp;L'!$E238*Drivers!Q$114, $B57="Quarterly Smoothing", 'P&amp;L'!$E238*Drivers!Q$115,
     $B57="Two-Installment (front-loaded)", 'P&amp;L'!$E238*Drivers!Q$116, $B57="Two-Installment (back-loaded)", 'P&amp;L'!$E238*Drivers!Q$117,
     $B57="Year Start Lump Sum", 'P&amp;L'!$E238*Drivers!Q$118,$B57="Expense Reimbursement", 'P&amp;L'!$E238*Drivers!Q$120,
     $B57="Direct Monthly Input", 0)</f>
        <v>0</v>
      </c>
      <c r="O57" s="847" cm="1">
        <f t="array" ref="O57">_xlfn.IFS($B57="12-Month Smoothing", 'P&amp;L'!$E238*Drivers!R$113, $B57="10-Month Academic Calendar", 'P&amp;L'!$E238*Drivers!R$114, $B57="Quarterly Smoothing", 'P&amp;L'!$E238*Drivers!R$115,
     $B57="Two-Installment (front-loaded)", 'P&amp;L'!$E238*Drivers!R$116, $B57="Two-Installment (back-loaded)", 'P&amp;L'!$E238*Drivers!R$117,
     $B57="Year Start Lump Sum", 'P&amp;L'!$E238*Drivers!R$118,$B57="Expense Reimbursement", 'P&amp;L'!$E238*Drivers!R$120,
     $B57="Direct Monthly Input", 0)</f>
        <v>0</v>
      </c>
      <c r="P57" s="130">
        <f t="shared" si="4"/>
        <v>52800</v>
      </c>
      <c r="Q57" s="730"/>
      <c r="R57" s="537"/>
    </row>
    <row r="58" spans="1:18" s="538" customFormat="1" ht="17" thickBot="1">
      <c r="A58" s="735"/>
      <c r="B58" s="419" t="s">
        <v>440</v>
      </c>
      <c r="C58" s="857" t="str">
        <f>'P&amp;L'!C239</f>
        <v>ALL OTHER Contracted Services</v>
      </c>
      <c r="D58" s="854" cm="1">
        <f t="array" ref="D58">_xlfn.IFS($B58="12-Month Smoothing", 'P&amp;L'!$E239*Drivers!G$113, $B58="10-Month Academic Calendar", 'P&amp;L'!$E239*Drivers!G$114, $B58="Quarterly Smoothing", 'P&amp;L'!$E239*Drivers!G$115,
     $B58="Two-Installment (front-loaded)", 'P&amp;L'!$E239*Drivers!G$116, $B58="Two-Installment (back-loaded)", 'P&amp;L'!$E239*Drivers!G$117,
     $B58="Year Start Lump Sum", 'P&amp;L'!$E239*Drivers!G$118,$B58="Expense Reimbursement", 'P&amp;L'!$E239*Drivers!G$120,
     $B58="Direct Monthly Input", 0)</f>
        <v>3600</v>
      </c>
      <c r="E58" s="428" cm="1">
        <f t="array" ref="E58">_xlfn.IFS($B58="12-Month Smoothing", 'P&amp;L'!$E239*Drivers!H$113, $B58="10-Month Academic Calendar", 'P&amp;L'!$E239*Drivers!H$114, $B58="Quarterly Smoothing", 'P&amp;L'!$E239*Drivers!H$115,
     $B58="Two-Installment (front-loaded)", 'P&amp;L'!$E239*Drivers!H$116, $B58="Two-Installment (back-loaded)", 'P&amp;L'!$E239*Drivers!H$117,
     $B58="Year Start Lump Sum", 'P&amp;L'!$E239*Drivers!H$118,$B58="Expense Reimbursement", 'P&amp;L'!$E239*Drivers!H$120,
     $B58="Direct Monthly Input", 0)</f>
        <v>3600</v>
      </c>
      <c r="F58" s="428" cm="1">
        <f t="array" ref="F58">_xlfn.IFS($B58="12-Month Smoothing", 'P&amp;L'!$E239*Drivers!I$113, $B58="10-Month Academic Calendar", 'P&amp;L'!$E239*Drivers!I$114, $B58="Quarterly Smoothing", 'P&amp;L'!$E239*Drivers!I$115,
     $B58="Two-Installment (front-loaded)", 'P&amp;L'!$E239*Drivers!I$116, $B58="Two-Installment (back-loaded)", 'P&amp;L'!$E239*Drivers!I$117,
     $B58="Year Start Lump Sum", 'P&amp;L'!$E239*Drivers!I$118,$B58="Expense Reimbursement", 'P&amp;L'!$E239*Drivers!I$120,
     $B58="Direct Monthly Input", 0)</f>
        <v>3600</v>
      </c>
      <c r="G58" s="428" cm="1">
        <f t="array" ref="G58">_xlfn.IFS($B58="12-Month Smoothing", 'P&amp;L'!$E239*Drivers!J$113, $B58="10-Month Academic Calendar", 'P&amp;L'!$E239*Drivers!J$114, $B58="Quarterly Smoothing", 'P&amp;L'!$E239*Drivers!J$115,
     $B58="Two-Installment (front-loaded)", 'P&amp;L'!$E239*Drivers!J$116, $B58="Two-Installment (back-loaded)", 'P&amp;L'!$E239*Drivers!J$117,
     $B58="Year Start Lump Sum", 'P&amp;L'!$E239*Drivers!J$118,$B58="Expense Reimbursement", 'P&amp;L'!$E239*Drivers!J$120,
     $B58="Direct Monthly Input", 0)</f>
        <v>3600</v>
      </c>
      <c r="H58" s="428" cm="1">
        <f t="array" ref="H58">_xlfn.IFS($B58="12-Month Smoothing", 'P&amp;L'!$E239*Drivers!K$113, $B58="10-Month Academic Calendar", 'P&amp;L'!$E239*Drivers!K$114, $B58="Quarterly Smoothing", 'P&amp;L'!$E239*Drivers!K$115,
     $B58="Two-Installment (front-loaded)", 'P&amp;L'!$E239*Drivers!K$116, $B58="Two-Installment (back-loaded)", 'P&amp;L'!$E239*Drivers!K$117,
     $B58="Year Start Lump Sum", 'P&amp;L'!$E239*Drivers!K$118,$B58="Expense Reimbursement", 'P&amp;L'!$E239*Drivers!K$120,
     $B58="Direct Monthly Input", 0)</f>
        <v>3600</v>
      </c>
      <c r="I58" s="428" cm="1">
        <f t="array" ref="I58">_xlfn.IFS($B58="12-Month Smoothing", 'P&amp;L'!$E239*Drivers!L$113, $B58="10-Month Academic Calendar", 'P&amp;L'!$E239*Drivers!L$114, $B58="Quarterly Smoothing", 'P&amp;L'!$E239*Drivers!L$115,
     $B58="Two-Installment (front-loaded)", 'P&amp;L'!$E239*Drivers!L$116, $B58="Two-Installment (back-loaded)", 'P&amp;L'!$E239*Drivers!L$117,
     $B58="Year Start Lump Sum", 'P&amp;L'!$E239*Drivers!L$118,$B58="Expense Reimbursement", 'P&amp;L'!$E239*Drivers!L$120,
     $B58="Direct Monthly Input", 0)</f>
        <v>3600</v>
      </c>
      <c r="J58" s="428" cm="1">
        <f t="array" ref="J58">_xlfn.IFS($B58="12-Month Smoothing", 'P&amp;L'!$E239*Drivers!M$113, $B58="10-Month Academic Calendar", 'P&amp;L'!$E239*Drivers!M$114, $B58="Quarterly Smoothing", 'P&amp;L'!$E239*Drivers!M$115,
     $B58="Two-Installment (front-loaded)", 'P&amp;L'!$E239*Drivers!M$116, $B58="Two-Installment (back-loaded)", 'P&amp;L'!$E239*Drivers!M$117,
     $B58="Year Start Lump Sum", 'P&amp;L'!$E239*Drivers!M$118,$B58="Expense Reimbursement", 'P&amp;L'!$E239*Drivers!M$120,
     $B58="Direct Monthly Input", 0)</f>
        <v>3600</v>
      </c>
      <c r="K58" s="428" cm="1">
        <f t="array" ref="K58">_xlfn.IFS($B58="12-Month Smoothing", 'P&amp;L'!$E239*Drivers!N$113, $B58="10-Month Academic Calendar", 'P&amp;L'!$E239*Drivers!N$114, $B58="Quarterly Smoothing", 'P&amp;L'!$E239*Drivers!N$115,
     $B58="Two-Installment (front-loaded)", 'P&amp;L'!$E239*Drivers!N$116, $B58="Two-Installment (back-loaded)", 'P&amp;L'!$E239*Drivers!N$117,
     $B58="Year Start Lump Sum", 'P&amp;L'!$E239*Drivers!N$118,$B58="Expense Reimbursement", 'P&amp;L'!$E239*Drivers!N$120,
     $B58="Direct Monthly Input", 0)</f>
        <v>3600</v>
      </c>
      <c r="L58" s="428" cm="1">
        <f t="array" ref="L58">_xlfn.IFS($B58="12-Month Smoothing", 'P&amp;L'!$E239*Drivers!O$113, $B58="10-Month Academic Calendar", 'P&amp;L'!$E239*Drivers!O$114, $B58="Quarterly Smoothing", 'P&amp;L'!$E239*Drivers!O$115,
     $B58="Two-Installment (front-loaded)", 'P&amp;L'!$E239*Drivers!O$116, $B58="Two-Installment (back-loaded)", 'P&amp;L'!$E239*Drivers!O$117,
     $B58="Year Start Lump Sum", 'P&amp;L'!$E239*Drivers!O$118,$B58="Expense Reimbursement", 'P&amp;L'!$E239*Drivers!O$120,
     $B58="Direct Monthly Input", 0)</f>
        <v>3600</v>
      </c>
      <c r="M58" s="428" cm="1">
        <f t="array" ref="M58">_xlfn.IFS($B58="12-Month Smoothing", 'P&amp;L'!$E239*Drivers!P$113, $B58="10-Month Academic Calendar", 'P&amp;L'!$E239*Drivers!P$114, $B58="Quarterly Smoothing", 'P&amp;L'!$E239*Drivers!P$115,
     $B58="Two-Installment (front-loaded)", 'P&amp;L'!$E239*Drivers!P$116, $B58="Two-Installment (back-loaded)", 'P&amp;L'!$E239*Drivers!P$117,
     $B58="Year Start Lump Sum", 'P&amp;L'!$E239*Drivers!P$118,$B58="Expense Reimbursement", 'P&amp;L'!$E239*Drivers!P$120,
     $B58="Direct Monthly Input", 0)</f>
        <v>3600</v>
      </c>
      <c r="N58" s="428" cm="1">
        <f t="array" ref="N58">_xlfn.IFS($B58="12-Month Smoothing", 'P&amp;L'!$E239*Drivers!Q$113, $B58="10-Month Academic Calendar", 'P&amp;L'!$E239*Drivers!Q$114, $B58="Quarterly Smoothing", 'P&amp;L'!$E239*Drivers!Q$115,
     $B58="Two-Installment (front-loaded)", 'P&amp;L'!$E239*Drivers!Q$116, $B58="Two-Installment (back-loaded)", 'P&amp;L'!$E239*Drivers!Q$117,
     $B58="Year Start Lump Sum", 'P&amp;L'!$E239*Drivers!Q$118,$B58="Expense Reimbursement", 'P&amp;L'!$E239*Drivers!Q$120,
     $B58="Direct Monthly Input", 0)</f>
        <v>0</v>
      </c>
      <c r="O58" s="847" cm="1">
        <f t="array" ref="O58">_xlfn.IFS($B58="12-Month Smoothing", 'P&amp;L'!$E239*Drivers!R$113, $B58="10-Month Academic Calendar", 'P&amp;L'!$E239*Drivers!R$114, $B58="Quarterly Smoothing", 'P&amp;L'!$E239*Drivers!R$115,
     $B58="Two-Installment (front-loaded)", 'P&amp;L'!$E239*Drivers!R$116, $B58="Two-Installment (back-loaded)", 'P&amp;L'!$E239*Drivers!R$117,
     $B58="Year Start Lump Sum", 'P&amp;L'!$E239*Drivers!R$118,$B58="Expense Reimbursement", 'P&amp;L'!$E239*Drivers!R$120,
     $B58="Direct Monthly Input", 0)</f>
        <v>0</v>
      </c>
      <c r="P58" s="130">
        <f t="shared" si="4"/>
        <v>36000</v>
      </c>
      <c r="Q58" s="730"/>
      <c r="R58" s="537"/>
    </row>
    <row r="59" spans="1:18" s="538" customFormat="1" ht="17" thickBot="1">
      <c r="A59" s="735"/>
      <c r="B59" s="419" t="s">
        <v>439</v>
      </c>
      <c r="C59" s="857" t="str">
        <f>'P&amp;L'!C240</f>
        <v>Board Expenses</v>
      </c>
      <c r="D59" s="854" cm="1">
        <f t="array" ref="D59">_xlfn.IFS($B59="12-Month Smoothing", 'P&amp;L'!$E240*Drivers!G$113, $B59="10-Month Academic Calendar", 'P&amp;L'!$E240*Drivers!G$114, $B59="Quarterly Smoothing", 'P&amp;L'!$E240*Drivers!G$115,
     $B59="Two-Installment (front-loaded)", 'P&amp;L'!$E240*Drivers!G$116, $B59="Two-Installment (back-loaded)", 'P&amp;L'!$E240*Drivers!G$117,
     $B59="Year Start Lump Sum", 'P&amp;L'!$E240*Drivers!G$118,$B59="Expense Reimbursement", 'P&amp;L'!$E240*Drivers!G$120,
     $B59="Direct Monthly Input", 0)</f>
        <v>1500</v>
      </c>
      <c r="E59" s="428" cm="1">
        <f t="array" ref="E59">_xlfn.IFS($B59="12-Month Smoothing", 'P&amp;L'!$E240*Drivers!H$113, $B59="10-Month Academic Calendar", 'P&amp;L'!$E240*Drivers!H$114, $B59="Quarterly Smoothing", 'P&amp;L'!$E240*Drivers!H$115,
     $B59="Two-Installment (front-loaded)", 'P&amp;L'!$E240*Drivers!H$116, $B59="Two-Installment (back-loaded)", 'P&amp;L'!$E240*Drivers!H$117,
     $B59="Year Start Lump Sum", 'P&amp;L'!$E240*Drivers!H$118,$B59="Expense Reimbursement", 'P&amp;L'!$E240*Drivers!H$120,
     $B59="Direct Monthly Input", 0)</f>
        <v>1500</v>
      </c>
      <c r="F59" s="428" cm="1">
        <f t="array" ref="F59">_xlfn.IFS($B59="12-Month Smoothing", 'P&amp;L'!$E240*Drivers!I$113, $B59="10-Month Academic Calendar", 'P&amp;L'!$E240*Drivers!I$114, $B59="Quarterly Smoothing", 'P&amp;L'!$E240*Drivers!I$115,
     $B59="Two-Installment (front-loaded)", 'P&amp;L'!$E240*Drivers!I$116, $B59="Two-Installment (back-loaded)", 'P&amp;L'!$E240*Drivers!I$117,
     $B59="Year Start Lump Sum", 'P&amp;L'!$E240*Drivers!I$118,$B59="Expense Reimbursement", 'P&amp;L'!$E240*Drivers!I$120,
     $B59="Direct Monthly Input", 0)</f>
        <v>1500</v>
      </c>
      <c r="G59" s="428" cm="1">
        <f t="array" ref="G59">_xlfn.IFS($B59="12-Month Smoothing", 'P&amp;L'!$E240*Drivers!J$113, $B59="10-Month Academic Calendar", 'P&amp;L'!$E240*Drivers!J$114, $B59="Quarterly Smoothing", 'P&amp;L'!$E240*Drivers!J$115,
     $B59="Two-Installment (front-loaded)", 'P&amp;L'!$E240*Drivers!J$116, $B59="Two-Installment (back-loaded)", 'P&amp;L'!$E240*Drivers!J$117,
     $B59="Year Start Lump Sum", 'P&amp;L'!$E240*Drivers!J$118,$B59="Expense Reimbursement", 'P&amp;L'!$E240*Drivers!J$120,
     $B59="Direct Monthly Input", 0)</f>
        <v>1500</v>
      </c>
      <c r="H59" s="428" cm="1">
        <f t="array" ref="H59">_xlfn.IFS($B59="12-Month Smoothing", 'P&amp;L'!$E240*Drivers!K$113, $B59="10-Month Academic Calendar", 'P&amp;L'!$E240*Drivers!K$114, $B59="Quarterly Smoothing", 'P&amp;L'!$E240*Drivers!K$115,
     $B59="Two-Installment (front-loaded)", 'P&amp;L'!$E240*Drivers!K$116, $B59="Two-Installment (back-loaded)", 'P&amp;L'!$E240*Drivers!K$117,
     $B59="Year Start Lump Sum", 'P&amp;L'!$E240*Drivers!K$118,$B59="Expense Reimbursement", 'P&amp;L'!$E240*Drivers!K$120,
     $B59="Direct Monthly Input", 0)</f>
        <v>1500</v>
      </c>
      <c r="I59" s="428" cm="1">
        <f t="array" ref="I59">_xlfn.IFS($B59="12-Month Smoothing", 'P&amp;L'!$E240*Drivers!L$113, $B59="10-Month Academic Calendar", 'P&amp;L'!$E240*Drivers!L$114, $B59="Quarterly Smoothing", 'P&amp;L'!$E240*Drivers!L$115,
     $B59="Two-Installment (front-loaded)", 'P&amp;L'!$E240*Drivers!L$116, $B59="Two-Installment (back-loaded)", 'P&amp;L'!$E240*Drivers!L$117,
     $B59="Year Start Lump Sum", 'P&amp;L'!$E240*Drivers!L$118,$B59="Expense Reimbursement", 'P&amp;L'!$E240*Drivers!L$120,
     $B59="Direct Monthly Input", 0)</f>
        <v>1500</v>
      </c>
      <c r="J59" s="428" cm="1">
        <f t="array" ref="J59">_xlfn.IFS($B59="12-Month Smoothing", 'P&amp;L'!$E240*Drivers!M$113, $B59="10-Month Academic Calendar", 'P&amp;L'!$E240*Drivers!M$114, $B59="Quarterly Smoothing", 'P&amp;L'!$E240*Drivers!M$115,
     $B59="Two-Installment (front-loaded)", 'P&amp;L'!$E240*Drivers!M$116, $B59="Two-Installment (back-loaded)", 'P&amp;L'!$E240*Drivers!M$117,
     $B59="Year Start Lump Sum", 'P&amp;L'!$E240*Drivers!M$118,$B59="Expense Reimbursement", 'P&amp;L'!$E240*Drivers!M$120,
     $B59="Direct Monthly Input", 0)</f>
        <v>1500</v>
      </c>
      <c r="K59" s="428" cm="1">
        <f t="array" ref="K59">_xlfn.IFS($B59="12-Month Smoothing", 'P&amp;L'!$E240*Drivers!N$113, $B59="10-Month Academic Calendar", 'P&amp;L'!$E240*Drivers!N$114, $B59="Quarterly Smoothing", 'P&amp;L'!$E240*Drivers!N$115,
     $B59="Two-Installment (front-loaded)", 'P&amp;L'!$E240*Drivers!N$116, $B59="Two-Installment (back-loaded)", 'P&amp;L'!$E240*Drivers!N$117,
     $B59="Year Start Lump Sum", 'P&amp;L'!$E240*Drivers!N$118,$B59="Expense Reimbursement", 'P&amp;L'!$E240*Drivers!N$120,
     $B59="Direct Monthly Input", 0)</f>
        <v>1500</v>
      </c>
      <c r="L59" s="428" cm="1">
        <f t="array" ref="L59">_xlfn.IFS($B59="12-Month Smoothing", 'P&amp;L'!$E240*Drivers!O$113, $B59="10-Month Academic Calendar", 'P&amp;L'!$E240*Drivers!O$114, $B59="Quarterly Smoothing", 'P&amp;L'!$E240*Drivers!O$115,
     $B59="Two-Installment (front-loaded)", 'P&amp;L'!$E240*Drivers!O$116, $B59="Two-Installment (back-loaded)", 'P&amp;L'!$E240*Drivers!O$117,
     $B59="Year Start Lump Sum", 'P&amp;L'!$E240*Drivers!O$118,$B59="Expense Reimbursement", 'P&amp;L'!$E240*Drivers!O$120,
     $B59="Direct Monthly Input", 0)</f>
        <v>1500</v>
      </c>
      <c r="M59" s="428" cm="1">
        <f t="array" ref="M59">_xlfn.IFS($B59="12-Month Smoothing", 'P&amp;L'!$E240*Drivers!P$113, $B59="10-Month Academic Calendar", 'P&amp;L'!$E240*Drivers!P$114, $B59="Quarterly Smoothing", 'P&amp;L'!$E240*Drivers!P$115,
     $B59="Two-Installment (front-loaded)", 'P&amp;L'!$E240*Drivers!P$116, $B59="Two-Installment (back-loaded)", 'P&amp;L'!$E240*Drivers!P$117,
     $B59="Year Start Lump Sum", 'P&amp;L'!$E240*Drivers!P$118,$B59="Expense Reimbursement", 'P&amp;L'!$E240*Drivers!P$120,
     $B59="Direct Monthly Input", 0)</f>
        <v>1500</v>
      </c>
      <c r="N59" s="428" cm="1">
        <f t="array" ref="N59">_xlfn.IFS($B59="12-Month Smoothing", 'P&amp;L'!$E240*Drivers!Q$113, $B59="10-Month Academic Calendar", 'P&amp;L'!$E240*Drivers!Q$114, $B59="Quarterly Smoothing", 'P&amp;L'!$E240*Drivers!Q$115,
     $B59="Two-Installment (front-loaded)", 'P&amp;L'!$E240*Drivers!Q$116, $B59="Two-Installment (back-loaded)", 'P&amp;L'!$E240*Drivers!Q$117,
     $B59="Year Start Lump Sum", 'P&amp;L'!$E240*Drivers!Q$118,$B59="Expense Reimbursement", 'P&amp;L'!$E240*Drivers!Q$120,
     $B59="Direct Monthly Input", 0)</f>
        <v>1500</v>
      </c>
      <c r="O59" s="847" cm="1">
        <f t="array" ref="O59">_xlfn.IFS($B59="12-Month Smoothing", 'P&amp;L'!$E240*Drivers!R$113, $B59="10-Month Academic Calendar", 'P&amp;L'!$E240*Drivers!R$114, $B59="Quarterly Smoothing", 'P&amp;L'!$E240*Drivers!R$115,
     $B59="Two-Installment (front-loaded)", 'P&amp;L'!$E240*Drivers!R$116, $B59="Two-Installment (back-loaded)", 'P&amp;L'!$E240*Drivers!R$117,
     $B59="Year Start Lump Sum", 'P&amp;L'!$E240*Drivers!R$118,$B59="Expense Reimbursement", 'P&amp;L'!$E240*Drivers!R$120,
     $B59="Direct Monthly Input", 0)</f>
        <v>1500</v>
      </c>
      <c r="P59" s="130">
        <f t="shared" si="4"/>
        <v>18000</v>
      </c>
      <c r="Q59" s="730"/>
      <c r="R59" s="537"/>
    </row>
    <row r="60" spans="1:18" s="538" customFormat="1" ht="17" thickBot="1">
      <c r="A60" s="735"/>
      <c r="B60" s="419" t="s">
        <v>439</v>
      </c>
      <c r="C60" s="857" t="str">
        <f>'P&amp;L'!C241</f>
        <v>Classroom/Teaching Supplies &amp; Materials</v>
      </c>
      <c r="D60" s="854" cm="1">
        <f t="array" ref="D60">_xlfn.IFS($B60="12-Month Smoothing", 'P&amp;L'!$E241*Drivers!G$113, $B60="10-Month Academic Calendar", 'P&amp;L'!$E241*Drivers!G$114, $B60="Quarterly Smoothing", 'P&amp;L'!$E241*Drivers!G$115,
     $B60="Two-Installment (front-loaded)", 'P&amp;L'!$E241*Drivers!G$116, $B60="Two-Installment (back-loaded)", 'P&amp;L'!$E241*Drivers!G$117,
     $B60="Year Start Lump Sum", 'P&amp;L'!$E241*Drivers!G$118,$B60="Expense Reimbursement", 'P&amp;L'!$E241*Drivers!G$120,
     $B60="Direct Monthly Input", 0)</f>
        <v>4200</v>
      </c>
      <c r="E60" s="428" cm="1">
        <f t="array" ref="E60">_xlfn.IFS($B60="12-Month Smoothing", 'P&amp;L'!$E241*Drivers!H$113, $B60="10-Month Academic Calendar", 'P&amp;L'!$E241*Drivers!H$114, $B60="Quarterly Smoothing", 'P&amp;L'!$E241*Drivers!H$115,
     $B60="Two-Installment (front-loaded)", 'P&amp;L'!$E241*Drivers!H$116, $B60="Two-Installment (back-loaded)", 'P&amp;L'!$E241*Drivers!H$117,
     $B60="Year Start Lump Sum", 'P&amp;L'!$E241*Drivers!H$118,$B60="Expense Reimbursement", 'P&amp;L'!$E241*Drivers!H$120,
     $B60="Direct Monthly Input", 0)</f>
        <v>4200</v>
      </c>
      <c r="F60" s="428" cm="1">
        <f t="array" ref="F60">_xlfn.IFS($B60="12-Month Smoothing", 'P&amp;L'!$E241*Drivers!I$113, $B60="10-Month Academic Calendar", 'P&amp;L'!$E241*Drivers!I$114, $B60="Quarterly Smoothing", 'P&amp;L'!$E241*Drivers!I$115,
     $B60="Two-Installment (front-loaded)", 'P&amp;L'!$E241*Drivers!I$116, $B60="Two-Installment (back-loaded)", 'P&amp;L'!$E241*Drivers!I$117,
     $B60="Year Start Lump Sum", 'P&amp;L'!$E241*Drivers!I$118,$B60="Expense Reimbursement", 'P&amp;L'!$E241*Drivers!I$120,
     $B60="Direct Monthly Input", 0)</f>
        <v>4200</v>
      </c>
      <c r="G60" s="428" cm="1">
        <f t="array" ref="G60">_xlfn.IFS($B60="12-Month Smoothing", 'P&amp;L'!$E241*Drivers!J$113, $B60="10-Month Academic Calendar", 'P&amp;L'!$E241*Drivers!J$114, $B60="Quarterly Smoothing", 'P&amp;L'!$E241*Drivers!J$115,
     $B60="Two-Installment (front-loaded)", 'P&amp;L'!$E241*Drivers!J$116, $B60="Two-Installment (back-loaded)", 'P&amp;L'!$E241*Drivers!J$117,
     $B60="Year Start Lump Sum", 'P&amp;L'!$E241*Drivers!J$118,$B60="Expense Reimbursement", 'P&amp;L'!$E241*Drivers!J$120,
     $B60="Direct Monthly Input", 0)</f>
        <v>4200</v>
      </c>
      <c r="H60" s="428" cm="1">
        <f t="array" ref="H60">_xlfn.IFS($B60="12-Month Smoothing", 'P&amp;L'!$E241*Drivers!K$113, $B60="10-Month Academic Calendar", 'P&amp;L'!$E241*Drivers!K$114, $B60="Quarterly Smoothing", 'P&amp;L'!$E241*Drivers!K$115,
     $B60="Two-Installment (front-loaded)", 'P&amp;L'!$E241*Drivers!K$116, $B60="Two-Installment (back-loaded)", 'P&amp;L'!$E241*Drivers!K$117,
     $B60="Year Start Lump Sum", 'P&amp;L'!$E241*Drivers!K$118,$B60="Expense Reimbursement", 'P&amp;L'!$E241*Drivers!K$120,
     $B60="Direct Monthly Input", 0)</f>
        <v>4200</v>
      </c>
      <c r="I60" s="428" cm="1">
        <f t="array" ref="I60">_xlfn.IFS($B60="12-Month Smoothing", 'P&amp;L'!$E241*Drivers!L$113, $B60="10-Month Academic Calendar", 'P&amp;L'!$E241*Drivers!L$114, $B60="Quarterly Smoothing", 'P&amp;L'!$E241*Drivers!L$115,
     $B60="Two-Installment (front-loaded)", 'P&amp;L'!$E241*Drivers!L$116, $B60="Two-Installment (back-loaded)", 'P&amp;L'!$E241*Drivers!L$117,
     $B60="Year Start Lump Sum", 'P&amp;L'!$E241*Drivers!L$118,$B60="Expense Reimbursement", 'P&amp;L'!$E241*Drivers!L$120,
     $B60="Direct Monthly Input", 0)</f>
        <v>4200</v>
      </c>
      <c r="J60" s="428" cm="1">
        <f t="array" ref="J60">_xlfn.IFS($B60="12-Month Smoothing", 'P&amp;L'!$E241*Drivers!M$113, $B60="10-Month Academic Calendar", 'P&amp;L'!$E241*Drivers!M$114, $B60="Quarterly Smoothing", 'P&amp;L'!$E241*Drivers!M$115,
     $B60="Two-Installment (front-loaded)", 'P&amp;L'!$E241*Drivers!M$116, $B60="Two-Installment (back-loaded)", 'P&amp;L'!$E241*Drivers!M$117,
     $B60="Year Start Lump Sum", 'P&amp;L'!$E241*Drivers!M$118,$B60="Expense Reimbursement", 'P&amp;L'!$E241*Drivers!M$120,
     $B60="Direct Monthly Input", 0)</f>
        <v>4200</v>
      </c>
      <c r="K60" s="428" cm="1">
        <f t="array" ref="K60">_xlfn.IFS($B60="12-Month Smoothing", 'P&amp;L'!$E241*Drivers!N$113, $B60="10-Month Academic Calendar", 'P&amp;L'!$E241*Drivers!N$114, $B60="Quarterly Smoothing", 'P&amp;L'!$E241*Drivers!N$115,
     $B60="Two-Installment (front-loaded)", 'P&amp;L'!$E241*Drivers!N$116, $B60="Two-Installment (back-loaded)", 'P&amp;L'!$E241*Drivers!N$117,
     $B60="Year Start Lump Sum", 'P&amp;L'!$E241*Drivers!N$118,$B60="Expense Reimbursement", 'P&amp;L'!$E241*Drivers!N$120,
     $B60="Direct Monthly Input", 0)</f>
        <v>4200</v>
      </c>
      <c r="L60" s="428" cm="1">
        <f t="array" ref="L60">_xlfn.IFS($B60="12-Month Smoothing", 'P&amp;L'!$E241*Drivers!O$113, $B60="10-Month Academic Calendar", 'P&amp;L'!$E241*Drivers!O$114, $B60="Quarterly Smoothing", 'P&amp;L'!$E241*Drivers!O$115,
     $B60="Two-Installment (front-loaded)", 'P&amp;L'!$E241*Drivers!O$116, $B60="Two-Installment (back-loaded)", 'P&amp;L'!$E241*Drivers!O$117,
     $B60="Year Start Lump Sum", 'P&amp;L'!$E241*Drivers!O$118,$B60="Expense Reimbursement", 'P&amp;L'!$E241*Drivers!O$120,
     $B60="Direct Monthly Input", 0)</f>
        <v>4200</v>
      </c>
      <c r="M60" s="428" cm="1">
        <f t="array" ref="M60">_xlfn.IFS($B60="12-Month Smoothing", 'P&amp;L'!$E241*Drivers!P$113, $B60="10-Month Academic Calendar", 'P&amp;L'!$E241*Drivers!P$114, $B60="Quarterly Smoothing", 'P&amp;L'!$E241*Drivers!P$115,
     $B60="Two-Installment (front-loaded)", 'P&amp;L'!$E241*Drivers!P$116, $B60="Two-Installment (back-loaded)", 'P&amp;L'!$E241*Drivers!P$117,
     $B60="Year Start Lump Sum", 'P&amp;L'!$E241*Drivers!P$118,$B60="Expense Reimbursement", 'P&amp;L'!$E241*Drivers!P$120,
     $B60="Direct Monthly Input", 0)</f>
        <v>4200</v>
      </c>
      <c r="N60" s="428" cm="1">
        <f t="array" ref="N60">_xlfn.IFS($B60="12-Month Smoothing", 'P&amp;L'!$E241*Drivers!Q$113, $B60="10-Month Academic Calendar", 'P&amp;L'!$E241*Drivers!Q$114, $B60="Quarterly Smoothing", 'P&amp;L'!$E241*Drivers!Q$115,
     $B60="Two-Installment (front-loaded)", 'P&amp;L'!$E241*Drivers!Q$116, $B60="Two-Installment (back-loaded)", 'P&amp;L'!$E241*Drivers!Q$117,
     $B60="Year Start Lump Sum", 'P&amp;L'!$E241*Drivers!Q$118,$B60="Expense Reimbursement", 'P&amp;L'!$E241*Drivers!Q$120,
     $B60="Direct Monthly Input", 0)</f>
        <v>4200</v>
      </c>
      <c r="O60" s="847" cm="1">
        <f t="array" ref="O60">_xlfn.IFS($B60="12-Month Smoothing", 'P&amp;L'!$E241*Drivers!R$113, $B60="10-Month Academic Calendar", 'P&amp;L'!$E241*Drivers!R$114, $B60="Quarterly Smoothing", 'P&amp;L'!$E241*Drivers!R$115,
     $B60="Two-Installment (front-loaded)", 'P&amp;L'!$E241*Drivers!R$116, $B60="Two-Installment (back-loaded)", 'P&amp;L'!$E241*Drivers!R$117,
     $B60="Year Start Lump Sum", 'P&amp;L'!$E241*Drivers!R$118,$B60="Expense Reimbursement", 'P&amp;L'!$E241*Drivers!R$120,
     $B60="Direct Monthly Input", 0)</f>
        <v>4200</v>
      </c>
      <c r="P60" s="130">
        <f t="shared" si="4"/>
        <v>50400</v>
      </c>
      <c r="Q60" s="730"/>
      <c r="R60" s="537"/>
    </row>
    <row r="61" spans="1:18" s="538" customFormat="1" ht="17" thickBot="1">
      <c r="A61" s="735"/>
      <c r="B61" s="419" t="s">
        <v>439</v>
      </c>
      <c r="C61" s="857" t="str">
        <f>'P&amp;L'!C242</f>
        <v>Special Ed Supplies &amp; Materials</v>
      </c>
      <c r="D61" s="854" cm="1">
        <f t="array" ref="D61">_xlfn.IFS($B61="12-Month Smoothing", 'P&amp;L'!$E242*Drivers!G$113, $B61="10-Month Academic Calendar", 'P&amp;L'!$E242*Drivers!G$114, $B61="Quarterly Smoothing", 'P&amp;L'!$E242*Drivers!G$115,
     $B61="Two-Installment (front-loaded)", 'P&amp;L'!$E242*Drivers!G$116, $B61="Two-Installment (back-loaded)", 'P&amp;L'!$E242*Drivers!G$117,
     $B61="Year Start Lump Sum", 'P&amp;L'!$E242*Drivers!G$118,$B61="Expense Reimbursement", 'P&amp;L'!$E242*Drivers!G$120,
     $B61="Direct Monthly Input", 0)</f>
        <v>2800</v>
      </c>
      <c r="E61" s="428" cm="1">
        <f t="array" ref="E61">_xlfn.IFS($B61="12-Month Smoothing", 'P&amp;L'!$E242*Drivers!H$113, $B61="10-Month Academic Calendar", 'P&amp;L'!$E242*Drivers!H$114, $B61="Quarterly Smoothing", 'P&amp;L'!$E242*Drivers!H$115,
     $B61="Two-Installment (front-loaded)", 'P&amp;L'!$E242*Drivers!H$116, $B61="Two-Installment (back-loaded)", 'P&amp;L'!$E242*Drivers!H$117,
     $B61="Year Start Lump Sum", 'P&amp;L'!$E242*Drivers!H$118,$B61="Expense Reimbursement", 'P&amp;L'!$E242*Drivers!H$120,
     $B61="Direct Monthly Input", 0)</f>
        <v>2800</v>
      </c>
      <c r="F61" s="428" cm="1">
        <f t="array" ref="F61">_xlfn.IFS($B61="12-Month Smoothing", 'P&amp;L'!$E242*Drivers!I$113, $B61="10-Month Academic Calendar", 'P&amp;L'!$E242*Drivers!I$114, $B61="Quarterly Smoothing", 'P&amp;L'!$E242*Drivers!I$115,
     $B61="Two-Installment (front-loaded)", 'P&amp;L'!$E242*Drivers!I$116, $B61="Two-Installment (back-loaded)", 'P&amp;L'!$E242*Drivers!I$117,
     $B61="Year Start Lump Sum", 'P&amp;L'!$E242*Drivers!I$118,$B61="Expense Reimbursement", 'P&amp;L'!$E242*Drivers!I$120,
     $B61="Direct Monthly Input", 0)</f>
        <v>2800</v>
      </c>
      <c r="G61" s="428" cm="1">
        <f t="array" ref="G61">_xlfn.IFS($B61="12-Month Smoothing", 'P&amp;L'!$E242*Drivers!J$113, $B61="10-Month Academic Calendar", 'P&amp;L'!$E242*Drivers!J$114, $B61="Quarterly Smoothing", 'P&amp;L'!$E242*Drivers!J$115,
     $B61="Two-Installment (front-loaded)", 'P&amp;L'!$E242*Drivers!J$116, $B61="Two-Installment (back-loaded)", 'P&amp;L'!$E242*Drivers!J$117,
     $B61="Year Start Lump Sum", 'P&amp;L'!$E242*Drivers!J$118,$B61="Expense Reimbursement", 'P&amp;L'!$E242*Drivers!J$120,
     $B61="Direct Monthly Input", 0)</f>
        <v>2800</v>
      </c>
      <c r="H61" s="428" cm="1">
        <f t="array" ref="H61">_xlfn.IFS($B61="12-Month Smoothing", 'P&amp;L'!$E242*Drivers!K$113, $B61="10-Month Academic Calendar", 'P&amp;L'!$E242*Drivers!K$114, $B61="Quarterly Smoothing", 'P&amp;L'!$E242*Drivers!K$115,
     $B61="Two-Installment (front-loaded)", 'P&amp;L'!$E242*Drivers!K$116, $B61="Two-Installment (back-loaded)", 'P&amp;L'!$E242*Drivers!K$117,
     $B61="Year Start Lump Sum", 'P&amp;L'!$E242*Drivers!K$118,$B61="Expense Reimbursement", 'P&amp;L'!$E242*Drivers!K$120,
     $B61="Direct Monthly Input", 0)</f>
        <v>2800</v>
      </c>
      <c r="I61" s="428" cm="1">
        <f t="array" ref="I61">_xlfn.IFS($B61="12-Month Smoothing", 'P&amp;L'!$E242*Drivers!L$113, $B61="10-Month Academic Calendar", 'P&amp;L'!$E242*Drivers!L$114, $B61="Quarterly Smoothing", 'P&amp;L'!$E242*Drivers!L$115,
     $B61="Two-Installment (front-loaded)", 'P&amp;L'!$E242*Drivers!L$116, $B61="Two-Installment (back-loaded)", 'P&amp;L'!$E242*Drivers!L$117,
     $B61="Year Start Lump Sum", 'P&amp;L'!$E242*Drivers!L$118,$B61="Expense Reimbursement", 'P&amp;L'!$E242*Drivers!L$120,
     $B61="Direct Monthly Input", 0)</f>
        <v>2800</v>
      </c>
      <c r="J61" s="428" cm="1">
        <f t="array" ref="J61">_xlfn.IFS($B61="12-Month Smoothing", 'P&amp;L'!$E242*Drivers!M$113, $B61="10-Month Academic Calendar", 'P&amp;L'!$E242*Drivers!M$114, $B61="Quarterly Smoothing", 'P&amp;L'!$E242*Drivers!M$115,
     $B61="Two-Installment (front-loaded)", 'P&amp;L'!$E242*Drivers!M$116, $B61="Two-Installment (back-loaded)", 'P&amp;L'!$E242*Drivers!M$117,
     $B61="Year Start Lump Sum", 'P&amp;L'!$E242*Drivers!M$118,$B61="Expense Reimbursement", 'P&amp;L'!$E242*Drivers!M$120,
     $B61="Direct Monthly Input", 0)</f>
        <v>2800</v>
      </c>
      <c r="K61" s="428" cm="1">
        <f t="array" ref="K61">_xlfn.IFS($B61="12-Month Smoothing", 'P&amp;L'!$E242*Drivers!N$113, $B61="10-Month Academic Calendar", 'P&amp;L'!$E242*Drivers!N$114, $B61="Quarterly Smoothing", 'P&amp;L'!$E242*Drivers!N$115,
     $B61="Two-Installment (front-loaded)", 'P&amp;L'!$E242*Drivers!N$116, $B61="Two-Installment (back-loaded)", 'P&amp;L'!$E242*Drivers!N$117,
     $B61="Year Start Lump Sum", 'P&amp;L'!$E242*Drivers!N$118,$B61="Expense Reimbursement", 'P&amp;L'!$E242*Drivers!N$120,
     $B61="Direct Monthly Input", 0)</f>
        <v>2800</v>
      </c>
      <c r="L61" s="428" cm="1">
        <f t="array" ref="L61">_xlfn.IFS($B61="12-Month Smoothing", 'P&amp;L'!$E242*Drivers!O$113, $B61="10-Month Academic Calendar", 'P&amp;L'!$E242*Drivers!O$114, $B61="Quarterly Smoothing", 'P&amp;L'!$E242*Drivers!O$115,
     $B61="Two-Installment (front-loaded)", 'P&amp;L'!$E242*Drivers!O$116, $B61="Two-Installment (back-loaded)", 'P&amp;L'!$E242*Drivers!O$117,
     $B61="Year Start Lump Sum", 'P&amp;L'!$E242*Drivers!O$118,$B61="Expense Reimbursement", 'P&amp;L'!$E242*Drivers!O$120,
     $B61="Direct Monthly Input", 0)</f>
        <v>2800</v>
      </c>
      <c r="M61" s="428" cm="1">
        <f t="array" ref="M61">_xlfn.IFS($B61="12-Month Smoothing", 'P&amp;L'!$E242*Drivers!P$113, $B61="10-Month Academic Calendar", 'P&amp;L'!$E242*Drivers!P$114, $B61="Quarterly Smoothing", 'P&amp;L'!$E242*Drivers!P$115,
     $B61="Two-Installment (front-loaded)", 'P&amp;L'!$E242*Drivers!P$116, $B61="Two-Installment (back-loaded)", 'P&amp;L'!$E242*Drivers!P$117,
     $B61="Year Start Lump Sum", 'P&amp;L'!$E242*Drivers!P$118,$B61="Expense Reimbursement", 'P&amp;L'!$E242*Drivers!P$120,
     $B61="Direct Monthly Input", 0)</f>
        <v>2800</v>
      </c>
      <c r="N61" s="428" cm="1">
        <f t="array" ref="N61">_xlfn.IFS($B61="12-Month Smoothing", 'P&amp;L'!$E242*Drivers!Q$113, $B61="10-Month Academic Calendar", 'P&amp;L'!$E242*Drivers!Q$114, $B61="Quarterly Smoothing", 'P&amp;L'!$E242*Drivers!Q$115,
     $B61="Two-Installment (front-loaded)", 'P&amp;L'!$E242*Drivers!Q$116, $B61="Two-Installment (back-loaded)", 'P&amp;L'!$E242*Drivers!Q$117,
     $B61="Year Start Lump Sum", 'P&amp;L'!$E242*Drivers!Q$118,$B61="Expense Reimbursement", 'P&amp;L'!$E242*Drivers!Q$120,
     $B61="Direct Monthly Input", 0)</f>
        <v>2800</v>
      </c>
      <c r="O61" s="847" cm="1">
        <f t="array" ref="O61">_xlfn.IFS($B61="12-Month Smoothing", 'P&amp;L'!$E242*Drivers!R$113, $B61="10-Month Academic Calendar", 'P&amp;L'!$E242*Drivers!R$114, $B61="Quarterly Smoothing", 'P&amp;L'!$E242*Drivers!R$115,
     $B61="Two-Installment (front-loaded)", 'P&amp;L'!$E242*Drivers!R$116, $B61="Two-Installment (back-loaded)", 'P&amp;L'!$E242*Drivers!R$117,
     $B61="Year Start Lump Sum", 'P&amp;L'!$E242*Drivers!R$118,$B61="Expense Reimbursement", 'P&amp;L'!$E242*Drivers!R$120,
     $B61="Direct Monthly Input", 0)</f>
        <v>2800</v>
      </c>
      <c r="P61" s="130">
        <f t="shared" si="4"/>
        <v>33600</v>
      </c>
      <c r="Q61" s="730"/>
      <c r="R61" s="537"/>
    </row>
    <row r="62" spans="1:18" s="538" customFormat="1" ht="17" thickBot="1">
      <c r="A62" s="735"/>
      <c r="B62" s="419" t="s">
        <v>439</v>
      </c>
      <c r="C62" s="857" t="str">
        <f>'P&amp;L'!C243</f>
        <v>Textbooks/Workbooks</v>
      </c>
      <c r="D62" s="854" cm="1">
        <f t="array" ref="D62">_xlfn.IFS($B62="12-Month Smoothing", 'P&amp;L'!$E243*Drivers!G$113, $B62="10-Month Academic Calendar", 'P&amp;L'!$E243*Drivers!G$114, $B62="Quarterly Smoothing", 'P&amp;L'!$E243*Drivers!G$115,
     $B62="Two-Installment (front-loaded)", 'P&amp;L'!$E243*Drivers!G$116, $B62="Two-Installment (back-loaded)", 'P&amp;L'!$E243*Drivers!G$117,
     $B62="Year Start Lump Sum", 'P&amp;L'!$E243*Drivers!G$118,$B62="Expense Reimbursement", 'P&amp;L'!$E243*Drivers!G$120,
     $B62="Direct Monthly Input", 0)</f>
        <v>5600</v>
      </c>
      <c r="E62" s="428" cm="1">
        <f t="array" ref="E62">_xlfn.IFS($B62="12-Month Smoothing", 'P&amp;L'!$E243*Drivers!H$113, $B62="10-Month Academic Calendar", 'P&amp;L'!$E243*Drivers!H$114, $B62="Quarterly Smoothing", 'P&amp;L'!$E243*Drivers!H$115,
     $B62="Two-Installment (front-loaded)", 'P&amp;L'!$E243*Drivers!H$116, $B62="Two-Installment (back-loaded)", 'P&amp;L'!$E243*Drivers!H$117,
     $B62="Year Start Lump Sum", 'P&amp;L'!$E243*Drivers!H$118,$B62="Expense Reimbursement", 'P&amp;L'!$E243*Drivers!H$120,
     $B62="Direct Monthly Input", 0)</f>
        <v>5600</v>
      </c>
      <c r="F62" s="428" cm="1">
        <f t="array" ref="F62">_xlfn.IFS($B62="12-Month Smoothing", 'P&amp;L'!$E243*Drivers!I$113, $B62="10-Month Academic Calendar", 'P&amp;L'!$E243*Drivers!I$114, $B62="Quarterly Smoothing", 'P&amp;L'!$E243*Drivers!I$115,
     $B62="Two-Installment (front-loaded)", 'P&amp;L'!$E243*Drivers!I$116, $B62="Two-Installment (back-loaded)", 'P&amp;L'!$E243*Drivers!I$117,
     $B62="Year Start Lump Sum", 'P&amp;L'!$E243*Drivers!I$118,$B62="Expense Reimbursement", 'P&amp;L'!$E243*Drivers!I$120,
     $B62="Direct Monthly Input", 0)</f>
        <v>5600</v>
      </c>
      <c r="G62" s="428" cm="1">
        <f t="array" ref="G62">_xlfn.IFS($B62="12-Month Smoothing", 'P&amp;L'!$E243*Drivers!J$113, $B62="10-Month Academic Calendar", 'P&amp;L'!$E243*Drivers!J$114, $B62="Quarterly Smoothing", 'P&amp;L'!$E243*Drivers!J$115,
     $B62="Two-Installment (front-loaded)", 'P&amp;L'!$E243*Drivers!J$116, $B62="Two-Installment (back-loaded)", 'P&amp;L'!$E243*Drivers!J$117,
     $B62="Year Start Lump Sum", 'P&amp;L'!$E243*Drivers!J$118,$B62="Expense Reimbursement", 'P&amp;L'!$E243*Drivers!J$120,
     $B62="Direct Monthly Input", 0)</f>
        <v>5600</v>
      </c>
      <c r="H62" s="428" cm="1">
        <f t="array" ref="H62">_xlfn.IFS($B62="12-Month Smoothing", 'P&amp;L'!$E243*Drivers!K$113, $B62="10-Month Academic Calendar", 'P&amp;L'!$E243*Drivers!K$114, $B62="Quarterly Smoothing", 'P&amp;L'!$E243*Drivers!K$115,
     $B62="Two-Installment (front-loaded)", 'P&amp;L'!$E243*Drivers!K$116, $B62="Two-Installment (back-loaded)", 'P&amp;L'!$E243*Drivers!K$117,
     $B62="Year Start Lump Sum", 'P&amp;L'!$E243*Drivers!K$118,$B62="Expense Reimbursement", 'P&amp;L'!$E243*Drivers!K$120,
     $B62="Direct Monthly Input", 0)</f>
        <v>5600</v>
      </c>
      <c r="I62" s="428" cm="1">
        <f t="array" ref="I62">_xlfn.IFS($B62="12-Month Smoothing", 'P&amp;L'!$E243*Drivers!L$113, $B62="10-Month Academic Calendar", 'P&amp;L'!$E243*Drivers!L$114, $B62="Quarterly Smoothing", 'P&amp;L'!$E243*Drivers!L$115,
     $B62="Two-Installment (front-loaded)", 'P&amp;L'!$E243*Drivers!L$116, $B62="Two-Installment (back-loaded)", 'P&amp;L'!$E243*Drivers!L$117,
     $B62="Year Start Lump Sum", 'P&amp;L'!$E243*Drivers!L$118,$B62="Expense Reimbursement", 'P&amp;L'!$E243*Drivers!L$120,
     $B62="Direct Monthly Input", 0)</f>
        <v>5600</v>
      </c>
      <c r="J62" s="428" cm="1">
        <f t="array" ref="J62">_xlfn.IFS($B62="12-Month Smoothing", 'P&amp;L'!$E243*Drivers!M$113, $B62="10-Month Academic Calendar", 'P&amp;L'!$E243*Drivers!M$114, $B62="Quarterly Smoothing", 'P&amp;L'!$E243*Drivers!M$115,
     $B62="Two-Installment (front-loaded)", 'P&amp;L'!$E243*Drivers!M$116, $B62="Two-Installment (back-loaded)", 'P&amp;L'!$E243*Drivers!M$117,
     $B62="Year Start Lump Sum", 'P&amp;L'!$E243*Drivers!M$118,$B62="Expense Reimbursement", 'P&amp;L'!$E243*Drivers!M$120,
     $B62="Direct Monthly Input", 0)</f>
        <v>5600</v>
      </c>
      <c r="K62" s="428" cm="1">
        <f t="array" ref="K62">_xlfn.IFS($B62="12-Month Smoothing", 'P&amp;L'!$E243*Drivers!N$113, $B62="10-Month Academic Calendar", 'P&amp;L'!$E243*Drivers!N$114, $B62="Quarterly Smoothing", 'P&amp;L'!$E243*Drivers!N$115,
     $B62="Two-Installment (front-loaded)", 'P&amp;L'!$E243*Drivers!N$116, $B62="Two-Installment (back-loaded)", 'P&amp;L'!$E243*Drivers!N$117,
     $B62="Year Start Lump Sum", 'P&amp;L'!$E243*Drivers!N$118,$B62="Expense Reimbursement", 'P&amp;L'!$E243*Drivers!N$120,
     $B62="Direct Monthly Input", 0)</f>
        <v>5600</v>
      </c>
      <c r="L62" s="428" cm="1">
        <f t="array" ref="L62">_xlfn.IFS($B62="12-Month Smoothing", 'P&amp;L'!$E243*Drivers!O$113, $B62="10-Month Academic Calendar", 'P&amp;L'!$E243*Drivers!O$114, $B62="Quarterly Smoothing", 'P&amp;L'!$E243*Drivers!O$115,
     $B62="Two-Installment (front-loaded)", 'P&amp;L'!$E243*Drivers!O$116, $B62="Two-Installment (back-loaded)", 'P&amp;L'!$E243*Drivers!O$117,
     $B62="Year Start Lump Sum", 'P&amp;L'!$E243*Drivers!O$118,$B62="Expense Reimbursement", 'P&amp;L'!$E243*Drivers!O$120,
     $B62="Direct Monthly Input", 0)</f>
        <v>5600</v>
      </c>
      <c r="M62" s="428" cm="1">
        <f t="array" ref="M62">_xlfn.IFS($B62="12-Month Smoothing", 'P&amp;L'!$E243*Drivers!P$113, $B62="10-Month Academic Calendar", 'P&amp;L'!$E243*Drivers!P$114, $B62="Quarterly Smoothing", 'P&amp;L'!$E243*Drivers!P$115,
     $B62="Two-Installment (front-loaded)", 'P&amp;L'!$E243*Drivers!P$116, $B62="Two-Installment (back-loaded)", 'P&amp;L'!$E243*Drivers!P$117,
     $B62="Year Start Lump Sum", 'P&amp;L'!$E243*Drivers!P$118,$B62="Expense Reimbursement", 'P&amp;L'!$E243*Drivers!P$120,
     $B62="Direct Monthly Input", 0)</f>
        <v>5600</v>
      </c>
      <c r="N62" s="428" cm="1">
        <f t="array" ref="N62">_xlfn.IFS($B62="12-Month Smoothing", 'P&amp;L'!$E243*Drivers!Q$113, $B62="10-Month Academic Calendar", 'P&amp;L'!$E243*Drivers!Q$114, $B62="Quarterly Smoothing", 'P&amp;L'!$E243*Drivers!Q$115,
     $B62="Two-Installment (front-loaded)", 'P&amp;L'!$E243*Drivers!Q$116, $B62="Two-Installment (back-loaded)", 'P&amp;L'!$E243*Drivers!Q$117,
     $B62="Year Start Lump Sum", 'P&amp;L'!$E243*Drivers!Q$118,$B62="Expense Reimbursement", 'P&amp;L'!$E243*Drivers!Q$120,
     $B62="Direct Monthly Input", 0)</f>
        <v>5600</v>
      </c>
      <c r="O62" s="847" cm="1">
        <f t="array" ref="O62">_xlfn.IFS($B62="12-Month Smoothing", 'P&amp;L'!$E243*Drivers!R$113, $B62="10-Month Academic Calendar", 'P&amp;L'!$E243*Drivers!R$114, $B62="Quarterly Smoothing", 'P&amp;L'!$E243*Drivers!R$115,
     $B62="Two-Installment (front-loaded)", 'P&amp;L'!$E243*Drivers!R$116, $B62="Two-Installment (back-loaded)", 'P&amp;L'!$E243*Drivers!R$117,
     $B62="Year Start Lump Sum", 'P&amp;L'!$E243*Drivers!R$118,$B62="Expense Reimbursement", 'P&amp;L'!$E243*Drivers!R$120,
     $B62="Direct Monthly Input", 0)</f>
        <v>5600</v>
      </c>
      <c r="P62" s="130">
        <f t="shared" si="4"/>
        <v>67200</v>
      </c>
      <c r="Q62" s="730"/>
      <c r="R62" s="537"/>
    </row>
    <row r="63" spans="1:18" s="538" customFormat="1" ht="17" thickBot="1">
      <c r="A63" s="735"/>
      <c r="B63" s="419" t="s">
        <v>439</v>
      </c>
      <c r="C63" s="857" t="str">
        <f>'P&amp;L'!C244</f>
        <v>Supplies &amp; Materials Other</v>
      </c>
      <c r="D63" s="854" cm="1">
        <f t="array" ref="D63">_xlfn.IFS($B63="12-Month Smoothing", 'P&amp;L'!$E244*Drivers!G$113, $B63="10-Month Academic Calendar", 'P&amp;L'!$E244*Drivers!G$114, $B63="Quarterly Smoothing", 'P&amp;L'!$E244*Drivers!G$115,
     $B63="Two-Installment (front-loaded)", 'P&amp;L'!$E244*Drivers!G$116, $B63="Two-Installment (back-loaded)", 'P&amp;L'!$E244*Drivers!G$117,
     $B63="Year Start Lump Sum", 'P&amp;L'!$E244*Drivers!G$118,$B63="Expense Reimbursement", 'P&amp;L'!$E244*Drivers!G$120,
     $B63="Direct Monthly Input", 0)</f>
        <v>1600</v>
      </c>
      <c r="E63" s="428" cm="1">
        <f t="array" ref="E63">_xlfn.IFS($B63="12-Month Smoothing", 'P&amp;L'!$E244*Drivers!H$113, $B63="10-Month Academic Calendar", 'P&amp;L'!$E244*Drivers!H$114, $B63="Quarterly Smoothing", 'P&amp;L'!$E244*Drivers!H$115,
     $B63="Two-Installment (front-loaded)", 'P&amp;L'!$E244*Drivers!H$116, $B63="Two-Installment (back-loaded)", 'P&amp;L'!$E244*Drivers!H$117,
     $B63="Year Start Lump Sum", 'P&amp;L'!$E244*Drivers!H$118,$B63="Expense Reimbursement", 'P&amp;L'!$E244*Drivers!H$120,
     $B63="Direct Monthly Input", 0)</f>
        <v>1600</v>
      </c>
      <c r="F63" s="428" cm="1">
        <f t="array" ref="F63">_xlfn.IFS($B63="12-Month Smoothing", 'P&amp;L'!$E244*Drivers!I$113, $B63="10-Month Academic Calendar", 'P&amp;L'!$E244*Drivers!I$114, $B63="Quarterly Smoothing", 'P&amp;L'!$E244*Drivers!I$115,
     $B63="Two-Installment (front-loaded)", 'P&amp;L'!$E244*Drivers!I$116, $B63="Two-Installment (back-loaded)", 'P&amp;L'!$E244*Drivers!I$117,
     $B63="Year Start Lump Sum", 'P&amp;L'!$E244*Drivers!I$118,$B63="Expense Reimbursement", 'P&amp;L'!$E244*Drivers!I$120,
     $B63="Direct Monthly Input", 0)</f>
        <v>1600</v>
      </c>
      <c r="G63" s="428" cm="1">
        <f t="array" ref="G63">_xlfn.IFS($B63="12-Month Smoothing", 'P&amp;L'!$E244*Drivers!J$113, $B63="10-Month Academic Calendar", 'P&amp;L'!$E244*Drivers!J$114, $B63="Quarterly Smoothing", 'P&amp;L'!$E244*Drivers!J$115,
     $B63="Two-Installment (front-loaded)", 'P&amp;L'!$E244*Drivers!J$116, $B63="Two-Installment (back-loaded)", 'P&amp;L'!$E244*Drivers!J$117,
     $B63="Year Start Lump Sum", 'P&amp;L'!$E244*Drivers!J$118,$B63="Expense Reimbursement", 'P&amp;L'!$E244*Drivers!J$120,
     $B63="Direct Monthly Input", 0)</f>
        <v>1600</v>
      </c>
      <c r="H63" s="428" cm="1">
        <f t="array" ref="H63">_xlfn.IFS($B63="12-Month Smoothing", 'P&amp;L'!$E244*Drivers!K$113, $B63="10-Month Academic Calendar", 'P&amp;L'!$E244*Drivers!K$114, $B63="Quarterly Smoothing", 'P&amp;L'!$E244*Drivers!K$115,
     $B63="Two-Installment (front-loaded)", 'P&amp;L'!$E244*Drivers!K$116, $B63="Two-Installment (back-loaded)", 'P&amp;L'!$E244*Drivers!K$117,
     $B63="Year Start Lump Sum", 'P&amp;L'!$E244*Drivers!K$118,$B63="Expense Reimbursement", 'P&amp;L'!$E244*Drivers!K$120,
     $B63="Direct Monthly Input", 0)</f>
        <v>1600</v>
      </c>
      <c r="I63" s="428" cm="1">
        <f t="array" ref="I63">_xlfn.IFS($B63="12-Month Smoothing", 'P&amp;L'!$E244*Drivers!L$113, $B63="10-Month Academic Calendar", 'P&amp;L'!$E244*Drivers!L$114, $B63="Quarterly Smoothing", 'P&amp;L'!$E244*Drivers!L$115,
     $B63="Two-Installment (front-loaded)", 'P&amp;L'!$E244*Drivers!L$116, $B63="Two-Installment (back-loaded)", 'P&amp;L'!$E244*Drivers!L$117,
     $B63="Year Start Lump Sum", 'P&amp;L'!$E244*Drivers!L$118,$B63="Expense Reimbursement", 'P&amp;L'!$E244*Drivers!L$120,
     $B63="Direct Monthly Input", 0)</f>
        <v>1600</v>
      </c>
      <c r="J63" s="428" cm="1">
        <f t="array" ref="J63">_xlfn.IFS($B63="12-Month Smoothing", 'P&amp;L'!$E244*Drivers!M$113, $B63="10-Month Academic Calendar", 'P&amp;L'!$E244*Drivers!M$114, $B63="Quarterly Smoothing", 'P&amp;L'!$E244*Drivers!M$115,
     $B63="Two-Installment (front-loaded)", 'P&amp;L'!$E244*Drivers!M$116, $B63="Two-Installment (back-loaded)", 'P&amp;L'!$E244*Drivers!M$117,
     $B63="Year Start Lump Sum", 'P&amp;L'!$E244*Drivers!M$118,$B63="Expense Reimbursement", 'P&amp;L'!$E244*Drivers!M$120,
     $B63="Direct Monthly Input", 0)</f>
        <v>1600</v>
      </c>
      <c r="K63" s="428" cm="1">
        <f t="array" ref="K63">_xlfn.IFS($B63="12-Month Smoothing", 'P&amp;L'!$E244*Drivers!N$113, $B63="10-Month Academic Calendar", 'P&amp;L'!$E244*Drivers!N$114, $B63="Quarterly Smoothing", 'P&amp;L'!$E244*Drivers!N$115,
     $B63="Two-Installment (front-loaded)", 'P&amp;L'!$E244*Drivers!N$116, $B63="Two-Installment (back-loaded)", 'P&amp;L'!$E244*Drivers!N$117,
     $B63="Year Start Lump Sum", 'P&amp;L'!$E244*Drivers!N$118,$B63="Expense Reimbursement", 'P&amp;L'!$E244*Drivers!N$120,
     $B63="Direct Monthly Input", 0)</f>
        <v>1600</v>
      </c>
      <c r="L63" s="428" cm="1">
        <f t="array" ref="L63">_xlfn.IFS($B63="12-Month Smoothing", 'P&amp;L'!$E244*Drivers!O$113, $B63="10-Month Academic Calendar", 'P&amp;L'!$E244*Drivers!O$114, $B63="Quarterly Smoothing", 'P&amp;L'!$E244*Drivers!O$115,
     $B63="Two-Installment (front-loaded)", 'P&amp;L'!$E244*Drivers!O$116, $B63="Two-Installment (back-loaded)", 'P&amp;L'!$E244*Drivers!O$117,
     $B63="Year Start Lump Sum", 'P&amp;L'!$E244*Drivers!O$118,$B63="Expense Reimbursement", 'P&amp;L'!$E244*Drivers!O$120,
     $B63="Direct Monthly Input", 0)</f>
        <v>1600</v>
      </c>
      <c r="M63" s="428" cm="1">
        <f t="array" ref="M63">_xlfn.IFS($B63="12-Month Smoothing", 'P&amp;L'!$E244*Drivers!P$113, $B63="10-Month Academic Calendar", 'P&amp;L'!$E244*Drivers!P$114, $B63="Quarterly Smoothing", 'P&amp;L'!$E244*Drivers!P$115,
     $B63="Two-Installment (front-loaded)", 'P&amp;L'!$E244*Drivers!P$116, $B63="Two-Installment (back-loaded)", 'P&amp;L'!$E244*Drivers!P$117,
     $B63="Year Start Lump Sum", 'P&amp;L'!$E244*Drivers!P$118,$B63="Expense Reimbursement", 'P&amp;L'!$E244*Drivers!P$120,
     $B63="Direct Monthly Input", 0)</f>
        <v>1600</v>
      </c>
      <c r="N63" s="428" cm="1">
        <f t="array" ref="N63">_xlfn.IFS($B63="12-Month Smoothing", 'P&amp;L'!$E244*Drivers!Q$113, $B63="10-Month Academic Calendar", 'P&amp;L'!$E244*Drivers!Q$114, $B63="Quarterly Smoothing", 'P&amp;L'!$E244*Drivers!Q$115,
     $B63="Two-Installment (front-loaded)", 'P&amp;L'!$E244*Drivers!Q$116, $B63="Two-Installment (back-loaded)", 'P&amp;L'!$E244*Drivers!Q$117,
     $B63="Year Start Lump Sum", 'P&amp;L'!$E244*Drivers!Q$118,$B63="Expense Reimbursement", 'P&amp;L'!$E244*Drivers!Q$120,
     $B63="Direct Monthly Input", 0)</f>
        <v>1600</v>
      </c>
      <c r="O63" s="847" cm="1">
        <f t="array" ref="O63">_xlfn.IFS($B63="12-Month Smoothing", 'P&amp;L'!$E244*Drivers!R$113, $B63="10-Month Academic Calendar", 'P&amp;L'!$E244*Drivers!R$114, $B63="Quarterly Smoothing", 'P&amp;L'!$E244*Drivers!R$115,
     $B63="Two-Installment (front-loaded)", 'P&amp;L'!$E244*Drivers!R$116, $B63="Two-Installment (back-loaded)", 'P&amp;L'!$E244*Drivers!R$117,
     $B63="Year Start Lump Sum", 'P&amp;L'!$E244*Drivers!R$118,$B63="Expense Reimbursement", 'P&amp;L'!$E244*Drivers!R$120,
     $B63="Direct Monthly Input", 0)</f>
        <v>1600</v>
      </c>
      <c r="P63" s="130">
        <f t="shared" si="4"/>
        <v>19200</v>
      </c>
      <c r="Q63" s="730"/>
      <c r="R63" s="537"/>
    </row>
    <row r="64" spans="1:18" s="538" customFormat="1" ht="17" thickBot="1">
      <c r="A64" s="735"/>
      <c r="B64" s="419" t="s">
        <v>439</v>
      </c>
      <c r="C64" s="857" t="str">
        <f>'P&amp;L'!C245</f>
        <v>School Operations Equipment/Furniture</v>
      </c>
      <c r="D64" s="854" cm="1">
        <f t="array" ref="D64">_xlfn.IFS($B64="12-Month Smoothing", 'P&amp;L'!$E245*Drivers!G$113, $B64="10-Month Academic Calendar", 'P&amp;L'!$E245*Drivers!G$114, $B64="Quarterly Smoothing", 'P&amp;L'!$E245*Drivers!G$115,
     $B64="Two-Installment (front-loaded)", 'P&amp;L'!$E245*Drivers!G$116, $B64="Two-Installment (back-loaded)", 'P&amp;L'!$E245*Drivers!G$117,
     $B64="Year Start Lump Sum", 'P&amp;L'!$E245*Drivers!G$118,$B64="Expense Reimbursement", 'P&amp;L'!$E245*Drivers!G$120,
     $B64="Direct Monthly Input", 0)</f>
        <v>4400</v>
      </c>
      <c r="E64" s="428" cm="1">
        <f t="array" ref="E64">_xlfn.IFS($B64="12-Month Smoothing", 'P&amp;L'!$E245*Drivers!H$113, $B64="10-Month Academic Calendar", 'P&amp;L'!$E245*Drivers!H$114, $B64="Quarterly Smoothing", 'P&amp;L'!$E245*Drivers!H$115,
     $B64="Two-Installment (front-loaded)", 'P&amp;L'!$E245*Drivers!H$116, $B64="Two-Installment (back-loaded)", 'P&amp;L'!$E245*Drivers!H$117,
     $B64="Year Start Lump Sum", 'P&amp;L'!$E245*Drivers!H$118,$B64="Expense Reimbursement", 'P&amp;L'!$E245*Drivers!H$120,
     $B64="Direct Monthly Input", 0)</f>
        <v>4400</v>
      </c>
      <c r="F64" s="428" cm="1">
        <f t="array" ref="F64">_xlfn.IFS($B64="12-Month Smoothing", 'P&amp;L'!$E245*Drivers!I$113, $B64="10-Month Academic Calendar", 'P&amp;L'!$E245*Drivers!I$114, $B64="Quarterly Smoothing", 'P&amp;L'!$E245*Drivers!I$115,
     $B64="Two-Installment (front-loaded)", 'P&amp;L'!$E245*Drivers!I$116, $B64="Two-Installment (back-loaded)", 'P&amp;L'!$E245*Drivers!I$117,
     $B64="Year Start Lump Sum", 'P&amp;L'!$E245*Drivers!I$118,$B64="Expense Reimbursement", 'P&amp;L'!$E245*Drivers!I$120,
     $B64="Direct Monthly Input", 0)</f>
        <v>4400</v>
      </c>
      <c r="G64" s="428" cm="1">
        <f t="array" ref="G64">_xlfn.IFS($B64="12-Month Smoothing", 'P&amp;L'!$E245*Drivers!J$113, $B64="10-Month Academic Calendar", 'P&amp;L'!$E245*Drivers!J$114, $B64="Quarterly Smoothing", 'P&amp;L'!$E245*Drivers!J$115,
     $B64="Two-Installment (front-loaded)", 'P&amp;L'!$E245*Drivers!J$116, $B64="Two-Installment (back-loaded)", 'P&amp;L'!$E245*Drivers!J$117,
     $B64="Year Start Lump Sum", 'P&amp;L'!$E245*Drivers!J$118,$B64="Expense Reimbursement", 'P&amp;L'!$E245*Drivers!J$120,
     $B64="Direct Monthly Input", 0)</f>
        <v>4400</v>
      </c>
      <c r="H64" s="428" cm="1">
        <f t="array" ref="H64">_xlfn.IFS($B64="12-Month Smoothing", 'P&amp;L'!$E245*Drivers!K$113, $B64="10-Month Academic Calendar", 'P&amp;L'!$E245*Drivers!K$114, $B64="Quarterly Smoothing", 'P&amp;L'!$E245*Drivers!K$115,
     $B64="Two-Installment (front-loaded)", 'P&amp;L'!$E245*Drivers!K$116, $B64="Two-Installment (back-loaded)", 'P&amp;L'!$E245*Drivers!K$117,
     $B64="Year Start Lump Sum", 'P&amp;L'!$E245*Drivers!K$118,$B64="Expense Reimbursement", 'P&amp;L'!$E245*Drivers!K$120,
     $B64="Direct Monthly Input", 0)</f>
        <v>4400</v>
      </c>
      <c r="I64" s="428" cm="1">
        <f t="array" ref="I64">_xlfn.IFS($B64="12-Month Smoothing", 'P&amp;L'!$E245*Drivers!L$113, $B64="10-Month Academic Calendar", 'P&amp;L'!$E245*Drivers!L$114, $B64="Quarterly Smoothing", 'P&amp;L'!$E245*Drivers!L$115,
     $B64="Two-Installment (front-loaded)", 'P&amp;L'!$E245*Drivers!L$116, $B64="Two-Installment (back-loaded)", 'P&amp;L'!$E245*Drivers!L$117,
     $B64="Year Start Lump Sum", 'P&amp;L'!$E245*Drivers!L$118,$B64="Expense Reimbursement", 'P&amp;L'!$E245*Drivers!L$120,
     $B64="Direct Monthly Input", 0)</f>
        <v>4400</v>
      </c>
      <c r="J64" s="428" cm="1">
        <f t="array" ref="J64">_xlfn.IFS($B64="12-Month Smoothing", 'P&amp;L'!$E245*Drivers!M$113, $B64="10-Month Academic Calendar", 'P&amp;L'!$E245*Drivers!M$114, $B64="Quarterly Smoothing", 'P&amp;L'!$E245*Drivers!M$115,
     $B64="Two-Installment (front-loaded)", 'P&amp;L'!$E245*Drivers!M$116, $B64="Two-Installment (back-loaded)", 'P&amp;L'!$E245*Drivers!M$117,
     $B64="Year Start Lump Sum", 'P&amp;L'!$E245*Drivers!M$118,$B64="Expense Reimbursement", 'P&amp;L'!$E245*Drivers!M$120,
     $B64="Direct Monthly Input", 0)</f>
        <v>4400</v>
      </c>
      <c r="K64" s="428" cm="1">
        <f t="array" ref="K64">_xlfn.IFS($B64="12-Month Smoothing", 'P&amp;L'!$E245*Drivers!N$113, $B64="10-Month Academic Calendar", 'P&amp;L'!$E245*Drivers!N$114, $B64="Quarterly Smoothing", 'P&amp;L'!$E245*Drivers!N$115,
     $B64="Two-Installment (front-loaded)", 'P&amp;L'!$E245*Drivers!N$116, $B64="Two-Installment (back-loaded)", 'P&amp;L'!$E245*Drivers!N$117,
     $B64="Year Start Lump Sum", 'P&amp;L'!$E245*Drivers!N$118,$B64="Expense Reimbursement", 'P&amp;L'!$E245*Drivers!N$120,
     $B64="Direct Monthly Input", 0)</f>
        <v>4400</v>
      </c>
      <c r="L64" s="428" cm="1">
        <f t="array" ref="L64">_xlfn.IFS($B64="12-Month Smoothing", 'P&amp;L'!$E245*Drivers!O$113, $B64="10-Month Academic Calendar", 'P&amp;L'!$E245*Drivers!O$114, $B64="Quarterly Smoothing", 'P&amp;L'!$E245*Drivers!O$115,
     $B64="Two-Installment (front-loaded)", 'P&amp;L'!$E245*Drivers!O$116, $B64="Two-Installment (back-loaded)", 'P&amp;L'!$E245*Drivers!O$117,
     $B64="Year Start Lump Sum", 'P&amp;L'!$E245*Drivers!O$118,$B64="Expense Reimbursement", 'P&amp;L'!$E245*Drivers!O$120,
     $B64="Direct Monthly Input", 0)</f>
        <v>4400</v>
      </c>
      <c r="M64" s="428" cm="1">
        <f t="array" ref="M64">_xlfn.IFS($B64="12-Month Smoothing", 'P&amp;L'!$E245*Drivers!P$113, $B64="10-Month Academic Calendar", 'P&amp;L'!$E245*Drivers!P$114, $B64="Quarterly Smoothing", 'P&amp;L'!$E245*Drivers!P$115,
     $B64="Two-Installment (front-loaded)", 'P&amp;L'!$E245*Drivers!P$116, $B64="Two-Installment (back-loaded)", 'P&amp;L'!$E245*Drivers!P$117,
     $B64="Year Start Lump Sum", 'P&amp;L'!$E245*Drivers!P$118,$B64="Expense Reimbursement", 'P&amp;L'!$E245*Drivers!P$120,
     $B64="Direct Monthly Input", 0)</f>
        <v>4400</v>
      </c>
      <c r="N64" s="428" cm="1">
        <f t="array" ref="N64">_xlfn.IFS($B64="12-Month Smoothing", 'P&amp;L'!$E245*Drivers!Q$113, $B64="10-Month Academic Calendar", 'P&amp;L'!$E245*Drivers!Q$114, $B64="Quarterly Smoothing", 'P&amp;L'!$E245*Drivers!Q$115,
     $B64="Two-Installment (front-loaded)", 'P&amp;L'!$E245*Drivers!Q$116, $B64="Two-Installment (back-loaded)", 'P&amp;L'!$E245*Drivers!Q$117,
     $B64="Year Start Lump Sum", 'P&amp;L'!$E245*Drivers!Q$118,$B64="Expense Reimbursement", 'P&amp;L'!$E245*Drivers!Q$120,
     $B64="Direct Monthly Input", 0)</f>
        <v>4400</v>
      </c>
      <c r="O64" s="847" cm="1">
        <f t="array" ref="O64">_xlfn.IFS($B64="12-Month Smoothing", 'P&amp;L'!$E245*Drivers!R$113, $B64="10-Month Academic Calendar", 'P&amp;L'!$E245*Drivers!R$114, $B64="Quarterly Smoothing", 'P&amp;L'!$E245*Drivers!R$115,
     $B64="Two-Installment (front-loaded)", 'P&amp;L'!$E245*Drivers!R$116, $B64="Two-Installment (back-loaded)", 'P&amp;L'!$E245*Drivers!R$117,
     $B64="Year Start Lump Sum", 'P&amp;L'!$E245*Drivers!R$118,$B64="Expense Reimbursement", 'P&amp;L'!$E245*Drivers!R$120,
     $B64="Direct Monthly Input", 0)</f>
        <v>4400</v>
      </c>
      <c r="P64" s="130">
        <f t="shared" si="4"/>
        <v>52800</v>
      </c>
      <c r="Q64" s="730"/>
      <c r="R64" s="537"/>
    </row>
    <row r="65" spans="1:18" s="538" customFormat="1" ht="17" thickBot="1">
      <c r="A65" s="735"/>
      <c r="B65" s="419" t="s">
        <v>439</v>
      </c>
      <c r="C65" s="857" t="str">
        <f>'P&amp;L'!C246</f>
        <v>Telephone</v>
      </c>
      <c r="D65" s="854" cm="1">
        <f t="array" ref="D65">_xlfn.IFS($B65="12-Month Smoothing", 'P&amp;L'!$E246*Drivers!G$113, $B65="10-Month Academic Calendar", 'P&amp;L'!$E246*Drivers!G$114, $B65="Quarterly Smoothing", 'P&amp;L'!$E246*Drivers!G$115,
     $B65="Two-Installment (front-loaded)", 'P&amp;L'!$E246*Drivers!G$116, $B65="Two-Installment (back-loaded)", 'P&amp;L'!$E246*Drivers!G$117,
     $B65="Year Start Lump Sum", 'P&amp;L'!$E246*Drivers!G$118,$B65="Expense Reimbursement", 'P&amp;L'!$E246*Drivers!G$120,
     $B65="Direct Monthly Input", 0)</f>
        <v>500</v>
      </c>
      <c r="E65" s="428" cm="1">
        <f t="array" ref="E65">_xlfn.IFS($B65="12-Month Smoothing", 'P&amp;L'!$E246*Drivers!H$113, $B65="10-Month Academic Calendar", 'P&amp;L'!$E246*Drivers!H$114, $B65="Quarterly Smoothing", 'P&amp;L'!$E246*Drivers!H$115,
     $B65="Two-Installment (front-loaded)", 'P&amp;L'!$E246*Drivers!H$116, $B65="Two-Installment (back-loaded)", 'P&amp;L'!$E246*Drivers!H$117,
     $B65="Year Start Lump Sum", 'P&amp;L'!$E246*Drivers!H$118,$B65="Expense Reimbursement", 'P&amp;L'!$E246*Drivers!H$120,
     $B65="Direct Monthly Input", 0)</f>
        <v>500</v>
      </c>
      <c r="F65" s="428" cm="1">
        <f t="array" ref="F65">_xlfn.IFS($B65="12-Month Smoothing", 'P&amp;L'!$E246*Drivers!I$113, $B65="10-Month Academic Calendar", 'P&amp;L'!$E246*Drivers!I$114, $B65="Quarterly Smoothing", 'P&amp;L'!$E246*Drivers!I$115,
     $B65="Two-Installment (front-loaded)", 'P&amp;L'!$E246*Drivers!I$116, $B65="Two-Installment (back-loaded)", 'P&amp;L'!$E246*Drivers!I$117,
     $B65="Year Start Lump Sum", 'P&amp;L'!$E246*Drivers!I$118,$B65="Expense Reimbursement", 'P&amp;L'!$E246*Drivers!I$120,
     $B65="Direct Monthly Input", 0)</f>
        <v>500</v>
      </c>
      <c r="G65" s="428" cm="1">
        <f t="array" ref="G65">_xlfn.IFS($B65="12-Month Smoothing", 'P&amp;L'!$E246*Drivers!J$113, $B65="10-Month Academic Calendar", 'P&amp;L'!$E246*Drivers!J$114, $B65="Quarterly Smoothing", 'P&amp;L'!$E246*Drivers!J$115,
     $B65="Two-Installment (front-loaded)", 'P&amp;L'!$E246*Drivers!J$116, $B65="Two-Installment (back-loaded)", 'P&amp;L'!$E246*Drivers!J$117,
     $B65="Year Start Lump Sum", 'P&amp;L'!$E246*Drivers!J$118,$B65="Expense Reimbursement", 'P&amp;L'!$E246*Drivers!J$120,
     $B65="Direct Monthly Input", 0)</f>
        <v>500</v>
      </c>
      <c r="H65" s="428" cm="1">
        <f t="array" ref="H65">_xlfn.IFS($B65="12-Month Smoothing", 'P&amp;L'!$E246*Drivers!K$113, $B65="10-Month Academic Calendar", 'P&amp;L'!$E246*Drivers!K$114, $B65="Quarterly Smoothing", 'P&amp;L'!$E246*Drivers!K$115,
     $B65="Two-Installment (front-loaded)", 'P&amp;L'!$E246*Drivers!K$116, $B65="Two-Installment (back-loaded)", 'P&amp;L'!$E246*Drivers!K$117,
     $B65="Year Start Lump Sum", 'P&amp;L'!$E246*Drivers!K$118,$B65="Expense Reimbursement", 'P&amp;L'!$E246*Drivers!K$120,
     $B65="Direct Monthly Input", 0)</f>
        <v>500</v>
      </c>
      <c r="I65" s="428" cm="1">
        <f t="array" ref="I65">_xlfn.IFS($B65="12-Month Smoothing", 'P&amp;L'!$E246*Drivers!L$113, $B65="10-Month Academic Calendar", 'P&amp;L'!$E246*Drivers!L$114, $B65="Quarterly Smoothing", 'P&amp;L'!$E246*Drivers!L$115,
     $B65="Two-Installment (front-loaded)", 'P&amp;L'!$E246*Drivers!L$116, $B65="Two-Installment (back-loaded)", 'P&amp;L'!$E246*Drivers!L$117,
     $B65="Year Start Lump Sum", 'P&amp;L'!$E246*Drivers!L$118,$B65="Expense Reimbursement", 'P&amp;L'!$E246*Drivers!L$120,
     $B65="Direct Monthly Input", 0)</f>
        <v>500</v>
      </c>
      <c r="J65" s="428" cm="1">
        <f t="array" ref="J65">_xlfn.IFS($B65="12-Month Smoothing", 'P&amp;L'!$E246*Drivers!M$113, $B65="10-Month Academic Calendar", 'P&amp;L'!$E246*Drivers!M$114, $B65="Quarterly Smoothing", 'P&amp;L'!$E246*Drivers!M$115,
     $B65="Two-Installment (front-loaded)", 'P&amp;L'!$E246*Drivers!M$116, $B65="Two-Installment (back-loaded)", 'P&amp;L'!$E246*Drivers!M$117,
     $B65="Year Start Lump Sum", 'P&amp;L'!$E246*Drivers!M$118,$B65="Expense Reimbursement", 'P&amp;L'!$E246*Drivers!M$120,
     $B65="Direct Monthly Input", 0)</f>
        <v>500</v>
      </c>
      <c r="K65" s="428" cm="1">
        <f t="array" ref="K65">_xlfn.IFS($B65="12-Month Smoothing", 'P&amp;L'!$E246*Drivers!N$113, $B65="10-Month Academic Calendar", 'P&amp;L'!$E246*Drivers!N$114, $B65="Quarterly Smoothing", 'P&amp;L'!$E246*Drivers!N$115,
     $B65="Two-Installment (front-loaded)", 'P&amp;L'!$E246*Drivers!N$116, $B65="Two-Installment (back-loaded)", 'P&amp;L'!$E246*Drivers!N$117,
     $B65="Year Start Lump Sum", 'P&amp;L'!$E246*Drivers!N$118,$B65="Expense Reimbursement", 'P&amp;L'!$E246*Drivers!N$120,
     $B65="Direct Monthly Input", 0)</f>
        <v>500</v>
      </c>
      <c r="L65" s="428" cm="1">
        <f t="array" ref="L65">_xlfn.IFS($B65="12-Month Smoothing", 'P&amp;L'!$E246*Drivers!O$113, $B65="10-Month Academic Calendar", 'P&amp;L'!$E246*Drivers!O$114, $B65="Quarterly Smoothing", 'P&amp;L'!$E246*Drivers!O$115,
     $B65="Two-Installment (front-loaded)", 'P&amp;L'!$E246*Drivers!O$116, $B65="Two-Installment (back-loaded)", 'P&amp;L'!$E246*Drivers!O$117,
     $B65="Year Start Lump Sum", 'P&amp;L'!$E246*Drivers!O$118,$B65="Expense Reimbursement", 'P&amp;L'!$E246*Drivers!O$120,
     $B65="Direct Monthly Input", 0)</f>
        <v>500</v>
      </c>
      <c r="M65" s="428" cm="1">
        <f t="array" ref="M65">_xlfn.IFS($B65="12-Month Smoothing", 'P&amp;L'!$E246*Drivers!P$113, $B65="10-Month Academic Calendar", 'P&amp;L'!$E246*Drivers!P$114, $B65="Quarterly Smoothing", 'P&amp;L'!$E246*Drivers!P$115,
     $B65="Two-Installment (front-loaded)", 'P&amp;L'!$E246*Drivers!P$116, $B65="Two-Installment (back-loaded)", 'P&amp;L'!$E246*Drivers!P$117,
     $B65="Year Start Lump Sum", 'P&amp;L'!$E246*Drivers!P$118,$B65="Expense Reimbursement", 'P&amp;L'!$E246*Drivers!P$120,
     $B65="Direct Monthly Input", 0)</f>
        <v>500</v>
      </c>
      <c r="N65" s="428" cm="1">
        <f t="array" ref="N65">_xlfn.IFS($B65="12-Month Smoothing", 'P&amp;L'!$E246*Drivers!Q$113, $B65="10-Month Academic Calendar", 'P&amp;L'!$E246*Drivers!Q$114, $B65="Quarterly Smoothing", 'P&amp;L'!$E246*Drivers!Q$115,
     $B65="Two-Installment (front-loaded)", 'P&amp;L'!$E246*Drivers!Q$116, $B65="Two-Installment (back-loaded)", 'P&amp;L'!$E246*Drivers!Q$117,
     $B65="Year Start Lump Sum", 'P&amp;L'!$E246*Drivers!Q$118,$B65="Expense Reimbursement", 'P&amp;L'!$E246*Drivers!Q$120,
     $B65="Direct Monthly Input", 0)</f>
        <v>500</v>
      </c>
      <c r="O65" s="847" cm="1">
        <f t="array" ref="O65">_xlfn.IFS($B65="12-Month Smoothing", 'P&amp;L'!$E246*Drivers!R$113, $B65="10-Month Academic Calendar", 'P&amp;L'!$E246*Drivers!R$114, $B65="Quarterly Smoothing", 'P&amp;L'!$E246*Drivers!R$115,
     $B65="Two-Installment (front-loaded)", 'P&amp;L'!$E246*Drivers!R$116, $B65="Two-Installment (back-loaded)", 'P&amp;L'!$E246*Drivers!R$117,
     $B65="Year Start Lump Sum", 'P&amp;L'!$E246*Drivers!R$118,$B65="Expense Reimbursement", 'P&amp;L'!$E246*Drivers!R$120,
     $B65="Direct Monthly Input", 0)</f>
        <v>500</v>
      </c>
      <c r="P65" s="130">
        <f t="shared" si="4"/>
        <v>6000</v>
      </c>
      <c r="Q65" s="730"/>
      <c r="R65" s="537"/>
    </row>
    <row r="66" spans="1:18" s="538" customFormat="1" ht="17" thickBot="1">
      <c r="A66" s="735"/>
      <c r="B66" s="419" t="s">
        <v>439</v>
      </c>
      <c r="C66" s="857" t="str">
        <f>'P&amp;L'!C247</f>
        <v>Technology</v>
      </c>
      <c r="D66" s="854" cm="1">
        <f t="array" ref="D66">_xlfn.IFS($B66="12-Month Smoothing", 'P&amp;L'!$E247*Drivers!G$113, $B66="10-Month Academic Calendar", 'P&amp;L'!$E247*Drivers!G$114, $B66="Quarterly Smoothing", 'P&amp;L'!$E247*Drivers!G$115,
     $B66="Two-Installment (front-loaded)", 'P&amp;L'!$E247*Drivers!G$116, $B66="Two-Installment (back-loaded)", 'P&amp;L'!$E247*Drivers!G$117,
     $B66="Year Start Lump Sum", 'P&amp;L'!$E247*Drivers!G$118,$B66="Expense Reimbursement", 'P&amp;L'!$E247*Drivers!G$120,
     $B66="Direct Monthly Input", 0)</f>
        <v>7000</v>
      </c>
      <c r="E66" s="428" cm="1">
        <f t="array" ref="E66">_xlfn.IFS($B66="12-Month Smoothing", 'P&amp;L'!$E247*Drivers!H$113, $B66="10-Month Academic Calendar", 'P&amp;L'!$E247*Drivers!H$114, $B66="Quarterly Smoothing", 'P&amp;L'!$E247*Drivers!H$115,
     $B66="Two-Installment (front-loaded)", 'P&amp;L'!$E247*Drivers!H$116, $B66="Two-Installment (back-loaded)", 'P&amp;L'!$E247*Drivers!H$117,
     $B66="Year Start Lump Sum", 'P&amp;L'!$E247*Drivers!H$118,$B66="Expense Reimbursement", 'P&amp;L'!$E247*Drivers!H$120,
     $B66="Direct Monthly Input", 0)</f>
        <v>7000</v>
      </c>
      <c r="F66" s="428" cm="1">
        <f t="array" ref="F66">_xlfn.IFS($B66="12-Month Smoothing", 'P&amp;L'!$E247*Drivers!I$113, $B66="10-Month Academic Calendar", 'P&amp;L'!$E247*Drivers!I$114, $B66="Quarterly Smoothing", 'P&amp;L'!$E247*Drivers!I$115,
     $B66="Two-Installment (front-loaded)", 'P&amp;L'!$E247*Drivers!I$116, $B66="Two-Installment (back-loaded)", 'P&amp;L'!$E247*Drivers!I$117,
     $B66="Year Start Lump Sum", 'P&amp;L'!$E247*Drivers!I$118,$B66="Expense Reimbursement", 'P&amp;L'!$E247*Drivers!I$120,
     $B66="Direct Monthly Input", 0)</f>
        <v>7000</v>
      </c>
      <c r="G66" s="428" cm="1">
        <f t="array" ref="G66">_xlfn.IFS($B66="12-Month Smoothing", 'P&amp;L'!$E247*Drivers!J$113, $B66="10-Month Academic Calendar", 'P&amp;L'!$E247*Drivers!J$114, $B66="Quarterly Smoothing", 'P&amp;L'!$E247*Drivers!J$115,
     $B66="Two-Installment (front-loaded)", 'P&amp;L'!$E247*Drivers!J$116, $B66="Two-Installment (back-loaded)", 'P&amp;L'!$E247*Drivers!J$117,
     $B66="Year Start Lump Sum", 'P&amp;L'!$E247*Drivers!J$118,$B66="Expense Reimbursement", 'P&amp;L'!$E247*Drivers!J$120,
     $B66="Direct Monthly Input", 0)</f>
        <v>7000</v>
      </c>
      <c r="H66" s="428" cm="1">
        <f t="array" ref="H66">_xlfn.IFS($B66="12-Month Smoothing", 'P&amp;L'!$E247*Drivers!K$113, $B66="10-Month Academic Calendar", 'P&amp;L'!$E247*Drivers!K$114, $B66="Quarterly Smoothing", 'P&amp;L'!$E247*Drivers!K$115,
     $B66="Two-Installment (front-loaded)", 'P&amp;L'!$E247*Drivers!K$116, $B66="Two-Installment (back-loaded)", 'P&amp;L'!$E247*Drivers!K$117,
     $B66="Year Start Lump Sum", 'P&amp;L'!$E247*Drivers!K$118,$B66="Expense Reimbursement", 'P&amp;L'!$E247*Drivers!K$120,
     $B66="Direct Monthly Input", 0)</f>
        <v>7000</v>
      </c>
      <c r="I66" s="428" cm="1">
        <f t="array" ref="I66">_xlfn.IFS($B66="12-Month Smoothing", 'P&amp;L'!$E247*Drivers!L$113, $B66="10-Month Academic Calendar", 'P&amp;L'!$E247*Drivers!L$114, $B66="Quarterly Smoothing", 'P&amp;L'!$E247*Drivers!L$115,
     $B66="Two-Installment (front-loaded)", 'P&amp;L'!$E247*Drivers!L$116, $B66="Two-Installment (back-loaded)", 'P&amp;L'!$E247*Drivers!L$117,
     $B66="Year Start Lump Sum", 'P&amp;L'!$E247*Drivers!L$118,$B66="Expense Reimbursement", 'P&amp;L'!$E247*Drivers!L$120,
     $B66="Direct Monthly Input", 0)</f>
        <v>7000</v>
      </c>
      <c r="J66" s="428" cm="1">
        <f t="array" ref="J66">_xlfn.IFS($B66="12-Month Smoothing", 'P&amp;L'!$E247*Drivers!M$113, $B66="10-Month Academic Calendar", 'P&amp;L'!$E247*Drivers!M$114, $B66="Quarterly Smoothing", 'P&amp;L'!$E247*Drivers!M$115,
     $B66="Two-Installment (front-loaded)", 'P&amp;L'!$E247*Drivers!M$116, $B66="Two-Installment (back-loaded)", 'P&amp;L'!$E247*Drivers!M$117,
     $B66="Year Start Lump Sum", 'P&amp;L'!$E247*Drivers!M$118,$B66="Expense Reimbursement", 'P&amp;L'!$E247*Drivers!M$120,
     $B66="Direct Monthly Input", 0)</f>
        <v>7000</v>
      </c>
      <c r="K66" s="428" cm="1">
        <f t="array" ref="K66">_xlfn.IFS($B66="12-Month Smoothing", 'P&amp;L'!$E247*Drivers!N$113, $B66="10-Month Academic Calendar", 'P&amp;L'!$E247*Drivers!N$114, $B66="Quarterly Smoothing", 'P&amp;L'!$E247*Drivers!N$115,
     $B66="Two-Installment (front-loaded)", 'P&amp;L'!$E247*Drivers!N$116, $B66="Two-Installment (back-loaded)", 'P&amp;L'!$E247*Drivers!N$117,
     $B66="Year Start Lump Sum", 'P&amp;L'!$E247*Drivers!N$118,$B66="Expense Reimbursement", 'P&amp;L'!$E247*Drivers!N$120,
     $B66="Direct Monthly Input", 0)</f>
        <v>7000</v>
      </c>
      <c r="L66" s="428" cm="1">
        <f t="array" ref="L66">_xlfn.IFS($B66="12-Month Smoothing", 'P&amp;L'!$E247*Drivers!O$113, $B66="10-Month Academic Calendar", 'P&amp;L'!$E247*Drivers!O$114, $B66="Quarterly Smoothing", 'P&amp;L'!$E247*Drivers!O$115,
     $B66="Two-Installment (front-loaded)", 'P&amp;L'!$E247*Drivers!O$116, $B66="Two-Installment (back-loaded)", 'P&amp;L'!$E247*Drivers!O$117,
     $B66="Year Start Lump Sum", 'P&amp;L'!$E247*Drivers!O$118,$B66="Expense Reimbursement", 'P&amp;L'!$E247*Drivers!O$120,
     $B66="Direct Monthly Input", 0)</f>
        <v>7000</v>
      </c>
      <c r="M66" s="428" cm="1">
        <f t="array" ref="M66">_xlfn.IFS($B66="12-Month Smoothing", 'P&amp;L'!$E247*Drivers!P$113, $B66="10-Month Academic Calendar", 'P&amp;L'!$E247*Drivers!P$114, $B66="Quarterly Smoothing", 'P&amp;L'!$E247*Drivers!P$115,
     $B66="Two-Installment (front-loaded)", 'P&amp;L'!$E247*Drivers!P$116, $B66="Two-Installment (back-loaded)", 'P&amp;L'!$E247*Drivers!P$117,
     $B66="Year Start Lump Sum", 'P&amp;L'!$E247*Drivers!P$118,$B66="Expense Reimbursement", 'P&amp;L'!$E247*Drivers!P$120,
     $B66="Direct Monthly Input", 0)</f>
        <v>7000</v>
      </c>
      <c r="N66" s="428" cm="1">
        <f t="array" ref="N66">_xlfn.IFS($B66="12-Month Smoothing", 'P&amp;L'!$E247*Drivers!Q$113, $B66="10-Month Academic Calendar", 'P&amp;L'!$E247*Drivers!Q$114, $B66="Quarterly Smoothing", 'P&amp;L'!$E247*Drivers!Q$115,
     $B66="Two-Installment (front-loaded)", 'P&amp;L'!$E247*Drivers!Q$116, $B66="Two-Installment (back-loaded)", 'P&amp;L'!$E247*Drivers!Q$117,
     $B66="Year Start Lump Sum", 'P&amp;L'!$E247*Drivers!Q$118,$B66="Expense Reimbursement", 'P&amp;L'!$E247*Drivers!Q$120,
     $B66="Direct Monthly Input", 0)</f>
        <v>7000</v>
      </c>
      <c r="O66" s="847" cm="1">
        <f t="array" ref="O66">_xlfn.IFS($B66="12-Month Smoothing", 'P&amp;L'!$E247*Drivers!R$113, $B66="10-Month Academic Calendar", 'P&amp;L'!$E247*Drivers!R$114, $B66="Quarterly Smoothing", 'P&amp;L'!$E247*Drivers!R$115,
     $B66="Two-Installment (front-loaded)", 'P&amp;L'!$E247*Drivers!R$116, $B66="Two-Installment (back-loaded)", 'P&amp;L'!$E247*Drivers!R$117,
     $B66="Year Start Lump Sum", 'P&amp;L'!$E247*Drivers!R$118,$B66="Expense Reimbursement", 'P&amp;L'!$E247*Drivers!R$120,
     $B66="Direct Monthly Input", 0)</f>
        <v>7000</v>
      </c>
      <c r="P66" s="130">
        <f t="shared" si="4"/>
        <v>84000</v>
      </c>
      <c r="Q66" s="730"/>
      <c r="R66" s="537"/>
    </row>
    <row r="67" spans="1:18" s="538" customFormat="1" ht="17" thickBot="1">
      <c r="A67" s="735"/>
      <c r="B67" s="419" t="s">
        <v>440</v>
      </c>
      <c r="C67" s="857" t="str">
        <f>'P&amp;L'!C248</f>
        <v>Student Testing &amp; Assessment</v>
      </c>
      <c r="D67" s="854" cm="1">
        <f t="array" ref="D67">_xlfn.IFS($B67="12-Month Smoothing", 'P&amp;L'!$E248*Drivers!G$113, $B67="10-Month Academic Calendar", 'P&amp;L'!$E248*Drivers!G$114, $B67="Quarterly Smoothing", 'P&amp;L'!$E248*Drivers!G$115,
     $B67="Two-Installment (front-loaded)", 'P&amp;L'!$E248*Drivers!G$116, $B67="Two-Installment (back-loaded)", 'P&amp;L'!$E248*Drivers!G$117,
     $B67="Year Start Lump Sum", 'P&amp;L'!$E248*Drivers!G$118,$B67="Expense Reimbursement", 'P&amp;L'!$E248*Drivers!G$120,
     $B67="Direct Monthly Input", 0)</f>
        <v>2160</v>
      </c>
      <c r="E67" s="428" cm="1">
        <f t="array" ref="E67">_xlfn.IFS($B67="12-Month Smoothing", 'P&amp;L'!$E248*Drivers!H$113, $B67="10-Month Academic Calendar", 'P&amp;L'!$E248*Drivers!H$114, $B67="Quarterly Smoothing", 'P&amp;L'!$E248*Drivers!H$115,
     $B67="Two-Installment (front-loaded)", 'P&amp;L'!$E248*Drivers!H$116, $B67="Two-Installment (back-loaded)", 'P&amp;L'!$E248*Drivers!H$117,
     $B67="Year Start Lump Sum", 'P&amp;L'!$E248*Drivers!H$118,$B67="Expense Reimbursement", 'P&amp;L'!$E248*Drivers!H$120,
     $B67="Direct Monthly Input", 0)</f>
        <v>2160</v>
      </c>
      <c r="F67" s="428" cm="1">
        <f t="array" ref="F67">_xlfn.IFS($B67="12-Month Smoothing", 'P&amp;L'!$E248*Drivers!I$113, $B67="10-Month Academic Calendar", 'P&amp;L'!$E248*Drivers!I$114, $B67="Quarterly Smoothing", 'P&amp;L'!$E248*Drivers!I$115,
     $B67="Two-Installment (front-loaded)", 'P&amp;L'!$E248*Drivers!I$116, $B67="Two-Installment (back-loaded)", 'P&amp;L'!$E248*Drivers!I$117,
     $B67="Year Start Lump Sum", 'P&amp;L'!$E248*Drivers!I$118,$B67="Expense Reimbursement", 'P&amp;L'!$E248*Drivers!I$120,
     $B67="Direct Monthly Input", 0)</f>
        <v>2160</v>
      </c>
      <c r="G67" s="428" cm="1">
        <f t="array" ref="G67">_xlfn.IFS($B67="12-Month Smoothing", 'P&amp;L'!$E248*Drivers!J$113, $B67="10-Month Academic Calendar", 'P&amp;L'!$E248*Drivers!J$114, $B67="Quarterly Smoothing", 'P&amp;L'!$E248*Drivers!J$115,
     $B67="Two-Installment (front-loaded)", 'P&amp;L'!$E248*Drivers!J$116, $B67="Two-Installment (back-loaded)", 'P&amp;L'!$E248*Drivers!J$117,
     $B67="Year Start Lump Sum", 'P&amp;L'!$E248*Drivers!J$118,$B67="Expense Reimbursement", 'P&amp;L'!$E248*Drivers!J$120,
     $B67="Direct Monthly Input", 0)</f>
        <v>2160</v>
      </c>
      <c r="H67" s="428" cm="1">
        <f t="array" ref="H67">_xlfn.IFS($B67="12-Month Smoothing", 'P&amp;L'!$E248*Drivers!K$113, $B67="10-Month Academic Calendar", 'P&amp;L'!$E248*Drivers!K$114, $B67="Quarterly Smoothing", 'P&amp;L'!$E248*Drivers!K$115,
     $B67="Two-Installment (front-loaded)", 'P&amp;L'!$E248*Drivers!K$116, $B67="Two-Installment (back-loaded)", 'P&amp;L'!$E248*Drivers!K$117,
     $B67="Year Start Lump Sum", 'P&amp;L'!$E248*Drivers!K$118,$B67="Expense Reimbursement", 'P&amp;L'!$E248*Drivers!K$120,
     $B67="Direct Monthly Input", 0)</f>
        <v>2160</v>
      </c>
      <c r="I67" s="428" cm="1">
        <f t="array" ref="I67">_xlfn.IFS($B67="12-Month Smoothing", 'P&amp;L'!$E248*Drivers!L$113, $B67="10-Month Academic Calendar", 'P&amp;L'!$E248*Drivers!L$114, $B67="Quarterly Smoothing", 'P&amp;L'!$E248*Drivers!L$115,
     $B67="Two-Installment (front-loaded)", 'P&amp;L'!$E248*Drivers!L$116, $B67="Two-Installment (back-loaded)", 'P&amp;L'!$E248*Drivers!L$117,
     $B67="Year Start Lump Sum", 'P&amp;L'!$E248*Drivers!L$118,$B67="Expense Reimbursement", 'P&amp;L'!$E248*Drivers!L$120,
     $B67="Direct Monthly Input", 0)</f>
        <v>2160</v>
      </c>
      <c r="J67" s="428" cm="1">
        <f t="array" ref="J67">_xlfn.IFS($B67="12-Month Smoothing", 'P&amp;L'!$E248*Drivers!M$113, $B67="10-Month Academic Calendar", 'P&amp;L'!$E248*Drivers!M$114, $B67="Quarterly Smoothing", 'P&amp;L'!$E248*Drivers!M$115,
     $B67="Two-Installment (front-loaded)", 'P&amp;L'!$E248*Drivers!M$116, $B67="Two-Installment (back-loaded)", 'P&amp;L'!$E248*Drivers!M$117,
     $B67="Year Start Lump Sum", 'P&amp;L'!$E248*Drivers!M$118,$B67="Expense Reimbursement", 'P&amp;L'!$E248*Drivers!M$120,
     $B67="Direct Monthly Input", 0)</f>
        <v>2160</v>
      </c>
      <c r="K67" s="428" cm="1">
        <f t="array" ref="K67">_xlfn.IFS($B67="12-Month Smoothing", 'P&amp;L'!$E248*Drivers!N$113, $B67="10-Month Academic Calendar", 'P&amp;L'!$E248*Drivers!N$114, $B67="Quarterly Smoothing", 'P&amp;L'!$E248*Drivers!N$115,
     $B67="Two-Installment (front-loaded)", 'P&amp;L'!$E248*Drivers!N$116, $B67="Two-Installment (back-loaded)", 'P&amp;L'!$E248*Drivers!N$117,
     $B67="Year Start Lump Sum", 'P&amp;L'!$E248*Drivers!N$118,$B67="Expense Reimbursement", 'P&amp;L'!$E248*Drivers!N$120,
     $B67="Direct Monthly Input", 0)</f>
        <v>2160</v>
      </c>
      <c r="L67" s="428" cm="1">
        <f t="array" ref="L67">_xlfn.IFS($B67="12-Month Smoothing", 'P&amp;L'!$E248*Drivers!O$113, $B67="10-Month Academic Calendar", 'P&amp;L'!$E248*Drivers!O$114, $B67="Quarterly Smoothing", 'P&amp;L'!$E248*Drivers!O$115,
     $B67="Two-Installment (front-loaded)", 'P&amp;L'!$E248*Drivers!O$116, $B67="Two-Installment (back-loaded)", 'P&amp;L'!$E248*Drivers!O$117,
     $B67="Year Start Lump Sum", 'P&amp;L'!$E248*Drivers!O$118,$B67="Expense Reimbursement", 'P&amp;L'!$E248*Drivers!O$120,
     $B67="Direct Monthly Input", 0)</f>
        <v>2160</v>
      </c>
      <c r="M67" s="428" cm="1">
        <f t="array" ref="M67">_xlfn.IFS($B67="12-Month Smoothing", 'P&amp;L'!$E248*Drivers!P$113, $B67="10-Month Academic Calendar", 'P&amp;L'!$E248*Drivers!P$114, $B67="Quarterly Smoothing", 'P&amp;L'!$E248*Drivers!P$115,
     $B67="Two-Installment (front-loaded)", 'P&amp;L'!$E248*Drivers!P$116, $B67="Two-Installment (back-loaded)", 'P&amp;L'!$E248*Drivers!P$117,
     $B67="Year Start Lump Sum", 'P&amp;L'!$E248*Drivers!P$118,$B67="Expense Reimbursement", 'P&amp;L'!$E248*Drivers!P$120,
     $B67="Direct Monthly Input", 0)</f>
        <v>2160</v>
      </c>
      <c r="N67" s="428" cm="1">
        <f t="array" ref="N67">_xlfn.IFS($B67="12-Month Smoothing", 'P&amp;L'!$E248*Drivers!Q$113, $B67="10-Month Academic Calendar", 'P&amp;L'!$E248*Drivers!Q$114, $B67="Quarterly Smoothing", 'P&amp;L'!$E248*Drivers!Q$115,
     $B67="Two-Installment (front-loaded)", 'P&amp;L'!$E248*Drivers!Q$116, $B67="Two-Installment (back-loaded)", 'P&amp;L'!$E248*Drivers!Q$117,
     $B67="Year Start Lump Sum", 'P&amp;L'!$E248*Drivers!Q$118,$B67="Expense Reimbursement", 'P&amp;L'!$E248*Drivers!Q$120,
     $B67="Direct Monthly Input", 0)</f>
        <v>0</v>
      </c>
      <c r="O67" s="847" cm="1">
        <f t="array" ref="O67">_xlfn.IFS($B67="12-Month Smoothing", 'P&amp;L'!$E248*Drivers!R$113, $B67="10-Month Academic Calendar", 'P&amp;L'!$E248*Drivers!R$114, $B67="Quarterly Smoothing", 'P&amp;L'!$E248*Drivers!R$115,
     $B67="Two-Installment (front-loaded)", 'P&amp;L'!$E248*Drivers!R$116, $B67="Two-Installment (back-loaded)", 'P&amp;L'!$E248*Drivers!R$117,
     $B67="Year Start Lump Sum", 'P&amp;L'!$E248*Drivers!R$118,$B67="Expense Reimbursement", 'P&amp;L'!$E248*Drivers!R$120,
     $B67="Direct Monthly Input", 0)</f>
        <v>0</v>
      </c>
      <c r="P67" s="130">
        <f t="shared" si="4"/>
        <v>21600</v>
      </c>
      <c r="Q67" s="730"/>
      <c r="R67" s="537"/>
    </row>
    <row r="68" spans="1:18" s="538" customFormat="1" ht="17" thickBot="1">
      <c r="A68" s="735"/>
      <c r="B68" s="419" t="s">
        <v>445</v>
      </c>
      <c r="C68" s="857" t="str">
        <f>'P&amp;L'!C249</f>
        <v>Field Trips</v>
      </c>
      <c r="D68" s="854" cm="1">
        <f t="array" ref="D68">_xlfn.IFS($B68="12-Month Smoothing", 'P&amp;L'!$E249*Drivers!G$113, $B68="10-Month Academic Calendar", 'P&amp;L'!$E249*Drivers!G$114, $B68="Quarterly Smoothing", 'P&amp;L'!$E249*Drivers!G$115,
     $B68="Two-Installment (front-loaded)", 'P&amp;L'!$E249*Drivers!G$116, $B68="Two-Installment (back-loaded)", 'P&amp;L'!$E249*Drivers!G$117,
     $B68="Year Start Lump Sum", 'P&amp;L'!$E249*Drivers!G$118,$B68="Expense Reimbursement", 'P&amp;L'!$E249*Drivers!G$120,
     $B68="Direct Monthly Input", 0)</f>
        <v>0</v>
      </c>
      <c r="E68" s="428" cm="1">
        <f t="array" ref="E68">_xlfn.IFS($B68="12-Month Smoothing", 'P&amp;L'!$E249*Drivers!H$113, $B68="10-Month Academic Calendar", 'P&amp;L'!$E249*Drivers!H$114, $B68="Quarterly Smoothing", 'P&amp;L'!$E249*Drivers!H$115,
     $B68="Two-Installment (front-loaded)", 'P&amp;L'!$E249*Drivers!H$116, $B68="Two-Installment (back-loaded)", 'P&amp;L'!$E249*Drivers!H$117,
     $B68="Year Start Lump Sum", 'P&amp;L'!$E249*Drivers!H$118,$B68="Expense Reimbursement", 'P&amp;L'!$E249*Drivers!H$120,
     $B68="Direct Monthly Input", 0)</f>
        <v>0</v>
      </c>
      <c r="F68" s="428" cm="1">
        <f t="array" ref="F68">_xlfn.IFS($B68="12-Month Smoothing", 'P&amp;L'!$E249*Drivers!I$113, $B68="10-Month Academic Calendar", 'P&amp;L'!$E249*Drivers!I$114, $B68="Quarterly Smoothing", 'P&amp;L'!$E249*Drivers!I$115,
     $B68="Two-Installment (front-loaded)", 'P&amp;L'!$E249*Drivers!I$116, $B68="Two-Installment (back-loaded)", 'P&amp;L'!$E249*Drivers!I$117,
     $B68="Year Start Lump Sum", 'P&amp;L'!$E249*Drivers!I$118,$B68="Expense Reimbursement", 'P&amp;L'!$E249*Drivers!I$120,
     $B68="Direct Monthly Input", 0)</f>
        <v>0</v>
      </c>
      <c r="G68" s="428" cm="1">
        <f t="array" ref="G68">_xlfn.IFS($B68="12-Month Smoothing", 'P&amp;L'!$E249*Drivers!J$113, $B68="10-Month Academic Calendar", 'P&amp;L'!$E249*Drivers!J$114, $B68="Quarterly Smoothing", 'P&amp;L'!$E249*Drivers!J$115,
     $B68="Two-Installment (front-loaded)", 'P&amp;L'!$E249*Drivers!J$116, $B68="Two-Installment (back-loaded)", 'P&amp;L'!$E249*Drivers!J$117,
     $B68="Year Start Lump Sum", 'P&amp;L'!$E249*Drivers!J$118,$B68="Expense Reimbursement", 'P&amp;L'!$E249*Drivers!J$120,
     $B68="Direct Monthly Input", 0)</f>
        <v>0</v>
      </c>
      <c r="H68" s="428" cm="1">
        <f t="array" ref="H68">_xlfn.IFS($B68="12-Month Smoothing", 'P&amp;L'!$E249*Drivers!K$113, $B68="10-Month Academic Calendar", 'P&amp;L'!$E249*Drivers!K$114, $B68="Quarterly Smoothing", 'P&amp;L'!$E249*Drivers!K$115,
     $B68="Two-Installment (front-loaded)", 'P&amp;L'!$E249*Drivers!K$116, $B68="Two-Installment (back-loaded)", 'P&amp;L'!$E249*Drivers!K$117,
     $B68="Year Start Lump Sum", 'P&amp;L'!$E249*Drivers!K$118,$B68="Expense Reimbursement", 'P&amp;L'!$E249*Drivers!K$120,
     $B68="Direct Monthly Input", 0)</f>
        <v>0</v>
      </c>
      <c r="I68" s="428" cm="1">
        <f t="array" ref="I68">_xlfn.IFS($B68="12-Month Smoothing", 'P&amp;L'!$E249*Drivers!L$113, $B68="10-Month Academic Calendar", 'P&amp;L'!$E249*Drivers!L$114, $B68="Quarterly Smoothing", 'P&amp;L'!$E249*Drivers!L$115,
     $B68="Two-Installment (front-loaded)", 'P&amp;L'!$E249*Drivers!L$116, $B68="Two-Installment (back-loaded)", 'P&amp;L'!$E249*Drivers!L$117,
     $B68="Year Start Lump Sum", 'P&amp;L'!$E249*Drivers!L$118,$B68="Expense Reimbursement", 'P&amp;L'!$E249*Drivers!L$120,
     $B68="Direct Monthly Input", 0)</f>
        <v>9000</v>
      </c>
      <c r="J68" s="428" cm="1">
        <f t="array" ref="J68">_xlfn.IFS($B68="12-Month Smoothing", 'P&amp;L'!$E249*Drivers!M$113, $B68="10-Month Academic Calendar", 'P&amp;L'!$E249*Drivers!M$114, $B68="Quarterly Smoothing", 'P&amp;L'!$E249*Drivers!M$115,
     $B68="Two-Installment (front-loaded)", 'P&amp;L'!$E249*Drivers!M$116, $B68="Two-Installment (back-loaded)", 'P&amp;L'!$E249*Drivers!M$117,
     $B68="Year Start Lump Sum", 'P&amp;L'!$E249*Drivers!M$118,$B68="Expense Reimbursement", 'P&amp;L'!$E249*Drivers!M$120,
     $B68="Direct Monthly Input", 0)</f>
        <v>0</v>
      </c>
      <c r="K68" s="428" cm="1">
        <f t="array" ref="K68">_xlfn.IFS($B68="12-Month Smoothing", 'P&amp;L'!$E249*Drivers!N$113, $B68="10-Month Academic Calendar", 'P&amp;L'!$E249*Drivers!N$114, $B68="Quarterly Smoothing", 'P&amp;L'!$E249*Drivers!N$115,
     $B68="Two-Installment (front-loaded)", 'P&amp;L'!$E249*Drivers!N$116, $B68="Two-Installment (back-loaded)", 'P&amp;L'!$E249*Drivers!N$117,
     $B68="Year Start Lump Sum", 'P&amp;L'!$E249*Drivers!N$118,$B68="Expense Reimbursement", 'P&amp;L'!$E249*Drivers!N$120,
     $B68="Direct Monthly Input", 0)</f>
        <v>0</v>
      </c>
      <c r="L68" s="428" cm="1">
        <f t="array" ref="L68">_xlfn.IFS($B68="12-Month Smoothing", 'P&amp;L'!$E249*Drivers!O$113, $B68="10-Month Academic Calendar", 'P&amp;L'!$E249*Drivers!O$114, $B68="Quarterly Smoothing", 'P&amp;L'!$E249*Drivers!O$115,
     $B68="Two-Installment (front-loaded)", 'P&amp;L'!$E249*Drivers!O$116, $B68="Two-Installment (back-loaded)", 'P&amp;L'!$E249*Drivers!O$117,
     $B68="Year Start Lump Sum", 'P&amp;L'!$E249*Drivers!O$118,$B68="Expense Reimbursement", 'P&amp;L'!$E249*Drivers!O$120,
     $B68="Direct Monthly Input", 0)</f>
        <v>0</v>
      </c>
      <c r="M68" s="428" cm="1">
        <f t="array" ref="M68">_xlfn.IFS($B68="12-Month Smoothing", 'P&amp;L'!$E249*Drivers!P$113, $B68="10-Month Academic Calendar", 'P&amp;L'!$E249*Drivers!P$114, $B68="Quarterly Smoothing", 'P&amp;L'!$E249*Drivers!P$115,
     $B68="Two-Installment (front-loaded)", 'P&amp;L'!$E249*Drivers!P$116, $B68="Two-Installment (back-loaded)", 'P&amp;L'!$E249*Drivers!P$117,
     $B68="Year Start Lump Sum", 'P&amp;L'!$E249*Drivers!P$118,$B68="Expense Reimbursement", 'P&amp;L'!$E249*Drivers!P$120,
     $B68="Direct Monthly Input", 0)</f>
        <v>0</v>
      </c>
      <c r="N68" s="428" cm="1">
        <f t="array" ref="N68">_xlfn.IFS($B68="12-Month Smoothing", 'P&amp;L'!$E249*Drivers!Q$113, $B68="10-Month Academic Calendar", 'P&amp;L'!$E249*Drivers!Q$114, $B68="Quarterly Smoothing", 'P&amp;L'!$E249*Drivers!Q$115,
     $B68="Two-Installment (front-loaded)", 'P&amp;L'!$E249*Drivers!Q$116, $B68="Two-Installment (back-loaded)", 'P&amp;L'!$E249*Drivers!Q$117,
     $B68="Year Start Lump Sum", 'P&amp;L'!$E249*Drivers!Q$118,$B68="Expense Reimbursement", 'P&amp;L'!$E249*Drivers!Q$120,
     $B68="Direct Monthly Input", 0)</f>
        <v>0</v>
      </c>
      <c r="O68" s="847" cm="1">
        <f t="array" ref="O68">_xlfn.IFS($B68="12-Month Smoothing", 'P&amp;L'!$E249*Drivers!R$113, $B68="10-Month Academic Calendar", 'P&amp;L'!$E249*Drivers!R$114, $B68="Quarterly Smoothing", 'P&amp;L'!$E249*Drivers!R$115,
     $B68="Two-Installment (front-loaded)", 'P&amp;L'!$E249*Drivers!R$116, $B68="Two-Installment (back-loaded)", 'P&amp;L'!$E249*Drivers!R$117,
     $B68="Year Start Lump Sum", 'P&amp;L'!$E249*Drivers!R$118,$B68="Expense Reimbursement", 'P&amp;L'!$E249*Drivers!R$120,
     $B68="Direct Monthly Input", 0)</f>
        <v>9000</v>
      </c>
      <c r="P68" s="130">
        <f t="shared" si="4"/>
        <v>18000</v>
      </c>
      <c r="Q68" s="730"/>
      <c r="R68" s="537"/>
    </row>
    <row r="69" spans="1:18" s="538" customFormat="1" ht="17" thickBot="1">
      <c r="A69" s="735"/>
      <c r="B69" s="419" t="s">
        <v>440</v>
      </c>
      <c r="C69" s="857" t="str">
        <f>'P&amp;L'!C250</f>
        <v>Transportation (Student)</v>
      </c>
      <c r="D69" s="854" cm="1">
        <f t="array" ref="D69">_xlfn.IFS($B69="12-Month Smoothing", 'P&amp;L'!$E250*Drivers!G$113, $B69="10-Month Academic Calendar", 'P&amp;L'!$E250*Drivers!G$114, $B69="Quarterly Smoothing", 'P&amp;L'!$E250*Drivers!G$115,
     $B69="Two-Installment (front-loaded)", 'P&amp;L'!$E250*Drivers!G$116, $B69="Two-Installment (back-loaded)", 'P&amp;L'!$E250*Drivers!G$117,
     $B69="Year Start Lump Sum", 'P&amp;L'!$E250*Drivers!G$118,$B69="Expense Reimbursement", 'P&amp;L'!$E250*Drivers!G$120,
     $B69="Direct Monthly Input", 0)</f>
        <v>20280</v>
      </c>
      <c r="E69" s="428" cm="1">
        <f t="array" ref="E69">_xlfn.IFS($B69="12-Month Smoothing", 'P&amp;L'!$E250*Drivers!H$113, $B69="10-Month Academic Calendar", 'P&amp;L'!$E250*Drivers!H$114, $B69="Quarterly Smoothing", 'P&amp;L'!$E250*Drivers!H$115,
     $B69="Two-Installment (front-loaded)", 'P&amp;L'!$E250*Drivers!H$116, $B69="Two-Installment (back-loaded)", 'P&amp;L'!$E250*Drivers!H$117,
     $B69="Year Start Lump Sum", 'P&amp;L'!$E250*Drivers!H$118,$B69="Expense Reimbursement", 'P&amp;L'!$E250*Drivers!H$120,
     $B69="Direct Monthly Input", 0)</f>
        <v>20280</v>
      </c>
      <c r="F69" s="428" cm="1">
        <f t="array" ref="F69">_xlfn.IFS($B69="12-Month Smoothing", 'P&amp;L'!$E250*Drivers!I$113, $B69="10-Month Academic Calendar", 'P&amp;L'!$E250*Drivers!I$114, $B69="Quarterly Smoothing", 'P&amp;L'!$E250*Drivers!I$115,
     $B69="Two-Installment (front-loaded)", 'P&amp;L'!$E250*Drivers!I$116, $B69="Two-Installment (back-loaded)", 'P&amp;L'!$E250*Drivers!I$117,
     $B69="Year Start Lump Sum", 'P&amp;L'!$E250*Drivers!I$118,$B69="Expense Reimbursement", 'P&amp;L'!$E250*Drivers!I$120,
     $B69="Direct Monthly Input", 0)</f>
        <v>20280</v>
      </c>
      <c r="G69" s="428" cm="1">
        <f t="array" ref="G69">_xlfn.IFS($B69="12-Month Smoothing", 'P&amp;L'!$E250*Drivers!J$113, $B69="10-Month Academic Calendar", 'P&amp;L'!$E250*Drivers!J$114, $B69="Quarterly Smoothing", 'P&amp;L'!$E250*Drivers!J$115,
     $B69="Two-Installment (front-loaded)", 'P&amp;L'!$E250*Drivers!J$116, $B69="Two-Installment (back-loaded)", 'P&amp;L'!$E250*Drivers!J$117,
     $B69="Year Start Lump Sum", 'P&amp;L'!$E250*Drivers!J$118,$B69="Expense Reimbursement", 'P&amp;L'!$E250*Drivers!J$120,
     $B69="Direct Monthly Input", 0)</f>
        <v>20280</v>
      </c>
      <c r="H69" s="428" cm="1">
        <f t="array" ref="H69">_xlfn.IFS($B69="12-Month Smoothing", 'P&amp;L'!$E250*Drivers!K$113, $B69="10-Month Academic Calendar", 'P&amp;L'!$E250*Drivers!K$114, $B69="Quarterly Smoothing", 'P&amp;L'!$E250*Drivers!K$115,
     $B69="Two-Installment (front-loaded)", 'P&amp;L'!$E250*Drivers!K$116, $B69="Two-Installment (back-loaded)", 'P&amp;L'!$E250*Drivers!K$117,
     $B69="Year Start Lump Sum", 'P&amp;L'!$E250*Drivers!K$118,$B69="Expense Reimbursement", 'P&amp;L'!$E250*Drivers!K$120,
     $B69="Direct Monthly Input", 0)</f>
        <v>20280</v>
      </c>
      <c r="I69" s="428" cm="1">
        <f t="array" ref="I69">_xlfn.IFS($B69="12-Month Smoothing", 'P&amp;L'!$E250*Drivers!L$113, $B69="10-Month Academic Calendar", 'P&amp;L'!$E250*Drivers!L$114, $B69="Quarterly Smoothing", 'P&amp;L'!$E250*Drivers!L$115,
     $B69="Two-Installment (front-loaded)", 'P&amp;L'!$E250*Drivers!L$116, $B69="Two-Installment (back-loaded)", 'P&amp;L'!$E250*Drivers!L$117,
     $B69="Year Start Lump Sum", 'P&amp;L'!$E250*Drivers!L$118,$B69="Expense Reimbursement", 'P&amp;L'!$E250*Drivers!L$120,
     $B69="Direct Monthly Input", 0)</f>
        <v>20280</v>
      </c>
      <c r="J69" s="428" cm="1">
        <f t="array" ref="J69">_xlfn.IFS($B69="12-Month Smoothing", 'P&amp;L'!$E250*Drivers!M$113, $B69="10-Month Academic Calendar", 'P&amp;L'!$E250*Drivers!M$114, $B69="Quarterly Smoothing", 'P&amp;L'!$E250*Drivers!M$115,
     $B69="Two-Installment (front-loaded)", 'P&amp;L'!$E250*Drivers!M$116, $B69="Two-Installment (back-loaded)", 'P&amp;L'!$E250*Drivers!M$117,
     $B69="Year Start Lump Sum", 'P&amp;L'!$E250*Drivers!M$118,$B69="Expense Reimbursement", 'P&amp;L'!$E250*Drivers!M$120,
     $B69="Direct Monthly Input", 0)</f>
        <v>20280</v>
      </c>
      <c r="K69" s="428" cm="1">
        <f t="array" ref="K69">_xlfn.IFS($B69="12-Month Smoothing", 'P&amp;L'!$E250*Drivers!N$113, $B69="10-Month Academic Calendar", 'P&amp;L'!$E250*Drivers!N$114, $B69="Quarterly Smoothing", 'P&amp;L'!$E250*Drivers!N$115,
     $B69="Two-Installment (front-loaded)", 'P&amp;L'!$E250*Drivers!N$116, $B69="Two-Installment (back-loaded)", 'P&amp;L'!$E250*Drivers!N$117,
     $B69="Year Start Lump Sum", 'P&amp;L'!$E250*Drivers!N$118,$B69="Expense Reimbursement", 'P&amp;L'!$E250*Drivers!N$120,
     $B69="Direct Monthly Input", 0)</f>
        <v>20280</v>
      </c>
      <c r="L69" s="428" cm="1">
        <f t="array" ref="L69">_xlfn.IFS($B69="12-Month Smoothing", 'P&amp;L'!$E250*Drivers!O$113, $B69="10-Month Academic Calendar", 'P&amp;L'!$E250*Drivers!O$114, $B69="Quarterly Smoothing", 'P&amp;L'!$E250*Drivers!O$115,
     $B69="Two-Installment (front-loaded)", 'P&amp;L'!$E250*Drivers!O$116, $B69="Two-Installment (back-loaded)", 'P&amp;L'!$E250*Drivers!O$117,
     $B69="Year Start Lump Sum", 'P&amp;L'!$E250*Drivers!O$118,$B69="Expense Reimbursement", 'P&amp;L'!$E250*Drivers!O$120,
     $B69="Direct Monthly Input", 0)</f>
        <v>20280</v>
      </c>
      <c r="M69" s="428" cm="1">
        <f t="array" ref="M69">_xlfn.IFS($B69="12-Month Smoothing", 'P&amp;L'!$E250*Drivers!P$113, $B69="10-Month Academic Calendar", 'P&amp;L'!$E250*Drivers!P$114, $B69="Quarterly Smoothing", 'P&amp;L'!$E250*Drivers!P$115,
     $B69="Two-Installment (front-loaded)", 'P&amp;L'!$E250*Drivers!P$116, $B69="Two-Installment (back-loaded)", 'P&amp;L'!$E250*Drivers!P$117,
     $B69="Year Start Lump Sum", 'P&amp;L'!$E250*Drivers!P$118,$B69="Expense Reimbursement", 'P&amp;L'!$E250*Drivers!P$120,
     $B69="Direct Monthly Input", 0)</f>
        <v>20280</v>
      </c>
      <c r="N69" s="428" cm="1">
        <f t="array" ref="N69">_xlfn.IFS($B69="12-Month Smoothing", 'P&amp;L'!$E250*Drivers!Q$113, $B69="10-Month Academic Calendar", 'P&amp;L'!$E250*Drivers!Q$114, $B69="Quarterly Smoothing", 'P&amp;L'!$E250*Drivers!Q$115,
     $B69="Two-Installment (front-loaded)", 'P&amp;L'!$E250*Drivers!Q$116, $B69="Two-Installment (back-loaded)", 'P&amp;L'!$E250*Drivers!Q$117,
     $B69="Year Start Lump Sum", 'P&amp;L'!$E250*Drivers!Q$118,$B69="Expense Reimbursement", 'P&amp;L'!$E250*Drivers!Q$120,
     $B69="Direct Monthly Input", 0)</f>
        <v>0</v>
      </c>
      <c r="O69" s="847" cm="1">
        <f t="array" ref="O69">_xlfn.IFS($B69="12-Month Smoothing", 'P&amp;L'!$E250*Drivers!R$113, $B69="10-Month Academic Calendar", 'P&amp;L'!$E250*Drivers!R$114, $B69="Quarterly Smoothing", 'P&amp;L'!$E250*Drivers!R$115,
     $B69="Two-Installment (front-loaded)", 'P&amp;L'!$E250*Drivers!R$116, $B69="Two-Installment (back-loaded)", 'P&amp;L'!$E250*Drivers!R$117,
     $B69="Year Start Lump Sum", 'P&amp;L'!$E250*Drivers!R$118,$B69="Expense Reimbursement", 'P&amp;L'!$E250*Drivers!R$120,
     $B69="Direct Monthly Input", 0)</f>
        <v>0</v>
      </c>
      <c r="P69" s="130">
        <f t="shared" si="4"/>
        <v>202800</v>
      </c>
      <c r="Q69" s="730"/>
      <c r="R69" s="537"/>
    </row>
    <row r="70" spans="1:18" s="538" customFormat="1" ht="17" thickBot="1">
      <c r="A70" s="735"/>
      <c r="B70" s="419" t="s">
        <v>440</v>
      </c>
      <c r="C70" s="857" t="str">
        <f>'P&amp;L'!C251</f>
        <v>Student Services Other</v>
      </c>
      <c r="D70" s="854" cm="1">
        <f t="array" ref="D70">_xlfn.IFS($B70="12-Month Smoothing", 'P&amp;L'!$E251*Drivers!G$113, $B70="10-Month Academic Calendar", 'P&amp;L'!$E251*Drivers!G$114, $B70="Quarterly Smoothing", 'P&amp;L'!$E251*Drivers!G$115,
     $B70="Two-Installment (front-loaded)", 'P&amp;L'!$E251*Drivers!G$116, $B70="Two-Installment (back-loaded)", 'P&amp;L'!$E251*Drivers!G$117,
     $B70="Year Start Lump Sum", 'P&amp;L'!$E251*Drivers!G$118,$B70="Expense Reimbursement", 'P&amp;L'!$E251*Drivers!G$120,
     $B70="Direct Monthly Input", 0)</f>
        <v>1440</v>
      </c>
      <c r="E70" s="428" cm="1">
        <f t="array" ref="E70">_xlfn.IFS($B70="12-Month Smoothing", 'P&amp;L'!$E251*Drivers!H$113, $B70="10-Month Academic Calendar", 'P&amp;L'!$E251*Drivers!H$114, $B70="Quarterly Smoothing", 'P&amp;L'!$E251*Drivers!H$115,
     $B70="Two-Installment (front-loaded)", 'P&amp;L'!$E251*Drivers!H$116, $B70="Two-Installment (back-loaded)", 'P&amp;L'!$E251*Drivers!H$117,
     $B70="Year Start Lump Sum", 'P&amp;L'!$E251*Drivers!H$118,$B70="Expense Reimbursement", 'P&amp;L'!$E251*Drivers!H$120,
     $B70="Direct Monthly Input", 0)</f>
        <v>1440</v>
      </c>
      <c r="F70" s="428" cm="1">
        <f t="array" ref="F70">_xlfn.IFS($B70="12-Month Smoothing", 'P&amp;L'!$E251*Drivers!I$113, $B70="10-Month Academic Calendar", 'P&amp;L'!$E251*Drivers!I$114, $B70="Quarterly Smoothing", 'P&amp;L'!$E251*Drivers!I$115,
     $B70="Two-Installment (front-loaded)", 'P&amp;L'!$E251*Drivers!I$116, $B70="Two-Installment (back-loaded)", 'P&amp;L'!$E251*Drivers!I$117,
     $B70="Year Start Lump Sum", 'P&amp;L'!$E251*Drivers!I$118,$B70="Expense Reimbursement", 'P&amp;L'!$E251*Drivers!I$120,
     $B70="Direct Monthly Input", 0)</f>
        <v>1440</v>
      </c>
      <c r="G70" s="428" cm="1">
        <f t="array" ref="G70">_xlfn.IFS($B70="12-Month Smoothing", 'P&amp;L'!$E251*Drivers!J$113, $B70="10-Month Academic Calendar", 'P&amp;L'!$E251*Drivers!J$114, $B70="Quarterly Smoothing", 'P&amp;L'!$E251*Drivers!J$115,
     $B70="Two-Installment (front-loaded)", 'P&amp;L'!$E251*Drivers!J$116, $B70="Two-Installment (back-loaded)", 'P&amp;L'!$E251*Drivers!J$117,
     $B70="Year Start Lump Sum", 'P&amp;L'!$E251*Drivers!J$118,$B70="Expense Reimbursement", 'P&amp;L'!$E251*Drivers!J$120,
     $B70="Direct Monthly Input", 0)</f>
        <v>1440</v>
      </c>
      <c r="H70" s="428" cm="1">
        <f t="array" ref="H70">_xlfn.IFS($B70="12-Month Smoothing", 'P&amp;L'!$E251*Drivers!K$113, $B70="10-Month Academic Calendar", 'P&amp;L'!$E251*Drivers!K$114, $B70="Quarterly Smoothing", 'P&amp;L'!$E251*Drivers!K$115,
     $B70="Two-Installment (front-loaded)", 'P&amp;L'!$E251*Drivers!K$116, $B70="Two-Installment (back-loaded)", 'P&amp;L'!$E251*Drivers!K$117,
     $B70="Year Start Lump Sum", 'P&amp;L'!$E251*Drivers!K$118,$B70="Expense Reimbursement", 'P&amp;L'!$E251*Drivers!K$120,
     $B70="Direct Monthly Input", 0)</f>
        <v>1440</v>
      </c>
      <c r="I70" s="428" cm="1">
        <f t="array" ref="I70">_xlfn.IFS($B70="12-Month Smoothing", 'P&amp;L'!$E251*Drivers!L$113, $B70="10-Month Academic Calendar", 'P&amp;L'!$E251*Drivers!L$114, $B70="Quarterly Smoothing", 'P&amp;L'!$E251*Drivers!L$115,
     $B70="Two-Installment (front-loaded)", 'P&amp;L'!$E251*Drivers!L$116, $B70="Two-Installment (back-loaded)", 'P&amp;L'!$E251*Drivers!L$117,
     $B70="Year Start Lump Sum", 'P&amp;L'!$E251*Drivers!L$118,$B70="Expense Reimbursement", 'P&amp;L'!$E251*Drivers!L$120,
     $B70="Direct Monthly Input", 0)</f>
        <v>1440</v>
      </c>
      <c r="J70" s="428" cm="1">
        <f t="array" ref="J70">_xlfn.IFS($B70="12-Month Smoothing", 'P&amp;L'!$E251*Drivers!M$113, $B70="10-Month Academic Calendar", 'P&amp;L'!$E251*Drivers!M$114, $B70="Quarterly Smoothing", 'P&amp;L'!$E251*Drivers!M$115,
     $B70="Two-Installment (front-loaded)", 'P&amp;L'!$E251*Drivers!M$116, $B70="Two-Installment (back-loaded)", 'P&amp;L'!$E251*Drivers!M$117,
     $B70="Year Start Lump Sum", 'P&amp;L'!$E251*Drivers!M$118,$B70="Expense Reimbursement", 'P&amp;L'!$E251*Drivers!M$120,
     $B70="Direct Monthly Input", 0)</f>
        <v>1440</v>
      </c>
      <c r="K70" s="428" cm="1">
        <f t="array" ref="K70">_xlfn.IFS($B70="12-Month Smoothing", 'P&amp;L'!$E251*Drivers!N$113, $B70="10-Month Academic Calendar", 'P&amp;L'!$E251*Drivers!N$114, $B70="Quarterly Smoothing", 'P&amp;L'!$E251*Drivers!N$115,
     $B70="Two-Installment (front-loaded)", 'P&amp;L'!$E251*Drivers!N$116, $B70="Two-Installment (back-loaded)", 'P&amp;L'!$E251*Drivers!N$117,
     $B70="Year Start Lump Sum", 'P&amp;L'!$E251*Drivers!N$118,$B70="Expense Reimbursement", 'P&amp;L'!$E251*Drivers!N$120,
     $B70="Direct Monthly Input", 0)</f>
        <v>1440</v>
      </c>
      <c r="L70" s="428" cm="1">
        <f t="array" ref="L70">_xlfn.IFS($B70="12-Month Smoothing", 'P&amp;L'!$E251*Drivers!O$113, $B70="10-Month Academic Calendar", 'P&amp;L'!$E251*Drivers!O$114, $B70="Quarterly Smoothing", 'P&amp;L'!$E251*Drivers!O$115,
     $B70="Two-Installment (front-loaded)", 'P&amp;L'!$E251*Drivers!O$116, $B70="Two-Installment (back-loaded)", 'P&amp;L'!$E251*Drivers!O$117,
     $B70="Year Start Lump Sum", 'P&amp;L'!$E251*Drivers!O$118,$B70="Expense Reimbursement", 'P&amp;L'!$E251*Drivers!O$120,
     $B70="Direct Monthly Input", 0)</f>
        <v>1440</v>
      </c>
      <c r="M70" s="428" cm="1">
        <f t="array" ref="M70">_xlfn.IFS($B70="12-Month Smoothing", 'P&amp;L'!$E251*Drivers!P$113, $B70="10-Month Academic Calendar", 'P&amp;L'!$E251*Drivers!P$114, $B70="Quarterly Smoothing", 'P&amp;L'!$E251*Drivers!P$115,
     $B70="Two-Installment (front-loaded)", 'P&amp;L'!$E251*Drivers!P$116, $B70="Two-Installment (back-loaded)", 'P&amp;L'!$E251*Drivers!P$117,
     $B70="Year Start Lump Sum", 'P&amp;L'!$E251*Drivers!P$118,$B70="Expense Reimbursement", 'P&amp;L'!$E251*Drivers!P$120,
     $B70="Direct Monthly Input", 0)</f>
        <v>1440</v>
      </c>
      <c r="N70" s="428" cm="1">
        <f t="array" ref="N70">_xlfn.IFS($B70="12-Month Smoothing", 'P&amp;L'!$E251*Drivers!Q$113, $B70="10-Month Academic Calendar", 'P&amp;L'!$E251*Drivers!Q$114, $B70="Quarterly Smoothing", 'P&amp;L'!$E251*Drivers!Q$115,
     $B70="Two-Installment (front-loaded)", 'P&amp;L'!$E251*Drivers!Q$116, $B70="Two-Installment (back-loaded)", 'P&amp;L'!$E251*Drivers!Q$117,
     $B70="Year Start Lump Sum", 'P&amp;L'!$E251*Drivers!Q$118,$B70="Expense Reimbursement", 'P&amp;L'!$E251*Drivers!Q$120,
     $B70="Direct Monthly Input", 0)</f>
        <v>0</v>
      </c>
      <c r="O70" s="847" cm="1">
        <f t="array" ref="O70">_xlfn.IFS($B70="12-Month Smoothing", 'P&amp;L'!$E251*Drivers!R$113, $B70="10-Month Academic Calendar", 'P&amp;L'!$E251*Drivers!R$114, $B70="Quarterly Smoothing", 'P&amp;L'!$E251*Drivers!R$115,
     $B70="Two-Installment (front-loaded)", 'P&amp;L'!$E251*Drivers!R$116, $B70="Two-Installment (back-loaded)", 'P&amp;L'!$E251*Drivers!R$117,
     $B70="Year Start Lump Sum", 'P&amp;L'!$E251*Drivers!R$118,$B70="Expense Reimbursement", 'P&amp;L'!$E251*Drivers!R$120,
     $B70="Direct Monthly Input", 0)</f>
        <v>0</v>
      </c>
      <c r="P70" s="130">
        <f t="shared" si="4"/>
        <v>14400</v>
      </c>
      <c r="Q70" s="730"/>
      <c r="R70" s="537"/>
    </row>
    <row r="71" spans="1:18" s="538" customFormat="1" ht="17" thickBot="1">
      <c r="A71" s="735"/>
      <c r="B71" s="419" t="s">
        <v>439</v>
      </c>
      <c r="C71" s="857" t="str">
        <f>'P&amp;L'!C252</f>
        <v>Office Expense</v>
      </c>
      <c r="D71" s="854" cm="1">
        <f t="array" ref="D71">_xlfn.IFS($B71="12-Month Smoothing", 'P&amp;L'!$E252*Drivers!G$113, $B71="10-Month Academic Calendar", 'P&amp;L'!$E252*Drivers!G$114, $B71="Quarterly Smoothing", 'P&amp;L'!$E252*Drivers!G$115,
     $B71="Two-Installment (front-loaded)", 'P&amp;L'!$E252*Drivers!G$116, $B71="Two-Installment (back-loaded)", 'P&amp;L'!$E252*Drivers!G$117,
     $B71="Year Start Lump Sum", 'P&amp;L'!$E252*Drivers!G$118,$B71="Expense Reimbursement", 'P&amp;L'!$E252*Drivers!G$120,
     $B71="Direct Monthly Input", 0)</f>
        <v>1166.6666666666665</v>
      </c>
      <c r="E71" s="428" cm="1">
        <f t="array" ref="E71">_xlfn.IFS($B71="12-Month Smoothing", 'P&amp;L'!$E252*Drivers!H$113, $B71="10-Month Academic Calendar", 'P&amp;L'!$E252*Drivers!H$114, $B71="Quarterly Smoothing", 'P&amp;L'!$E252*Drivers!H$115,
     $B71="Two-Installment (front-loaded)", 'P&amp;L'!$E252*Drivers!H$116, $B71="Two-Installment (back-loaded)", 'P&amp;L'!$E252*Drivers!H$117,
     $B71="Year Start Lump Sum", 'P&amp;L'!$E252*Drivers!H$118,$B71="Expense Reimbursement", 'P&amp;L'!$E252*Drivers!H$120,
     $B71="Direct Monthly Input", 0)</f>
        <v>1166.6666666666665</v>
      </c>
      <c r="F71" s="428" cm="1">
        <f t="array" ref="F71">_xlfn.IFS($B71="12-Month Smoothing", 'P&amp;L'!$E252*Drivers!I$113, $B71="10-Month Academic Calendar", 'P&amp;L'!$E252*Drivers!I$114, $B71="Quarterly Smoothing", 'P&amp;L'!$E252*Drivers!I$115,
     $B71="Two-Installment (front-loaded)", 'P&amp;L'!$E252*Drivers!I$116, $B71="Two-Installment (back-loaded)", 'P&amp;L'!$E252*Drivers!I$117,
     $B71="Year Start Lump Sum", 'P&amp;L'!$E252*Drivers!I$118,$B71="Expense Reimbursement", 'P&amp;L'!$E252*Drivers!I$120,
     $B71="Direct Monthly Input", 0)</f>
        <v>1166.6666666666665</v>
      </c>
      <c r="G71" s="428" cm="1">
        <f t="array" ref="G71">_xlfn.IFS($B71="12-Month Smoothing", 'P&amp;L'!$E252*Drivers!J$113, $B71="10-Month Academic Calendar", 'P&amp;L'!$E252*Drivers!J$114, $B71="Quarterly Smoothing", 'P&amp;L'!$E252*Drivers!J$115,
     $B71="Two-Installment (front-loaded)", 'P&amp;L'!$E252*Drivers!J$116, $B71="Two-Installment (back-loaded)", 'P&amp;L'!$E252*Drivers!J$117,
     $B71="Year Start Lump Sum", 'P&amp;L'!$E252*Drivers!J$118,$B71="Expense Reimbursement", 'P&amp;L'!$E252*Drivers!J$120,
     $B71="Direct Monthly Input", 0)</f>
        <v>1166.6666666666665</v>
      </c>
      <c r="H71" s="428" cm="1">
        <f t="array" ref="H71">_xlfn.IFS($B71="12-Month Smoothing", 'P&amp;L'!$E252*Drivers!K$113, $B71="10-Month Academic Calendar", 'P&amp;L'!$E252*Drivers!K$114, $B71="Quarterly Smoothing", 'P&amp;L'!$E252*Drivers!K$115,
     $B71="Two-Installment (front-loaded)", 'P&amp;L'!$E252*Drivers!K$116, $B71="Two-Installment (back-loaded)", 'P&amp;L'!$E252*Drivers!K$117,
     $B71="Year Start Lump Sum", 'P&amp;L'!$E252*Drivers!K$118,$B71="Expense Reimbursement", 'P&amp;L'!$E252*Drivers!K$120,
     $B71="Direct Monthly Input", 0)</f>
        <v>1166.6666666666665</v>
      </c>
      <c r="I71" s="428" cm="1">
        <f t="array" ref="I71">_xlfn.IFS($B71="12-Month Smoothing", 'P&amp;L'!$E252*Drivers!L$113, $B71="10-Month Academic Calendar", 'P&amp;L'!$E252*Drivers!L$114, $B71="Quarterly Smoothing", 'P&amp;L'!$E252*Drivers!L$115,
     $B71="Two-Installment (front-loaded)", 'P&amp;L'!$E252*Drivers!L$116, $B71="Two-Installment (back-loaded)", 'P&amp;L'!$E252*Drivers!L$117,
     $B71="Year Start Lump Sum", 'P&amp;L'!$E252*Drivers!L$118,$B71="Expense Reimbursement", 'P&amp;L'!$E252*Drivers!L$120,
     $B71="Direct Monthly Input", 0)</f>
        <v>1166.6666666666665</v>
      </c>
      <c r="J71" s="428" cm="1">
        <f t="array" ref="J71">_xlfn.IFS($B71="12-Month Smoothing", 'P&amp;L'!$E252*Drivers!M$113, $B71="10-Month Academic Calendar", 'P&amp;L'!$E252*Drivers!M$114, $B71="Quarterly Smoothing", 'P&amp;L'!$E252*Drivers!M$115,
     $B71="Two-Installment (front-loaded)", 'P&amp;L'!$E252*Drivers!M$116, $B71="Two-Installment (back-loaded)", 'P&amp;L'!$E252*Drivers!M$117,
     $B71="Year Start Lump Sum", 'P&amp;L'!$E252*Drivers!M$118,$B71="Expense Reimbursement", 'P&amp;L'!$E252*Drivers!M$120,
     $B71="Direct Monthly Input", 0)</f>
        <v>1166.6666666666665</v>
      </c>
      <c r="K71" s="428" cm="1">
        <f t="array" ref="K71">_xlfn.IFS($B71="12-Month Smoothing", 'P&amp;L'!$E252*Drivers!N$113, $B71="10-Month Academic Calendar", 'P&amp;L'!$E252*Drivers!N$114, $B71="Quarterly Smoothing", 'P&amp;L'!$E252*Drivers!N$115,
     $B71="Two-Installment (front-loaded)", 'P&amp;L'!$E252*Drivers!N$116, $B71="Two-Installment (back-loaded)", 'P&amp;L'!$E252*Drivers!N$117,
     $B71="Year Start Lump Sum", 'P&amp;L'!$E252*Drivers!N$118,$B71="Expense Reimbursement", 'P&amp;L'!$E252*Drivers!N$120,
     $B71="Direct Monthly Input", 0)</f>
        <v>1166.6666666666665</v>
      </c>
      <c r="L71" s="428" cm="1">
        <f t="array" ref="L71">_xlfn.IFS($B71="12-Month Smoothing", 'P&amp;L'!$E252*Drivers!O$113, $B71="10-Month Academic Calendar", 'P&amp;L'!$E252*Drivers!O$114, $B71="Quarterly Smoothing", 'P&amp;L'!$E252*Drivers!O$115,
     $B71="Two-Installment (front-loaded)", 'P&amp;L'!$E252*Drivers!O$116, $B71="Two-Installment (back-loaded)", 'P&amp;L'!$E252*Drivers!O$117,
     $B71="Year Start Lump Sum", 'P&amp;L'!$E252*Drivers!O$118,$B71="Expense Reimbursement", 'P&amp;L'!$E252*Drivers!O$120,
     $B71="Direct Monthly Input", 0)</f>
        <v>1166.6666666666665</v>
      </c>
      <c r="M71" s="428" cm="1">
        <f t="array" ref="M71">_xlfn.IFS($B71="12-Month Smoothing", 'P&amp;L'!$E252*Drivers!P$113, $B71="10-Month Academic Calendar", 'P&amp;L'!$E252*Drivers!P$114, $B71="Quarterly Smoothing", 'P&amp;L'!$E252*Drivers!P$115,
     $B71="Two-Installment (front-loaded)", 'P&amp;L'!$E252*Drivers!P$116, $B71="Two-Installment (back-loaded)", 'P&amp;L'!$E252*Drivers!P$117,
     $B71="Year Start Lump Sum", 'P&amp;L'!$E252*Drivers!P$118,$B71="Expense Reimbursement", 'P&amp;L'!$E252*Drivers!P$120,
     $B71="Direct Monthly Input", 0)</f>
        <v>1166.6666666666665</v>
      </c>
      <c r="N71" s="428" cm="1">
        <f t="array" ref="N71">_xlfn.IFS($B71="12-Month Smoothing", 'P&amp;L'!$E252*Drivers!Q$113, $B71="10-Month Academic Calendar", 'P&amp;L'!$E252*Drivers!Q$114, $B71="Quarterly Smoothing", 'P&amp;L'!$E252*Drivers!Q$115,
     $B71="Two-Installment (front-loaded)", 'P&amp;L'!$E252*Drivers!Q$116, $B71="Two-Installment (back-loaded)", 'P&amp;L'!$E252*Drivers!Q$117,
     $B71="Year Start Lump Sum", 'P&amp;L'!$E252*Drivers!Q$118,$B71="Expense Reimbursement", 'P&amp;L'!$E252*Drivers!Q$120,
     $B71="Direct Monthly Input", 0)</f>
        <v>1166.6666666666665</v>
      </c>
      <c r="O71" s="847" cm="1">
        <f t="array" ref="O71">_xlfn.IFS($B71="12-Month Smoothing", 'P&amp;L'!$E252*Drivers!R$113, $B71="10-Month Academic Calendar", 'P&amp;L'!$E252*Drivers!R$114, $B71="Quarterly Smoothing", 'P&amp;L'!$E252*Drivers!R$115,
     $B71="Two-Installment (front-loaded)", 'P&amp;L'!$E252*Drivers!R$116, $B71="Two-Installment (back-loaded)", 'P&amp;L'!$E252*Drivers!R$117,
     $B71="Year Start Lump Sum", 'P&amp;L'!$E252*Drivers!R$118,$B71="Expense Reimbursement", 'P&amp;L'!$E252*Drivers!R$120,
     $B71="Direct Monthly Input", 0)</f>
        <v>1166.6666666666665</v>
      </c>
      <c r="P71" s="130">
        <f t="shared" si="4"/>
        <v>13999.999999999995</v>
      </c>
      <c r="Q71" s="730"/>
      <c r="R71" s="537"/>
    </row>
    <row r="72" spans="1:18" s="538" customFormat="1" ht="17" thickBot="1">
      <c r="A72" s="735"/>
      <c r="B72" s="419" t="s">
        <v>439</v>
      </c>
      <c r="C72" s="857" t="str">
        <f>'P&amp;L'!C253</f>
        <v>Staff Development</v>
      </c>
      <c r="D72" s="854" cm="1">
        <f t="array" ref="D72">_xlfn.IFS($B72="12-Month Smoothing", 'P&amp;L'!$E253*Drivers!G$113, $B72="10-Month Academic Calendar", 'P&amp;L'!$E253*Drivers!G$114, $B72="Quarterly Smoothing", 'P&amp;L'!$E253*Drivers!G$115,
     $B72="Two-Installment (front-loaded)", 'P&amp;L'!$E253*Drivers!G$116, $B72="Two-Installment (back-loaded)", 'P&amp;L'!$E253*Drivers!G$117,
     $B72="Year Start Lump Sum", 'P&amp;L'!$E253*Drivers!G$118,$B72="Expense Reimbursement", 'P&amp;L'!$E253*Drivers!G$120,
     $B72="Direct Monthly Input", 0)</f>
        <v>1716.6666666666665</v>
      </c>
      <c r="E72" s="428" cm="1">
        <f t="array" ref="E72">_xlfn.IFS($B72="12-Month Smoothing", 'P&amp;L'!$E253*Drivers!H$113, $B72="10-Month Academic Calendar", 'P&amp;L'!$E253*Drivers!H$114, $B72="Quarterly Smoothing", 'P&amp;L'!$E253*Drivers!H$115,
     $B72="Two-Installment (front-loaded)", 'P&amp;L'!$E253*Drivers!H$116, $B72="Two-Installment (back-loaded)", 'P&amp;L'!$E253*Drivers!H$117,
     $B72="Year Start Lump Sum", 'P&amp;L'!$E253*Drivers!H$118,$B72="Expense Reimbursement", 'P&amp;L'!$E253*Drivers!H$120,
     $B72="Direct Monthly Input", 0)</f>
        <v>1716.6666666666665</v>
      </c>
      <c r="F72" s="428" cm="1">
        <f t="array" ref="F72">_xlfn.IFS($B72="12-Month Smoothing", 'P&amp;L'!$E253*Drivers!I$113, $B72="10-Month Academic Calendar", 'P&amp;L'!$E253*Drivers!I$114, $B72="Quarterly Smoothing", 'P&amp;L'!$E253*Drivers!I$115,
     $B72="Two-Installment (front-loaded)", 'P&amp;L'!$E253*Drivers!I$116, $B72="Two-Installment (back-loaded)", 'P&amp;L'!$E253*Drivers!I$117,
     $B72="Year Start Lump Sum", 'P&amp;L'!$E253*Drivers!I$118,$B72="Expense Reimbursement", 'P&amp;L'!$E253*Drivers!I$120,
     $B72="Direct Monthly Input", 0)</f>
        <v>1716.6666666666665</v>
      </c>
      <c r="G72" s="428" cm="1">
        <f t="array" ref="G72">_xlfn.IFS($B72="12-Month Smoothing", 'P&amp;L'!$E253*Drivers!J$113, $B72="10-Month Academic Calendar", 'P&amp;L'!$E253*Drivers!J$114, $B72="Quarterly Smoothing", 'P&amp;L'!$E253*Drivers!J$115,
     $B72="Two-Installment (front-loaded)", 'P&amp;L'!$E253*Drivers!J$116, $B72="Two-Installment (back-loaded)", 'P&amp;L'!$E253*Drivers!J$117,
     $B72="Year Start Lump Sum", 'P&amp;L'!$E253*Drivers!J$118,$B72="Expense Reimbursement", 'P&amp;L'!$E253*Drivers!J$120,
     $B72="Direct Monthly Input", 0)</f>
        <v>1716.6666666666665</v>
      </c>
      <c r="H72" s="428" cm="1">
        <f t="array" ref="H72">_xlfn.IFS($B72="12-Month Smoothing", 'P&amp;L'!$E253*Drivers!K$113, $B72="10-Month Academic Calendar", 'P&amp;L'!$E253*Drivers!K$114, $B72="Quarterly Smoothing", 'P&amp;L'!$E253*Drivers!K$115,
     $B72="Two-Installment (front-loaded)", 'P&amp;L'!$E253*Drivers!K$116, $B72="Two-Installment (back-loaded)", 'P&amp;L'!$E253*Drivers!K$117,
     $B72="Year Start Lump Sum", 'P&amp;L'!$E253*Drivers!K$118,$B72="Expense Reimbursement", 'P&amp;L'!$E253*Drivers!K$120,
     $B72="Direct Monthly Input", 0)</f>
        <v>1716.6666666666665</v>
      </c>
      <c r="I72" s="428" cm="1">
        <f t="array" ref="I72">_xlfn.IFS($B72="12-Month Smoothing", 'P&amp;L'!$E253*Drivers!L$113, $B72="10-Month Academic Calendar", 'P&amp;L'!$E253*Drivers!L$114, $B72="Quarterly Smoothing", 'P&amp;L'!$E253*Drivers!L$115,
     $B72="Two-Installment (front-loaded)", 'P&amp;L'!$E253*Drivers!L$116, $B72="Two-Installment (back-loaded)", 'P&amp;L'!$E253*Drivers!L$117,
     $B72="Year Start Lump Sum", 'P&amp;L'!$E253*Drivers!L$118,$B72="Expense Reimbursement", 'P&amp;L'!$E253*Drivers!L$120,
     $B72="Direct Monthly Input", 0)</f>
        <v>1716.6666666666665</v>
      </c>
      <c r="J72" s="428" cm="1">
        <f t="array" ref="J72">_xlfn.IFS($B72="12-Month Smoothing", 'P&amp;L'!$E253*Drivers!M$113, $B72="10-Month Academic Calendar", 'P&amp;L'!$E253*Drivers!M$114, $B72="Quarterly Smoothing", 'P&amp;L'!$E253*Drivers!M$115,
     $B72="Two-Installment (front-loaded)", 'P&amp;L'!$E253*Drivers!M$116, $B72="Two-Installment (back-loaded)", 'P&amp;L'!$E253*Drivers!M$117,
     $B72="Year Start Lump Sum", 'P&amp;L'!$E253*Drivers!M$118,$B72="Expense Reimbursement", 'P&amp;L'!$E253*Drivers!M$120,
     $B72="Direct Monthly Input", 0)</f>
        <v>1716.6666666666665</v>
      </c>
      <c r="K72" s="428" cm="1">
        <f t="array" ref="K72">_xlfn.IFS($B72="12-Month Smoothing", 'P&amp;L'!$E253*Drivers!N$113, $B72="10-Month Academic Calendar", 'P&amp;L'!$E253*Drivers!N$114, $B72="Quarterly Smoothing", 'P&amp;L'!$E253*Drivers!N$115,
     $B72="Two-Installment (front-loaded)", 'P&amp;L'!$E253*Drivers!N$116, $B72="Two-Installment (back-loaded)", 'P&amp;L'!$E253*Drivers!N$117,
     $B72="Year Start Lump Sum", 'P&amp;L'!$E253*Drivers!N$118,$B72="Expense Reimbursement", 'P&amp;L'!$E253*Drivers!N$120,
     $B72="Direct Monthly Input", 0)</f>
        <v>1716.6666666666665</v>
      </c>
      <c r="L72" s="428" cm="1">
        <f t="array" ref="L72">_xlfn.IFS($B72="12-Month Smoothing", 'P&amp;L'!$E253*Drivers!O$113, $B72="10-Month Academic Calendar", 'P&amp;L'!$E253*Drivers!O$114, $B72="Quarterly Smoothing", 'P&amp;L'!$E253*Drivers!O$115,
     $B72="Two-Installment (front-loaded)", 'P&amp;L'!$E253*Drivers!O$116, $B72="Two-Installment (back-loaded)", 'P&amp;L'!$E253*Drivers!O$117,
     $B72="Year Start Lump Sum", 'P&amp;L'!$E253*Drivers!O$118,$B72="Expense Reimbursement", 'P&amp;L'!$E253*Drivers!O$120,
     $B72="Direct Monthly Input", 0)</f>
        <v>1716.6666666666665</v>
      </c>
      <c r="M72" s="428" cm="1">
        <f t="array" ref="M72">_xlfn.IFS($B72="12-Month Smoothing", 'P&amp;L'!$E253*Drivers!P$113, $B72="10-Month Academic Calendar", 'P&amp;L'!$E253*Drivers!P$114, $B72="Quarterly Smoothing", 'P&amp;L'!$E253*Drivers!P$115,
     $B72="Two-Installment (front-loaded)", 'P&amp;L'!$E253*Drivers!P$116, $B72="Two-Installment (back-loaded)", 'P&amp;L'!$E253*Drivers!P$117,
     $B72="Year Start Lump Sum", 'P&amp;L'!$E253*Drivers!P$118,$B72="Expense Reimbursement", 'P&amp;L'!$E253*Drivers!P$120,
     $B72="Direct Monthly Input", 0)</f>
        <v>1716.6666666666665</v>
      </c>
      <c r="N72" s="428" cm="1">
        <f t="array" ref="N72">_xlfn.IFS($B72="12-Month Smoothing", 'P&amp;L'!$E253*Drivers!Q$113, $B72="10-Month Academic Calendar", 'P&amp;L'!$E253*Drivers!Q$114, $B72="Quarterly Smoothing", 'P&amp;L'!$E253*Drivers!Q$115,
     $B72="Two-Installment (front-loaded)", 'P&amp;L'!$E253*Drivers!Q$116, $B72="Two-Installment (back-loaded)", 'P&amp;L'!$E253*Drivers!Q$117,
     $B72="Year Start Lump Sum", 'P&amp;L'!$E253*Drivers!Q$118,$B72="Expense Reimbursement", 'P&amp;L'!$E253*Drivers!Q$120,
     $B72="Direct Monthly Input", 0)</f>
        <v>1716.6666666666665</v>
      </c>
      <c r="O72" s="847" cm="1">
        <f t="array" ref="O72">_xlfn.IFS($B72="12-Month Smoothing", 'P&amp;L'!$E253*Drivers!R$113, $B72="10-Month Academic Calendar", 'P&amp;L'!$E253*Drivers!R$114, $B72="Quarterly Smoothing", 'P&amp;L'!$E253*Drivers!R$115,
     $B72="Two-Installment (front-loaded)", 'P&amp;L'!$E253*Drivers!R$116, $B72="Two-Installment (back-loaded)", 'P&amp;L'!$E253*Drivers!R$117,
     $B72="Year Start Lump Sum", 'P&amp;L'!$E253*Drivers!R$118,$B72="Expense Reimbursement", 'P&amp;L'!$E253*Drivers!R$120,
     $B72="Direct Monthly Input", 0)</f>
        <v>1716.6666666666665</v>
      </c>
      <c r="P72" s="130">
        <f t="shared" si="4"/>
        <v>20600</v>
      </c>
      <c r="Q72" s="730"/>
      <c r="R72" s="537"/>
    </row>
    <row r="73" spans="1:18" s="538" customFormat="1" ht="17" thickBot="1">
      <c r="A73" s="735"/>
      <c r="B73" s="419" t="s">
        <v>439</v>
      </c>
      <c r="C73" s="857" t="str">
        <f>'P&amp;L'!C254</f>
        <v>Staff Recruitment</v>
      </c>
      <c r="D73" s="854" cm="1">
        <f t="array" ref="D73">_xlfn.IFS($B73="12-Month Smoothing", 'P&amp;L'!$E254*Drivers!G$113, $B73="10-Month Academic Calendar", 'P&amp;L'!$E254*Drivers!G$114, $B73="Quarterly Smoothing", 'P&amp;L'!$E254*Drivers!G$115,
     $B73="Two-Installment (front-loaded)", 'P&amp;L'!$E254*Drivers!G$116, $B73="Two-Installment (back-loaded)", 'P&amp;L'!$E254*Drivers!G$117,
     $B73="Year Start Lump Sum", 'P&amp;L'!$E254*Drivers!G$118,$B73="Expense Reimbursement", 'P&amp;L'!$E254*Drivers!G$120,
     $B73="Direct Monthly Input", 0)</f>
        <v>1072.9166666666665</v>
      </c>
      <c r="E73" s="428" cm="1">
        <f t="array" ref="E73">_xlfn.IFS($B73="12-Month Smoothing", 'P&amp;L'!$E254*Drivers!H$113, $B73="10-Month Academic Calendar", 'P&amp;L'!$E254*Drivers!H$114, $B73="Quarterly Smoothing", 'P&amp;L'!$E254*Drivers!H$115,
     $B73="Two-Installment (front-loaded)", 'P&amp;L'!$E254*Drivers!H$116, $B73="Two-Installment (back-loaded)", 'P&amp;L'!$E254*Drivers!H$117,
     $B73="Year Start Lump Sum", 'P&amp;L'!$E254*Drivers!H$118,$B73="Expense Reimbursement", 'P&amp;L'!$E254*Drivers!H$120,
     $B73="Direct Monthly Input", 0)</f>
        <v>1072.9166666666665</v>
      </c>
      <c r="F73" s="428" cm="1">
        <f t="array" ref="F73">_xlfn.IFS($B73="12-Month Smoothing", 'P&amp;L'!$E254*Drivers!I$113, $B73="10-Month Academic Calendar", 'P&amp;L'!$E254*Drivers!I$114, $B73="Quarterly Smoothing", 'P&amp;L'!$E254*Drivers!I$115,
     $B73="Two-Installment (front-loaded)", 'P&amp;L'!$E254*Drivers!I$116, $B73="Two-Installment (back-loaded)", 'P&amp;L'!$E254*Drivers!I$117,
     $B73="Year Start Lump Sum", 'P&amp;L'!$E254*Drivers!I$118,$B73="Expense Reimbursement", 'P&amp;L'!$E254*Drivers!I$120,
     $B73="Direct Monthly Input", 0)</f>
        <v>1072.9166666666665</v>
      </c>
      <c r="G73" s="428" cm="1">
        <f t="array" ref="G73">_xlfn.IFS($B73="12-Month Smoothing", 'P&amp;L'!$E254*Drivers!J$113, $B73="10-Month Academic Calendar", 'P&amp;L'!$E254*Drivers!J$114, $B73="Quarterly Smoothing", 'P&amp;L'!$E254*Drivers!J$115,
     $B73="Two-Installment (front-loaded)", 'P&amp;L'!$E254*Drivers!J$116, $B73="Two-Installment (back-loaded)", 'P&amp;L'!$E254*Drivers!J$117,
     $B73="Year Start Lump Sum", 'P&amp;L'!$E254*Drivers!J$118,$B73="Expense Reimbursement", 'P&amp;L'!$E254*Drivers!J$120,
     $B73="Direct Monthly Input", 0)</f>
        <v>1072.9166666666665</v>
      </c>
      <c r="H73" s="428" cm="1">
        <f t="array" ref="H73">_xlfn.IFS($B73="12-Month Smoothing", 'P&amp;L'!$E254*Drivers!K$113, $B73="10-Month Academic Calendar", 'P&amp;L'!$E254*Drivers!K$114, $B73="Quarterly Smoothing", 'P&amp;L'!$E254*Drivers!K$115,
     $B73="Two-Installment (front-loaded)", 'P&amp;L'!$E254*Drivers!K$116, $B73="Two-Installment (back-loaded)", 'P&amp;L'!$E254*Drivers!K$117,
     $B73="Year Start Lump Sum", 'P&amp;L'!$E254*Drivers!K$118,$B73="Expense Reimbursement", 'P&amp;L'!$E254*Drivers!K$120,
     $B73="Direct Monthly Input", 0)</f>
        <v>1072.9166666666665</v>
      </c>
      <c r="I73" s="428" cm="1">
        <f t="array" ref="I73">_xlfn.IFS($B73="12-Month Smoothing", 'P&amp;L'!$E254*Drivers!L$113, $B73="10-Month Academic Calendar", 'P&amp;L'!$E254*Drivers!L$114, $B73="Quarterly Smoothing", 'P&amp;L'!$E254*Drivers!L$115,
     $B73="Two-Installment (front-loaded)", 'P&amp;L'!$E254*Drivers!L$116, $B73="Two-Installment (back-loaded)", 'P&amp;L'!$E254*Drivers!L$117,
     $B73="Year Start Lump Sum", 'P&amp;L'!$E254*Drivers!L$118,$B73="Expense Reimbursement", 'P&amp;L'!$E254*Drivers!L$120,
     $B73="Direct Monthly Input", 0)</f>
        <v>1072.9166666666665</v>
      </c>
      <c r="J73" s="428" cm="1">
        <f t="array" ref="J73">_xlfn.IFS($B73="12-Month Smoothing", 'P&amp;L'!$E254*Drivers!M$113, $B73="10-Month Academic Calendar", 'P&amp;L'!$E254*Drivers!M$114, $B73="Quarterly Smoothing", 'P&amp;L'!$E254*Drivers!M$115,
     $B73="Two-Installment (front-loaded)", 'P&amp;L'!$E254*Drivers!M$116, $B73="Two-Installment (back-loaded)", 'P&amp;L'!$E254*Drivers!M$117,
     $B73="Year Start Lump Sum", 'P&amp;L'!$E254*Drivers!M$118,$B73="Expense Reimbursement", 'P&amp;L'!$E254*Drivers!M$120,
     $B73="Direct Monthly Input", 0)</f>
        <v>1072.9166666666665</v>
      </c>
      <c r="K73" s="428" cm="1">
        <f t="array" ref="K73">_xlfn.IFS($B73="12-Month Smoothing", 'P&amp;L'!$E254*Drivers!N$113, $B73="10-Month Academic Calendar", 'P&amp;L'!$E254*Drivers!N$114, $B73="Quarterly Smoothing", 'P&amp;L'!$E254*Drivers!N$115,
     $B73="Two-Installment (front-loaded)", 'P&amp;L'!$E254*Drivers!N$116, $B73="Two-Installment (back-loaded)", 'P&amp;L'!$E254*Drivers!N$117,
     $B73="Year Start Lump Sum", 'P&amp;L'!$E254*Drivers!N$118,$B73="Expense Reimbursement", 'P&amp;L'!$E254*Drivers!N$120,
     $B73="Direct Monthly Input", 0)</f>
        <v>1072.9166666666665</v>
      </c>
      <c r="L73" s="428" cm="1">
        <f t="array" ref="L73">_xlfn.IFS($B73="12-Month Smoothing", 'P&amp;L'!$E254*Drivers!O$113, $B73="10-Month Academic Calendar", 'P&amp;L'!$E254*Drivers!O$114, $B73="Quarterly Smoothing", 'P&amp;L'!$E254*Drivers!O$115,
     $B73="Two-Installment (front-loaded)", 'P&amp;L'!$E254*Drivers!O$116, $B73="Two-Installment (back-loaded)", 'P&amp;L'!$E254*Drivers!O$117,
     $B73="Year Start Lump Sum", 'P&amp;L'!$E254*Drivers!O$118,$B73="Expense Reimbursement", 'P&amp;L'!$E254*Drivers!O$120,
     $B73="Direct Monthly Input", 0)</f>
        <v>1072.9166666666665</v>
      </c>
      <c r="M73" s="428" cm="1">
        <f t="array" ref="M73">_xlfn.IFS($B73="12-Month Smoothing", 'P&amp;L'!$E254*Drivers!P$113, $B73="10-Month Academic Calendar", 'P&amp;L'!$E254*Drivers!P$114, $B73="Quarterly Smoothing", 'P&amp;L'!$E254*Drivers!P$115,
     $B73="Two-Installment (front-loaded)", 'P&amp;L'!$E254*Drivers!P$116, $B73="Two-Installment (back-loaded)", 'P&amp;L'!$E254*Drivers!P$117,
     $B73="Year Start Lump Sum", 'P&amp;L'!$E254*Drivers!P$118,$B73="Expense Reimbursement", 'P&amp;L'!$E254*Drivers!P$120,
     $B73="Direct Monthly Input", 0)</f>
        <v>1072.9166666666665</v>
      </c>
      <c r="N73" s="428" cm="1">
        <f t="array" ref="N73">_xlfn.IFS($B73="12-Month Smoothing", 'P&amp;L'!$E254*Drivers!Q$113, $B73="10-Month Academic Calendar", 'P&amp;L'!$E254*Drivers!Q$114, $B73="Quarterly Smoothing", 'P&amp;L'!$E254*Drivers!Q$115,
     $B73="Two-Installment (front-loaded)", 'P&amp;L'!$E254*Drivers!Q$116, $B73="Two-Installment (back-loaded)", 'P&amp;L'!$E254*Drivers!Q$117,
     $B73="Year Start Lump Sum", 'P&amp;L'!$E254*Drivers!Q$118,$B73="Expense Reimbursement", 'P&amp;L'!$E254*Drivers!Q$120,
     $B73="Direct Monthly Input", 0)</f>
        <v>1072.9166666666665</v>
      </c>
      <c r="O73" s="847" cm="1">
        <f t="array" ref="O73">_xlfn.IFS($B73="12-Month Smoothing", 'P&amp;L'!$E254*Drivers!R$113, $B73="10-Month Academic Calendar", 'P&amp;L'!$E254*Drivers!R$114, $B73="Quarterly Smoothing", 'P&amp;L'!$E254*Drivers!R$115,
     $B73="Two-Installment (front-loaded)", 'P&amp;L'!$E254*Drivers!R$116, $B73="Two-Installment (back-loaded)", 'P&amp;L'!$E254*Drivers!R$117,
     $B73="Year Start Lump Sum", 'P&amp;L'!$E254*Drivers!R$118,$B73="Expense Reimbursement", 'P&amp;L'!$E254*Drivers!R$120,
     $B73="Direct Monthly Input", 0)</f>
        <v>1072.9166666666665</v>
      </c>
      <c r="P73" s="130">
        <f t="shared" si="4"/>
        <v>12874.999999999995</v>
      </c>
      <c r="Q73" s="730"/>
      <c r="R73" s="537"/>
    </row>
    <row r="74" spans="1:18" s="538" customFormat="1" ht="17" thickBot="1">
      <c r="A74" s="735"/>
      <c r="B74" s="419" t="s">
        <v>439</v>
      </c>
      <c r="C74" s="857" t="str">
        <f>'P&amp;L'!C255</f>
        <v>Student Recruitment/Marketing</v>
      </c>
      <c r="D74" s="854" cm="1">
        <f t="array" ref="D74">_xlfn.IFS($B74="12-Month Smoothing", 'P&amp;L'!$E255*Drivers!G$113, $B74="10-Month Academic Calendar", 'P&amp;L'!$E255*Drivers!G$114, $B74="Quarterly Smoothing", 'P&amp;L'!$E255*Drivers!G$115,
     $B74="Two-Installment (front-loaded)", 'P&amp;L'!$E255*Drivers!G$116, $B74="Two-Installment (back-loaded)", 'P&amp;L'!$E255*Drivers!G$117,
     $B74="Year Start Lump Sum", 'P&amp;L'!$E255*Drivers!G$118,$B74="Expense Reimbursement", 'P&amp;L'!$E255*Drivers!G$120,
     $B74="Direct Monthly Input", 0)</f>
        <v>2333.333333333333</v>
      </c>
      <c r="E74" s="428" cm="1">
        <f t="array" ref="E74">_xlfn.IFS($B74="12-Month Smoothing", 'P&amp;L'!$E255*Drivers!H$113, $B74="10-Month Academic Calendar", 'P&amp;L'!$E255*Drivers!H$114, $B74="Quarterly Smoothing", 'P&amp;L'!$E255*Drivers!H$115,
     $B74="Two-Installment (front-loaded)", 'P&amp;L'!$E255*Drivers!H$116, $B74="Two-Installment (back-loaded)", 'P&amp;L'!$E255*Drivers!H$117,
     $B74="Year Start Lump Sum", 'P&amp;L'!$E255*Drivers!H$118,$B74="Expense Reimbursement", 'P&amp;L'!$E255*Drivers!H$120,
     $B74="Direct Monthly Input", 0)</f>
        <v>2333.333333333333</v>
      </c>
      <c r="F74" s="428" cm="1">
        <f t="array" ref="F74">_xlfn.IFS($B74="12-Month Smoothing", 'P&amp;L'!$E255*Drivers!I$113, $B74="10-Month Academic Calendar", 'P&amp;L'!$E255*Drivers!I$114, $B74="Quarterly Smoothing", 'P&amp;L'!$E255*Drivers!I$115,
     $B74="Two-Installment (front-loaded)", 'P&amp;L'!$E255*Drivers!I$116, $B74="Two-Installment (back-loaded)", 'P&amp;L'!$E255*Drivers!I$117,
     $B74="Year Start Lump Sum", 'P&amp;L'!$E255*Drivers!I$118,$B74="Expense Reimbursement", 'P&amp;L'!$E255*Drivers!I$120,
     $B74="Direct Monthly Input", 0)</f>
        <v>2333.333333333333</v>
      </c>
      <c r="G74" s="428" cm="1">
        <f t="array" ref="G74">_xlfn.IFS($B74="12-Month Smoothing", 'P&amp;L'!$E255*Drivers!J$113, $B74="10-Month Academic Calendar", 'P&amp;L'!$E255*Drivers!J$114, $B74="Quarterly Smoothing", 'P&amp;L'!$E255*Drivers!J$115,
     $B74="Two-Installment (front-loaded)", 'P&amp;L'!$E255*Drivers!J$116, $B74="Two-Installment (back-loaded)", 'P&amp;L'!$E255*Drivers!J$117,
     $B74="Year Start Lump Sum", 'P&amp;L'!$E255*Drivers!J$118,$B74="Expense Reimbursement", 'P&amp;L'!$E255*Drivers!J$120,
     $B74="Direct Monthly Input", 0)</f>
        <v>2333.333333333333</v>
      </c>
      <c r="H74" s="428" cm="1">
        <f t="array" ref="H74">_xlfn.IFS($B74="12-Month Smoothing", 'P&amp;L'!$E255*Drivers!K$113, $B74="10-Month Academic Calendar", 'P&amp;L'!$E255*Drivers!K$114, $B74="Quarterly Smoothing", 'P&amp;L'!$E255*Drivers!K$115,
     $B74="Two-Installment (front-loaded)", 'P&amp;L'!$E255*Drivers!K$116, $B74="Two-Installment (back-loaded)", 'P&amp;L'!$E255*Drivers!K$117,
     $B74="Year Start Lump Sum", 'P&amp;L'!$E255*Drivers!K$118,$B74="Expense Reimbursement", 'P&amp;L'!$E255*Drivers!K$120,
     $B74="Direct Monthly Input", 0)</f>
        <v>2333.333333333333</v>
      </c>
      <c r="I74" s="428" cm="1">
        <f t="array" ref="I74">_xlfn.IFS($B74="12-Month Smoothing", 'P&amp;L'!$E255*Drivers!L$113, $B74="10-Month Academic Calendar", 'P&amp;L'!$E255*Drivers!L$114, $B74="Quarterly Smoothing", 'P&amp;L'!$E255*Drivers!L$115,
     $B74="Two-Installment (front-loaded)", 'P&amp;L'!$E255*Drivers!L$116, $B74="Two-Installment (back-loaded)", 'P&amp;L'!$E255*Drivers!L$117,
     $B74="Year Start Lump Sum", 'P&amp;L'!$E255*Drivers!L$118,$B74="Expense Reimbursement", 'P&amp;L'!$E255*Drivers!L$120,
     $B74="Direct Monthly Input", 0)</f>
        <v>2333.333333333333</v>
      </c>
      <c r="J74" s="428" cm="1">
        <f t="array" ref="J74">_xlfn.IFS($B74="12-Month Smoothing", 'P&amp;L'!$E255*Drivers!M$113, $B74="10-Month Academic Calendar", 'P&amp;L'!$E255*Drivers!M$114, $B74="Quarterly Smoothing", 'P&amp;L'!$E255*Drivers!M$115,
     $B74="Two-Installment (front-loaded)", 'P&amp;L'!$E255*Drivers!M$116, $B74="Two-Installment (back-loaded)", 'P&amp;L'!$E255*Drivers!M$117,
     $B74="Year Start Lump Sum", 'P&amp;L'!$E255*Drivers!M$118,$B74="Expense Reimbursement", 'P&amp;L'!$E255*Drivers!M$120,
     $B74="Direct Monthly Input", 0)</f>
        <v>2333.333333333333</v>
      </c>
      <c r="K74" s="428" cm="1">
        <f t="array" ref="K74">_xlfn.IFS($B74="12-Month Smoothing", 'P&amp;L'!$E255*Drivers!N$113, $B74="10-Month Academic Calendar", 'P&amp;L'!$E255*Drivers!N$114, $B74="Quarterly Smoothing", 'P&amp;L'!$E255*Drivers!N$115,
     $B74="Two-Installment (front-loaded)", 'P&amp;L'!$E255*Drivers!N$116, $B74="Two-Installment (back-loaded)", 'P&amp;L'!$E255*Drivers!N$117,
     $B74="Year Start Lump Sum", 'P&amp;L'!$E255*Drivers!N$118,$B74="Expense Reimbursement", 'P&amp;L'!$E255*Drivers!N$120,
     $B74="Direct Monthly Input", 0)</f>
        <v>2333.333333333333</v>
      </c>
      <c r="L74" s="428" cm="1">
        <f t="array" ref="L74">_xlfn.IFS($B74="12-Month Smoothing", 'P&amp;L'!$E255*Drivers!O$113, $B74="10-Month Academic Calendar", 'P&amp;L'!$E255*Drivers!O$114, $B74="Quarterly Smoothing", 'P&amp;L'!$E255*Drivers!O$115,
     $B74="Two-Installment (front-loaded)", 'P&amp;L'!$E255*Drivers!O$116, $B74="Two-Installment (back-loaded)", 'P&amp;L'!$E255*Drivers!O$117,
     $B74="Year Start Lump Sum", 'P&amp;L'!$E255*Drivers!O$118,$B74="Expense Reimbursement", 'P&amp;L'!$E255*Drivers!O$120,
     $B74="Direct Monthly Input", 0)</f>
        <v>2333.333333333333</v>
      </c>
      <c r="M74" s="428" cm="1">
        <f t="array" ref="M74">_xlfn.IFS($B74="12-Month Smoothing", 'P&amp;L'!$E255*Drivers!P$113, $B74="10-Month Academic Calendar", 'P&amp;L'!$E255*Drivers!P$114, $B74="Quarterly Smoothing", 'P&amp;L'!$E255*Drivers!P$115,
     $B74="Two-Installment (front-loaded)", 'P&amp;L'!$E255*Drivers!P$116, $B74="Two-Installment (back-loaded)", 'P&amp;L'!$E255*Drivers!P$117,
     $B74="Year Start Lump Sum", 'P&amp;L'!$E255*Drivers!P$118,$B74="Expense Reimbursement", 'P&amp;L'!$E255*Drivers!P$120,
     $B74="Direct Monthly Input", 0)</f>
        <v>2333.333333333333</v>
      </c>
      <c r="N74" s="428" cm="1">
        <f t="array" ref="N74">_xlfn.IFS($B74="12-Month Smoothing", 'P&amp;L'!$E255*Drivers!Q$113, $B74="10-Month Academic Calendar", 'P&amp;L'!$E255*Drivers!Q$114, $B74="Quarterly Smoothing", 'P&amp;L'!$E255*Drivers!Q$115,
     $B74="Two-Installment (front-loaded)", 'P&amp;L'!$E255*Drivers!Q$116, $B74="Two-Installment (back-loaded)", 'P&amp;L'!$E255*Drivers!Q$117,
     $B74="Year Start Lump Sum", 'P&amp;L'!$E255*Drivers!Q$118,$B74="Expense Reimbursement", 'P&amp;L'!$E255*Drivers!Q$120,
     $B74="Direct Monthly Input", 0)</f>
        <v>2333.333333333333</v>
      </c>
      <c r="O74" s="847" cm="1">
        <f t="array" ref="O74">_xlfn.IFS($B74="12-Month Smoothing", 'P&amp;L'!$E255*Drivers!R$113, $B74="10-Month Academic Calendar", 'P&amp;L'!$E255*Drivers!R$114, $B74="Quarterly Smoothing", 'P&amp;L'!$E255*Drivers!R$115,
     $B74="Two-Installment (front-loaded)", 'P&amp;L'!$E255*Drivers!R$116, $B74="Two-Installment (back-loaded)", 'P&amp;L'!$E255*Drivers!R$117,
     $B74="Year Start Lump Sum", 'P&amp;L'!$E255*Drivers!R$118,$B74="Expense Reimbursement", 'P&amp;L'!$E255*Drivers!R$120,
     $B74="Direct Monthly Input", 0)</f>
        <v>2333.333333333333</v>
      </c>
      <c r="P74" s="130">
        <f t="shared" si="4"/>
        <v>27999.999999999989</v>
      </c>
      <c r="Q74" s="730"/>
      <c r="R74" s="537"/>
    </row>
    <row r="75" spans="1:18" s="538" customFormat="1" ht="17" thickBot="1">
      <c r="A75" s="735"/>
      <c r="B75" s="419" t="s">
        <v>440</v>
      </c>
      <c r="C75" s="857" t="str">
        <f>'P&amp;L'!C256</f>
        <v>School Meals/Lunch</v>
      </c>
      <c r="D75" s="854" cm="1">
        <f t="array" ref="D75">_xlfn.IFS($B75="12-Month Smoothing", 'P&amp;L'!$E256*Drivers!G$113, $B75="10-Month Academic Calendar", 'P&amp;L'!$E256*Drivers!G$114, $B75="Quarterly Smoothing", 'P&amp;L'!$E256*Drivers!G$115,
     $B75="Two-Installment (front-loaded)", 'P&amp;L'!$E256*Drivers!G$116, $B75="Two-Installment (back-loaded)", 'P&amp;L'!$E256*Drivers!G$117,
     $B75="Year Start Lump Sum", 'P&amp;L'!$E256*Drivers!G$118,$B75="Expense Reimbursement", 'P&amp;L'!$E256*Drivers!G$120,
     $B75="Direct Monthly Input", 0)</f>
        <v>19800</v>
      </c>
      <c r="E75" s="428" cm="1">
        <f t="array" ref="E75">_xlfn.IFS($B75="12-Month Smoothing", 'P&amp;L'!$E256*Drivers!H$113, $B75="10-Month Academic Calendar", 'P&amp;L'!$E256*Drivers!H$114, $B75="Quarterly Smoothing", 'P&amp;L'!$E256*Drivers!H$115,
     $B75="Two-Installment (front-loaded)", 'P&amp;L'!$E256*Drivers!H$116, $B75="Two-Installment (back-loaded)", 'P&amp;L'!$E256*Drivers!H$117,
     $B75="Year Start Lump Sum", 'P&amp;L'!$E256*Drivers!H$118,$B75="Expense Reimbursement", 'P&amp;L'!$E256*Drivers!H$120,
     $B75="Direct Monthly Input", 0)</f>
        <v>19800</v>
      </c>
      <c r="F75" s="428" cm="1">
        <f t="array" ref="F75">_xlfn.IFS($B75="12-Month Smoothing", 'P&amp;L'!$E256*Drivers!I$113, $B75="10-Month Academic Calendar", 'P&amp;L'!$E256*Drivers!I$114, $B75="Quarterly Smoothing", 'P&amp;L'!$E256*Drivers!I$115,
     $B75="Two-Installment (front-loaded)", 'P&amp;L'!$E256*Drivers!I$116, $B75="Two-Installment (back-loaded)", 'P&amp;L'!$E256*Drivers!I$117,
     $B75="Year Start Lump Sum", 'P&amp;L'!$E256*Drivers!I$118,$B75="Expense Reimbursement", 'P&amp;L'!$E256*Drivers!I$120,
     $B75="Direct Monthly Input", 0)</f>
        <v>19800</v>
      </c>
      <c r="G75" s="428" cm="1">
        <f t="array" ref="G75">_xlfn.IFS($B75="12-Month Smoothing", 'P&amp;L'!$E256*Drivers!J$113, $B75="10-Month Academic Calendar", 'P&amp;L'!$E256*Drivers!J$114, $B75="Quarterly Smoothing", 'P&amp;L'!$E256*Drivers!J$115,
     $B75="Two-Installment (front-loaded)", 'P&amp;L'!$E256*Drivers!J$116, $B75="Two-Installment (back-loaded)", 'P&amp;L'!$E256*Drivers!J$117,
     $B75="Year Start Lump Sum", 'P&amp;L'!$E256*Drivers!J$118,$B75="Expense Reimbursement", 'P&amp;L'!$E256*Drivers!J$120,
     $B75="Direct Monthly Input", 0)</f>
        <v>19800</v>
      </c>
      <c r="H75" s="428" cm="1">
        <f t="array" ref="H75">_xlfn.IFS($B75="12-Month Smoothing", 'P&amp;L'!$E256*Drivers!K$113, $B75="10-Month Academic Calendar", 'P&amp;L'!$E256*Drivers!K$114, $B75="Quarterly Smoothing", 'P&amp;L'!$E256*Drivers!K$115,
     $B75="Two-Installment (front-loaded)", 'P&amp;L'!$E256*Drivers!K$116, $B75="Two-Installment (back-loaded)", 'P&amp;L'!$E256*Drivers!K$117,
     $B75="Year Start Lump Sum", 'P&amp;L'!$E256*Drivers!K$118,$B75="Expense Reimbursement", 'P&amp;L'!$E256*Drivers!K$120,
     $B75="Direct Monthly Input", 0)</f>
        <v>19800</v>
      </c>
      <c r="I75" s="428" cm="1">
        <f t="array" ref="I75">_xlfn.IFS($B75="12-Month Smoothing", 'P&amp;L'!$E256*Drivers!L$113, $B75="10-Month Academic Calendar", 'P&amp;L'!$E256*Drivers!L$114, $B75="Quarterly Smoothing", 'P&amp;L'!$E256*Drivers!L$115,
     $B75="Two-Installment (front-loaded)", 'P&amp;L'!$E256*Drivers!L$116, $B75="Two-Installment (back-loaded)", 'P&amp;L'!$E256*Drivers!L$117,
     $B75="Year Start Lump Sum", 'P&amp;L'!$E256*Drivers!L$118,$B75="Expense Reimbursement", 'P&amp;L'!$E256*Drivers!L$120,
     $B75="Direct Monthly Input", 0)</f>
        <v>19800</v>
      </c>
      <c r="J75" s="428" cm="1">
        <f t="array" ref="J75">_xlfn.IFS($B75="12-Month Smoothing", 'P&amp;L'!$E256*Drivers!M$113, $B75="10-Month Academic Calendar", 'P&amp;L'!$E256*Drivers!M$114, $B75="Quarterly Smoothing", 'P&amp;L'!$E256*Drivers!M$115,
     $B75="Two-Installment (front-loaded)", 'P&amp;L'!$E256*Drivers!M$116, $B75="Two-Installment (back-loaded)", 'P&amp;L'!$E256*Drivers!M$117,
     $B75="Year Start Lump Sum", 'P&amp;L'!$E256*Drivers!M$118,$B75="Expense Reimbursement", 'P&amp;L'!$E256*Drivers!M$120,
     $B75="Direct Monthly Input", 0)</f>
        <v>19800</v>
      </c>
      <c r="K75" s="428" cm="1">
        <f t="array" ref="K75">_xlfn.IFS($B75="12-Month Smoothing", 'P&amp;L'!$E256*Drivers!N$113, $B75="10-Month Academic Calendar", 'P&amp;L'!$E256*Drivers!N$114, $B75="Quarterly Smoothing", 'P&amp;L'!$E256*Drivers!N$115,
     $B75="Two-Installment (front-loaded)", 'P&amp;L'!$E256*Drivers!N$116, $B75="Two-Installment (back-loaded)", 'P&amp;L'!$E256*Drivers!N$117,
     $B75="Year Start Lump Sum", 'P&amp;L'!$E256*Drivers!N$118,$B75="Expense Reimbursement", 'P&amp;L'!$E256*Drivers!N$120,
     $B75="Direct Monthly Input", 0)</f>
        <v>19800</v>
      </c>
      <c r="L75" s="428" cm="1">
        <f t="array" ref="L75">_xlfn.IFS($B75="12-Month Smoothing", 'P&amp;L'!$E256*Drivers!O$113, $B75="10-Month Academic Calendar", 'P&amp;L'!$E256*Drivers!O$114, $B75="Quarterly Smoothing", 'P&amp;L'!$E256*Drivers!O$115,
     $B75="Two-Installment (front-loaded)", 'P&amp;L'!$E256*Drivers!O$116, $B75="Two-Installment (back-loaded)", 'P&amp;L'!$E256*Drivers!O$117,
     $B75="Year Start Lump Sum", 'P&amp;L'!$E256*Drivers!O$118,$B75="Expense Reimbursement", 'P&amp;L'!$E256*Drivers!O$120,
     $B75="Direct Monthly Input", 0)</f>
        <v>19800</v>
      </c>
      <c r="M75" s="428" cm="1">
        <f t="array" ref="M75">_xlfn.IFS($B75="12-Month Smoothing", 'P&amp;L'!$E256*Drivers!P$113, $B75="10-Month Academic Calendar", 'P&amp;L'!$E256*Drivers!P$114, $B75="Quarterly Smoothing", 'P&amp;L'!$E256*Drivers!P$115,
     $B75="Two-Installment (front-loaded)", 'P&amp;L'!$E256*Drivers!P$116, $B75="Two-Installment (back-loaded)", 'P&amp;L'!$E256*Drivers!P$117,
     $B75="Year Start Lump Sum", 'P&amp;L'!$E256*Drivers!P$118,$B75="Expense Reimbursement", 'P&amp;L'!$E256*Drivers!P$120,
     $B75="Direct Monthly Input", 0)</f>
        <v>19800</v>
      </c>
      <c r="N75" s="428" cm="1">
        <f t="array" ref="N75">_xlfn.IFS($B75="12-Month Smoothing", 'P&amp;L'!$E256*Drivers!Q$113, $B75="10-Month Academic Calendar", 'P&amp;L'!$E256*Drivers!Q$114, $B75="Quarterly Smoothing", 'P&amp;L'!$E256*Drivers!Q$115,
     $B75="Two-Installment (front-loaded)", 'P&amp;L'!$E256*Drivers!Q$116, $B75="Two-Installment (back-loaded)", 'P&amp;L'!$E256*Drivers!Q$117,
     $B75="Year Start Lump Sum", 'P&amp;L'!$E256*Drivers!Q$118,$B75="Expense Reimbursement", 'P&amp;L'!$E256*Drivers!Q$120,
     $B75="Direct Monthly Input", 0)</f>
        <v>0</v>
      </c>
      <c r="O75" s="847" cm="1">
        <f t="array" ref="O75">_xlfn.IFS($B75="12-Month Smoothing", 'P&amp;L'!$E256*Drivers!R$113, $B75="10-Month Academic Calendar", 'P&amp;L'!$E256*Drivers!R$114, $B75="Quarterly Smoothing", 'P&amp;L'!$E256*Drivers!R$115,
     $B75="Two-Installment (front-loaded)", 'P&amp;L'!$E256*Drivers!R$116, $B75="Two-Installment (back-loaded)", 'P&amp;L'!$E256*Drivers!R$117,
     $B75="Year Start Lump Sum", 'P&amp;L'!$E256*Drivers!R$118,$B75="Expense Reimbursement", 'P&amp;L'!$E256*Drivers!R$120,
     $B75="Direct Monthly Input", 0)</f>
        <v>0</v>
      </c>
      <c r="P75" s="130">
        <f t="shared" si="4"/>
        <v>198000</v>
      </c>
      <c r="Q75" s="730"/>
      <c r="R75" s="537"/>
    </row>
    <row r="76" spans="1:18" s="538" customFormat="1" ht="17" thickBot="1">
      <c r="A76" s="735"/>
      <c r="B76" s="419" t="s">
        <v>445</v>
      </c>
      <c r="C76" s="857" t="str">
        <f>'P&amp;L'!C257</f>
        <v>Stipends/Bonuses</v>
      </c>
      <c r="D76" s="854" cm="1">
        <f t="array" ref="D76">_xlfn.IFS($B76="12-Month Smoothing", 'P&amp;L'!$E257*Drivers!G$113, $B76="10-Month Academic Calendar", 'P&amp;L'!$E257*Drivers!G$114, $B76="Quarterly Smoothing", 'P&amp;L'!$E257*Drivers!G$115,
     $B76="Two-Installment (front-loaded)", 'P&amp;L'!$E257*Drivers!G$116, $B76="Two-Installment (back-loaded)", 'P&amp;L'!$E257*Drivers!G$117,
     $B76="Year Start Lump Sum", 'P&amp;L'!$E257*Drivers!G$118,$B76="Expense Reimbursement", 'P&amp;L'!$E257*Drivers!G$120,
     $B76="Direct Monthly Input", 0)</f>
        <v>0</v>
      </c>
      <c r="E76" s="428" cm="1">
        <f t="array" ref="E76">_xlfn.IFS($B76="12-Month Smoothing", 'P&amp;L'!$E257*Drivers!H$113, $B76="10-Month Academic Calendar", 'P&amp;L'!$E257*Drivers!H$114, $B76="Quarterly Smoothing", 'P&amp;L'!$E257*Drivers!H$115,
     $B76="Two-Installment (front-loaded)", 'P&amp;L'!$E257*Drivers!H$116, $B76="Two-Installment (back-loaded)", 'P&amp;L'!$E257*Drivers!H$117,
     $B76="Year Start Lump Sum", 'P&amp;L'!$E257*Drivers!H$118,$B76="Expense Reimbursement", 'P&amp;L'!$E257*Drivers!H$120,
     $B76="Direct Monthly Input", 0)</f>
        <v>0</v>
      </c>
      <c r="F76" s="428" cm="1">
        <f t="array" ref="F76">_xlfn.IFS($B76="12-Month Smoothing", 'P&amp;L'!$E257*Drivers!I$113, $B76="10-Month Academic Calendar", 'P&amp;L'!$E257*Drivers!I$114, $B76="Quarterly Smoothing", 'P&amp;L'!$E257*Drivers!I$115,
     $B76="Two-Installment (front-loaded)", 'P&amp;L'!$E257*Drivers!I$116, $B76="Two-Installment (back-loaded)", 'P&amp;L'!$E257*Drivers!I$117,
     $B76="Year Start Lump Sum", 'P&amp;L'!$E257*Drivers!I$118,$B76="Expense Reimbursement", 'P&amp;L'!$E257*Drivers!I$120,
     $B76="Direct Monthly Input", 0)</f>
        <v>0</v>
      </c>
      <c r="G76" s="428" cm="1">
        <f t="array" ref="G76">_xlfn.IFS($B76="12-Month Smoothing", 'P&amp;L'!$E257*Drivers!J$113, $B76="10-Month Academic Calendar", 'P&amp;L'!$E257*Drivers!J$114, $B76="Quarterly Smoothing", 'P&amp;L'!$E257*Drivers!J$115,
     $B76="Two-Installment (front-loaded)", 'P&amp;L'!$E257*Drivers!J$116, $B76="Two-Installment (back-loaded)", 'P&amp;L'!$E257*Drivers!J$117,
     $B76="Year Start Lump Sum", 'P&amp;L'!$E257*Drivers!J$118,$B76="Expense Reimbursement", 'P&amp;L'!$E257*Drivers!J$120,
     $B76="Direct Monthly Input", 0)</f>
        <v>0</v>
      </c>
      <c r="H76" s="428" cm="1">
        <f t="array" ref="H76">_xlfn.IFS($B76="12-Month Smoothing", 'P&amp;L'!$E257*Drivers!K$113, $B76="10-Month Academic Calendar", 'P&amp;L'!$E257*Drivers!K$114, $B76="Quarterly Smoothing", 'P&amp;L'!$E257*Drivers!K$115,
     $B76="Two-Installment (front-loaded)", 'P&amp;L'!$E257*Drivers!K$116, $B76="Two-Installment (back-loaded)", 'P&amp;L'!$E257*Drivers!K$117,
     $B76="Year Start Lump Sum", 'P&amp;L'!$E257*Drivers!K$118,$B76="Expense Reimbursement", 'P&amp;L'!$E257*Drivers!K$120,
     $B76="Direct Monthly Input", 0)</f>
        <v>0</v>
      </c>
      <c r="I76" s="428" cm="1">
        <f t="array" ref="I76">_xlfn.IFS($B76="12-Month Smoothing", 'P&amp;L'!$E257*Drivers!L$113, $B76="10-Month Academic Calendar", 'P&amp;L'!$E257*Drivers!L$114, $B76="Quarterly Smoothing", 'P&amp;L'!$E257*Drivers!L$115,
     $B76="Two-Installment (front-loaded)", 'P&amp;L'!$E257*Drivers!L$116, $B76="Two-Installment (back-loaded)", 'P&amp;L'!$E257*Drivers!L$117,
     $B76="Year Start Lump Sum", 'P&amp;L'!$E257*Drivers!L$118,$B76="Expense Reimbursement", 'P&amp;L'!$E257*Drivers!L$120,
     $B76="Direct Monthly Input", 0)</f>
        <v>5150</v>
      </c>
      <c r="J76" s="428" cm="1">
        <f t="array" ref="J76">_xlfn.IFS($B76="12-Month Smoothing", 'P&amp;L'!$E257*Drivers!M$113, $B76="10-Month Academic Calendar", 'P&amp;L'!$E257*Drivers!M$114, $B76="Quarterly Smoothing", 'P&amp;L'!$E257*Drivers!M$115,
     $B76="Two-Installment (front-loaded)", 'P&amp;L'!$E257*Drivers!M$116, $B76="Two-Installment (back-loaded)", 'P&amp;L'!$E257*Drivers!M$117,
     $B76="Year Start Lump Sum", 'P&amp;L'!$E257*Drivers!M$118,$B76="Expense Reimbursement", 'P&amp;L'!$E257*Drivers!M$120,
     $B76="Direct Monthly Input", 0)</f>
        <v>0</v>
      </c>
      <c r="K76" s="428" cm="1">
        <f t="array" ref="K76">_xlfn.IFS($B76="12-Month Smoothing", 'P&amp;L'!$E257*Drivers!N$113, $B76="10-Month Academic Calendar", 'P&amp;L'!$E257*Drivers!N$114, $B76="Quarterly Smoothing", 'P&amp;L'!$E257*Drivers!N$115,
     $B76="Two-Installment (front-loaded)", 'P&amp;L'!$E257*Drivers!N$116, $B76="Two-Installment (back-loaded)", 'P&amp;L'!$E257*Drivers!N$117,
     $B76="Year Start Lump Sum", 'P&amp;L'!$E257*Drivers!N$118,$B76="Expense Reimbursement", 'P&amp;L'!$E257*Drivers!N$120,
     $B76="Direct Monthly Input", 0)</f>
        <v>0</v>
      </c>
      <c r="L76" s="428" cm="1">
        <f t="array" ref="L76">_xlfn.IFS($B76="12-Month Smoothing", 'P&amp;L'!$E257*Drivers!O$113, $B76="10-Month Academic Calendar", 'P&amp;L'!$E257*Drivers!O$114, $B76="Quarterly Smoothing", 'P&amp;L'!$E257*Drivers!O$115,
     $B76="Two-Installment (front-loaded)", 'P&amp;L'!$E257*Drivers!O$116, $B76="Two-Installment (back-loaded)", 'P&amp;L'!$E257*Drivers!O$117,
     $B76="Year Start Lump Sum", 'P&amp;L'!$E257*Drivers!O$118,$B76="Expense Reimbursement", 'P&amp;L'!$E257*Drivers!O$120,
     $B76="Direct Monthly Input", 0)</f>
        <v>0</v>
      </c>
      <c r="M76" s="428" cm="1">
        <f t="array" ref="M76">_xlfn.IFS($B76="12-Month Smoothing", 'P&amp;L'!$E257*Drivers!P$113, $B76="10-Month Academic Calendar", 'P&amp;L'!$E257*Drivers!P$114, $B76="Quarterly Smoothing", 'P&amp;L'!$E257*Drivers!P$115,
     $B76="Two-Installment (front-loaded)", 'P&amp;L'!$E257*Drivers!P$116, $B76="Two-Installment (back-loaded)", 'P&amp;L'!$E257*Drivers!P$117,
     $B76="Year Start Lump Sum", 'P&amp;L'!$E257*Drivers!P$118,$B76="Expense Reimbursement", 'P&amp;L'!$E257*Drivers!P$120,
     $B76="Direct Monthly Input", 0)</f>
        <v>0</v>
      </c>
      <c r="N76" s="428" cm="1">
        <f t="array" ref="N76">_xlfn.IFS($B76="12-Month Smoothing", 'P&amp;L'!$E257*Drivers!Q$113, $B76="10-Month Academic Calendar", 'P&amp;L'!$E257*Drivers!Q$114, $B76="Quarterly Smoothing", 'P&amp;L'!$E257*Drivers!Q$115,
     $B76="Two-Installment (front-loaded)", 'P&amp;L'!$E257*Drivers!Q$116, $B76="Two-Installment (back-loaded)", 'P&amp;L'!$E257*Drivers!Q$117,
     $B76="Year Start Lump Sum", 'P&amp;L'!$E257*Drivers!Q$118,$B76="Expense Reimbursement", 'P&amp;L'!$E257*Drivers!Q$120,
     $B76="Direct Monthly Input", 0)</f>
        <v>0</v>
      </c>
      <c r="O76" s="847" cm="1">
        <f t="array" ref="O76">_xlfn.IFS($B76="12-Month Smoothing", 'P&amp;L'!$E257*Drivers!R$113, $B76="10-Month Academic Calendar", 'P&amp;L'!$E257*Drivers!R$114, $B76="Quarterly Smoothing", 'P&amp;L'!$E257*Drivers!R$115,
     $B76="Two-Installment (front-loaded)", 'P&amp;L'!$E257*Drivers!R$116, $B76="Two-Installment (back-loaded)", 'P&amp;L'!$E257*Drivers!R$117,
     $B76="Year Start Lump Sum", 'P&amp;L'!$E257*Drivers!R$118,$B76="Expense Reimbursement", 'P&amp;L'!$E257*Drivers!R$120,
     $B76="Direct Monthly Input", 0)</f>
        <v>5150</v>
      </c>
      <c r="P76" s="130">
        <f t="shared" si="4"/>
        <v>10300</v>
      </c>
      <c r="Q76" s="730"/>
      <c r="R76" s="537"/>
    </row>
    <row r="77" spans="1:18" s="538" customFormat="1" ht="17" thickBot="1">
      <c r="A77" s="735"/>
      <c r="B77" s="419" t="s">
        <v>444</v>
      </c>
      <c r="C77" s="857" t="str">
        <f>'P&amp;L'!C258</f>
        <v>Fundraising</v>
      </c>
      <c r="D77" s="854" cm="1">
        <f t="array" ref="D77">_xlfn.IFS($B77="12-Month Smoothing", 'P&amp;L'!$E258*Drivers!G$113, $B77="10-Month Academic Calendar", 'P&amp;L'!$E258*Drivers!G$114, $B77="Quarterly Smoothing", 'P&amp;L'!$E258*Drivers!G$115,
     $B77="Two-Installment (front-loaded)", 'P&amp;L'!$E258*Drivers!G$116, $B77="Two-Installment (back-loaded)", 'P&amp;L'!$E258*Drivers!G$117,
     $B77="Year Start Lump Sum", 'P&amp;L'!$E258*Drivers!G$118,$B77="Expense Reimbursement", 'P&amp;L'!$E258*Drivers!G$120,
     $B77="Direct Monthly Input", 0)</f>
        <v>2500</v>
      </c>
      <c r="E77" s="428" cm="1">
        <f t="array" ref="E77">_xlfn.IFS($B77="12-Month Smoothing", 'P&amp;L'!$E258*Drivers!H$113, $B77="10-Month Academic Calendar", 'P&amp;L'!$E258*Drivers!H$114, $B77="Quarterly Smoothing", 'P&amp;L'!$E258*Drivers!H$115,
     $B77="Two-Installment (front-loaded)", 'P&amp;L'!$E258*Drivers!H$116, $B77="Two-Installment (back-loaded)", 'P&amp;L'!$E258*Drivers!H$117,
     $B77="Year Start Lump Sum", 'P&amp;L'!$E258*Drivers!H$118,$B77="Expense Reimbursement", 'P&amp;L'!$E258*Drivers!H$120,
     $B77="Direct Monthly Input", 0)</f>
        <v>0</v>
      </c>
      <c r="F77" s="428" cm="1">
        <f t="array" ref="F77">_xlfn.IFS($B77="12-Month Smoothing", 'P&amp;L'!$E258*Drivers!I$113, $B77="10-Month Academic Calendar", 'P&amp;L'!$E258*Drivers!I$114, $B77="Quarterly Smoothing", 'P&amp;L'!$E258*Drivers!I$115,
     $B77="Two-Installment (front-loaded)", 'P&amp;L'!$E258*Drivers!I$116, $B77="Two-Installment (back-loaded)", 'P&amp;L'!$E258*Drivers!I$117,
     $B77="Year Start Lump Sum", 'P&amp;L'!$E258*Drivers!I$118,$B77="Expense Reimbursement", 'P&amp;L'!$E258*Drivers!I$120,
     $B77="Direct Monthly Input", 0)</f>
        <v>0</v>
      </c>
      <c r="G77" s="428" cm="1">
        <f t="array" ref="G77">_xlfn.IFS($B77="12-Month Smoothing", 'P&amp;L'!$E258*Drivers!J$113, $B77="10-Month Academic Calendar", 'P&amp;L'!$E258*Drivers!J$114, $B77="Quarterly Smoothing", 'P&amp;L'!$E258*Drivers!J$115,
     $B77="Two-Installment (front-loaded)", 'P&amp;L'!$E258*Drivers!J$116, $B77="Two-Installment (back-loaded)", 'P&amp;L'!$E258*Drivers!J$117,
     $B77="Year Start Lump Sum", 'P&amp;L'!$E258*Drivers!J$118,$B77="Expense Reimbursement", 'P&amp;L'!$E258*Drivers!J$120,
     $B77="Direct Monthly Input", 0)</f>
        <v>0</v>
      </c>
      <c r="H77" s="428" cm="1">
        <f t="array" ref="H77">_xlfn.IFS($B77="12-Month Smoothing", 'P&amp;L'!$E258*Drivers!K$113, $B77="10-Month Academic Calendar", 'P&amp;L'!$E258*Drivers!K$114, $B77="Quarterly Smoothing", 'P&amp;L'!$E258*Drivers!K$115,
     $B77="Two-Installment (front-loaded)", 'P&amp;L'!$E258*Drivers!K$116, $B77="Two-Installment (back-loaded)", 'P&amp;L'!$E258*Drivers!K$117,
     $B77="Year Start Lump Sum", 'P&amp;L'!$E258*Drivers!K$118,$B77="Expense Reimbursement", 'P&amp;L'!$E258*Drivers!K$120,
     $B77="Direct Monthly Input", 0)</f>
        <v>0</v>
      </c>
      <c r="I77" s="428" cm="1">
        <f t="array" ref="I77">_xlfn.IFS($B77="12-Month Smoothing", 'P&amp;L'!$E258*Drivers!L$113, $B77="10-Month Academic Calendar", 'P&amp;L'!$E258*Drivers!L$114, $B77="Quarterly Smoothing", 'P&amp;L'!$E258*Drivers!L$115,
     $B77="Two-Installment (front-loaded)", 'P&amp;L'!$E258*Drivers!L$116, $B77="Two-Installment (back-loaded)", 'P&amp;L'!$E258*Drivers!L$117,
     $B77="Year Start Lump Sum", 'P&amp;L'!$E258*Drivers!L$118,$B77="Expense Reimbursement", 'P&amp;L'!$E258*Drivers!L$120,
     $B77="Direct Monthly Input", 0)</f>
        <v>2500</v>
      </c>
      <c r="J77" s="428" cm="1">
        <f t="array" ref="J77">_xlfn.IFS($B77="12-Month Smoothing", 'P&amp;L'!$E258*Drivers!M$113, $B77="10-Month Academic Calendar", 'P&amp;L'!$E258*Drivers!M$114, $B77="Quarterly Smoothing", 'P&amp;L'!$E258*Drivers!M$115,
     $B77="Two-Installment (front-loaded)", 'P&amp;L'!$E258*Drivers!M$116, $B77="Two-Installment (back-loaded)", 'P&amp;L'!$E258*Drivers!M$117,
     $B77="Year Start Lump Sum", 'P&amp;L'!$E258*Drivers!M$118,$B77="Expense Reimbursement", 'P&amp;L'!$E258*Drivers!M$120,
     $B77="Direct Monthly Input", 0)</f>
        <v>0</v>
      </c>
      <c r="K77" s="428" cm="1">
        <f t="array" ref="K77">_xlfn.IFS($B77="12-Month Smoothing", 'P&amp;L'!$E258*Drivers!N$113, $B77="10-Month Academic Calendar", 'P&amp;L'!$E258*Drivers!N$114, $B77="Quarterly Smoothing", 'P&amp;L'!$E258*Drivers!N$115,
     $B77="Two-Installment (front-loaded)", 'P&amp;L'!$E258*Drivers!N$116, $B77="Two-Installment (back-loaded)", 'P&amp;L'!$E258*Drivers!N$117,
     $B77="Year Start Lump Sum", 'P&amp;L'!$E258*Drivers!N$118,$B77="Expense Reimbursement", 'P&amp;L'!$E258*Drivers!N$120,
     $B77="Direct Monthly Input", 0)</f>
        <v>0</v>
      </c>
      <c r="L77" s="428" cm="1">
        <f t="array" ref="L77">_xlfn.IFS($B77="12-Month Smoothing", 'P&amp;L'!$E258*Drivers!O$113, $B77="10-Month Academic Calendar", 'P&amp;L'!$E258*Drivers!O$114, $B77="Quarterly Smoothing", 'P&amp;L'!$E258*Drivers!O$115,
     $B77="Two-Installment (front-loaded)", 'P&amp;L'!$E258*Drivers!O$116, $B77="Two-Installment (back-loaded)", 'P&amp;L'!$E258*Drivers!O$117,
     $B77="Year Start Lump Sum", 'P&amp;L'!$E258*Drivers!O$118,$B77="Expense Reimbursement", 'P&amp;L'!$E258*Drivers!O$120,
     $B77="Direct Monthly Input", 0)</f>
        <v>0</v>
      </c>
      <c r="M77" s="428" cm="1">
        <f t="array" ref="M77">_xlfn.IFS($B77="12-Month Smoothing", 'P&amp;L'!$E258*Drivers!P$113, $B77="10-Month Academic Calendar", 'P&amp;L'!$E258*Drivers!P$114, $B77="Quarterly Smoothing", 'P&amp;L'!$E258*Drivers!P$115,
     $B77="Two-Installment (front-loaded)", 'P&amp;L'!$E258*Drivers!P$116, $B77="Two-Installment (back-loaded)", 'P&amp;L'!$E258*Drivers!P$117,
     $B77="Year Start Lump Sum", 'P&amp;L'!$E258*Drivers!P$118,$B77="Expense Reimbursement", 'P&amp;L'!$E258*Drivers!P$120,
     $B77="Direct Monthly Input", 0)</f>
        <v>0</v>
      </c>
      <c r="N77" s="428" cm="1">
        <f t="array" ref="N77">_xlfn.IFS($B77="12-Month Smoothing", 'P&amp;L'!$E258*Drivers!Q$113, $B77="10-Month Academic Calendar", 'P&amp;L'!$E258*Drivers!Q$114, $B77="Quarterly Smoothing", 'P&amp;L'!$E258*Drivers!Q$115,
     $B77="Two-Installment (front-loaded)", 'P&amp;L'!$E258*Drivers!Q$116, $B77="Two-Installment (back-loaded)", 'P&amp;L'!$E258*Drivers!Q$117,
     $B77="Year Start Lump Sum", 'P&amp;L'!$E258*Drivers!Q$118,$B77="Expense Reimbursement", 'P&amp;L'!$E258*Drivers!Q$120,
     $B77="Direct Monthly Input", 0)</f>
        <v>0</v>
      </c>
      <c r="O77" s="847" cm="1">
        <f t="array" ref="O77">_xlfn.IFS($B77="12-Month Smoothing", 'P&amp;L'!$E258*Drivers!R$113, $B77="10-Month Academic Calendar", 'P&amp;L'!$E258*Drivers!R$114, $B77="Quarterly Smoothing", 'P&amp;L'!$E258*Drivers!R$115,
     $B77="Two-Installment (front-loaded)", 'P&amp;L'!$E258*Drivers!R$116, $B77="Two-Installment (back-loaded)", 'P&amp;L'!$E258*Drivers!R$117,
     $B77="Year Start Lump Sum", 'P&amp;L'!$E258*Drivers!R$118,$B77="Expense Reimbursement", 'P&amp;L'!$E258*Drivers!R$120,
     $B77="Direct Monthly Input", 0)</f>
        <v>0</v>
      </c>
      <c r="P77" s="130">
        <f t="shared" si="4"/>
        <v>5000</v>
      </c>
      <c r="Q77" s="730"/>
      <c r="R77" s="537"/>
    </row>
    <row r="78" spans="1:18" s="538" customFormat="1" ht="17" thickBot="1">
      <c r="A78" s="735"/>
      <c r="B78" s="419" t="s">
        <v>440</v>
      </c>
      <c r="C78" s="857" t="str">
        <f>'P&amp;L'!C259</f>
        <v>Extra Curricular</v>
      </c>
      <c r="D78" s="854" cm="1">
        <f t="array" ref="D78">_xlfn.IFS($B78="12-Month Smoothing", 'P&amp;L'!$E259*Drivers!G$113, $B78="10-Month Academic Calendar", 'P&amp;L'!$E259*Drivers!G$114, $B78="Quarterly Smoothing", 'P&amp;L'!$E259*Drivers!G$115,
     $B78="Two-Installment (front-loaded)", 'P&amp;L'!$E259*Drivers!G$116, $B78="Two-Installment (back-loaded)", 'P&amp;L'!$E259*Drivers!G$117,
     $B78="Year Start Lump Sum", 'P&amp;L'!$E259*Drivers!G$118,$B78="Expense Reimbursement", 'P&amp;L'!$E259*Drivers!G$120,
     $B78="Direct Monthly Input", 0)</f>
        <v>2640</v>
      </c>
      <c r="E78" s="428" cm="1">
        <f t="array" ref="E78">_xlfn.IFS($B78="12-Month Smoothing", 'P&amp;L'!$E259*Drivers!H$113, $B78="10-Month Academic Calendar", 'P&amp;L'!$E259*Drivers!H$114, $B78="Quarterly Smoothing", 'P&amp;L'!$E259*Drivers!H$115,
     $B78="Two-Installment (front-loaded)", 'P&amp;L'!$E259*Drivers!H$116, $B78="Two-Installment (back-loaded)", 'P&amp;L'!$E259*Drivers!H$117,
     $B78="Year Start Lump Sum", 'P&amp;L'!$E259*Drivers!H$118,$B78="Expense Reimbursement", 'P&amp;L'!$E259*Drivers!H$120,
     $B78="Direct Monthly Input", 0)</f>
        <v>2640</v>
      </c>
      <c r="F78" s="428" cm="1">
        <f t="array" ref="F78">_xlfn.IFS($B78="12-Month Smoothing", 'P&amp;L'!$E259*Drivers!I$113, $B78="10-Month Academic Calendar", 'P&amp;L'!$E259*Drivers!I$114, $B78="Quarterly Smoothing", 'P&amp;L'!$E259*Drivers!I$115,
     $B78="Two-Installment (front-loaded)", 'P&amp;L'!$E259*Drivers!I$116, $B78="Two-Installment (back-loaded)", 'P&amp;L'!$E259*Drivers!I$117,
     $B78="Year Start Lump Sum", 'P&amp;L'!$E259*Drivers!I$118,$B78="Expense Reimbursement", 'P&amp;L'!$E259*Drivers!I$120,
     $B78="Direct Monthly Input", 0)</f>
        <v>2640</v>
      </c>
      <c r="G78" s="428" cm="1">
        <f t="array" ref="G78">_xlfn.IFS($B78="12-Month Smoothing", 'P&amp;L'!$E259*Drivers!J$113, $B78="10-Month Academic Calendar", 'P&amp;L'!$E259*Drivers!J$114, $B78="Quarterly Smoothing", 'P&amp;L'!$E259*Drivers!J$115,
     $B78="Two-Installment (front-loaded)", 'P&amp;L'!$E259*Drivers!J$116, $B78="Two-Installment (back-loaded)", 'P&amp;L'!$E259*Drivers!J$117,
     $B78="Year Start Lump Sum", 'P&amp;L'!$E259*Drivers!J$118,$B78="Expense Reimbursement", 'P&amp;L'!$E259*Drivers!J$120,
     $B78="Direct Monthly Input", 0)</f>
        <v>2640</v>
      </c>
      <c r="H78" s="428" cm="1">
        <f t="array" ref="H78">_xlfn.IFS($B78="12-Month Smoothing", 'P&amp;L'!$E259*Drivers!K$113, $B78="10-Month Academic Calendar", 'P&amp;L'!$E259*Drivers!K$114, $B78="Quarterly Smoothing", 'P&amp;L'!$E259*Drivers!K$115,
     $B78="Two-Installment (front-loaded)", 'P&amp;L'!$E259*Drivers!K$116, $B78="Two-Installment (back-loaded)", 'P&amp;L'!$E259*Drivers!K$117,
     $B78="Year Start Lump Sum", 'P&amp;L'!$E259*Drivers!K$118,$B78="Expense Reimbursement", 'P&amp;L'!$E259*Drivers!K$120,
     $B78="Direct Monthly Input", 0)</f>
        <v>2640</v>
      </c>
      <c r="I78" s="428" cm="1">
        <f t="array" ref="I78">_xlfn.IFS($B78="12-Month Smoothing", 'P&amp;L'!$E259*Drivers!L$113, $B78="10-Month Academic Calendar", 'P&amp;L'!$E259*Drivers!L$114, $B78="Quarterly Smoothing", 'P&amp;L'!$E259*Drivers!L$115,
     $B78="Two-Installment (front-loaded)", 'P&amp;L'!$E259*Drivers!L$116, $B78="Two-Installment (back-loaded)", 'P&amp;L'!$E259*Drivers!L$117,
     $B78="Year Start Lump Sum", 'P&amp;L'!$E259*Drivers!L$118,$B78="Expense Reimbursement", 'P&amp;L'!$E259*Drivers!L$120,
     $B78="Direct Monthly Input", 0)</f>
        <v>2640</v>
      </c>
      <c r="J78" s="428" cm="1">
        <f t="array" ref="J78">_xlfn.IFS($B78="12-Month Smoothing", 'P&amp;L'!$E259*Drivers!M$113, $B78="10-Month Academic Calendar", 'P&amp;L'!$E259*Drivers!M$114, $B78="Quarterly Smoothing", 'P&amp;L'!$E259*Drivers!M$115,
     $B78="Two-Installment (front-loaded)", 'P&amp;L'!$E259*Drivers!M$116, $B78="Two-Installment (back-loaded)", 'P&amp;L'!$E259*Drivers!M$117,
     $B78="Year Start Lump Sum", 'P&amp;L'!$E259*Drivers!M$118,$B78="Expense Reimbursement", 'P&amp;L'!$E259*Drivers!M$120,
     $B78="Direct Monthly Input", 0)</f>
        <v>2640</v>
      </c>
      <c r="K78" s="428" cm="1">
        <f t="array" ref="K78">_xlfn.IFS($B78="12-Month Smoothing", 'P&amp;L'!$E259*Drivers!N$113, $B78="10-Month Academic Calendar", 'P&amp;L'!$E259*Drivers!N$114, $B78="Quarterly Smoothing", 'P&amp;L'!$E259*Drivers!N$115,
     $B78="Two-Installment (front-loaded)", 'P&amp;L'!$E259*Drivers!N$116, $B78="Two-Installment (back-loaded)", 'P&amp;L'!$E259*Drivers!N$117,
     $B78="Year Start Lump Sum", 'P&amp;L'!$E259*Drivers!N$118,$B78="Expense Reimbursement", 'P&amp;L'!$E259*Drivers!N$120,
     $B78="Direct Monthly Input", 0)</f>
        <v>2640</v>
      </c>
      <c r="L78" s="428" cm="1">
        <f t="array" ref="L78">_xlfn.IFS($B78="12-Month Smoothing", 'P&amp;L'!$E259*Drivers!O$113, $B78="10-Month Academic Calendar", 'P&amp;L'!$E259*Drivers!O$114, $B78="Quarterly Smoothing", 'P&amp;L'!$E259*Drivers!O$115,
     $B78="Two-Installment (front-loaded)", 'P&amp;L'!$E259*Drivers!O$116, $B78="Two-Installment (back-loaded)", 'P&amp;L'!$E259*Drivers!O$117,
     $B78="Year Start Lump Sum", 'P&amp;L'!$E259*Drivers!O$118,$B78="Expense Reimbursement", 'P&amp;L'!$E259*Drivers!O$120,
     $B78="Direct Monthly Input", 0)</f>
        <v>2640</v>
      </c>
      <c r="M78" s="428" cm="1">
        <f t="array" ref="M78">_xlfn.IFS($B78="12-Month Smoothing", 'P&amp;L'!$E259*Drivers!P$113, $B78="10-Month Academic Calendar", 'P&amp;L'!$E259*Drivers!P$114, $B78="Quarterly Smoothing", 'P&amp;L'!$E259*Drivers!P$115,
     $B78="Two-Installment (front-loaded)", 'P&amp;L'!$E259*Drivers!P$116, $B78="Two-Installment (back-loaded)", 'P&amp;L'!$E259*Drivers!P$117,
     $B78="Year Start Lump Sum", 'P&amp;L'!$E259*Drivers!P$118,$B78="Expense Reimbursement", 'P&amp;L'!$E259*Drivers!P$120,
     $B78="Direct Monthly Input", 0)</f>
        <v>2640</v>
      </c>
      <c r="N78" s="428" cm="1">
        <f t="array" ref="N78">_xlfn.IFS($B78="12-Month Smoothing", 'P&amp;L'!$E259*Drivers!Q$113, $B78="10-Month Academic Calendar", 'P&amp;L'!$E259*Drivers!Q$114, $B78="Quarterly Smoothing", 'P&amp;L'!$E259*Drivers!Q$115,
     $B78="Two-Installment (front-loaded)", 'P&amp;L'!$E259*Drivers!Q$116, $B78="Two-Installment (back-loaded)", 'P&amp;L'!$E259*Drivers!Q$117,
     $B78="Year Start Lump Sum", 'P&amp;L'!$E259*Drivers!Q$118,$B78="Expense Reimbursement", 'P&amp;L'!$E259*Drivers!Q$120,
     $B78="Direct Monthly Input", 0)</f>
        <v>0</v>
      </c>
      <c r="O78" s="847" cm="1">
        <f t="array" ref="O78">_xlfn.IFS($B78="12-Month Smoothing", 'P&amp;L'!$E259*Drivers!R$113, $B78="10-Month Academic Calendar", 'P&amp;L'!$E259*Drivers!R$114, $B78="Quarterly Smoothing", 'P&amp;L'!$E259*Drivers!R$115,
     $B78="Two-Installment (front-loaded)", 'P&amp;L'!$E259*Drivers!R$116, $B78="Two-Installment (back-loaded)", 'P&amp;L'!$E259*Drivers!R$117,
     $B78="Year Start Lump Sum", 'P&amp;L'!$E259*Drivers!R$118,$B78="Expense Reimbursement", 'P&amp;L'!$E259*Drivers!R$120,
     $B78="Direct Monthly Input", 0)</f>
        <v>0</v>
      </c>
      <c r="P78" s="130">
        <f t="shared" si="4"/>
        <v>26400</v>
      </c>
      <c r="Q78" s="730"/>
      <c r="R78" s="537"/>
    </row>
    <row r="79" spans="1:18" s="538" customFormat="1" ht="17" thickBot="1">
      <c r="A79" s="735"/>
      <c r="B79" s="419" t="s">
        <v>440</v>
      </c>
      <c r="C79" s="857" t="str">
        <f>'P&amp;L'!C260</f>
        <v>Misc. Operating Expenses</v>
      </c>
      <c r="D79" s="854" cm="1">
        <f t="array" ref="D79">_xlfn.IFS($B79="12-Month Smoothing", 'P&amp;L'!$E260*Drivers!G$113, $B79="10-Month Academic Calendar", 'P&amp;L'!$E260*Drivers!G$114, $B79="Quarterly Smoothing", 'P&amp;L'!$E260*Drivers!G$115,
     $B79="Two-Installment (front-loaded)", 'P&amp;L'!$E260*Drivers!G$116, $B79="Two-Installment (back-loaded)", 'P&amp;L'!$E260*Drivers!G$117,
     $B79="Year Start Lump Sum", 'P&amp;L'!$E260*Drivers!G$118,$B79="Expense Reimbursement", 'P&amp;L'!$E260*Drivers!G$120,
     $B79="Direct Monthly Input", 0)</f>
        <v>1320</v>
      </c>
      <c r="E79" s="428" cm="1">
        <f t="array" ref="E79">_xlfn.IFS($B79="12-Month Smoothing", 'P&amp;L'!$E260*Drivers!H$113, $B79="10-Month Academic Calendar", 'P&amp;L'!$E260*Drivers!H$114, $B79="Quarterly Smoothing", 'P&amp;L'!$E260*Drivers!H$115,
     $B79="Two-Installment (front-loaded)", 'P&amp;L'!$E260*Drivers!H$116, $B79="Two-Installment (back-loaded)", 'P&amp;L'!$E260*Drivers!H$117,
     $B79="Year Start Lump Sum", 'P&amp;L'!$E260*Drivers!H$118,$B79="Expense Reimbursement", 'P&amp;L'!$E260*Drivers!H$120,
     $B79="Direct Monthly Input", 0)</f>
        <v>1320</v>
      </c>
      <c r="F79" s="428" cm="1">
        <f t="array" ref="F79">_xlfn.IFS($B79="12-Month Smoothing", 'P&amp;L'!$E260*Drivers!I$113, $B79="10-Month Academic Calendar", 'P&amp;L'!$E260*Drivers!I$114, $B79="Quarterly Smoothing", 'P&amp;L'!$E260*Drivers!I$115,
     $B79="Two-Installment (front-loaded)", 'P&amp;L'!$E260*Drivers!I$116, $B79="Two-Installment (back-loaded)", 'P&amp;L'!$E260*Drivers!I$117,
     $B79="Year Start Lump Sum", 'P&amp;L'!$E260*Drivers!I$118,$B79="Expense Reimbursement", 'P&amp;L'!$E260*Drivers!I$120,
     $B79="Direct Monthly Input", 0)</f>
        <v>1320</v>
      </c>
      <c r="G79" s="428" cm="1">
        <f t="array" ref="G79">_xlfn.IFS($B79="12-Month Smoothing", 'P&amp;L'!$E260*Drivers!J$113, $B79="10-Month Academic Calendar", 'P&amp;L'!$E260*Drivers!J$114, $B79="Quarterly Smoothing", 'P&amp;L'!$E260*Drivers!J$115,
     $B79="Two-Installment (front-loaded)", 'P&amp;L'!$E260*Drivers!J$116, $B79="Two-Installment (back-loaded)", 'P&amp;L'!$E260*Drivers!J$117,
     $B79="Year Start Lump Sum", 'P&amp;L'!$E260*Drivers!J$118,$B79="Expense Reimbursement", 'P&amp;L'!$E260*Drivers!J$120,
     $B79="Direct Monthly Input", 0)</f>
        <v>1320</v>
      </c>
      <c r="H79" s="428" cm="1">
        <f t="array" ref="H79">_xlfn.IFS($B79="12-Month Smoothing", 'P&amp;L'!$E260*Drivers!K$113, $B79="10-Month Academic Calendar", 'P&amp;L'!$E260*Drivers!K$114, $B79="Quarterly Smoothing", 'P&amp;L'!$E260*Drivers!K$115,
     $B79="Two-Installment (front-loaded)", 'P&amp;L'!$E260*Drivers!K$116, $B79="Two-Installment (back-loaded)", 'P&amp;L'!$E260*Drivers!K$117,
     $B79="Year Start Lump Sum", 'P&amp;L'!$E260*Drivers!K$118,$B79="Expense Reimbursement", 'P&amp;L'!$E260*Drivers!K$120,
     $B79="Direct Monthly Input", 0)</f>
        <v>1320</v>
      </c>
      <c r="I79" s="428" cm="1">
        <f t="array" ref="I79">_xlfn.IFS($B79="12-Month Smoothing", 'P&amp;L'!$E260*Drivers!L$113, $B79="10-Month Academic Calendar", 'P&amp;L'!$E260*Drivers!L$114, $B79="Quarterly Smoothing", 'P&amp;L'!$E260*Drivers!L$115,
     $B79="Two-Installment (front-loaded)", 'P&amp;L'!$E260*Drivers!L$116, $B79="Two-Installment (back-loaded)", 'P&amp;L'!$E260*Drivers!L$117,
     $B79="Year Start Lump Sum", 'P&amp;L'!$E260*Drivers!L$118,$B79="Expense Reimbursement", 'P&amp;L'!$E260*Drivers!L$120,
     $B79="Direct Monthly Input", 0)</f>
        <v>1320</v>
      </c>
      <c r="J79" s="428" cm="1">
        <f t="array" ref="J79">_xlfn.IFS($B79="12-Month Smoothing", 'P&amp;L'!$E260*Drivers!M$113, $B79="10-Month Academic Calendar", 'P&amp;L'!$E260*Drivers!M$114, $B79="Quarterly Smoothing", 'P&amp;L'!$E260*Drivers!M$115,
     $B79="Two-Installment (front-loaded)", 'P&amp;L'!$E260*Drivers!M$116, $B79="Two-Installment (back-loaded)", 'P&amp;L'!$E260*Drivers!M$117,
     $B79="Year Start Lump Sum", 'P&amp;L'!$E260*Drivers!M$118,$B79="Expense Reimbursement", 'P&amp;L'!$E260*Drivers!M$120,
     $B79="Direct Monthly Input", 0)</f>
        <v>1320</v>
      </c>
      <c r="K79" s="428" cm="1">
        <f t="array" ref="K79">_xlfn.IFS($B79="12-Month Smoothing", 'P&amp;L'!$E260*Drivers!N$113, $B79="10-Month Academic Calendar", 'P&amp;L'!$E260*Drivers!N$114, $B79="Quarterly Smoothing", 'P&amp;L'!$E260*Drivers!N$115,
     $B79="Two-Installment (front-loaded)", 'P&amp;L'!$E260*Drivers!N$116, $B79="Two-Installment (back-loaded)", 'P&amp;L'!$E260*Drivers!N$117,
     $B79="Year Start Lump Sum", 'P&amp;L'!$E260*Drivers!N$118,$B79="Expense Reimbursement", 'P&amp;L'!$E260*Drivers!N$120,
     $B79="Direct Monthly Input", 0)</f>
        <v>1320</v>
      </c>
      <c r="L79" s="428" cm="1">
        <f t="array" ref="L79">_xlfn.IFS($B79="12-Month Smoothing", 'P&amp;L'!$E260*Drivers!O$113, $B79="10-Month Academic Calendar", 'P&amp;L'!$E260*Drivers!O$114, $B79="Quarterly Smoothing", 'P&amp;L'!$E260*Drivers!O$115,
     $B79="Two-Installment (front-loaded)", 'P&amp;L'!$E260*Drivers!O$116, $B79="Two-Installment (back-loaded)", 'P&amp;L'!$E260*Drivers!O$117,
     $B79="Year Start Lump Sum", 'P&amp;L'!$E260*Drivers!O$118,$B79="Expense Reimbursement", 'P&amp;L'!$E260*Drivers!O$120,
     $B79="Direct Monthly Input", 0)</f>
        <v>1320</v>
      </c>
      <c r="M79" s="428" cm="1">
        <f t="array" ref="M79">_xlfn.IFS($B79="12-Month Smoothing", 'P&amp;L'!$E260*Drivers!P$113, $B79="10-Month Academic Calendar", 'P&amp;L'!$E260*Drivers!P$114, $B79="Quarterly Smoothing", 'P&amp;L'!$E260*Drivers!P$115,
     $B79="Two-Installment (front-loaded)", 'P&amp;L'!$E260*Drivers!P$116, $B79="Two-Installment (back-loaded)", 'P&amp;L'!$E260*Drivers!P$117,
     $B79="Year Start Lump Sum", 'P&amp;L'!$E260*Drivers!P$118,$B79="Expense Reimbursement", 'P&amp;L'!$E260*Drivers!P$120,
     $B79="Direct Monthly Input", 0)</f>
        <v>1320</v>
      </c>
      <c r="N79" s="428" cm="1">
        <f t="array" ref="N79">_xlfn.IFS($B79="12-Month Smoothing", 'P&amp;L'!$E260*Drivers!Q$113, $B79="10-Month Academic Calendar", 'P&amp;L'!$E260*Drivers!Q$114, $B79="Quarterly Smoothing", 'P&amp;L'!$E260*Drivers!Q$115,
     $B79="Two-Installment (front-loaded)", 'P&amp;L'!$E260*Drivers!Q$116, $B79="Two-Installment (back-loaded)", 'P&amp;L'!$E260*Drivers!Q$117,
     $B79="Year Start Lump Sum", 'P&amp;L'!$E260*Drivers!Q$118,$B79="Expense Reimbursement", 'P&amp;L'!$E260*Drivers!Q$120,
     $B79="Direct Monthly Input", 0)</f>
        <v>0</v>
      </c>
      <c r="O79" s="847" cm="1">
        <f t="array" ref="O79">_xlfn.IFS($B79="12-Month Smoothing", 'P&amp;L'!$E260*Drivers!R$113, $B79="10-Month Academic Calendar", 'P&amp;L'!$E260*Drivers!R$114, $B79="Quarterly Smoothing", 'P&amp;L'!$E260*Drivers!R$115,
     $B79="Two-Installment (front-loaded)", 'P&amp;L'!$E260*Drivers!R$116, $B79="Two-Installment (back-loaded)", 'P&amp;L'!$E260*Drivers!R$117,
     $B79="Year Start Lump Sum", 'P&amp;L'!$E260*Drivers!R$118,$B79="Expense Reimbursement", 'P&amp;L'!$E260*Drivers!R$120,
     $B79="Direct Monthly Input", 0)</f>
        <v>0</v>
      </c>
      <c r="P79" s="130">
        <f t="shared" si="4"/>
        <v>13200</v>
      </c>
      <c r="Q79" s="730"/>
      <c r="R79" s="537"/>
    </row>
    <row r="80" spans="1:18" s="538" customFormat="1" ht="17" thickBot="1">
      <c r="A80" s="735"/>
      <c r="B80" s="419" t="s">
        <v>440</v>
      </c>
      <c r="C80" s="857" t="str">
        <f>'P&amp;L'!C261</f>
        <v>ALL OTHER School Operations</v>
      </c>
      <c r="D80" s="854" cm="1">
        <f t="array" ref="D80">_xlfn.IFS($B80="12-Month Smoothing", 'P&amp;L'!$E261*Drivers!G$113, $B80="10-Month Academic Calendar", 'P&amp;L'!$E261*Drivers!G$114, $B80="Quarterly Smoothing", 'P&amp;L'!$E261*Drivers!G$115,
     $B80="Two-Installment (front-loaded)", 'P&amp;L'!$E261*Drivers!G$116, $B80="Two-Installment (back-loaded)", 'P&amp;L'!$E261*Drivers!G$117,
     $B80="Year Start Lump Sum", 'P&amp;L'!$E261*Drivers!G$118,$B80="Expense Reimbursement", 'P&amp;L'!$E261*Drivers!G$120,
     $B80="Direct Monthly Input", 0)</f>
        <v>1000</v>
      </c>
      <c r="E80" s="428" cm="1">
        <f t="array" ref="E80">_xlfn.IFS($B80="12-Month Smoothing", 'P&amp;L'!$E261*Drivers!H$113, $B80="10-Month Academic Calendar", 'P&amp;L'!$E261*Drivers!H$114, $B80="Quarterly Smoothing", 'P&amp;L'!$E261*Drivers!H$115,
     $B80="Two-Installment (front-loaded)", 'P&amp;L'!$E261*Drivers!H$116, $B80="Two-Installment (back-loaded)", 'P&amp;L'!$E261*Drivers!H$117,
     $B80="Year Start Lump Sum", 'P&amp;L'!$E261*Drivers!H$118,$B80="Expense Reimbursement", 'P&amp;L'!$E261*Drivers!H$120,
     $B80="Direct Monthly Input", 0)</f>
        <v>1000</v>
      </c>
      <c r="F80" s="428" cm="1">
        <f t="array" ref="F80">_xlfn.IFS($B80="12-Month Smoothing", 'P&amp;L'!$E261*Drivers!I$113, $B80="10-Month Academic Calendar", 'P&amp;L'!$E261*Drivers!I$114, $B80="Quarterly Smoothing", 'P&amp;L'!$E261*Drivers!I$115,
     $B80="Two-Installment (front-loaded)", 'P&amp;L'!$E261*Drivers!I$116, $B80="Two-Installment (back-loaded)", 'P&amp;L'!$E261*Drivers!I$117,
     $B80="Year Start Lump Sum", 'P&amp;L'!$E261*Drivers!I$118,$B80="Expense Reimbursement", 'P&amp;L'!$E261*Drivers!I$120,
     $B80="Direct Monthly Input", 0)</f>
        <v>1000</v>
      </c>
      <c r="G80" s="428" cm="1">
        <f t="array" ref="G80">_xlfn.IFS($B80="12-Month Smoothing", 'P&amp;L'!$E261*Drivers!J$113, $B80="10-Month Academic Calendar", 'P&amp;L'!$E261*Drivers!J$114, $B80="Quarterly Smoothing", 'P&amp;L'!$E261*Drivers!J$115,
     $B80="Two-Installment (front-loaded)", 'P&amp;L'!$E261*Drivers!J$116, $B80="Two-Installment (back-loaded)", 'P&amp;L'!$E261*Drivers!J$117,
     $B80="Year Start Lump Sum", 'P&amp;L'!$E261*Drivers!J$118,$B80="Expense Reimbursement", 'P&amp;L'!$E261*Drivers!J$120,
     $B80="Direct Monthly Input", 0)</f>
        <v>1000</v>
      </c>
      <c r="H80" s="428" cm="1">
        <f t="array" ref="H80">_xlfn.IFS($B80="12-Month Smoothing", 'P&amp;L'!$E261*Drivers!K$113, $B80="10-Month Academic Calendar", 'P&amp;L'!$E261*Drivers!K$114, $B80="Quarterly Smoothing", 'P&amp;L'!$E261*Drivers!K$115,
     $B80="Two-Installment (front-loaded)", 'P&amp;L'!$E261*Drivers!K$116, $B80="Two-Installment (back-loaded)", 'P&amp;L'!$E261*Drivers!K$117,
     $B80="Year Start Lump Sum", 'P&amp;L'!$E261*Drivers!K$118,$B80="Expense Reimbursement", 'P&amp;L'!$E261*Drivers!K$120,
     $B80="Direct Monthly Input", 0)</f>
        <v>1000</v>
      </c>
      <c r="I80" s="428" cm="1">
        <f t="array" ref="I80">_xlfn.IFS($B80="12-Month Smoothing", 'P&amp;L'!$E261*Drivers!L$113, $B80="10-Month Academic Calendar", 'P&amp;L'!$E261*Drivers!L$114, $B80="Quarterly Smoothing", 'P&amp;L'!$E261*Drivers!L$115,
     $B80="Two-Installment (front-loaded)", 'P&amp;L'!$E261*Drivers!L$116, $B80="Two-Installment (back-loaded)", 'P&amp;L'!$E261*Drivers!L$117,
     $B80="Year Start Lump Sum", 'P&amp;L'!$E261*Drivers!L$118,$B80="Expense Reimbursement", 'P&amp;L'!$E261*Drivers!L$120,
     $B80="Direct Monthly Input", 0)</f>
        <v>1000</v>
      </c>
      <c r="J80" s="428" cm="1">
        <f t="array" ref="J80">_xlfn.IFS($B80="12-Month Smoothing", 'P&amp;L'!$E261*Drivers!M$113, $B80="10-Month Academic Calendar", 'P&amp;L'!$E261*Drivers!M$114, $B80="Quarterly Smoothing", 'P&amp;L'!$E261*Drivers!M$115,
     $B80="Two-Installment (front-loaded)", 'P&amp;L'!$E261*Drivers!M$116, $B80="Two-Installment (back-loaded)", 'P&amp;L'!$E261*Drivers!M$117,
     $B80="Year Start Lump Sum", 'P&amp;L'!$E261*Drivers!M$118,$B80="Expense Reimbursement", 'P&amp;L'!$E261*Drivers!M$120,
     $B80="Direct Monthly Input", 0)</f>
        <v>1000</v>
      </c>
      <c r="K80" s="428" cm="1">
        <f t="array" ref="K80">_xlfn.IFS($B80="12-Month Smoothing", 'P&amp;L'!$E261*Drivers!N$113, $B80="10-Month Academic Calendar", 'P&amp;L'!$E261*Drivers!N$114, $B80="Quarterly Smoothing", 'P&amp;L'!$E261*Drivers!N$115,
     $B80="Two-Installment (front-loaded)", 'P&amp;L'!$E261*Drivers!N$116, $B80="Two-Installment (back-loaded)", 'P&amp;L'!$E261*Drivers!N$117,
     $B80="Year Start Lump Sum", 'P&amp;L'!$E261*Drivers!N$118,$B80="Expense Reimbursement", 'P&amp;L'!$E261*Drivers!N$120,
     $B80="Direct Monthly Input", 0)</f>
        <v>1000</v>
      </c>
      <c r="L80" s="428" cm="1">
        <f t="array" ref="L80">_xlfn.IFS($B80="12-Month Smoothing", 'P&amp;L'!$E261*Drivers!O$113, $B80="10-Month Academic Calendar", 'P&amp;L'!$E261*Drivers!O$114, $B80="Quarterly Smoothing", 'P&amp;L'!$E261*Drivers!O$115,
     $B80="Two-Installment (front-loaded)", 'P&amp;L'!$E261*Drivers!O$116, $B80="Two-Installment (back-loaded)", 'P&amp;L'!$E261*Drivers!O$117,
     $B80="Year Start Lump Sum", 'P&amp;L'!$E261*Drivers!O$118,$B80="Expense Reimbursement", 'P&amp;L'!$E261*Drivers!O$120,
     $B80="Direct Monthly Input", 0)</f>
        <v>1000</v>
      </c>
      <c r="M80" s="428" cm="1">
        <f t="array" ref="M80">_xlfn.IFS($B80="12-Month Smoothing", 'P&amp;L'!$E261*Drivers!P$113, $B80="10-Month Academic Calendar", 'P&amp;L'!$E261*Drivers!P$114, $B80="Quarterly Smoothing", 'P&amp;L'!$E261*Drivers!P$115,
     $B80="Two-Installment (front-loaded)", 'P&amp;L'!$E261*Drivers!P$116, $B80="Two-Installment (back-loaded)", 'P&amp;L'!$E261*Drivers!P$117,
     $B80="Year Start Lump Sum", 'P&amp;L'!$E261*Drivers!P$118,$B80="Expense Reimbursement", 'P&amp;L'!$E261*Drivers!P$120,
     $B80="Direct Monthly Input", 0)</f>
        <v>1000</v>
      </c>
      <c r="N80" s="428" cm="1">
        <f t="array" ref="N80">_xlfn.IFS($B80="12-Month Smoothing", 'P&amp;L'!$E261*Drivers!Q$113, $B80="10-Month Academic Calendar", 'P&amp;L'!$E261*Drivers!Q$114, $B80="Quarterly Smoothing", 'P&amp;L'!$E261*Drivers!Q$115,
     $B80="Two-Installment (front-loaded)", 'P&amp;L'!$E261*Drivers!Q$116, $B80="Two-Installment (back-loaded)", 'P&amp;L'!$E261*Drivers!Q$117,
     $B80="Year Start Lump Sum", 'P&amp;L'!$E261*Drivers!Q$118,$B80="Expense Reimbursement", 'P&amp;L'!$E261*Drivers!Q$120,
     $B80="Direct Monthly Input", 0)</f>
        <v>0</v>
      </c>
      <c r="O80" s="847" cm="1">
        <f t="array" ref="O80">_xlfn.IFS($B80="12-Month Smoothing", 'P&amp;L'!$E261*Drivers!R$113, $B80="10-Month Academic Calendar", 'P&amp;L'!$E261*Drivers!R$114, $B80="Quarterly Smoothing", 'P&amp;L'!$E261*Drivers!R$115,
     $B80="Two-Installment (front-loaded)", 'P&amp;L'!$E261*Drivers!R$116, $B80="Two-Installment (back-loaded)", 'P&amp;L'!$E261*Drivers!R$117,
     $B80="Year Start Lump Sum", 'P&amp;L'!$E261*Drivers!R$118,$B80="Expense Reimbursement", 'P&amp;L'!$E261*Drivers!R$120,
     $B80="Direct Monthly Input", 0)</f>
        <v>0</v>
      </c>
      <c r="P80" s="130">
        <f t="shared" si="4"/>
        <v>10000</v>
      </c>
      <c r="Q80" s="730"/>
      <c r="R80" s="537"/>
    </row>
    <row r="81" spans="1:18" s="538" customFormat="1" ht="17" thickBot="1">
      <c r="A81" s="735"/>
      <c r="B81" s="419" t="s">
        <v>439</v>
      </c>
      <c r="C81" s="857" t="str">
        <f>'P&amp;L'!C262</f>
        <v>Insurance</v>
      </c>
      <c r="D81" s="854" cm="1">
        <f t="array" ref="D81">_xlfn.IFS($B81="12-Month Smoothing", 'P&amp;L'!$E262*Drivers!G$113, $B81="10-Month Academic Calendar", 'P&amp;L'!$E262*Drivers!G$114, $B81="Quarterly Smoothing", 'P&amp;L'!$E262*Drivers!G$115,
     $B81="Two-Installment (front-loaded)", 'P&amp;L'!$E262*Drivers!G$116, $B81="Two-Installment (back-loaded)", 'P&amp;L'!$E262*Drivers!G$117,
     $B81="Year Start Lump Sum", 'P&amp;L'!$E262*Drivers!G$118,$B81="Expense Reimbursement", 'P&amp;L'!$E262*Drivers!G$120,
     $B81="Direct Monthly Input", 0)</f>
        <v>2333.333333333333</v>
      </c>
      <c r="E81" s="428" cm="1">
        <f t="array" ref="E81">_xlfn.IFS($B81="12-Month Smoothing", 'P&amp;L'!$E262*Drivers!H$113, $B81="10-Month Academic Calendar", 'P&amp;L'!$E262*Drivers!H$114, $B81="Quarterly Smoothing", 'P&amp;L'!$E262*Drivers!H$115,
     $B81="Two-Installment (front-loaded)", 'P&amp;L'!$E262*Drivers!H$116, $B81="Two-Installment (back-loaded)", 'P&amp;L'!$E262*Drivers!H$117,
     $B81="Year Start Lump Sum", 'P&amp;L'!$E262*Drivers!H$118,$B81="Expense Reimbursement", 'P&amp;L'!$E262*Drivers!H$120,
     $B81="Direct Monthly Input", 0)</f>
        <v>2333.333333333333</v>
      </c>
      <c r="F81" s="428" cm="1">
        <f t="array" ref="F81">_xlfn.IFS($B81="12-Month Smoothing", 'P&amp;L'!$E262*Drivers!I$113, $B81="10-Month Academic Calendar", 'P&amp;L'!$E262*Drivers!I$114, $B81="Quarterly Smoothing", 'P&amp;L'!$E262*Drivers!I$115,
     $B81="Two-Installment (front-loaded)", 'P&amp;L'!$E262*Drivers!I$116, $B81="Two-Installment (back-loaded)", 'P&amp;L'!$E262*Drivers!I$117,
     $B81="Year Start Lump Sum", 'P&amp;L'!$E262*Drivers!I$118,$B81="Expense Reimbursement", 'P&amp;L'!$E262*Drivers!I$120,
     $B81="Direct Monthly Input", 0)</f>
        <v>2333.333333333333</v>
      </c>
      <c r="G81" s="428" cm="1">
        <f t="array" ref="G81">_xlfn.IFS($B81="12-Month Smoothing", 'P&amp;L'!$E262*Drivers!J$113, $B81="10-Month Academic Calendar", 'P&amp;L'!$E262*Drivers!J$114, $B81="Quarterly Smoothing", 'P&amp;L'!$E262*Drivers!J$115,
     $B81="Two-Installment (front-loaded)", 'P&amp;L'!$E262*Drivers!J$116, $B81="Two-Installment (back-loaded)", 'P&amp;L'!$E262*Drivers!J$117,
     $B81="Year Start Lump Sum", 'P&amp;L'!$E262*Drivers!J$118,$B81="Expense Reimbursement", 'P&amp;L'!$E262*Drivers!J$120,
     $B81="Direct Monthly Input", 0)</f>
        <v>2333.333333333333</v>
      </c>
      <c r="H81" s="428" cm="1">
        <f t="array" ref="H81">_xlfn.IFS($B81="12-Month Smoothing", 'P&amp;L'!$E262*Drivers!K$113, $B81="10-Month Academic Calendar", 'P&amp;L'!$E262*Drivers!K$114, $B81="Quarterly Smoothing", 'P&amp;L'!$E262*Drivers!K$115,
     $B81="Two-Installment (front-loaded)", 'P&amp;L'!$E262*Drivers!K$116, $B81="Two-Installment (back-loaded)", 'P&amp;L'!$E262*Drivers!K$117,
     $B81="Year Start Lump Sum", 'P&amp;L'!$E262*Drivers!K$118,$B81="Expense Reimbursement", 'P&amp;L'!$E262*Drivers!K$120,
     $B81="Direct Monthly Input", 0)</f>
        <v>2333.333333333333</v>
      </c>
      <c r="I81" s="428" cm="1">
        <f t="array" ref="I81">_xlfn.IFS($B81="12-Month Smoothing", 'P&amp;L'!$E262*Drivers!L$113, $B81="10-Month Academic Calendar", 'P&amp;L'!$E262*Drivers!L$114, $B81="Quarterly Smoothing", 'P&amp;L'!$E262*Drivers!L$115,
     $B81="Two-Installment (front-loaded)", 'P&amp;L'!$E262*Drivers!L$116, $B81="Two-Installment (back-loaded)", 'P&amp;L'!$E262*Drivers!L$117,
     $B81="Year Start Lump Sum", 'P&amp;L'!$E262*Drivers!L$118,$B81="Expense Reimbursement", 'P&amp;L'!$E262*Drivers!L$120,
     $B81="Direct Monthly Input", 0)</f>
        <v>2333.333333333333</v>
      </c>
      <c r="J81" s="428" cm="1">
        <f t="array" ref="J81">_xlfn.IFS($B81="12-Month Smoothing", 'P&amp;L'!$E262*Drivers!M$113, $B81="10-Month Academic Calendar", 'P&amp;L'!$E262*Drivers!M$114, $B81="Quarterly Smoothing", 'P&amp;L'!$E262*Drivers!M$115,
     $B81="Two-Installment (front-loaded)", 'P&amp;L'!$E262*Drivers!M$116, $B81="Two-Installment (back-loaded)", 'P&amp;L'!$E262*Drivers!M$117,
     $B81="Year Start Lump Sum", 'P&amp;L'!$E262*Drivers!M$118,$B81="Expense Reimbursement", 'P&amp;L'!$E262*Drivers!M$120,
     $B81="Direct Monthly Input", 0)</f>
        <v>2333.333333333333</v>
      </c>
      <c r="K81" s="428" cm="1">
        <f t="array" ref="K81">_xlfn.IFS($B81="12-Month Smoothing", 'P&amp;L'!$E262*Drivers!N$113, $B81="10-Month Academic Calendar", 'P&amp;L'!$E262*Drivers!N$114, $B81="Quarterly Smoothing", 'P&amp;L'!$E262*Drivers!N$115,
     $B81="Two-Installment (front-loaded)", 'P&amp;L'!$E262*Drivers!N$116, $B81="Two-Installment (back-loaded)", 'P&amp;L'!$E262*Drivers!N$117,
     $B81="Year Start Lump Sum", 'P&amp;L'!$E262*Drivers!N$118,$B81="Expense Reimbursement", 'P&amp;L'!$E262*Drivers!N$120,
     $B81="Direct Monthly Input", 0)</f>
        <v>2333.333333333333</v>
      </c>
      <c r="L81" s="428" cm="1">
        <f t="array" ref="L81">_xlfn.IFS($B81="12-Month Smoothing", 'P&amp;L'!$E262*Drivers!O$113, $B81="10-Month Academic Calendar", 'P&amp;L'!$E262*Drivers!O$114, $B81="Quarterly Smoothing", 'P&amp;L'!$E262*Drivers!O$115,
     $B81="Two-Installment (front-loaded)", 'P&amp;L'!$E262*Drivers!O$116, $B81="Two-Installment (back-loaded)", 'P&amp;L'!$E262*Drivers!O$117,
     $B81="Year Start Lump Sum", 'P&amp;L'!$E262*Drivers!O$118,$B81="Expense Reimbursement", 'P&amp;L'!$E262*Drivers!O$120,
     $B81="Direct Monthly Input", 0)</f>
        <v>2333.333333333333</v>
      </c>
      <c r="M81" s="428" cm="1">
        <f t="array" ref="M81">_xlfn.IFS($B81="12-Month Smoothing", 'P&amp;L'!$E262*Drivers!P$113, $B81="10-Month Academic Calendar", 'P&amp;L'!$E262*Drivers!P$114, $B81="Quarterly Smoothing", 'P&amp;L'!$E262*Drivers!P$115,
     $B81="Two-Installment (front-loaded)", 'P&amp;L'!$E262*Drivers!P$116, $B81="Two-Installment (back-loaded)", 'P&amp;L'!$E262*Drivers!P$117,
     $B81="Year Start Lump Sum", 'P&amp;L'!$E262*Drivers!P$118,$B81="Expense Reimbursement", 'P&amp;L'!$E262*Drivers!P$120,
     $B81="Direct Monthly Input", 0)</f>
        <v>2333.333333333333</v>
      </c>
      <c r="N81" s="428" cm="1">
        <f t="array" ref="N81">_xlfn.IFS($B81="12-Month Smoothing", 'P&amp;L'!$E262*Drivers!Q$113, $B81="10-Month Academic Calendar", 'P&amp;L'!$E262*Drivers!Q$114, $B81="Quarterly Smoothing", 'P&amp;L'!$E262*Drivers!Q$115,
     $B81="Two-Installment (front-loaded)", 'P&amp;L'!$E262*Drivers!Q$116, $B81="Two-Installment (back-loaded)", 'P&amp;L'!$E262*Drivers!Q$117,
     $B81="Year Start Lump Sum", 'P&amp;L'!$E262*Drivers!Q$118,$B81="Expense Reimbursement", 'P&amp;L'!$E262*Drivers!Q$120,
     $B81="Direct Monthly Input", 0)</f>
        <v>2333.333333333333</v>
      </c>
      <c r="O81" s="847" cm="1">
        <f t="array" ref="O81">_xlfn.IFS($B81="12-Month Smoothing", 'P&amp;L'!$E262*Drivers!R$113, $B81="10-Month Academic Calendar", 'P&amp;L'!$E262*Drivers!R$114, $B81="Quarterly Smoothing", 'P&amp;L'!$E262*Drivers!R$115,
     $B81="Two-Installment (front-loaded)", 'P&amp;L'!$E262*Drivers!R$116, $B81="Two-Installment (back-loaded)", 'P&amp;L'!$E262*Drivers!R$117,
     $B81="Year Start Lump Sum", 'P&amp;L'!$E262*Drivers!R$118,$B81="Expense Reimbursement", 'P&amp;L'!$E262*Drivers!R$120,
     $B81="Direct Monthly Input", 0)</f>
        <v>2333.333333333333</v>
      </c>
      <c r="P81" s="130">
        <f t="shared" si="4"/>
        <v>27999.999999999989</v>
      </c>
      <c r="Q81" s="730"/>
      <c r="R81" s="537"/>
    </row>
    <row r="82" spans="1:18" s="538" customFormat="1" ht="17" thickBot="1">
      <c r="A82" s="735"/>
      <c r="B82" s="419" t="s">
        <v>439</v>
      </c>
      <c r="C82" s="857" t="str">
        <f>'P&amp;L'!C263</f>
        <v>Janitorial Services</v>
      </c>
      <c r="D82" s="854" cm="1">
        <f t="array" ref="D82">_xlfn.IFS($B82="12-Month Smoothing", 'P&amp;L'!$E263*Drivers!G$113, $B82="10-Month Academic Calendar", 'P&amp;L'!$E263*Drivers!G$114, $B82="Quarterly Smoothing", 'P&amp;L'!$E263*Drivers!G$115,
     $B82="Two-Installment (front-loaded)", 'P&amp;L'!$E263*Drivers!G$116, $B82="Two-Installment (back-loaded)", 'P&amp;L'!$E263*Drivers!G$117,
     $B82="Year Start Lump Sum", 'P&amp;L'!$E263*Drivers!G$118,$B82="Expense Reimbursement", 'P&amp;L'!$E263*Drivers!G$120,
     $B82="Direct Monthly Input", 0)</f>
        <v>3000</v>
      </c>
      <c r="E82" s="428" cm="1">
        <f t="array" ref="E82">_xlfn.IFS($B82="12-Month Smoothing", 'P&amp;L'!$E263*Drivers!H$113, $B82="10-Month Academic Calendar", 'P&amp;L'!$E263*Drivers!H$114, $B82="Quarterly Smoothing", 'P&amp;L'!$E263*Drivers!H$115,
     $B82="Two-Installment (front-loaded)", 'P&amp;L'!$E263*Drivers!H$116, $B82="Two-Installment (back-loaded)", 'P&amp;L'!$E263*Drivers!H$117,
     $B82="Year Start Lump Sum", 'P&amp;L'!$E263*Drivers!H$118,$B82="Expense Reimbursement", 'P&amp;L'!$E263*Drivers!H$120,
     $B82="Direct Monthly Input", 0)</f>
        <v>3000</v>
      </c>
      <c r="F82" s="428" cm="1">
        <f t="array" ref="F82">_xlfn.IFS($B82="12-Month Smoothing", 'P&amp;L'!$E263*Drivers!I$113, $B82="10-Month Academic Calendar", 'P&amp;L'!$E263*Drivers!I$114, $B82="Quarterly Smoothing", 'P&amp;L'!$E263*Drivers!I$115,
     $B82="Two-Installment (front-loaded)", 'P&amp;L'!$E263*Drivers!I$116, $B82="Two-Installment (back-loaded)", 'P&amp;L'!$E263*Drivers!I$117,
     $B82="Year Start Lump Sum", 'P&amp;L'!$E263*Drivers!I$118,$B82="Expense Reimbursement", 'P&amp;L'!$E263*Drivers!I$120,
     $B82="Direct Monthly Input", 0)</f>
        <v>3000</v>
      </c>
      <c r="G82" s="428" cm="1">
        <f t="array" ref="G82">_xlfn.IFS($B82="12-Month Smoothing", 'P&amp;L'!$E263*Drivers!J$113, $B82="10-Month Academic Calendar", 'P&amp;L'!$E263*Drivers!J$114, $B82="Quarterly Smoothing", 'P&amp;L'!$E263*Drivers!J$115,
     $B82="Two-Installment (front-loaded)", 'P&amp;L'!$E263*Drivers!J$116, $B82="Two-Installment (back-loaded)", 'P&amp;L'!$E263*Drivers!J$117,
     $B82="Year Start Lump Sum", 'P&amp;L'!$E263*Drivers!J$118,$B82="Expense Reimbursement", 'P&amp;L'!$E263*Drivers!J$120,
     $B82="Direct Monthly Input", 0)</f>
        <v>3000</v>
      </c>
      <c r="H82" s="428" cm="1">
        <f t="array" ref="H82">_xlfn.IFS($B82="12-Month Smoothing", 'P&amp;L'!$E263*Drivers!K$113, $B82="10-Month Academic Calendar", 'P&amp;L'!$E263*Drivers!K$114, $B82="Quarterly Smoothing", 'P&amp;L'!$E263*Drivers!K$115,
     $B82="Two-Installment (front-loaded)", 'P&amp;L'!$E263*Drivers!K$116, $B82="Two-Installment (back-loaded)", 'P&amp;L'!$E263*Drivers!K$117,
     $B82="Year Start Lump Sum", 'P&amp;L'!$E263*Drivers!K$118,$B82="Expense Reimbursement", 'P&amp;L'!$E263*Drivers!K$120,
     $B82="Direct Monthly Input", 0)</f>
        <v>3000</v>
      </c>
      <c r="I82" s="428" cm="1">
        <f t="array" ref="I82">_xlfn.IFS($B82="12-Month Smoothing", 'P&amp;L'!$E263*Drivers!L$113, $B82="10-Month Academic Calendar", 'P&amp;L'!$E263*Drivers!L$114, $B82="Quarterly Smoothing", 'P&amp;L'!$E263*Drivers!L$115,
     $B82="Two-Installment (front-loaded)", 'P&amp;L'!$E263*Drivers!L$116, $B82="Two-Installment (back-loaded)", 'P&amp;L'!$E263*Drivers!L$117,
     $B82="Year Start Lump Sum", 'P&amp;L'!$E263*Drivers!L$118,$B82="Expense Reimbursement", 'P&amp;L'!$E263*Drivers!L$120,
     $B82="Direct Monthly Input", 0)</f>
        <v>3000</v>
      </c>
      <c r="J82" s="428" cm="1">
        <f t="array" ref="J82">_xlfn.IFS($B82="12-Month Smoothing", 'P&amp;L'!$E263*Drivers!M$113, $B82="10-Month Academic Calendar", 'P&amp;L'!$E263*Drivers!M$114, $B82="Quarterly Smoothing", 'P&amp;L'!$E263*Drivers!M$115,
     $B82="Two-Installment (front-loaded)", 'P&amp;L'!$E263*Drivers!M$116, $B82="Two-Installment (back-loaded)", 'P&amp;L'!$E263*Drivers!M$117,
     $B82="Year Start Lump Sum", 'P&amp;L'!$E263*Drivers!M$118,$B82="Expense Reimbursement", 'P&amp;L'!$E263*Drivers!M$120,
     $B82="Direct Monthly Input", 0)</f>
        <v>3000</v>
      </c>
      <c r="K82" s="428" cm="1">
        <f t="array" ref="K82">_xlfn.IFS($B82="12-Month Smoothing", 'P&amp;L'!$E263*Drivers!N$113, $B82="10-Month Academic Calendar", 'P&amp;L'!$E263*Drivers!N$114, $B82="Quarterly Smoothing", 'P&amp;L'!$E263*Drivers!N$115,
     $B82="Two-Installment (front-loaded)", 'P&amp;L'!$E263*Drivers!N$116, $B82="Two-Installment (back-loaded)", 'P&amp;L'!$E263*Drivers!N$117,
     $B82="Year Start Lump Sum", 'P&amp;L'!$E263*Drivers!N$118,$B82="Expense Reimbursement", 'P&amp;L'!$E263*Drivers!N$120,
     $B82="Direct Monthly Input", 0)</f>
        <v>3000</v>
      </c>
      <c r="L82" s="428" cm="1">
        <f t="array" ref="L82">_xlfn.IFS($B82="12-Month Smoothing", 'P&amp;L'!$E263*Drivers!O$113, $B82="10-Month Academic Calendar", 'P&amp;L'!$E263*Drivers!O$114, $B82="Quarterly Smoothing", 'P&amp;L'!$E263*Drivers!O$115,
     $B82="Two-Installment (front-loaded)", 'P&amp;L'!$E263*Drivers!O$116, $B82="Two-Installment (back-loaded)", 'P&amp;L'!$E263*Drivers!O$117,
     $B82="Year Start Lump Sum", 'P&amp;L'!$E263*Drivers!O$118,$B82="Expense Reimbursement", 'P&amp;L'!$E263*Drivers!O$120,
     $B82="Direct Monthly Input", 0)</f>
        <v>3000</v>
      </c>
      <c r="M82" s="428" cm="1">
        <f t="array" ref="M82">_xlfn.IFS($B82="12-Month Smoothing", 'P&amp;L'!$E263*Drivers!P$113, $B82="10-Month Academic Calendar", 'P&amp;L'!$E263*Drivers!P$114, $B82="Quarterly Smoothing", 'P&amp;L'!$E263*Drivers!P$115,
     $B82="Two-Installment (front-loaded)", 'P&amp;L'!$E263*Drivers!P$116, $B82="Two-Installment (back-loaded)", 'P&amp;L'!$E263*Drivers!P$117,
     $B82="Year Start Lump Sum", 'P&amp;L'!$E263*Drivers!P$118,$B82="Expense Reimbursement", 'P&amp;L'!$E263*Drivers!P$120,
     $B82="Direct Monthly Input", 0)</f>
        <v>3000</v>
      </c>
      <c r="N82" s="428" cm="1">
        <f t="array" ref="N82">_xlfn.IFS($B82="12-Month Smoothing", 'P&amp;L'!$E263*Drivers!Q$113, $B82="10-Month Academic Calendar", 'P&amp;L'!$E263*Drivers!Q$114, $B82="Quarterly Smoothing", 'P&amp;L'!$E263*Drivers!Q$115,
     $B82="Two-Installment (front-loaded)", 'P&amp;L'!$E263*Drivers!Q$116, $B82="Two-Installment (back-loaded)", 'P&amp;L'!$E263*Drivers!Q$117,
     $B82="Year Start Lump Sum", 'P&amp;L'!$E263*Drivers!Q$118,$B82="Expense Reimbursement", 'P&amp;L'!$E263*Drivers!Q$120,
     $B82="Direct Monthly Input", 0)</f>
        <v>3000</v>
      </c>
      <c r="O82" s="847" cm="1">
        <f t="array" ref="O82">_xlfn.IFS($B82="12-Month Smoothing", 'P&amp;L'!$E263*Drivers!R$113, $B82="10-Month Academic Calendar", 'P&amp;L'!$E263*Drivers!R$114, $B82="Quarterly Smoothing", 'P&amp;L'!$E263*Drivers!R$115,
     $B82="Two-Installment (front-loaded)", 'P&amp;L'!$E263*Drivers!R$116, $B82="Two-Installment (back-loaded)", 'P&amp;L'!$E263*Drivers!R$117,
     $B82="Year Start Lump Sum", 'P&amp;L'!$E263*Drivers!R$118,$B82="Expense Reimbursement", 'P&amp;L'!$E263*Drivers!R$120,
     $B82="Direct Monthly Input", 0)</f>
        <v>3000</v>
      </c>
      <c r="P82" s="130">
        <f t="shared" si="4"/>
        <v>36000</v>
      </c>
      <c r="Q82" s="730"/>
      <c r="R82" s="537"/>
    </row>
    <row r="83" spans="1:18" s="538" customFormat="1" ht="17" thickBot="1">
      <c r="A83" s="735"/>
      <c r="B83" s="419" t="s">
        <v>439</v>
      </c>
      <c r="C83" s="857" t="str">
        <f>'P&amp;L'!C264</f>
        <v>Building and Land Rent/Lease</v>
      </c>
      <c r="D83" s="854" cm="1">
        <f t="array" ref="D83">_xlfn.IFS($B83="12-Month Smoothing", 'P&amp;L'!$E264*Drivers!G$113, $B83="10-Month Academic Calendar", 'P&amp;L'!$E264*Drivers!G$114, $B83="Quarterly Smoothing", 'P&amp;L'!$E264*Drivers!G$115,
     $B83="Two-Installment (front-loaded)", 'P&amp;L'!$E264*Drivers!G$116, $B83="Two-Installment (back-loaded)", 'P&amp;L'!$E264*Drivers!G$117,
     $B83="Year Start Lump Sum", 'P&amp;L'!$E264*Drivers!G$118,$B83="Expense Reimbursement", 'P&amp;L'!$E264*Drivers!G$120,
     $B83="Direct Monthly Input", 0)</f>
        <v>20000</v>
      </c>
      <c r="E83" s="428" cm="1">
        <f t="array" ref="E83">_xlfn.IFS($B83="12-Month Smoothing", 'P&amp;L'!$E264*Drivers!H$113, $B83="10-Month Academic Calendar", 'P&amp;L'!$E264*Drivers!H$114, $B83="Quarterly Smoothing", 'P&amp;L'!$E264*Drivers!H$115,
     $B83="Two-Installment (front-loaded)", 'P&amp;L'!$E264*Drivers!H$116, $B83="Two-Installment (back-loaded)", 'P&amp;L'!$E264*Drivers!H$117,
     $B83="Year Start Lump Sum", 'P&amp;L'!$E264*Drivers!H$118,$B83="Expense Reimbursement", 'P&amp;L'!$E264*Drivers!H$120,
     $B83="Direct Monthly Input", 0)</f>
        <v>20000</v>
      </c>
      <c r="F83" s="428" cm="1">
        <f t="array" ref="F83">_xlfn.IFS($B83="12-Month Smoothing", 'P&amp;L'!$E264*Drivers!I$113, $B83="10-Month Academic Calendar", 'P&amp;L'!$E264*Drivers!I$114, $B83="Quarterly Smoothing", 'P&amp;L'!$E264*Drivers!I$115,
     $B83="Two-Installment (front-loaded)", 'P&amp;L'!$E264*Drivers!I$116, $B83="Two-Installment (back-loaded)", 'P&amp;L'!$E264*Drivers!I$117,
     $B83="Year Start Lump Sum", 'P&amp;L'!$E264*Drivers!I$118,$B83="Expense Reimbursement", 'P&amp;L'!$E264*Drivers!I$120,
     $B83="Direct Monthly Input", 0)</f>
        <v>20000</v>
      </c>
      <c r="G83" s="428" cm="1">
        <f t="array" ref="G83">_xlfn.IFS($B83="12-Month Smoothing", 'P&amp;L'!$E264*Drivers!J$113, $B83="10-Month Academic Calendar", 'P&amp;L'!$E264*Drivers!J$114, $B83="Quarterly Smoothing", 'P&amp;L'!$E264*Drivers!J$115,
     $B83="Two-Installment (front-loaded)", 'P&amp;L'!$E264*Drivers!J$116, $B83="Two-Installment (back-loaded)", 'P&amp;L'!$E264*Drivers!J$117,
     $B83="Year Start Lump Sum", 'P&amp;L'!$E264*Drivers!J$118,$B83="Expense Reimbursement", 'P&amp;L'!$E264*Drivers!J$120,
     $B83="Direct Monthly Input", 0)</f>
        <v>20000</v>
      </c>
      <c r="H83" s="428" cm="1">
        <f t="array" ref="H83">_xlfn.IFS($B83="12-Month Smoothing", 'P&amp;L'!$E264*Drivers!K$113, $B83="10-Month Academic Calendar", 'P&amp;L'!$E264*Drivers!K$114, $B83="Quarterly Smoothing", 'P&amp;L'!$E264*Drivers!K$115,
     $B83="Two-Installment (front-loaded)", 'P&amp;L'!$E264*Drivers!K$116, $B83="Two-Installment (back-loaded)", 'P&amp;L'!$E264*Drivers!K$117,
     $B83="Year Start Lump Sum", 'P&amp;L'!$E264*Drivers!K$118,$B83="Expense Reimbursement", 'P&amp;L'!$E264*Drivers!K$120,
     $B83="Direct Monthly Input", 0)</f>
        <v>20000</v>
      </c>
      <c r="I83" s="428" cm="1">
        <f t="array" ref="I83">_xlfn.IFS($B83="12-Month Smoothing", 'P&amp;L'!$E264*Drivers!L$113, $B83="10-Month Academic Calendar", 'P&amp;L'!$E264*Drivers!L$114, $B83="Quarterly Smoothing", 'P&amp;L'!$E264*Drivers!L$115,
     $B83="Two-Installment (front-loaded)", 'P&amp;L'!$E264*Drivers!L$116, $B83="Two-Installment (back-loaded)", 'P&amp;L'!$E264*Drivers!L$117,
     $B83="Year Start Lump Sum", 'P&amp;L'!$E264*Drivers!L$118,$B83="Expense Reimbursement", 'P&amp;L'!$E264*Drivers!L$120,
     $B83="Direct Monthly Input", 0)</f>
        <v>20000</v>
      </c>
      <c r="J83" s="428" cm="1">
        <f t="array" ref="J83">_xlfn.IFS($B83="12-Month Smoothing", 'P&amp;L'!$E264*Drivers!M$113, $B83="10-Month Academic Calendar", 'P&amp;L'!$E264*Drivers!M$114, $B83="Quarterly Smoothing", 'P&amp;L'!$E264*Drivers!M$115,
     $B83="Two-Installment (front-loaded)", 'P&amp;L'!$E264*Drivers!M$116, $B83="Two-Installment (back-loaded)", 'P&amp;L'!$E264*Drivers!M$117,
     $B83="Year Start Lump Sum", 'P&amp;L'!$E264*Drivers!M$118,$B83="Expense Reimbursement", 'P&amp;L'!$E264*Drivers!M$120,
     $B83="Direct Monthly Input", 0)</f>
        <v>20000</v>
      </c>
      <c r="K83" s="428" cm="1">
        <f t="array" ref="K83">_xlfn.IFS($B83="12-Month Smoothing", 'P&amp;L'!$E264*Drivers!N$113, $B83="10-Month Academic Calendar", 'P&amp;L'!$E264*Drivers!N$114, $B83="Quarterly Smoothing", 'P&amp;L'!$E264*Drivers!N$115,
     $B83="Two-Installment (front-loaded)", 'P&amp;L'!$E264*Drivers!N$116, $B83="Two-Installment (back-loaded)", 'P&amp;L'!$E264*Drivers!N$117,
     $B83="Year Start Lump Sum", 'P&amp;L'!$E264*Drivers!N$118,$B83="Expense Reimbursement", 'P&amp;L'!$E264*Drivers!N$120,
     $B83="Direct Monthly Input", 0)</f>
        <v>20000</v>
      </c>
      <c r="L83" s="428" cm="1">
        <f t="array" ref="L83">_xlfn.IFS($B83="12-Month Smoothing", 'P&amp;L'!$E264*Drivers!O$113, $B83="10-Month Academic Calendar", 'P&amp;L'!$E264*Drivers!O$114, $B83="Quarterly Smoothing", 'P&amp;L'!$E264*Drivers!O$115,
     $B83="Two-Installment (front-loaded)", 'P&amp;L'!$E264*Drivers!O$116, $B83="Two-Installment (back-loaded)", 'P&amp;L'!$E264*Drivers!O$117,
     $B83="Year Start Lump Sum", 'P&amp;L'!$E264*Drivers!O$118,$B83="Expense Reimbursement", 'P&amp;L'!$E264*Drivers!O$120,
     $B83="Direct Monthly Input", 0)</f>
        <v>20000</v>
      </c>
      <c r="M83" s="428" cm="1">
        <f t="array" ref="M83">_xlfn.IFS($B83="12-Month Smoothing", 'P&amp;L'!$E264*Drivers!P$113, $B83="10-Month Academic Calendar", 'P&amp;L'!$E264*Drivers!P$114, $B83="Quarterly Smoothing", 'P&amp;L'!$E264*Drivers!P$115,
     $B83="Two-Installment (front-loaded)", 'P&amp;L'!$E264*Drivers!P$116, $B83="Two-Installment (back-loaded)", 'P&amp;L'!$E264*Drivers!P$117,
     $B83="Year Start Lump Sum", 'P&amp;L'!$E264*Drivers!P$118,$B83="Expense Reimbursement", 'P&amp;L'!$E264*Drivers!P$120,
     $B83="Direct Monthly Input", 0)</f>
        <v>20000</v>
      </c>
      <c r="N83" s="428" cm="1">
        <f t="array" ref="N83">_xlfn.IFS($B83="12-Month Smoothing", 'P&amp;L'!$E264*Drivers!Q$113, $B83="10-Month Academic Calendar", 'P&amp;L'!$E264*Drivers!Q$114, $B83="Quarterly Smoothing", 'P&amp;L'!$E264*Drivers!Q$115,
     $B83="Two-Installment (front-loaded)", 'P&amp;L'!$E264*Drivers!Q$116, $B83="Two-Installment (back-loaded)", 'P&amp;L'!$E264*Drivers!Q$117,
     $B83="Year Start Lump Sum", 'P&amp;L'!$E264*Drivers!Q$118,$B83="Expense Reimbursement", 'P&amp;L'!$E264*Drivers!Q$120,
     $B83="Direct Monthly Input", 0)</f>
        <v>20000</v>
      </c>
      <c r="O83" s="847" cm="1">
        <f t="array" ref="O83">_xlfn.IFS($B83="12-Month Smoothing", 'P&amp;L'!$E264*Drivers!R$113, $B83="10-Month Academic Calendar", 'P&amp;L'!$E264*Drivers!R$114, $B83="Quarterly Smoothing", 'P&amp;L'!$E264*Drivers!R$115,
     $B83="Two-Installment (front-loaded)", 'P&amp;L'!$E264*Drivers!R$116, $B83="Two-Installment (back-loaded)", 'P&amp;L'!$E264*Drivers!R$117,
     $B83="Year Start Lump Sum", 'P&amp;L'!$E264*Drivers!R$118,$B83="Expense Reimbursement", 'P&amp;L'!$E264*Drivers!R$120,
     $B83="Direct Monthly Input", 0)</f>
        <v>20000</v>
      </c>
      <c r="P83" s="130">
        <f t="shared" ref="P83:P93" si="6">SUM(D83:O83)</f>
        <v>240000</v>
      </c>
      <c r="Q83" s="730"/>
      <c r="R83" s="537"/>
    </row>
    <row r="84" spans="1:18" s="538" customFormat="1" ht="17" thickBot="1">
      <c r="A84" s="735"/>
      <c r="B84" s="419" t="s">
        <v>439</v>
      </c>
      <c r="C84" s="857" t="str">
        <f>'P&amp;L'!C265</f>
        <v>Repairs &amp; Maintenance</v>
      </c>
      <c r="D84" s="854" cm="1">
        <f t="array" ref="D84">_xlfn.IFS($B84="12-Month Smoothing", 'P&amp;L'!$E265*Drivers!G$113, $B84="10-Month Academic Calendar", 'P&amp;L'!$E265*Drivers!G$114, $B84="Quarterly Smoothing", 'P&amp;L'!$E265*Drivers!G$115,
     $B84="Two-Installment (front-loaded)", 'P&amp;L'!$E265*Drivers!G$116, $B84="Two-Installment (back-loaded)", 'P&amp;L'!$E265*Drivers!G$117,
     $B84="Year Start Lump Sum", 'P&amp;L'!$E265*Drivers!G$118,$B84="Expense Reimbursement", 'P&amp;L'!$E265*Drivers!G$120,
     $B84="Direct Monthly Input", 0)</f>
        <v>1500</v>
      </c>
      <c r="E84" s="428" cm="1">
        <f t="array" ref="E84">_xlfn.IFS($B84="12-Month Smoothing", 'P&amp;L'!$E265*Drivers!H$113, $B84="10-Month Academic Calendar", 'P&amp;L'!$E265*Drivers!H$114, $B84="Quarterly Smoothing", 'P&amp;L'!$E265*Drivers!H$115,
     $B84="Two-Installment (front-loaded)", 'P&amp;L'!$E265*Drivers!H$116, $B84="Two-Installment (back-loaded)", 'P&amp;L'!$E265*Drivers!H$117,
     $B84="Year Start Lump Sum", 'P&amp;L'!$E265*Drivers!H$118,$B84="Expense Reimbursement", 'P&amp;L'!$E265*Drivers!H$120,
     $B84="Direct Monthly Input", 0)</f>
        <v>1500</v>
      </c>
      <c r="F84" s="428" cm="1">
        <f t="array" ref="F84">_xlfn.IFS($B84="12-Month Smoothing", 'P&amp;L'!$E265*Drivers!I$113, $B84="10-Month Academic Calendar", 'P&amp;L'!$E265*Drivers!I$114, $B84="Quarterly Smoothing", 'P&amp;L'!$E265*Drivers!I$115,
     $B84="Two-Installment (front-loaded)", 'P&amp;L'!$E265*Drivers!I$116, $B84="Two-Installment (back-loaded)", 'P&amp;L'!$E265*Drivers!I$117,
     $B84="Year Start Lump Sum", 'P&amp;L'!$E265*Drivers!I$118,$B84="Expense Reimbursement", 'P&amp;L'!$E265*Drivers!I$120,
     $B84="Direct Monthly Input", 0)</f>
        <v>1500</v>
      </c>
      <c r="G84" s="428" cm="1">
        <f t="array" ref="G84">_xlfn.IFS($B84="12-Month Smoothing", 'P&amp;L'!$E265*Drivers!J$113, $B84="10-Month Academic Calendar", 'P&amp;L'!$E265*Drivers!J$114, $B84="Quarterly Smoothing", 'P&amp;L'!$E265*Drivers!J$115,
     $B84="Two-Installment (front-loaded)", 'P&amp;L'!$E265*Drivers!J$116, $B84="Two-Installment (back-loaded)", 'P&amp;L'!$E265*Drivers!J$117,
     $B84="Year Start Lump Sum", 'P&amp;L'!$E265*Drivers!J$118,$B84="Expense Reimbursement", 'P&amp;L'!$E265*Drivers!J$120,
     $B84="Direct Monthly Input", 0)</f>
        <v>1500</v>
      </c>
      <c r="H84" s="428" cm="1">
        <f t="array" ref="H84">_xlfn.IFS($B84="12-Month Smoothing", 'P&amp;L'!$E265*Drivers!K$113, $B84="10-Month Academic Calendar", 'P&amp;L'!$E265*Drivers!K$114, $B84="Quarterly Smoothing", 'P&amp;L'!$E265*Drivers!K$115,
     $B84="Two-Installment (front-loaded)", 'P&amp;L'!$E265*Drivers!K$116, $B84="Two-Installment (back-loaded)", 'P&amp;L'!$E265*Drivers!K$117,
     $B84="Year Start Lump Sum", 'P&amp;L'!$E265*Drivers!K$118,$B84="Expense Reimbursement", 'P&amp;L'!$E265*Drivers!K$120,
     $B84="Direct Monthly Input", 0)</f>
        <v>1500</v>
      </c>
      <c r="I84" s="428" cm="1">
        <f t="array" ref="I84">_xlfn.IFS($B84="12-Month Smoothing", 'P&amp;L'!$E265*Drivers!L$113, $B84="10-Month Academic Calendar", 'P&amp;L'!$E265*Drivers!L$114, $B84="Quarterly Smoothing", 'P&amp;L'!$E265*Drivers!L$115,
     $B84="Two-Installment (front-loaded)", 'P&amp;L'!$E265*Drivers!L$116, $B84="Two-Installment (back-loaded)", 'P&amp;L'!$E265*Drivers!L$117,
     $B84="Year Start Lump Sum", 'P&amp;L'!$E265*Drivers!L$118,$B84="Expense Reimbursement", 'P&amp;L'!$E265*Drivers!L$120,
     $B84="Direct Monthly Input", 0)</f>
        <v>1500</v>
      </c>
      <c r="J84" s="428" cm="1">
        <f t="array" ref="J84">_xlfn.IFS($B84="12-Month Smoothing", 'P&amp;L'!$E265*Drivers!M$113, $B84="10-Month Academic Calendar", 'P&amp;L'!$E265*Drivers!M$114, $B84="Quarterly Smoothing", 'P&amp;L'!$E265*Drivers!M$115,
     $B84="Two-Installment (front-loaded)", 'P&amp;L'!$E265*Drivers!M$116, $B84="Two-Installment (back-loaded)", 'P&amp;L'!$E265*Drivers!M$117,
     $B84="Year Start Lump Sum", 'P&amp;L'!$E265*Drivers!M$118,$B84="Expense Reimbursement", 'P&amp;L'!$E265*Drivers!M$120,
     $B84="Direct Monthly Input", 0)</f>
        <v>1500</v>
      </c>
      <c r="K84" s="428" cm="1">
        <f t="array" ref="K84">_xlfn.IFS($B84="12-Month Smoothing", 'P&amp;L'!$E265*Drivers!N$113, $B84="10-Month Academic Calendar", 'P&amp;L'!$E265*Drivers!N$114, $B84="Quarterly Smoothing", 'P&amp;L'!$E265*Drivers!N$115,
     $B84="Two-Installment (front-loaded)", 'P&amp;L'!$E265*Drivers!N$116, $B84="Two-Installment (back-loaded)", 'P&amp;L'!$E265*Drivers!N$117,
     $B84="Year Start Lump Sum", 'P&amp;L'!$E265*Drivers!N$118,$B84="Expense Reimbursement", 'P&amp;L'!$E265*Drivers!N$120,
     $B84="Direct Monthly Input", 0)</f>
        <v>1500</v>
      </c>
      <c r="L84" s="428" cm="1">
        <f t="array" ref="L84">_xlfn.IFS($B84="12-Month Smoothing", 'P&amp;L'!$E265*Drivers!O$113, $B84="10-Month Academic Calendar", 'P&amp;L'!$E265*Drivers!O$114, $B84="Quarterly Smoothing", 'P&amp;L'!$E265*Drivers!O$115,
     $B84="Two-Installment (front-loaded)", 'P&amp;L'!$E265*Drivers!O$116, $B84="Two-Installment (back-loaded)", 'P&amp;L'!$E265*Drivers!O$117,
     $B84="Year Start Lump Sum", 'P&amp;L'!$E265*Drivers!O$118,$B84="Expense Reimbursement", 'P&amp;L'!$E265*Drivers!O$120,
     $B84="Direct Monthly Input", 0)</f>
        <v>1500</v>
      </c>
      <c r="M84" s="428" cm="1">
        <f t="array" ref="M84">_xlfn.IFS($B84="12-Month Smoothing", 'P&amp;L'!$E265*Drivers!P$113, $B84="10-Month Academic Calendar", 'P&amp;L'!$E265*Drivers!P$114, $B84="Quarterly Smoothing", 'P&amp;L'!$E265*Drivers!P$115,
     $B84="Two-Installment (front-loaded)", 'P&amp;L'!$E265*Drivers!P$116, $B84="Two-Installment (back-loaded)", 'P&amp;L'!$E265*Drivers!P$117,
     $B84="Year Start Lump Sum", 'P&amp;L'!$E265*Drivers!P$118,$B84="Expense Reimbursement", 'P&amp;L'!$E265*Drivers!P$120,
     $B84="Direct Monthly Input", 0)</f>
        <v>1500</v>
      </c>
      <c r="N84" s="428" cm="1">
        <f t="array" ref="N84">_xlfn.IFS($B84="12-Month Smoothing", 'P&amp;L'!$E265*Drivers!Q$113, $B84="10-Month Academic Calendar", 'P&amp;L'!$E265*Drivers!Q$114, $B84="Quarterly Smoothing", 'P&amp;L'!$E265*Drivers!Q$115,
     $B84="Two-Installment (front-loaded)", 'P&amp;L'!$E265*Drivers!Q$116, $B84="Two-Installment (back-loaded)", 'P&amp;L'!$E265*Drivers!Q$117,
     $B84="Year Start Lump Sum", 'P&amp;L'!$E265*Drivers!Q$118,$B84="Expense Reimbursement", 'P&amp;L'!$E265*Drivers!Q$120,
     $B84="Direct Monthly Input", 0)</f>
        <v>1500</v>
      </c>
      <c r="O84" s="847" cm="1">
        <f t="array" ref="O84">_xlfn.IFS($B84="12-Month Smoothing", 'P&amp;L'!$E265*Drivers!R$113, $B84="10-Month Academic Calendar", 'P&amp;L'!$E265*Drivers!R$114, $B84="Quarterly Smoothing", 'P&amp;L'!$E265*Drivers!R$115,
     $B84="Two-Installment (front-loaded)", 'P&amp;L'!$E265*Drivers!R$116, $B84="Two-Installment (back-loaded)", 'P&amp;L'!$E265*Drivers!R$117,
     $B84="Year Start Lump Sum", 'P&amp;L'!$E265*Drivers!R$118,$B84="Expense Reimbursement", 'P&amp;L'!$E265*Drivers!R$120,
     $B84="Direct Monthly Input", 0)</f>
        <v>1500</v>
      </c>
      <c r="P84" s="130">
        <f t="shared" si="6"/>
        <v>18000</v>
      </c>
      <c r="Q84" s="730"/>
      <c r="R84" s="537"/>
    </row>
    <row r="85" spans="1:18" s="538" customFormat="1" ht="17" thickBot="1">
      <c r="A85" s="735"/>
      <c r="B85" s="419" t="s">
        <v>439</v>
      </c>
      <c r="C85" s="857" t="str">
        <f>'P&amp;L'!C266</f>
        <v>Facility Operations &amp; Maintenance Equipment/Furniture</v>
      </c>
      <c r="D85" s="854" cm="1">
        <f t="array" ref="D85">_xlfn.IFS($B85="12-Month Smoothing", 'P&amp;L'!$E266*Drivers!G$113, $B85="10-Month Academic Calendar", 'P&amp;L'!$E266*Drivers!G$114, $B85="Quarterly Smoothing", 'P&amp;L'!$E266*Drivers!G$115,
     $B85="Two-Installment (front-loaded)", 'P&amp;L'!$E266*Drivers!G$116, $B85="Two-Installment (back-loaded)", 'P&amp;L'!$E266*Drivers!G$117,
     $B85="Year Start Lump Sum", 'P&amp;L'!$E266*Drivers!G$118,$B85="Expense Reimbursement", 'P&amp;L'!$E266*Drivers!G$120,
     $B85="Direct Monthly Input", 0)</f>
        <v>666.66666666666663</v>
      </c>
      <c r="E85" s="428" cm="1">
        <f t="array" ref="E85">_xlfn.IFS($B85="12-Month Smoothing", 'P&amp;L'!$E266*Drivers!H$113, $B85="10-Month Academic Calendar", 'P&amp;L'!$E266*Drivers!H$114, $B85="Quarterly Smoothing", 'P&amp;L'!$E266*Drivers!H$115,
     $B85="Two-Installment (front-loaded)", 'P&amp;L'!$E266*Drivers!H$116, $B85="Two-Installment (back-loaded)", 'P&amp;L'!$E266*Drivers!H$117,
     $B85="Year Start Lump Sum", 'P&amp;L'!$E266*Drivers!H$118,$B85="Expense Reimbursement", 'P&amp;L'!$E266*Drivers!H$120,
     $B85="Direct Monthly Input", 0)</f>
        <v>666.66666666666663</v>
      </c>
      <c r="F85" s="428" cm="1">
        <f t="array" ref="F85">_xlfn.IFS($B85="12-Month Smoothing", 'P&amp;L'!$E266*Drivers!I$113, $B85="10-Month Academic Calendar", 'P&amp;L'!$E266*Drivers!I$114, $B85="Quarterly Smoothing", 'P&amp;L'!$E266*Drivers!I$115,
     $B85="Two-Installment (front-loaded)", 'P&amp;L'!$E266*Drivers!I$116, $B85="Two-Installment (back-loaded)", 'P&amp;L'!$E266*Drivers!I$117,
     $B85="Year Start Lump Sum", 'P&amp;L'!$E266*Drivers!I$118,$B85="Expense Reimbursement", 'P&amp;L'!$E266*Drivers!I$120,
     $B85="Direct Monthly Input", 0)</f>
        <v>666.66666666666663</v>
      </c>
      <c r="G85" s="428" cm="1">
        <f t="array" ref="G85">_xlfn.IFS($B85="12-Month Smoothing", 'P&amp;L'!$E266*Drivers!J$113, $B85="10-Month Academic Calendar", 'P&amp;L'!$E266*Drivers!J$114, $B85="Quarterly Smoothing", 'P&amp;L'!$E266*Drivers!J$115,
     $B85="Two-Installment (front-loaded)", 'P&amp;L'!$E266*Drivers!J$116, $B85="Two-Installment (back-loaded)", 'P&amp;L'!$E266*Drivers!J$117,
     $B85="Year Start Lump Sum", 'P&amp;L'!$E266*Drivers!J$118,$B85="Expense Reimbursement", 'P&amp;L'!$E266*Drivers!J$120,
     $B85="Direct Monthly Input", 0)</f>
        <v>666.66666666666663</v>
      </c>
      <c r="H85" s="428" cm="1">
        <f t="array" ref="H85">_xlfn.IFS($B85="12-Month Smoothing", 'P&amp;L'!$E266*Drivers!K$113, $B85="10-Month Academic Calendar", 'P&amp;L'!$E266*Drivers!K$114, $B85="Quarterly Smoothing", 'P&amp;L'!$E266*Drivers!K$115,
     $B85="Two-Installment (front-loaded)", 'P&amp;L'!$E266*Drivers!K$116, $B85="Two-Installment (back-loaded)", 'P&amp;L'!$E266*Drivers!K$117,
     $B85="Year Start Lump Sum", 'P&amp;L'!$E266*Drivers!K$118,$B85="Expense Reimbursement", 'P&amp;L'!$E266*Drivers!K$120,
     $B85="Direct Monthly Input", 0)</f>
        <v>666.66666666666663</v>
      </c>
      <c r="I85" s="428" cm="1">
        <f t="array" ref="I85">_xlfn.IFS($B85="12-Month Smoothing", 'P&amp;L'!$E266*Drivers!L$113, $B85="10-Month Academic Calendar", 'P&amp;L'!$E266*Drivers!L$114, $B85="Quarterly Smoothing", 'P&amp;L'!$E266*Drivers!L$115,
     $B85="Two-Installment (front-loaded)", 'P&amp;L'!$E266*Drivers!L$116, $B85="Two-Installment (back-loaded)", 'P&amp;L'!$E266*Drivers!L$117,
     $B85="Year Start Lump Sum", 'P&amp;L'!$E266*Drivers!L$118,$B85="Expense Reimbursement", 'P&amp;L'!$E266*Drivers!L$120,
     $B85="Direct Monthly Input", 0)</f>
        <v>666.66666666666663</v>
      </c>
      <c r="J85" s="428" cm="1">
        <f t="array" ref="J85">_xlfn.IFS($B85="12-Month Smoothing", 'P&amp;L'!$E266*Drivers!M$113, $B85="10-Month Academic Calendar", 'P&amp;L'!$E266*Drivers!M$114, $B85="Quarterly Smoothing", 'P&amp;L'!$E266*Drivers!M$115,
     $B85="Two-Installment (front-loaded)", 'P&amp;L'!$E266*Drivers!M$116, $B85="Two-Installment (back-loaded)", 'P&amp;L'!$E266*Drivers!M$117,
     $B85="Year Start Lump Sum", 'P&amp;L'!$E266*Drivers!M$118,$B85="Expense Reimbursement", 'P&amp;L'!$E266*Drivers!M$120,
     $B85="Direct Monthly Input", 0)</f>
        <v>666.66666666666663</v>
      </c>
      <c r="K85" s="428" cm="1">
        <f t="array" ref="K85">_xlfn.IFS($B85="12-Month Smoothing", 'P&amp;L'!$E266*Drivers!N$113, $B85="10-Month Academic Calendar", 'P&amp;L'!$E266*Drivers!N$114, $B85="Quarterly Smoothing", 'P&amp;L'!$E266*Drivers!N$115,
     $B85="Two-Installment (front-loaded)", 'P&amp;L'!$E266*Drivers!N$116, $B85="Two-Installment (back-loaded)", 'P&amp;L'!$E266*Drivers!N$117,
     $B85="Year Start Lump Sum", 'P&amp;L'!$E266*Drivers!N$118,$B85="Expense Reimbursement", 'P&amp;L'!$E266*Drivers!N$120,
     $B85="Direct Monthly Input", 0)</f>
        <v>666.66666666666663</v>
      </c>
      <c r="L85" s="428" cm="1">
        <f t="array" ref="L85">_xlfn.IFS($B85="12-Month Smoothing", 'P&amp;L'!$E266*Drivers!O$113, $B85="10-Month Academic Calendar", 'P&amp;L'!$E266*Drivers!O$114, $B85="Quarterly Smoothing", 'P&amp;L'!$E266*Drivers!O$115,
     $B85="Two-Installment (front-loaded)", 'P&amp;L'!$E266*Drivers!O$116, $B85="Two-Installment (back-loaded)", 'P&amp;L'!$E266*Drivers!O$117,
     $B85="Year Start Lump Sum", 'P&amp;L'!$E266*Drivers!O$118,$B85="Expense Reimbursement", 'P&amp;L'!$E266*Drivers!O$120,
     $B85="Direct Monthly Input", 0)</f>
        <v>666.66666666666663</v>
      </c>
      <c r="M85" s="428" cm="1">
        <f t="array" ref="M85">_xlfn.IFS($B85="12-Month Smoothing", 'P&amp;L'!$E266*Drivers!P$113, $B85="10-Month Academic Calendar", 'P&amp;L'!$E266*Drivers!P$114, $B85="Quarterly Smoothing", 'P&amp;L'!$E266*Drivers!P$115,
     $B85="Two-Installment (front-loaded)", 'P&amp;L'!$E266*Drivers!P$116, $B85="Two-Installment (back-loaded)", 'P&amp;L'!$E266*Drivers!P$117,
     $B85="Year Start Lump Sum", 'P&amp;L'!$E266*Drivers!P$118,$B85="Expense Reimbursement", 'P&amp;L'!$E266*Drivers!P$120,
     $B85="Direct Monthly Input", 0)</f>
        <v>666.66666666666663</v>
      </c>
      <c r="N85" s="428" cm="1">
        <f t="array" ref="N85">_xlfn.IFS($B85="12-Month Smoothing", 'P&amp;L'!$E266*Drivers!Q$113, $B85="10-Month Academic Calendar", 'P&amp;L'!$E266*Drivers!Q$114, $B85="Quarterly Smoothing", 'P&amp;L'!$E266*Drivers!Q$115,
     $B85="Two-Installment (front-loaded)", 'P&amp;L'!$E266*Drivers!Q$116, $B85="Two-Installment (back-loaded)", 'P&amp;L'!$E266*Drivers!Q$117,
     $B85="Year Start Lump Sum", 'P&amp;L'!$E266*Drivers!Q$118,$B85="Expense Reimbursement", 'P&amp;L'!$E266*Drivers!Q$120,
     $B85="Direct Monthly Input", 0)</f>
        <v>666.66666666666663</v>
      </c>
      <c r="O85" s="847" cm="1">
        <f t="array" ref="O85">_xlfn.IFS($B85="12-Month Smoothing", 'P&amp;L'!$E266*Drivers!R$113, $B85="10-Month Academic Calendar", 'P&amp;L'!$E266*Drivers!R$114, $B85="Quarterly Smoothing", 'P&amp;L'!$E266*Drivers!R$115,
     $B85="Two-Installment (front-loaded)", 'P&amp;L'!$E266*Drivers!R$116, $B85="Two-Installment (back-loaded)", 'P&amp;L'!$E266*Drivers!R$117,
     $B85="Year Start Lump Sum", 'P&amp;L'!$E266*Drivers!R$118,$B85="Expense Reimbursement", 'P&amp;L'!$E266*Drivers!R$120,
     $B85="Direct Monthly Input", 0)</f>
        <v>666.66666666666663</v>
      </c>
      <c r="P85" s="130">
        <f t="shared" si="6"/>
        <v>8000.0000000000009</v>
      </c>
      <c r="Q85" s="730"/>
      <c r="R85" s="537"/>
    </row>
    <row r="86" spans="1:18" s="538" customFormat="1" ht="17" thickBot="1">
      <c r="A86" s="735"/>
      <c r="B86" s="419" t="s">
        <v>439</v>
      </c>
      <c r="C86" s="857" t="str">
        <f>'P&amp;L'!C267</f>
        <v>Security Services</v>
      </c>
      <c r="D86" s="854" cm="1">
        <f t="array" ref="D86">_xlfn.IFS($B86="12-Month Smoothing", 'P&amp;L'!$E267*Drivers!G$113, $B86="10-Month Academic Calendar", 'P&amp;L'!$E267*Drivers!G$114, $B86="Quarterly Smoothing", 'P&amp;L'!$E267*Drivers!G$115,
     $B86="Two-Installment (front-loaded)", 'P&amp;L'!$E267*Drivers!G$116, $B86="Two-Installment (back-loaded)", 'P&amp;L'!$E267*Drivers!G$117,
     $B86="Year Start Lump Sum", 'P&amp;L'!$E267*Drivers!G$118,$B86="Expense Reimbursement", 'P&amp;L'!$E267*Drivers!G$120,
     $B86="Direct Monthly Input", 0)</f>
        <v>1833.3333333333333</v>
      </c>
      <c r="E86" s="428" cm="1">
        <f t="array" ref="E86">_xlfn.IFS($B86="12-Month Smoothing", 'P&amp;L'!$E267*Drivers!H$113, $B86="10-Month Academic Calendar", 'P&amp;L'!$E267*Drivers!H$114, $B86="Quarterly Smoothing", 'P&amp;L'!$E267*Drivers!H$115,
     $B86="Two-Installment (front-loaded)", 'P&amp;L'!$E267*Drivers!H$116, $B86="Two-Installment (back-loaded)", 'P&amp;L'!$E267*Drivers!H$117,
     $B86="Year Start Lump Sum", 'P&amp;L'!$E267*Drivers!H$118,$B86="Expense Reimbursement", 'P&amp;L'!$E267*Drivers!H$120,
     $B86="Direct Monthly Input", 0)</f>
        <v>1833.3333333333333</v>
      </c>
      <c r="F86" s="428" cm="1">
        <f t="array" ref="F86">_xlfn.IFS($B86="12-Month Smoothing", 'P&amp;L'!$E267*Drivers!I$113, $B86="10-Month Academic Calendar", 'P&amp;L'!$E267*Drivers!I$114, $B86="Quarterly Smoothing", 'P&amp;L'!$E267*Drivers!I$115,
     $B86="Two-Installment (front-loaded)", 'P&amp;L'!$E267*Drivers!I$116, $B86="Two-Installment (back-loaded)", 'P&amp;L'!$E267*Drivers!I$117,
     $B86="Year Start Lump Sum", 'P&amp;L'!$E267*Drivers!I$118,$B86="Expense Reimbursement", 'P&amp;L'!$E267*Drivers!I$120,
     $B86="Direct Monthly Input", 0)</f>
        <v>1833.3333333333333</v>
      </c>
      <c r="G86" s="428" cm="1">
        <f t="array" ref="G86">_xlfn.IFS($B86="12-Month Smoothing", 'P&amp;L'!$E267*Drivers!J$113, $B86="10-Month Academic Calendar", 'P&amp;L'!$E267*Drivers!J$114, $B86="Quarterly Smoothing", 'P&amp;L'!$E267*Drivers!J$115,
     $B86="Two-Installment (front-loaded)", 'P&amp;L'!$E267*Drivers!J$116, $B86="Two-Installment (back-loaded)", 'P&amp;L'!$E267*Drivers!J$117,
     $B86="Year Start Lump Sum", 'P&amp;L'!$E267*Drivers!J$118,$B86="Expense Reimbursement", 'P&amp;L'!$E267*Drivers!J$120,
     $B86="Direct Monthly Input", 0)</f>
        <v>1833.3333333333333</v>
      </c>
      <c r="H86" s="428" cm="1">
        <f t="array" ref="H86">_xlfn.IFS($B86="12-Month Smoothing", 'P&amp;L'!$E267*Drivers!K$113, $B86="10-Month Academic Calendar", 'P&amp;L'!$E267*Drivers!K$114, $B86="Quarterly Smoothing", 'P&amp;L'!$E267*Drivers!K$115,
     $B86="Two-Installment (front-loaded)", 'P&amp;L'!$E267*Drivers!K$116, $B86="Two-Installment (back-loaded)", 'P&amp;L'!$E267*Drivers!K$117,
     $B86="Year Start Lump Sum", 'P&amp;L'!$E267*Drivers!K$118,$B86="Expense Reimbursement", 'P&amp;L'!$E267*Drivers!K$120,
     $B86="Direct Monthly Input", 0)</f>
        <v>1833.3333333333333</v>
      </c>
      <c r="I86" s="428" cm="1">
        <f t="array" ref="I86">_xlfn.IFS($B86="12-Month Smoothing", 'P&amp;L'!$E267*Drivers!L$113, $B86="10-Month Academic Calendar", 'P&amp;L'!$E267*Drivers!L$114, $B86="Quarterly Smoothing", 'P&amp;L'!$E267*Drivers!L$115,
     $B86="Two-Installment (front-loaded)", 'P&amp;L'!$E267*Drivers!L$116, $B86="Two-Installment (back-loaded)", 'P&amp;L'!$E267*Drivers!L$117,
     $B86="Year Start Lump Sum", 'P&amp;L'!$E267*Drivers!L$118,$B86="Expense Reimbursement", 'P&amp;L'!$E267*Drivers!L$120,
     $B86="Direct Monthly Input", 0)</f>
        <v>1833.3333333333333</v>
      </c>
      <c r="J86" s="428" cm="1">
        <f t="array" ref="J86">_xlfn.IFS($B86="12-Month Smoothing", 'P&amp;L'!$E267*Drivers!M$113, $B86="10-Month Academic Calendar", 'P&amp;L'!$E267*Drivers!M$114, $B86="Quarterly Smoothing", 'P&amp;L'!$E267*Drivers!M$115,
     $B86="Two-Installment (front-loaded)", 'P&amp;L'!$E267*Drivers!M$116, $B86="Two-Installment (back-loaded)", 'P&amp;L'!$E267*Drivers!M$117,
     $B86="Year Start Lump Sum", 'P&amp;L'!$E267*Drivers!M$118,$B86="Expense Reimbursement", 'P&amp;L'!$E267*Drivers!M$120,
     $B86="Direct Monthly Input", 0)</f>
        <v>1833.3333333333333</v>
      </c>
      <c r="K86" s="428" cm="1">
        <f t="array" ref="K86">_xlfn.IFS($B86="12-Month Smoothing", 'P&amp;L'!$E267*Drivers!N$113, $B86="10-Month Academic Calendar", 'P&amp;L'!$E267*Drivers!N$114, $B86="Quarterly Smoothing", 'P&amp;L'!$E267*Drivers!N$115,
     $B86="Two-Installment (front-loaded)", 'P&amp;L'!$E267*Drivers!N$116, $B86="Two-Installment (back-loaded)", 'P&amp;L'!$E267*Drivers!N$117,
     $B86="Year Start Lump Sum", 'P&amp;L'!$E267*Drivers!N$118,$B86="Expense Reimbursement", 'P&amp;L'!$E267*Drivers!N$120,
     $B86="Direct Monthly Input", 0)</f>
        <v>1833.3333333333333</v>
      </c>
      <c r="L86" s="428" cm="1">
        <f t="array" ref="L86">_xlfn.IFS($B86="12-Month Smoothing", 'P&amp;L'!$E267*Drivers!O$113, $B86="10-Month Academic Calendar", 'P&amp;L'!$E267*Drivers!O$114, $B86="Quarterly Smoothing", 'P&amp;L'!$E267*Drivers!O$115,
     $B86="Two-Installment (front-loaded)", 'P&amp;L'!$E267*Drivers!O$116, $B86="Two-Installment (back-loaded)", 'P&amp;L'!$E267*Drivers!O$117,
     $B86="Year Start Lump Sum", 'P&amp;L'!$E267*Drivers!O$118,$B86="Expense Reimbursement", 'P&amp;L'!$E267*Drivers!O$120,
     $B86="Direct Monthly Input", 0)</f>
        <v>1833.3333333333333</v>
      </c>
      <c r="M86" s="428" cm="1">
        <f t="array" ref="M86">_xlfn.IFS($B86="12-Month Smoothing", 'P&amp;L'!$E267*Drivers!P$113, $B86="10-Month Academic Calendar", 'P&amp;L'!$E267*Drivers!P$114, $B86="Quarterly Smoothing", 'P&amp;L'!$E267*Drivers!P$115,
     $B86="Two-Installment (front-loaded)", 'P&amp;L'!$E267*Drivers!P$116, $B86="Two-Installment (back-loaded)", 'P&amp;L'!$E267*Drivers!P$117,
     $B86="Year Start Lump Sum", 'P&amp;L'!$E267*Drivers!P$118,$B86="Expense Reimbursement", 'P&amp;L'!$E267*Drivers!P$120,
     $B86="Direct Monthly Input", 0)</f>
        <v>1833.3333333333333</v>
      </c>
      <c r="N86" s="428" cm="1">
        <f t="array" ref="N86">_xlfn.IFS($B86="12-Month Smoothing", 'P&amp;L'!$E267*Drivers!Q$113, $B86="10-Month Academic Calendar", 'P&amp;L'!$E267*Drivers!Q$114, $B86="Quarterly Smoothing", 'P&amp;L'!$E267*Drivers!Q$115,
     $B86="Two-Installment (front-loaded)", 'P&amp;L'!$E267*Drivers!Q$116, $B86="Two-Installment (back-loaded)", 'P&amp;L'!$E267*Drivers!Q$117,
     $B86="Year Start Lump Sum", 'P&amp;L'!$E267*Drivers!Q$118,$B86="Expense Reimbursement", 'P&amp;L'!$E267*Drivers!Q$120,
     $B86="Direct Monthly Input", 0)</f>
        <v>1833.3333333333333</v>
      </c>
      <c r="O86" s="847" cm="1">
        <f t="array" ref="O86">_xlfn.IFS($B86="12-Month Smoothing", 'P&amp;L'!$E267*Drivers!R$113, $B86="10-Month Academic Calendar", 'P&amp;L'!$E267*Drivers!R$114, $B86="Quarterly Smoothing", 'P&amp;L'!$E267*Drivers!R$115,
     $B86="Two-Installment (front-loaded)", 'P&amp;L'!$E267*Drivers!R$116, $B86="Two-Installment (back-loaded)", 'P&amp;L'!$E267*Drivers!R$117,
     $B86="Year Start Lump Sum", 'P&amp;L'!$E267*Drivers!R$118,$B86="Expense Reimbursement", 'P&amp;L'!$E267*Drivers!R$120,
     $B86="Direct Monthly Input", 0)</f>
        <v>1833.3333333333333</v>
      </c>
      <c r="P86" s="130">
        <f t="shared" si="6"/>
        <v>21999.999999999996</v>
      </c>
      <c r="Q86" s="730"/>
      <c r="R86" s="537"/>
    </row>
    <row r="87" spans="1:18" s="538" customFormat="1" ht="17" thickBot="1">
      <c r="A87" s="735"/>
      <c r="B87" s="419" t="s">
        <v>439</v>
      </c>
      <c r="C87" s="857" t="str">
        <f>'P&amp;L'!C268</f>
        <v>Utilities</v>
      </c>
      <c r="D87" s="854" cm="1">
        <f t="array" ref="D87">_xlfn.IFS($B87="12-Month Smoothing", 'P&amp;L'!$E268*Drivers!G$113, $B87="10-Month Academic Calendar", 'P&amp;L'!$E268*Drivers!G$114, $B87="Quarterly Smoothing", 'P&amp;L'!$E268*Drivers!G$115,
     $B87="Two-Installment (front-loaded)", 'P&amp;L'!$E268*Drivers!G$116, $B87="Two-Installment (back-loaded)", 'P&amp;L'!$E268*Drivers!G$117,
     $B87="Year Start Lump Sum", 'P&amp;L'!$E268*Drivers!G$118,$B87="Expense Reimbursement", 'P&amp;L'!$E268*Drivers!G$120,
     $B87="Direct Monthly Input", 0)</f>
        <v>4000</v>
      </c>
      <c r="E87" s="428" cm="1">
        <f t="array" ref="E87">_xlfn.IFS($B87="12-Month Smoothing", 'P&amp;L'!$E268*Drivers!H$113, $B87="10-Month Academic Calendar", 'P&amp;L'!$E268*Drivers!H$114, $B87="Quarterly Smoothing", 'P&amp;L'!$E268*Drivers!H$115,
     $B87="Two-Installment (front-loaded)", 'P&amp;L'!$E268*Drivers!H$116, $B87="Two-Installment (back-loaded)", 'P&amp;L'!$E268*Drivers!H$117,
     $B87="Year Start Lump Sum", 'P&amp;L'!$E268*Drivers!H$118,$B87="Expense Reimbursement", 'P&amp;L'!$E268*Drivers!H$120,
     $B87="Direct Monthly Input", 0)</f>
        <v>4000</v>
      </c>
      <c r="F87" s="428" cm="1">
        <f t="array" ref="F87">_xlfn.IFS($B87="12-Month Smoothing", 'P&amp;L'!$E268*Drivers!I$113, $B87="10-Month Academic Calendar", 'P&amp;L'!$E268*Drivers!I$114, $B87="Quarterly Smoothing", 'P&amp;L'!$E268*Drivers!I$115,
     $B87="Two-Installment (front-loaded)", 'P&amp;L'!$E268*Drivers!I$116, $B87="Two-Installment (back-loaded)", 'P&amp;L'!$E268*Drivers!I$117,
     $B87="Year Start Lump Sum", 'P&amp;L'!$E268*Drivers!I$118,$B87="Expense Reimbursement", 'P&amp;L'!$E268*Drivers!I$120,
     $B87="Direct Monthly Input", 0)</f>
        <v>4000</v>
      </c>
      <c r="G87" s="428" cm="1">
        <f t="array" ref="G87">_xlfn.IFS($B87="12-Month Smoothing", 'P&amp;L'!$E268*Drivers!J$113, $B87="10-Month Academic Calendar", 'P&amp;L'!$E268*Drivers!J$114, $B87="Quarterly Smoothing", 'P&amp;L'!$E268*Drivers!J$115,
     $B87="Two-Installment (front-loaded)", 'P&amp;L'!$E268*Drivers!J$116, $B87="Two-Installment (back-loaded)", 'P&amp;L'!$E268*Drivers!J$117,
     $B87="Year Start Lump Sum", 'P&amp;L'!$E268*Drivers!J$118,$B87="Expense Reimbursement", 'P&amp;L'!$E268*Drivers!J$120,
     $B87="Direct Monthly Input", 0)</f>
        <v>4000</v>
      </c>
      <c r="H87" s="428" cm="1">
        <f t="array" ref="H87">_xlfn.IFS($B87="12-Month Smoothing", 'P&amp;L'!$E268*Drivers!K$113, $B87="10-Month Academic Calendar", 'P&amp;L'!$E268*Drivers!K$114, $B87="Quarterly Smoothing", 'P&amp;L'!$E268*Drivers!K$115,
     $B87="Two-Installment (front-loaded)", 'P&amp;L'!$E268*Drivers!K$116, $B87="Two-Installment (back-loaded)", 'P&amp;L'!$E268*Drivers!K$117,
     $B87="Year Start Lump Sum", 'P&amp;L'!$E268*Drivers!K$118,$B87="Expense Reimbursement", 'P&amp;L'!$E268*Drivers!K$120,
     $B87="Direct Monthly Input", 0)</f>
        <v>4000</v>
      </c>
      <c r="I87" s="428" cm="1">
        <f t="array" ref="I87">_xlfn.IFS($B87="12-Month Smoothing", 'P&amp;L'!$E268*Drivers!L$113, $B87="10-Month Academic Calendar", 'P&amp;L'!$E268*Drivers!L$114, $B87="Quarterly Smoothing", 'P&amp;L'!$E268*Drivers!L$115,
     $B87="Two-Installment (front-loaded)", 'P&amp;L'!$E268*Drivers!L$116, $B87="Two-Installment (back-loaded)", 'P&amp;L'!$E268*Drivers!L$117,
     $B87="Year Start Lump Sum", 'P&amp;L'!$E268*Drivers!L$118,$B87="Expense Reimbursement", 'P&amp;L'!$E268*Drivers!L$120,
     $B87="Direct Monthly Input", 0)</f>
        <v>4000</v>
      </c>
      <c r="J87" s="428" cm="1">
        <f t="array" ref="J87">_xlfn.IFS($B87="12-Month Smoothing", 'P&amp;L'!$E268*Drivers!M$113, $B87="10-Month Academic Calendar", 'P&amp;L'!$E268*Drivers!M$114, $B87="Quarterly Smoothing", 'P&amp;L'!$E268*Drivers!M$115,
     $B87="Two-Installment (front-loaded)", 'P&amp;L'!$E268*Drivers!M$116, $B87="Two-Installment (back-loaded)", 'P&amp;L'!$E268*Drivers!M$117,
     $B87="Year Start Lump Sum", 'P&amp;L'!$E268*Drivers!M$118,$B87="Expense Reimbursement", 'P&amp;L'!$E268*Drivers!M$120,
     $B87="Direct Monthly Input", 0)</f>
        <v>4000</v>
      </c>
      <c r="K87" s="428" cm="1">
        <f t="array" ref="K87">_xlfn.IFS($B87="12-Month Smoothing", 'P&amp;L'!$E268*Drivers!N$113, $B87="10-Month Academic Calendar", 'P&amp;L'!$E268*Drivers!N$114, $B87="Quarterly Smoothing", 'P&amp;L'!$E268*Drivers!N$115,
     $B87="Two-Installment (front-loaded)", 'P&amp;L'!$E268*Drivers!N$116, $B87="Two-Installment (back-loaded)", 'P&amp;L'!$E268*Drivers!N$117,
     $B87="Year Start Lump Sum", 'P&amp;L'!$E268*Drivers!N$118,$B87="Expense Reimbursement", 'P&amp;L'!$E268*Drivers!N$120,
     $B87="Direct Monthly Input", 0)</f>
        <v>4000</v>
      </c>
      <c r="L87" s="428" cm="1">
        <f t="array" ref="L87">_xlfn.IFS($B87="12-Month Smoothing", 'P&amp;L'!$E268*Drivers!O$113, $B87="10-Month Academic Calendar", 'P&amp;L'!$E268*Drivers!O$114, $B87="Quarterly Smoothing", 'P&amp;L'!$E268*Drivers!O$115,
     $B87="Two-Installment (front-loaded)", 'P&amp;L'!$E268*Drivers!O$116, $B87="Two-Installment (back-loaded)", 'P&amp;L'!$E268*Drivers!O$117,
     $B87="Year Start Lump Sum", 'P&amp;L'!$E268*Drivers!O$118,$B87="Expense Reimbursement", 'P&amp;L'!$E268*Drivers!O$120,
     $B87="Direct Monthly Input", 0)</f>
        <v>4000</v>
      </c>
      <c r="M87" s="428" cm="1">
        <f t="array" ref="M87">_xlfn.IFS($B87="12-Month Smoothing", 'P&amp;L'!$E268*Drivers!P$113, $B87="10-Month Academic Calendar", 'P&amp;L'!$E268*Drivers!P$114, $B87="Quarterly Smoothing", 'P&amp;L'!$E268*Drivers!P$115,
     $B87="Two-Installment (front-loaded)", 'P&amp;L'!$E268*Drivers!P$116, $B87="Two-Installment (back-loaded)", 'P&amp;L'!$E268*Drivers!P$117,
     $B87="Year Start Lump Sum", 'P&amp;L'!$E268*Drivers!P$118,$B87="Expense Reimbursement", 'P&amp;L'!$E268*Drivers!P$120,
     $B87="Direct Monthly Input", 0)</f>
        <v>4000</v>
      </c>
      <c r="N87" s="428" cm="1">
        <f t="array" ref="N87">_xlfn.IFS($B87="12-Month Smoothing", 'P&amp;L'!$E268*Drivers!Q$113, $B87="10-Month Academic Calendar", 'P&amp;L'!$E268*Drivers!Q$114, $B87="Quarterly Smoothing", 'P&amp;L'!$E268*Drivers!Q$115,
     $B87="Two-Installment (front-loaded)", 'P&amp;L'!$E268*Drivers!Q$116, $B87="Two-Installment (back-loaded)", 'P&amp;L'!$E268*Drivers!Q$117,
     $B87="Year Start Lump Sum", 'P&amp;L'!$E268*Drivers!Q$118,$B87="Expense Reimbursement", 'P&amp;L'!$E268*Drivers!Q$120,
     $B87="Direct Monthly Input", 0)</f>
        <v>4000</v>
      </c>
      <c r="O87" s="847" cm="1">
        <f t="array" ref="O87">_xlfn.IFS($B87="12-Month Smoothing", 'P&amp;L'!$E268*Drivers!R$113, $B87="10-Month Academic Calendar", 'P&amp;L'!$E268*Drivers!R$114, $B87="Quarterly Smoothing", 'P&amp;L'!$E268*Drivers!R$115,
     $B87="Two-Installment (front-loaded)", 'P&amp;L'!$E268*Drivers!R$116, $B87="Two-Installment (back-loaded)", 'P&amp;L'!$E268*Drivers!R$117,
     $B87="Year Start Lump Sum", 'P&amp;L'!$E268*Drivers!R$118,$B87="Expense Reimbursement", 'P&amp;L'!$E268*Drivers!R$120,
     $B87="Direct Monthly Input", 0)</f>
        <v>4000</v>
      </c>
      <c r="P87" s="130">
        <f t="shared" si="6"/>
        <v>48000</v>
      </c>
      <c r="Q87" s="730"/>
      <c r="R87" s="537"/>
    </row>
    <row r="88" spans="1:18" s="538" customFormat="1" ht="17" thickBot="1">
      <c r="A88" s="735"/>
      <c r="B88" s="419" t="s">
        <v>439</v>
      </c>
      <c r="C88" s="857" t="str">
        <f>'P&amp;L'!C269</f>
        <v>ALL OTHER Facilities Operations &amp; Maintenance</v>
      </c>
      <c r="D88" s="854" cm="1">
        <f t="array" ref="D88">_xlfn.IFS($B88="12-Month Smoothing", 'P&amp;L'!$E269*Drivers!G$113, $B88="10-Month Academic Calendar", 'P&amp;L'!$E269*Drivers!G$114, $B88="Quarterly Smoothing", 'P&amp;L'!$E269*Drivers!G$115,
     $B88="Two-Installment (front-loaded)", 'P&amp;L'!$E269*Drivers!G$116, $B88="Two-Installment (back-loaded)", 'P&amp;L'!$E269*Drivers!G$117,
     $B88="Year Start Lump Sum", 'P&amp;L'!$E269*Drivers!G$118,$B88="Expense Reimbursement", 'P&amp;L'!$E269*Drivers!G$120,
     $B88="Direct Monthly Input", 0)</f>
        <v>666.66666666666663</v>
      </c>
      <c r="E88" s="428" cm="1">
        <f t="array" ref="E88">_xlfn.IFS($B88="12-Month Smoothing", 'P&amp;L'!$E269*Drivers!H$113, $B88="10-Month Academic Calendar", 'P&amp;L'!$E269*Drivers!H$114, $B88="Quarterly Smoothing", 'P&amp;L'!$E269*Drivers!H$115,
     $B88="Two-Installment (front-loaded)", 'P&amp;L'!$E269*Drivers!H$116, $B88="Two-Installment (back-loaded)", 'P&amp;L'!$E269*Drivers!H$117,
     $B88="Year Start Lump Sum", 'P&amp;L'!$E269*Drivers!H$118,$B88="Expense Reimbursement", 'P&amp;L'!$E269*Drivers!H$120,
     $B88="Direct Monthly Input", 0)</f>
        <v>666.66666666666663</v>
      </c>
      <c r="F88" s="428" cm="1">
        <f t="array" ref="F88">_xlfn.IFS($B88="12-Month Smoothing", 'P&amp;L'!$E269*Drivers!I$113, $B88="10-Month Academic Calendar", 'P&amp;L'!$E269*Drivers!I$114, $B88="Quarterly Smoothing", 'P&amp;L'!$E269*Drivers!I$115,
     $B88="Two-Installment (front-loaded)", 'P&amp;L'!$E269*Drivers!I$116, $B88="Two-Installment (back-loaded)", 'P&amp;L'!$E269*Drivers!I$117,
     $B88="Year Start Lump Sum", 'P&amp;L'!$E269*Drivers!I$118,$B88="Expense Reimbursement", 'P&amp;L'!$E269*Drivers!I$120,
     $B88="Direct Monthly Input", 0)</f>
        <v>666.66666666666663</v>
      </c>
      <c r="G88" s="428" cm="1">
        <f t="array" ref="G88">_xlfn.IFS($B88="12-Month Smoothing", 'P&amp;L'!$E269*Drivers!J$113, $B88="10-Month Academic Calendar", 'P&amp;L'!$E269*Drivers!J$114, $B88="Quarterly Smoothing", 'P&amp;L'!$E269*Drivers!J$115,
     $B88="Two-Installment (front-loaded)", 'P&amp;L'!$E269*Drivers!J$116, $B88="Two-Installment (back-loaded)", 'P&amp;L'!$E269*Drivers!J$117,
     $B88="Year Start Lump Sum", 'P&amp;L'!$E269*Drivers!J$118,$B88="Expense Reimbursement", 'P&amp;L'!$E269*Drivers!J$120,
     $B88="Direct Monthly Input", 0)</f>
        <v>666.66666666666663</v>
      </c>
      <c r="H88" s="428" cm="1">
        <f t="array" ref="H88">_xlfn.IFS($B88="12-Month Smoothing", 'P&amp;L'!$E269*Drivers!K$113, $B88="10-Month Academic Calendar", 'P&amp;L'!$E269*Drivers!K$114, $B88="Quarterly Smoothing", 'P&amp;L'!$E269*Drivers!K$115,
     $B88="Two-Installment (front-loaded)", 'P&amp;L'!$E269*Drivers!K$116, $B88="Two-Installment (back-loaded)", 'P&amp;L'!$E269*Drivers!K$117,
     $B88="Year Start Lump Sum", 'P&amp;L'!$E269*Drivers!K$118,$B88="Expense Reimbursement", 'P&amp;L'!$E269*Drivers!K$120,
     $B88="Direct Monthly Input", 0)</f>
        <v>666.66666666666663</v>
      </c>
      <c r="I88" s="428" cm="1">
        <f t="array" ref="I88">_xlfn.IFS($B88="12-Month Smoothing", 'P&amp;L'!$E269*Drivers!L$113, $B88="10-Month Academic Calendar", 'P&amp;L'!$E269*Drivers!L$114, $B88="Quarterly Smoothing", 'P&amp;L'!$E269*Drivers!L$115,
     $B88="Two-Installment (front-loaded)", 'P&amp;L'!$E269*Drivers!L$116, $B88="Two-Installment (back-loaded)", 'P&amp;L'!$E269*Drivers!L$117,
     $B88="Year Start Lump Sum", 'P&amp;L'!$E269*Drivers!L$118,$B88="Expense Reimbursement", 'P&amp;L'!$E269*Drivers!L$120,
     $B88="Direct Monthly Input", 0)</f>
        <v>666.66666666666663</v>
      </c>
      <c r="J88" s="428" cm="1">
        <f t="array" ref="J88">_xlfn.IFS($B88="12-Month Smoothing", 'P&amp;L'!$E269*Drivers!M$113, $B88="10-Month Academic Calendar", 'P&amp;L'!$E269*Drivers!M$114, $B88="Quarterly Smoothing", 'P&amp;L'!$E269*Drivers!M$115,
     $B88="Two-Installment (front-loaded)", 'P&amp;L'!$E269*Drivers!M$116, $B88="Two-Installment (back-loaded)", 'P&amp;L'!$E269*Drivers!M$117,
     $B88="Year Start Lump Sum", 'P&amp;L'!$E269*Drivers!M$118,$B88="Expense Reimbursement", 'P&amp;L'!$E269*Drivers!M$120,
     $B88="Direct Monthly Input", 0)</f>
        <v>666.66666666666663</v>
      </c>
      <c r="K88" s="428" cm="1">
        <f t="array" ref="K88">_xlfn.IFS($B88="12-Month Smoothing", 'P&amp;L'!$E269*Drivers!N$113, $B88="10-Month Academic Calendar", 'P&amp;L'!$E269*Drivers!N$114, $B88="Quarterly Smoothing", 'P&amp;L'!$E269*Drivers!N$115,
     $B88="Two-Installment (front-loaded)", 'P&amp;L'!$E269*Drivers!N$116, $B88="Two-Installment (back-loaded)", 'P&amp;L'!$E269*Drivers!N$117,
     $B88="Year Start Lump Sum", 'P&amp;L'!$E269*Drivers!N$118,$B88="Expense Reimbursement", 'P&amp;L'!$E269*Drivers!N$120,
     $B88="Direct Monthly Input", 0)</f>
        <v>666.66666666666663</v>
      </c>
      <c r="L88" s="428" cm="1">
        <f t="array" ref="L88">_xlfn.IFS($B88="12-Month Smoothing", 'P&amp;L'!$E269*Drivers!O$113, $B88="10-Month Academic Calendar", 'P&amp;L'!$E269*Drivers!O$114, $B88="Quarterly Smoothing", 'P&amp;L'!$E269*Drivers!O$115,
     $B88="Two-Installment (front-loaded)", 'P&amp;L'!$E269*Drivers!O$116, $B88="Two-Installment (back-loaded)", 'P&amp;L'!$E269*Drivers!O$117,
     $B88="Year Start Lump Sum", 'P&amp;L'!$E269*Drivers!O$118,$B88="Expense Reimbursement", 'P&amp;L'!$E269*Drivers!O$120,
     $B88="Direct Monthly Input", 0)</f>
        <v>666.66666666666663</v>
      </c>
      <c r="M88" s="428" cm="1">
        <f t="array" ref="M88">_xlfn.IFS($B88="12-Month Smoothing", 'P&amp;L'!$E269*Drivers!P$113, $B88="10-Month Academic Calendar", 'P&amp;L'!$E269*Drivers!P$114, $B88="Quarterly Smoothing", 'P&amp;L'!$E269*Drivers!P$115,
     $B88="Two-Installment (front-loaded)", 'P&amp;L'!$E269*Drivers!P$116, $B88="Two-Installment (back-loaded)", 'P&amp;L'!$E269*Drivers!P$117,
     $B88="Year Start Lump Sum", 'P&amp;L'!$E269*Drivers!P$118,$B88="Expense Reimbursement", 'P&amp;L'!$E269*Drivers!P$120,
     $B88="Direct Monthly Input", 0)</f>
        <v>666.66666666666663</v>
      </c>
      <c r="N88" s="428" cm="1">
        <f t="array" ref="N88">_xlfn.IFS($B88="12-Month Smoothing", 'P&amp;L'!$E269*Drivers!Q$113, $B88="10-Month Academic Calendar", 'P&amp;L'!$E269*Drivers!Q$114, $B88="Quarterly Smoothing", 'P&amp;L'!$E269*Drivers!Q$115,
     $B88="Two-Installment (front-loaded)", 'P&amp;L'!$E269*Drivers!Q$116, $B88="Two-Installment (back-loaded)", 'P&amp;L'!$E269*Drivers!Q$117,
     $B88="Year Start Lump Sum", 'P&amp;L'!$E269*Drivers!Q$118,$B88="Expense Reimbursement", 'P&amp;L'!$E269*Drivers!Q$120,
     $B88="Direct Monthly Input", 0)</f>
        <v>666.66666666666663</v>
      </c>
      <c r="O88" s="847" cm="1">
        <f t="array" ref="O88">_xlfn.IFS($B88="12-Month Smoothing", 'P&amp;L'!$E269*Drivers!R$113, $B88="10-Month Academic Calendar", 'P&amp;L'!$E269*Drivers!R$114, $B88="Quarterly Smoothing", 'P&amp;L'!$E269*Drivers!R$115,
     $B88="Two-Installment (front-loaded)", 'P&amp;L'!$E269*Drivers!R$116, $B88="Two-Installment (back-loaded)", 'P&amp;L'!$E269*Drivers!R$117,
     $B88="Year Start Lump Sum", 'P&amp;L'!$E269*Drivers!R$118,$B88="Expense Reimbursement", 'P&amp;L'!$E269*Drivers!R$120,
     $B88="Direct Monthly Input", 0)</f>
        <v>666.66666666666663</v>
      </c>
      <c r="P88" s="130">
        <f t="shared" si="6"/>
        <v>8000.0000000000009</v>
      </c>
      <c r="Q88" s="730"/>
      <c r="R88" s="537"/>
    </row>
    <row r="89" spans="1:18" s="538" customFormat="1" ht="17" thickBot="1">
      <c r="A89" s="735"/>
      <c r="B89" s="419" t="s">
        <v>441</v>
      </c>
      <c r="C89" s="857" t="str">
        <f>'P&amp;L'!C270</f>
        <v>RESERVES/CONTINGENCY</v>
      </c>
      <c r="D89" s="854" cm="1">
        <f t="array" ref="D89">_xlfn.IFS($B89="12-Month Smoothing", 'P&amp;L'!$E270*Drivers!G$113, $B89="10-Month Academic Calendar", 'P&amp;L'!$E270*Drivers!G$114, $B89="Quarterly Smoothing", 'P&amp;L'!$E270*Drivers!G$115,
     $B89="Two-Installment (front-loaded)", 'P&amp;L'!$E270*Drivers!G$116, $B89="Two-Installment (back-loaded)", 'P&amp;L'!$E270*Drivers!G$117,
     $B89="Year Start Lump Sum", 'P&amp;L'!$E270*Drivers!G$118,$B89="Expense Reimbursement", 'P&amp;L'!$E270*Drivers!G$120,
     $B89="Direct Monthly Input", 0)</f>
        <v>0</v>
      </c>
      <c r="E89" s="428" cm="1">
        <f t="array" ref="E89">_xlfn.IFS($B89="12-Month Smoothing", 'P&amp;L'!$E270*Drivers!H$113, $B89="10-Month Academic Calendar", 'P&amp;L'!$E270*Drivers!H$114, $B89="Quarterly Smoothing", 'P&amp;L'!$E270*Drivers!H$115,
     $B89="Two-Installment (front-loaded)", 'P&amp;L'!$E270*Drivers!H$116, $B89="Two-Installment (back-loaded)", 'P&amp;L'!$E270*Drivers!H$117,
     $B89="Year Start Lump Sum", 'P&amp;L'!$E270*Drivers!H$118,$B89="Expense Reimbursement", 'P&amp;L'!$E270*Drivers!H$120,
     $B89="Direct Monthly Input", 0)</f>
        <v>0</v>
      </c>
      <c r="F89" s="428" cm="1">
        <f t="array" ref="F89">_xlfn.IFS($B89="12-Month Smoothing", 'P&amp;L'!$E270*Drivers!I$113, $B89="10-Month Academic Calendar", 'P&amp;L'!$E270*Drivers!I$114, $B89="Quarterly Smoothing", 'P&amp;L'!$E270*Drivers!I$115,
     $B89="Two-Installment (front-loaded)", 'P&amp;L'!$E270*Drivers!I$116, $B89="Two-Installment (back-loaded)", 'P&amp;L'!$E270*Drivers!I$117,
     $B89="Year Start Lump Sum", 'P&amp;L'!$E270*Drivers!I$118,$B89="Expense Reimbursement", 'P&amp;L'!$E270*Drivers!I$120,
     $B89="Direct Monthly Input", 0)</f>
        <v>0</v>
      </c>
      <c r="G89" s="428" cm="1">
        <f t="array" ref="G89">_xlfn.IFS($B89="12-Month Smoothing", 'P&amp;L'!$E270*Drivers!J$113, $B89="10-Month Academic Calendar", 'P&amp;L'!$E270*Drivers!J$114, $B89="Quarterly Smoothing", 'P&amp;L'!$E270*Drivers!J$115,
     $B89="Two-Installment (front-loaded)", 'P&amp;L'!$E270*Drivers!J$116, $B89="Two-Installment (back-loaded)", 'P&amp;L'!$E270*Drivers!J$117,
     $B89="Year Start Lump Sum", 'P&amp;L'!$E270*Drivers!J$118,$B89="Expense Reimbursement", 'P&amp;L'!$E270*Drivers!J$120,
     $B89="Direct Monthly Input", 0)</f>
        <v>0</v>
      </c>
      <c r="H89" s="428" cm="1">
        <f t="array" ref="H89">_xlfn.IFS($B89="12-Month Smoothing", 'P&amp;L'!$E270*Drivers!K$113, $B89="10-Month Academic Calendar", 'P&amp;L'!$E270*Drivers!K$114, $B89="Quarterly Smoothing", 'P&amp;L'!$E270*Drivers!K$115,
     $B89="Two-Installment (front-loaded)", 'P&amp;L'!$E270*Drivers!K$116, $B89="Two-Installment (back-loaded)", 'P&amp;L'!$E270*Drivers!K$117,
     $B89="Year Start Lump Sum", 'P&amp;L'!$E270*Drivers!K$118,$B89="Expense Reimbursement", 'P&amp;L'!$E270*Drivers!K$120,
     $B89="Direct Monthly Input", 0)</f>
        <v>0</v>
      </c>
      <c r="I89" s="428" cm="1">
        <f t="array" ref="I89">_xlfn.IFS($B89="12-Month Smoothing", 'P&amp;L'!$E270*Drivers!L$113, $B89="10-Month Academic Calendar", 'P&amp;L'!$E270*Drivers!L$114, $B89="Quarterly Smoothing", 'P&amp;L'!$E270*Drivers!L$115,
     $B89="Two-Installment (front-loaded)", 'P&amp;L'!$E270*Drivers!L$116, $B89="Two-Installment (back-loaded)", 'P&amp;L'!$E270*Drivers!L$117,
     $B89="Year Start Lump Sum", 'P&amp;L'!$E270*Drivers!L$118,$B89="Expense Reimbursement", 'P&amp;L'!$E270*Drivers!L$120,
     $B89="Direct Monthly Input", 0)</f>
        <v>0</v>
      </c>
      <c r="J89" s="428" cm="1">
        <f t="array" ref="J89">_xlfn.IFS($B89="12-Month Smoothing", 'P&amp;L'!$E270*Drivers!M$113, $B89="10-Month Academic Calendar", 'P&amp;L'!$E270*Drivers!M$114, $B89="Quarterly Smoothing", 'P&amp;L'!$E270*Drivers!M$115,
     $B89="Two-Installment (front-loaded)", 'P&amp;L'!$E270*Drivers!M$116, $B89="Two-Installment (back-loaded)", 'P&amp;L'!$E270*Drivers!M$117,
     $B89="Year Start Lump Sum", 'P&amp;L'!$E270*Drivers!M$118,$B89="Expense Reimbursement", 'P&amp;L'!$E270*Drivers!M$120,
     $B89="Direct Monthly Input", 0)</f>
        <v>0</v>
      </c>
      <c r="K89" s="428" cm="1">
        <f t="array" ref="K89">_xlfn.IFS($B89="12-Month Smoothing", 'P&amp;L'!$E270*Drivers!N$113, $B89="10-Month Academic Calendar", 'P&amp;L'!$E270*Drivers!N$114, $B89="Quarterly Smoothing", 'P&amp;L'!$E270*Drivers!N$115,
     $B89="Two-Installment (front-loaded)", 'P&amp;L'!$E270*Drivers!N$116, $B89="Two-Installment (back-loaded)", 'P&amp;L'!$E270*Drivers!N$117,
     $B89="Year Start Lump Sum", 'P&amp;L'!$E270*Drivers!N$118,$B89="Expense Reimbursement", 'P&amp;L'!$E270*Drivers!N$120,
     $B89="Direct Monthly Input", 0)</f>
        <v>0</v>
      </c>
      <c r="L89" s="428" cm="1">
        <f t="array" ref="L89">_xlfn.IFS($B89="12-Month Smoothing", 'P&amp;L'!$E270*Drivers!O$113, $B89="10-Month Academic Calendar", 'P&amp;L'!$E270*Drivers!O$114, $B89="Quarterly Smoothing", 'P&amp;L'!$E270*Drivers!O$115,
     $B89="Two-Installment (front-loaded)", 'P&amp;L'!$E270*Drivers!O$116, $B89="Two-Installment (back-loaded)", 'P&amp;L'!$E270*Drivers!O$117,
     $B89="Year Start Lump Sum", 'P&amp;L'!$E270*Drivers!O$118,$B89="Expense Reimbursement", 'P&amp;L'!$E270*Drivers!O$120,
     $B89="Direct Monthly Input", 0)</f>
        <v>0</v>
      </c>
      <c r="M89" s="428" cm="1">
        <f t="array" ref="M89">_xlfn.IFS($B89="12-Month Smoothing", 'P&amp;L'!$E270*Drivers!P$113, $B89="10-Month Academic Calendar", 'P&amp;L'!$E270*Drivers!P$114, $B89="Quarterly Smoothing", 'P&amp;L'!$E270*Drivers!P$115,
     $B89="Two-Installment (front-loaded)", 'P&amp;L'!$E270*Drivers!P$116, $B89="Two-Installment (back-loaded)", 'P&amp;L'!$E270*Drivers!P$117,
     $B89="Year Start Lump Sum", 'P&amp;L'!$E270*Drivers!P$118,$B89="Expense Reimbursement", 'P&amp;L'!$E270*Drivers!P$120,
     $B89="Direct Monthly Input", 0)</f>
        <v>0</v>
      </c>
      <c r="N89" s="428" cm="1">
        <f t="array" ref="N89">_xlfn.IFS($B89="12-Month Smoothing", 'P&amp;L'!$E270*Drivers!Q$113, $B89="10-Month Academic Calendar", 'P&amp;L'!$E270*Drivers!Q$114, $B89="Quarterly Smoothing", 'P&amp;L'!$E270*Drivers!Q$115,
     $B89="Two-Installment (front-loaded)", 'P&amp;L'!$E270*Drivers!Q$116, $B89="Two-Installment (back-loaded)", 'P&amp;L'!$E270*Drivers!Q$117,
     $B89="Year Start Lump Sum", 'P&amp;L'!$E270*Drivers!Q$118,$B89="Expense Reimbursement", 'P&amp;L'!$E270*Drivers!Q$120,
     $B89="Direct Monthly Input", 0)</f>
        <v>0</v>
      </c>
      <c r="O89" s="847" cm="1">
        <f t="array" ref="O89">_xlfn.IFS($B89="12-Month Smoothing", 'P&amp;L'!$E270*Drivers!R$113, $B89="10-Month Academic Calendar", 'P&amp;L'!$E270*Drivers!R$114, $B89="Quarterly Smoothing", 'P&amp;L'!$E270*Drivers!R$115,
     $B89="Two-Installment (front-loaded)", 'P&amp;L'!$E270*Drivers!R$116, $B89="Two-Installment (back-loaded)", 'P&amp;L'!$E270*Drivers!R$117,
     $B89="Year Start Lump Sum", 'P&amp;L'!$E270*Drivers!R$118,$B89="Expense Reimbursement", 'P&amp;L'!$E270*Drivers!R$120,
     $B89="Direct Monthly Input", 0)</f>
        <v>0</v>
      </c>
      <c r="P89" s="130">
        <f t="shared" si="6"/>
        <v>0</v>
      </c>
      <c r="Q89" s="730"/>
      <c r="R89" s="537"/>
    </row>
    <row r="90" spans="1:18" s="538" customFormat="1" ht="17" thickBot="1">
      <c r="A90" s="735"/>
      <c r="B90" s="419" t="s">
        <v>439</v>
      </c>
      <c r="C90" s="857" t="str">
        <f>'P&amp;L'!C271</f>
        <v>Interest Expense</v>
      </c>
      <c r="D90" s="854" cm="1">
        <f t="array" ref="D90">_xlfn.IFS($B90="12-Month Smoothing", 'P&amp;L'!$E271*Drivers!G$113, $B90="10-Month Academic Calendar", 'P&amp;L'!$E271*Drivers!G$114, $B90="Quarterly Smoothing", 'P&amp;L'!$E271*Drivers!G$115,
     $B90="Two-Installment (front-loaded)", 'P&amp;L'!$E271*Drivers!G$116, $B90="Two-Installment (back-loaded)", 'P&amp;L'!$E271*Drivers!G$117,
     $B90="Year Start Lump Sum", 'P&amp;L'!$E271*Drivers!G$118,$B90="Expense Reimbursement", 'P&amp;L'!$E271*Drivers!G$120,
     $B90="Direct Monthly Input", 0)</f>
        <v>21418.005938118436</v>
      </c>
      <c r="E90" s="428" cm="1">
        <f t="array" ref="E90">_xlfn.IFS($B90="12-Month Smoothing", 'P&amp;L'!$E271*Drivers!H$113, $B90="10-Month Academic Calendar", 'P&amp;L'!$E271*Drivers!H$114, $B90="Quarterly Smoothing", 'P&amp;L'!$E271*Drivers!H$115,
     $B90="Two-Installment (front-loaded)", 'P&amp;L'!$E271*Drivers!H$116, $B90="Two-Installment (back-loaded)", 'P&amp;L'!$E271*Drivers!H$117,
     $B90="Year Start Lump Sum", 'P&amp;L'!$E271*Drivers!H$118,$B90="Expense Reimbursement", 'P&amp;L'!$E271*Drivers!H$120,
     $B90="Direct Monthly Input", 0)</f>
        <v>21418.005938118436</v>
      </c>
      <c r="F90" s="428" cm="1">
        <f t="array" ref="F90">_xlfn.IFS($B90="12-Month Smoothing", 'P&amp;L'!$E271*Drivers!I$113, $B90="10-Month Academic Calendar", 'P&amp;L'!$E271*Drivers!I$114, $B90="Quarterly Smoothing", 'P&amp;L'!$E271*Drivers!I$115,
     $B90="Two-Installment (front-loaded)", 'P&amp;L'!$E271*Drivers!I$116, $B90="Two-Installment (back-loaded)", 'P&amp;L'!$E271*Drivers!I$117,
     $B90="Year Start Lump Sum", 'P&amp;L'!$E271*Drivers!I$118,$B90="Expense Reimbursement", 'P&amp;L'!$E271*Drivers!I$120,
     $B90="Direct Monthly Input", 0)</f>
        <v>21418.005938118436</v>
      </c>
      <c r="G90" s="428" cm="1">
        <f t="array" ref="G90">_xlfn.IFS($B90="12-Month Smoothing", 'P&amp;L'!$E271*Drivers!J$113, $B90="10-Month Academic Calendar", 'P&amp;L'!$E271*Drivers!J$114, $B90="Quarterly Smoothing", 'P&amp;L'!$E271*Drivers!J$115,
     $B90="Two-Installment (front-loaded)", 'P&amp;L'!$E271*Drivers!J$116, $B90="Two-Installment (back-loaded)", 'P&amp;L'!$E271*Drivers!J$117,
     $B90="Year Start Lump Sum", 'P&amp;L'!$E271*Drivers!J$118,$B90="Expense Reimbursement", 'P&amp;L'!$E271*Drivers!J$120,
     $B90="Direct Monthly Input", 0)</f>
        <v>21418.005938118436</v>
      </c>
      <c r="H90" s="428" cm="1">
        <f t="array" ref="H90">_xlfn.IFS($B90="12-Month Smoothing", 'P&amp;L'!$E271*Drivers!K$113, $B90="10-Month Academic Calendar", 'P&amp;L'!$E271*Drivers!K$114, $B90="Quarterly Smoothing", 'P&amp;L'!$E271*Drivers!K$115,
     $B90="Two-Installment (front-loaded)", 'P&amp;L'!$E271*Drivers!K$116, $B90="Two-Installment (back-loaded)", 'P&amp;L'!$E271*Drivers!K$117,
     $B90="Year Start Lump Sum", 'P&amp;L'!$E271*Drivers!K$118,$B90="Expense Reimbursement", 'P&amp;L'!$E271*Drivers!K$120,
     $B90="Direct Monthly Input", 0)</f>
        <v>21418.005938118436</v>
      </c>
      <c r="I90" s="428" cm="1">
        <f t="array" ref="I90">_xlfn.IFS($B90="12-Month Smoothing", 'P&amp;L'!$E271*Drivers!L$113, $B90="10-Month Academic Calendar", 'P&amp;L'!$E271*Drivers!L$114, $B90="Quarterly Smoothing", 'P&amp;L'!$E271*Drivers!L$115,
     $B90="Two-Installment (front-loaded)", 'P&amp;L'!$E271*Drivers!L$116, $B90="Two-Installment (back-loaded)", 'P&amp;L'!$E271*Drivers!L$117,
     $B90="Year Start Lump Sum", 'P&amp;L'!$E271*Drivers!L$118,$B90="Expense Reimbursement", 'P&amp;L'!$E271*Drivers!L$120,
     $B90="Direct Monthly Input", 0)</f>
        <v>21418.005938118436</v>
      </c>
      <c r="J90" s="428" cm="1">
        <f t="array" ref="J90">_xlfn.IFS($B90="12-Month Smoothing", 'P&amp;L'!$E271*Drivers!M$113, $B90="10-Month Academic Calendar", 'P&amp;L'!$E271*Drivers!M$114, $B90="Quarterly Smoothing", 'P&amp;L'!$E271*Drivers!M$115,
     $B90="Two-Installment (front-loaded)", 'P&amp;L'!$E271*Drivers!M$116, $B90="Two-Installment (back-loaded)", 'P&amp;L'!$E271*Drivers!M$117,
     $B90="Year Start Lump Sum", 'P&amp;L'!$E271*Drivers!M$118,$B90="Expense Reimbursement", 'P&amp;L'!$E271*Drivers!M$120,
     $B90="Direct Monthly Input", 0)</f>
        <v>21418.005938118436</v>
      </c>
      <c r="K90" s="428" cm="1">
        <f t="array" ref="K90">_xlfn.IFS($B90="12-Month Smoothing", 'P&amp;L'!$E271*Drivers!N$113, $B90="10-Month Academic Calendar", 'P&amp;L'!$E271*Drivers!N$114, $B90="Quarterly Smoothing", 'P&amp;L'!$E271*Drivers!N$115,
     $B90="Two-Installment (front-loaded)", 'P&amp;L'!$E271*Drivers!N$116, $B90="Two-Installment (back-loaded)", 'P&amp;L'!$E271*Drivers!N$117,
     $B90="Year Start Lump Sum", 'P&amp;L'!$E271*Drivers!N$118,$B90="Expense Reimbursement", 'P&amp;L'!$E271*Drivers!N$120,
     $B90="Direct Monthly Input", 0)</f>
        <v>21418.005938118436</v>
      </c>
      <c r="L90" s="428" cm="1">
        <f t="array" ref="L90">_xlfn.IFS($B90="12-Month Smoothing", 'P&amp;L'!$E271*Drivers!O$113, $B90="10-Month Academic Calendar", 'P&amp;L'!$E271*Drivers!O$114, $B90="Quarterly Smoothing", 'P&amp;L'!$E271*Drivers!O$115,
     $B90="Two-Installment (front-loaded)", 'P&amp;L'!$E271*Drivers!O$116, $B90="Two-Installment (back-loaded)", 'P&amp;L'!$E271*Drivers!O$117,
     $B90="Year Start Lump Sum", 'P&amp;L'!$E271*Drivers!O$118,$B90="Expense Reimbursement", 'P&amp;L'!$E271*Drivers!O$120,
     $B90="Direct Monthly Input", 0)</f>
        <v>21418.005938118436</v>
      </c>
      <c r="M90" s="428" cm="1">
        <f t="array" ref="M90">_xlfn.IFS($B90="12-Month Smoothing", 'P&amp;L'!$E271*Drivers!P$113, $B90="10-Month Academic Calendar", 'P&amp;L'!$E271*Drivers!P$114, $B90="Quarterly Smoothing", 'P&amp;L'!$E271*Drivers!P$115,
     $B90="Two-Installment (front-loaded)", 'P&amp;L'!$E271*Drivers!P$116, $B90="Two-Installment (back-loaded)", 'P&amp;L'!$E271*Drivers!P$117,
     $B90="Year Start Lump Sum", 'P&amp;L'!$E271*Drivers!P$118,$B90="Expense Reimbursement", 'P&amp;L'!$E271*Drivers!P$120,
     $B90="Direct Monthly Input", 0)</f>
        <v>21418.005938118436</v>
      </c>
      <c r="N90" s="428" cm="1">
        <f t="array" ref="N90">_xlfn.IFS($B90="12-Month Smoothing", 'P&amp;L'!$E271*Drivers!Q$113, $B90="10-Month Academic Calendar", 'P&amp;L'!$E271*Drivers!Q$114, $B90="Quarterly Smoothing", 'P&amp;L'!$E271*Drivers!Q$115,
     $B90="Two-Installment (front-loaded)", 'P&amp;L'!$E271*Drivers!Q$116, $B90="Two-Installment (back-loaded)", 'P&amp;L'!$E271*Drivers!Q$117,
     $B90="Year Start Lump Sum", 'P&amp;L'!$E271*Drivers!Q$118,$B90="Expense Reimbursement", 'P&amp;L'!$E271*Drivers!Q$120,
     $B90="Direct Monthly Input", 0)</f>
        <v>21418.005938118436</v>
      </c>
      <c r="O90" s="847" cm="1">
        <f t="array" ref="O90">_xlfn.IFS($B90="12-Month Smoothing", 'P&amp;L'!$E271*Drivers!R$113, $B90="10-Month Academic Calendar", 'P&amp;L'!$E271*Drivers!R$114, $B90="Quarterly Smoothing", 'P&amp;L'!$E271*Drivers!R$115,
     $B90="Two-Installment (front-loaded)", 'P&amp;L'!$E271*Drivers!R$116, $B90="Two-Installment (back-loaded)", 'P&amp;L'!$E271*Drivers!R$117,
     $B90="Year Start Lump Sum", 'P&amp;L'!$E271*Drivers!R$118,$B90="Expense Reimbursement", 'P&amp;L'!$E271*Drivers!R$120,
     $B90="Direct Monthly Input", 0)</f>
        <v>21418.005938118436</v>
      </c>
      <c r="P90" s="130">
        <f t="shared" si="6"/>
        <v>257016.07125742125</v>
      </c>
      <c r="Q90" s="730"/>
      <c r="R90" s="537"/>
    </row>
    <row r="91" spans="1:18" s="538" customFormat="1" ht="17" thickBot="1">
      <c r="A91" s="735"/>
      <c r="B91" s="419" t="s">
        <v>439</v>
      </c>
      <c r="C91" s="857" t="str">
        <f>'P&amp;L'!C273</f>
        <v>Personnel Services Costs</v>
      </c>
      <c r="D91" s="854" cm="1">
        <f t="array" ref="D91">_xlfn.IFS($B91="12-Month Smoothing", 'P&amp;L'!$E273*Drivers!G$113, $B91="10-Month Academic Calendar", 'P&amp;L'!$E273*Drivers!G$114, $B91="Quarterly Smoothing", 'P&amp;L'!$E273*Drivers!G$115,
     $B91="Two-Installment (front-loaded)", 'P&amp;L'!$E273*Drivers!G$116, $B91="Two-Installment (back-loaded)", 'P&amp;L'!$E273*Drivers!G$117,
     $B91="Year Start Lump Sum", 'P&amp;L'!$E273*Drivers!G$118,$B91="Expense Reimbursement", 'P&amp;L'!$E273*Drivers!G$120,
     $B91="Direct Monthly Input", 0)</f>
        <v>176418.82916666666</v>
      </c>
      <c r="E91" s="428" cm="1">
        <f t="array" ref="E91">_xlfn.IFS($B91="12-Month Smoothing", 'P&amp;L'!$E273*Drivers!H$113, $B91="10-Month Academic Calendar", 'P&amp;L'!$E273*Drivers!H$114, $B91="Quarterly Smoothing", 'P&amp;L'!$E273*Drivers!H$115,
     $B91="Two-Installment (front-loaded)", 'P&amp;L'!$E273*Drivers!H$116, $B91="Two-Installment (back-loaded)", 'P&amp;L'!$E273*Drivers!H$117,
     $B91="Year Start Lump Sum", 'P&amp;L'!$E273*Drivers!H$118,$B91="Expense Reimbursement", 'P&amp;L'!$E273*Drivers!H$120,
     $B91="Direct Monthly Input", 0)</f>
        <v>176418.82916666666</v>
      </c>
      <c r="F91" s="428" cm="1">
        <f t="array" ref="F91">_xlfn.IFS($B91="12-Month Smoothing", 'P&amp;L'!$E273*Drivers!I$113, $B91="10-Month Academic Calendar", 'P&amp;L'!$E273*Drivers!I$114, $B91="Quarterly Smoothing", 'P&amp;L'!$E273*Drivers!I$115,
     $B91="Two-Installment (front-loaded)", 'P&amp;L'!$E273*Drivers!I$116, $B91="Two-Installment (back-loaded)", 'P&amp;L'!$E273*Drivers!I$117,
     $B91="Year Start Lump Sum", 'P&amp;L'!$E273*Drivers!I$118,$B91="Expense Reimbursement", 'P&amp;L'!$E273*Drivers!I$120,
     $B91="Direct Monthly Input", 0)</f>
        <v>176418.82916666666</v>
      </c>
      <c r="G91" s="428" cm="1">
        <f t="array" ref="G91">_xlfn.IFS($B91="12-Month Smoothing", 'P&amp;L'!$E273*Drivers!J$113, $B91="10-Month Academic Calendar", 'P&amp;L'!$E273*Drivers!J$114, $B91="Quarterly Smoothing", 'P&amp;L'!$E273*Drivers!J$115,
     $B91="Two-Installment (front-loaded)", 'P&amp;L'!$E273*Drivers!J$116, $B91="Two-Installment (back-loaded)", 'P&amp;L'!$E273*Drivers!J$117,
     $B91="Year Start Lump Sum", 'P&amp;L'!$E273*Drivers!J$118,$B91="Expense Reimbursement", 'P&amp;L'!$E273*Drivers!J$120,
     $B91="Direct Monthly Input", 0)</f>
        <v>176418.82916666666</v>
      </c>
      <c r="H91" s="428" cm="1">
        <f t="array" ref="H91">_xlfn.IFS($B91="12-Month Smoothing", 'P&amp;L'!$E273*Drivers!K$113, $B91="10-Month Academic Calendar", 'P&amp;L'!$E273*Drivers!K$114, $B91="Quarterly Smoothing", 'P&amp;L'!$E273*Drivers!K$115,
     $B91="Two-Installment (front-loaded)", 'P&amp;L'!$E273*Drivers!K$116, $B91="Two-Installment (back-loaded)", 'P&amp;L'!$E273*Drivers!K$117,
     $B91="Year Start Lump Sum", 'P&amp;L'!$E273*Drivers!K$118,$B91="Expense Reimbursement", 'P&amp;L'!$E273*Drivers!K$120,
     $B91="Direct Monthly Input", 0)</f>
        <v>176418.82916666666</v>
      </c>
      <c r="I91" s="428" cm="1">
        <f t="array" ref="I91">_xlfn.IFS($B91="12-Month Smoothing", 'P&amp;L'!$E273*Drivers!L$113, $B91="10-Month Academic Calendar", 'P&amp;L'!$E273*Drivers!L$114, $B91="Quarterly Smoothing", 'P&amp;L'!$E273*Drivers!L$115,
     $B91="Two-Installment (front-loaded)", 'P&amp;L'!$E273*Drivers!L$116, $B91="Two-Installment (back-loaded)", 'P&amp;L'!$E273*Drivers!L$117,
     $B91="Year Start Lump Sum", 'P&amp;L'!$E273*Drivers!L$118,$B91="Expense Reimbursement", 'P&amp;L'!$E273*Drivers!L$120,
     $B91="Direct Monthly Input", 0)</f>
        <v>176418.82916666666</v>
      </c>
      <c r="J91" s="428" cm="1">
        <f t="array" ref="J91">_xlfn.IFS($B91="12-Month Smoothing", 'P&amp;L'!$E273*Drivers!M$113, $B91="10-Month Academic Calendar", 'P&amp;L'!$E273*Drivers!M$114, $B91="Quarterly Smoothing", 'P&amp;L'!$E273*Drivers!M$115,
     $B91="Two-Installment (front-loaded)", 'P&amp;L'!$E273*Drivers!M$116, $B91="Two-Installment (back-loaded)", 'P&amp;L'!$E273*Drivers!M$117,
     $B91="Year Start Lump Sum", 'P&amp;L'!$E273*Drivers!M$118,$B91="Expense Reimbursement", 'P&amp;L'!$E273*Drivers!M$120,
     $B91="Direct Monthly Input", 0)</f>
        <v>176418.82916666666</v>
      </c>
      <c r="K91" s="428" cm="1">
        <f t="array" ref="K91">_xlfn.IFS($B91="12-Month Smoothing", 'P&amp;L'!$E273*Drivers!N$113, $B91="10-Month Academic Calendar", 'P&amp;L'!$E273*Drivers!N$114, $B91="Quarterly Smoothing", 'P&amp;L'!$E273*Drivers!N$115,
     $B91="Two-Installment (front-loaded)", 'P&amp;L'!$E273*Drivers!N$116, $B91="Two-Installment (back-loaded)", 'P&amp;L'!$E273*Drivers!N$117,
     $B91="Year Start Lump Sum", 'P&amp;L'!$E273*Drivers!N$118,$B91="Expense Reimbursement", 'P&amp;L'!$E273*Drivers!N$120,
     $B91="Direct Monthly Input", 0)</f>
        <v>176418.82916666666</v>
      </c>
      <c r="L91" s="428" cm="1">
        <f t="array" ref="L91">_xlfn.IFS($B91="12-Month Smoothing", 'P&amp;L'!$E273*Drivers!O$113, $B91="10-Month Academic Calendar", 'P&amp;L'!$E273*Drivers!O$114, $B91="Quarterly Smoothing", 'P&amp;L'!$E273*Drivers!O$115,
     $B91="Two-Installment (front-loaded)", 'P&amp;L'!$E273*Drivers!O$116, $B91="Two-Installment (back-loaded)", 'P&amp;L'!$E273*Drivers!O$117,
     $B91="Year Start Lump Sum", 'P&amp;L'!$E273*Drivers!O$118,$B91="Expense Reimbursement", 'P&amp;L'!$E273*Drivers!O$120,
     $B91="Direct Monthly Input", 0)</f>
        <v>176418.82916666666</v>
      </c>
      <c r="M91" s="428" cm="1">
        <f t="array" ref="M91">_xlfn.IFS($B91="12-Month Smoothing", 'P&amp;L'!$E273*Drivers!P$113, $B91="10-Month Academic Calendar", 'P&amp;L'!$E273*Drivers!P$114, $B91="Quarterly Smoothing", 'P&amp;L'!$E273*Drivers!P$115,
     $B91="Two-Installment (front-loaded)", 'P&amp;L'!$E273*Drivers!P$116, $B91="Two-Installment (back-loaded)", 'P&amp;L'!$E273*Drivers!P$117,
     $B91="Year Start Lump Sum", 'P&amp;L'!$E273*Drivers!P$118,$B91="Expense Reimbursement", 'P&amp;L'!$E273*Drivers!P$120,
     $B91="Direct Monthly Input", 0)</f>
        <v>176418.82916666666</v>
      </c>
      <c r="N91" s="428" cm="1">
        <f t="array" ref="N91">_xlfn.IFS($B91="12-Month Smoothing", 'P&amp;L'!$E273*Drivers!Q$113, $B91="10-Month Academic Calendar", 'P&amp;L'!$E273*Drivers!Q$114, $B91="Quarterly Smoothing", 'P&amp;L'!$E273*Drivers!Q$115,
     $B91="Two-Installment (front-loaded)", 'P&amp;L'!$E273*Drivers!Q$116, $B91="Two-Installment (back-loaded)", 'P&amp;L'!$E273*Drivers!Q$117,
     $B91="Year Start Lump Sum", 'P&amp;L'!$E273*Drivers!Q$118,$B91="Expense Reimbursement", 'P&amp;L'!$E273*Drivers!Q$120,
     $B91="Direct Monthly Input", 0)</f>
        <v>176418.82916666666</v>
      </c>
      <c r="O91" s="847" cm="1">
        <f t="array" ref="O91">_xlfn.IFS($B91="12-Month Smoothing", 'P&amp;L'!$E273*Drivers!R$113, $B91="10-Month Academic Calendar", 'P&amp;L'!$E273*Drivers!R$114, $B91="Quarterly Smoothing", 'P&amp;L'!$E273*Drivers!R$115,
     $B91="Two-Installment (front-loaded)", 'P&amp;L'!$E273*Drivers!R$116, $B91="Two-Installment (back-loaded)", 'P&amp;L'!$E273*Drivers!R$117,
     $B91="Year Start Lump Sum", 'P&amp;L'!$E273*Drivers!R$118,$B91="Expense Reimbursement", 'P&amp;L'!$E273*Drivers!R$120,
     $B91="Direct Monthly Input", 0)</f>
        <v>176418.82916666666</v>
      </c>
      <c r="P91" s="130">
        <f t="shared" si="6"/>
        <v>2117025.9499999997</v>
      </c>
      <c r="Q91" s="730"/>
      <c r="R91" s="537"/>
    </row>
    <row r="92" spans="1:18" s="538" customFormat="1" ht="17" thickBot="1">
      <c r="A92" s="735"/>
      <c r="B92" s="419" t="s">
        <v>439</v>
      </c>
      <c r="C92" s="857" t="str">
        <f>'P&amp;L'!C274</f>
        <v>Personnel Taxes &amp; Benefits Costs</v>
      </c>
      <c r="D92" s="854" cm="1">
        <f t="array" ref="D92">_xlfn.IFS($B92="12-Month Smoothing", 'P&amp;L'!$E274*Drivers!G$113, $B92="10-Month Academic Calendar", 'P&amp;L'!$E274*Drivers!G$114, $B92="Quarterly Smoothing", 'P&amp;L'!$E274*Drivers!G$115,
     $B92="Two-Installment (front-loaded)", 'P&amp;L'!$E274*Drivers!G$116, $B92="Two-Installment (back-loaded)", 'P&amp;L'!$E274*Drivers!G$117,
     $B92="Year Start Lump Sum", 'P&amp;L'!$E274*Drivers!G$118,$B92="Expense Reimbursement", 'P&amp;L'!$E274*Drivers!G$120,
     $B92="Direct Monthly Input", 0)</f>
        <v>52925.648749999993</v>
      </c>
      <c r="E92" s="428" cm="1">
        <f t="array" ref="E92">_xlfn.IFS($B92="12-Month Smoothing", 'P&amp;L'!$E274*Drivers!H$113, $B92="10-Month Academic Calendar", 'P&amp;L'!$E274*Drivers!H$114, $B92="Quarterly Smoothing", 'P&amp;L'!$E274*Drivers!H$115,
     $B92="Two-Installment (front-loaded)", 'P&amp;L'!$E274*Drivers!H$116, $B92="Two-Installment (back-loaded)", 'P&amp;L'!$E274*Drivers!H$117,
     $B92="Year Start Lump Sum", 'P&amp;L'!$E274*Drivers!H$118,$B92="Expense Reimbursement", 'P&amp;L'!$E274*Drivers!H$120,
     $B92="Direct Monthly Input", 0)</f>
        <v>52925.648749999993</v>
      </c>
      <c r="F92" s="428" cm="1">
        <f t="array" ref="F92">_xlfn.IFS($B92="12-Month Smoothing", 'P&amp;L'!$E274*Drivers!I$113, $B92="10-Month Academic Calendar", 'P&amp;L'!$E274*Drivers!I$114, $B92="Quarterly Smoothing", 'P&amp;L'!$E274*Drivers!I$115,
     $B92="Two-Installment (front-loaded)", 'P&amp;L'!$E274*Drivers!I$116, $B92="Two-Installment (back-loaded)", 'P&amp;L'!$E274*Drivers!I$117,
     $B92="Year Start Lump Sum", 'P&amp;L'!$E274*Drivers!I$118,$B92="Expense Reimbursement", 'P&amp;L'!$E274*Drivers!I$120,
     $B92="Direct Monthly Input", 0)</f>
        <v>52925.648749999993</v>
      </c>
      <c r="G92" s="428" cm="1">
        <f t="array" ref="G92">_xlfn.IFS($B92="12-Month Smoothing", 'P&amp;L'!$E274*Drivers!J$113, $B92="10-Month Academic Calendar", 'P&amp;L'!$E274*Drivers!J$114, $B92="Quarterly Smoothing", 'P&amp;L'!$E274*Drivers!J$115,
     $B92="Two-Installment (front-loaded)", 'P&amp;L'!$E274*Drivers!J$116, $B92="Two-Installment (back-loaded)", 'P&amp;L'!$E274*Drivers!J$117,
     $B92="Year Start Lump Sum", 'P&amp;L'!$E274*Drivers!J$118,$B92="Expense Reimbursement", 'P&amp;L'!$E274*Drivers!J$120,
     $B92="Direct Monthly Input", 0)</f>
        <v>52925.648749999993</v>
      </c>
      <c r="H92" s="428" cm="1">
        <f t="array" ref="H92">_xlfn.IFS($B92="12-Month Smoothing", 'P&amp;L'!$E274*Drivers!K$113, $B92="10-Month Academic Calendar", 'P&amp;L'!$E274*Drivers!K$114, $B92="Quarterly Smoothing", 'P&amp;L'!$E274*Drivers!K$115,
     $B92="Two-Installment (front-loaded)", 'P&amp;L'!$E274*Drivers!K$116, $B92="Two-Installment (back-loaded)", 'P&amp;L'!$E274*Drivers!K$117,
     $B92="Year Start Lump Sum", 'P&amp;L'!$E274*Drivers!K$118,$B92="Expense Reimbursement", 'P&amp;L'!$E274*Drivers!K$120,
     $B92="Direct Monthly Input", 0)</f>
        <v>52925.648749999993</v>
      </c>
      <c r="I92" s="428" cm="1">
        <f t="array" ref="I92">_xlfn.IFS($B92="12-Month Smoothing", 'P&amp;L'!$E274*Drivers!L$113, $B92="10-Month Academic Calendar", 'P&amp;L'!$E274*Drivers!L$114, $B92="Quarterly Smoothing", 'P&amp;L'!$E274*Drivers!L$115,
     $B92="Two-Installment (front-loaded)", 'P&amp;L'!$E274*Drivers!L$116, $B92="Two-Installment (back-loaded)", 'P&amp;L'!$E274*Drivers!L$117,
     $B92="Year Start Lump Sum", 'P&amp;L'!$E274*Drivers!L$118,$B92="Expense Reimbursement", 'P&amp;L'!$E274*Drivers!L$120,
     $B92="Direct Monthly Input", 0)</f>
        <v>52925.648749999993</v>
      </c>
      <c r="J92" s="428" cm="1">
        <f t="array" ref="J92">_xlfn.IFS($B92="12-Month Smoothing", 'P&amp;L'!$E274*Drivers!M$113, $B92="10-Month Academic Calendar", 'P&amp;L'!$E274*Drivers!M$114, $B92="Quarterly Smoothing", 'P&amp;L'!$E274*Drivers!M$115,
     $B92="Two-Installment (front-loaded)", 'P&amp;L'!$E274*Drivers!M$116, $B92="Two-Installment (back-loaded)", 'P&amp;L'!$E274*Drivers!M$117,
     $B92="Year Start Lump Sum", 'P&amp;L'!$E274*Drivers!M$118,$B92="Expense Reimbursement", 'P&amp;L'!$E274*Drivers!M$120,
     $B92="Direct Monthly Input", 0)</f>
        <v>52925.648749999993</v>
      </c>
      <c r="K92" s="428" cm="1">
        <f t="array" ref="K92">_xlfn.IFS($B92="12-Month Smoothing", 'P&amp;L'!$E274*Drivers!N$113, $B92="10-Month Academic Calendar", 'P&amp;L'!$E274*Drivers!N$114, $B92="Quarterly Smoothing", 'P&amp;L'!$E274*Drivers!N$115,
     $B92="Two-Installment (front-loaded)", 'P&amp;L'!$E274*Drivers!N$116, $B92="Two-Installment (back-loaded)", 'P&amp;L'!$E274*Drivers!N$117,
     $B92="Year Start Lump Sum", 'P&amp;L'!$E274*Drivers!N$118,$B92="Expense Reimbursement", 'P&amp;L'!$E274*Drivers!N$120,
     $B92="Direct Monthly Input", 0)</f>
        <v>52925.648749999993</v>
      </c>
      <c r="L92" s="428" cm="1">
        <f t="array" ref="L92">_xlfn.IFS($B92="12-Month Smoothing", 'P&amp;L'!$E274*Drivers!O$113, $B92="10-Month Academic Calendar", 'P&amp;L'!$E274*Drivers!O$114, $B92="Quarterly Smoothing", 'P&amp;L'!$E274*Drivers!O$115,
     $B92="Two-Installment (front-loaded)", 'P&amp;L'!$E274*Drivers!O$116, $B92="Two-Installment (back-loaded)", 'P&amp;L'!$E274*Drivers!O$117,
     $B92="Year Start Lump Sum", 'P&amp;L'!$E274*Drivers!O$118,$B92="Expense Reimbursement", 'P&amp;L'!$E274*Drivers!O$120,
     $B92="Direct Monthly Input", 0)</f>
        <v>52925.648749999993</v>
      </c>
      <c r="M92" s="428" cm="1">
        <f t="array" ref="M92">_xlfn.IFS($B92="12-Month Smoothing", 'P&amp;L'!$E274*Drivers!P$113, $B92="10-Month Academic Calendar", 'P&amp;L'!$E274*Drivers!P$114, $B92="Quarterly Smoothing", 'P&amp;L'!$E274*Drivers!P$115,
     $B92="Two-Installment (front-loaded)", 'P&amp;L'!$E274*Drivers!P$116, $B92="Two-Installment (back-loaded)", 'P&amp;L'!$E274*Drivers!P$117,
     $B92="Year Start Lump Sum", 'P&amp;L'!$E274*Drivers!P$118,$B92="Expense Reimbursement", 'P&amp;L'!$E274*Drivers!P$120,
     $B92="Direct Monthly Input", 0)</f>
        <v>52925.648749999993</v>
      </c>
      <c r="N92" s="428" cm="1">
        <f t="array" ref="N92">_xlfn.IFS($B92="12-Month Smoothing", 'P&amp;L'!$E274*Drivers!Q$113, $B92="10-Month Academic Calendar", 'P&amp;L'!$E274*Drivers!Q$114, $B92="Quarterly Smoothing", 'P&amp;L'!$E274*Drivers!Q$115,
     $B92="Two-Installment (front-loaded)", 'P&amp;L'!$E274*Drivers!Q$116, $B92="Two-Installment (back-loaded)", 'P&amp;L'!$E274*Drivers!Q$117,
     $B92="Year Start Lump Sum", 'P&amp;L'!$E274*Drivers!Q$118,$B92="Expense Reimbursement", 'P&amp;L'!$E274*Drivers!Q$120,
     $B92="Direct Monthly Input", 0)</f>
        <v>52925.648749999993</v>
      </c>
      <c r="O92" s="847" cm="1">
        <f t="array" ref="O92">_xlfn.IFS($B92="12-Month Smoothing", 'P&amp;L'!$E274*Drivers!R$113, $B92="10-Month Academic Calendar", 'P&amp;L'!$E274*Drivers!R$114, $B92="Quarterly Smoothing", 'P&amp;L'!$E274*Drivers!R$115,
     $B92="Two-Installment (front-loaded)", 'P&amp;L'!$E274*Drivers!R$116, $B92="Two-Installment (back-loaded)", 'P&amp;L'!$E274*Drivers!R$117,
     $B92="Year Start Lump Sum", 'P&amp;L'!$E274*Drivers!R$118,$B92="Expense Reimbursement", 'P&amp;L'!$E274*Drivers!R$120,
     $B92="Direct Monthly Input", 0)</f>
        <v>52925.648749999993</v>
      </c>
      <c r="P92" s="130">
        <f t="shared" si="6"/>
        <v>635107.78499999992</v>
      </c>
      <c r="Q92" s="730"/>
      <c r="R92" s="537"/>
    </row>
    <row r="93" spans="1:18" s="538" customFormat="1" ht="17" thickBot="1">
      <c r="A93" s="735"/>
      <c r="B93" s="419" t="s">
        <v>439</v>
      </c>
      <c r="C93" s="858" t="s">
        <v>454</v>
      </c>
      <c r="D93" s="855" cm="1">
        <f t="array" ref="D93">_xlfn.IFS($B93="12-Month Smoothing", 'P&amp;L'!$E272*Drivers!G$113, $B93="10-Month Academic Calendar", 'P&amp;L'!$E272*Drivers!G$114, $B93="Quarterly Smoothing", 'P&amp;L'!$E272*Drivers!G$115,
     $B93="Two-Installment (front-loaded)", 'P&amp;L'!$E272*Drivers!G$116, $B93="Two-Installment (back-loaded)", 'P&amp;L'!$E272*Drivers!G$117,
     $B93="Year Start Lump Sum", 'P&amp;L'!$E272*Drivers!G$118,$B93="Expense Reimbursement", 'P&amp;L'!$E272*Drivers!G$120,
     $B93="Direct Monthly Input", 0)</f>
        <v>14375</v>
      </c>
      <c r="E93" s="429" cm="1">
        <f t="array" ref="E93">-_xlfn.IFS($B93="12-Month Smoothing", 'P&amp;L'!$E302*Drivers!H$113, $B93="10-Month Academic Calendar", 'P&amp;L'!$E302*Drivers!H$114, $B93="Quarterly Smoothing", 'P&amp;L'!$E302*Drivers!H$115,
     $B93="Two-Installment (front-loaded)", 'P&amp;L'!$E302*Drivers!H$116, $B93="Two-Installment (back-loaded)", 'P&amp;L'!$E302*Drivers!H$117,
     $B93="Year Start Lump Sum", 'P&amp;L'!$E302*Drivers!H$118,$B93="Expense Reimbursement", 'P&amp;L'!$E302*Drivers!H$120,
     $B93="Direct Monthly Input", 0)</f>
        <v>6362.5130527597585</v>
      </c>
      <c r="F93" s="429" cm="1">
        <f t="array" ref="F93">-_xlfn.IFS($B93="12-Month Smoothing", 'P&amp;L'!$E302*Drivers!I$113, $B93="10-Month Academic Calendar", 'P&amp;L'!$E302*Drivers!I$114, $B93="Quarterly Smoothing", 'P&amp;L'!$E302*Drivers!I$115,
     $B93="Two-Installment (front-loaded)", 'P&amp;L'!$E302*Drivers!I$116, $B93="Two-Installment (back-loaded)", 'P&amp;L'!$E302*Drivers!I$117,
     $B93="Year Start Lump Sum", 'P&amp;L'!$E302*Drivers!I$118,$B93="Expense Reimbursement", 'P&amp;L'!$E302*Drivers!I$120,
     $B93="Direct Monthly Input", 0)</f>
        <v>6362.5130527597585</v>
      </c>
      <c r="G93" s="429" cm="1">
        <f t="array" ref="G93">-_xlfn.IFS($B93="12-Month Smoothing", 'P&amp;L'!$E302*Drivers!J$113, $B93="10-Month Academic Calendar", 'P&amp;L'!$E302*Drivers!J$114, $B93="Quarterly Smoothing", 'P&amp;L'!$E302*Drivers!J$115,
     $B93="Two-Installment (front-loaded)", 'P&amp;L'!$E302*Drivers!J$116, $B93="Two-Installment (back-loaded)", 'P&amp;L'!$E302*Drivers!J$117,
     $B93="Year Start Lump Sum", 'P&amp;L'!$E302*Drivers!J$118,$B93="Expense Reimbursement", 'P&amp;L'!$E302*Drivers!J$120,
     $B93="Direct Monthly Input", 0)</f>
        <v>6362.5130527597585</v>
      </c>
      <c r="H93" s="429" cm="1">
        <f t="array" ref="H93">-_xlfn.IFS($B93="12-Month Smoothing", 'P&amp;L'!$E302*Drivers!K$113, $B93="10-Month Academic Calendar", 'P&amp;L'!$E302*Drivers!K$114, $B93="Quarterly Smoothing", 'P&amp;L'!$E302*Drivers!K$115,
     $B93="Two-Installment (front-loaded)", 'P&amp;L'!$E302*Drivers!K$116, $B93="Two-Installment (back-loaded)", 'P&amp;L'!$E302*Drivers!K$117,
     $B93="Year Start Lump Sum", 'P&amp;L'!$E302*Drivers!K$118,$B93="Expense Reimbursement", 'P&amp;L'!$E302*Drivers!K$120,
     $B93="Direct Monthly Input", 0)</f>
        <v>6362.5130527597585</v>
      </c>
      <c r="I93" s="429" cm="1">
        <f t="array" ref="I93">-_xlfn.IFS($B93="12-Month Smoothing", 'P&amp;L'!$E302*Drivers!L$113, $B93="10-Month Academic Calendar", 'P&amp;L'!$E302*Drivers!L$114, $B93="Quarterly Smoothing", 'P&amp;L'!$E302*Drivers!L$115,
     $B93="Two-Installment (front-loaded)", 'P&amp;L'!$E302*Drivers!L$116, $B93="Two-Installment (back-loaded)", 'P&amp;L'!$E302*Drivers!L$117,
     $B93="Year Start Lump Sum", 'P&amp;L'!$E302*Drivers!L$118,$B93="Expense Reimbursement", 'P&amp;L'!$E302*Drivers!L$120,
     $B93="Direct Monthly Input", 0)</f>
        <v>6362.5130527597585</v>
      </c>
      <c r="J93" s="429" cm="1">
        <f t="array" ref="J93">-_xlfn.IFS($B93="12-Month Smoothing", 'P&amp;L'!$E302*Drivers!M$113, $B93="10-Month Academic Calendar", 'P&amp;L'!$E302*Drivers!M$114, $B93="Quarterly Smoothing", 'P&amp;L'!$E302*Drivers!M$115,
     $B93="Two-Installment (front-loaded)", 'P&amp;L'!$E302*Drivers!M$116, $B93="Two-Installment (back-loaded)", 'P&amp;L'!$E302*Drivers!M$117,
     $B93="Year Start Lump Sum", 'P&amp;L'!$E302*Drivers!M$118,$B93="Expense Reimbursement", 'P&amp;L'!$E302*Drivers!M$120,
     $B93="Direct Monthly Input", 0)</f>
        <v>6362.5130527597585</v>
      </c>
      <c r="K93" s="429" cm="1">
        <f t="array" ref="K93">-_xlfn.IFS($B93="12-Month Smoothing", 'P&amp;L'!$E302*Drivers!N$113, $B93="10-Month Academic Calendar", 'P&amp;L'!$E302*Drivers!N$114, $B93="Quarterly Smoothing", 'P&amp;L'!$E302*Drivers!N$115,
     $B93="Two-Installment (front-loaded)", 'P&amp;L'!$E302*Drivers!N$116, $B93="Two-Installment (back-loaded)", 'P&amp;L'!$E302*Drivers!N$117,
     $B93="Year Start Lump Sum", 'P&amp;L'!$E302*Drivers!N$118,$B93="Expense Reimbursement", 'P&amp;L'!$E302*Drivers!N$120,
     $B93="Direct Monthly Input", 0)</f>
        <v>6362.5130527597585</v>
      </c>
      <c r="L93" s="429" cm="1">
        <f t="array" ref="L93">-_xlfn.IFS($B93="12-Month Smoothing", 'P&amp;L'!$E302*Drivers!O$113, $B93="10-Month Academic Calendar", 'P&amp;L'!$E302*Drivers!O$114, $B93="Quarterly Smoothing", 'P&amp;L'!$E302*Drivers!O$115,
     $B93="Two-Installment (front-loaded)", 'P&amp;L'!$E302*Drivers!O$116, $B93="Two-Installment (back-loaded)", 'P&amp;L'!$E302*Drivers!O$117,
     $B93="Year Start Lump Sum", 'P&amp;L'!$E302*Drivers!O$118,$B93="Expense Reimbursement", 'P&amp;L'!$E302*Drivers!O$120,
     $B93="Direct Monthly Input", 0)</f>
        <v>6362.5130527597585</v>
      </c>
      <c r="M93" s="429" cm="1">
        <f t="array" ref="M93">-_xlfn.IFS($B93="12-Month Smoothing", 'P&amp;L'!$E302*Drivers!P$113, $B93="10-Month Academic Calendar", 'P&amp;L'!$E302*Drivers!P$114, $B93="Quarterly Smoothing", 'P&amp;L'!$E302*Drivers!P$115,
     $B93="Two-Installment (front-loaded)", 'P&amp;L'!$E302*Drivers!P$116, $B93="Two-Installment (back-loaded)", 'P&amp;L'!$E302*Drivers!P$117,
     $B93="Year Start Lump Sum", 'P&amp;L'!$E302*Drivers!P$118,$B93="Expense Reimbursement", 'P&amp;L'!$E302*Drivers!P$120,
     $B93="Direct Monthly Input", 0)</f>
        <v>6362.5130527597585</v>
      </c>
      <c r="N93" s="429" cm="1">
        <f t="array" ref="N93">-_xlfn.IFS($B93="12-Month Smoothing", 'P&amp;L'!$E302*Drivers!Q$113, $B93="10-Month Academic Calendar", 'P&amp;L'!$E302*Drivers!Q$114, $B93="Quarterly Smoothing", 'P&amp;L'!$E302*Drivers!Q$115,
     $B93="Two-Installment (front-loaded)", 'P&amp;L'!$E302*Drivers!Q$116, $B93="Two-Installment (back-loaded)", 'P&amp;L'!$E302*Drivers!Q$117,
     $B93="Year Start Lump Sum", 'P&amp;L'!$E302*Drivers!Q$118,$B93="Expense Reimbursement", 'P&amp;L'!$E302*Drivers!Q$120,
     $B93="Direct Monthly Input", 0)</f>
        <v>6362.5130527597585</v>
      </c>
      <c r="O93" s="848" cm="1">
        <f t="array" ref="O93">-_xlfn.IFS($B93="12-Month Smoothing", 'P&amp;L'!$E302*Drivers!R$113, $B93="10-Month Academic Calendar", 'P&amp;L'!$E302*Drivers!R$114, $B93="Quarterly Smoothing", 'P&amp;L'!$E302*Drivers!R$115,
     $B93="Two-Installment (front-loaded)", 'P&amp;L'!$E302*Drivers!R$116, $B93="Two-Installment (back-loaded)", 'P&amp;L'!$E302*Drivers!R$117,
     $B93="Year Start Lump Sum", 'P&amp;L'!$E302*Drivers!R$118,$B93="Expense Reimbursement", 'P&amp;L'!$E302*Drivers!R$120,
     $B93="Direct Monthly Input", 0)</f>
        <v>6362.5130527597585</v>
      </c>
      <c r="P93" s="853">
        <f t="shared" si="6"/>
        <v>84362.643580357355</v>
      </c>
      <c r="Q93" s="730"/>
      <c r="R93" s="537"/>
    </row>
    <row r="94" spans="1:18" s="538" customFormat="1" ht="17" thickBot="1">
      <c r="A94" s="733"/>
      <c r="B94" s="725"/>
      <c r="C94" s="736"/>
      <c r="D94" s="725"/>
      <c r="E94" s="725"/>
      <c r="F94" s="725"/>
      <c r="G94" s="725"/>
      <c r="H94" s="725"/>
      <c r="I94" s="725"/>
      <c r="J94" s="725"/>
      <c r="K94" s="725"/>
      <c r="L94" s="725"/>
      <c r="M94" s="725"/>
      <c r="N94" s="725"/>
      <c r="O94" s="725"/>
      <c r="P94" s="725"/>
      <c r="Q94" s="730"/>
      <c r="R94" s="537"/>
    </row>
    <row r="95" spans="1:18" s="538" customFormat="1" ht="17" thickBot="1">
      <c r="A95" s="732"/>
      <c r="B95" s="131"/>
      <c r="C95" s="132" t="s">
        <v>98</v>
      </c>
      <c r="D95" s="133">
        <f t="shared" ref="D95:P95" si="7">SUM(D16:D48)</f>
        <v>525788.93339999998</v>
      </c>
      <c r="E95" s="133">
        <f t="shared" si="7"/>
        <v>336254.74079999997</v>
      </c>
      <c r="F95" s="133">
        <f t="shared" si="7"/>
        <v>269289.0463333333</v>
      </c>
      <c r="G95" s="133">
        <f t="shared" si="7"/>
        <v>427425.81673333322</v>
      </c>
      <c r="H95" s="133">
        <f t="shared" si="7"/>
        <v>407658.72043333331</v>
      </c>
      <c r="I95" s="133">
        <f t="shared" si="7"/>
        <v>585925.81673333328</v>
      </c>
      <c r="J95" s="133">
        <f t="shared" si="7"/>
        <v>427425.81673333322</v>
      </c>
      <c r="K95" s="133">
        <f t="shared" si="7"/>
        <v>427425.81673333322</v>
      </c>
      <c r="L95" s="133">
        <f t="shared" si="7"/>
        <v>269289.0463333333</v>
      </c>
      <c r="M95" s="133">
        <f t="shared" si="7"/>
        <v>308823.23893333331</v>
      </c>
      <c r="N95" s="133">
        <f t="shared" si="7"/>
        <v>545814.29083333316</v>
      </c>
      <c r="O95" s="134">
        <f t="shared" si="7"/>
        <v>558752.576</v>
      </c>
      <c r="P95" s="135">
        <f t="shared" si="7"/>
        <v>5089873.8599999985</v>
      </c>
      <c r="Q95" s="730"/>
      <c r="R95" s="537"/>
    </row>
    <row r="96" spans="1:18" s="538" customFormat="1" ht="17" thickBot="1">
      <c r="A96" s="732"/>
      <c r="B96" s="136"/>
      <c r="C96" s="137" t="s">
        <v>52</v>
      </c>
      <c r="D96" s="138">
        <f t="shared" ref="D96:P96" si="8">SUM(D50:D93)</f>
        <v>434756.52793811844</v>
      </c>
      <c r="E96" s="138">
        <f t="shared" si="8"/>
        <v>424244.04099087819</v>
      </c>
      <c r="F96" s="138">
        <f t="shared" si="8"/>
        <v>424244.04099087819</v>
      </c>
      <c r="G96" s="138">
        <f t="shared" si="8"/>
        <v>424244.04099087819</v>
      </c>
      <c r="H96" s="138">
        <f t="shared" si="8"/>
        <v>424244.04099087819</v>
      </c>
      <c r="I96" s="138">
        <f t="shared" si="8"/>
        <v>440894.04099087819</v>
      </c>
      <c r="J96" s="138">
        <f t="shared" si="8"/>
        <v>424244.04099087819</v>
      </c>
      <c r="K96" s="138">
        <f t="shared" si="8"/>
        <v>424244.04099087819</v>
      </c>
      <c r="L96" s="138">
        <f t="shared" si="8"/>
        <v>424244.04099087819</v>
      </c>
      <c r="M96" s="138">
        <f t="shared" si="8"/>
        <v>424244.04099087819</v>
      </c>
      <c r="N96" s="138">
        <f t="shared" si="8"/>
        <v>336004.04099087819</v>
      </c>
      <c r="O96" s="139">
        <f t="shared" si="8"/>
        <v>350154.04099087819</v>
      </c>
      <c r="P96" s="140">
        <f t="shared" si="8"/>
        <v>4955760.9788377788</v>
      </c>
      <c r="Q96" s="730"/>
      <c r="R96" s="537"/>
    </row>
    <row r="97" spans="1:18" s="538" customFormat="1" ht="17" thickBot="1">
      <c r="A97" s="732"/>
      <c r="B97" s="141"/>
      <c r="C97" s="142" t="s">
        <v>95</v>
      </c>
      <c r="D97" s="143">
        <f>D95-D96</f>
        <v>91032.405461881543</v>
      </c>
      <c r="E97" s="144">
        <f t="shared" ref="E97:P97" si="9">E95-E96</f>
        <v>-87989.300190878217</v>
      </c>
      <c r="F97" s="144">
        <f t="shared" si="9"/>
        <v>-154954.99465754488</v>
      </c>
      <c r="G97" s="144">
        <f t="shared" si="9"/>
        <v>3181.7757424550364</v>
      </c>
      <c r="H97" s="144">
        <f t="shared" si="9"/>
        <v>-16585.320557544881</v>
      </c>
      <c r="I97" s="144">
        <f t="shared" si="9"/>
        <v>145031.77574245509</v>
      </c>
      <c r="J97" s="144">
        <f t="shared" si="9"/>
        <v>3181.7757424550364</v>
      </c>
      <c r="K97" s="144">
        <f t="shared" si="9"/>
        <v>3181.7757424550364</v>
      </c>
      <c r="L97" s="144">
        <f t="shared" si="9"/>
        <v>-154954.99465754488</v>
      </c>
      <c r="M97" s="144">
        <f t="shared" si="9"/>
        <v>-115420.80205754488</v>
      </c>
      <c r="N97" s="144">
        <f t="shared" si="9"/>
        <v>209810.24984245497</v>
      </c>
      <c r="O97" s="145">
        <f t="shared" si="9"/>
        <v>208598.53500912181</v>
      </c>
      <c r="P97" s="146">
        <f t="shared" si="9"/>
        <v>134112.88116221968</v>
      </c>
      <c r="Q97" s="730"/>
      <c r="R97" s="537"/>
    </row>
    <row r="98" spans="1:18" s="538" customFormat="1" ht="16">
      <c r="A98" s="737"/>
      <c r="B98" s="738"/>
      <c r="C98" s="738"/>
      <c r="D98" s="738"/>
      <c r="E98" s="738"/>
      <c r="F98" s="738"/>
      <c r="G98" s="738"/>
      <c r="H98" s="738"/>
      <c r="I98" s="738"/>
      <c r="J98" s="738"/>
      <c r="K98" s="738"/>
      <c r="L98" s="738"/>
      <c r="M98" s="738"/>
      <c r="N98" s="738"/>
      <c r="O98" s="738"/>
      <c r="P98" s="738"/>
      <c r="Q98" s="739"/>
      <c r="R98" s="537"/>
    </row>
    <row r="99" spans="1:18" s="538" customFormat="1" ht="14" customHeight="1">
      <c r="A99" s="539"/>
      <c r="B99" s="540"/>
      <c r="C99" s="540"/>
      <c r="D99" s="540"/>
      <c r="E99" s="540"/>
      <c r="F99" s="540"/>
      <c r="G99" s="540"/>
      <c r="H99" s="540"/>
      <c r="I99" s="540"/>
      <c r="J99" s="540"/>
      <c r="K99" s="540"/>
      <c r="L99" s="540"/>
      <c r="M99" s="540"/>
      <c r="N99" s="540"/>
      <c r="O99" s="540"/>
      <c r="P99" s="540"/>
      <c r="Q99" s="540"/>
      <c r="R99" s="537"/>
    </row>
    <row r="100" spans="1:18" s="538" customFormat="1" ht="16">
      <c r="A100" s="539"/>
      <c r="B100" s="540"/>
      <c r="C100" s="540"/>
      <c r="D100" s="540"/>
      <c r="E100" s="540"/>
      <c r="F100" s="540"/>
      <c r="G100" s="540"/>
      <c r="H100" s="540"/>
      <c r="I100" s="540"/>
      <c r="J100" s="540"/>
      <c r="K100" s="540"/>
      <c r="L100" s="540"/>
      <c r="M100" s="540"/>
      <c r="N100" s="540"/>
      <c r="O100" s="540"/>
      <c r="P100" s="540"/>
      <c r="Q100" s="540"/>
      <c r="R100" s="537"/>
    </row>
    <row r="101" spans="1:18" s="538" customFormat="1" ht="16">
      <c r="A101" s="539"/>
      <c r="B101" s="540"/>
      <c r="C101" s="540"/>
      <c r="D101" s="540"/>
      <c r="E101" s="540"/>
      <c r="F101" s="540"/>
      <c r="G101" s="540"/>
      <c r="H101" s="540"/>
      <c r="I101" s="540"/>
      <c r="J101" s="540"/>
      <c r="K101" s="540"/>
      <c r="L101" s="540"/>
      <c r="M101" s="540"/>
      <c r="N101" s="540"/>
      <c r="O101" s="540"/>
      <c r="P101" s="540"/>
      <c r="Q101" s="540"/>
      <c r="R101" s="537"/>
    </row>
    <row r="102" spans="1:18" s="538" customFormat="1" ht="16">
      <c r="A102" s="539"/>
      <c r="B102" s="540"/>
      <c r="C102" s="540"/>
      <c r="D102" s="540"/>
      <c r="E102" s="540"/>
      <c r="F102" s="540"/>
      <c r="G102" s="540"/>
      <c r="H102" s="540"/>
      <c r="I102" s="540"/>
      <c r="J102" s="540"/>
      <c r="K102" s="540"/>
      <c r="L102" s="540"/>
      <c r="M102" s="540"/>
      <c r="N102" s="540"/>
      <c r="O102" s="540"/>
      <c r="P102" s="540"/>
      <c r="Q102" s="540"/>
      <c r="R102" s="537"/>
    </row>
    <row r="103" spans="1:18" s="538" customFormat="1" ht="16">
      <c r="A103" s="539"/>
      <c r="B103" s="540"/>
      <c r="C103" s="540"/>
      <c r="D103" s="540"/>
      <c r="E103" s="540"/>
      <c r="F103" s="540"/>
      <c r="G103" s="540"/>
      <c r="H103" s="540"/>
      <c r="I103" s="540"/>
      <c r="J103" s="540"/>
      <c r="K103" s="540"/>
      <c r="L103" s="540"/>
      <c r="M103" s="540"/>
      <c r="N103" s="540"/>
      <c r="O103" s="540"/>
      <c r="P103" s="540"/>
      <c r="Q103" s="540"/>
      <c r="R103" s="537"/>
    </row>
    <row r="104" spans="1:18" s="538" customFormat="1" ht="16">
      <c r="A104" s="539"/>
      <c r="B104" s="540"/>
      <c r="C104" s="540"/>
      <c r="D104" s="540"/>
      <c r="E104" s="540"/>
      <c r="F104" s="540"/>
      <c r="G104" s="540"/>
      <c r="H104" s="540"/>
      <c r="I104" s="540"/>
      <c r="J104" s="540"/>
      <c r="K104" s="540"/>
      <c r="L104" s="540"/>
      <c r="M104" s="540"/>
      <c r="N104" s="540"/>
      <c r="O104" s="540"/>
      <c r="P104" s="540"/>
      <c r="Q104" s="540"/>
      <c r="R104" s="537"/>
    </row>
    <row r="105" spans="1:18" s="538" customFormat="1" ht="16">
      <c r="A105" s="539"/>
      <c r="B105" s="540"/>
      <c r="C105" s="540"/>
      <c r="D105" s="540"/>
      <c r="E105" s="540"/>
      <c r="F105" s="540"/>
      <c r="G105" s="540"/>
      <c r="H105" s="540"/>
      <c r="I105" s="540"/>
      <c r="J105" s="540"/>
      <c r="K105" s="540"/>
      <c r="L105" s="540"/>
      <c r="M105" s="540"/>
      <c r="N105" s="540"/>
      <c r="O105" s="540"/>
      <c r="P105" s="540"/>
      <c r="Q105" s="540"/>
      <c r="R105" s="537"/>
    </row>
    <row r="106" spans="1:18" s="538" customFormat="1" ht="16">
      <c r="A106" s="539"/>
      <c r="B106" s="540"/>
      <c r="C106" s="540"/>
      <c r="D106" s="540"/>
      <c r="E106" s="540"/>
      <c r="F106" s="540"/>
      <c r="G106" s="540"/>
      <c r="H106" s="540"/>
      <c r="I106" s="540"/>
      <c r="J106" s="540"/>
      <c r="K106" s="540"/>
      <c r="L106" s="540"/>
      <c r="M106" s="540"/>
      <c r="N106" s="540"/>
      <c r="O106" s="540"/>
      <c r="P106" s="540"/>
      <c r="Q106" s="540"/>
      <c r="R106" s="537"/>
    </row>
    <row r="107" spans="1:18" s="538" customFormat="1" ht="16">
      <c r="A107" s="539"/>
      <c r="B107" s="540"/>
      <c r="C107" s="540"/>
      <c r="D107" s="540"/>
      <c r="E107" s="540"/>
      <c r="F107" s="540"/>
      <c r="G107" s="540"/>
      <c r="H107" s="540"/>
      <c r="I107" s="540"/>
      <c r="J107" s="540"/>
      <c r="K107" s="540"/>
      <c r="L107" s="540"/>
      <c r="M107" s="540"/>
      <c r="N107" s="540"/>
      <c r="O107" s="540"/>
      <c r="P107" s="540"/>
      <c r="Q107" s="540"/>
      <c r="R107" s="537"/>
    </row>
  </sheetData>
  <conditionalFormatting sqref="D16:O48 D50:O93">
    <cfRule type="expression" dxfId="14" priority="2">
      <formula>$B16="Direct Monthly Input"</formula>
    </cfRule>
  </conditionalFormatting>
  <dataValidations count="1">
    <dataValidation type="list" allowBlank="1" showInputMessage="1" showErrorMessage="1" sqref="D4:O4" xr:uid="{6BCA5DE8-5B63-4562-ABBA-D121122DBE82}">
      <formula1>"ACT,FCAST"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8C72CB8-A23B-4466-9835-F34C326DC60D}">
          <x14:formula1>
            <xm:f>Drivers!$A$113:$A$121</xm:f>
          </x14:formula1>
          <xm:sqref>B50:B93 B16:B48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9957-7D80-4A04-8F0B-D315E5943A71}">
  <sheetPr codeName="Sheet8">
    <tabColor theme="9"/>
  </sheetPr>
  <dimension ref="A1:N39"/>
  <sheetViews>
    <sheetView showGridLines="0" zoomScale="120" zoomScaleNormal="120" workbookViewId="0">
      <selection activeCell="E15" sqref="E15"/>
    </sheetView>
  </sheetViews>
  <sheetFormatPr baseColWidth="10" defaultColWidth="8.6640625" defaultRowHeight="15"/>
  <cols>
    <col min="1" max="1" width="9.5" style="513" customWidth="1"/>
    <col min="2" max="2" width="33" style="513" customWidth="1"/>
    <col min="3" max="5" width="9.83203125" style="513" customWidth="1"/>
    <col min="6" max="11" width="15.83203125" style="519" customWidth="1"/>
    <col min="12" max="13" width="9.83203125" style="513" customWidth="1"/>
    <col min="14" max="20" width="9.5" style="513" customWidth="1"/>
    <col min="21" max="16384" width="8.6640625" style="513"/>
  </cols>
  <sheetData>
    <row r="1" spans="1:14" ht="26">
      <c r="A1" s="667" t="s">
        <v>1406</v>
      </c>
      <c r="B1" s="667"/>
      <c r="C1" s="69"/>
      <c r="D1" s="69"/>
      <c r="E1" s="69"/>
      <c r="F1" s="668">
        <f>INPUTS!D1</f>
        <v>2027</v>
      </c>
      <c r="G1" s="668">
        <f>INPUTS!E1</f>
        <v>2028</v>
      </c>
      <c r="H1" s="668">
        <f>INPUTS!F1</f>
        <v>2029</v>
      </c>
      <c r="I1" s="668">
        <f>INPUTS!G1</f>
        <v>2030</v>
      </c>
      <c r="J1" s="668">
        <f>INPUTS!H1</f>
        <v>2031</v>
      </c>
      <c r="K1" s="668">
        <f>INPUTS!I1</f>
        <v>2032</v>
      </c>
      <c r="L1" s="69"/>
      <c r="M1" s="668"/>
      <c r="N1" s="669"/>
    </row>
    <row r="2" spans="1:14">
      <c r="A2" s="182"/>
      <c r="B2" s="670"/>
      <c r="C2" s="670"/>
      <c r="D2" s="671"/>
      <c r="E2" s="672"/>
      <c r="F2" s="673"/>
      <c r="G2" s="673"/>
      <c r="H2" s="673"/>
      <c r="I2" s="673"/>
      <c r="J2" s="673"/>
      <c r="K2" s="673"/>
      <c r="L2" s="674"/>
      <c r="M2" s="674"/>
      <c r="N2" s="675"/>
    </row>
    <row r="3" spans="1:14" ht="16">
      <c r="A3" s="183"/>
      <c r="B3" s="676" t="s">
        <v>1379</v>
      </c>
      <c r="C3" s="676"/>
      <c r="D3" s="677"/>
      <c r="E3" s="678"/>
      <c r="F3" s="679"/>
      <c r="G3" s="679"/>
      <c r="H3" s="679"/>
      <c r="I3" s="679"/>
      <c r="J3" s="679"/>
      <c r="K3" s="679"/>
      <c r="L3"/>
      <c r="M3"/>
      <c r="N3" s="464"/>
    </row>
    <row r="4" spans="1:14">
      <c r="A4" s="183"/>
      <c r="B4" s="680" t="s">
        <v>1380</v>
      </c>
      <c r="C4" s="676"/>
      <c r="D4" s="681"/>
      <c r="E4" s="682"/>
      <c r="F4" s="683"/>
      <c r="G4" s="683"/>
      <c r="H4" s="683"/>
      <c r="I4" s="683"/>
      <c r="J4" s="683"/>
      <c r="K4" s="683"/>
      <c r="L4"/>
      <c r="M4"/>
      <c r="N4" s="464"/>
    </row>
    <row r="5" spans="1:14">
      <c r="A5" s="183"/>
      <c r="B5" s="684" t="s">
        <v>1381</v>
      </c>
      <c r="C5" s="685"/>
      <c r="D5" s="686"/>
      <c r="E5" s="687"/>
      <c r="F5" s="565">
        <f>'P&amp;L'!D333</f>
        <v>1227620</v>
      </c>
      <c r="G5" s="565">
        <f>'P&amp;L'!E333</f>
        <v>1369745.36810946</v>
      </c>
      <c r="H5" s="565">
        <f>'P&amp;L'!F333</f>
        <v>2279906.5929689216</v>
      </c>
      <c r="I5" s="565">
        <f>'P&amp;L'!G333</f>
        <v>3830210.960912711</v>
      </c>
      <c r="J5" s="565">
        <f>'P&amp;L'!H333</f>
        <v>5478793.1499480056</v>
      </c>
      <c r="K5" s="565">
        <f>'P&amp;L'!I333</f>
        <v>7439347.4693974797</v>
      </c>
      <c r="L5"/>
      <c r="M5"/>
      <c r="N5" s="464"/>
    </row>
    <row r="6" spans="1:14">
      <c r="A6" s="183"/>
      <c r="B6" s="684" t="s">
        <v>1382</v>
      </c>
      <c r="C6" s="685"/>
      <c r="D6" s="688"/>
      <c r="E6" s="689"/>
      <c r="F6" s="566"/>
      <c r="G6" s="566"/>
      <c r="H6" s="566"/>
      <c r="I6" s="566"/>
      <c r="J6" s="566"/>
      <c r="K6" s="566"/>
      <c r="L6"/>
      <c r="M6"/>
      <c r="N6" s="464"/>
    </row>
    <row r="7" spans="1:14">
      <c r="A7" s="183"/>
      <c r="B7" s="684" t="s">
        <v>1383</v>
      </c>
      <c r="C7" s="685"/>
      <c r="D7" s="688"/>
      <c r="E7" s="689"/>
      <c r="F7" s="566"/>
      <c r="G7" s="566"/>
      <c r="H7" s="566"/>
      <c r="I7" s="566"/>
      <c r="J7" s="566"/>
      <c r="K7" s="566"/>
      <c r="L7"/>
      <c r="M7"/>
      <c r="N7" s="464"/>
    </row>
    <row r="8" spans="1:14">
      <c r="A8" s="183"/>
      <c r="B8" s="684" t="s">
        <v>1384</v>
      </c>
      <c r="C8" s="685"/>
      <c r="D8" s="690"/>
      <c r="E8" s="691"/>
      <c r="F8" s="567"/>
      <c r="G8" s="567"/>
      <c r="H8" s="567"/>
      <c r="I8" s="567"/>
      <c r="J8" s="567"/>
      <c r="K8" s="567"/>
      <c r="L8"/>
      <c r="M8"/>
      <c r="N8" s="464"/>
    </row>
    <row r="9" spans="1:14" ht="18">
      <c r="A9" s="183"/>
      <c r="B9" s="684" t="s">
        <v>1385</v>
      </c>
      <c r="C9" s="685"/>
      <c r="D9" s="692"/>
      <c r="E9" s="691"/>
      <c r="F9" s="567"/>
      <c r="G9" s="567"/>
      <c r="H9" s="567"/>
      <c r="I9" s="567"/>
      <c r="J9" s="567"/>
      <c r="K9" s="567"/>
      <c r="L9"/>
      <c r="M9"/>
      <c r="N9" s="464"/>
    </row>
    <row r="10" spans="1:14">
      <c r="A10" s="183"/>
      <c r="B10" s="693" t="s">
        <v>1386</v>
      </c>
      <c r="C10" s="694"/>
      <c r="D10" s="695"/>
      <c r="E10" s="691"/>
      <c r="F10" s="683">
        <f>SUM(F5:F9)</f>
        <v>1227620</v>
      </c>
      <c r="G10" s="683">
        <f>SUM(G5:G9)</f>
        <v>1369745.36810946</v>
      </c>
      <c r="H10" s="683">
        <f>SUM(H5:H9)</f>
        <v>2279906.5929689216</v>
      </c>
      <c r="I10" s="683">
        <f>SUM(I5:I9)</f>
        <v>3830210.960912711</v>
      </c>
      <c r="J10" s="683">
        <f t="shared" ref="J10:K10" si="0">SUM(J5:J9)</f>
        <v>5478793.1499480056</v>
      </c>
      <c r="K10" s="683">
        <f t="shared" si="0"/>
        <v>7439347.4693974797</v>
      </c>
      <c r="L10"/>
      <c r="M10"/>
      <c r="N10" s="464"/>
    </row>
    <row r="11" spans="1:14">
      <c r="A11" s="183"/>
      <c r="B11" s="696"/>
      <c r="C11" s="696"/>
      <c r="D11" s="697"/>
      <c r="E11" s="696"/>
      <c r="F11" s="698"/>
      <c r="G11" s="698"/>
      <c r="H11" s="698"/>
      <c r="I11" s="698"/>
      <c r="J11" s="698"/>
      <c r="K11" s="698"/>
      <c r="L11"/>
      <c r="M11"/>
      <c r="N11" s="464"/>
    </row>
    <row r="12" spans="1:14" ht="18">
      <c r="A12" s="183"/>
      <c r="B12" s="699" t="s">
        <v>1387</v>
      </c>
      <c r="C12" s="685"/>
      <c r="D12" s="692"/>
      <c r="E12" s="691"/>
      <c r="F12" s="700"/>
      <c r="G12" s="701">
        <f>DEBT!C14</f>
        <v>5175000</v>
      </c>
      <c r="H12" s="700">
        <f>G12</f>
        <v>5175000</v>
      </c>
      <c r="I12" s="700">
        <f t="shared" ref="I12:K12" si="1">H12</f>
        <v>5175000</v>
      </c>
      <c r="J12" s="700">
        <f t="shared" si="1"/>
        <v>5175000</v>
      </c>
      <c r="K12" s="700">
        <f t="shared" si="1"/>
        <v>5175000</v>
      </c>
      <c r="L12"/>
      <c r="M12"/>
      <c r="N12" s="464"/>
    </row>
    <row r="13" spans="1:14">
      <c r="A13" s="183"/>
      <c r="B13" s="696"/>
      <c r="C13" s="696"/>
      <c r="D13" s="697"/>
      <c r="E13" s="696"/>
      <c r="F13" s="698"/>
      <c r="G13" s="698"/>
      <c r="H13" s="698"/>
      <c r="I13" s="698"/>
      <c r="J13" s="698"/>
      <c r="K13" s="698"/>
      <c r="L13"/>
      <c r="M13"/>
      <c r="N13" s="464"/>
    </row>
    <row r="14" spans="1:14" ht="18">
      <c r="A14" s="183"/>
      <c r="B14" s="699" t="s">
        <v>1388</v>
      </c>
      <c r="C14" s="685"/>
      <c r="D14" s="692"/>
      <c r="E14" s="691"/>
      <c r="F14" s="702">
        <v>0</v>
      </c>
      <c r="G14" s="702">
        <v>0</v>
      </c>
      <c r="H14" s="702">
        <v>0</v>
      </c>
      <c r="I14" s="702">
        <v>0</v>
      </c>
      <c r="J14" s="702">
        <v>0</v>
      </c>
      <c r="K14" s="702">
        <v>0</v>
      </c>
      <c r="L14"/>
      <c r="M14"/>
      <c r="N14" s="464"/>
    </row>
    <row r="15" spans="1:14">
      <c r="A15" s="183"/>
      <c r="B15" s="696"/>
      <c r="C15" s="696"/>
      <c r="D15" s="697"/>
      <c r="E15" s="696"/>
      <c r="F15" s="698"/>
      <c r="G15" s="698"/>
      <c r="H15" s="698"/>
      <c r="I15" s="698"/>
      <c r="J15" s="698"/>
      <c r="K15" s="698"/>
      <c r="L15"/>
      <c r="M15"/>
      <c r="N15" s="464"/>
    </row>
    <row r="16" spans="1:14" ht="16" thickBot="1">
      <c r="A16" s="183"/>
      <c r="B16" s="693" t="s">
        <v>1389</v>
      </c>
      <c r="C16" s="703"/>
      <c r="D16" s="704"/>
      <c r="E16" s="689"/>
      <c r="F16" s="568">
        <f>F10+F12+F14</f>
        <v>1227620</v>
      </c>
      <c r="G16" s="568">
        <f>G10+G12+G14</f>
        <v>6544745.36810946</v>
      </c>
      <c r="H16" s="568">
        <f>H10+H12+H14</f>
        <v>7454906.5929689221</v>
      </c>
      <c r="I16" s="568">
        <f>I10+I12+I14</f>
        <v>9005210.9609127119</v>
      </c>
      <c r="J16" s="568">
        <f t="shared" ref="J16:K16" si="2">J10+J12+J14</f>
        <v>10653793.149948005</v>
      </c>
      <c r="K16" s="568">
        <f t="shared" si="2"/>
        <v>12614347.46939748</v>
      </c>
      <c r="L16"/>
      <c r="M16"/>
      <c r="N16" s="464"/>
    </row>
    <row r="17" spans="1:14" ht="16" thickTop="1">
      <c r="A17" s="183"/>
      <c r="B17" s="696"/>
      <c r="C17" s="696"/>
      <c r="D17" s="697"/>
      <c r="E17" s="696"/>
      <c r="F17" s="698"/>
      <c r="G17" s="698"/>
      <c r="H17" s="698"/>
      <c r="I17" s="698"/>
      <c r="J17" s="698"/>
      <c r="K17" s="698"/>
      <c r="L17"/>
      <c r="M17"/>
      <c r="N17" s="464"/>
    </row>
    <row r="18" spans="1:14" ht="16">
      <c r="A18" s="183"/>
      <c r="B18" s="676" t="s">
        <v>1390</v>
      </c>
      <c r="C18" s="676"/>
      <c r="D18" s="695"/>
      <c r="E18" s="691"/>
      <c r="F18" s="683"/>
      <c r="G18" s="683"/>
      <c r="H18" s="683"/>
      <c r="I18" s="683"/>
      <c r="J18" s="683"/>
      <c r="K18" s="683"/>
      <c r="L18"/>
      <c r="M18"/>
      <c r="N18" s="464"/>
    </row>
    <row r="19" spans="1:14">
      <c r="A19" s="183"/>
      <c r="B19" s="696"/>
      <c r="C19" s="696"/>
      <c r="D19" s="697"/>
      <c r="E19" s="696"/>
      <c r="F19" s="698"/>
      <c r="G19" s="698"/>
      <c r="H19" s="698"/>
      <c r="I19" s="698"/>
      <c r="J19" s="698"/>
      <c r="K19" s="698"/>
      <c r="L19"/>
      <c r="M19"/>
      <c r="N19" s="464"/>
    </row>
    <row r="20" spans="1:14">
      <c r="A20" s="183"/>
      <c r="B20" s="680" t="s">
        <v>1391</v>
      </c>
      <c r="C20" s="705"/>
      <c r="D20" s="695"/>
      <c r="E20" s="691"/>
      <c r="F20" s="683"/>
      <c r="G20" s="683"/>
      <c r="H20" s="683"/>
      <c r="I20" s="683"/>
      <c r="J20" s="683"/>
      <c r="K20" s="683"/>
      <c r="L20"/>
      <c r="M20"/>
      <c r="N20" s="464"/>
    </row>
    <row r="21" spans="1:14">
      <c r="A21" s="183"/>
      <c r="B21" s="684" t="s">
        <v>1392</v>
      </c>
      <c r="C21" s="685"/>
      <c r="D21" s="686"/>
      <c r="E21" s="687"/>
      <c r="F21" s="706"/>
      <c r="G21" s="706"/>
      <c r="H21" s="706"/>
      <c r="I21" s="706"/>
      <c r="J21" s="706"/>
      <c r="K21" s="706"/>
      <c r="L21"/>
      <c r="M21"/>
      <c r="N21" s="464"/>
    </row>
    <row r="22" spans="1:14">
      <c r="A22" s="183"/>
      <c r="B22" s="684" t="s">
        <v>1393</v>
      </c>
      <c r="C22" s="685"/>
      <c r="D22" s="690"/>
      <c r="E22" s="691"/>
      <c r="F22" s="707"/>
      <c r="G22" s="707"/>
      <c r="H22" s="707"/>
      <c r="I22" s="707"/>
      <c r="J22" s="707"/>
      <c r="K22" s="707"/>
      <c r="L22"/>
      <c r="M22"/>
      <c r="N22" s="464"/>
    </row>
    <row r="23" spans="1:14">
      <c r="A23" s="183"/>
      <c r="B23" s="684" t="s">
        <v>1394</v>
      </c>
      <c r="C23" s="685"/>
      <c r="D23" s="690"/>
      <c r="E23" s="691"/>
      <c r="F23" s="707"/>
      <c r="G23" s="707"/>
      <c r="H23" s="707"/>
      <c r="I23" s="707"/>
      <c r="J23" s="707"/>
      <c r="K23" s="707"/>
      <c r="L23"/>
      <c r="M23"/>
      <c r="N23" s="464"/>
    </row>
    <row r="24" spans="1:14">
      <c r="A24" s="183"/>
      <c r="B24" s="684" t="s">
        <v>1395</v>
      </c>
      <c r="C24" s="685"/>
      <c r="D24" s="690"/>
      <c r="E24" s="691"/>
      <c r="F24" s="707"/>
      <c r="G24" s="707"/>
      <c r="H24" s="707"/>
      <c r="I24" s="707"/>
      <c r="J24" s="707"/>
      <c r="K24" s="707"/>
      <c r="L24"/>
      <c r="M24"/>
      <c r="N24" s="464"/>
    </row>
    <row r="25" spans="1:14">
      <c r="A25" s="183"/>
      <c r="B25" s="684" t="s">
        <v>1396</v>
      </c>
      <c r="C25" s="685"/>
      <c r="D25" s="690"/>
      <c r="E25" s="691"/>
      <c r="F25" s="707"/>
      <c r="G25" s="707"/>
      <c r="H25" s="707"/>
      <c r="I25" s="707"/>
      <c r="J25" s="707"/>
      <c r="K25" s="707"/>
      <c r="L25"/>
      <c r="M25"/>
      <c r="N25" s="464"/>
    </row>
    <row r="26" spans="1:14" ht="18">
      <c r="A26" s="183"/>
      <c r="B26" s="684" t="s">
        <v>1397</v>
      </c>
      <c r="C26" s="696"/>
      <c r="D26" s="692"/>
      <c r="E26" s="691"/>
      <c r="F26" s="702"/>
      <c r="G26" s="702"/>
      <c r="H26" s="702"/>
      <c r="I26" s="702"/>
      <c r="J26" s="702"/>
      <c r="K26" s="702"/>
      <c r="L26"/>
      <c r="M26"/>
      <c r="N26" s="464"/>
    </row>
    <row r="27" spans="1:14">
      <c r="A27" s="183"/>
      <c r="B27" s="693" t="s">
        <v>1398</v>
      </c>
      <c r="C27" s="694"/>
      <c r="D27" s="695"/>
      <c r="E27" s="691"/>
      <c r="F27" s="683">
        <f>SUM(F21:F26)</f>
        <v>0</v>
      </c>
      <c r="G27" s="683">
        <f>SUM(G21:G26)</f>
        <v>0</v>
      </c>
      <c r="H27" s="683">
        <f>SUM(H21:H26)</f>
        <v>0</v>
      </c>
      <c r="I27" s="683">
        <f>SUM(I21:I26)</f>
        <v>0</v>
      </c>
      <c r="J27" s="683">
        <f t="shared" ref="J27:K27" si="3">SUM(J21:J26)</f>
        <v>0</v>
      </c>
      <c r="K27" s="683">
        <f t="shared" si="3"/>
        <v>0</v>
      </c>
      <c r="L27"/>
      <c r="M27"/>
      <c r="N27" s="464"/>
    </row>
    <row r="28" spans="1:14">
      <c r="A28" s="183"/>
      <c r="B28" s="696"/>
      <c r="C28" s="696"/>
      <c r="D28" s="697"/>
      <c r="E28" s="696"/>
      <c r="F28" s="698"/>
      <c r="G28" s="698"/>
      <c r="H28" s="698"/>
      <c r="I28" s="698"/>
      <c r="J28" s="698"/>
      <c r="K28" s="698"/>
      <c r="L28"/>
      <c r="M28"/>
      <c r="N28" s="464"/>
    </row>
    <row r="29" spans="1:14" ht="18">
      <c r="A29" s="183"/>
      <c r="B29" s="680" t="s">
        <v>1399</v>
      </c>
      <c r="C29" s="685"/>
      <c r="D29" s="692"/>
      <c r="E29" s="691"/>
      <c r="F29" s="707">
        <v>0</v>
      </c>
      <c r="G29" s="707">
        <v>0</v>
      </c>
      <c r="H29" s="707">
        <v>0</v>
      </c>
      <c r="I29" s="707">
        <v>0</v>
      </c>
      <c r="J29" s="707">
        <v>0</v>
      </c>
      <c r="K29" s="707">
        <v>0</v>
      </c>
      <c r="L29"/>
      <c r="M29"/>
      <c r="N29" s="464"/>
    </row>
    <row r="30" spans="1:14">
      <c r="A30" s="183"/>
      <c r="B30" s="696"/>
      <c r="C30" s="696"/>
      <c r="D30" s="697"/>
      <c r="E30" s="696"/>
      <c r="F30" s="698"/>
      <c r="G30" s="698"/>
      <c r="H30" s="698"/>
      <c r="I30" s="698"/>
      <c r="J30" s="698"/>
      <c r="K30" s="698"/>
      <c r="L30"/>
      <c r="M30"/>
      <c r="N30" s="464"/>
    </row>
    <row r="31" spans="1:14" ht="18">
      <c r="A31" s="183"/>
      <c r="B31" s="693" t="s">
        <v>1400</v>
      </c>
      <c r="C31" s="694"/>
      <c r="D31" s="708"/>
      <c r="E31" s="691"/>
      <c r="F31" s="709">
        <f>F27+F29</f>
        <v>0</v>
      </c>
      <c r="G31" s="709">
        <f>G27+G29</f>
        <v>0</v>
      </c>
      <c r="H31" s="709">
        <f>H27+H29</f>
        <v>0</v>
      </c>
      <c r="I31" s="709">
        <f>I27+I29</f>
        <v>0</v>
      </c>
      <c r="J31" s="709">
        <f t="shared" ref="J31:K31" si="4">J27+J29</f>
        <v>0</v>
      </c>
      <c r="K31" s="709">
        <f t="shared" si="4"/>
        <v>0</v>
      </c>
      <c r="L31"/>
      <c r="M31"/>
      <c r="N31" s="464"/>
    </row>
    <row r="32" spans="1:14">
      <c r="A32" s="183"/>
      <c r="B32" s="696"/>
      <c r="C32" s="696"/>
      <c r="D32" s="697"/>
      <c r="E32" s="696"/>
      <c r="F32" s="698"/>
      <c r="G32" s="698"/>
      <c r="H32" s="698"/>
      <c r="I32" s="698"/>
      <c r="J32" s="698"/>
      <c r="K32" s="698"/>
      <c r="L32"/>
      <c r="M32"/>
      <c r="N32" s="464"/>
    </row>
    <row r="33" spans="1:14">
      <c r="A33" s="183"/>
      <c r="B33" s="680" t="s">
        <v>1401</v>
      </c>
      <c r="C33" s="705"/>
      <c r="D33" s="695"/>
      <c r="E33" s="691"/>
      <c r="F33" s="683"/>
      <c r="G33" s="683"/>
      <c r="H33" s="683"/>
      <c r="I33" s="683"/>
      <c r="J33" s="683"/>
      <c r="K33" s="683"/>
      <c r="L33"/>
      <c r="M33"/>
      <c r="N33" s="464"/>
    </row>
    <row r="34" spans="1:14">
      <c r="A34" s="183"/>
      <c r="B34" s="684" t="s">
        <v>1402</v>
      </c>
      <c r="C34" s="705"/>
      <c r="D34" s="690"/>
      <c r="E34" s="691"/>
      <c r="F34" s="707">
        <v>0</v>
      </c>
      <c r="G34" s="707">
        <v>0</v>
      </c>
      <c r="H34" s="707">
        <v>0</v>
      </c>
      <c r="I34" s="707">
        <v>0</v>
      </c>
      <c r="J34" s="707">
        <v>0</v>
      </c>
      <c r="K34" s="707">
        <v>0</v>
      </c>
      <c r="L34"/>
      <c r="M34"/>
      <c r="N34" s="464"/>
    </row>
    <row r="35" spans="1:14" ht="18">
      <c r="A35" s="183"/>
      <c r="B35" s="684" t="s">
        <v>1403</v>
      </c>
      <c r="C35" s="705"/>
      <c r="D35" s="692"/>
      <c r="E35" s="691"/>
      <c r="F35" s="707">
        <v>0</v>
      </c>
      <c r="G35" s="707">
        <v>0</v>
      </c>
      <c r="H35" s="707">
        <v>0</v>
      </c>
      <c r="I35" s="707">
        <v>0</v>
      </c>
      <c r="J35" s="707">
        <v>0</v>
      </c>
      <c r="K35" s="707">
        <v>0</v>
      </c>
      <c r="L35"/>
      <c r="M35"/>
      <c r="N35" s="464"/>
    </row>
    <row r="36" spans="1:14" ht="18">
      <c r="A36" s="183"/>
      <c r="B36" s="693" t="s">
        <v>1404</v>
      </c>
      <c r="C36" s="694"/>
      <c r="D36" s="708"/>
      <c r="E36" s="691"/>
      <c r="F36" s="709">
        <f>SUM(F34:F35)</f>
        <v>0</v>
      </c>
      <c r="G36" s="709">
        <f>SUM(G34:G35)</f>
        <v>0</v>
      </c>
      <c r="H36" s="709">
        <f>SUM(H34:H35)</f>
        <v>0</v>
      </c>
      <c r="I36" s="709">
        <f>SUM(I34:I35)</f>
        <v>0</v>
      </c>
      <c r="J36" s="709">
        <f t="shared" ref="J36:K36" si="5">SUM(J34:J35)</f>
        <v>0</v>
      </c>
      <c r="K36" s="709">
        <f t="shared" si="5"/>
        <v>0</v>
      </c>
      <c r="L36"/>
      <c r="M36"/>
      <c r="N36" s="464"/>
    </row>
    <row r="37" spans="1:14">
      <c r="A37" s="183"/>
      <c r="B37" s="696"/>
      <c r="C37" s="696"/>
      <c r="D37" s="697"/>
      <c r="E37" s="696"/>
      <c r="F37" s="698"/>
      <c r="G37" s="698"/>
      <c r="H37" s="698"/>
      <c r="I37" s="698"/>
      <c r="J37" s="698"/>
      <c r="K37" s="698"/>
      <c r="L37"/>
      <c r="M37"/>
      <c r="N37" s="464"/>
    </row>
    <row r="38" spans="1:14">
      <c r="A38" s="305"/>
      <c r="B38" s="710" t="s">
        <v>1405</v>
      </c>
      <c r="C38" s="711"/>
      <c r="D38" s="712"/>
      <c r="E38" s="713"/>
      <c r="F38" s="714">
        <f>F31+F36</f>
        <v>0</v>
      </c>
      <c r="G38" s="714">
        <f>G31+G36</f>
        <v>0</v>
      </c>
      <c r="H38" s="714">
        <f>H31+H36</f>
        <v>0</v>
      </c>
      <c r="I38" s="714">
        <f>I31+I36</f>
        <v>0</v>
      </c>
      <c r="J38" s="714">
        <f t="shared" ref="J38:K38" si="6">J31+J36</f>
        <v>0</v>
      </c>
      <c r="K38" s="714">
        <f t="shared" si="6"/>
        <v>0</v>
      </c>
      <c r="L38" s="597"/>
      <c r="M38" s="597"/>
      <c r="N38" s="598"/>
    </row>
    <row r="39" spans="1:14">
      <c r="B39" s="562"/>
      <c r="C39" s="563"/>
      <c r="D39" s="564"/>
      <c r="E39" s="564"/>
      <c r="F39" s="569"/>
      <c r="G39" s="569"/>
      <c r="H39" s="569"/>
      <c r="I39" s="569"/>
    </row>
  </sheetData>
  <phoneticPr fontId="13"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5FE7-0717-44F2-90C5-FF8346452E86}">
  <sheetPr codeName="Sheet9">
    <tabColor theme="9"/>
  </sheetPr>
  <dimension ref="A1:AR71"/>
  <sheetViews>
    <sheetView showGridLines="0" topLeftCell="I2" zoomScaleNormal="100" workbookViewId="0">
      <selection activeCell="AB35" sqref="AB35"/>
    </sheetView>
  </sheetViews>
  <sheetFormatPr baseColWidth="10" defaultColWidth="8.6640625" defaultRowHeight="15"/>
  <cols>
    <col min="1" max="1" width="9.5" style="513" customWidth="1"/>
    <col min="2" max="2" width="44.5" style="543" customWidth="1"/>
    <col min="3" max="8" width="13.83203125" style="543" customWidth="1"/>
    <col min="9" max="27" width="6.6640625" style="513" customWidth="1"/>
    <col min="28" max="28" width="35.1640625" style="513" customWidth="1"/>
    <col min="29" max="34" width="10.6640625" style="513" customWidth="1"/>
    <col min="35" max="36" width="6.6640625" style="513" customWidth="1"/>
    <col min="37" max="37" width="35.1640625" style="513" customWidth="1"/>
    <col min="38" max="43" width="10.6640625" style="513" customWidth="1"/>
    <col min="44" max="145" width="9.5" style="513" customWidth="1"/>
    <col min="146" max="16384" width="8.6640625" style="513"/>
  </cols>
  <sheetData>
    <row r="1" spans="1:44" s="544" customFormat="1" ht="26">
      <c r="A1" s="45" t="s">
        <v>1325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86"/>
    </row>
    <row r="2" spans="1:44" s="544" customFormat="1" ht="15" customHeight="1" thickBot="1">
      <c r="A2" s="718"/>
      <c r="B2" s="715"/>
      <c r="C2" s="716"/>
      <c r="D2" s="717"/>
      <c r="E2" s="716"/>
      <c r="F2" s="716"/>
      <c r="G2" s="716"/>
      <c r="H2" s="716"/>
      <c r="I2" s="719"/>
      <c r="J2" s="719"/>
      <c r="K2" s="719"/>
      <c r="L2" s="719"/>
      <c r="M2" s="719"/>
      <c r="N2" s="719"/>
      <c r="O2" s="719"/>
      <c r="P2" s="719"/>
      <c r="Q2" s="719"/>
      <c r="R2" s="719"/>
      <c r="S2" s="719"/>
      <c r="T2" s="719"/>
      <c r="U2" s="719"/>
      <c r="V2" s="719"/>
      <c r="W2" s="719"/>
      <c r="X2" s="719"/>
      <c r="Y2" s="719"/>
      <c r="Z2" s="719"/>
      <c r="AA2" s="719"/>
      <c r="AB2" s="719"/>
      <c r="AC2" s="719"/>
      <c r="AD2" s="719"/>
      <c r="AE2" s="719"/>
      <c r="AF2" s="719"/>
      <c r="AG2" s="719"/>
      <c r="AH2" s="719"/>
      <c r="AI2" s="719"/>
      <c r="AJ2" s="719"/>
      <c r="AK2" s="719"/>
      <c r="AL2" s="719"/>
      <c r="AM2" s="719"/>
      <c r="AN2" s="719"/>
      <c r="AO2" s="719"/>
      <c r="AP2" s="719"/>
      <c r="AQ2" s="719"/>
      <c r="AR2" s="720"/>
    </row>
    <row r="3" spans="1:44" s="544" customFormat="1" ht="15" customHeight="1" thickBot="1">
      <c r="A3" s="718"/>
      <c r="B3" s="196"/>
      <c r="C3" s="197">
        <f>'P&amp;L'!D5</f>
        <v>2027</v>
      </c>
      <c r="D3" s="198">
        <f>'P&amp;L'!E5</f>
        <v>2028</v>
      </c>
      <c r="E3" s="198">
        <f>'P&amp;L'!F5</f>
        <v>2029</v>
      </c>
      <c r="F3" s="198">
        <f>'P&amp;L'!G5</f>
        <v>2030</v>
      </c>
      <c r="G3" s="198">
        <f>'P&amp;L'!H5</f>
        <v>2031</v>
      </c>
      <c r="H3" s="405">
        <f>'P&amp;L'!I5</f>
        <v>2032</v>
      </c>
      <c r="I3" s="719"/>
      <c r="J3" s="719"/>
      <c r="K3" s="719"/>
      <c r="L3" s="719"/>
      <c r="M3" s="719"/>
      <c r="N3" s="719"/>
      <c r="O3" s="719"/>
      <c r="P3" s="719"/>
      <c r="Q3" s="719"/>
      <c r="R3" s="719"/>
      <c r="S3" s="719"/>
      <c r="T3" s="719"/>
      <c r="U3" s="719"/>
      <c r="V3" s="719"/>
      <c r="W3" s="719"/>
      <c r="X3" s="719"/>
      <c r="Y3" s="719"/>
      <c r="Z3" s="719"/>
      <c r="AA3" s="719"/>
      <c r="AB3" s="719"/>
      <c r="AC3" s="719"/>
      <c r="AD3" s="719"/>
      <c r="AE3" s="719"/>
      <c r="AF3" s="719"/>
      <c r="AG3" s="719"/>
      <c r="AH3" s="719"/>
      <c r="AI3" s="719"/>
      <c r="AJ3" s="719"/>
      <c r="AK3" s="247" t="str">
        <f>'P&amp;L'!C309</f>
        <v>SUMMARY</v>
      </c>
      <c r="AL3" s="248">
        <f>'P&amp;L'!D309</f>
        <v>2027</v>
      </c>
      <c r="AM3" s="248">
        <f>'P&amp;L'!E309</f>
        <v>2028</v>
      </c>
      <c r="AN3" s="248">
        <f>'P&amp;L'!F309</f>
        <v>2029</v>
      </c>
      <c r="AO3" s="248">
        <f>'P&amp;L'!G309</f>
        <v>2030</v>
      </c>
      <c r="AP3" s="248">
        <f>'P&amp;L'!H309</f>
        <v>2031</v>
      </c>
      <c r="AQ3" s="249">
        <f>'P&amp;L'!I309</f>
        <v>2032</v>
      </c>
      <c r="AR3" s="720"/>
    </row>
    <row r="4" spans="1:44" s="544" customFormat="1" ht="15" customHeight="1">
      <c r="A4" s="718"/>
      <c r="B4" s="199" t="str">
        <f>'P&amp;L'!C6</f>
        <v>Enrollment &amp; Staffing</v>
      </c>
      <c r="C4" s="200"/>
      <c r="D4" s="200"/>
      <c r="E4" s="200"/>
      <c r="F4" s="200"/>
      <c r="G4" s="200"/>
      <c r="H4" s="201"/>
      <c r="I4" s="719"/>
      <c r="J4" s="719"/>
      <c r="K4" s="719"/>
      <c r="L4" s="719"/>
      <c r="M4" s="719"/>
      <c r="N4" s="719"/>
      <c r="O4" s="719"/>
      <c r="P4" s="719"/>
      <c r="Q4" s="719"/>
      <c r="R4" s="719"/>
      <c r="S4" s="719"/>
      <c r="T4" s="719"/>
      <c r="U4" s="719"/>
      <c r="V4" s="719"/>
      <c r="W4" s="719"/>
      <c r="X4" s="719"/>
      <c r="Y4" s="719"/>
      <c r="Z4" s="719"/>
      <c r="AA4" s="719"/>
      <c r="AB4" s="719"/>
      <c r="AC4" s="719"/>
      <c r="AD4" s="719"/>
      <c r="AE4" s="719"/>
      <c r="AF4" s="719"/>
      <c r="AG4" s="719"/>
      <c r="AH4" s="719"/>
      <c r="AI4" s="719"/>
      <c r="AJ4" s="719"/>
      <c r="AK4" s="250" t="str">
        <f>'P&amp;L'!C310</f>
        <v>Total Enrollment</v>
      </c>
      <c r="AL4" s="251">
        <f>'P&amp;L'!D310</f>
        <v>0</v>
      </c>
      <c r="AM4" s="251">
        <f>'P&amp;L'!E310</f>
        <v>240</v>
      </c>
      <c r="AN4" s="251">
        <f>'P&amp;L'!F310</f>
        <v>480</v>
      </c>
      <c r="AO4" s="251">
        <f>'P&amp;L'!G310</f>
        <v>690</v>
      </c>
      <c r="AP4" s="251">
        <f>'P&amp;L'!H310</f>
        <v>780</v>
      </c>
      <c r="AQ4" s="252">
        <f>'P&amp;L'!I310</f>
        <v>780</v>
      </c>
      <c r="AR4" s="720"/>
    </row>
    <row r="5" spans="1:44" s="544" customFormat="1" ht="15" customHeight="1">
      <c r="A5" s="718"/>
      <c r="B5" s="202" t="str">
        <f>'P&amp;L'!C7</f>
        <v>Enrollment</v>
      </c>
      <c r="C5" s="203">
        <f>'P&amp;L'!D7</f>
        <v>0</v>
      </c>
      <c r="D5" s="203">
        <f>'P&amp;L'!E7</f>
        <v>240</v>
      </c>
      <c r="E5" s="203">
        <f>'P&amp;L'!F7</f>
        <v>480</v>
      </c>
      <c r="F5" s="203">
        <f>'P&amp;L'!G7</f>
        <v>690</v>
      </c>
      <c r="G5" s="203">
        <f>'P&amp;L'!H7</f>
        <v>780</v>
      </c>
      <c r="H5" s="203">
        <f>'P&amp;L'!I7</f>
        <v>780</v>
      </c>
      <c r="I5" s="719"/>
      <c r="J5" s="719"/>
      <c r="K5" s="719"/>
      <c r="L5" s="719"/>
      <c r="M5" s="719"/>
      <c r="N5" s="719"/>
      <c r="O5" s="719"/>
      <c r="P5" s="719"/>
      <c r="Q5" s="719"/>
      <c r="R5" s="719"/>
      <c r="S5" s="719"/>
      <c r="T5" s="719"/>
      <c r="U5" s="719"/>
      <c r="V5" s="719"/>
      <c r="W5" s="719"/>
      <c r="X5" s="719"/>
      <c r="Y5" s="719"/>
      <c r="Z5" s="719"/>
      <c r="AA5" s="719"/>
      <c r="AB5" s="719"/>
      <c r="AC5" s="719"/>
      <c r="AD5" s="719"/>
      <c r="AE5" s="719"/>
      <c r="AF5" s="719"/>
      <c r="AG5" s="719"/>
      <c r="AH5" s="719"/>
      <c r="AI5" s="719"/>
      <c r="AJ5" s="719"/>
      <c r="AK5" s="253" t="str">
        <f>'P&amp;L'!C311</f>
        <v>Total Full-Time Employees</v>
      </c>
      <c r="AL5" s="254">
        <f>'P&amp;L'!D311</f>
        <v>1</v>
      </c>
      <c r="AM5" s="254">
        <f>'P&amp;L'!E311</f>
        <v>27.25</v>
      </c>
      <c r="AN5" s="254">
        <f>'P&amp;L'!F311</f>
        <v>49.25</v>
      </c>
      <c r="AO5" s="254">
        <f>'P&amp;L'!G311</f>
        <v>71.25</v>
      </c>
      <c r="AP5" s="254">
        <f>'P&amp;L'!H311</f>
        <v>83.25</v>
      </c>
      <c r="AQ5" s="255">
        <f>'P&amp;L'!I311</f>
        <v>83.25</v>
      </c>
      <c r="AR5" s="720"/>
    </row>
    <row r="6" spans="1:44" s="544" customFormat="1" ht="15" customHeight="1">
      <c r="A6" s="718"/>
      <c r="B6" s="204" t="str">
        <f>'P&amp;L'!C8</f>
        <v>Full-Time Employment (FTE) Count</v>
      </c>
      <c r="C6" s="205">
        <f>'P&amp;L'!D8</f>
        <v>1</v>
      </c>
      <c r="D6" s="205">
        <f>'P&amp;L'!E8</f>
        <v>27.25</v>
      </c>
      <c r="E6" s="205">
        <f>'P&amp;L'!F8</f>
        <v>49.25</v>
      </c>
      <c r="F6" s="205">
        <f>'P&amp;L'!G8</f>
        <v>71.25</v>
      </c>
      <c r="G6" s="205">
        <f>'P&amp;L'!H8</f>
        <v>83.25</v>
      </c>
      <c r="H6" s="205">
        <f>'P&amp;L'!I8</f>
        <v>83.25</v>
      </c>
      <c r="I6" s="719"/>
      <c r="J6" s="719"/>
      <c r="K6" s="719"/>
      <c r="L6" s="719"/>
      <c r="M6" s="719"/>
      <c r="N6" s="719"/>
      <c r="O6" s="719"/>
      <c r="P6" s="719"/>
      <c r="Q6" s="719"/>
      <c r="R6" s="719"/>
      <c r="S6" s="719"/>
      <c r="T6" s="719"/>
      <c r="U6" s="719"/>
      <c r="V6" s="719"/>
      <c r="W6" s="719"/>
      <c r="X6" s="719"/>
      <c r="Y6" s="719"/>
      <c r="Z6" s="719"/>
      <c r="AA6" s="719"/>
      <c r="AB6" s="719"/>
      <c r="AC6" s="719"/>
      <c r="AD6" s="719"/>
      <c r="AE6" s="719"/>
      <c r="AF6" s="719"/>
      <c r="AG6" s="719"/>
      <c r="AH6" s="719"/>
      <c r="AI6" s="719"/>
      <c r="AJ6" s="719"/>
      <c r="AK6" s="253" t="str">
        <f>'P&amp;L'!C312</f>
        <v>Enrollment: Total Staff Ratio</v>
      </c>
      <c r="AL6" s="256">
        <f>'P&amp;L'!D312</f>
        <v>0</v>
      </c>
      <c r="AM6" s="256">
        <f>'P&amp;L'!E312</f>
        <v>8.8073394495412849</v>
      </c>
      <c r="AN6" s="256">
        <f>'P&amp;L'!F312</f>
        <v>9.746192893401016</v>
      </c>
      <c r="AO6" s="256">
        <f>'P&amp;L'!G312</f>
        <v>9.6842105263157894</v>
      </c>
      <c r="AP6" s="256">
        <f>'P&amp;L'!H312</f>
        <v>9.3693693693693696</v>
      </c>
      <c r="AQ6" s="257">
        <f>'P&amp;L'!I312</f>
        <v>9.3693693693693696</v>
      </c>
      <c r="AR6" s="720"/>
    </row>
    <row r="7" spans="1:44" s="544" customFormat="1" ht="15" customHeight="1" thickBot="1">
      <c r="A7" s="718"/>
      <c r="B7" s="202" t="str">
        <f>'P&amp;L'!C9</f>
        <v>Students / FTE</v>
      </c>
      <c r="C7" s="206">
        <f>'P&amp;L'!D9</f>
        <v>0</v>
      </c>
      <c r="D7" s="206">
        <f>'P&amp;L'!E9</f>
        <v>8.8073394495412849</v>
      </c>
      <c r="E7" s="206">
        <f>'P&amp;L'!F9</f>
        <v>9.746192893401016</v>
      </c>
      <c r="F7" s="206">
        <f>'P&amp;L'!G9</f>
        <v>9.6842105263157894</v>
      </c>
      <c r="G7" s="206">
        <f>'P&amp;L'!H9</f>
        <v>9.3693693693693696</v>
      </c>
      <c r="H7" s="206">
        <f>'P&amp;L'!I9</f>
        <v>9.3693693693693696</v>
      </c>
      <c r="I7" s="719"/>
      <c r="J7" s="719"/>
      <c r="K7" s="719"/>
      <c r="L7" s="719"/>
      <c r="M7" s="719"/>
      <c r="N7" s="719"/>
      <c r="O7" s="719"/>
      <c r="P7" s="719"/>
      <c r="Q7" s="719"/>
      <c r="R7" s="719"/>
      <c r="S7" s="719"/>
      <c r="T7" s="719"/>
      <c r="U7" s="719"/>
      <c r="V7" s="719"/>
      <c r="W7" s="719"/>
      <c r="X7" s="719"/>
      <c r="Y7" s="719"/>
      <c r="Z7" s="719"/>
      <c r="AA7" s="719"/>
      <c r="AB7" s="719"/>
      <c r="AC7" s="719"/>
      <c r="AD7" s="719"/>
      <c r="AE7" s="719"/>
      <c r="AF7" s="719"/>
      <c r="AG7" s="719"/>
      <c r="AH7" s="719"/>
      <c r="AI7" s="719"/>
      <c r="AJ7" s="719"/>
      <c r="AK7" s="258" t="str">
        <f>'P&amp;L'!C313</f>
        <v>Student: Teacher Ratio</v>
      </c>
      <c r="AL7" s="259">
        <f>'P&amp;L'!D313</f>
        <v>0</v>
      </c>
      <c r="AM7" s="259">
        <f>'P&amp;L'!E313</f>
        <v>18.46153846153846</v>
      </c>
      <c r="AN7" s="259">
        <f>'P&amp;L'!F313</f>
        <v>17.142857142857142</v>
      </c>
      <c r="AO7" s="259">
        <f>'P&amp;L'!G313</f>
        <v>17.692307692307693</v>
      </c>
      <c r="AP7" s="259">
        <f>'P&amp;L'!H313</f>
        <v>16.956521739130434</v>
      </c>
      <c r="AQ7" s="260">
        <f>'P&amp;L'!I313</f>
        <v>16.956521739130434</v>
      </c>
      <c r="AR7" s="720"/>
    </row>
    <row r="8" spans="1:44" s="544" customFormat="1" ht="15" customHeight="1" thickBot="1">
      <c r="A8" s="718"/>
      <c r="B8" s="199" t="str">
        <f>'P&amp;L'!C10</f>
        <v>Bottomline Metrics</v>
      </c>
      <c r="C8" s="200"/>
      <c r="D8" s="200"/>
      <c r="E8" s="200"/>
      <c r="F8" s="200"/>
      <c r="G8" s="200"/>
      <c r="H8" s="201"/>
      <c r="I8" s="719"/>
      <c r="J8" s="719"/>
      <c r="K8" s="719"/>
      <c r="L8" s="719"/>
      <c r="M8" s="719"/>
      <c r="N8" s="719"/>
      <c r="O8" s="719"/>
      <c r="P8" s="719"/>
      <c r="Q8" s="719"/>
      <c r="R8" s="719"/>
      <c r="S8" s="719"/>
      <c r="T8" s="719"/>
      <c r="U8" s="719"/>
      <c r="V8" s="719"/>
      <c r="W8" s="719"/>
      <c r="X8" s="719"/>
      <c r="Y8" s="719"/>
      <c r="Z8" s="719"/>
      <c r="AA8" s="719"/>
      <c r="AB8" s="719"/>
      <c r="AC8" s="719"/>
      <c r="AD8" s="719"/>
      <c r="AE8" s="719"/>
      <c r="AF8" s="719"/>
      <c r="AG8" s="719"/>
      <c r="AH8" s="719"/>
      <c r="AI8" s="719"/>
      <c r="AJ8" s="719"/>
      <c r="AK8" s="261"/>
      <c r="AL8" s="721"/>
      <c r="AM8" s="721"/>
      <c r="AN8" s="721"/>
      <c r="AO8" s="721"/>
      <c r="AP8" s="721"/>
      <c r="AQ8" s="262"/>
      <c r="AR8" s="720"/>
    </row>
    <row r="9" spans="1:44" s="544" customFormat="1" ht="15" customHeight="1">
      <c r="A9" s="718"/>
      <c r="B9" s="207" t="str">
        <f>'P&amp;L'!C11</f>
        <v>Operating Margin</v>
      </c>
      <c r="C9" s="208">
        <f>'P&amp;L'!D11</f>
        <v>0</v>
      </c>
      <c r="D9" s="208">
        <f>'P&amp;L'!E11</f>
        <v>0</v>
      </c>
      <c r="E9" s="208">
        <f>'P&amp;L'!F11</f>
        <v>0</v>
      </c>
      <c r="F9" s="208">
        <f>'P&amp;L'!G11</f>
        <v>0</v>
      </c>
      <c r="G9" s="208">
        <f>'P&amp;L'!H11</f>
        <v>0</v>
      </c>
      <c r="H9" s="208">
        <f>'P&amp;L'!I11</f>
        <v>0</v>
      </c>
      <c r="I9" s="719"/>
      <c r="J9" s="719"/>
      <c r="K9" s="719"/>
      <c r="L9" s="719"/>
      <c r="M9" s="719"/>
      <c r="N9" s="719"/>
      <c r="O9" s="719"/>
      <c r="P9" s="719"/>
      <c r="Q9" s="719"/>
      <c r="R9" s="719"/>
      <c r="S9" s="719"/>
      <c r="T9" s="719"/>
      <c r="U9" s="719"/>
      <c r="V9" s="719"/>
      <c r="W9" s="719"/>
      <c r="X9" s="719"/>
      <c r="Y9" s="719"/>
      <c r="Z9" s="719"/>
      <c r="AA9" s="719"/>
      <c r="AB9" s="719"/>
      <c r="AC9" s="719"/>
      <c r="AD9" s="719"/>
      <c r="AE9" s="719"/>
      <c r="AF9" s="719"/>
      <c r="AG9" s="719"/>
      <c r="AH9" s="719"/>
      <c r="AI9" s="719"/>
      <c r="AJ9" s="719"/>
      <c r="AK9" s="263" t="str">
        <f>'P&amp;L'!C315</f>
        <v>REVENUE</v>
      </c>
      <c r="AL9" s="264"/>
      <c r="AM9" s="264"/>
      <c r="AN9" s="264"/>
      <c r="AO9" s="264"/>
      <c r="AP9" s="264"/>
      <c r="AQ9" s="265"/>
      <c r="AR9" s="720"/>
    </row>
    <row r="10" spans="1:44" s="544" customFormat="1" ht="15" customHeight="1">
      <c r="A10" s="718"/>
      <c r="B10" s="209" t="str">
        <f>'P&amp;L'!C12</f>
        <v>Surplus/Deficit on Total Revenue</v>
      </c>
      <c r="C10" s="210">
        <f>'P&amp;L'!D12</f>
        <v>-22380</v>
      </c>
      <c r="D10" s="210">
        <f>'P&amp;L'!E12</f>
        <v>45975.524742577225</v>
      </c>
      <c r="E10" s="210">
        <f>'P&amp;L'!F12</f>
        <v>817917.60040949658</v>
      </c>
      <c r="F10" s="210">
        <f>'P&amp;L'!G12</f>
        <v>1462166.8119840734</v>
      </c>
      <c r="G10" s="210">
        <f>'P&amp;L'!H12</f>
        <v>1564760.7758226208</v>
      </c>
      <c r="H10" s="210">
        <f>'P&amp;L'!I12</f>
        <v>1881269.8710383102</v>
      </c>
      <c r="I10" s="719"/>
      <c r="J10" s="719"/>
      <c r="K10" s="719"/>
      <c r="L10" s="719"/>
      <c r="M10" s="719"/>
      <c r="N10" s="719"/>
      <c r="O10" s="719"/>
      <c r="P10" s="719"/>
      <c r="Q10" s="719"/>
      <c r="R10" s="719"/>
      <c r="S10" s="719"/>
      <c r="T10" s="719"/>
      <c r="U10" s="719"/>
      <c r="V10" s="719"/>
      <c r="W10" s="719"/>
      <c r="X10" s="719"/>
      <c r="Y10" s="719"/>
      <c r="Z10" s="719"/>
      <c r="AA10" s="719"/>
      <c r="AB10" s="719"/>
      <c r="AC10" s="719"/>
      <c r="AD10" s="719"/>
      <c r="AE10" s="719"/>
      <c r="AF10" s="719"/>
      <c r="AG10" s="719"/>
      <c r="AH10" s="719"/>
      <c r="AI10" s="719"/>
      <c r="AJ10" s="719"/>
      <c r="AK10" s="266" t="str">
        <f>'P&amp;L'!C316</f>
        <v>State &amp; Local</v>
      </c>
      <c r="AL10" s="267">
        <f>'P&amp;L'!D316</f>
        <v>6000</v>
      </c>
      <c r="AM10" s="267">
        <f>'P&amp;L'!E316</f>
        <v>3959569.2599999988</v>
      </c>
      <c r="AN10" s="267">
        <f>'P&amp;L'!F316</f>
        <v>8110813.2329999991</v>
      </c>
      <c r="AO10" s="267">
        <f>'P&amp;L'!G316</f>
        <v>11947949.535107808</v>
      </c>
      <c r="AP10" s="267">
        <f>'P&amp;L'!H316</f>
        <v>13843173.325156165</v>
      </c>
      <c r="AQ10" s="268">
        <f>'P&amp;L'!I316</f>
        <v>14189252.658285072</v>
      </c>
      <c r="AR10" s="720"/>
    </row>
    <row r="11" spans="1:44" s="544" customFormat="1" ht="15" customHeight="1">
      <c r="A11" s="718"/>
      <c r="B11" s="207" t="str">
        <f>'P&amp;L'!C13</f>
        <v>Surplus/Deficit on Recurring Revenue</v>
      </c>
      <c r="C11" s="211">
        <f>'P&amp;L'!D13</f>
        <v>0</v>
      </c>
      <c r="D11" s="211">
        <f>'P&amp;L'!E13</f>
        <v>0</v>
      </c>
      <c r="E11" s="211">
        <f>'P&amp;L'!F13</f>
        <v>0</v>
      </c>
      <c r="F11" s="211">
        <f>'P&amp;L'!G13</f>
        <v>0</v>
      </c>
      <c r="G11" s="211">
        <f>'P&amp;L'!H13</f>
        <v>0</v>
      </c>
      <c r="H11" s="211">
        <f>'P&amp;L'!I13</f>
        <v>0</v>
      </c>
      <c r="I11" s="719"/>
      <c r="J11" s="719"/>
      <c r="K11" s="719"/>
      <c r="L11" s="719"/>
      <c r="M11" s="719"/>
      <c r="N11" s="719"/>
      <c r="O11" s="719"/>
      <c r="P11" s="719"/>
      <c r="Q11" s="719"/>
      <c r="R11" s="719"/>
      <c r="S11" s="719"/>
      <c r="T11" s="719"/>
      <c r="U11" s="719"/>
      <c r="V11" s="719"/>
      <c r="W11" s="719"/>
      <c r="X11" s="719"/>
      <c r="Y11" s="719"/>
      <c r="Z11" s="719"/>
      <c r="AA11" s="719"/>
      <c r="AB11" s="719"/>
      <c r="AC11" s="719"/>
      <c r="AD11" s="719"/>
      <c r="AE11" s="719"/>
      <c r="AF11" s="719"/>
      <c r="AG11" s="719"/>
      <c r="AH11" s="719"/>
      <c r="AI11" s="719"/>
      <c r="AJ11" s="719"/>
      <c r="AK11" s="266" t="str">
        <f>'P&amp;L'!C317</f>
        <v>Federal</v>
      </c>
      <c r="AL11" s="267">
        <f>'P&amp;L'!D317</f>
        <v>0</v>
      </c>
      <c r="AM11" s="267">
        <f>'P&amp;L'!E317</f>
        <v>830304.6</v>
      </c>
      <c r="AN11" s="267">
        <f>'P&amp;L'!F317</f>
        <v>1121093.5229999998</v>
      </c>
      <c r="AO11" s="267">
        <f>'P&amp;L'!G317</f>
        <v>1384405.8458662499</v>
      </c>
      <c r="AP11" s="267">
        <f>'P&amp;L'!H317</f>
        <v>1508863.5837634872</v>
      </c>
      <c r="AQ11" s="268">
        <f>'P&amp;L'!I317</f>
        <v>1525241.5375199392</v>
      </c>
      <c r="AR11" s="720"/>
    </row>
    <row r="12" spans="1:44" s="544" customFormat="1" ht="15" customHeight="1">
      <c r="A12" s="718"/>
      <c r="B12" s="209" t="str">
        <f>'P&amp;L'!C14</f>
        <v>Surplus/Deficit per Pupil on Total Revenue</v>
      </c>
      <c r="C12" s="210">
        <f>'P&amp;L'!D14</f>
        <v>0</v>
      </c>
      <c r="D12" s="210">
        <f>'P&amp;L'!E14</f>
        <v>191.56468642740509</v>
      </c>
      <c r="E12" s="210">
        <f>'P&amp;L'!F14</f>
        <v>1703.995000853118</v>
      </c>
      <c r="F12" s="210">
        <f>'P&amp;L'!G14</f>
        <v>2119.0823362088022</v>
      </c>
      <c r="G12" s="210">
        <f>'P&amp;L'!H14</f>
        <v>2006.1035587469498</v>
      </c>
      <c r="H12" s="210">
        <f>'P&amp;L'!I14</f>
        <v>2411.8844500491155</v>
      </c>
      <c r="I12" s="719"/>
      <c r="J12" s="719"/>
      <c r="K12" s="719"/>
      <c r="L12" s="719"/>
      <c r="M12" s="719"/>
      <c r="N12" s="719"/>
      <c r="O12" s="719"/>
      <c r="P12" s="719"/>
      <c r="Q12" s="719"/>
      <c r="R12" s="719"/>
      <c r="S12" s="719"/>
      <c r="T12" s="719"/>
      <c r="U12" s="719"/>
      <c r="V12" s="719"/>
      <c r="W12" s="719"/>
      <c r="X12" s="719"/>
      <c r="Y12" s="719"/>
      <c r="Z12" s="719"/>
      <c r="AA12" s="719"/>
      <c r="AB12" s="719"/>
      <c r="AC12" s="719"/>
      <c r="AD12" s="719"/>
      <c r="AE12" s="719"/>
      <c r="AF12" s="719"/>
      <c r="AG12" s="719"/>
      <c r="AH12" s="719"/>
      <c r="AI12" s="719"/>
      <c r="AJ12" s="719"/>
      <c r="AK12" s="266" t="str">
        <f>'P&amp;L'!C318</f>
        <v>Private</v>
      </c>
      <c r="AL12" s="267">
        <f>'P&amp;L'!D318</f>
        <v>250000</v>
      </c>
      <c r="AM12" s="267">
        <f>'P&amp;L'!E318</f>
        <v>300000</v>
      </c>
      <c r="AN12" s="267">
        <f>'P&amp;L'!F318</f>
        <v>300000</v>
      </c>
      <c r="AO12" s="267">
        <f>'P&amp;L'!G318</f>
        <v>300000</v>
      </c>
      <c r="AP12" s="267">
        <f>'P&amp;L'!H318</f>
        <v>300000</v>
      </c>
      <c r="AQ12" s="268">
        <f>'P&amp;L'!I318</f>
        <v>300000</v>
      </c>
      <c r="AR12" s="720"/>
    </row>
    <row r="13" spans="1:44" s="544" customFormat="1" ht="15" customHeight="1" thickBot="1">
      <c r="A13" s="718"/>
      <c r="B13" s="199" t="str">
        <f>'P&amp;L'!C15</f>
        <v>Revenue Metrics</v>
      </c>
      <c r="C13" s="200"/>
      <c r="D13" s="200"/>
      <c r="E13" s="200"/>
      <c r="F13" s="200"/>
      <c r="G13" s="200"/>
      <c r="H13" s="201"/>
      <c r="I13" s="719"/>
      <c r="J13" s="719"/>
      <c r="K13" s="719"/>
      <c r="L13" s="719"/>
      <c r="M13" s="719"/>
      <c r="N13" s="719"/>
      <c r="O13" s="719"/>
      <c r="P13" s="719"/>
      <c r="Q13" s="719"/>
      <c r="R13" s="719"/>
      <c r="S13" s="719"/>
      <c r="T13" s="719"/>
      <c r="U13" s="719"/>
      <c r="V13" s="719"/>
      <c r="W13" s="719"/>
      <c r="X13" s="719"/>
      <c r="Y13" s="719"/>
      <c r="Z13" s="719"/>
      <c r="AA13" s="719"/>
      <c r="AB13" s="719"/>
      <c r="AC13" s="719"/>
      <c r="AD13" s="719"/>
      <c r="AE13" s="719"/>
      <c r="AF13" s="719"/>
      <c r="AG13" s="719"/>
      <c r="AH13" s="719"/>
      <c r="AI13" s="719"/>
      <c r="AJ13" s="719"/>
      <c r="AK13" s="266" t="str">
        <f>'P&amp;L'!C319</f>
        <v>Other / Mixed</v>
      </c>
      <c r="AL13" s="267">
        <f>'P&amp;L'!D319</f>
        <v>0</v>
      </c>
      <c r="AM13" s="267">
        <f>'P&amp;L'!E319</f>
        <v>0</v>
      </c>
      <c r="AN13" s="267">
        <f>'P&amp;L'!F319</f>
        <v>0</v>
      </c>
      <c r="AO13" s="267">
        <f>'P&amp;L'!G319</f>
        <v>0</v>
      </c>
      <c r="AP13" s="267">
        <f>'P&amp;L'!H319</f>
        <v>0</v>
      </c>
      <c r="AQ13" s="268">
        <f>'P&amp;L'!I319</f>
        <v>0</v>
      </c>
      <c r="AR13" s="720"/>
    </row>
    <row r="14" spans="1:44" s="544" customFormat="1" ht="15" customHeight="1" thickBot="1">
      <c r="A14" s="718"/>
      <c r="B14" s="212" t="str">
        <f>'P&amp;L'!C16</f>
        <v>Total Revenue</v>
      </c>
      <c r="C14" s="213">
        <f>'P&amp;L'!D16</f>
        <v>256000</v>
      </c>
      <c r="D14" s="213">
        <f>'P&amp;L'!E16</f>
        <v>5089873.8599999994</v>
      </c>
      <c r="E14" s="213">
        <f>'P&amp;L'!F16</f>
        <v>9531906.7559999991</v>
      </c>
      <c r="F14" s="213">
        <f>'P&amp;L'!G16</f>
        <v>13632355.380974062</v>
      </c>
      <c r="G14" s="213">
        <f>'P&amp;L'!H16</f>
        <v>15652036.908919655</v>
      </c>
      <c r="H14" s="213">
        <f>'P&amp;L'!I16</f>
        <v>16014494.195805011</v>
      </c>
      <c r="I14" s="719"/>
      <c r="J14" s="719"/>
      <c r="K14" s="719"/>
      <c r="L14" s="719"/>
      <c r="M14" s="719"/>
      <c r="N14" s="719"/>
      <c r="O14" s="719"/>
      <c r="P14" s="719"/>
      <c r="Q14" s="719"/>
      <c r="R14" s="719"/>
      <c r="S14" s="719"/>
      <c r="T14" s="719"/>
      <c r="U14" s="719"/>
      <c r="V14" s="719"/>
      <c r="W14" s="719"/>
      <c r="X14" s="719"/>
      <c r="Y14" s="719"/>
      <c r="Z14" s="719"/>
      <c r="AA14" s="719"/>
      <c r="AB14" s="719"/>
      <c r="AC14" s="719"/>
      <c r="AD14" s="719"/>
      <c r="AE14" s="719"/>
      <c r="AF14" s="719"/>
      <c r="AG14" s="719"/>
      <c r="AH14" s="719"/>
      <c r="AI14" s="719"/>
      <c r="AJ14" s="719"/>
      <c r="AK14" s="269" t="str">
        <f>'P&amp;L'!C320</f>
        <v>TOTAL REVENUE</v>
      </c>
      <c r="AL14" s="270">
        <f>'P&amp;L'!D320</f>
        <v>256000</v>
      </c>
      <c r="AM14" s="270">
        <f>'P&amp;L'!E320</f>
        <v>5089873.8599999985</v>
      </c>
      <c r="AN14" s="270">
        <f>'P&amp;L'!F320</f>
        <v>9531906.7559999991</v>
      </c>
      <c r="AO14" s="270">
        <f>'P&amp;L'!G320</f>
        <v>13632355.380974058</v>
      </c>
      <c r="AP14" s="270">
        <f>'P&amp;L'!H320</f>
        <v>15652036.908919653</v>
      </c>
      <c r="AQ14" s="271">
        <f>'P&amp;L'!I320</f>
        <v>16014494.195805011</v>
      </c>
      <c r="AR14" s="720"/>
    </row>
    <row r="15" spans="1:44" s="544" customFormat="1" ht="15" customHeight="1">
      <c r="A15" s="718"/>
      <c r="B15" s="202" t="str">
        <f>'P&amp;L'!C17</f>
        <v>Total Operating Revenue</v>
      </c>
      <c r="C15" s="214">
        <f>'P&amp;L'!D17</f>
        <v>6000</v>
      </c>
      <c r="D15" s="214">
        <f>'P&amp;L'!E17</f>
        <v>4789873.8599999994</v>
      </c>
      <c r="E15" s="214">
        <f>'P&amp;L'!F17</f>
        <v>9231906.7559999991</v>
      </c>
      <c r="F15" s="214">
        <f>'P&amp;L'!G17</f>
        <v>13332355.380974058</v>
      </c>
      <c r="G15" s="214">
        <f>'P&amp;L'!H17</f>
        <v>15352036.908919655</v>
      </c>
      <c r="H15" s="214">
        <f>'P&amp;L'!I17</f>
        <v>15714494.195805013</v>
      </c>
      <c r="I15" s="719"/>
      <c r="J15" s="719"/>
      <c r="K15" s="719"/>
      <c r="L15" s="719"/>
      <c r="M15" s="719"/>
      <c r="N15" s="719"/>
      <c r="O15" s="719"/>
      <c r="P15" s="719"/>
      <c r="Q15" s="719"/>
      <c r="R15" s="719"/>
      <c r="S15" s="719"/>
      <c r="T15" s="719"/>
      <c r="U15" s="719"/>
      <c r="V15" s="719"/>
      <c r="W15" s="719"/>
      <c r="X15" s="719"/>
      <c r="Y15" s="719"/>
      <c r="Z15" s="719"/>
      <c r="AA15" s="719"/>
      <c r="AB15" s="719"/>
      <c r="AC15" s="719"/>
      <c r="AD15" s="719"/>
      <c r="AE15" s="719"/>
      <c r="AF15" s="719"/>
      <c r="AG15" s="719"/>
      <c r="AH15" s="719"/>
      <c r="AI15" s="719"/>
      <c r="AJ15" s="719"/>
      <c r="AK15" s="272" t="str">
        <f>'P&amp;L'!C321</f>
        <v>EXPENDITURES</v>
      </c>
      <c r="AL15" s="264"/>
      <c r="AM15" s="264"/>
      <c r="AN15" s="264"/>
      <c r="AO15" s="264"/>
      <c r="AP15" s="264"/>
      <c r="AQ15" s="265"/>
      <c r="AR15" s="720"/>
    </row>
    <row r="16" spans="1:44" s="544" customFormat="1" ht="15" customHeight="1">
      <c r="A16" s="718"/>
      <c r="B16" s="204" t="str">
        <f>'P&amp;L'!C18</f>
        <v>Total Non-Operating Revenue</v>
      </c>
      <c r="C16" s="215">
        <f>'P&amp;L'!D18</f>
        <v>250000</v>
      </c>
      <c r="D16" s="215">
        <f>'P&amp;L'!E18</f>
        <v>300000</v>
      </c>
      <c r="E16" s="215">
        <f>'P&amp;L'!F18</f>
        <v>300000</v>
      </c>
      <c r="F16" s="215">
        <f>'P&amp;L'!G18</f>
        <v>300000</v>
      </c>
      <c r="G16" s="215">
        <f>'P&amp;L'!H18</f>
        <v>300000</v>
      </c>
      <c r="H16" s="215">
        <f>'P&amp;L'!I18</f>
        <v>300000</v>
      </c>
      <c r="I16" s="719"/>
      <c r="J16" s="719"/>
      <c r="K16" s="719"/>
      <c r="L16" s="719"/>
      <c r="M16" s="719"/>
      <c r="N16" s="719"/>
      <c r="O16" s="719"/>
      <c r="P16" s="719"/>
      <c r="Q16" s="719"/>
      <c r="R16" s="719"/>
      <c r="S16" s="719"/>
      <c r="T16" s="719"/>
      <c r="U16" s="719"/>
      <c r="V16" s="719"/>
      <c r="W16" s="719"/>
      <c r="X16" s="719"/>
      <c r="Y16" s="719"/>
      <c r="Z16" s="719"/>
      <c r="AA16" s="719"/>
      <c r="AB16" s="719"/>
      <c r="AC16" s="719"/>
      <c r="AD16" s="719"/>
      <c r="AE16" s="719"/>
      <c r="AF16" s="719"/>
      <c r="AG16" s="719"/>
      <c r="AH16" s="719"/>
      <c r="AI16" s="719"/>
      <c r="AJ16" s="719"/>
      <c r="AK16" s="852" t="str">
        <f>'P&amp;L'!C322</f>
        <v>Personnel</v>
      </c>
      <c r="AL16" s="274">
        <f>'P&amp;L'!D322</f>
        <v>267800</v>
      </c>
      <c r="AM16" s="274">
        <f>'P&amp;L'!E322</f>
        <v>2752133.7350000003</v>
      </c>
      <c r="AN16" s="274">
        <f>'P&amp;L'!F322</f>
        <v>4919347.6812999994</v>
      </c>
      <c r="AO16" s="274">
        <f>'P&amp;L'!G322</f>
        <v>7168027.9582470004</v>
      </c>
      <c r="AP16" s="274">
        <f>'P&amp;L'!H322</f>
        <v>8588713.8342664111</v>
      </c>
      <c r="AQ16" s="275">
        <f>'P&amp;L'!I322</f>
        <v>8846375.2492944021</v>
      </c>
      <c r="AR16" s="720"/>
    </row>
    <row r="17" spans="1:44" s="544" customFormat="1" ht="15" customHeight="1">
      <c r="A17" s="718"/>
      <c r="B17" s="217" t="str">
        <f>'P&amp;L'!C19</f>
        <v>Total Revenue per Pupil</v>
      </c>
      <c r="C17" s="216">
        <f>'P&amp;L'!D19</f>
        <v>0</v>
      </c>
      <c r="D17" s="216">
        <f>'P&amp;L'!E19</f>
        <v>21207.807749999996</v>
      </c>
      <c r="E17" s="216">
        <f>'P&amp;L'!F19</f>
        <v>19858.139074999999</v>
      </c>
      <c r="F17" s="216">
        <f>'P&amp;L'!G19</f>
        <v>19757.03678402038</v>
      </c>
      <c r="G17" s="216">
        <f>'P&amp;L'!H19</f>
        <v>20066.713985794428</v>
      </c>
      <c r="H17" s="216">
        <f>'P&amp;L'!I19</f>
        <v>20531.402815134628</v>
      </c>
      <c r="I17" s="719"/>
      <c r="J17" s="719"/>
      <c r="K17" s="719"/>
      <c r="L17" s="719"/>
      <c r="M17" s="719"/>
      <c r="N17" s="719"/>
      <c r="O17" s="719"/>
      <c r="P17" s="719"/>
      <c r="Q17" s="719"/>
      <c r="R17" s="719"/>
      <c r="S17" s="719"/>
      <c r="T17" s="719"/>
      <c r="U17" s="719"/>
      <c r="V17" s="719"/>
      <c r="W17" s="719"/>
      <c r="X17" s="719"/>
      <c r="Y17" s="719"/>
      <c r="Z17" s="719"/>
      <c r="AA17" s="719"/>
      <c r="AB17" s="719"/>
      <c r="AC17" s="719"/>
      <c r="AD17" s="719"/>
      <c r="AE17" s="719"/>
      <c r="AF17" s="719"/>
      <c r="AG17" s="719"/>
      <c r="AH17" s="719"/>
      <c r="AI17" s="719"/>
      <c r="AJ17" s="719"/>
      <c r="AK17" s="273" t="str">
        <f>'P&amp;L'!C323</f>
        <v>Instructional</v>
      </c>
      <c r="AL17" s="274">
        <f>'P&amp;L'!D323</f>
        <v>0</v>
      </c>
      <c r="AM17" s="274">
        <f>'P&amp;L'!E323</f>
        <v>668400</v>
      </c>
      <c r="AN17" s="274">
        <f>'P&amp;L'!F323</f>
        <v>1336800</v>
      </c>
      <c r="AO17" s="274">
        <f>'P&amp;L'!G323</f>
        <v>1921650</v>
      </c>
      <c r="AP17" s="274">
        <f>'P&amp;L'!H323</f>
        <v>2172300</v>
      </c>
      <c r="AQ17" s="275">
        <f>'P&amp;L'!I323</f>
        <v>2049300</v>
      </c>
      <c r="AR17" s="720"/>
    </row>
    <row r="18" spans="1:44" s="544" customFormat="1" ht="15" customHeight="1">
      <c r="A18" s="718"/>
      <c r="B18" s="204" t="str">
        <f>'P&amp;L'!C20</f>
        <v>Recurring Revenue per Pupil</v>
      </c>
      <c r="C18" s="210">
        <f>'P&amp;L'!D20</f>
        <v>0</v>
      </c>
      <c r="D18" s="210">
        <f>'P&amp;L'!E20</f>
        <v>19957.807749999996</v>
      </c>
      <c r="E18" s="210">
        <f>'P&amp;L'!F20</f>
        <v>19233.139074999999</v>
      </c>
      <c r="F18" s="210">
        <f>'P&amp;L'!G20</f>
        <v>19322.254175324721</v>
      </c>
      <c r="G18" s="210">
        <f>'P&amp;L'!H20</f>
        <v>19682.098601179045</v>
      </c>
      <c r="H18" s="210">
        <f>'P&amp;L'!I20</f>
        <v>20146.787430519249</v>
      </c>
      <c r="I18" s="719"/>
      <c r="J18" s="719"/>
      <c r="K18" s="719"/>
      <c r="L18" s="719"/>
      <c r="M18" s="719"/>
      <c r="N18" s="719"/>
      <c r="O18" s="719"/>
      <c r="P18" s="719"/>
      <c r="Q18" s="719"/>
      <c r="R18" s="719"/>
      <c r="S18" s="719"/>
      <c r="T18" s="719"/>
      <c r="U18" s="719"/>
      <c r="V18" s="719"/>
      <c r="W18" s="719"/>
      <c r="X18" s="719"/>
      <c r="Y18" s="719"/>
      <c r="Z18" s="719"/>
      <c r="AA18" s="719"/>
      <c r="AB18" s="719"/>
      <c r="AC18" s="719"/>
      <c r="AD18" s="719"/>
      <c r="AE18" s="719"/>
      <c r="AF18" s="719"/>
      <c r="AG18" s="719"/>
      <c r="AH18" s="719"/>
      <c r="AI18" s="719"/>
      <c r="AJ18" s="719"/>
      <c r="AK18" s="273" t="str">
        <f>'P&amp;L'!C324</f>
        <v>Facilities</v>
      </c>
      <c r="AL18" s="274">
        <f>'P&amp;L'!D324</f>
        <v>0</v>
      </c>
      <c r="AM18" s="274">
        <f>'P&amp;L'!E324</f>
        <v>408000</v>
      </c>
      <c r="AN18" s="274">
        <f>'P&amp;L'!F324</f>
        <v>513000</v>
      </c>
      <c r="AO18" s="274">
        <f>'P&amp;L'!G324</f>
        <v>513000</v>
      </c>
      <c r="AP18" s="274">
        <f>'P&amp;L'!H324</f>
        <v>513000</v>
      </c>
      <c r="AQ18" s="275">
        <f>'P&amp;L'!I324</f>
        <v>513000</v>
      </c>
      <c r="AR18" s="720"/>
    </row>
    <row r="19" spans="1:44" s="544" customFormat="1" ht="15" customHeight="1">
      <c r="A19" s="718"/>
      <c r="B19" s="202" t="str">
        <f>'P&amp;L'!C21</f>
        <v>Non-Recurring Revenue per Student</v>
      </c>
      <c r="C19" s="211">
        <f>'P&amp;L'!D21</f>
        <v>0</v>
      </c>
      <c r="D19" s="211">
        <f>'P&amp;L'!E21</f>
        <v>1250</v>
      </c>
      <c r="E19" s="211">
        <f>'P&amp;L'!F21</f>
        <v>625</v>
      </c>
      <c r="F19" s="211">
        <f>'P&amp;L'!G21</f>
        <v>434.78260869565219</v>
      </c>
      <c r="G19" s="211">
        <f>'P&amp;L'!H21</f>
        <v>384.61538461538464</v>
      </c>
      <c r="H19" s="211">
        <f>'P&amp;L'!I21</f>
        <v>384.61538461538464</v>
      </c>
      <c r="I19" s="719"/>
      <c r="J19" s="719"/>
      <c r="K19" s="719"/>
      <c r="L19" s="719"/>
      <c r="M19" s="719"/>
      <c r="N19" s="719"/>
      <c r="O19" s="719"/>
      <c r="P19" s="719"/>
      <c r="Q19" s="719"/>
      <c r="R19" s="719"/>
      <c r="S19" s="719"/>
      <c r="T19" s="719"/>
      <c r="U19" s="719"/>
      <c r="V19" s="719"/>
      <c r="W19" s="719"/>
      <c r="X19" s="719"/>
      <c r="Y19" s="719"/>
      <c r="Z19" s="719"/>
      <c r="AA19" s="719"/>
      <c r="AB19" s="719"/>
      <c r="AC19" s="719"/>
      <c r="AD19" s="719"/>
      <c r="AE19" s="719"/>
      <c r="AF19" s="719"/>
      <c r="AG19" s="719"/>
      <c r="AH19" s="719"/>
      <c r="AI19" s="719"/>
      <c r="AJ19" s="719"/>
      <c r="AK19" s="273" t="str">
        <f>'P&amp;L'!C325</f>
        <v>Operating</v>
      </c>
      <c r="AL19" s="274">
        <f>'P&amp;L'!D325</f>
        <v>10580</v>
      </c>
      <c r="AM19" s="274">
        <f>'P&amp;L'!E325</f>
        <v>780848.52899999998</v>
      </c>
      <c r="AN19" s="274">
        <f>'P&amp;L'!F325</f>
        <v>1512231.6219500001</v>
      </c>
      <c r="AO19" s="274">
        <f>'P&amp;L'!G325</f>
        <v>2139006.8268927345</v>
      </c>
      <c r="AP19" s="274">
        <f>'P&amp;L'!H325</f>
        <v>2389074.6577274101</v>
      </c>
      <c r="AQ19" s="275">
        <f>'P&amp;L'!I325</f>
        <v>2304898.3991705952</v>
      </c>
      <c r="AR19" s="720"/>
    </row>
    <row r="20" spans="1:44" s="544" customFormat="1" ht="15" customHeight="1">
      <c r="A20" s="718"/>
      <c r="B20" s="199" t="str">
        <f>'P&amp;L'!C22</f>
        <v>Expense Metrics</v>
      </c>
      <c r="C20" s="200"/>
      <c r="D20" s="200"/>
      <c r="E20" s="200"/>
      <c r="F20" s="200"/>
      <c r="G20" s="200"/>
      <c r="H20" s="201"/>
      <c r="I20" s="719"/>
      <c r="J20" s="719"/>
      <c r="K20" s="719"/>
      <c r="L20" s="719"/>
      <c r="M20" s="719"/>
      <c r="N20" s="719"/>
      <c r="O20" s="719"/>
      <c r="P20" s="719"/>
      <c r="Q20" s="719"/>
      <c r="R20" s="719"/>
      <c r="S20" s="719"/>
      <c r="T20" s="719"/>
      <c r="U20" s="719"/>
      <c r="V20" s="719"/>
      <c r="W20" s="719"/>
      <c r="X20" s="719"/>
      <c r="Y20" s="719"/>
      <c r="Z20" s="719"/>
      <c r="AA20" s="719"/>
      <c r="AB20" s="719"/>
      <c r="AC20" s="719"/>
      <c r="AD20" s="719"/>
      <c r="AE20" s="719"/>
      <c r="AF20" s="719"/>
      <c r="AG20" s="719"/>
      <c r="AH20" s="719"/>
      <c r="AI20" s="719"/>
      <c r="AJ20" s="719"/>
      <c r="AK20" s="273" t="str">
        <f>'P&amp;L'!C326</f>
        <v>Administrative</v>
      </c>
      <c r="AL20" s="274">
        <f>'P&amp;L'!D326</f>
        <v>0</v>
      </c>
      <c r="AM20" s="274">
        <f>'P&amp;L'!E326</f>
        <v>0</v>
      </c>
      <c r="AN20" s="274">
        <f>'P&amp;L'!F326</f>
        <v>0</v>
      </c>
      <c r="AO20" s="274">
        <f>'P&amp;L'!G326</f>
        <v>0</v>
      </c>
      <c r="AP20" s="274">
        <f>'P&amp;L'!H326</f>
        <v>0</v>
      </c>
      <c r="AQ20" s="275">
        <f>'P&amp;L'!I326</f>
        <v>0</v>
      </c>
      <c r="AR20" s="720"/>
    </row>
    <row r="21" spans="1:44" s="544" customFormat="1" ht="15" customHeight="1" thickBot="1">
      <c r="A21" s="718"/>
      <c r="B21" s="217" t="str">
        <f>'P&amp;L'!C23</f>
        <v>Total Expenses</v>
      </c>
      <c r="C21" s="216">
        <f>'P&amp;L'!D23</f>
        <v>278380</v>
      </c>
      <c r="D21" s="216">
        <f>'P&amp;L'!E23</f>
        <v>5043898.3352574222</v>
      </c>
      <c r="E21" s="216">
        <f>'P&amp;L'!F23</f>
        <v>8713989.1555905025</v>
      </c>
      <c r="F21" s="216">
        <f>'P&amp;L'!G23</f>
        <v>12170188.568989988</v>
      </c>
      <c r="G21" s="216">
        <f>'P&amp;L'!H23</f>
        <v>14087276.133097034</v>
      </c>
      <c r="H21" s="216">
        <f>'P&amp;L'!I23</f>
        <v>14133224.324766701</v>
      </c>
      <c r="I21" s="719"/>
      <c r="J21" s="719"/>
      <c r="K21" s="719"/>
      <c r="L21" s="719"/>
      <c r="M21" s="719"/>
      <c r="N21" s="719"/>
      <c r="O21" s="719"/>
      <c r="P21" s="719"/>
      <c r="Q21" s="719"/>
      <c r="R21" s="719"/>
      <c r="S21" s="719"/>
      <c r="T21" s="719"/>
      <c r="U21" s="719"/>
      <c r="V21" s="719"/>
      <c r="W21" s="719"/>
      <c r="X21" s="719"/>
      <c r="Y21" s="719"/>
      <c r="Z21" s="719"/>
      <c r="AA21" s="719"/>
      <c r="AB21" s="719"/>
      <c r="AC21" s="719"/>
      <c r="AD21" s="719"/>
      <c r="AE21" s="719"/>
      <c r="AF21" s="719"/>
      <c r="AG21" s="719"/>
      <c r="AH21" s="719"/>
      <c r="AI21" s="719"/>
      <c r="AJ21" s="719"/>
      <c r="AK21" s="276" t="str">
        <f>'P&amp;L'!C327</f>
        <v>Non-Operating</v>
      </c>
      <c r="AL21" s="274">
        <f>'P&amp;L'!D327</f>
        <v>0</v>
      </c>
      <c r="AM21" s="274">
        <f>'P&amp;L'!E327</f>
        <v>434516.07125742128</v>
      </c>
      <c r="AN21" s="274">
        <f>'P&amp;L'!F327</f>
        <v>432609.85234050342</v>
      </c>
      <c r="AO21" s="274">
        <f>'P&amp;L'!G327</f>
        <v>428503.78385025455</v>
      </c>
      <c r="AP21" s="274">
        <f>'P&amp;L'!H327</f>
        <v>424187.64110321214</v>
      </c>
      <c r="AQ21" s="275">
        <f>'P&amp;L'!I327</f>
        <v>419650.67630170251</v>
      </c>
      <c r="AR21" s="720"/>
    </row>
    <row r="22" spans="1:44" s="544" customFormat="1" ht="15" customHeight="1" thickBot="1">
      <c r="A22" s="718"/>
      <c r="B22" s="212" t="str">
        <f>'P&amp;L'!C24</f>
        <v>Total Expense per Pupil</v>
      </c>
      <c r="C22" s="218">
        <f>'P&amp;L'!D24</f>
        <v>0</v>
      </c>
      <c r="D22" s="218">
        <f>'P&amp;L'!E24</f>
        <v>21016.243063572594</v>
      </c>
      <c r="E22" s="218">
        <f>'P&amp;L'!F24</f>
        <v>18154.14407414688</v>
      </c>
      <c r="F22" s="218">
        <f>'P&amp;L'!G24</f>
        <v>17637.954447811579</v>
      </c>
      <c r="G22" s="218">
        <f>'P&amp;L'!H24</f>
        <v>18060.610427047479</v>
      </c>
      <c r="H22" s="218">
        <f>'P&amp;L'!I24</f>
        <v>18119.518365085514</v>
      </c>
      <c r="I22" s="719"/>
      <c r="J22" s="719"/>
      <c r="K22" s="719"/>
      <c r="L22" s="719"/>
      <c r="M22" s="719"/>
      <c r="N22" s="719"/>
      <c r="O22" s="719"/>
      <c r="P22" s="719"/>
      <c r="Q22" s="719"/>
      <c r="R22" s="719"/>
      <c r="S22" s="719"/>
      <c r="T22" s="719"/>
      <c r="U22" s="719"/>
      <c r="V22" s="719"/>
      <c r="W22" s="719"/>
      <c r="X22" s="719"/>
      <c r="Y22" s="719"/>
      <c r="Z22" s="719"/>
      <c r="AA22" s="719"/>
      <c r="AB22" s="719"/>
      <c r="AC22" s="719"/>
      <c r="AD22" s="719"/>
      <c r="AE22" s="719"/>
      <c r="AF22" s="719"/>
      <c r="AG22" s="719"/>
      <c r="AH22" s="719"/>
      <c r="AI22" s="719"/>
      <c r="AJ22" s="719"/>
      <c r="AK22" s="277" t="str">
        <f>'P&amp;L'!C328</f>
        <v>TOTAL EXPENDITURES</v>
      </c>
      <c r="AL22" s="278">
        <f>'P&amp;L'!D328</f>
        <v>278380</v>
      </c>
      <c r="AM22" s="278">
        <f>'P&amp;L'!E328</f>
        <v>5043898.3352574222</v>
      </c>
      <c r="AN22" s="278">
        <f>'P&amp;L'!F328</f>
        <v>8713989.1555905025</v>
      </c>
      <c r="AO22" s="278">
        <f>'P&amp;L'!G328</f>
        <v>12170188.56898999</v>
      </c>
      <c r="AP22" s="278">
        <f>'P&amp;L'!H328</f>
        <v>14087276.133097034</v>
      </c>
      <c r="AQ22" s="279">
        <f>'P&amp;L'!I328</f>
        <v>14133224.324766699</v>
      </c>
      <c r="AR22" s="720"/>
    </row>
    <row r="23" spans="1:44" s="544" customFormat="1" ht="15" customHeight="1" thickBot="1">
      <c r="A23" s="718"/>
      <c r="B23" s="202" t="str">
        <f>'P&amp;L'!C25</f>
        <v>Personnel Expense per Pupil (Total Comp.)</v>
      </c>
      <c r="C23" s="214">
        <f>'P&amp;L'!D25</f>
        <v>0</v>
      </c>
      <c r="D23" s="214">
        <f>'P&amp;L'!E25</f>
        <v>11467.223895833335</v>
      </c>
      <c r="E23" s="214">
        <f>'P&amp;L'!F25</f>
        <v>10248.641002708331</v>
      </c>
      <c r="F23" s="214">
        <f>'P&amp;L'!G25</f>
        <v>10388.4463163</v>
      </c>
      <c r="G23" s="214">
        <f>'P&amp;L'!H25</f>
        <v>11011.171582392835</v>
      </c>
      <c r="H23" s="214">
        <f>'P&amp;L'!I25</f>
        <v>11341.506729864617</v>
      </c>
      <c r="I23" s="719"/>
      <c r="J23" s="719"/>
      <c r="K23" s="719"/>
      <c r="L23" s="719"/>
      <c r="M23" s="719"/>
      <c r="N23" s="719"/>
      <c r="O23" s="719"/>
      <c r="P23" s="719"/>
      <c r="Q23" s="719"/>
      <c r="R23" s="719"/>
      <c r="S23" s="719"/>
      <c r="T23" s="719"/>
      <c r="U23" s="719"/>
      <c r="V23" s="719"/>
      <c r="W23" s="719"/>
      <c r="X23" s="719"/>
      <c r="Y23" s="719"/>
      <c r="Z23" s="719"/>
      <c r="AA23" s="719"/>
      <c r="AB23" s="719"/>
      <c r="AC23" s="719"/>
      <c r="AD23" s="719"/>
      <c r="AE23" s="719"/>
      <c r="AF23" s="719"/>
      <c r="AG23" s="719"/>
      <c r="AH23" s="719"/>
      <c r="AI23" s="719"/>
      <c r="AJ23" s="719"/>
      <c r="AK23" s="280" t="str">
        <f>'P&amp;L'!C329</f>
        <v>Change in Net Assets</v>
      </c>
      <c r="AL23" s="402">
        <f>'P&amp;L'!D329</f>
        <v>-22380</v>
      </c>
      <c r="AM23" s="402">
        <f>'P&amp;L'!E329</f>
        <v>45975.524742576294</v>
      </c>
      <c r="AN23" s="402">
        <f>'P&amp;L'!F329</f>
        <v>817917.60040949658</v>
      </c>
      <c r="AO23" s="402">
        <f>'P&amp;L'!G329</f>
        <v>1462166.8119840678</v>
      </c>
      <c r="AP23" s="402">
        <f>'P&amp;L'!H329</f>
        <v>1564760.775822619</v>
      </c>
      <c r="AQ23" s="403">
        <f>'P&amp;L'!I329</f>
        <v>1881269.8710383121</v>
      </c>
      <c r="AR23" s="720"/>
    </row>
    <row r="24" spans="1:44" s="544" customFormat="1" ht="15" customHeight="1" thickTop="1">
      <c r="A24" s="718"/>
      <c r="B24" s="204" t="str">
        <f>'P&amp;L'!C26</f>
        <v>Non-Personnel Expense per Pupil</v>
      </c>
      <c r="C24" s="210">
        <f>'P&amp;L'!D26</f>
        <v>0</v>
      </c>
      <c r="D24" s="210">
        <f>'P&amp;L'!E26</f>
        <v>9549.0191677392559</v>
      </c>
      <c r="E24" s="210">
        <f>'P&amp;L'!F26</f>
        <v>7905.5030714385493</v>
      </c>
      <c r="F24" s="210">
        <f>'P&amp;L'!G26</f>
        <v>7249.5081315115785</v>
      </c>
      <c r="G24" s="210">
        <f>'P&amp;L'!H26</f>
        <v>7049.4388446546436</v>
      </c>
      <c r="H24" s="210">
        <f>'P&amp;L'!I26</f>
        <v>6778.0116352208952</v>
      </c>
      <c r="I24" s="719"/>
      <c r="J24" s="719"/>
      <c r="K24" s="719"/>
      <c r="L24" s="719"/>
      <c r="M24" s="719"/>
      <c r="N24" s="719"/>
      <c r="O24" s="719"/>
      <c r="P24" s="719"/>
      <c r="Q24" s="719"/>
      <c r="R24" s="719"/>
      <c r="S24" s="719"/>
      <c r="T24" s="719"/>
      <c r="U24" s="719"/>
      <c r="V24" s="719"/>
      <c r="W24" s="719"/>
      <c r="X24" s="719"/>
      <c r="Y24" s="719"/>
      <c r="Z24" s="719"/>
      <c r="AA24" s="719"/>
      <c r="AB24" s="719"/>
      <c r="AC24" s="719"/>
      <c r="AD24" s="719"/>
      <c r="AE24" s="719"/>
      <c r="AF24" s="719"/>
      <c r="AG24" s="719"/>
      <c r="AH24" s="719"/>
      <c r="AI24" s="719"/>
      <c r="AJ24" s="719"/>
      <c r="AK24" s="281" t="str">
        <f>'P&amp;L'!C330</f>
        <v>FUND BALANCE</v>
      </c>
      <c r="AL24" s="722"/>
      <c r="AM24" s="722"/>
      <c r="AN24" s="722"/>
      <c r="AO24" s="722"/>
      <c r="AP24" s="722"/>
      <c r="AQ24" s="282"/>
      <c r="AR24" s="720"/>
    </row>
    <row r="25" spans="1:44" s="544" customFormat="1" ht="15" customHeight="1">
      <c r="A25" s="718"/>
      <c r="B25" s="199" t="str">
        <f>'P&amp;L'!C27</f>
        <v>Sustainability Percentages</v>
      </c>
      <c r="C25" s="200"/>
      <c r="D25" s="200"/>
      <c r="E25" s="200"/>
      <c r="F25" s="200"/>
      <c r="G25" s="200"/>
      <c r="H25" s="201"/>
      <c r="I25" s="719"/>
      <c r="J25" s="719"/>
      <c r="K25" s="719"/>
      <c r="L25" s="719"/>
      <c r="M25" s="719"/>
      <c r="N25" s="719"/>
      <c r="O25" s="719"/>
      <c r="P25" s="719"/>
      <c r="Q25" s="719"/>
      <c r="R25" s="719"/>
      <c r="S25" s="719"/>
      <c r="T25" s="719"/>
      <c r="U25" s="719"/>
      <c r="V25" s="719"/>
      <c r="W25" s="719"/>
      <c r="X25" s="719"/>
      <c r="Y25" s="719"/>
      <c r="Z25" s="719"/>
      <c r="AA25" s="719"/>
      <c r="AB25" s="719"/>
      <c r="AC25" s="719"/>
      <c r="AD25" s="719"/>
      <c r="AE25" s="719"/>
      <c r="AF25" s="719"/>
      <c r="AG25" s="719"/>
      <c r="AH25" s="719"/>
      <c r="AI25" s="719"/>
      <c r="AJ25" s="719"/>
      <c r="AK25" s="283" t="str">
        <f>'P&amp;L'!C331</f>
        <v>Beginning Cash Balance</v>
      </c>
      <c r="AL25" s="284">
        <f>'P&amp;L'!D331</f>
        <v>1250000</v>
      </c>
      <c r="AM25" s="284">
        <f>'P&amp;L'!E331</f>
        <v>1227620</v>
      </c>
      <c r="AN25" s="284">
        <f>'P&amp;L'!F331</f>
        <v>1369745.36810946</v>
      </c>
      <c r="AO25" s="284">
        <f>'P&amp;L'!G331</f>
        <v>2279906.5929689216</v>
      </c>
      <c r="AP25" s="284">
        <f>'P&amp;L'!H331</f>
        <v>3830210.960912711</v>
      </c>
      <c r="AQ25" s="285">
        <f>'P&amp;L'!I331</f>
        <v>5478793.1499480056</v>
      </c>
      <c r="AR25" s="720"/>
    </row>
    <row r="26" spans="1:44" s="544" customFormat="1" ht="15" customHeight="1">
      <c r="A26" s="718"/>
      <c r="B26" s="202" t="str">
        <f>'P&amp;L'!C28</f>
        <v>Recurring Revenue as % of Total Expenses</v>
      </c>
      <c r="C26" s="219">
        <f>'P&amp;L'!D28</f>
        <v>2.1553272505208707E-2</v>
      </c>
      <c r="D26" s="219">
        <f>'P&amp;L'!E28</f>
        <v>0.94963727292404709</v>
      </c>
      <c r="E26" s="219">
        <f>'P&amp;L'!F28</f>
        <v>1.0594351899184111</v>
      </c>
      <c r="F26" s="219">
        <f>'P&amp;L'!G28</f>
        <v>1.0954929174183303</v>
      </c>
      <c r="G26" s="219">
        <f>'P&amp;L'!H28</f>
        <v>1.0897803637745949</v>
      </c>
      <c r="H26" s="219">
        <f>'P&amp;L'!I28</f>
        <v>1.1118831651364462</v>
      </c>
      <c r="I26" s="719"/>
      <c r="J26" s="719"/>
      <c r="K26" s="719"/>
      <c r="L26" s="719"/>
      <c r="M26" s="719"/>
      <c r="N26" s="719"/>
      <c r="O26" s="719"/>
      <c r="P26" s="719"/>
      <c r="Q26" s="719"/>
      <c r="R26" s="719"/>
      <c r="S26" s="719"/>
      <c r="T26" s="719"/>
      <c r="U26" s="719"/>
      <c r="V26" s="719"/>
      <c r="W26" s="719"/>
      <c r="X26" s="719"/>
      <c r="Y26" s="719"/>
      <c r="Z26" s="719"/>
      <c r="AA26" s="719"/>
      <c r="AB26" s="719"/>
      <c r="AC26" s="719"/>
      <c r="AD26" s="719"/>
      <c r="AE26" s="719"/>
      <c r="AF26" s="719"/>
      <c r="AG26" s="719"/>
      <c r="AH26" s="719"/>
      <c r="AI26" s="719"/>
      <c r="AJ26" s="719"/>
      <c r="AK26" s="286" t="str">
        <f>'P&amp;L'!C332</f>
        <v>Change in Cash</v>
      </c>
      <c r="AL26" s="287">
        <f>'P&amp;L'!D332</f>
        <v>-22380</v>
      </c>
      <c r="AM26" s="287">
        <f>'P&amp;L'!E332</f>
        <v>142125.36810946011</v>
      </c>
      <c r="AN26" s="287">
        <f>'P&amp;L'!F332</f>
        <v>910161.22485946165</v>
      </c>
      <c r="AO26" s="287">
        <f>'P&amp;L'!G332</f>
        <v>1550304.3679437896</v>
      </c>
      <c r="AP26" s="287">
        <f>'P&amp;L'!H332</f>
        <v>1648582.1890352946</v>
      </c>
      <c r="AQ26" s="288">
        <f>'P&amp;L'!I332</f>
        <v>1960554.3194494743</v>
      </c>
      <c r="AR26" s="720"/>
    </row>
    <row r="27" spans="1:44" s="544" customFormat="1" ht="15" customHeight="1" thickBot="1">
      <c r="A27" s="718"/>
      <c r="B27" s="204" t="str">
        <f>'P&amp;L'!C29</f>
        <v>Total Compensation as % of Recurring Revenue</v>
      </c>
      <c r="C27" s="220">
        <f>'P&amp;L'!D29</f>
        <v>44.633333333333333</v>
      </c>
      <c r="D27" s="220">
        <f>'P&amp;L'!E29</f>
        <v>0.57457332185361576</v>
      </c>
      <c r="E27" s="220">
        <f>'P&amp;L'!F29</f>
        <v>0.53286366633878945</v>
      </c>
      <c r="F27" s="220">
        <f>'P&amp;L'!G29</f>
        <v>0.53764153095379807</v>
      </c>
      <c r="G27" s="220">
        <f>'P&amp;L'!H29</f>
        <v>0.55945109337747234</v>
      </c>
      <c r="H27" s="220">
        <f>'P&amp;L'!I29</f>
        <v>0.56294368365072445</v>
      </c>
      <c r="I27" s="719"/>
      <c r="J27" s="719"/>
      <c r="K27" s="719"/>
      <c r="L27" s="719"/>
      <c r="M27" s="719"/>
      <c r="N27" s="719"/>
      <c r="O27" s="719"/>
      <c r="P27" s="719"/>
      <c r="Q27" s="719"/>
      <c r="R27" s="719"/>
      <c r="S27" s="719"/>
      <c r="T27" s="719"/>
      <c r="U27" s="719"/>
      <c r="V27" s="719"/>
      <c r="W27" s="719"/>
      <c r="X27" s="719"/>
      <c r="Y27" s="719"/>
      <c r="Z27" s="719"/>
      <c r="AA27" s="719"/>
      <c r="AB27" s="719"/>
      <c r="AC27" s="719"/>
      <c r="AD27" s="719"/>
      <c r="AE27" s="719"/>
      <c r="AF27" s="719"/>
      <c r="AG27" s="719"/>
      <c r="AH27" s="719"/>
      <c r="AI27" s="719"/>
      <c r="AJ27" s="719"/>
      <c r="AK27" s="289" t="str">
        <f>'P&amp;L'!C333</f>
        <v>ENDING CASH BALANCE</v>
      </c>
      <c r="AL27" s="290">
        <f>'P&amp;L'!D333</f>
        <v>1227620</v>
      </c>
      <c r="AM27" s="290">
        <f>'P&amp;L'!E333</f>
        <v>1369745.36810946</v>
      </c>
      <c r="AN27" s="290">
        <f>'P&amp;L'!F333</f>
        <v>2279906.5929689216</v>
      </c>
      <c r="AO27" s="290">
        <f>'P&amp;L'!G333</f>
        <v>3830210.960912711</v>
      </c>
      <c r="AP27" s="290">
        <f>'P&amp;L'!H333</f>
        <v>5478793.1499480056</v>
      </c>
      <c r="AQ27" s="291">
        <f>'P&amp;L'!I333</f>
        <v>7439347.4693974797</v>
      </c>
      <c r="AR27" s="720"/>
    </row>
    <row r="28" spans="1:44" s="544" customFormat="1" ht="15" customHeight="1" thickBot="1">
      <c r="A28" s="718"/>
      <c r="B28" s="202" t="str">
        <f>'P&amp;L'!C30</f>
        <v>Facilities Expense as % of Recurring Revenue</v>
      </c>
      <c r="C28" s="219">
        <f>'P&amp;L'!D30</f>
        <v>0</v>
      </c>
      <c r="D28" s="219">
        <f>'P&amp;L'!E30</f>
        <v>8.5179696151747947E-2</v>
      </c>
      <c r="E28" s="219">
        <f>'P&amp;L'!F30</f>
        <v>5.5568152231021087E-2</v>
      </c>
      <c r="F28" s="219">
        <f>'P&amp;L'!G30</f>
        <v>3.8477822210775808E-2</v>
      </c>
      <c r="G28" s="219">
        <f>'P&amp;L'!H30</f>
        <v>3.3415761246766082E-2</v>
      </c>
      <c r="H28" s="219">
        <f>'P&amp;L'!I30</f>
        <v>3.2645021443766575E-2</v>
      </c>
      <c r="I28" s="719"/>
      <c r="J28" s="719"/>
      <c r="K28" s="719"/>
      <c r="L28" s="719"/>
      <c r="M28" s="719"/>
      <c r="N28" s="719"/>
      <c r="O28" s="719"/>
      <c r="P28" s="719"/>
      <c r="Q28" s="719"/>
      <c r="R28" s="719"/>
      <c r="S28" s="719"/>
      <c r="T28" s="719"/>
      <c r="U28" s="719"/>
      <c r="V28" s="719"/>
      <c r="W28" s="719"/>
      <c r="X28" s="719"/>
      <c r="Y28" s="719"/>
      <c r="Z28" s="719"/>
      <c r="AA28" s="719"/>
      <c r="AB28" s="719"/>
      <c r="AC28" s="719"/>
      <c r="AD28" s="719"/>
      <c r="AE28" s="719"/>
      <c r="AF28" s="719"/>
      <c r="AG28" s="719"/>
      <c r="AH28" s="719"/>
      <c r="AI28" s="719"/>
      <c r="AJ28" s="719"/>
      <c r="AK28" s="722"/>
      <c r="AL28" s="722"/>
      <c r="AM28" s="722"/>
      <c r="AN28" s="722"/>
      <c r="AO28" s="722"/>
      <c r="AP28" s="722"/>
      <c r="AQ28" s="722"/>
      <c r="AR28" s="720"/>
    </row>
    <row r="29" spans="1:44" s="544" customFormat="1" ht="15" customHeight="1" thickBot="1">
      <c r="A29" s="718"/>
      <c r="B29" s="204" t="str">
        <f>'P&amp;L'!C31</f>
        <v>All Other Expenses as % of Recurring Revenue</v>
      </c>
      <c r="C29" s="220">
        <f>'P&amp;L'!D31</f>
        <v>1.7633333333333334</v>
      </c>
      <c r="D29" s="220">
        <f>'P&amp;L'!E31</f>
        <v>0.39328062811604431</v>
      </c>
      <c r="E29" s="220">
        <f>'P&amp;L'!F31</f>
        <v>0.35546735479728497</v>
      </c>
      <c r="F29" s="220">
        <f>'P&amp;L'!G31</f>
        <v>0.33671174240894053</v>
      </c>
      <c r="G29" s="220">
        <f>'P&amp;L'!H31</f>
        <v>0.32474923871072581</v>
      </c>
      <c r="H29" s="220">
        <f>'P&amp;L'!I31</f>
        <v>0.30378636537641013</v>
      </c>
      <c r="I29" s="719"/>
      <c r="J29" s="719"/>
      <c r="K29" s="719"/>
      <c r="L29" s="719"/>
      <c r="M29" s="719"/>
      <c r="N29" s="719"/>
      <c r="O29" s="719"/>
      <c r="P29" s="719"/>
      <c r="Q29" s="719"/>
      <c r="R29" s="719"/>
      <c r="S29" s="719"/>
      <c r="T29" s="719"/>
      <c r="U29" s="719"/>
      <c r="V29" s="719"/>
      <c r="W29" s="719"/>
      <c r="X29" s="719"/>
      <c r="Y29" s="719"/>
      <c r="Z29" s="719"/>
      <c r="AA29" s="719"/>
      <c r="AB29" s="719"/>
      <c r="AC29" s="719"/>
      <c r="AD29" s="719"/>
      <c r="AE29" s="719"/>
      <c r="AF29" s="719"/>
      <c r="AG29" s="719"/>
      <c r="AH29" s="719"/>
      <c r="AI29" s="719"/>
      <c r="AJ29" s="719"/>
      <c r="AK29" s="292" t="str">
        <f>'P&amp;L'!C335</f>
        <v>Days of Cash on Hand (DCOH)</v>
      </c>
      <c r="AL29" s="293">
        <f>'P&amp;L'!D335</f>
        <v>91.98206945158833</v>
      </c>
      <c r="AM29" s="293">
        <f>'P&amp;L'!E335</f>
        <v>102.63111840833139</v>
      </c>
      <c r="AN29" s="293">
        <f>'P&amp;L'!F335</f>
        <v>97.426325933926208</v>
      </c>
      <c r="AO29" s="293">
        <f>'P&amp;L'!G335</f>
        <v>116.52469496054194</v>
      </c>
      <c r="AP29" s="293">
        <f>'P&amp;L'!H335</f>
        <v>143.71481658080637</v>
      </c>
      <c r="AQ29" s="294">
        <f>'P&amp;L'!I335</f>
        <v>194.50006770157015</v>
      </c>
      <c r="AR29" s="720"/>
    </row>
    <row r="30" spans="1:44" s="544" customFormat="1" ht="15" customHeight="1">
      <c r="A30" s="718"/>
      <c r="B30" s="221" t="str">
        <f>'P&amp;L'!C32</f>
        <v>Cash and Debt Management</v>
      </c>
      <c r="C30" s="200"/>
      <c r="D30" s="200"/>
      <c r="E30" s="200"/>
      <c r="F30" s="200"/>
      <c r="G30" s="200"/>
      <c r="H30" s="201"/>
      <c r="I30" s="719"/>
      <c r="J30" s="719"/>
      <c r="K30" s="719"/>
      <c r="L30" s="719"/>
      <c r="M30" s="719"/>
      <c r="N30" s="719"/>
      <c r="O30" s="719"/>
      <c r="P30" s="719"/>
      <c r="Q30" s="719"/>
      <c r="R30" s="719"/>
      <c r="S30" s="719"/>
      <c r="T30" s="719"/>
      <c r="U30" s="719"/>
      <c r="V30" s="719"/>
      <c r="W30" s="719"/>
      <c r="X30" s="719"/>
      <c r="Y30" s="719"/>
      <c r="Z30" s="719"/>
      <c r="AA30" s="719"/>
      <c r="AB30" s="719"/>
      <c r="AC30" s="719"/>
      <c r="AD30" s="719"/>
      <c r="AE30" s="719"/>
      <c r="AF30" s="719"/>
      <c r="AG30" s="719"/>
      <c r="AH30" s="719"/>
      <c r="AI30" s="719"/>
      <c r="AJ30" s="719"/>
      <c r="AK30"/>
      <c r="AL30"/>
      <c r="AM30"/>
      <c r="AN30"/>
      <c r="AO30"/>
      <c r="AP30"/>
      <c r="AQ30"/>
      <c r="AR30" s="720"/>
    </row>
    <row r="31" spans="1:44" s="544" customFormat="1" ht="15" customHeight="1">
      <c r="A31" s="718"/>
      <c r="B31" s="222" t="str">
        <f>'P&amp;L'!C33</f>
        <v>DCOH</v>
      </c>
      <c r="C31" s="362">
        <f>'P&amp;L'!D33</f>
        <v>91.98206945158833</v>
      </c>
      <c r="D31" s="223">
        <f>'P&amp;L'!E33</f>
        <v>102.63111840833139</v>
      </c>
      <c r="E31" s="223">
        <f>'P&amp;L'!F33</f>
        <v>97.426325933926208</v>
      </c>
      <c r="F31" s="223">
        <f>'P&amp;L'!G33</f>
        <v>116.52469496054194</v>
      </c>
      <c r="G31" s="223">
        <f>'P&amp;L'!H33</f>
        <v>143.71481658080637</v>
      </c>
      <c r="H31" s="223">
        <f>'P&amp;L'!I33</f>
        <v>194.50006770157015</v>
      </c>
      <c r="I31" s="719"/>
      <c r="J31" s="719"/>
      <c r="K31" s="719"/>
      <c r="L31" s="719"/>
      <c r="M31" s="719"/>
      <c r="N31" s="719"/>
      <c r="O31" s="719"/>
      <c r="P31" s="719"/>
      <c r="Q31" s="719"/>
      <c r="R31" s="719"/>
      <c r="S31" s="719"/>
      <c r="T31" s="719"/>
      <c r="U31" s="719"/>
      <c r="V31" s="719"/>
      <c r="W31" s="719"/>
      <c r="X31" s="719"/>
      <c r="Y31" s="719"/>
      <c r="Z31" s="719"/>
      <c r="AA31" s="719"/>
      <c r="AB31" s="499" t="s">
        <v>277</v>
      </c>
      <c r="AC31" s="500">
        <f t="shared" ref="AC31:AH31" si="0">C3</f>
        <v>2027</v>
      </c>
      <c r="AD31" s="500">
        <f t="shared" si="0"/>
        <v>2028</v>
      </c>
      <c r="AE31" s="500">
        <f t="shared" si="0"/>
        <v>2029</v>
      </c>
      <c r="AF31" s="500">
        <f t="shared" si="0"/>
        <v>2030</v>
      </c>
      <c r="AG31" s="500">
        <f t="shared" si="0"/>
        <v>2031</v>
      </c>
      <c r="AH31" s="500">
        <f t="shared" si="0"/>
        <v>2032</v>
      </c>
      <c r="AI31" s="719"/>
      <c r="AJ31" s="719"/>
      <c r="AK31"/>
      <c r="AL31"/>
      <c r="AM31"/>
      <c r="AN31"/>
      <c r="AO31"/>
      <c r="AP31"/>
      <c r="AQ31"/>
      <c r="AR31" s="720"/>
    </row>
    <row r="32" spans="1:44" s="544" customFormat="1" ht="15" customHeight="1">
      <c r="A32" s="718"/>
      <c r="B32" s="224" t="str">
        <f>'P&amp;L'!C34</f>
        <v>Total Philanthropy Assumed for 60 DCOH</v>
      </c>
      <c r="C32" s="363">
        <f>'P&amp;L'!D34</f>
        <v>272380</v>
      </c>
      <c r="D32" s="363">
        <f>'P&amp;L'!E34</f>
        <v>300000</v>
      </c>
      <c r="E32" s="363">
        <f>'P&amp;L'!F34</f>
        <v>300000</v>
      </c>
      <c r="F32" s="363">
        <f>'P&amp;L'!G34</f>
        <v>300000</v>
      </c>
      <c r="G32" s="363">
        <f>'P&amp;L'!H34</f>
        <v>300000</v>
      </c>
      <c r="H32" s="363">
        <f>'P&amp;L'!I34</f>
        <v>300000</v>
      </c>
      <c r="I32" s="719"/>
      <c r="J32" s="719"/>
      <c r="K32" s="719"/>
      <c r="L32" s="719"/>
      <c r="M32" s="719"/>
      <c r="N32" s="719"/>
      <c r="O32" s="719"/>
      <c r="P32" s="719"/>
      <c r="Q32" s="719"/>
      <c r="R32" s="719"/>
      <c r="S32" s="719"/>
      <c r="T32" s="719"/>
      <c r="U32" s="719"/>
      <c r="V32" s="719"/>
      <c r="W32" s="719"/>
      <c r="X32" s="719"/>
      <c r="Y32" s="719"/>
      <c r="Z32" s="719"/>
      <c r="AA32" s="719"/>
      <c r="AB32" s="504" t="s">
        <v>304</v>
      </c>
      <c r="AC32" s="503">
        <f>C31</f>
        <v>91.98206945158833</v>
      </c>
      <c r="AD32" s="503">
        <f>D31</f>
        <v>102.63111840833139</v>
      </c>
      <c r="AE32" s="503">
        <f>E31</f>
        <v>97.426325933926208</v>
      </c>
      <c r="AF32" s="503">
        <f>F31</f>
        <v>116.52469496054194</v>
      </c>
      <c r="AG32" s="503">
        <f>G31</f>
        <v>143.71481658080637</v>
      </c>
      <c r="AH32" s="503">
        <f>H31</f>
        <v>194.50006770157015</v>
      </c>
      <c r="AI32" s="719"/>
      <c r="AJ32" s="719"/>
      <c r="AK32"/>
      <c r="AL32"/>
      <c r="AM32"/>
      <c r="AN32"/>
      <c r="AO32"/>
      <c r="AP32"/>
      <c r="AQ32"/>
      <c r="AR32" s="720"/>
    </row>
    <row r="33" spans="1:44" s="544" customFormat="1" ht="15" customHeight="1">
      <c r="A33" s="718"/>
      <c r="B33" s="224" t="str">
        <f>'P&amp;L'!C35</f>
        <v>Assumed Philanthropy Received Per Pupil</v>
      </c>
      <c r="C33" s="363">
        <f>'P&amp;L'!D35</f>
        <v>0</v>
      </c>
      <c r="D33" s="225">
        <f>'P&amp;L'!E35</f>
        <v>1250</v>
      </c>
      <c r="E33" s="225">
        <f>'P&amp;L'!F35</f>
        <v>625</v>
      </c>
      <c r="F33" s="225">
        <f>'P&amp;L'!G35</f>
        <v>434.78260869565219</v>
      </c>
      <c r="G33" s="225">
        <f>'P&amp;L'!H35</f>
        <v>384.61538461538464</v>
      </c>
      <c r="H33" s="225">
        <f>'P&amp;L'!I35</f>
        <v>384.61538461538464</v>
      </c>
      <c r="I33" s="719"/>
      <c r="J33" s="719"/>
      <c r="K33" s="719"/>
      <c r="L33" s="719"/>
      <c r="M33" s="719"/>
      <c r="N33" s="719"/>
      <c r="O33" s="719"/>
      <c r="P33" s="719"/>
      <c r="Q33" s="719"/>
      <c r="R33" s="719"/>
      <c r="S33" s="719"/>
      <c r="T33" s="719"/>
      <c r="U33" s="719"/>
      <c r="V33" s="719"/>
      <c r="W33" s="719"/>
      <c r="X33" s="719"/>
      <c r="Y33" s="719"/>
      <c r="Z33" s="719"/>
      <c r="AA33" s="719"/>
      <c r="AB33" s="505" t="s">
        <v>1321</v>
      </c>
      <c r="AC33" s="495">
        <f>'P&amp;L'!D343</f>
        <v>0</v>
      </c>
      <c r="AD33" s="495">
        <f>'P&amp;L'!E343</f>
        <v>0</v>
      </c>
      <c r="AE33" s="495">
        <f>'P&amp;L'!F343</f>
        <v>0</v>
      </c>
      <c r="AF33" s="495">
        <f>'P&amp;L'!G343</f>
        <v>0</v>
      </c>
      <c r="AG33" s="495">
        <f>'P&amp;L'!H343</f>
        <v>0</v>
      </c>
      <c r="AH33" s="495">
        <f>'P&amp;L'!I343</f>
        <v>0</v>
      </c>
      <c r="AI33" s="719"/>
      <c r="AJ33" s="719"/>
      <c r="AK33"/>
      <c r="AL33"/>
      <c r="AM33"/>
      <c r="AN33"/>
      <c r="AO33"/>
      <c r="AP33"/>
      <c r="AQ33"/>
      <c r="AR33" s="720"/>
    </row>
    <row r="34" spans="1:44" ht="15" customHeight="1">
      <c r="A34" s="183"/>
      <c r="B34" s="224" t="str">
        <f>'P&amp;L'!C36</f>
        <v>DCOH w/Assumed Philanthropy</v>
      </c>
      <c r="C34" s="226">
        <f>'P&amp;L'!D36</f>
        <v>91.98206945158833</v>
      </c>
      <c r="D34" s="226">
        <f>'P&amp;L'!E36</f>
        <v>102.63111840833139</v>
      </c>
      <c r="E34" s="226">
        <f>'P&amp;L'!F36</f>
        <v>97.426325933926208</v>
      </c>
      <c r="F34" s="226">
        <f>'P&amp;L'!G36</f>
        <v>116.52469496054194</v>
      </c>
      <c r="G34" s="226">
        <f>'P&amp;L'!H36</f>
        <v>143.71481658080637</v>
      </c>
      <c r="H34" s="226">
        <f>'P&amp;L'!I36</f>
        <v>194.50006770157015</v>
      </c>
      <c r="I34"/>
      <c r="J34"/>
      <c r="K34"/>
      <c r="L34"/>
      <c r="M34"/>
      <c r="N34"/>
      <c r="O34"/>
      <c r="P34"/>
      <c r="Q34"/>
      <c r="R34"/>
      <c r="S34"/>
      <c r="T34"/>
      <c r="U34"/>
      <c r="V34"/>
      <c r="W34"/>
      <c r="X34"/>
      <c r="Y34"/>
      <c r="Z34"/>
      <c r="AA34"/>
      <c r="AB34" s="504" t="s">
        <v>1322</v>
      </c>
      <c r="AC34" s="496" t="str">
        <f t="shared" ref="AC34:AH35" si="1">C36</f>
        <v>NA</v>
      </c>
      <c r="AD34" s="496">
        <f t="shared" si="1"/>
        <v>1.9294205000938967</v>
      </c>
      <c r="AE34" s="496">
        <f t="shared" si="1"/>
        <v>3.4593614248178843</v>
      </c>
      <c r="AF34" s="496">
        <f t="shared" si="1"/>
        <v>4.8893801673419119</v>
      </c>
      <c r="AG34" s="496">
        <f t="shared" si="1"/>
        <v>5.1879887202846957</v>
      </c>
      <c r="AH34" s="496">
        <f t="shared" si="1"/>
        <v>5.9811924548749138</v>
      </c>
      <c r="AI34"/>
      <c r="AJ34"/>
      <c r="AK34"/>
      <c r="AL34"/>
      <c r="AM34"/>
      <c r="AN34"/>
      <c r="AO34"/>
      <c r="AP34"/>
      <c r="AQ34"/>
      <c r="AR34" s="464"/>
    </row>
    <row r="35" spans="1:44" ht="15" customHeight="1">
      <c r="A35" s="183"/>
      <c r="B35" s="227" t="str">
        <f>'P&amp;L'!C37</f>
        <v>Additional Philanthropy required for 60 DCOH</v>
      </c>
      <c r="C35" s="230">
        <f>'P&amp;L'!D37</f>
        <v>0</v>
      </c>
      <c r="D35" s="228">
        <f>'P&amp;L'!E37</f>
        <v>0</v>
      </c>
      <c r="E35" s="228">
        <f>'P&amp;L'!F37</f>
        <v>0</v>
      </c>
      <c r="F35" s="228">
        <f>'P&amp;L'!G37</f>
        <v>0</v>
      </c>
      <c r="G35" s="228">
        <f>'P&amp;L'!H37</f>
        <v>0</v>
      </c>
      <c r="H35" s="228">
        <f>'P&amp;L'!I37</f>
        <v>0</v>
      </c>
      <c r="I35"/>
      <c r="J35"/>
      <c r="K35"/>
      <c r="L35"/>
      <c r="M35"/>
      <c r="N35"/>
      <c r="O35"/>
      <c r="P35"/>
      <c r="Q35"/>
      <c r="R35"/>
      <c r="S35"/>
      <c r="T35"/>
      <c r="U35"/>
      <c r="V35"/>
      <c r="W35"/>
      <c r="X35"/>
      <c r="Y35"/>
      <c r="Z35"/>
      <c r="AA35"/>
      <c r="AB35" s="501" t="s">
        <v>1323</v>
      </c>
      <c r="AC35" s="495">
        <f t="shared" si="1"/>
        <v>22380</v>
      </c>
      <c r="AD35" s="495">
        <f t="shared" si="1"/>
        <v>0</v>
      </c>
      <c r="AE35" s="495">
        <f t="shared" si="1"/>
        <v>0</v>
      </c>
      <c r="AF35" s="495">
        <f t="shared" si="1"/>
        <v>0</v>
      </c>
      <c r="AG35" s="495">
        <f t="shared" si="1"/>
        <v>0</v>
      </c>
      <c r="AH35" s="495">
        <f t="shared" si="1"/>
        <v>0</v>
      </c>
      <c r="AI35"/>
      <c r="AJ35"/>
      <c r="AK35"/>
      <c r="AL35"/>
      <c r="AM35"/>
      <c r="AN35"/>
      <c r="AO35"/>
      <c r="AP35"/>
      <c r="AQ35"/>
      <c r="AR35" s="464"/>
    </row>
    <row r="36" spans="1:44" ht="15" customHeight="1">
      <c r="A36" s="183"/>
      <c r="B36" s="222" t="str">
        <f>'P&amp;L'!C38</f>
        <v>DSCR</v>
      </c>
      <c r="C36" s="404" t="str">
        <f>'P&amp;L'!D38</f>
        <v>NA</v>
      </c>
      <c r="D36" s="404">
        <f>'P&amp;L'!E38</f>
        <v>1.9294205000938967</v>
      </c>
      <c r="E36" s="404">
        <f>'P&amp;L'!F38</f>
        <v>3.4593614248178843</v>
      </c>
      <c r="F36" s="404">
        <f>'P&amp;L'!G38</f>
        <v>4.8893801673419119</v>
      </c>
      <c r="G36" s="404">
        <f>'P&amp;L'!H38</f>
        <v>5.1879887202846957</v>
      </c>
      <c r="H36" s="404">
        <f>'P&amp;L'!I38</f>
        <v>5.9811924548749138</v>
      </c>
      <c r="I36"/>
      <c r="J36"/>
      <c r="K36"/>
      <c r="L36"/>
      <c r="M36"/>
      <c r="N36"/>
      <c r="O36"/>
      <c r="P36"/>
      <c r="Q36"/>
      <c r="R36"/>
      <c r="S36"/>
      <c r="T36"/>
      <c r="U36"/>
      <c r="V36"/>
      <c r="W36"/>
      <c r="X36"/>
      <c r="Y36"/>
      <c r="Z36"/>
      <c r="AA36"/>
      <c r="AB36" s="502" t="s">
        <v>1324</v>
      </c>
      <c r="AC36" s="497">
        <f>'P&amp;L'!D340</f>
        <v>0</v>
      </c>
      <c r="AD36" s="497">
        <f>'P&amp;L'!E340</f>
        <v>30</v>
      </c>
      <c r="AE36" s="497">
        <f>'P&amp;L'!F340</f>
        <v>30</v>
      </c>
      <c r="AF36" s="497">
        <f>'P&amp;L'!G340</f>
        <v>60</v>
      </c>
      <c r="AG36" s="497">
        <f>'P&amp;L'!H340</f>
        <v>60</v>
      </c>
      <c r="AH36" s="497">
        <f>'P&amp;L'!I340</f>
        <v>60</v>
      </c>
      <c r="AI36"/>
      <c r="AJ36"/>
      <c r="AK36"/>
      <c r="AL36"/>
      <c r="AM36"/>
      <c r="AN36"/>
      <c r="AO36"/>
      <c r="AP36"/>
      <c r="AQ36"/>
      <c r="AR36" s="464"/>
    </row>
    <row r="37" spans="1:44" ht="15" customHeight="1">
      <c r="A37" s="183"/>
      <c r="B37" s="229" t="str">
        <f>'P&amp;L'!C39</f>
        <v>Additional Philanthropy required for 1.2x DSCR</v>
      </c>
      <c r="C37" s="230">
        <f>'P&amp;L'!D39</f>
        <v>22380</v>
      </c>
      <c r="D37" s="230">
        <f>'P&amp;L'!E39</f>
        <v>0</v>
      </c>
      <c r="E37" s="230">
        <f>'P&amp;L'!F39</f>
        <v>0</v>
      </c>
      <c r="F37" s="230">
        <f>'P&amp;L'!G39</f>
        <v>0</v>
      </c>
      <c r="G37" s="230">
        <f>'P&amp;L'!H39</f>
        <v>0</v>
      </c>
      <c r="H37" s="230">
        <f>'P&amp;L'!I39</f>
        <v>0</v>
      </c>
      <c r="I37"/>
      <c r="J37"/>
      <c r="K37"/>
      <c r="L37"/>
      <c r="M37"/>
      <c r="N37"/>
      <c r="O37"/>
      <c r="P37"/>
      <c r="Q37"/>
      <c r="R37"/>
      <c r="S37"/>
      <c r="T37"/>
      <c r="U37"/>
      <c r="V37"/>
      <c r="W37"/>
      <c r="X37"/>
      <c r="Y37"/>
      <c r="Z37"/>
      <c r="AA37"/>
      <c r="AB37" s="501" t="s">
        <v>318</v>
      </c>
      <c r="AC37" s="498">
        <f>'P&amp;L'!D358</f>
        <v>1.2</v>
      </c>
      <c r="AD37" s="498">
        <f>'P&amp;L'!E358</f>
        <v>1.2</v>
      </c>
      <c r="AE37" s="498">
        <f>'P&amp;L'!F358</f>
        <v>1.2</v>
      </c>
      <c r="AF37" s="498">
        <f>'P&amp;L'!G358</f>
        <v>1.2</v>
      </c>
      <c r="AG37" s="498">
        <f>'P&amp;L'!H358</f>
        <v>1.2</v>
      </c>
      <c r="AH37" s="498">
        <f>'P&amp;L'!I358</f>
        <v>1.2</v>
      </c>
      <c r="AI37"/>
      <c r="AJ37"/>
      <c r="AK37"/>
      <c r="AL37"/>
      <c r="AM37"/>
      <c r="AN37"/>
      <c r="AO37"/>
      <c r="AP37"/>
      <c r="AQ37"/>
      <c r="AR37" s="464"/>
    </row>
    <row r="38" spans="1:44" ht="15" customHeight="1">
      <c r="A38" s="305"/>
      <c r="B38" s="723"/>
      <c r="C38" s="723"/>
      <c r="D38" s="723"/>
      <c r="E38" s="723"/>
      <c r="F38" s="723"/>
      <c r="G38" s="723"/>
      <c r="H38" s="723"/>
      <c r="I38" s="597"/>
      <c r="J38" s="597"/>
      <c r="K38" s="597"/>
      <c r="L38" s="597"/>
      <c r="M38" s="597"/>
      <c r="N38" s="597"/>
      <c r="O38" s="597"/>
      <c r="P38" s="597"/>
      <c r="Q38" s="597"/>
      <c r="R38" s="597"/>
      <c r="S38" s="597"/>
      <c r="T38" s="597"/>
      <c r="U38" s="597"/>
      <c r="V38" s="597"/>
      <c r="W38" s="597"/>
      <c r="X38" s="597"/>
      <c r="Y38" s="597"/>
      <c r="Z38" s="597"/>
      <c r="AA38" s="597"/>
      <c r="AB38" s="597"/>
      <c r="AC38" s="597"/>
      <c r="AD38" s="597"/>
      <c r="AE38" s="597"/>
      <c r="AF38" s="597"/>
      <c r="AG38" s="597"/>
      <c r="AH38" s="597"/>
      <c r="AI38" s="597"/>
      <c r="AJ38" s="597"/>
      <c r="AK38" s="597"/>
      <c r="AL38" s="597"/>
      <c r="AM38" s="597"/>
      <c r="AN38" s="597"/>
      <c r="AO38" s="597"/>
      <c r="AP38" s="597"/>
      <c r="AQ38" s="597"/>
      <c r="AR38" s="598"/>
    </row>
    <row r="39" spans="1:44" ht="15" customHeight="1"/>
    <row r="40" spans="1:44" ht="15" customHeight="1"/>
    <row r="41" spans="1:44" ht="15" customHeight="1"/>
    <row r="42" spans="1:44" ht="15" customHeight="1"/>
    <row r="43" spans="1:44" ht="15" customHeight="1"/>
    <row r="44" spans="1:44" ht="15" customHeight="1"/>
    <row r="45" spans="1:44" s="543" customFormat="1" ht="15" customHeight="1">
      <c r="I45" s="513"/>
      <c r="J45" s="513"/>
      <c r="K45" s="513"/>
      <c r="L45" s="513"/>
      <c r="M45" s="513"/>
      <c r="N45" s="513"/>
      <c r="O45" s="513"/>
      <c r="P45" s="513"/>
      <c r="Q45" s="513"/>
      <c r="R45" s="513"/>
      <c r="S45" s="513"/>
      <c r="T45" s="513"/>
      <c r="U45" s="513"/>
      <c r="V45" s="513"/>
      <c r="W45" s="513"/>
      <c r="X45" s="513"/>
      <c r="Y45" s="513"/>
      <c r="Z45" s="513"/>
      <c r="AA45" s="513"/>
      <c r="AB45" s="513"/>
      <c r="AC45" s="513"/>
      <c r="AD45" s="513"/>
      <c r="AE45" s="513"/>
      <c r="AF45" s="513"/>
      <c r="AG45" s="513"/>
      <c r="AH45" s="513"/>
      <c r="AI45" s="513"/>
      <c r="AJ45" s="513"/>
      <c r="AK45" s="513"/>
      <c r="AL45" s="513"/>
      <c r="AM45" s="513"/>
      <c r="AN45" s="513"/>
      <c r="AO45" s="513"/>
      <c r="AP45" s="513"/>
      <c r="AQ45" s="513"/>
    </row>
    <row r="46" spans="1:44" s="543" customFormat="1" ht="15" customHeight="1">
      <c r="I46" s="513"/>
      <c r="J46" s="513"/>
      <c r="K46" s="513"/>
      <c r="L46" s="513"/>
      <c r="M46" s="513"/>
      <c r="N46" s="513"/>
      <c r="O46" s="513"/>
      <c r="P46" s="513"/>
      <c r="Q46" s="513"/>
      <c r="R46" s="513"/>
      <c r="S46" s="513"/>
      <c r="T46" s="513"/>
      <c r="U46" s="513"/>
      <c r="V46" s="513"/>
      <c r="W46" s="513"/>
      <c r="X46" s="513"/>
      <c r="Y46" s="513"/>
      <c r="Z46" s="513"/>
      <c r="AA46" s="513"/>
      <c r="AB46" s="513"/>
      <c r="AC46" s="513"/>
      <c r="AD46" s="513"/>
      <c r="AE46" s="513"/>
      <c r="AF46" s="513"/>
      <c r="AG46" s="513"/>
      <c r="AH46" s="513"/>
      <c r="AI46" s="513"/>
      <c r="AJ46" s="513"/>
      <c r="AK46" s="513"/>
      <c r="AL46" s="513"/>
      <c r="AM46" s="513"/>
      <c r="AN46" s="513"/>
      <c r="AO46" s="513"/>
      <c r="AP46" s="513"/>
      <c r="AQ46" s="513"/>
    </row>
    <row r="47" spans="1:44" s="543" customFormat="1" ht="15" customHeight="1">
      <c r="I47" s="513"/>
      <c r="J47" s="513"/>
      <c r="K47" s="513"/>
      <c r="L47" s="513"/>
      <c r="M47" s="513"/>
      <c r="N47" s="513"/>
      <c r="O47" s="513"/>
      <c r="P47" s="513"/>
      <c r="Q47" s="513"/>
      <c r="R47" s="513"/>
      <c r="S47" s="513"/>
      <c r="T47" s="513"/>
      <c r="U47" s="513"/>
      <c r="V47" s="513"/>
      <c r="W47" s="513"/>
      <c r="X47" s="513"/>
      <c r="Y47" s="513"/>
      <c r="Z47" s="513"/>
      <c r="AA47" s="513"/>
      <c r="AB47" s="513"/>
      <c r="AC47" s="513"/>
      <c r="AD47" s="513"/>
      <c r="AE47" s="513"/>
      <c r="AF47" s="513"/>
      <c r="AG47" s="513"/>
      <c r="AH47" s="513"/>
      <c r="AI47" s="513"/>
      <c r="AJ47" s="513"/>
      <c r="AK47" s="513"/>
      <c r="AL47" s="513"/>
      <c r="AM47" s="513"/>
      <c r="AN47" s="513"/>
      <c r="AO47" s="513"/>
      <c r="AP47" s="513"/>
      <c r="AQ47" s="513"/>
    </row>
    <row r="48" spans="1:44" s="543" customFormat="1" ht="15" customHeight="1">
      <c r="I48" s="513"/>
      <c r="J48" s="513"/>
      <c r="K48" s="513"/>
      <c r="L48" s="513"/>
      <c r="M48" s="513"/>
      <c r="N48" s="513"/>
      <c r="O48" s="513"/>
      <c r="P48" s="513"/>
      <c r="Q48" s="513"/>
      <c r="R48" s="513"/>
      <c r="S48" s="513"/>
      <c r="T48" s="513"/>
      <c r="U48" s="513"/>
      <c r="V48" s="513"/>
      <c r="W48" s="513"/>
      <c r="X48" s="513"/>
      <c r="Y48" s="513"/>
      <c r="Z48" s="513"/>
      <c r="AA48" s="513"/>
      <c r="AB48" s="513"/>
      <c r="AC48" s="513"/>
      <c r="AD48" s="513"/>
      <c r="AE48" s="513"/>
      <c r="AF48" s="513"/>
      <c r="AG48" s="513"/>
      <c r="AH48" s="513"/>
      <c r="AI48" s="513"/>
      <c r="AJ48" s="513"/>
      <c r="AK48" s="513"/>
      <c r="AL48" s="513"/>
      <c r="AM48" s="513"/>
      <c r="AN48" s="513"/>
      <c r="AO48" s="513"/>
      <c r="AP48" s="513"/>
      <c r="AQ48" s="513"/>
    </row>
    <row r="49" spans="9:43" s="543" customFormat="1" ht="15" customHeight="1">
      <c r="I49" s="513"/>
      <c r="J49" s="513"/>
      <c r="K49" s="513"/>
      <c r="L49" s="513"/>
      <c r="M49" s="513"/>
      <c r="N49" s="513"/>
      <c r="O49" s="513"/>
      <c r="P49" s="513"/>
      <c r="Q49" s="513"/>
      <c r="R49" s="513"/>
      <c r="S49" s="513"/>
      <c r="T49" s="513"/>
      <c r="U49" s="513"/>
      <c r="V49" s="513"/>
      <c r="W49" s="513"/>
      <c r="X49" s="513"/>
      <c r="Y49" s="513"/>
      <c r="Z49" s="513"/>
      <c r="AA49" s="513"/>
      <c r="AB49" s="513"/>
      <c r="AC49" s="513"/>
      <c r="AD49" s="513"/>
      <c r="AE49" s="513"/>
      <c r="AF49" s="513"/>
      <c r="AG49" s="513"/>
      <c r="AH49" s="513"/>
      <c r="AI49" s="513"/>
      <c r="AJ49" s="513"/>
      <c r="AK49" s="513"/>
      <c r="AL49" s="513"/>
      <c r="AM49" s="513"/>
      <c r="AN49" s="513"/>
      <c r="AO49" s="513"/>
      <c r="AP49" s="513"/>
      <c r="AQ49" s="513"/>
    </row>
    <row r="50" spans="9:43" s="543" customFormat="1" ht="15" customHeight="1">
      <c r="I50" s="513"/>
      <c r="J50" s="513"/>
      <c r="K50" s="513"/>
      <c r="L50" s="513"/>
      <c r="M50" s="513"/>
      <c r="N50" s="513"/>
      <c r="O50" s="513"/>
      <c r="P50" s="513"/>
      <c r="Q50" s="513"/>
      <c r="R50" s="513"/>
      <c r="S50" s="513"/>
      <c r="T50" s="513"/>
      <c r="U50" s="513"/>
      <c r="V50" s="513"/>
      <c r="W50" s="513"/>
      <c r="X50" s="513"/>
      <c r="Y50" s="513"/>
      <c r="Z50" s="513"/>
      <c r="AA50" s="513"/>
      <c r="AB50" s="513"/>
      <c r="AC50" s="513"/>
      <c r="AD50" s="513"/>
      <c r="AE50" s="513"/>
      <c r="AF50" s="513"/>
      <c r="AG50" s="513"/>
      <c r="AH50" s="513"/>
      <c r="AI50" s="513"/>
      <c r="AJ50" s="513"/>
      <c r="AK50" s="513"/>
      <c r="AL50" s="513"/>
      <c r="AM50" s="513"/>
      <c r="AN50" s="513"/>
      <c r="AO50" s="513"/>
      <c r="AP50" s="513"/>
      <c r="AQ50" s="513"/>
    </row>
    <row r="51" spans="9:43" s="543" customFormat="1" ht="15" customHeight="1">
      <c r="I51" s="513"/>
      <c r="J51" s="513"/>
      <c r="K51" s="513"/>
      <c r="L51" s="513"/>
      <c r="M51" s="513"/>
      <c r="N51" s="513"/>
      <c r="O51" s="513"/>
      <c r="P51" s="513"/>
      <c r="Q51" s="513"/>
      <c r="R51" s="513"/>
      <c r="S51" s="513"/>
      <c r="T51" s="513"/>
      <c r="U51" s="513"/>
      <c r="V51" s="513"/>
      <c r="W51" s="513"/>
      <c r="X51" s="513"/>
      <c r="Y51" s="513"/>
      <c r="Z51" s="513"/>
      <c r="AA51" s="513"/>
      <c r="AB51" s="513"/>
      <c r="AC51" s="513"/>
      <c r="AD51" s="513"/>
      <c r="AE51" s="513"/>
      <c r="AF51" s="513"/>
      <c r="AG51" s="513"/>
      <c r="AH51" s="513"/>
      <c r="AI51" s="513"/>
      <c r="AJ51" s="513"/>
      <c r="AK51" s="513"/>
      <c r="AL51" s="513"/>
      <c r="AM51" s="513"/>
      <c r="AN51" s="513"/>
      <c r="AO51" s="513"/>
      <c r="AP51" s="513"/>
      <c r="AQ51" s="513"/>
    </row>
    <row r="52" spans="9:43" s="543" customFormat="1" ht="15" customHeight="1">
      <c r="I52" s="513"/>
      <c r="J52" s="513"/>
      <c r="K52" s="513"/>
      <c r="L52" s="513"/>
      <c r="M52" s="513"/>
      <c r="N52" s="513"/>
      <c r="O52" s="513"/>
      <c r="P52" s="513"/>
      <c r="Q52" s="513"/>
      <c r="R52" s="513"/>
      <c r="S52" s="513"/>
      <c r="T52" s="513"/>
      <c r="U52" s="513"/>
      <c r="V52" s="513"/>
      <c r="W52" s="513"/>
      <c r="X52" s="513"/>
      <c r="Y52" s="513"/>
      <c r="Z52" s="513"/>
      <c r="AA52" s="513"/>
      <c r="AB52" s="513"/>
      <c r="AC52" s="513"/>
      <c r="AD52" s="513"/>
      <c r="AE52" s="513"/>
      <c r="AF52" s="513"/>
      <c r="AG52" s="513"/>
      <c r="AH52" s="513"/>
      <c r="AI52" s="513"/>
      <c r="AJ52" s="513"/>
      <c r="AK52" s="513"/>
      <c r="AL52" s="513"/>
      <c r="AM52" s="513"/>
      <c r="AN52" s="513"/>
      <c r="AO52" s="513"/>
      <c r="AP52" s="513"/>
      <c r="AQ52" s="513"/>
    </row>
    <row r="53" spans="9:43" s="543" customFormat="1" ht="15" customHeight="1">
      <c r="I53" s="513"/>
      <c r="J53" s="513"/>
      <c r="K53" s="513"/>
      <c r="L53" s="513"/>
      <c r="M53" s="513"/>
      <c r="N53" s="513"/>
      <c r="O53" s="513"/>
      <c r="P53" s="513"/>
      <c r="Q53" s="513"/>
      <c r="R53" s="513"/>
      <c r="S53" s="513"/>
      <c r="T53" s="513"/>
      <c r="U53" s="513"/>
      <c r="V53" s="513"/>
      <c r="W53" s="513"/>
      <c r="X53" s="513"/>
      <c r="Y53" s="513"/>
      <c r="Z53" s="513"/>
      <c r="AA53" s="513"/>
      <c r="AB53" s="513"/>
      <c r="AC53" s="513"/>
      <c r="AD53" s="513"/>
      <c r="AE53" s="513"/>
      <c r="AF53" s="513"/>
      <c r="AG53" s="513"/>
      <c r="AH53" s="513"/>
      <c r="AI53" s="513"/>
      <c r="AJ53" s="513"/>
      <c r="AK53" s="513"/>
      <c r="AL53" s="513"/>
      <c r="AM53" s="513"/>
      <c r="AN53" s="513"/>
      <c r="AO53" s="513"/>
      <c r="AP53" s="513"/>
      <c r="AQ53" s="513"/>
    </row>
    <row r="54" spans="9:43" s="543" customFormat="1" ht="15" customHeight="1">
      <c r="I54" s="513"/>
      <c r="J54" s="513"/>
      <c r="K54" s="513"/>
      <c r="L54" s="513"/>
      <c r="M54" s="513"/>
      <c r="N54" s="513"/>
      <c r="O54" s="513"/>
      <c r="P54" s="513"/>
      <c r="Q54" s="513"/>
      <c r="R54" s="513"/>
      <c r="S54" s="513"/>
      <c r="T54" s="513"/>
      <c r="U54" s="513"/>
      <c r="V54" s="513"/>
      <c r="W54" s="513"/>
      <c r="X54" s="513"/>
      <c r="Y54" s="513"/>
      <c r="Z54" s="513"/>
      <c r="AA54" s="513"/>
      <c r="AB54" s="513"/>
      <c r="AC54" s="513"/>
      <c r="AD54" s="513"/>
      <c r="AE54" s="513"/>
      <c r="AF54" s="513"/>
      <c r="AG54" s="513"/>
      <c r="AH54" s="513"/>
      <c r="AI54" s="513"/>
      <c r="AJ54" s="513"/>
      <c r="AK54" s="513"/>
      <c r="AL54" s="513"/>
      <c r="AM54" s="513"/>
      <c r="AN54" s="513"/>
      <c r="AO54" s="513"/>
      <c r="AP54" s="513"/>
      <c r="AQ54" s="513"/>
    </row>
    <row r="55" spans="9:43" s="543" customFormat="1" ht="15" customHeight="1">
      <c r="I55" s="513"/>
      <c r="J55" s="513"/>
      <c r="K55" s="513"/>
      <c r="L55" s="513"/>
      <c r="M55" s="513"/>
      <c r="N55" s="513"/>
      <c r="O55" s="513"/>
      <c r="P55" s="513"/>
      <c r="Q55" s="513"/>
      <c r="R55" s="513"/>
      <c r="S55" s="513"/>
      <c r="T55" s="513"/>
      <c r="U55" s="513"/>
      <c r="V55" s="513"/>
      <c r="W55" s="513"/>
      <c r="X55" s="513"/>
      <c r="Y55" s="513"/>
      <c r="Z55" s="513"/>
      <c r="AA55" s="513"/>
      <c r="AB55" s="513"/>
      <c r="AC55" s="513"/>
      <c r="AD55" s="513"/>
      <c r="AE55" s="513"/>
      <c r="AF55" s="513"/>
      <c r="AG55" s="513"/>
      <c r="AH55" s="513"/>
      <c r="AI55" s="513"/>
      <c r="AJ55" s="513"/>
      <c r="AK55" s="513"/>
      <c r="AL55" s="513"/>
      <c r="AM55" s="513"/>
      <c r="AN55" s="513"/>
      <c r="AO55" s="513"/>
      <c r="AP55" s="513"/>
      <c r="AQ55" s="513"/>
    </row>
    <row r="56" spans="9:43" s="543" customFormat="1" ht="15" customHeight="1">
      <c r="I56" s="513"/>
      <c r="J56" s="513"/>
      <c r="K56" s="513"/>
      <c r="L56" s="513"/>
      <c r="M56" s="513"/>
      <c r="N56" s="513"/>
      <c r="O56" s="513"/>
      <c r="P56" s="513"/>
      <c r="Q56" s="513"/>
      <c r="R56" s="513"/>
      <c r="S56" s="513"/>
      <c r="T56" s="513"/>
      <c r="U56" s="513"/>
      <c r="V56" s="513"/>
      <c r="W56" s="513"/>
      <c r="X56" s="513"/>
      <c r="Y56" s="513"/>
      <c r="Z56" s="513"/>
      <c r="AA56" s="513"/>
      <c r="AB56" s="513"/>
      <c r="AC56" s="513"/>
      <c r="AD56" s="513"/>
      <c r="AE56" s="513"/>
      <c r="AF56" s="513"/>
      <c r="AG56" s="513"/>
      <c r="AH56" s="513"/>
      <c r="AI56" s="513"/>
      <c r="AJ56" s="513"/>
      <c r="AK56" s="513"/>
      <c r="AL56" s="513"/>
      <c r="AM56" s="513"/>
      <c r="AN56" s="513"/>
      <c r="AO56" s="513"/>
      <c r="AP56" s="513"/>
      <c r="AQ56" s="513"/>
    </row>
    <row r="57" spans="9:43" s="543" customFormat="1" ht="15" customHeight="1">
      <c r="I57" s="513"/>
      <c r="J57" s="513"/>
      <c r="K57" s="513"/>
      <c r="L57" s="513"/>
      <c r="M57" s="513"/>
      <c r="N57" s="513"/>
      <c r="O57" s="513"/>
      <c r="P57" s="513"/>
      <c r="Q57" s="513"/>
      <c r="R57" s="513"/>
      <c r="S57" s="513"/>
      <c r="T57" s="513"/>
      <c r="U57" s="513"/>
      <c r="V57" s="513"/>
      <c r="W57" s="513"/>
      <c r="X57" s="513"/>
      <c r="Y57" s="513"/>
      <c r="Z57" s="513"/>
      <c r="AA57" s="513"/>
      <c r="AB57" s="513"/>
      <c r="AC57" s="513"/>
      <c r="AD57" s="513"/>
      <c r="AE57" s="513"/>
      <c r="AF57" s="513"/>
      <c r="AG57" s="513"/>
      <c r="AH57" s="513"/>
      <c r="AI57" s="513"/>
      <c r="AJ57" s="513"/>
      <c r="AK57" s="513"/>
      <c r="AL57" s="513"/>
      <c r="AM57" s="513"/>
      <c r="AN57" s="513"/>
      <c r="AO57" s="513"/>
      <c r="AP57" s="513"/>
      <c r="AQ57" s="513"/>
    </row>
    <row r="58" spans="9:43" s="543" customFormat="1" ht="15" customHeight="1">
      <c r="I58" s="513"/>
      <c r="J58" s="513"/>
      <c r="K58" s="513"/>
      <c r="L58" s="513"/>
      <c r="M58" s="513"/>
      <c r="N58" s="513"/>
      <c r="O58" s="513"/>
      <c r="P58" s="513"/>
      <c r="Q58" s="513"/>
      <c r="R58" s="513"/>
      <c r="S58" s="513"/>
      <c r="T58" s="513"/>
      <c r="U58" s="513"/>
      <c r="V58" s="513"/>
      <c r="W58" s="513"/>
      <c r="X58" s="513"/>
      <c r="Y58" s="513"/>
      <c r="Z58" s="513"/>
      <c r="AA58" s="513"/>
      <c r="AB58" s="513"/>
      <c r="AC58" s="513"/>
      <c r="AD58" s="513"/>
      <c r="AE58" s="513"/>
      <c r="AF58" s="513"/>
      <c r="AG58" s="513"/>
      <c r="AH58" s="513"/>
      <c r="AI58" s="513"/>
      <c r="AJ58" s="513"/>
      <c r="AK58" s="513"/>
      <c r="AL58" s="513"/>
      <c r="AM58" s="513"/>
      <c r="AN58" s="513"/>
      <c r="AO58" s="513"/>
      <c r="AP58" s="513"/>
      <c r="AQ58" s="513"/>
    </row>
    <row r="59" spans="9:43" s="543" customFormat="1" ht="15" customHeight="1">
      <c r="I59" s="513"/>
      <c r="J59" s="513"/>
      <c r="K59" s="513"/>
      <c r="L59" s="513"/>
      <c r="M59" s="513"/>
      <c r="N59" s="513"/>
      <c r="O59" s="513"/>
      <c r="P59" s="513"/>
      <c r="Q59" s="513"/>
      <c r="R59" s="513"/>
      <c r="S59" s="513"/>
      <c r="T59" s="513"/>
      <c r="U59" s="513"/>
      <c r="V59" s="513"/>
      <c r="W59" s="513"/>
      <c r="X59" s="513"/>
      <c r="Y59" s="513"/>
      <c r="Z59" s="513"/>
      <c r="AA59" s="513"/>
      <c r="AB59" s="513"/>
      <c r="AC59" s="513"/>
      <c r="AD59" s="513"/>
      <c r="AE59" s="513"/>
      <c r="AF59" s="513"/>
      <c r="AG59" s="513"/>
      <c r="AH59" s="513"/>
      <c r="AI59" s="513"/>
      <c r="AJ59" s="513"/>
      <c r="AK59" s="513"/>
      <c r="AL59" s="513"/>
      <c r="AM59" s="513"/>
      <c r="AN59" s="513"/>
      <c r="AO59" s="513"/>
      <c r="AP59" s="513"/>
      <c r="AQ59" s="513"/>
    </row>
    <row r="60" spans="9:43" s="543" customFormat="1" ht="15" customHeight="1">
      <c r="I60" s="513"/>
      <c r="J60" s="513"/>
      <c r="K60" s="513"/>
      <c r="L60" s="513"/>
      <c r="M60" s="513"/>
      <c r="N60" s="513"/>
      <c r="O60" s="513"/>
      <c r="P60" s="513"/>
      <c r="Q60" s="513"/>
      <c r="R60" s="513"/>
      <c r="S60" s="513"/>
      <c r="T60" s="513"/>
      <c r="U60" s="513"/>
      <c r="V60" s="513"/>
      <c r="W60" s="513"/>
      <c r="X60" s="513"/>
      <c r="Y60" s="513"/>
      <c r="Z60" s="513"/>
      <c r="AA60" s="513"/>
      <c r="AB60" s="513"/>
      <c r="AC60" s="513"/>
      <c r="AD60" s="513"/>
      <c r="AE60" s="513"/>
      <c r="AF60" s="513"/>
      <c r="AG60" s="513"/>
      <c r="AH60" s="513"/>
      <c r="AI60" s="513"/>
      <c r="AJ60" s="513"/>
      <c r="AK60" s="513"/>
      <c r="AL60" s="513"/>
      <c r="AM60" s="513"/>
      <c r="AN60" s="513"/>
      <c r="AO60" s="513"/>
      <c r="AP60" s="513"/>
      <c r="AQ60" s="513"/>
    </row>
    <row r="61" spans="9:43" s="543" customFormat="1" ht="15" customHeight="1">
      <c r="I61" s="513"/>
      <c r="J61" s="513"/>
      <c r="K61" s="513"/>
      <c r="L61" s="513"/>
      <c r="M61" s="513"/>
      <c r="N61" s="513"/>
      <c r="O61" s="513"/>
      <c r="P61" s="513"/>
      <c r="Q61" s="513"/>
      <c r="R61" s="513"/>
      <c r="S61" s="513"/>
      <c r="T61" s="513"/>
      <c r="U61" s="513"/>
      <c r="V61" s="513"/>
      <c r="W61" s="513"/>
      <c r="X61" s="513"/>
      <c r="Y61" s="513"/>
      <c r="Z61" s="513"/>
      <c r="AA61" s="513"/>
      <c r="AB61" s="513"/>
      <c r="AC61" s="513"/>
      <c r="AD61" s="513"/>
      <c r="AE61" s="513"/>
      <c r="AF61" s="513"/>
      <c r="AG61" s="513"/>
      <c r="AH61" s="513"/>
      <c r="AI61" s="513"/>
      <c r="AJ61" s="513"/>
      <c r="AK61" s="513"/>
      <c r="AL61" s="513"/>
      <c r="AM61" s="513"/>
      <c r="AN61" s="513"/>
      <c r="AO61" s="513"/>
      <c r="AP61" s="513"/>
      <c r="AQ61" s="513"/>
    </row>
    <row r="62" spans="9:43" s="543" customFormat="1" ht="15" customHeight="1">
      <c r="I62" s="513"/>
      <c r="J62" s="513"/>
      <c r="K62" s="513"/>
      <c r="L62" s="513"/>
      <c r="M62" s="513"/>
      <c r="N62" s="513"/>
      <c r="O62" s="513"/>
      <c r="P62" s="513"/>
      <c r="Q62" s="513"/>
      <c r="R62" s="513"/>
      <c r="S62" s="513"/>
      <c r="T62" s="513"/>
      <c r="U62" s="513"/>
      <c r="V62" s="513"/>
      <c r="W62" s="513"/>
      <c r="X62" s="513"/>
      <c r="Y62" s="513"/>
      <c r="Z62" s="513"/>
      <c r="AA62" s="513"/>
      <c r="AB62" s="513"/>
      <c r="AC62" s="513"/>
      <c r="AD62" s="513"/>
      <c r="AE62" s="513"/>
      <c r="AF62" s="513"/>
      <c r="AG62" s="513"/>
      <c r="AH62" s="513"/>
      <c r="AI62" s="513"/>
      <c r="AJ62" s="513"/>
      <c r="AK62" s="513"/>
      <c r="AL62" s="513"/>
      <c r="AM62" s="513"/>
      <c r="AN62" s="513"/>
      <c r="AO62" s="513"/>
      <c r="AP62" s="513"/>
      <c r="AQ62" s="513"/>
    </row>
    <row r="63" spans="9:43" s="543" customFormat="1" ht="15" customHeight="1">
      <c r="I63" s="513"/>
      <c r="J63" s="513"/>
      <c r="K63" s="513"/>
      <c r="L63" s="513"/>
      <c r="M63" s="513"/>
      <c r="N63" s="513"/>
      <c r="O63" s="513"/>
      <c r="P63" s="513"/>
      <c r="Q63" s="513"/>
      <c r="R63" s="513"/>
      <c r="S63" s="513"/>
      <c r="T63" s="513"/>
      <c r="U63" s="513"/>
      <c r="V63" s="513"/>
      <c r="W63" s="513"/>
      <c r="X63" s="513"/>
      <c r="Y63" s="513"/>
      <c r="Z63" s="513"/>
      <c r="AA63" s="513"/>
      <c r="AB63" s="513"/>
      <c r="AC63" s="513"/>
      <c r="AD63" s="513"/>
      <c r="AE63" s="513"/>
      <c r="AF63" s="513"/>
      <c r="AG63" s="513"/>
      <c r="AH63" s="513"/>
      <c r="AI63" s="513"/>
      <c r="AJ63" s="513"/>
      <c r="AK63" s="513"/>
      <c r="AL63" s="513"/>
      <c r="AM63" s="513"/>
      <c r="AN63" s="513"/>
      <c r="AO63" s="513"/>
      <c r="AP63" s="513"/>
      <c r="AQ63" s="513"/>
    </row>
    <row r="64" spans="9:43" s="543" customFormat="1" ht="15" customHeight="1">
      <c r="I64" s="513"/>
      <c r="J64" s="513"/>
      <c r="K64" s="513"/>
      <c r="L64" s="513"/>
      <c r="M64" s="513"/>
      <c r="N64" s="513"/>
      <c r="O64" s="513"/>
      <c r="P64" s="513"/>
      <c r="Q64" s="513"/>
      <c r="R64" s="513"/>
      <c r="S64" s="513"/>
      <c r="T64" s="513"/>
      <c r="U64" s="513"/>
      <c r="V64" s="513"/>
      <c r="W64" s="513"/>
      <c r="X64" s="513"/>
      <c r="Y64" s="513"/>
      <c r="Z64" s="513"/>
      <c r="AA64" s="513"/>
      <c r="AB64" s="513"/>
      <c r="AC64" s="513"/>
      <c r="AD64" s="513"/>
      <c r="AE64" s="513"/>
      <c r="AF64" s="513"/>
      <c r="AG64" s="513"/>
      <c r="AH64" s="513"/>
      <c r="AI64" s="513"/>
      <c r="AJ64" s="513"/>
      <c r="AK64" s="513"/>
      <c r="AL64" s="513"/>
      <c r="AM64" s="513"/>
      <c r="AN64" s="513"/>
      <c r="AO64" s="513"/>
      <c r="AP64" s="513"/>
      <c r="AQ64" s="513"/>
    </row>
    <row r="65" spans="9:43" s="543" customFormat="1" ht="15" customHeight="1">
      <c r="I65" s="513"/>
      <c r="J65" s="513"/>
      <c r="K65" s="513"/>
      <c r="L65" s="513"/>
      <c r="M65" s="513"/>
      <c r="N65" s="513"/>
      <c r="O65" s="513"/>
      <c r="P65" s="513"/>
      <c r="Q65" s="513"/>
      <c r="R65" s="513"/>
      <c r="S65" s="513"/>
      <c r="T65" s="513"/>
      <c r="U65" s="513"/>
      <c r="V65" s="513"/>
      <c r="W65" s="513"/>
      <c r="X65" s="513"/>
      <c r="Y65" s="513"/>
      <c r="Z65" s="513"/>
      <c r="AA65" s="513"/>
      <c r="AB65" s="513"/>
      <c r="AC65" s="513"/>
      <c r="AD65" s="513"/>
      <c r="AE65" s="513"/>
      <c r="AF65" s="513"/>
      <c r="AG65" s="513"/>
      <c r="AH65" s="513"/>
      <c r="AI65" s="513"/>
      <c r="AJ65" s="513"/>
      <c r="AK65" s="513"/>
      <c r="AL65" s="513"/>
      <c r="AM65" s="513"/>
      <c r="AN65" s="513"/>
      <c r="AO65" s="513"/>
      <c r="AP65" s="513"/>
      <c r="AQ65" s="513"/>
    </row>
    <row r="66" spans="9:43" s="543" customFormat="1" ht="15" customHeight="1">
      <c r="I66" s="513"/>
      <c r="J66" s="513"/>
      <c r="K66" s="513"/>
      <c r="L66" s="513"/>
      <c r="M66" s="513"/>
      <c r="N66" s="513"/>
      <c r="O66" s="513"/>
      <c r="P66" s="513"/>
      <c r="Q66" s="513"/>
      <c r="R66" s="513"/>
      <c r="S66" s="513"/>
      <c r="T66" s="513"/>
      <c r="U66" s="513"/>
      <c r="V66" s="513"/>
      <c r="W66" s="513"/>
      <c r="X66" s="513"/>
      <c r="Y66" s="513"/>
      <c r="Z66" s="513"/>
      <c r="AA66" s="513"/>
      <c r="AB66" s="513"/>
      <c r="AC66" s="513"/>
      <c r="AD66" s="513"/>
      <c r="AE66" s="513"/>
      <c r="AF66" s="513"/>
      <c r="AG66" s="513"/>
      <c r="AH66" s="513"/>
      <c r="AI66" s="513"/>
      <c r="AJ66" s="513"/>
      <c r="AK66" s="513"/>
      <c r="AL66" s="513"/>
      <c r="AM66" s="513"/>
      <c r="AN66" s="513"/>
      <c r="AO66" s="513"/>
      <c r="AP66" s="513"/>
      <c r="AQ66" s="513"/>
    </row>
    <row r="67" spans="9:43" s="543" customFormat="1" ht="15" customHeight="1">
      <c r="I67" s="513"/>
      <c r="J67" s="513"/>
      <c r="K67" s="513"/>
      <c r="L67" s="513"/>
      <c r="M67" s="513"/>
      <c r="N67" s="513"/>
      <c r="O67" s="513"/>
      <c r="P67" s="513"/>
      <c r="Q67" s="513"/>
      <c r="R67" s="513"/>
      <c r="S67" s="513"/>
      <c r="T67" s="513"/>
      <c r="U67" s="513"/>
      <c r="V67" s="513"/>
      <c r="W67" s="513"/>
      <c r="X67" s="513"/>
      <c r="Y67" s="513"/>
      <c r="Z67" s="513"/>
      <c r="AA67" s="513"/>
      <c r="AB67" s="513"/>
      <c r="AC67" s="513"/>
      <c r="AD67" s="513"/>
      <c r="AE67" s="513"/>
      <c r="AF67" s="513"/>
      <c r="AG67" s="513"/>
      <c r="AH67" s="513"/>
      <c r="AI67" s="513"/>
      <c r="AJ67" s="513"/>
      <c r="AK67" s="513"/>
      <c r="AL67" s="513"/>
      <c r="AM67" s="513"/>
      <c r="AN67" s="513"/>
      <c r="AO67" s="513"/>
      <c r="AP67" s="513"/>
      <c r="AQ67" s="513"/>
    </row>
    <row r="68" spans="9:43" s="543" customFormat="1" ht="15" customHeight="1">
      <c r="I68" s="513"/>
      <c r="J68" s="513"/>
      <c r="K68" s="513"/>
      <c r="L68" s="513"/>
      <c r="M68" s="513"/>
      <c r="N68" s="513"/>
      <c r="O68" s="513"/>
      <c r="P68" s="513"/>
      <c r="Q68" s="513"/>
      <c r="R68" s="513"/>
      <c r="S68" s="513"/>
      <c r="T68" s="513"/>
      <c r="U68" s="513"/>
      <c r="V68" s="513"/>
      <c r="W68" s="513"/>
      <c r="X68" s="513"/>
      <c r="Y68" s="513"/>
      <c r="Z68" s="513"/>
      <c r="AA68" s="513"/>
      <c r="AB68" s="513"/>
      <c r="AC68" s="513"/>
      <c r="AD68" s="513"/>
      <c r="AE68" s="513"/>
      <c r="AF68" s="513"/>
      <c r="AG68" s="513"/>
      <c r="AH68" s="513"/>
      <c r="AI68" s="513"/>
      <c r="AJ68" s="513"/>
      <c r="AK68" s="513"/>
      <c r="AL68" s="513"/>
      <c r="AM68" s="513"/>
      <c r="AN68" s="513"/>
      <c r="AO68" s="513"/>
      <c r="AP68" s="513"/>
      <c r="AQ68" s="513"/>
    </row>
    <row r="69" spans="9:43" s="543" customFormat="1" ht="15" customHeight="1">
      <c r="I69" s="513"/>
      <c r="J69" s="513"/>
      <c r="K69" s="513"/>
      <c r="L69" s="513"/>
      <c r="M69" s="513"/>
      <c r="N69" s="513"/>
      <c r="O69" s="513"/>
      <c r="P69" s="513"/>
      <c r="Q69" s="513"/>
      <c r="R69" s="513"/>
      <c r="S69" s="513"/>
      <c r="T69" s="513"/>
      <c r="U69" s="513"/>
      <c r="V69" s="513"/>
      <c r="W69" s="513"/>
      <c r="X69" s="513"/>
      <c r="Y69" s="513"/>
      <c r="Z69" s="513"/>
      <c r="AA69" s="513"/>
      <c r="AB69" s="513"/>
      <c r="AC69" s="513"/>
      <c r="AD69" s="513"/>
      <c r="AE69" s="513"/>
      <c r="AF69" s="513"/>
      <c r="AG69" s="513"/>
      <c r="AH69" s="513"/>
      <c r="AI69" s="513"/>
      <c r="AJ69" s="513"/>
      <c r="AK69" s="513"/>
      <c r="AL69" s="513"/>
      <c r="AM69" s="513"/>
      <c r="AN69" s="513"/>
      <c r="AO69" s="513"/>
      <c r="AP69" s="513"/>
      <c r="AQ69" s="513"/>
    </row>
    <row r="70" spans="9:43" s="543" customFormat="1" ht="15" customHeight="1">
      <c r="I70" s="513"/>
      <c r="J70" s="513"/>
      <c r="K70" s="513"/>
      <c r="L70" s="513"/>
      <c r="M70" s="513"/>
      <c r="N70" s="513"/>
      <c r="O70" s="513"/>
      <c r="P70" s="513"/>
      <c r="Q70" s="513"/>
      <c r="R70" s="513"/>
      <c r="S70" s="513"/>
      <c r="T70" s="513"/>
      <c r="U70" s="513"/>
      <c r="V70" s="513"/>
      <c r="W70" s="513"/>
      <c r="X70" s="513"/>
      <c r="Y70" s="513"/>
      <c r="Z70" s="513"/>
      <c r="AA70" s="513"/>
      <c r="AB70" s="513"/>
      <c r="AC70" s="513"/>
      <c r="AD70" s="513"/>
      <c r="AE70" s="513"/>
      <c r="AF70" s="513"/>
      <c r="AG70" s="513"/>
      <c r="AH70" s="513"/>
      <c r="AI70" s="513"/>
      <c r="AJ70" s="513"/>
      <c r="AK70" s="513"/>
      <c r="AL70" s="513"/>
      <c r="AM70" s="513"/>
      <c r="AN70" s="513"/>
      <c r="AO70" s="513"/>
      <c r="AP70" s="513"/>
      <c r="AQ70" s="513"/>
    </row>
    <row r="71" spans="9:43" s="543" customFormat="1" ht="15" customHeight="1">
      <c r="I71" s="513"/>
      <c r="J71" s="513"/>
      <c r="K71" s="513"/>
      <c r="L71" s="513"/>
      <c r="M71" s="513"/>
      <c r="N71" s="513"/>
      <c r="O71" s="513"/>
      <c r="P71" s="513"/>
      <c r="Q71" s="513"/>
      <c r="R71" s="513"/>
      <c r="S71" s="513"/>
      <c r="T71" s="513"/>
      <c r="U71" s="513"/>
      <c r="V71" s="513"/>
      <c r="W71" s="513"/>
      <c r="X71" s="513"/>
      <c r="Y71" s="513"/>
      <c r="Z71" s="513"/>
      <c r="AA71" s="513"/>
      <c r="AB71" s="513"/>
      <c r="AC71" s="513"/>
      <c r="AD71" s="513"/>
      <c r="AE71" s="513"/>
      <c r="AF71" s="513"/>
      <c r="AG71" s="513"/>
      <c r="AH71" s="513"/>
      <c r="AI71" s="513"/>
      <c r="AJ71" s="513"/>
      <c r="AK71" s="513"/>
      <c r="AL71" s="513"/>
      <c r="AM71" s="513"/>
      <c r="AN71" s="513"/>
      <c r="AO71" s="513"/>
      <c r="AP71" s="513"/>
      <c r="AQ71" s="513"/>
    </row>
  </sheetData>
  <printOptions headings="1" gridLines="1"/>
  <pageMargins left="0.7" right="0.7" top="0.75" bottom="0.75" header="0.3" footer="0.3"/>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C645-4DCD-4E30-B397-EFE5B4624D0B}">
  <sheetPr codeName="Sheet10">
    <tabColor theme="9"/>
  </sheetPr>
  <dimension ref="A1:N58"/>
  <sheetViews>
    <sheetView showGridLines="0" topLeftCell="A2" zoomScale="90" zoomScaleNormal="90" workbookViewId="0">
      <selection activeCell="E63" sqref="E63"/>
    </sheetView>
  </sheetViews>
  <sheetFormatPr baseColWidth="10" defaultColWidth="8.6640625" defaultRowHeight="15" outlineLevelRow="1"/>
  <cols>
    <col min="1" max="1" width="42.5" style="519" customWidth="1"/>
    <col min="2" max="14" width="19.5" style="519" customWidth="1"/>
    <col min="15" max="18" width="17.5" style="513" customWidth="1"/>
    <col min="19" max="30" width="15.6640625" style="513" customWidth="1"/>
    <col min="31" max="16384" width="8.6640625" style="513"/>
  </cols>
  <sheetData>
    <row r="1" spans="1:14" ht="26">
      <c r="A1" s="45" t="s">
        <v>1325</v>
      </c>
      <c r="B1" s="46"/>
      <c r="C1" s="46"/>
      <c r="D1" s="46"/>
      <c r="E1" s="46"/>
      <c r="F1" s="46"/>
      <c r="G1" s="46"/>
      <c r="H1" s="46"/>
      <c r="I1" s="46"/>
      <c r="J1" s="46"/>
      <c r="K1" s="46"/>
      <c r="L1" s="46"/>
      <c r="M1" s="46"/>
      <c r="N1" s="86"/>
    </row>
    <row r="2" spans="1:14">
      <c r="A2" s="626"/>
      <c r="B2" s="48"/>
      <c r="C2" s="48"/>
      <c r="D2" s="48"/>
      <c r="E2" s="48"/>
      <c r="F2" s="48"/>
      <c r="G2" s="48"/>
      <c r="H2" s="48"/>
      <c r="I2" s="48"/>
      <c r="J2" s="48"/>
      <c r="K2" s="48"/>
      <c r="L2" s="48"/>
      <c r="M2" s="48"/>
      <c r="N2" s="798"/>
    </row>
    <row r="3" spans="1:14" s="520" customFormat="1" ht="26">
      <c r="A3" s="87" t="s">
        <v>209</v>
      </c>
      <c r="B3" s="88"/>
      <c r="C3" s="88"/>
      <c r="D3" s="88"/>
      <c r="E3" s="89"/>
      <c r="F3" s="88"/>
      <c r="G3" s="88"/>
      <c r="H3" s="89"/>
      <c r="I3" s="88"/>
      <c r="J3" s="360" t="s">
        <v>100</v>
      </c>
      <c r="K3" s="88"/>
      <c r="L3" s="88"/>
      <c r="M3" s="88"/>
      <c r="N3" s="90"/>
    </row>
    <row r="4" spans="1:14" s="514" customFormat="1" ht="19">
      <c r="A4" s="639"/>
      <c r="B4" s="48"/>
      <c r="C4" s="53"/>
      <c r="D4" s="53"/>
      <c r="E4" s="53"/>
      <c r="F4" s="53"/>
      <c r="G4" s="53"/>
      <c r="H4" s="53"/>
      <c r="I4" s="53"/>
      <c r="J4" s="53"/>
      <c r="K4" s="53"/>
      <c r="L4" s="53"/>
      <c r="M4" s="53"/>
      <c r="N4" s="799"/>
    </row>
    <row r="5" spans="1:14" s="514" customFormat="1" ht="19" outlineLevel="1">
      <c r="A5" s="68" t="s">
        <v>102</v>
      </c>
      <c r="B5" s="48"/>
      <c r="C5" s="53"/>
      <c r="D5" s="53"/>
      <c r="E5" s="53"/>
      <c r="F5" s="53"/>
      <c r="G5" s="53"/>
      <c r="H5" s="53"/>
      <c r="I5" s="53"/>
      <c r="J5" s="53"/>
      <c r="K5" s="53"/>
      <c r="L5" s="53"/>
      <c r="M5" s="53"/>
      <c r="N5" s="799"/>
    </row>
    <row r="6" spans="1:14" s="545" customFormat="1" ht="35" customHeight="1" outlineLevel="1">
      <c r="A6" s="78" t="s">
        <v>75</v>
      </c>
      <c r="B6" s="903" t="s">
        <v>105</v>
      </c>
      <c r="C6" s="904"/>
      <c r="D6" s="904"/>
      <c r="E6" s="904"/>
      <c r="F6" s="904"/>
      <c r="G6" s="904"/>
      <c r="H6" s="53"/>
      <c r="I6" s="53"/>
      <c r="J6" s="53"/>
      <c r="K6" s="53"/>
      <c r="L6" s="53"/>
      <c r="M6" s="53"/>
      <c r="N6" s="799"/>
    </row>
    <row r="7" spans="1:14" s="545" customFormat="1" ht="35" customHeight="1" outlineLevel="1">
      <c r="A7" s="79" t="s">
        <v>76</v>
      </c>
      <c r="B7" s="903" t="s">
        <v>103</v>
      </c>
      <c r="C7" s="904"/>
      <c r="D7" s="904"/>
      <c r="E7" s="904"/>
      <c r="F7" s="904"/>
      <c r="G7" s="904"/>
      <c r="H7" s="53"/>
      <c r="I7" s="53"/>
      <c r="J7" s="53"/>
      <c r="K7" s="53"/>
      <c r="L7" s="53"/>
      <c r="M7" s="53"/>
      <c r="N7" s="799"/>
    </row>
    <row r="8" spans="1:14" s="519" customFormat="1" ht="35" customHeight="1" outlineLevel="1">
      <c r="A8" s="80" t="s">
        <v>77</v>
      </c>
      <c r="B8" s="903" t="s">
        <v>104</v>
      </c>
      <c r="C8" s="904"/>
      <c r="D8" s="904"/>
      <c r="E8" s="904"/>
      <c r="F8" s="904"/>
      <c r="G8" s="904"/>
      <c r="H8" s="48"/>
      <c r="I8" s="48"/>
      <c r="J8" s="48"/>
      <c r="K8" s="48"/>
      <c r="L8" s="48"/>
      <c r="M8" s="48"/>
      <c r="N8" s="798"/>
    </row>
    <row r="9" spans="1:14" outlineLevel="1">
      <c r="A9" s="626"/>
      <c r="B9" s="48"/>
      <c r="C9" s="48"/>
      <c r="D9" s="48"/>
      <c r="E9" s="48"/>
      <c r="F9" s="48"/>
      <c r="G9" s="48"/>
      <c r="H9" s="48"/>
      <c r="I9" s="48"/>
      <c r="J9" s="48"/>
      <c r="K9" s="48"/>
      <c r="L9" s="48"/>
      <c r="M9" s="48"/>
      <c r="N9" s="798"/>
    </row>
    <row r="10" spans="1:14" ht="40" customHeight="1" outlineLevel="1">
      <c r="A10" s="68" t="s">
        <v>87</v>
      </c>
      <c r="B10" s="905" t="s">
        <v>106</v>
      </c>
      <c r="C10" s="906"/>
      <c r="D10" s="906"/>
      <c r="E10" s="907"/>
      <c r="F10" s="908" t="s">
        <v>152</v>
      </c>
      <c r="G10" s="908"/>
      <c r="H10" s="908" t="s">
        <v>151</v>
      </c>
      <c r="I10" s="908"/>
      <c r="J10" s="48"/>
      <c r="K10" s="48"/>
      <c r="L10" s="48"/>
      <c r="M10" s="48"/>
      <c r="N10" s="798"/>
    </row>
    <row r="11" spans="1:14" ht="16" outlineLevel="1">
      <c r="A11" s="91" t="s">
        <v>68</v>
      </c>
      <c r="B11" s="84" t="s">
        <v>122</v>
      </c>
      <c r="C11" s="92"/>
      <c r="D11" s="92"/>
      <c r="E11" s="93"/>
      <c r="F11" s="909" t="s">
        <v>117</v>
      </c>
      <c r="G11" s="909"/>
      <c r="H11" s="909" t="s">
        <v>118</v>
      </c>
      <c r="I11" s="909"/>
      <c r="J11" s="48"/>
      <c r="K11" s="48"/>
      <c r="L11" s="48"/>
      <c r="M11" s="48"/>
      <c r="N11" s="798"/>
    </row>
    <row r="12" spans="1:14" ht="16" outlineLevel="1">
      <c r="A12" s="91" t="s">
        <v>69</v>
      </c>
      <c r="B12" s="84" t="s">
        <v>123</v>
      </c>
      <c r="C12" s="92"/>
      <c r="D12" s="92"/>
      <c r="E12" s="93"/>
      <c r="F12" s="909" t="s">
        <v>121</v>
      </c>
      <c r="G12" s="909"/>
      <c r="H12" s="909" t="s">
        <v>119</v>
      </c>
      <c r="I12" s="909"/>
      <c r="J12" s="48"/>
      <c r="K12" s="48"/>
      <c r="L12" s="48"/>
      <c r="M12" s="48"/>
      <c r="N12" s="798"/>
    </row>
    <row r="13" spans="1:14" ht="16" outlineLevel="1">
      <c r="A13" s="91" t="s">
        <v>70</v>
      </c>
      <c r="B13" s="84" t="s">
        <v>124</v>
      </c>
      <c r="C13" s="92"/>
      <c r="D13" s="92"/>
      <c r="E13" s="93"/>
      <c r="F13" s="909" t="s">
        <v>107</v>
      </c>
      <c r="G13" s="909"/>
      <c r="H13" s="909" t="s">
        <v>107</v>
      </c>
      <c r="I13" s="909"/>
      <c r="J13" s="48"/>
      <c r="K13" s="48"/>
      <c r="L13" s="48"/>
      <c r="M13" s="48"/>
      <c r="N13" s="798"/>
    </row>
    <row r="14" spans="1:14" ht="16" outlineLevel="1">
      <c r="A14" s="94" t="s">
        <v>113</v>
      </c>
      <c r="B14" s="84" t="s">
        <v>125</v>
      </c>
      <c r="C14" s="92"/>
      <c r="D14" s="92"/>
      <c r="E14" s="93"/>
      <c r="F14" s="909" t="s">
        <v>126</v>
      </c>
      <c r="G14" s="909"/>
      <c r="H14" s="909" t="s">
        <v>126</v>
      </c>
      <c r="I14" s="909"/>
      <c r="J14" s="48"/>
      <c r="K14" s="48"/>
      <c r="L14" s="48"/>
      <c r="M14" s="48"/>
      <c r="N14" s="798"/>
    </row>
    <row r="15" spans="1:14" ht="16" outlineLevel="1">
      <c r="A15" s="94" t="s">
        <v>112</v>
      </c>
      <c r="B15" s="84" t="s">
        <v>127</v>
      </c>
      <c r="C15" s="92"/>
      <c r="D15" s="92"/>
      <c r="E15" s="93"/>
      <c r="F15" s="909" t="s">
        <v>108</v>
      </c>
      <c r="G15" s="909"/>
      <c r="H15" s="909" t="s">
        <v>120</v>
      </c>
      <c r="I15" s="909"/>
      <c r="J15" s="48"/>
      <c r="K15" s="48"/>
      <c r="L15" s="48"/>
      <c r="M15" s="48"/>
      <c r="N15" s="798"/>
    </row>
    <row r="16" spans="1:14" ht="16" outlineLevel="1">
      <c r="A16" s="94" t="s">
        <v>71</v>
      </c>
      <c r="B16" s="84" t="s">
        <v>128</v>
      </c>
      <c r="C16" s="92"/>
      <c r="D16" s="92"/>
      <c r="E16" s="93"/>
      <c r="F16" s="909" t="s">
        <v>109</v>
      </c>
      <c r="G16" s="909"/>
      <c r="H16" s="909" t="s">
        <v>109</v>
      </c>
      <c r="I16" s="909"/>
      <c r="J16" s="48"/>
      <c r="K16" s="48"/>
      <c r="L16" s="48"/>
      <c r="M16" s="48"/>
      <c r="N16" s="798"/>
    </row>
    <row r="17" spans="1:14" ht="16" outlineLevel="1">
      <c r="A17" s="94" t="s">
        <v>115</v>
      </c>
      <c r="B17" s="84" t="s">
        <v>129</v>
      </c>
      <c r="C17" s="92"/>
      <c r="D17" s="92"/>
      <c r="E17" s="93"/>
      <c r="F17" s="909" t="s">
        <v>120</v>
      </c>
      <c r="G17" s="909"/>
      <c r="H17" s="909" t="s">
        <v>120</v>
      </c>
      <c r="I17" s="909"/>
      <c r="J17" s="48"/>
      <c r="K17" s="48"/>
      <c r="L17" s="48"/>
      <c r="M17" s="48"/>
      <c r="N17" s="798"/>
    </row>
    <row r="18" spans="1:14" ht="16" outlineLevel="1">
      <c r="A18" s="94" t="s">
        <v>116</v>
      </c>
      <c r="B18" s="84" t="s">
        <v>130</v>
      </c>
      <c r="C18" s="92"/>
      <c r="D18" s="92"/>
      <c r="E18" s="93"/>
      <c r="F18" s="909" t="s">
        <v>108</v>
      </c>
      <c r="G18" s="909"/>
      <c r="H18" s="909" t="s">
        <v>120</v>
      </c>
      <c r="I18" s="909"/>
      <c r="J18" s="95"/>
      <c r="K18" s="95"/>
      <c r="L18" s="95"/>
      <c r="M18" s="48"/>
      <c r="N18" s="798"/>
    </row>
    <row r="19" spans="1:14" ht="16" outlineLevel="1">
      <c r="A19" s="96" t="s">
        <v>72</v>
      </c>
      <c r="B19" s="84" t="s">
        <v>131</v>
      </c>
      <c r="C19" s="92"/>
      <c r="D19" s="92"/>
      <c r="E19" s="93"/>
      <c r="F19" s="909" t="s">
        <v>110</v>
      </c>
      <c r="G19" s="909"/>
      <c r="H19" s="909" t="s">
        <v>110</v>
      </c>
      <c r="I19" s="909"/>
      <c r="J19" s="95"/>
      <c r="K19" s="95"/>
      <c r="L19" s="95"/>
      <c r="M19" s="48"/>
      <c r="N19" s="798"/>
    </row>
    <row r="20" spans="1:14" ht="16" outlineLevel="1">
      <c r="A20" s="96" t="s">
        <v>73</v>
      </c>
      <c r="B20" s="84" t="s">
        <v>132</v>
      </c>
      <c r="C20" s="92"/>
      <c r="D20" s="92"/>
      <c r="E20" s="93"/>
      <c r="F20" s="909" t="s">
        <v>110</v>
      </c>
      <c r="G20" s="909"/>
      <c r="H20" s="909" t="s">
        <v>110</v>
      </c>
      <c r="I20" s="909"/>
      <c r="J20" s="791" t="s">
        <v>155</v>
      </c>
      <c r="K20" s="95"/>
      <c r="L20" s="95"/>
      <c r="M20" s="48"/>
      <c r="N20" s="798"/>
    </row>
    <row r="21" spans="1:14" ht="16" outlineLevel="1">
      <c r="A21" s="96" t="s">
        <v>74</v>
      </c>
      <c r="B21" s="84" t="s">
        <v>133</v>
      </c>
      <c r="C21" s="92"/>
      <c r="D21" s="92"/>
      <c r="E21" s="93"/>
      <c r="F21" s="909" t="s">
        <v>110</v>
      </c>
      <c r="G21" s="909"/>
      <c r="H21" s="909" t="s">
        <v>110</v>
      </c>
      <c r="I21" s="909"/>
      <c r="J21" s="95"/>
      <c r="K21" s="95"/>
      <c r="L21" s="95"/>
      <c r="M21" s="48"/>
      <c r="N21" s="798"/>
    </row>
    <row r="22" spans="1:14" ht="16" outlineLevel="1">
      <c r="A22" s="800" t="s">
        <v>114</v>
      </c>
      <c r="B22" s="84" t="s">
        <v>134</v>
      </c>
      <c r="C22" s="92"/>
      <c r="D22" s="92"/>
      <c r="E22" s="93"/>
      <c r="F22" s="909" t="s">
        <v>111</v>
      </c>
      <c r="G22" s="909"/>
      <c r="H22" s="909" t="s">
        <v>111</v>
      </c>
      <c r="I22" s="909"/>
      <c r="J22" s="95"/>
      <c r="K22" s="95"/>
      <c r="L22" s="95"/>
      <c r="M22" s="48"/>
      <c r="N22" s="798"/>
    </row>
    <row r="23" spans="1:14" outlineLevel="1">
      <c r="A23" s="801"/>
      <c r="B23" s="802"/>
      <c r="C23" s="803"/>
      <c r="D23" s="803"/>
      <c r="E23" s="48"/>
      <c r="F23" s="48"/>
      <c r="G23" s="95"/>
      <c r="H23" s="95"/>
      <c r="I23" s="95"/>
      <c r="J23" s="95"/>
      <c r="K23" s="95"/>
      <c r="L23" s="95"/>
      <c r="M23" s="48"/>
      <c r="N23" s="798"/>
    </row>
    <row r="24" spans="1:14" ht="19" outlineLevel="1">
      <c r="A24" s="81" t="s">
        <v>136</v>
      </c>
      <c r="B24" s="82" t="s">
        <v>142</v>
      </c>
      <c r="C24" s="82" t="s">
        <v>137</v>
      </c>
      <c r="D24" s="82" t="s">
        <v>138</v>
      </c>
      <c r="E24" s="82" t="s">
        <v>139</v>
      </c>
      <c r="F24" s="82" t="s">
        <v>140</v>
      </c>
      <c r="G24" s="85" t="s">
        <v>141</v>
      </c>
      <c r="H24" s="95"/>
      <c r="I24" s="95"/>
      <c r="J24" s="95"/>
      <c r="K24" s="95"/>
      <c r="L24" s="95"/>
      <c r="M24" s="48"/>
      <c r="N24" s="798"/>
    </row>
    <row r="25" spans="1:14" ht="16" outlineLevel="1">
      <c r="A25" s="83" t="s">
        <v>143</v>
      </c>
      <c r="B25" s="570">
        <f>'Balance Sheet'!F10</f>
        <v>1227620</v>
      </c>
      <c r="C25" s="570">
        <f>'Balance Sheet'!G10</f>
        <v>1369745.36810946</v>
      </c>
      <c r="D25" s="570">
        <f>'Balance Sheet'!H10</f>
        <v>2279906.5929689216</v>
      </c>
      <c r="E25" s="570">
        <f>'Balance Sheet'!I10</f>
        <v>3830210.960912711</v>
      </c>
      <c r="F25" s="570">
        <f>'Balance Sheet'!J10</f>
        <v>5478793.1499480056</v>
      </c>
      <c r="G25" s="570">
        <f>'Balance Sheet'!K10</f>
        <v>7439347.4693974797</v>
      </c>
      <c r="H25" s="95"/>
      <c r="I25" s="95"/>
      <c r="J25" s="95"/>
      <c r="K25" s="95"/>
      <c r="L25" s="95"/>
      <c r="M25" s="48"/>
      <c r="N25" s="798"/>
    </row>
    <row r="26" spans="1:14" ht="16" outlineLevel="1">
      <c r="A26" s="84" t="s">
        <v>144</v>
      </c>
      <c r="B26" s="571">
        <f>'Balance Sheet'!F27</f>
        <v>0</v>
      </c>
      <c r="C26" s="571">
        <f>'Balance Sheet'!G27</f>
        <v>0</v>
      </c>
      <c r="D26" s="571">
        <f>'Balance Sheet'!H27</f>
        <v>0</v>
      </c>
      <c r="E26" s="571">
        <f>'Balance Sheet'!I27</f>
        <v>0</v>
      </c>
      <c r="F26" s="571">
        <f>'Balance Sheet'!J27</f>
        <v>0</v>
      </c>
      <c r="G26" s="571">
        <f>'Balance Sheet'!K27</f>
        <v>0</v>
      </c>
      <c r="H26" s="95"/>
      <c r="I26" s="95"/>
      <c r="J26" s="95"/>
      <c r="K26" s="95"/>
      <c r="L26" s="95"/>
      <c r="M26" s="48"/>
      <c r="N26" s="798"/>
    </row>
    <row r="27" spans="1:14" ht="16" outlineLevel="1">
      <c r="A27" s="84" t="s">
        <v>145</v>
      </c>
      <c r="B27" s="570">
        <f>'Balance Sheet'!F5</f>
        <v>1227620</v>
      </c>
      <c r="C27" s="570">
        <f>'Balance Sheet'!G5</f>
        <v>1369745.36810946</v>
      </c>
      <c r="D27" s="570">
        <f>'Balance Sheet'!H5</f>
        <v>2279906.5929689216</v>
      </c>
      <c r="E27" s="570">
        <f>'Balance Sheet'!I5</f>
        <v>3830210.960912711</v>
      </c>
      <c r="F27" s="570">
        <f>'Balance Sheet'!J5</f>
        <v>5478793.1499480056</v>
      </c>
      <c r="G27" s="570">
        <f>'Balance Sheet'!K5</f>
        <v>7439347.4693974797</v>
      </c>
      <c r="H27" s="95"/>
      <c r="I27" s="95"/>
      <c r="J27" s="95"/>
      <c r="K27" s="95"/>
      <c r="L27" s="95"/>
      <c r="M27" s="48"/>
      <c r="N27" s="798"/>
    </row>
    <row r="28" spans="1:14" ht="16" outlineLevel="1">
      <c r="A28" s="84" t="s">
        <v>146</v>
      </c>
      <c r="B28" s="509">
        <f>'P&amp;L'!D23</f>
        <v>278380</v>
      </c>
      <c r="C28" s="509">
        <f>'P&amp;L'!E23</f>
        <v>5043898.3352574222</v>
      </c>
      <c r="D28" s="509">
        <f>'P&amp;L'!F23</f>
        <v>8713989.1555905025</v>
      </c>
      <c r="E28" s="509">
        <f>'P&amp;L'!G23</f>
        <v>12170188.568989988</v>
      </c>
      <c r="F28" s="509">
        <f>'P&amp;L'!H23</f>
        <v>14087276.133097034</v>
      </c>
      <c r="G28" s="509">
        <f>'P&amp;L'!I23</f>
        <v>14133224.324766701</v>
      </c>
      <c r="H28" s="95"/>
      <c r="I28" s="95"/>
      <c r="J28" s="95"/>
      <c r="K28" s="95"/>
      <c r="L28" s="95"/>
      <c r="M28" s="48"/>
      <c r="N28" s="798"/>
    </row>
    <row r="29" spans="1:14" ht="16" outlineLevel="1">
      <c r="A29" s="84" t="s">
        <v>147</v>
      </c>
      <c r="B29" s="509">
        <f>'P&amp;L'!D272</f>
        <v>0</v>
      </c>
      <c r="C29" s="509">
        <f>'P&amp;L'!E272</f>
        <v>172500</v>
      </c>
      <c r="D29" s="509">
        <f>'P&amp;L'!F272</f>
        <v>172500</v>
      </c>
      <c r="E29" s="509">
        <f>'P&amp;L'!G272</f>
        <v>172500</v>
      </c>
      <c r="F29" s="509">
        <f>'P&amp;L'!H272</f>
        <v>172500</v>
      </c>
      <c r="G29" s="509">
        <f>'P&amp;L'!I272</f>
        <v>172500</v>
      </c>
      <c r="H29" s="95"/>
      <c r="I29" s="95"/>
      <c r="J29" s="95"/>
      <c r="K29" s="95"/>
      <c r="L29" s="95"/>
      <c r="M29" s="48"/>
      <c r="N29" s="798"/>
    </row>
    <row r="30" spans="1:14" ht="16" outlineLevel="1">
      <c r="A30" s="84" t="s">
        <v>148</v>
      </c>
      <c r="B30" s="572">
        <f>'Balance Sheet'!F16</f>
        <v>1227620</v>
      </c>
      <c r="C30" s="572">
        <f>'Balance Sheet'!G16</f>
        <v>6544745.36810946</v>
      </c>
      <c r="D30" s="572">
        <f>'Balance Sheet'!H16</f>
        <v>7454906.5929689221</v>
      </c>
      <c r="E30" s="572">
        <f>'Balance Sheet'!I16</f>
        <v>9005210.9609127119</v>
      </c>
      <c r="F30" s="572">
        <f>'Balance Sheet'!J16</f>
        <v>10653793.149948005</v>
      </c>
      <c r="G30" s="572">
        <f>'Balance Sheet'!K16</f>
        <v>12614347.46939748</v>
      </c>
      <c r="H30" s="95"/>
      <c r="I30" s="95"/>
      <c r="J30" s="95"/>
      <c r="K30" s="95"/>
      <c r="L30" s="95"/>
      <c r="M30" s="48"/>
      <c r="N30" s="798"/>
    </row>
    <row r="31" spans="1:14" ht="16" outlineLevel="1">
      <c r="A31" s="84" t="s">
        <v>149</v>
      </c>
      <c r="B31" s="573">
        <f>'Balance Sheet'!F31</f>
        <v>0</v>
      </c>
      <c r="C31" s="573">
        <f>'Balance Sheet'!G31</f>
        <v>0</v>
      </c>
      <c r="D31" s="573">
        <f>'Balance Sheet'!H31</f>
        <v>0</v>
      </c>
      <c r="E31" s="573">
        <f>'Balance Sheet'!I31</f>
        <v>0</v>
      </c>
      <c r="F31" s="573">
        <f>'Balance Sheet'!J31</f>
        <v>0</v>
      </c>
      <c r="G31" s="573">
        <f>'Balance Sheet'!K31</f>
        <v>0</v>
      </c>
      <c r="H31" s="95"/>
      <c r="I31" s="95"/>
      <c r="J31" s="95"/>
      <c r="K31" s="95"/>
      <c r="L31" s="95"/>
      <c r="M31" s="48"/>
      <c r="N31" s="798"/>
    </row>
    <row r="32" spans="1:14" ht="17" outlineLevel="1" thickBot="1">
      <c r="A32" s="84" t="s">
        <v>150</v>
      </c>
      <c r="B32" s="510">
        <f>'P&amp;L'!D335</f>
        <v>91.98206945158833</v>
      </c>
      <c r="C32" s="510">
        <f>'P&amp;L'!E335</f>
        <v>102.63111840833139</v>
      </c>
      <c r="D32" s="510">
        <f>'P&amp;L'!F335</f>
        <v>97.426325933926208</v>
      </c>
      <c r="E32" s="510">
        <f>'P&amp;L'!G335</f>
        <v>116.52469496054194</v>
      </c>
      <c r="F32" s="510">
        <f>'P&amp;L'!H335</f>
        <v>143.71481658080637</v>
      </c>
      <c r="G32" s="510">
        <f>'P&amp;L'!I335</f>
        <v>194.50006770157015</v>
      </c>
      <c r="H32" s="95"/>
      <c r="I32" s="95"/>
      <c r="J32" s="95"/>
      <c r="K32" s="95"/>
      <c r="L32" s="95"/>
      <c r="M32" s="48"/>
      <c r="N32" s="798"/>
    </row>
    <row r="33" spans="1:14" ht="17" outlineLevel="1" thickBot="1">
      <c r="A33" s="490" t="s">
        <v>154</v>
      </c>
      <c r="B33" s="491">
        <f>'P&amp;L'!D12</f>
        <v>-22380</v>
      </c>
      <c r="C33" s="492">
        <f>'P&amp;L'!E12</f>
        <v>45975.524742577225</v>
      </c>
      <c r="D33" s="492">
        <f>'P&amp;L'!F12</f>
        <v>817917.60040949658</v>
      </c>
      <c r="E33" s="492">
        <f>'P&amp;L'!G12</f>
        <v>1462166.8119840734</v>
      </c>
      <c r="F33" s="492">
        <f>'P&amp;L'!H12</f>
        <v>1564760.7758226208</v>
      </c>
      <c r="G33" s="493">
        <f>'P&amp;L'!I12</f>
        <v>1881269.8710383102</v>
      </c>
      <c r="H33" s="95"/>
      <c r="I33" s="95"/>
      <c r="J33" s="95"/>
      <c r="K33" s="95"/>
      <c r="L33" s="95"/>
      <c r="M33" s="48"/>
      <c r="N33" s="798"/>
    </row>
    <row r="34" spans="1:14" ht="16" outlineLevel="1">
      <c r="A34" s="84" t="s">
        <v>153</v>
      </c>
      <c r="B34" s="508">
        <f>'P&amp;L'!D16</f>
        <v>256000</v>
      </c>
      <c r="C34" s="508">
        <f>'P&amp;L'!E16</f>
        <v>5089873.8599999994</v>
      </c>
      <c r="D34" s="508">
        <f>'P&amp;L'!F16</f>
        <v>9531906.7559999991</v>
      </c>
      <c r="E34" s="508">
        <f>'P&amp;L'!G16</f>
        <v>13632355.380974062</v>
      </c>
      <c r="F34" s="508">
        <f>'P&amp;L'!H16</f>
        <v>15652036.908919655</v>
      </c>
      <c r="G34" s="508">
        <f>'P&amp;L'!I16</f>
        <v>16014494.195805011</v>
      </c>
      <c r="H34" s="95"/>
      <c r="I34" s="95"/>
      <c r="J34" s="95"/>
      <c r="K34" s="95"/>
      <c r="L34" s="95"/>
      <c r="M34" s="48"/>
      <c r="N34" s="798"/>
    </row>
    <row r="35" spans="1:14" outlineLevel="1">
      <c r="A35" s="801"/>
      <c r="B35" s="802"/>
      <c r="C35" s="803"/>
      <c r="D35" s="803"/>
      <c r="E35" s="48"/>
      <c r="F35" s="48"/>
      <c r="G35" s="95"/>
      <c r="H35" s="95"/>
      <c r="I35" s="95"/>
      <c r="J35" s="95"/>
      <c r="K35" s="95"/>
      <c r="L35" s="95"/>
      <c r="M35" s="48"/>
      <c r="N35" s="798"/>
    </row>
    <row r="36" spans="1:14" ht="19" outlineLevel="1">
      <c r="A36" s="81" t="s">
        <v>87</v>
      </c>
      <c r="B36" s="82">
        <f>INPUTS!$D$1</f>
        <v>2027</v>
      </c>
      <c r="C36" s="82">
        <f>INPUTS!$E$1</f>
        <v>2028</v>
      </c>
      <c r="D36" s="82">
        <f>INPUTS!$F$1</f>
        <v>2029</v>
      </c>
      <c r="E36" s="82">
        <f>INPUTS!$G$1</f>
        <v>2030</v>
      </c>
      <c r="F36" s="82">
        <f>INPUTS!$H$1</f>
        <v>2031</v>
      </c>
      <c r="G36" s="85">
        <f>INPUTS!$I$1</f>
        <v>2032</v>
      </c>
      <c r="H36" s="48"/>
      <c r="I36" s="48"/>
      <c r="J36" s="48"/>
      <c r="K36" s="95"/>
      <c r="L36" s="95"/>
      <c r="M36" s="48"/>
      <c r="N36" s="798"/>
    </row>
    <row r="37" spans="1:14" ht="16" outlineLevel="1">
      <c r="A37" s="91" t="s">
        <v>68</v>
      </c>
      <c r="B37" s="574" t="str">
        <f t="shared" ref="B37:G37" si="0">IFERROR(B25/B26, "NA")</f>
        <v>NA</v>
      </c>
      <c r="C37" s="574" t="str">
        <f t="shared" si="0"/>
        <v>NA</v>
      </c>
      <c r="D37" s="574" t="str">
        <f t="shared" si="0"/>
        <v>NA</v>
      </c>
      <c r="E37" s="574" t="str">
        <f t="shared" si="0"/>
        <v>NA</v>
      </c>
      <c r="F37" s="574" t="str">
        <f t="shared" si="0"/>
        <v>NA</v>
      </c>
      <c r="G37" s="574" t="str">
        <f t="shared" si="0"/>
        <v>NA</v>
      </c>
      <c r="H37" s="95"/>
      <c r="I37" s="95"/>
      <c r="J37" s="95"/>
      <c r="K37" s="95"/>
      <c r="L37" s="95"/>
      <c r="M37" s="48"/>
      <c r="N37" s="798"/>
    </row>
    <row r="38" spans="1:14" ht="16" outlineLevel="1">
      <c r="A38" s="91" t="s">
        <v>69</v>
      </c>
      <c r="B38" s="837">
        <f>'P&amp;L'!D335</f>
        <v>91.98206945158833</v>
      </c>
      <c r="C38" s="837">
        <f>'P&amp;L'!E335</f>
        <v>102.63111840833139</v>
      </c>
      <c r="D38" s="837">
        <f>'P&amp;L'!F335</f>
        <v>97.426325933926208</v>
      </c>
      <c r="E38" s="837">
        <f>'P&amp;L'!G335</f>
        <v>116.52469496054194</v>
      </c>
      <c r="F38" s="837">
        <f>'P&amp;L'!H335</f>
        <v>143.71481658080637</v>
      </c>
      <c r="G38" s="837">
        <f>'P&amp;L'!I335</f>
        <v>194.50006770157015</v>
      </c>
      <c r="H38" s="95"/>
      <c r="I38" s="95"/>
      <c r="J38" s="95"/>
      <c r="K38" s="95"/>
      <c r="L38" s="95"/>
      <c r="M38" s="48"/>
      <c r="N38" s="798"/>
    </row>
    <row r="39" spans="1:14" ht="16" outlineLevel="1">
      <c r="A39" s="91" t="s">
        <v>70</v>
      </c>
      <c r="B39" s="97"/>
      <c r="C39" s="546"/>
      <c r="D39" s="546"/>
      <c r="E39" s="546"/>
      <c r="F39" s="546"/>
      <c r="G39" s="546"/>
      <c r="H39" s="804" t="s">
        <v>1339</v>
      </c>
      <c r="I39" s="804"/>
      <c r="J39" s="804"/>
      <c r="K39" s="48"/>
      <c r="L39" s="48"/>
      <c r="M39" s="48"/>
      <c r="N39" s="798"/>
    </row>
    <row r="40" spans="1:14" ht="16" outlineLevel="1">
      <c r="A40" s="94" t="s">
        <v>113</v>
      </c>
      <c r="B40" s="838">
        <f>'P&amp;L'!D11</f>
        <v>0</v>
      </c>
      <c r="C40" s="838">
        <f>'P&amp;L'!E11</f>
        <v>0</v>
      </c>
      <c r="D40" s="838">
        <f>'P&amp;L'!F11</f>
        <v>0</v>
      </c>
      <c r="E40" s="838">
        <f>'P&amp;L'!G11</f>
        <v>0</v>
      </c>
      <c r="F40" s="838">
        <f>'P&amp;L'!H11</f>
        <v>0</v>
      </c>
      <c r="G40" s="838">
        <f>'P&amp;L'!I11</f>
        <v>0</v>
      </c>
      <c r="H40" s="95"/>
      <c r="I40" s="95"/>
      <c r="J40" s="95"/>
      <c r="K40" s="48"/>
      <c r="L40" s="48"/>
      <c r="M40" s="48"/>
      <c r="N40" s="798"/>
    </row>
    <row r="41" spans="1:14" ht="16" outlineLevel="1">
      <c r="A41" s="94" t="s">
        <v>112</v>
      </c>
      <c r="B41" s="838">
        <f>SUM('P&amp;L'!$D12:D12)/SUM('P&amp;L'!$D16:D16)</f>
        <v>-8.7421874999999996E-2</v>
      </c>
      <c r="C41" s="838">
        <f>SUM('P&amp;L'!$D12:E12)/SUM('P&amp;L'!$D16:E16)</f>
        <v>4.4137825471581979E-3</v>
      </c>
      <c r="D41" s="838">
        <f>SUM('P&amp;L'!$D12:F12)/SUM('P&amp;L'!$D16:F16)</f>
        <v>5.6561737726330372E-2</v>
      </c>
      <c r="E41" s="838">
        <f>SUM('P&amp;L'!E12:G12)/SUM('P&amp;L'!E16:G16)</f>
        <v>8.232635170246444E-2</v>
      </c>
      <c r="F41" s="838">
        <f>SUM('P&amp;L'!F12:H12)/SUM('P&amp;L'!F16:H16)</f>
        <v>9.9052338391929409E-2</v>
      </c>
      <c r="G41" s="838">
        <f>SUM('P&amp;L'!G12:I12)/SUM('P&amp;L'!G16:I16)</f>
        <v>0.10835139314946664</v>
      </c>
      <c r="H41" s="95"/>
      <c r="I41" s="95"/>
      <c r="J41" s="95"/>
      <c r="K41" s="48"/>
      <c r="L41" s="48"/>
      <c r="M41" s="48"/>
      <c r="N41" s="798"/>
    </row>
    <row r="42" spans="1:14" ht="16" outlineLevel="1">
      <c r="A42" s="94" t="s">
        <v>71</v>
      </c>
      <c r="B42" s="839">
        <f t="shared" ref="B42:G42" si="1">B31/B30</f>
        <v>0</v>
      </c>
      <c r="C42" s="839">
        <f t="shared" si="1"/>
        <v>0</v>
      </c>
      <c r="D42" s="839">
        <f t="shared" si="1"/>
        <v>0</v>
      </c>
      <c r="E42" s="839">
        <f t="shared" si="1"/>
        <v>0</v>
      </c>
      <c r="F42" s="839">
        <f t="shared" si="1"/>
        <v>0</v>
      </c>
      <c r="G42" s="839">
        <f t="shared" si="1"/>
        <v>0</v>
      </c>
      <c r="H42" s="95"/>
      <c r="I42" s="95"/>
      <c r="J42" s="95"/>
      <c r="K42" s="48"/>
      <c r="L42" s="48"/>
      <c r="M42" s="48"/>
      <c r="N42" s="798"/>
    </row>
    <row r="43" spans="1:14" ht="16" outlineLevel="1">
      <c r="A43" s="94" t="s">
        <v>115</v>
      </c>
      <c r="B43" s="840">
        <f>'P&amp;L'!D304</f>
        <v>-22380</v>
      </c>
      <c r="C43" s="840">
        <f>'P&amp;L'!E304</f>
        <v>142125.36810946011</v>
      </c>
      <c r="D43" s="840">
        <f>'P&amp;L'!F304</f>
        <v>910161.22485946165</v>
      </c>
      <c r="E43" s="840">
        <f>'P&amp;L'!G304</f>
        <v>1550304.3679437896</v>
      </c>
      <c r="F43" s="840">
        <f>'P&amp;L'!H304</f>
        <v>1648582.1890352946</v>
      </c>
      <c r="G43" s="840">
        <f>'P&amp;L'!I304</f>
        <v>1960554.3194494743</v>
      </c>
      <c r="H43" s="95"/>
      <c r="I43" s="95"/>
      <c r="J43" s="95"/>
      <c r="K43" s="48"/>
      <c r="L43" s="48"/>
      <c r="M43" s="48"/>
      <c r="N43" s="798"/>
    </row>
    <row r="44" spans="1:14" ht="16" outlineLevel="1">
      <c r="A44" s="94" t="s">
        <v>116</v>
      </c>
      <c r="B44" s="840">
        <f>SUM($B43:B43)</f>
        <v>-22380</v>
      </c>
      <c r="C44" s="840">
        <f>SUM($B43:C43)</f>
        <v>119745.36810946011</v>
      </c>
      <c r="D44" s="840">
        <f>SUM($B43:D43)</f>
        <v>1029906.5929689218</v>
      </c>
      <c r="E44" s="840">
        <f t="shared" ref="E44:G44" si="2">SUM(C43:E43)</f>
        <v>2602590.960912711</v>
      </c>
      <c r="F44" s="840">
        <f t="shared" si="2"/>
        <v>4109047.7818385456</v>
      </c>
      <c r="G44" s="840">
        <f t="shared" si="2"/>
        <v>5159440.8764285585</v>
      </c>
      <c r="H44" s="95"/>
      <c r="I44" s="95"/>
      <c r="J44" s="95"/>
      <c r="K44" s="48"/>
      <c r="L44" s="48"/>
      <c r="M44" s="48"/>
      <c r="N44" s="798"/>
    </row>
    <row r="45" spans="1:14" ht="16" outlineLevel="1">
      <c r="A45" s="96" t="s">
        <v>72</v>
      </c>
      <c r="B45" s="546"/>
      <c r="C45" s="546"/>
      <c r="D45" s="546"/>
      <c r="E45" s="546"/>
      <c r="F45" s="546"/>
      <c r="G45" s="546"/>
      <c r="H45" s="804" t="s">
        <v>1339</v>
      </c>
      <c r="I45" s="804"/>
      <c r="J45" s="804"/>
      <c r="K45" s="48"/>
      <c r="L45" s="48"/>
      <c r="M45" s="48"/>
      <c r="N45" s="798"/>
    </row>
    <row r="46" spans="1:14" ht="16" outlineLevel="1">
      <c r="A46" s="96" t="s">
        <v>73</v>
      </c>
      <c r="B46" s="546"/>
      <c r="C46" s="546"/>
      <c r="D46" s="546"/>
      <c r="E46" s="546"/>
      <c r="F46" s="546"/>
      <c r="G46" s="546"/>
      <c r="H46" s="804" t="s">
        <v>1339</v>
      </c>
      <c r="I46" s="804"/>
      <c r="J46" s="804"/>
      <c r="K46" s="48"/>
      <c r="L46" s="48"/>
      <c r="M46" s="48"/>
      <c r="N46" s="798"/>
    </row>
    <row r="47" spans="1:14" ht="16" outlineLevel="1">
      <c r="A47" s="96" t="s">
        <v>74</v>
      </c>
      <c r="B47" s="546"/>
      <c r="C47" s="546"/>
      <c r="D47" s="546"/>
      <c r="E47" s="546"/>
      <c r="F47" s="546"/>
      <c r="G47" s="546"/>
      <c r="H47" s="804" t="s">
        <v>1339</v>
      </c>
      <c r="I47" s="804"/>
      <c r="J47" s="804"/>
      <c r="K47" s="48"/>
      <c r="L47" s="48"/>
      <c r="M47" s="48"/>
      <c r="N47" s="798"/>
    </row>
    <row r="48" spans="1:14" ht="16" outlineLevel="1">
      <c r="A48" s="98" t="s">
        <v>114</v>
      </c>
      <c r="B48" s="507" t="str">
        <f>IFERROR(DASHBOARD!B49/ENROLLMENT!E36, "NA")</f>
        <v>NA</v>
      </c>
      <c r="C48" s="838">
        <f>IFERROR(DASHBOARD!C49/ENROLLMENT!F36, "NA")</f>
        <v>1</v>
      </c>
      <c r="D48" s="838">
        <f>IFERROR(DASHBOARD!D49/ENROLLMENT!G36, "NA")</f>
        <v>1</v>
      </c>
      <c r="E48" s="838">
        <f>IFERROR(DASHBOARD!E49/ENROLLMENT!H36, "NA")</f>
        <v>1</v>
      </c>
      <c r="F48" s="838">
        <f>IFERROR(DASHBOARD!F49/ENROLLMENT!I36, "NA")</f>
        <v>1</v>
      </c>
      <c r="G48" s="838">
        <f>IFERROR(DASHBOARD!G49/ENROLLMENT!J36, "NA")</f>
        <v>1</v>
      </c>
      <c r="H48" s="804" t="s">
        <v>1341</v>
      </c>
      <c r="I48" s="804"/>
      <c r="J48" s="804"/>
      <c r="K48" s="48"/>
      <c r="L48" s="48"/>
      <c r="M48" s="48"/>
      <c r="N48" s="798"/>
    </row>
    <row r="49" spans="1:14" ht="16" outlineLevel="1">
      <c r="A49" s="548" t="s">
        <v>1340</v>
      </c>
      <c r="B49" s="547">
        <f>'P&amp;L'!D57</f>
        <v>0</v>
      </c>
      <c r="C49" s="547">
        <f>'P&amp;L'!E57</f>
        <v>240</v>
      </c>
      <c r="D49" s="547">
        <f>'P&amp;L'!F57</f>
        <v>480</v>
      </c>
      <c r="E49" s="547">
        <f>'P&amp;L'!G57</f>
        <v>690</v>
      </c>
      <c r="F49" s="547">
        <f>'P&amp;L'!H57</f>
        <v>780</v>
      </c>
      <c r="G49" s="547">
        <f>'P&amp;L'!I57</f>
        <v>780</v>
      </c>
      <c r="H49" s="804" t="s">
        <v>1418</v>
      </c>
      <c r="I49" s="804"/>
      <c r="J49" s="804"/>
      <c r="K49" s="48"/>
      <c r="L49" s="48"/>
      <c r="M49" s="48"/>
      <c r="N49" s="798"/>
    </row>
    <row r="50" spans="1:14" ht="16" outlineLevel="1">
      <c r="A50" s="805" t="s">
        <v>135</v>
      </c>
      <c r="B50" s="99"/>
      <c r="C50" s="99"/>
      <c r="D50" s="806"/>
      <c r="E50" s="806"/>
      <c r="F50" s="806"/>
      <c r="G50" s="806"/>
      <c r="H50" s="48"/>
      <c r="I50" s="48"/>
      <c r="J50" s="48"/>
      <c r="K50" s="48"/>
      <c r="L50" s="48"/>
      <c r="M50" s="48"/>
      <c r="N50" s="798"/>
    </row>
    <row r="51" spans="1:14">
      <c r="A51" s="626"/>
      <c r="B51" s="48"/>
      <c r="C51" s="48"/>
      <c r="D51" s="48"/>
      <c r="E51" s="48"/>
      <c r="F51" s="48"/>
      <c r="G51" s="48"/>
      <c r="H51" s="48"/>
      <c r="I51" s="48"/>
      <c r="J51" s="48"/>
      <c r="K51" s="48"/>
      <c r="L51" s="48"/>
      <c r="M51" s="48"/>
      <c r="N51" s="798"/>
    </row>
    <row r="52" spans="1:14" s="520" customFormat="1" ht="26">
      <c r="A52" s="87" t="s">
        <v>370</v>
      </c>
      <c r="B52" s="88"/>
      <c r="C52" s="88"/>
      <c r="D52" s="88"/>
      <c r="E52" s="89"/>
      <c r="F52" s="88"/>
      <c r="G52" s="88"/>
      <c r="H52" s="88"/>
      <c r="I52" s="88"/>
      <c r="J52" s="88"/>
      <c r="K52" s="88"/>
      <c r="L52" s="88"/>
      <c r="M52" s="88"/>
      <c r="N52" s="90"/>
    </row>
    <row r="53" spans="1:14">
      <c r="A53" s="626"/>
      <c r="B53" s="48"/>
      <c r="C53" s="48"/>
      <c r="D53" s="48"/>
      <c r="E53" s="48"/>
      <c r="F53" s="48"/>
      <c r="G53" s="48"/>
      <c r="H53" s="48"/>
      <c r="I53" s="48"/>
      <c r="J53" s="48"/>
      <c r="K53" s="48"/>
      <c r="L53" s="48"/>
      <c r="M53" s="48"/>
      <c r="N53" s="798"/>
    </row>
    <row r="54" spans="1:14" ht="19" outlineLevel="1">
      <c r="A54" s="81" t="s">
        <v>158</v>
      </c>
      <c r="B54" s="82">
        <f>INPUTS!$D$1</f>
        <v>2027</v>
      </c>
      <c r="C54" s="82">
        <f>INPUTS!$E$1</f>
        <v>2028</v>
      </c>
      <c r="D54" s="82">
        <f>INPUTS!$F$1</f>
        <v>2029</v>
      </c>
      <c r="E54" s="82">
        <f>INPUTS!$G$1</f>
        <v>2030</v>
      </c>
      <c r="F54" s="82">
        <f>INPUTS!$H$1</f>
        <v>2031</v>
      </c>
      <c r="G54" s="85">
        <f>INPUTS!$I$1</f>
        <v>2032</v>
      </c>
      <c r="H54" s="81" t="s">
        <v>162</v>
      </c>
      <c r="I54" s="101" t="s">
        <v>159</v>
      </c>
      <c r="J54" s="102" t="s">
        <v>160</v>
      </c>
      <c r="K54" s="103" t="s">
        <v>161</v>
      </c>
      <c r="L54" s="48"/>
      <c r="M54" s="48"/>
      <c r="N54" s="798"/>
    </row>
    <row r="55" spans="1:14" ht="32" outlineLevel="1">
      <c r="A55" s="100" t="s">
        <v>156</v>
      </c>
      <c r="B55" s="97"/>
      <c r="C55" s="104"/>
      <c r="D55" s="104"/>
      <c r="E55" s="104"/>
      <c r="F55" s="104"/>
      <c r="G55" s="104"/>
      <c r="H55" s="172" t="s">
        <v>163</v>
      </c>
      <c r="I55" s="105" t="s">
        <v>157</v>
      </c>
      <c r="J55" s="106" t="s">
        <v>157</v>
      </c>
      <c r="K55" s="107" t="s">
        <v>157</v>
      </c>
      <c r="L55" s="48"/>
      <c r="M55" s="48"/>
      <c r="N55" s="798"/>
    </row>
    <row r="56" spans="1:14" ht="32" outlineLevel="1">
      <c r="A56" s="100" t="s">
        <v>1550</v>
      </c>
      <c r="B56" s="97"/>
      <c r="C56" s="104"/>
      <c r="D56" s="104"/>
      <c r="E56" s="104"/>
      <c r="F56" s="104"/>
      <c r="G56" s="104"/>
      <c r="H56" s="172" t="s">
        <v>164</v>
      </c>
      <c r="I56" s="105" t="s">
        <v>165</v>
      </c>
      <c r="J56" s="106" t="s">
        <v>166</v>
      </c>
      <c r="K56" s="107" t="s">
        <v>167</v>
      </c>
      <c r="L56" s="48"/>
      <c r="M56" s="48"/>
      <c r="N56" s="798"/>
    </row>
    <row r="57" spans="1:14" ht="32" outlineLevel="1">
      <c r="A57" s="100" t="s">
        <v>1551</v>
      </c>
      <c r="B57" s="97"/>
      <c r="C57" s="104"/>
      <c r="D57" s="104"/>
      <c r="E57" s="104"/>
      <c r="F57" s="104"/>
      <c r="G57" s="104"/>
      <c r="H57" s="172" t="s">
        <v>1555</v>
      </c>
      <c r="I57" s="105" t="s">
        <v>1552</v>
      </c>
      <c r="J57" s="106" t="s">
        <v>1553</v>
      </c>
      <c r="K57" s="107" t="s">
        <v>1554</v>
      </c>
      <c r="L57" s="48"/>
      <c r="M57" s="48"/>
      <c r="N57" s="798"/>
    </row>
    <row r="58" spans="1:14" outlineLevel="1">
      <c r="A58" s="662"/>
      <c r="B58" s="663"/>
      <c r="C58" s="663"/>
      <c r="D58" s="663"/>
      <c r="E58" s="663"/>
      <c r="F58" s="663"/>
      <c r="G58" s="663"/>
      <c r="H58" s="663"/>
      <c r="I58" s="663"/>
      <c r="J58" s="663"/>
      <c r="K58" s="663"/>
      <c r="L58" s="663"/>
      <c r="M58" s="663"/>
      <c r="N58" s="807"/>
    </row>
  </sheetData>
  <mergeCells count="30">
    <mergeCell ref="H10:I10"/>
    <mergeCell ref="H17:I17"/>
    <mergeCell ref="H18:I18"/>
    <mergeCell ref="H19:I19"/>
    <mergeCell ref="H20:I20"/>
    <mergeCell ref="H21:I21"/>
    <mergeCell ref="H22:I22"/>
    <mergeCell ref="H11:I11"/>
    <mergeCell ref="H12:I12"/>
    <mergeCell ref="H13:I13"/>
    <mergeCell ref="H14:I14"/>
    <mergeCell ref="H15:I15"/>
    <mergeCell ref="H16:I16"/>
    <mergeCell ref="F22:G22"/>
    <mergeCell ref="F11:G11"/>
    <mergeCell ref="F12:G12"/>
    <mergeCell ref="F13:G13"/>
    <mergeCell ref="F14:G14"/>
    <mergeCell ref="F15:G15"/>
    <mergeCell ref="F16:G16"/>
    <mergeCell ref="F17:G17"/>
    <mergeCell ref="F18:G18"/>
    <mergeCell ref="F19:G19"/>
    <mergeCell ref="F20:G20"/>
    <mergeCell ref="F21:G21"/>
    <mergeCell ref="B6:G6"/>
    <mergeCell ref="B7:G7"/>
    <mergeCell ref="B8:G8"/>
    <mergeCell ref="B10:E10"/>
    <mergeCell ref="F10:G10"/>
  </mergeCells>
  <phoneticPr fontId="13" type="noConversion"/>
  <conditionalFormatting sqref="B33:G33">
    <cfRule type="cellIs" dxfId="13" priority="11" operator="greaterThan">
      <formula>0</formula>
    </cfRule>
    <cfRule type="cellIs" dxfId="12" priority="12" operator="lessThan">
      <formula>0</formula>
    </cfRule>
  </conditionalFormatting>
  <conditionalFormatting sqref="B40:G41">
    <cfRule type="cellIs" dxfId="11" priority="7" operator="lessThan">
      <formula>0</formula>
    </cfRule>
  </conditionalFormatting>
  <conditionalFormatting sqref="B42:G42">
    <cfRule type="cellIs" dxfId="10" priority="6" operator="greaterThan">
      <formula>0.9</formula>
    </cfRule>
  </conditionalFormatting>
  <conditionalFormatting sqref="B43:G44">
    <cfRule type="cellIs" dxfId="9" priority="4" operator="lessThan">
      <formula>0</formula>
    </cfRule>
  </conditionalFormatting>
  <conditionalFormatting sqref="B45:G47">
    <cfRule type="cellIs" dxfId="8" priority="8" operator="equal">
      <formula>"Does Not Meet"</formula>
    </cfRule>
    <cfRule type="cellIs" dxfId="7" priority="9" operator="equal">
      <formula>"Approaching"</formula>
    </cfRule>
    <cfRule type="cellIs" dxfId="6" priority="10" operator="equal">
      <formula>"Meets"</formula>
    </cfRule>
  </conditionalFormatting>
  <conditionalFormatting sqref="C38:G38">
    <cfRule type="cellIs" dxfId="5" priority="3" operator="lessThan">
      <formula>30</formula>
    </cfRule>
  </conditionalFormatting>
  <conditionalFormatting sqref="C39:G39">
    <cfRule type="cellIs" dxfId="4" priority="13" operator="equal">
      <formula>"Does Not Meet"</formula>
    </cfRule>
    <cfRule type="cellIs" dxfId="3" priority="14" operator="equal">
      <formula>"Approaching"</formula>
    </cfRule>
    <cfRule type="cellIs" dxfId="2" priority="15" operator="equal">
      <formula>"Meets"</formula>
    </cfRule>
  </conditionalFormatting>
  <conditionalFormatting sqref="C48:G48">
    <cfRule type="cellIs" dxfId="1" priority="1" operator="lessThan">
      <formula>0.95</formula>
    </cfRule>
  </conditionalFormatting>
  <conditionalFormatting sqref="E38:G38">
    <cfRule type="cellIs" dxfId="0" priority="2" operator="lessThan">
      <formula>60</formula>
    </cfRule>
  </conditionalFormatting>
  <dataValidations disablePrompts="1" count="1">
    <dataValidation type="list" allowBlank="1" showInputMessage="1" showErrorMessage="1" sqref="C39:G39 B45:G47" xr:uid="{BA492B9F-F722-468F-B100-5A11AD3779A5}">
      <formula1>"Meets,Approaching,Does Not Meet"</formula1>
    </dataValidation>
  </dataValidations>
  <hyperlinks>
    <hyperlink ref="J20" r:id="rId1" xr:uid="{9AE3AAFC-A0FA-4358-901F-22F2C2E42A0F}"/>
    <hyperlink ref="J3" r:id="rId2" xr:uid="{10DBCB33-B30C-41BB-8875-4CE1E1018E23}"/>
  </hyperlinks>
  <pageMargins left="0.7" right="0.7" top="0.75" bottom="0.75" header="0.3" footer="0.3"/>
  <pageSetup orientation="portrait" horizontalDpi="1200" verticalDpi="120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1D80-954D-4BA6-A10D-CB4A5BE0939A}">
  <sheetPr codeName="Sheet11">
    <tabColor theme="1"/>
  </sheetPr>
  <dimension ref="A1:AN125"/>
  <sheetViews>
    <sheetView showGridLines="0" topLeftCell="A104" zoomScale="130" zoomScaleNormal="130" workbookViewId="0"/>
  </sheetViews>
  <sheetFormatPr baseColWidth="10" defaultColWidth="8.83203125" defaultRowHeight="15"/>
  <cols>
    <col min="1" max="1" width="35.1640625" customWidth="1"/>
    <col min="3" max="5" width="10.1640625" customWidth="1"/>
    <col min="6" max="6" width="14.6640625" customWidth="1"/>
    <col min="7" max="18" width="10.1640625" customWidth="1"/>
    <col min="19" max="19" width="12.1640625" customWidth="1"/>
    <col min="20" max="24" width="10.1640625" customWidth="1"/>
  </cols>
  <sheetData>
    <row r="1" spans="1:40" ht="26">
      <c r="A1" s="43" t="s">
        <v>90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row>
    <row r="2" spans="1:40" ht="16" customHeight="1"/>
    <row r="3" spans="1:40" s="13" customFormat="1" ht="16" customHeight="1" thickBot="1">
      <c r="A3" s="3" t="s">
        <v>12</v>
      </c>
    </row>
    <row r="4" spans="1:40" ht="16" customHeight="1" thickBot="1">
      <c r="A4" s="8" t="s">
        <v>16</v>
      </c>
      <c r="N4" s="6"/>
    </row>
    <row r="5" spans="1:40" ht="16" customHeight="1" thickBot="1">
      <c r="A5" s="20">
        <v>2027</v>
      </c>
      <c r="F5" s="7"/>
      <c r="G5" s="7"/>
      <c r="H5" s="7"/>
      <c r="I5" s="7"/>
      <c r="N5" s="6"/>
      <c r="P5" s="1"/>
    </row>
    <row r="6" spans="1:40" s="7" customFormat="1" ht="16" customHeight="1" thickBot="1">
      <c r="A6" s="20">
        <f>A5+1</f>
        <v>2028</v>
      </c>
      <c r="E6" s="2"/>
      <c r="J6" s="4"/>
      <c r="K6" s="4"/>
      <c r="L6" s="4"/>
      <c r="M6" s="1"/>
      <c r="N6" s="6"/>
      <c r="O6" s="4"/>
      <c r="P6" s="1"/>
      <c r="Q6" s="6"/>
      <c r="R6" s="6"/>
      <c r="S6" s="6"/>
      <c r="T6" s="6"/>
      <c r="U6" s="4"/>
      <c r="V6" s="4"/>
      <c r="W6" s="4"/>
      <c r="X6" s="4"/>
      <c r="Y6" s="4"/>
      <c r="Z6" s="4"/>
      <c r="AA6" s="4"/>
      <c r="AB6" s="4"/>
      <c r="AC6" s="4"/>
      <c r="AD6" s="4"/>
    </row>
    <row r="7" spans="1:40" s="7" customFormat="1" ht="16" customHeight="1" thickBot="1">
      <c r="A7" s="20">
        <f t="shared" ref="A7:A14" si="0">A6+1</f>
        <v>2029</v>
      </c>
      <c r="E7" s="2"/>
      <c r="J7" s="4"/>
      <c r="K7" s="4"/>
      <c r="L7" s="4"/>
      <c r="M7" s="1"/>
      <c r="N7" s="6"/>
      <c r="O7" s="5"/>
      <c r="P7" s="1"/>
      <c r="Q7" s="5"/>
      <c r="R7" s="5"/>
      <c r="S7" s="5"/>
      <c r="T7" s="5"/>
      <c r="U7" s="5"/>
      <c r="V7" s="5"/>
      <c r="W7" s="5"/>
      <c r="X7" s="5"/>
      <c r="Y7" s="4"/>
      <c r="Z7" s="4"/>
      <c r="AA7" s="4"/>
      <c r="AB7" s="4"/>
      <c r="AC7" s="4"/>
      <c r="AD7" s="4"/>
    </row>
    <row r="8" spans="1:40" s="7" customFormat="1" ht="16" customHeight="1" thickBot="1">
      <c r="A8" s="20">
        <f t="shared" si="0"/>
        <v>2030</v>
      </c>
      <c r="E8" s="2"/>
      <c r="J8" s="4"/>
      <c r="K8" s="4"/>
      <c r="L8" s="4"/>
      <c r="M8" s="1"/>
      <c r="N8" s="6"/>
      <c r="O8" s="4"/>
      <c r="P8" s="1"/>
      <c r="Q8" s="6"/>
      <c r="R8" s="6"/>
      <c r="S8" s="6"/>
      <c r="T8" s="6"/>
      <c r="U8" s="4"/>
      <c r="V8" s="4"/>
      <c r="W8" s="4"/>
      <c r="X8" s="4"/>
      <c r="Y8" s="4"/>
      <c r="Z8" s="4"/>
      <c r="AA8" s="4"/>
      <c r="AB8" s="4"/>
      <c r="AC8" s="4"/>
      <c r="AD8" s="4"/>
    </row>
    <row r="9" spans="1:40" s="7" customFormat="1" ht="16" customHeight="1" thickBot="1">
      <c r="A9" s="20">
        <f t="shared" si="0"/>
        <v>2031</v>
      </c>
      <c r="E9" s="2"/>
      <c r="J9" s="4"/>
      <c r="K9" s="4"/>
      <c r="L9" s="4"/>
      <c r="M9" s="1"/>
      <c r="N9" s="6"/>
      <c r="O9" s="4"/>
      <c r="P9" s="1"/>
      <c r="Q9" s="6"/>
      <c r="R9" s="6"/>
      <c r="S9" s="6"/>
      <c r="T9" s="6"/>
      <c r="U9" s="4"/>
      <c r="V9" s="4"/>
      <c r="W9" s="4"/>
      <c r="X9" s="4"/>
      <c r="Y9" s="4"/>
      <c r="Z9" s="4"/>
      <c r="AA9" s="4"/>
      <c r="AB9" s="4"/>
      <c r="AC9" s="4"/>
      <c r="AD9" s="4"/>
    </row>
    <row r="10" spans="1:40" s="7" customFormat="1" ht="16" customHeight="1" thickBot="1">
      <c r="A10" s="20">
        <f t="shared" si="0"/>
        <v>2032</v>
      </c>
      <c r="E10" s="2"/>
      <c r="J10" s="4"/>
      <c r="K10" s="4"/>
      <c r="L10" s="4"/>
      <c r="M10" s="1"/>
      <c r="N10" s="6"/>
      <c r="O10" s="4"/>
      <c r="P10" s="1"/>
      <c r="Q10" s="6"/>
      <c r="R10" s="6"/>
      <c r="S10" s="6"/>
      <c r="T10" s="6"/>
      <c r="U10" s="4"/>
      <c r="V10" s="4"/>
      <c r="W10" s="4"/>
      <c r="X10" s="4"/>
      <c r="Y10" s="4"/>
      <c r="Z10" s="4"/>
      <c r="AA10" s="4"/>
      <c r="AB10" s="4"/>
      <c r="AC10" s="4"/>
      <c r="AD10" s="4"/>
    </row>
    <row r="11" spans="1:40" s="7" customFormat="1" ht="16" customHeight="1" thickBot="1">
      <c r="A11" s="20">
        <f t="shared" si="0"/>
        <v>2033</v>
      </c>
      <c r="E11" s="2"/>
      <c r="J11" s="4"/>
      <c r="K11" s="4"/>
      <c r="L11" s="4"/>
      <c r="M11" s="1"/>
      <c r="N11" s="6"/>
      <c r="O11" s="4"/>
      <c r="P11" s="1"/>
      <c r="Q11" s="6"/>
      <c r="R11" s="6"/>
      <c r="S11" s="6"/>
      <c r="T11" s="6"/>
      <c r="U11" s="4"/>
      <c r="V11" s="4"/>
      <c r="W11" s="4"/>
      <c r="X11" s="4"/>
      <c r="Y11" s="4"/>
      <c r="Z11" s="4"/>
      <c r="AA11" s="4"/>
      <c r="AB11" s="4"/>
      <c r="AC11" s="4"/>
      <c r="AD11" s="4"/>
    </row>
    <row r="12" spans="1:40" s="7" customFormat="1" ht="17" thickBot="1">
      <c r="A12" s="20">
        <f t="shared" si="0"/>
        <v>2034</v>
      </c>
      <c r="E12" s="2"/>
      <c r="J12" s="4"/>
      <c r="K12" s="4"/>
      <c r="L12" s="4"/>
      <c r="M12" s="1"/>
      <c r="N12" s="6"/>
      <c r="O12" s="1"/>
      <c r="P12" s="1"/>
      <c r="Q12" s="6"/>
      <c r="R12" s="6"/>
      <c r="S12" s="6"/>
      <c r="T12" s="6"/>
      <c r="U12" s="4"/>
      <c r="V12" s="4"/>
      <c r="W12" s="4"/>
      <c r="X12" s="4"/>
      <c r="Y12" s="4"/>
      <c r="Z12" s="4"/>
      <c r="AA12" s="4"/>
      <c r="AB12" s="4"/>
      <c r="AC12" s="4"/>
      <c r="AD12" s="4"/>
    </row>
    <row r="13" spans="1:40" s="7" customFormat="1" ht="17" thickBot="1">
      <c r="A13" s="20">
        <f t="shared" si="0"/>
        <v>2035</v>
      </c>
      <c r="E13" s="2"/>
      <c r="J13" s="4"/>
      <c r="K13" s="4"/>
      <c r="L13" s="4"/>
      <c r="M13" s="1"/>
      <c r="N13" s="6"/>
      <c r="O13" s="1"/>
      <c r="P13" s="1"/>
      <c r="Q13" s="6"/>
      <c r="R13" s="6"/>
      <c r="S13" s="6"/>
      <c r="T13" s="6"/>
      <c r="U13" s="4"/>
      <c r="V13" s="4"/>
      <c r="W13" s="4"/>
      <c r="X13" s="4"/>
      <c r="Y13" s="4"/>
      <c r="Z13" s="4"/>
      <c r="AA13" s="4"/>
      <c r="AB13" s="4"/>
      <c r="AC13" s="4"/>
      <c r="AD13" s="4"/>
    </row>
    <row r="14" spans="1:40" s="7" customFormat="1" ht="17" thickBot="1">
      <c r="A14" s="20">
        <f t="shared" si="0"/>
        <v>2036</v>
      </c>
      <c r="E14" s="2"/>
      <c r="J14" s="4"/>
      <c r="K14" s="4"/>
      <c r="L14" s="4"/>
      <c r="M14" s="1"/>
      <c r="N14" s="6"/>
      <c r="O14" s="4"/>
      <c r="P14" s="1"/>
      <c r="Q14" s="4"/>
      <c r="R14" s="4"/>
      <c r="S14" s="4"/>
      <c r="T14" s="4"/>
      <c r="U14" s="4"/>
      <c r="V14" s="4"/>
      <c r="W14" s="4"/>
      <c r="X14" s="4"/>
      <c r="Y14" s="4"/>
      <c r="Z14" s="4"/>
      <c r="AA14" s="4"/>
      <c r="AB14" s="4"/>
      <c r="AC14" s="4"/>
      <c r="AD14" s="4"/>
    </row>
    <row r="15" spans="1:40" s="7" customFormat="1" ht="17" thickBot="1">
      <c r="A15" s="5" t="s">
        <v>34</v>
      </c>
      <c r="E15" s="2"/>
      <c r="J15" s="4"/>
      <c r="K15" s="4"/>
      <c r="L15" s="4"/>
      <c r="M15" s="1"/>
      <c r="N15" s="6"/>
      <c r="O15" s="1"/>
      <c r="P15" s="1"/>
      <c r="Q15" s="6"/>
      <c r="R15" s="6"/>
      <c r="S15" s="6"/>
      <c r="T15" s="6"/>
      <c r="U15" s="4"/>
      <c r="V15" s="4"/>
      <c r="W15" s="4"/>
      <c r="X15" s="4"/>
      <c r="Y15" s="4"/>
      <c r="Z15" s="4"/>
      <c r="AA15" s="4"/>
      <c r="AB15" s="4"/>
      <c r="AC15" s="4"/>
      <c r="AD15" s="4"/>
    </row>
    <row r="16" spans="1:40" s="7" customFormat="1" ht="17" thickBot="1">
      <c r="A16" s="8" t="s">
        <v>16</v>
      </c>
      <c r="E16" s="2"/>
      <c r="J16" s="4"/>
      <c r="K16" s="4"/>
      <c r="L16" s="4"/>
      <c r="M16" s="1"/>
      <c r="N16" s="6"/>
      <c r="O16" s="1"/>
      <c r="P16" s="1"/>
      <c r="Q16" s="6"/>
      <c r="R16" s="6"/>
      <c r="S16" s="6"/>
      <c r="T16" s="6"/>
      <c r="U16" s="4"/>
      <c r="V16" s="4"/>
      <c r="W16" s="4"/>
      <c r="X16" s="4"/>
      <c r="Y16" s="4"/>
      <c r="Z16" s="4"/>
      <c r="AA16" s="4"/>
      <c r="AB16" s="4"/>
      <c r="AC16" s="4"/>
      <c r="AD16" s="4"/>
    </row>
    <row r="17" spans="1:30" s="7" customFormat="1" ht="17" thickBot="1">
      <c r="A17" s="20">
        <f>INPUTS!$D$1</f>
        <v>2027</v>
      </c>
      <c r="B17" s="24">
        <v>0</v>
      </c>
      <c r="J17" s="4"/>
      <c r="K17" s="4"/>
      <c r="L17" s="4"/>
      <c r="M17" s="1"/>
      <c r="N17" s="6"/>
      <c r="O17" s="1"/>
      <c r="P17" s="1"/>
      <c r="Q17" s="6"/>
      <c r="R17" s="6"/>
      <c r="S17" s="6"/>
      <c r="T17" s="6"/>
      <c r="U17" s="4"/>
      <c r="V17" s="4"/>
      <c r="W17" s="4"/>
      <c r="X17" s="4"/>
      <c r="Y17" s="4"/>
      <c r="Z17" s="4"/>
      <c r="AA17" s="4"/>
      <c r="AB17" s="4"/>
      <c r="AC17" s="4"/>
      <c r="AD17" s="4"/>
    </row>
    <row r="18" spans="1:30" s="7" customFormat="1" ht="17" thickBot="1">
      <c r="A18" s="20">
        <f>INPUTS!$E$1</f>
        <v>2028</v>
      </c>
      <c r="B18" s="24">
        <v>1</v>
      </c>
      <c r="E18" s="2"/>
      <c r="J18" s="4"/>
      <c r="K18" s="4"/>
      <c r="L18" s="4"/>
      <c r="M18" s="1"/>
      <c r="N18" s="6"/>
      <c r="O18" s="1"/>
      <c r="P18" s="1"/>
      <c r="Q18" s="6"/>
      <c r="R18" s="6"/>
      <c r="S18" s="6"/>
      <c r="T18" s="6"/>
      <c r="U18" s="4"/>
      <c r="V18" s="4"/>
      <c r="W18" s="4"/>
      <c r="X18" s="4"/>
      <c r="Y18" s="4"/>
      <c r="Z18" s="4"/>
      <c r="AA18" s="4"/>
      <c r="AB18" s="4"/>
      <c r="AC18" s="4"/>
      <c r="AD18" s="4"/>
    </row>
    <row r="19" spans="1:30" s="7" customFormat="1" ht="17" thickBot="1">
      <c r="A19" s="20">
        <f>INPUTS!$F$1</f>
        <v>2029</v>
      </c>
      <c r="B19" s="24">
        <v>2</v>
      </c>
      <c r="E19" s="2"/>
      <c r="J19" s="4"/>
      <c r="K19" s="4"/>
      <c r="L19" s="4"/>
      <c r="M19" s="1"/>
      <c r="N19" s="6"/>
      <c r="O19" s="4"/>
      <c r="P19" s="1"/>
      <c r="Q19" s="4"/>
      <c r="R19" s="4"/>
      <c r="S19" s="4"/>
      <c r="T19" s="4"/>
      <c r="U19" s="4"/>
      <c r="V19" s="4"/>
      <c r="W19" s="4"/>
      <c r="X19" s="4"/>
      <c r="Y19" s="4"/>
      <c r="Z19" s="4"/>
      <c r="AA19" s="4"/>
      <c r="AB19" s="4"/>
      <c r="AC19" s="4"/>
      <c r="AD19" s="4"/>
    </row>
    <row r="20" spans="1:30" s="7" customFormat="1" ht="17" thickBot="1">
      <c r="A20" s="20">
        <f>INPUTS!$G$1</f>
        <v>2030</v>
      </c>
      <c r="B20" s="24">
        <v>3</v>
      </c>
      <c r="E20" s="2"/>
      <c r="J20" s="4"/>
      <c r="K20" s="4"/>
      <c r="L20" s="4"/>
      <c r="M20" s="1"/>
      <c r="N20" s="6"/>
      <c r="O20" s="4"/>
      <c r="P20" s="1"/>
      <c r="Q20" s="4"/>
      <c r="R20" s="4"/>
      <c r="S20" s="4"/>
      <c r="T20" s="4"/>
      <c r="U20" s="4"/>
      <c r="V20" s="4"/>
      <c r="W20" s="4"/>
      <c r="X20" s="4"/>
      <c r="Y20" s="4"/>
      <c r="Z20" s="4"/>
      <c r="AA20" s="4"/>
      <c r="AB20" s="4"/>
      <c r="AC20" s="4"/>
      <c r="AD20" s="4"/>
    </row>
    <row r="21" spans="1:30" s="7" customFormat="1" ht="17" thickBot="1">
      <c r="A21" s="20">
        <f>INPUTS!$H$1</f>
        <v>2031</v>
      </c>
      <c r="B21" s="24">
        <v>4</v>
      </c>
      <c r="E21" s="2"/>
      <c r="J21" s="4"/>
      <c r="K21" s="4"/>
      <c r="L21" s="4"/>
      <c r="M21" s="1"/>
      <c r="N21" s="6"/>
      <c r="O21" s="1"/>
      <c r="P21" s="1"/>
      <c r="Q21" s="6"/>
      <c r="R21" s="6"/>
      <c r="S21" s="6"/>
      <c r="T21" s="6"/>
      <c r="U21" s="4"/>
      <c r="V21" s="4"/>
      <c r="W21" s="4"/>
      <c r="X21" s="4"/>
      <c r="Y21" s="4"/>
      <c r="Z21" s="4"/>
      <c r="AA21" s="4"/>
      <c r="AB21" s="4"/>
      <c r="AC21" s="4"/>
      <c r="AD21" s="4"/>
    </row>
    <row r="22" spans="1:30" s="7" customFormat="1" ht="17" thickBot="1">
      <c r="A22" s="20">
        <f>INPUTS!$I$1</f>
        <v>2032</v>
      </c>
      <c r="B22" s="24">
        <v>5</v>
      </c>
      <c r="E22" s="2"/>
      <c r="J22" s="4"/>
      <c r="K22" s="4"/>
      <c r="L22" s="4"/>
      <c r="M22" s="1"/>
      <c r="N22" s="6"/>
      <c r="O22" s="1"/>
      <c r="P22" s="1"/>
      <c r="Q22" s="6"/>
      <c r="R22" s="6"/>
      <c r="S22" s="6"/>
      <c r="T22" s="6"/>
      <c r="U22" s="4"/>
      <c r="V22" s="4"/>
      <c r="W22" s="4"/>
      <c r="X22" s="4"/>
      <c r="Y22" s="4"/>
      <c r="Z22" s="4"/>
      <c r="AA22" s="4"/>
      <c r="AB22" s="4"/>
      <c r="AC22" s="4"/>
      <c r="AD22" s="4"/>
    </row>
    <row r="23" spans="1:30" s="7" customFormat="1" ht="16">
      <c r="E23" s="2"/>
      <c r="J23" s="1"/>
      <c r="K23" s="4"/>
      <c r="L23" s="4"/>
      <c r="M23" s="1"/>
      <c r="N23" s="6"/>
      <c r="O23" s="1"/>
      <c r="P23" s="1"/>
      <c r="Q23" s="6"/>
      <c r="R23" s="6"/>
      <c r="S23" s="6"/>
      <c r="T23" s="6"/>
      <c r="U23" s="4"/>
      <c r="V23" s="4"/>
      <c r="W23" s="4"/>
      <c r="X23" s="4"/>
      <c r="Y23" s="4"/>
      <c r="Z23" s="4"/>
      <c r="AA23" s="4"/>
      <c r="AB23" s="4"/>
      <c r="AC23" s="4"/>
      <c r="AD23" s="4"/>
    </row>
    <row r="24" spans="1:30" s="7" customFormat="1" ht="17" thickBot="1">
      <c r="A24" s="3" t="s">
        <v>35</v>
      </c>
      <c r="E24" s="2"/>
      <c r="J24" s="1"/>
      <c r="K24" s="1"/>
      <c r="L24" s="1"/>
      <c r="M24" s="1"/>
      <c r="N24" s="6"/>
      <c r="O24" s="1"/>
      <c r="P24" s="6"/>
      <c r="Q24" s="6"/>
      <c r="R24" s="6"/>
      <c r="S24" s="6"/>
      <c r="T24" s="6"/>
      <c r="U24" s="4"/>
      <c r="V24" s="4"/>
      <c r="W24" s="4"/>
      <c r="X24" s="4"/>
      <c r="Y24" s="4"/>
      <c r="Z24" s="4"/>
      <c r="AA24" s="4"/>
      <c r="AB24" s="4"/>
      <c r="AC24" s="4"/>
      <c r="AD24" s="4"/>
    </row>
    <row r="25" spans="1:30" s="7" customFormat="1" ht="17" thickBot="1">
      <c r="A25" s="9" t="s">
        <v>14</v>
      </c>
      <c r="B25" s="24">
        <v>1</v>
      </c>
      <c r="E25" s="2"/>
      <c r="J25" s="6"/>
      <c r="K25" s="6"/>
      <c r="L25" s="6"/>
      <c r="M25" s="6"/>
      <c r="N25" s="6"/>
      <c r="O25" s="6"/>
      <c r="P25" s="6"/>
      <c r="Q25" s="6"/>
      <c r="R25" s="6"/>
      <c r="S25" s="6"/>
      <c r="T25" s="6"/>
      <c r="U25" s="4"/>
      <c r="V25" s="4"/>
      <c r="W25" s="4"/>
      <c r="X25" s="4"/>
      <c r="Y25" s="4"/>
      <c r="Z25" s="4"/>
      <c r="AA25" s="4"/>
      <c r="AB25" s="4"/>
      <c r="AC25" s="4"/>
      <c r="AD25" s="4"/>
    </row>
    <row r="26" spans="1:30" s="7" customFormat="1" ht="17" thickBot="1">
      <c r="A26" s="9">
        <v>1</v>
      </c>
      <c r="B26" s="24">
        <v>2</v>
      </c>
      <c r="E26" s="2"/>
      <c r="J26" s="6"/>
      <c r="K26" s="6"/>
      <c r="L26" s="6"/>
      <c r="M26" s="6"/>
      <c r="N26" s="6"/>
      <c r="O26" s="6"/>
      <c r="P26" s="6"/>
      <c r="Q26" s="6"/>
      <c r="R26" s="6"/>
      <c r="S26" s="6"/>
      <c r="T26" s="6"/>
      <c r="U26" s="4"/>
      <c r="V26" s="4"/>
      <c r="W26" s="4"/>
      <c r="X26" s="4"/>
      <c r="Y26" s="4"/>
      <c r="Z26" s="4"/>
      <c r="AA26" s="4"/>
      <c r="AB26" s="4"/>
      <c r="AC26" s="4"/>
      <c r="AD26" s="4"/>
    </row>
    <row r="27" spans="1:30" s="7" customFormat="1" ht="17" thickBot="1">
      <c r="A27" s="9">
        <v>2</v>
      </c>
      <c r="B27" s="24">
        <v>3</v>
      </c>
      <c r="E27" s="2"/>
      <c r="J27" s="6"/>
      <c r="K27" s="6"/>
      <c r="L27" s="6"/>
      <c r="M27" s="6"/>
      <c r="N27" s="6"/>
      <c r="O27" s="6"/>
      <c r="P27" s="6"/>
      <c r="Q27" s="6"/>
      <c r="R27" s="6"/>
      <c r="S27" s="6"/>
      <c r="T27" s="6"/>
      <c r="U27" s="4"/>
      <c r="V27" s="4"/>
      <c r="W27" s="4"/>
      <c r="X27" s="4"/>
      <c r="Y27" s="4"/>
      <c r="Z27" s="4"/>
      <c r="AA27" s="4"/>
      <c r="AB27" s="4"/>
      <c r="AC27" s="4"/>
      <c r="AD27" s="4"/>
    </row>
    <row r="28" spans="1:30" s="7" customFormat="1" ht="17" thickBot="1">
      <c r="A28" s="9">
        <v>3</v>
      </c>
      <c r="B28" s="24">
        <v>4</v>
      </c>
      <c r="E28" s="2"/>
      <c r="J28" s="6"/>
      <c r="K28" s="6"/>
      <c r="L28" s="6"/>
      <c r="M28" s="6"/>
      <c r="N28" s="6"/>
      <c r="O28" s="6"/>
      <c r="P28" s="6"/>
      <c r="Q28" s="6"/>
      <c r="R28" s="6"/>
      <c r="S28" s="6"/>
      <c r="T28" s="6"/>
      <c r="U28" s="4"/>
      <c r="V28" s="4"/>
      <c r="W28" s="4"/>
      <c r="X28" s="4"/>
      <c r="Y28" s="4"/>
      <c r="Z28" s="4"/>
      <c r="AA28" s="4"/>
      <c r="AB28" s="4"/>
      <c r="AC28" s="4"/>
      <c r="AD28" s="4"/>
    </row>
    <row r="29" spans="1:30" s="7" customFormat="1" ht="17" thickBot="1">
      <c r="A29" s="9">
        <v>4</v>
      </c>
      <c r="B29" s="24">
        <v>5</v>
      </c>
      <c r="E29" s="2"/>
      <c r="F29" s="1"/>
      <c r="G29" s="1"/>
      <c r="H29" s="4"/>
      <c r="I29" s="1"/>
      <c r="J29" s="6"/>
      <c r="K29" s="6"/>
      <c r="L29" s="6"/>
      <c r="M29" s="6"/>
      <c r="N29" s="6"/>
      <c r="O29" s="6"/>
      <c r="P29" s="6"/>
      <c r="Q29" s="6"/>
      <c r="R29" s="6"/>
      <c r="S29" s="6"/>
      <c r="T29" s="6"/>
      <c r="U29" s="4"/>
      <c r="V29" s="4"/>
      <c r="W29" s="4"/>
      <c r="X29" s="4"/>
      <c r="Y29" s="4"/>
      <c r="Z29" s="4"/>
      <c r="AA29" s="4"/>
      <c r="AB29" s="4"/>
      <c r="AC29" s="4"/>
      <c r="AD29" s="4"/>
    </row>
    <row r="30" spans="1:30" s="7" customFormat="1" ht="17" thickBot="1">
      <c r="A30" s="9">
        <v>5</v>
      </c>
      <c r="B30" s="24">
        <v>6</v>
      </c>
      <c r="E30" s="2"/>
      <c r="F30" s="4"/>
      <c r="G30" s="4"/>
      <c r="H30" s="4"/>
      <c r="I30" s="4"/>
      <c r="J30" s="6"/>
      <c r="K30" s="6"/>
      <c r="L30" s="6"/>
      <c r="M30" s="6"/>
      <c r="N30" s="6"/>
      <c r="O30" s="6"/>
      <c r="P30" s="6"/>
      <c r="Q30" s="6"/>
      <c r="R30" s="6"/>
      <c r="S30" s="6"/>
      <c r="T30" s="6"/>
      <c r="U30" s="4"/>
      <c r="V30" s="4"/>
      <c r="W30" s="4"/>
      <c r="X30" s="4"/>
      <c r="Y30" s="4"/>
      <c r="Z30" s="4"/>
      <c r="AA30" s="4"/>
      <c r="AB30" s="4"/>
      <c r="AC30" s="4"/>
      <c r="AD30" s="4"/>
    </row>
    <row r="31" spans="1:30" s="7" customFormat="1" ht="17" thickBot="1">
      <c r="A31" s="9">
        <v>6</v>
      </c>
      <c r="B31" s="24">
        <v>7</v>
      </c>
      <c r="E31" s="2"/>
      <c r="F31" s="4"/>
      <c r="G31" s="4"/>
      <c r="H31" s="4"/>
      <c r="I31" s="4"/>
      <c r="J31" s="6"/>
      <c r="K31" s="6"/>
      <c r="L31" s="6"/>
      <c r="M31" s="6"/>
      <c r="N31" s="6"/>
      <c r="O31" s="6"/>
      <c r="P31" s="6"/>
      <c r="Q31" s="6"/>
      <c r="R31" s="6"/>
      <c r="S31" s="6"/>
      <c r="T31" s="6"/>
      <c r="U31" s="4"/>
      <c r="V31" s="4"/>
      <c r="W31" s="4"/>
      <c r="X31" s="4"/>
      <c r="Y31" s="4"/>
      <c r="Z31" s="4"/>
      <c r="AA31" s="4"/>
      <c r="AB31" s="4"/>
      <c r="AC31" s="4"/>
      <c r="AD31" s="4"/>
    </row>
    <row r="32" spans="1:30" s="7" customFormat="1" ht="17" thickBot="1">
      <c r="A32" s="9">
        <v>7</v>
      </c>
      <c r="B32" s="24">
        <v>8</v>
      </c>
      <c r="E32" s="2"/>
      <c r="F32" s="4"/>
      <c r="G32" s="4"/>
      <c r="H32" s="4"/>
      <c r="I32" s="4"/>
      <c r="J32" s="6"/>
      <c r="K32" s="4"/>
      <c r="L32" s="4"/>
      <c r="M32" s="4"/>
      <c r="N32" s="6"/>
      <c r="O32" s="4"/>
      <c r="P32" s="4"/>
      <c r="Q32" s="6"/>
      <c r="R32" s="6"/>
      <c r="S32" s="6"/>
      <c r="T32" s="6"/>
      <c r="U32" s="4"/>
      <c r="V32" s="4"/>
      <c r="W32" s="4"/>
      <c r="X32" s="4"/>
      <c r="Y32" s="4"/>
      <c r="Z32" s="4"/>
      <c r="AA32" s="4"/>
      <c r="AB32" s="4"/>
      <c r="AC32" s="4"/>
      <c r="AD32" s="4"/>
    </row>
    <row r="33" spans="1:30" s="7" customFormat="1" ht="17" thickBot="1">
      <c r="A33" s="9">
        <v>8</v>
      </c>
      <c r="B33" s="24">
        <v>9</v>
      </c>
      <c r="E33" s="2"/>
      <c r="F33" s="4"/>
      <c r="G33" s="4"/>
      <c r="H33" s="4"/>
      <c r="I33" s="4"/>
      <c r="J33" s="6"/>
      <c r="K33" s="4"/>
      <c r="L33" s="4"/>
      <c r="M33" s="4"/>
      <c r="N33" s="6"/>
      <c r="O33" s="4"/>
      <c r="P33" s="4"/>
      <c r="Q33" s="6"/>
      <c r="R33" s="6"/>
      <c r="S33" s="6"/>
      <c r="T33" s="6"/>
      <c r="U33" s="4"/>
      <c r="V33" s="4"/>
      <c r="W33" s="4"/>
      <c r="X33" s="4"/>
      <c r="Y33" s="4"/>
      <c r="Z33" s="4"/>
      <c r="AA33" s="4"/>
      <c r="AB33" s="4"/>
      <c r="AC33" s="4"/>
      <c r="AD33" s="4"/>
    </row>
    <row r="34" spans="1:30" ht="17" thickBot="1">
      <c r="A34" s="9">
        <v>9</v>
      </c>
      <c r="B34" s="24">
        <v>10</v>
      </c>
      <c r="K34" s="4"/>
      <c r="L34" s="4"/>
      <c r="M34" s="4"/>
      <c r="N34" s="6"/>
      <c r="O34" s="4"/>
      <c r="P34" s="4"/>
    </row>
    <row r="35" spans="1:30" ht="17" thickBot="1">
      <c r="A35" s="9">
        <v>10</v>
      </c>
      <c r="B35" s="24">
        <v>11</v>
      </c>
    </row>
    <row r="36" spans="1:30" ht="17" thickBot="1">
      <c r="A36" s="9">
        <v>11</v>
      </c>
      <c r="B36" s="24">
        <v>12</v>
      </c>
    </row>
    <row r="37" spans="1:30" ht="17" thickBot="1">
      <c r="A37" s="9">
        <v>12</v>
      </c>
      <c r="B37" s="24">
        <v>13</v>
      </c>
    </row>
    <row r="39" spans="1:30" ht="16" thickBot="1">
      <c r="A39" s="3" t="s">
        <v>38</v>
      </c>
      <c r="B39" s="7"/>
    </row>
    <row r="40" spans="1:30" ht="17" thickBot="1">
      <c r="A40" s="27">
        <v>0.8</v>
      </c>
    </row>
    <row r="41" spans="1:30" ht="17" thickBot="1">
      <c r="A41" s="27">
        <v>0.85</v>
      </c>
    </row>
    <row r="42" spans="1:30" ht="17" thickBot="1">
      <c r="A42" s="27">
        <v>0.9</v>
      </c>
    </row>
    <row r="43" spans="1:30" ht="17" thickBot="1">
      <c r="A43" s="27">
        <v>0.95</v>
      </c>
    </row>
    <row r="44" spans="1:30" ht="17" thickBot="1">
      <c r="A44" s="27">
        <v>1</v>
      </c>
    </row>
    <row r="45" spans="1:30" ht="17" thickBot="1">
      <c r="A45" s="27">
        <v>1.05</v>
      </c>
    </row>
    <row r="46" spans="1:30" ht="17" thickBot="1">
      <c r="A46" s="27">
        <v>1.1000000000000001</v>
      </c>
    </row>
    <row r="47" spans="1:30" ht="17" thickBot="1">
      <c r="A47" s="27">
        <v>1.1499999999999999</v>
      </c>
    </row>
    <row r="48" spans="1:30" ht="17" thickBot="1">
      <c r="A48" s="27">
        <v>1.2</v>
      </c>
    </row>
    <row r="50" spans="1:1" ht="16" thickBot="1">
      <c r="A50" s="3" t="s">
        <v>20</v>
      </c>
    </row>
    <row r="51" spans="1:1" ht="17" thickBot="1">
      <c r="A51" s="8" t="s">
        <v>15</v>
      </c>
    </row>
    <row r="52" spans="1:1" ht="17" thickBot="1">
      <c r="A52" s="8" t="s">
        <v>221</v>
      </c>
    </row>
    <row r="53" spans="1:1" ht="17" thickBot="1">
      <c r="A53" s="8" t="s">
        <v>219</v>
      </c>
    </row>
    <row r="54" spans="1:1" ht="17" thickBot="1">
      <c r="A54" s="8" t="s">
        <v>220</v>
      </c>
    </row>
    <row r="55" spans="1:1" ht="17" thickBot="1">
      <c r="A55" s="8" t="s">
        <v>19</v>
      </c>
    </row>
    <row r="56" spans="1:1" ht="17" thickBot="1">
      <c r="A56" s="8" t="s">
        <v>208</v>
      </c>
    </row>
    <row r="57" spans="1:1" ht="17" thickBot="1">
      <c r="A57" s="8" t="s">
        <v>21</v>
      </c>
    </row>
    <row r="59" spans="1:1" ht="16" thickBot="1">
      <c r="A59" s="3" t="s">
        <v>18</v>
      </c>
    </row>
    <row r="60" spans="1:1" ht="17" thickBot="1">
      <c r="A60" s="8" t="s">
        <v>15</v>
      </c>
    </row>
    <row r="61" spans="1:1" ht="17" thickBot="1">
      <c r="A61" s="8" t="s">
        <v>208</v>
      </c>
    </row>
    <row r="62" spans="1:1" ht="17" thickBot="1">
      <c r="A62" s="8" t="s">
        <v>19</v>
      </c>
    </row>
    <row r="63" spans="1:1" ht="17" thickBot="1">
      <c r="A63" s="8" t="s">
        <v>211</v>
      </c>
    </row>
    <row r="64" spans="1:1" ht="17" thickBot="1">
      <c r="A64" s="8" t="s">
        <v>13</v>
      </c>
    </row>
    <row r="66" spans="1:1" ht="16" thickBot="1">
      <c r="A66" s="3" t="s">
        <v>388</v>
      </c>
    </row>
    <row r="67" spans="1:1" ht="17" thickBot="1">
      <c r="A67" s="8" t="s">
        <v>389</v>
      </c>
    </row>
    <row r="68" spans="1:1" ht="17" thickBot="1">
      <c r="A68" s="8" t="s">
        <v>390</v>
      </c>
    </row>
    <row r="69" spans="1:1" ht="17" thickBot="1">
      <c r="A69" s="8" t="s">
        <v>391</v>
      </c>
    </row>
    <row r="70" spans="1:1" ht="17" thickBot="1">
      <c r="A70" s="8" t="s">
        <v>401</v>
      </c>
    </row>
    <row r="71" spans="1:1" ht="17" thickBot="1">
      <c r="A71" s="8" t="s">
        <v>402</v>
      </c>
    </row>
    <row r="73" spans="1:1" ht="16" thickBot="1">
      <c r="A73" s="3" t="s">
        <v>394</v>
      </c>
    </row>
    <row r="74" spans="1:1" ht="17" thickBot="1">
      <c r="A74" s="8" t="s">
        <v>323</v>
      </c>
    </row>
    <row r="75" spans="1:1" ht="17" thickBot="1">
      <c r="A75" s="8" t="s">
        <v>322</v>
      </c>
    </row>
    <row r="77" spans="1:1" ht="16" thickBot="1">
      <c r="A77" s="3" t="s">
        <v>396</v>
      </c>
    </row>
    <row r="78" spans="1:1" ht="17" thickBot="1">
      <c r="A78" s="8" t="s">
        <v>384</v>
      </c>
    </row>
    <row r="79" spans="1:1" ht="17" thickBot="1">
      <c r="A79" s="8" t="s">
        <v>386</v>
      </c>
    </row>
    <row r="81" spans="1:2" ht="16" thickBot="1">
      <c r="A81" s="3" t="s">
        <v>213</v>
      </c>
    </row>
    <row r="82" spans="1:2" ht="17" thickBot="1">
      <c r="A82" s="20">
        <v>2026</v>
      </c>
      <c r="B82" s="21">
        <v>0</v>
      </c>
    </row>
    <row r="83" spans="1:2" ht="17" thickBot="1">
      <c r="A83" s="20">
        <v>2027</v>
      </c>
      <c r="B83" s="21">
        <v>1</v>
      </c>
    </row>
    <row r="84" spans="1:2" ht="17" thickBot="1">
      <c r="A84" s="20">
        <f>A83+1</f>
        <v>2028</v>
      </c>
      <c r="B84" s="21">
        <v>2</v>
      </c>
    </row>
    <row r="85" spans="1:2" ht="17" thickBot="1">
      <c r="A85" s="20">
        <f t="shared" ref="A85:A92" si="1">A84+1</f>
        <v>2029</v>
      </c>
      <c r="B85" s="21">
        <v>3</v>
      </c>
    </row>
    <row r="86" spans="1:2" ht="17" thickBot="1">
      <c r="A86" s="20">
        <f t="shared" si="1"/>
        <v>2030</v>
      </c>
      <c r="B86" s="21">
        <v>4</v>
      </c>
    </row>
    <row r="87" spans="1:2" ht="17" thickBot="1">
      <c r="A87" s="20">
        <f t="shared" si="1"/>
        <v>2031</v>
      </c>
      <c r="B87" s="21">
        <v>5</v>
      </c>
    </row>
    <row r="88" spans="1:2" ht="17" thickBot="1">
      <c r="A88" s="20">
        <f t="shared" si="1"/>
        <v>2032</v>
      </c>
      <c r="B88" s="21">
        <v>6</v>
      </c>
    </row>
    <row r="89" spans="1:2" ht="17" thickBot="1">
      <c r="A89" s="20">
        <f t="shared" si="1"/>
        <v>2033</v>
      </c>
      <c r="B89" s="21">
        <v>7</v>
      </c>
    </row>
    <row r="90" spans="1:2" ht="17" thickBot="1">
      <c r="A90" s="20">
        <f t="shared" si="1"/>
        <v>2034</v>
      </c>
      <c r="B90" s="21">
        <v>8</v>
      </c>
    </row>
    <row r="91" spans="1:2" ht="17" thickBot="1">
      <c r="A91" s="20">
        <f t="shared" si="1"/>
        <v>2035</v>
      </c>
      <c r="B91" s="21">
        <v>9</v>
      </c>
    </row>
    <row r="92" spans="1:2" ht="17" thickBot="1">
      <c r="A92" s="20">
        <f t="shared" si="1"/>
        <v>2036</v>
      </c>
      <c r="B92" s="21">
        <v>10</v>
      </c>
    </row>
    <row r="93" spans="1:2">
      <c r="A93" s="5"/>
    </row>
    <row r="94" spans="1:2" ht="16" thickBot="1">
      <c r="A94" s="3" t="s">
        <v>11</v>
      </c>
    </row>
    <row r="95" spans="1:2" ht="17" thickBot="1">
      <c r="A95" s="8" t="s">
        <v>15</v>
      </c>
    </row>
    <row r="96" spans="1:2" ht="17" thickBot="1">
      <c r="A96" s="8" t="s">
        <v>19</v>
      </c>
    </row>
    <row r="97" spans="1:18" ht="17" thickBot="1">
      <c r="A97" s="8" t="s">
        <v>375</v>
      </c>
    </row>
    <row r="98" spans="1:18" ht="17" thickBot="1">
      <c r="A98" s="8" t="s">
        <v>17</v>
      </c>
    </row>
    <row r="99" spans="1:18" ht="17" thickBot="1">
      <c r="A99" s="8" t="s">
        <v>376</v>
      </c>
    </row>
    <row r="100" spans="1:18" ht="17" thickBot="1">
      <c r="A100" s="8" t="s">
        <v>377</v>
      </c>
    </row>
    <row r="101" spans="1:18" ht="17" thickBot="1">
      <c r="A101" s="8" t="s">
        <v>1440</v>
      </c>
    </row>
    <row r="102" spans="1:18" ht="17" thickBot="1">
      <c r="A102" s="8" t="s">
        <v>438</v>
      </c>
    </row>
    <row r="104" spans="1:18" ht="16" thickBot="1">
      <c r="A104" s="3" t="s">
        <v>382</v>
      </c>
    </row>
    <row r="105" spans="1:18" ht="17" thickBot="1">
      <c r="A105" s="8" t="s">
        <v>288</v>
      </c>
    </row>
    <row r="106" spans="1:18" ht="17" thickBot="1">
      <c r="A106" s="8" t="s">
        <v>383</v>
      </c>
    </row>
    <row r="107" spans="1:18" ht="17" thickBot="1">
      <c r="A107" s="8" t="s">
        <v>384</v>
      </c>
    </row>
    <row r="108" spans="1:18" ht="17" thickBot="1">
      <c r="A108" s="8" t="s">
        <v>373</v>
      </c>
    </row>
    <row r="109" spans="1:18" ht="17" thickBot="1">
      <c r="A109" s="8" t="s">
        <v>385</v>
      </c>
    </row>
    <row r="110" spans="1:18" ht="17" thickBot="1">
      <c r="A110" s="8" t="s">
        <v>386</v>
      </c>
    </row>
    <row r="112" spans="1:18" ht="17" thickBot="1">
      <c r="A112" s="3" t="s">
        <v>451</v>
      </c>
      <c r="G112" s="425" t="s">
        <v>58</v>
      </c>
      <c r="H112" s="425" t="s">
        <v>59</v>
      </c>
      <c r="I112" s="425" t="s">
        <v>60</v>
      </c>
      <c r="J112" s="425" t="s">
        <v>61</v>
      </c>
      <c r="K112" s="425" t="s">
        <v>62</v>
      </c>
      <c r="L112" s="425" t="s">
        <v>63</v>
      </c>
      <c r="M112" s="425" t="s">
        <v>64</v>
      </c>
      <c r="N112" s="425" t="s">
        <v>65</v>
      </c>
      <c r="O112" s="425" t="s">
        <v>66</v>
      </c>
      <c r="P112" s="425" t="s">
        <v>67</v>
      </c>
      <c r="Q112" s="425" t="s">
        <v>56</v>
      </c>
      <c r="R112" s="425" t="s">
        <v>57</v>
      </c>
    </row>
    <row r="113" spans="1:21" ht="17" thickBot="1">
      <c r="A113" s="8" t="s">
        <v>439</v>
      </c>
      <c r="B113" t="s">
        <v>452</v>
      </c>
      <c r="G113" s="430">
        <v>8.3333333333333329E-2</v>
      </c>
      <c r="H113" s="430">
        <v>8.3333333333333329E-2</v>
      </c>
      <c r="I113" s="430">
        <v>8.3333333333333329E-2</v>
      </c>
      <c r="J113" s="430">
        <v>8.3333333333333329E-2</v>
      </c>
      <c r="K113" s="430">
        <v>8.3333333333333329E-2</v>
      </c>
      <c r="L113" s="430">
        <v>8.3333333333333329E-2</v>
      </c>
      <c r="M113" s="430">
        <v>8.3333333333333329E-2</v>
      </c>
      <c r="N113" s="430">
        <v>8.3333333333333329E-2</v>
      </c>
      <c r="O113" s="430">
        <v>8.3333333333333329E-2</v>
      </c>
      <c r="P113" s="430">
        <v>8.3333333333333329E-2</v>
      </c>
      <c r="Q113" s="430">
        <v>8.3333333333333329E-2</v>
      </c>
      <c r="R113" s="430">
        <v>8.3333333333333329E-2</v>
      </c>
      <c r="S113" s="426">
        <v>1</v>
      </c>
    </row>
    <row r="114" spans="1:21" ht="17" thickBot="1">
      <c r="A114" s="8" t="s">
        <v>440</v>
      </c>
      <c r="B114" t="s">
        <v>450</v>
      </c>
      <c r="G114" s="430">
        <v>0.1</v>
      </c>
      <c r="H114" s="430">
        <v>0.1</v>
      </c>
      <c r="I114" s="430">
        <v>0.1</v>
      </c>
      <c r="J114" s="430">
        <v>0.1</v>
      </c>
      <c r="K114" s="430">
        <v>0.1</v>
      </c>
      <c r="L114" s="430">
        <v>0.1</v>
      </c>
      <c r="M114" s="430">
        <v>0.1</v>
      </c>
      <c r="N114" s="430">
        <v>0.1</v>
      </c>
      <c r="O114" s="430">
        <v>0.1</v>
      </c>
      <c r="P114" s="430">
        <v>0.1</v>
      </c>
      <c r="Q114" s="430"/>
      <c r="R114" s="430"/>
      <c r="S114" s="426">
        <v>1</v>
      </c>
    </row>
    <row r="115" spans="1:21" ht="17" thickBot="1">
      <c r="A115" s="8" t="s">
        <v>441</v>
      </c>
      <c r="B115" t="s">
        <v>442</v>
      </c>
      <c r="G115" s="430"/>
      <c r="H115" s="430"/>
      <c r="I115" s="430">
        <v>0.25</v>
      </c>
      <c r="J115" s="430"/>
      <c r="K115" s="430"/>
      <c r="L115" s="430">
        <v>0.25</v>
      </c>
      <c r="M115" s="430"/>
      <c r="N115" s="430"/>
      <c r="O115" s="430">
        <v>0.25</v>
      </c>
      <c r="P115" s="430"/>
      <c r="Q115" s="430"/>
      <c r="R115" s="430">
        <v>0.25</v>
      </c>
      <c r="S115" s="426">
        <v>1</v>
      </c>
    </row>
    <row r="116" spans="1:21" ht="17" thickBot="1">
      <c r="A116" s="8" t="s">
        <v>444</v>
      </c>
      <c r="B116" t="s">
        <v>446</v>
      </c>
      <c r="G116" s="430">
        <v>0.5</v>
      </c>
      <c r="H116" s="430"/>
      <c r="I116" s="430"/>
      <c r="J116" s="430"/>
      <c r="K116" s="430"/>
      <c r="L116" s="430">
        <v>0.5</v>
      </c>
      <c r="M116" s="430"/>
      <c r="N116" s="430"/>
      <c r="O116" s="430"/>
      <c r="P116" s="430"/>
      <c r="Q116" s="430"/>
      <c r="R116" s="430"/>
      <c r="S116" s="426">
        <v>1</v>
      </c>
    </row>
    <row r="117" spans="1:21" ht="17" thickBot="1">
      <c r="A117" s="8" t="s">
        <v>445</v>
      </c>
      <c r="B117" t="s">
        <v>447</v>
      </c>
      <c r="G117" s="430"/>
      <c r="H117" s="430"/>
      <c r="I117" s="430"/>
      <c r="J117" s="430"/>
      <c r="K117" s="430"/>
      <c r="L117" s="430">
        <v>0.5</v>
      </c>
      <c r="M117" s="430"/>
      <c r="N117" s="430"/>
      <c r="O117" s="430"/>
      <c r="P117" s="430"/>
      <c r="Q117" s="430"/>
      <c r="R117" s="430">
        <v>0.5</v>
      </c>
      <c r="S117" s="426">
        <v>1</v>
      </c>
    </row>
    <row r="118" spans="1:21" ht="17" thickBot="1">
      <c r="A118" s="8" t="s">
        <v>456</v>
      </c>
      <c r="B118" t="s">
        <v>453</v>
      </c>
      <c r="G118" s="430">
        <v>1</v>
      </c>
      <c r="H118" s="430">
        <v>0</v>
      </c>
      <c r="I118" s="430">
        <v>0</v>
      </c>
      <c r="J118" s="430">
        <v>0</v>
      </c>
      <c r="K118" s="430">
        <v>0</v>
      </c>
      <c r="L118" s="430">
        <v>0</v>
      </c>
      <c r="M118" s="430">
        <v>0</v>
      </c>
      <c r="N118" s="430">
        <v>0</v>
      </c>
      <c r="O118" s="430">
        <v>0</v>
      </c>
      <c r="P118" s="430">
        <v>0</v>
      </c>
      <c r="Q118" s="430">
        <v>0</v>
      </c>
      <c r="R118" s="430">
        <v>0</v>
      </c>
      <c r="S118" s="426">
        <v>1</v>
      </c>
    </row>
    <row r="119" spans="1:21" ht="17" thickBot="1">
      <c r="A119" s="8" t="s">
        <v>1319</v>
      </c>
      <c r="B119" t="s">
        <v>1320</v>
      </c>
      <c r="G119" s="430">
        <v>0.09</v>
      </c>
      <c r="H119" s="430">
        <v>0.08</v>
      </c>
      <c r="I119" s="430">
        <v>0.05</v>
      </c>
      <c r="J119" s="430">
        <v>0.09</v>
      </c>
      <c r="K119" s="430">
        <v>8.5000000000000006E-2</v>
      </c>
      <c r="L119" s="430">
        <v>0.09</v>
      </c>
      <c r="M119" s="430">
        <v>0.09</v>
      </c>
      <c r="N119" s="430">
        <v>0.09</v>
      </c>
      <c r="O119" s="430">
        <v>0.05</v>
      </c>
      <c r="P119" s="430">
        <v>0.06</v>
      </c>
      <c r="Q119" s="430">
        <v>0.125</v>
      </c>
      <c r="R119" s="430">
        <v>0.1</v>
      </c>
      <c r="S119" s="426">
        <v>1</v>
      </c>
      <c r="T119" s="811">
        <v>0.22500000000000001</v>
      </c>
    </row>
    <row r="120" spans="1:21" ht="17" thickBot="1">
      <c r="A120" s="8" t="s">
        <v>443</v>
      </c>
      <c r="B120" t="s">
        <v>455</v>
      </c>
      <c r="G120" s="430"/>
      <c r="H120" s="430"/>
      <c r="I120" s="430">
        <v>8.3333333333333329E-2</v>
      </c>
      <c r="J120" s="430">
        <v>8.3333333333333329E-2</v>
      </c>
      <c r="K120" s="430">
        <v>8.3333333333333329E-2</v>
      </c>
      <c r="L120" s="430">
        <v>8.3333333333333329E-2</v>
      </c>
      <c r="M120" s="430">
        <v>8.3333333333333329E-2</v>
      </c>
      <c r="N120" s="430">
        <v>8.3333333333333329E-2</v>
      </c>
      <c r="O120" s="430">
        <v>8.3333333333333329E-2</v>
      </c>
      <c r="P120" s="430">
        <v>8.3333333333333329E-2</v>
      </c>
      <c r="Q120" s="430">
        <v>8.3333333333333329E-2</v>
      </c>
      <c r="R120" s="430">
        <v>0.25</v>
      </c>
      <c r="S120" s="426">
        <v>1</v>
      </c>
    </row>
    <row r="121" spans="1:21" ht="17" thickBot="1">
      <c r="A121" s="8" t="s">
        <v>448</v>
      </c>
      <c r="B121" t="s">
        <v>449</v>
      </c>
    </row>
    <row r="124" spans="1:21" ht="17" thickBot="1">
      <c r="G124" s="425" t="s">
        <v>56</v>
      </c>
      <c r="H124" s="425" t="s">
        <v>57</v>
      </c>
      <c r="I124" s="425" t="s">
        <v>58</v>
      </c>
      <c r="J124" s="425" t="s">
        <v>59</v>
      </c>
      <c r="K124" s="425" t="s">
        <v>60</v>
      </c>
      <c r="L124" s="425" t="s">
        <v>61</v>
      </c>
      <c r="M124" s="425" t="s">
        <v>62</v>
      </c>
      <c r="N124" s="425" t="s">
        <v>63</v>
      </c>
      <c r="O124" s="425" t="s">
        <v>64</v>
      </c>
      <c r="P124" s="425" t="s">
        <v>65</v>
      </c>
      <c r="Q124" s="425" t="s">
        <v>66</v>
      </c>
      <c r="R124" s="425" t="s">
        <v>67</v>
      </c>
      <c r="S124" s="812" t="s">
        <v>1419</v>
      </c>
    </row>
    <row r="125" spans="1:21" ht="17" thickBot="1">
      <c r="F125" s="8" t="s">
        <v>1420</v>
      </c>
      <c r="G125" s="430">
        <v>0.05</v>
      </c>
      <c r="H125" s="430">
        <v>0.05</v>
      </c>
      <c r="I125" s="430">
        <v>0.09</v>
      </c>
      <c r="J125" s="430">
        <v>0.09</v>
      </c>
      <c r="K125" s="430">
        <v>0.09</v>
      </c>
      <c r="L125" s="430">
        <v>0.09</v>
      </c>
      <c r="M125" s="430">
        <v>0.09</v>
      </c>
      <c r="N125" s="430">
        <v>0.09</v>
      </c>
      <c r="O125" s="430">
        <v>0.09</v>
      </c>
      <c r="P125" s="430">
        <v>0.09</v>
      </c>
      <c r="Q125" s="430">
        <v>0.09</v>
      </c>
      <c r="R125" s="430">
        <v>0.09</v>
      </c>
      <c r="S125" s="813">
        <f>SUM(G125:R125)</f>
        <v>0.99999999999999978</v>
      </c>
      <c r="U125"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1DCA-560B-454B-8281-BBFBDA6B56C3}">
  <sheetPr codeName="Sheet12">
    <tabColor theme="5"/>
  </sheetPr>
  <dimension ref="A1:I152"/>
  <sheetViews>
    <sheetView showGridLines="0" zoomScale="90" zoomScaleNormal="90" workbookViewId="0">
      <selection activeCell="G24" sqref="G24"/>
    </sheetView>
  </sheetViews>
  <sheetFormatPr baseColWidth="10" defaultColWidth="8.6640625" defaultRowHeight="15"/>
  <cols>
    <col min="1" max="1" width="41.6640625" style="513" customWidth="1"/>
    <col min="2" max="2" width="48.5" style="513" customWidth="1"/>
    <col min="3" max="8" width="15.5" style="513" customWidth="1"/>
    <col min="9" max="9" width="63.5" style="513" customWidth="1"/>
    <col min="10" max="16384" width="8.6640625" style="513"/>
  </cols>
  <sheetData>
    <row r="1" spans="1:9" ht="26">
      <c r="A1" s="45" t="s">
        <v>1408</v>
      </c>
      <c r="B1" s="46"/>
      <c r="C1" s="46"/>
      <c r="D1" s="46"/>
      <c r="E1" s="307"/>
      <c r="F1" s="307"/>
      <c r="G1" s="307"/>
      <c r="H1" s="307"/>
      <c r="I1" s="578"/>
    </row>
    <row r="2" spans="1:9">
      <c r="A2" s="579" t="s">
        <v>1407</v>
      </c>
      <c r="B2" s="528"/>
      <c r="C2" s="528"/>
      <c r="D2" s="528"/>
      <c r="E2" s="528"/>
      <c r="F2" s="528"/>
      <c r="G2" s="528"/>
      <c r="H2" s="528"/>
      <c r="I2" s="580"/>
    </row>
    <row r="3" spans="1:9">
      <c r="A3" s="581"/>
      <c r="C3" s="589" t="s">
        <v>1409</v>
      </c>
      <c r="D3" s="155" t="s">
        <v>1416</v>
      </c>
      <c r="E3" s="588"/>
      <c r="F3" s="589" t="s">
        <v>1410</v>
      </c>
      <c r="G3" s="590" t="s">
        <v>1411</v>
      </c>
      <c r="H3" s="591"/>
      <c r="I3" s="582"/>
    </row>
    <row r="4" spans="1:9">
      <c r="A4" s="581"/>
      <c r="F4" s="589"/>
      <c r="G4" s="589"/>
      <c r="H4" s="589"/>
      <c r="I4" s="582"/>
    </row>
    <row r="5" spans="1:9">
      <c r="A5" s="581"/>
      <c r="C5" s="589" t="s">
        <v>1412</v>
      </c>
      <c r="D5" s="595" t="s">
        <v>1413</v>
      </c>
      <c r="E5" s="596"/>
      <c r="F5" s="589" t="s">
        <v>1414</v>
      </c>
      <c r="G5" s="593" t="s">
        <v>1415</v>
      </c>
      <c r="H5" s="594"/>
      <c r="I5" s="582"/>
    </row>
    <row r="6" spans="1:9">
      <c r="A6" s="583"/>
      <c r="B6" s="532"/>
      <c r="C6" s="532"/>
      <c r="D6" s="532"/>
      <c r="E6" s="532"/>
      <c r="F6" s="532"/>
      <c r="G6" s="532"/>
      <c r="H6" s="532"/>
      <c r="I6" s="584"/>
    </row>
    <row r="7" spans="1:9">
      <c r="A7" s="910" t="s">
        <v>1342</v>
      </c>
      <c r="B7" s="910" t="s">
        <v>1417</v>
      </c>
      <c r="C7" s="913" t="s">
        <v>1343</v>
      </c>
      <c r="D7" s="914"/>
      <c r="E7" s="915"/>
      <c r="F7" s="913" t="s">
        <v>1344</v>
      </c>
      <c r="G7" s="914"/>
      <c r="H7" s="915"/>
      <c r="I7" s="922" t="s">
        <v>32</v>
      </c>
    </row>
    <row r="8" spans="1:9">
      <c r="A8" s="911"/>
      <c r="B8" s="911"/>
      <c r="C8" s="916"/>
      <c r="D8" s="917"/>
      <c r="E8" s="918"/>
      <c r="F8" s="919"/>
      <c r="G8" s="920"/>
      <c r="H8" s="921"/>
      <c r="I8" s="923"/>
    </row>
    <row r="9" spans="1:9">
      <c r="A9" s="911"/>
      <c r="B9" s="911"/>
      <c r="C9" s="925" t="s">
        <v>1345</v>
      </c>
      <c r="D9" s="925" t="s">
        <v>1346</v>
      </c>
      <c r="E9" s="925" t="s">
        <v>92</v>
      </c>
      <c r="F9" s="925" t="s">
        <v>1345</v>
      </c>
      <c r="G9" s="925" t="s">
        <v>1346</v>
      </c>
      <c r="H9" s="925" t="s">
        <v>92</v>
      </c>
      <c r="I9" s="923"/>
    </row>
    <row r="10" spans="1:9" ht="16" thickBot="1">
      <c r="A10" s="912"/>
      <c r="B10" s="912"/>
      <c r="C10" s="926"/>
      <c r="D10" s="926"/>
      <c r="E10" s="926"/>
      <c r="F10" s="926"/>
      <c r="G10" s="926"/>
      <c r="H10" s="926"/>
      <c r="I10" s="924"/>
    </row>
    <row r="11" spans="1:9" ht="16" thickTop="1">
      <c r="A11" s="585"/>
      <c r="B11" s="599"/>
      <c r="C11" s="586">
        <v>0</v>
      </c>
      <c r="D11" s="587">
        <v>0</v>
      </c>
      <c r="E11" s="561">
        <v>0</v>
      </c>
      <c r="F11" s="554">
        <v>0</v>
      </c>
      <c r="G11" s="551">
        <v>0</v>
      </c>
      <c r="H11" s="561">
        <v>0</v>
      </c>
      <c r="I11" s="559"/>
    </row>
    <row r="12" spans="1:9">
      <c r="A12" s="585"/>
      <c r="B12" s="592"/>
      <c r="C12" s="586">
        <v>0</v>
      </c>
      <c r="D12" s="587">
        <v>0</v>
      </c>
      <c r="E12" s="561">
        <v>0</v>
      </c>
      <c r="F12" s="554">
        <v>0</v>
      </c>
      <c r="G12" s="551">
        <v>0</v>
      </c>
      <c r="H12" s="561">
        <v>0</v>
      </c>
      <c r="I12" s="559"/>
    </row>
    <row r="13" spans="1:9">
      <c r="A13" s="585"/>
      <c r="B13" s="592"/>
      <c r="C13" s="586">
        <v>0</v>
      </c>
      <c r="D13" s="587">
        <v>0</v>
      </c>
      <c r="E13" s="561">
        <v>0</v>
      </c>
      <c r="F13" s="554">
        <v>0</v>
      </c>
      <c r="G13" s="551">
        <v>0</v>
      </c>
      <c r="H13" s="561">
        <v>0</v>
      </c>
      <c r="I13" s="559"/>
    </row>
    <row r="14" spans="1:9">
      <c r="A14" s="585"/>
      <c r="B14" s="592"/>
      <c r="C14" s="586">
        <v>0</v>
      </c>
      <c r="D14" s="587">
        <v>0</v>
      </c>
      <c r="E14" s="561">
        <v>0</v>
      </c>
      <c r="F14" s="554">
        <v>0</v>
      </c>
      <c r="G14" s="551">
        <v>0</v>
      </c>
      <c r="H14" s="561">
        <v>0</v>
      </c>
      <c r="I14" s="559"/>
    </row>
    <row r="15" spans="1:9">
      <c r="A15" s="585"/>
      <c r="B15" s="592"/>
      <c r="C15" s="586">
        <v>0</v>
      </c>
      <c r="D15" s="587">
        <v>0</v>
      </c>
      <c r="E15" s="561">
        <v>0</v>
      </c>
      <c r="F15" s="554">
        <v>0</v>
      </c>
      <c r="G15" s="551">
        <v>0</v>
      </c>
      <c r="H15" s="561">
        <v>0</v>
      </c>
      <c r="I15" s="559"/>
    </row>
    <row r="16" spans="1:9">
      <c r="A16" s="585"/>
      <c r="B16" s="592"/>
      <c r="C16" s="586">
        <v>0</v>
      </c>
      <c r="D16" s="587">
        <v>0</v>
      </c>
      <c r="E16" s="561">
        <v>0</v>
      </c>
      <c r="F16" s="554">
        <v>0</v>
      </c>
      <c r="G16" s="551">
        <v>0</v>
      </c>
      <c r="H16" s="561">
        <v>0</v>
      </c>
      <c r="I16" s="559"/>
    </row>
    <row r="17" spans="1:9">
      <c r="A17" s="585"/>
      <c r="B17" s="592"/>
      <c r="C17" s="586">
        <v>0</v>
      </c>
      <c r="D17" s="587">
        <v>0</v>
      </c>
      <c r="E17" s="561">
        <v>0</v>
      </c>
      <c r="F17" s="554">
        <v>0</v>
      </c>
      <c r="G17" s="551">
        <v>0</v>
      </c>
      <c r="H17" s="561">
        <v>0</v>
      </c>
      <c r="I17" s="559"/>
    </row>
    <row r="18" spans="1:9">
      <c r="A18" s="585"/>
      <c r="B18" s="592"/>
      <c r="C18" s="586">
        <v>0</v>
      </c>
      <c r="D18" s="587">
        <v>0</v>
      </c>
      <c r="E18" s="561">
        <v>0</v>
      </c>
      <c r="F18" s="554">
        <v>0</v>
      </c>
      <c r="G18" s="551">
        <v>0</v>
      </c>
      <c r="H18" s="561">
        <v>0</v>
      </c>
      <c r="I18" s="559"/>
    </row>
    <row r="19" spans="1:9">
      <c r="A19" s="585"/>
      <c r="B19" s="592"/>
      <c r="C19" s="586">
        <v>0</v>
      </c>
      <c r="D19" s="587">
        <v>0</v>
      </c>
      <c r="E19" s="561">
        <v>0</v>
      </c>
      <c r="F19" s="554">
        <v>0</v>
      </c>
      <c r="G19" s="551">
        <v>0</v>
      </c>
      <c r="H19" s="561">
        <v>0</v>
      </c>
      <c r="I19" s="559"/>
    </row>
    <row r="20" spans="1:9">
      <c r="A20" s="585"/>
      <c r="B20" s="592"/>
      <c r="C20" s="586">
        <v>0</v>
      </c>
      <c r="D20" s="587">
        <v>0</v>
      </c>
      <c r="E20" s="561">
        <v>0</v>
      </c>
      <c r="F20" s="554">
        <v>0</v>
      </c>
      <c r="G20" s="551">
        <v>0</v>
      </c>
      <c r="H20" s="561">
        <v>0</v>
      </c>
      <c r="I20" s="559"/>
    </row>
    <row r="21" spans="1:9">
      <c r="A21" s="585"/>
      <c r="B21" s="592"/>
      <c r="C21" s="586">
        <v>0</v>
      </c>
      <c r="D21" s="587">
        <v>0</v>
      </c>
      <c r="E21" s="561">
        <v>0</v>
      </c>
      <c r="F21" s="554">
        <v>0</v>
      </c>
      <c r="G21" s="551">
        <v>0</v>
      </c>
      <c r="H21" s="561">
        <v>0</v>
      </c>
      <c r="I21" s="559"/>
    </row>
    <row r="22" spans="1:9">
      <c r="A22" s="585"/>
      <c r="B22" s="592"/>
      <c r="C22" s="586">
        <v>0</v>
      </c>
      <c r="D22" s="587">
        <v>0</v>
      </c>
      <c r="E22" s="561">
        <v>0</v>
      </c>
      <c r="F22" s="554">
        <v>0</v>
      </c>
      <c r="G22" s="551">
        <v>0</v>
      </c>
      <c r="H22" s="561">
        <v>0</v>
      </c>
      <c r="I22" s="559"/>
    </row>
    <row r="23" spans="1:9">
      <c r="A23" s="585"/>
      <c r="B23" s="592"/>
      <c r="C23" s="586">
        <v>0</v>
      </c>
      <c r="D23" s="587">
        <v>0</v>
      </c>
      <c r="E23" s="561">
        <v>0</v>
      </c>
      <c r="F23" s="554">
        <v>0</v>
      </c>
      <c r="G23" s="551">
        <v>0</v>
      </c>
      <c r="H23" s="561">
        <v>0</v>
      </c>
      <c r="I23" s="559"/>
    </row>
    <row r="24" spans="1:9">
      <c r="A24" s="585"/>
      <c r="B24" s="592"/>
      <c r="C24" s="586">
        <v>0</v>
      </c>
      <c r="D24" s="587">
        <v>0</v>
      </c>
      <c r="E24" s="561">
        <v>0</v>
      </c>
      <c r="F24" s="554">
        <v>0</v>
      </c>
      <c r="G24" s="551">
        <v>0</v>
      </c>
      <c r="H24" s="561">
        <v>0</v>
      </c>
      <c r="I24" s="559"/>
    </row>
    <row r="25" spans="1:9">
      <c r="A25" s="585"/>
      <c r="B25" s="592"/>
      <c r="C25" s="586">
        <v>0</v>
      </c>
      <c r="D25" s="587">
        <v>0</v>
      </c>
      <c r="E25" s="561">
        <v>0</v>
      </c>
      <c r="F25" s="554">
        <v>0</v>
      </c>
      <c r="G25" s="551">
        <v>0</v>
      </c>
      <c r="H25" s="561">
        <v>0</v>
      </c>
      <c r="I25" s="559"/>
    </row>
    <row r="26" spans="1:9">
      <c r="A26" s="585"/>
      <c r="B26" s="592"/>
      <c r="C26" s="586">
        <v>0</v>
      </c>
      <c r="D26" s="587">
        <v>0</v>
      </c>
      <c r="E26" s="561">
        <v>0</v>
      </c>
      <c r="F26" s="554">
        <v>0</v>
      </c>
      <c r="G26" s="551">
        <v>0</v>
      </c>
      <c r="H26" s="561">
        <v>0</v>
      </c>
      <c r="I26" s="559"/>
    </row>
    <row r="27" spans="1:9">
      <c r="A27" s="585"/>
      <c r="B27" s="592"/>
      <c r="C27" s="586">
        <v>0</v>
      </c>
      <c r="D27" s="587">
        <v>0</v>
      </c>
      <c r="E27" s="561">
        <v>0</v>
      </c>
      <c r="F27" s="554">
        <v>0</v>
      </c>
      <c r="G27" s="551">
        <v>0</v>
      </c>
      <c r="H27" s="561">
        <v>0</v>
      </c>
      <c r="I27" s="559"/>
    </row>
    <row r="28" spans="1:9">
      <c r="A28" s="585"/>
      <c r="B28" s="592"/>
      <c r="C28" s="586">
        <v>0</v>
      </c>
      <c r="D28" s="587">
        <v>0</v>
      </c>
      <c r="E28" s="561">
        <v>0</v>
      </c>
      <c r="F28" s="554">
        <v>0</v>
      </c>
      <c r="G28" s="551">
        <v>0</v>
      </c>
      <c r="H28" s="561">
        <v>0</v>
      </c>
      <c r="I28" s="559"/>
    </row>
    <row r="29" spans="1:9">
      <c r="A29" s="585"/>
      <c r="B29" s="592"/>
      <c r="C29" s="586">
        <v>0</v>
      </c>
      <c r="D29" s="587">
        <v>0</v>
      </c>
      <c r="E29" s="561">
        <v>0</v>
      </c>
      <c r="F29" s="554">
        <v>0</v>
      </c>
      <c r="G29" s="551">
        <v>0</v>
      </c>
      <c r="H29" s="561">
        <v>0</v>
      </c>
      <c r="I29" s="559"/>
    </row>
    <row r="30" spans="1:9">
      <c r="A30" s="585"/>
      <c r="B30" s="592"/>
      <c r="C30" s="586">
        <v>0</v>
      </c>
      <c r="D30" s="587">
        <v>0</v>
      </c>
      <c r="E30" s="561">
        <v>0</v>
      </c>
      <c r="F30" s="554">
        <v>0</v>
      </c>
      <c r="G30" s="551">
        <v>0</v>
      </c>
      <c r="H30" s="561">
        <v>0</v>
      </c>
      <c r="I30" s="559"/>
    </row>
    <row r="31" spans="1:9">
      <c r="A31" s="585"/>
      <c r="B31" s="592"/>
      <c r="C31" s="586">
        <v>0</v>
      </c>
      <c r="D31" s="587">
        <v>0</v>
      </c>
      <c r="E31" s="561">
        <v>0</v>
      </c>
      <c r="F31" s="554">
        <v>0</v>
      </c>
      <c r="G31" s="551">
        <v>0</v>
      </c>
      <c r="H31" s="561">
        <v>0</v>
      </c>
      <c r="I31" s="559"/>
    </row>
    <row r="32" spans="1:9">
      <c r="A32" s="585"/>
      <c r="B32" s="592"/>
      <c r="C32" s="586">
        <v>0</v>
      </c>
      <c r="D32" s="587">
        <v>0</v>
      </c>
      <c r="E32" s="561">
        <v>0</v>
      </c>
      <c r="F32" s="554">
        <v>0</v>
      </c>
      <c r="G32" s="551">
        <v>0</v>
      </c>
      <c r="H32" s="561">
        <v>0</v>
      </c>
      <c r="I32" s="559"/>
    </row>
    <row r="33" spans="1:9">
      <c r="A33" s="585"/>
      <c r="B33" s="592"/>
      <c r="C33" s="586">
        <v>0</v>
      </c>
      <c r="D33" s="587">
        <v>0</v>
      </c>
      <c r="E33" s="561">
        <v>0</v>
      </c>
      <c r="F33" s="554">
        <v>0</v>
      </c>
      <c r="G33" s="551">
        <v>0</v>
      </c>
      <c r="H33" s="561">
        <v>0</v>
      </c>
      <c r="I33" s="559"/>
    </row>
    <row r="34" spans="1:9">
      <c r="A34" s="585"/>
      <c r="B34" s="592"/>
      <c r="C34" s="586">
        <v>0</v>
      </c>
      <c r="D34" s="587">
        <v>0</v>
      </c>
      <c r="E34" s="561">
        <v>0</v>
      </c>
      <c r="F34" s="554">
        <v>0</v>
      </c>
      <c r="G34" s="551">
        <v>0</v>
      </c>
      <c r="H34" s="561">
        <v>0</v>
      </c>
      <c r="I34" s="559"/>
    </row>
    <row r="35" spans="1:9">
      <c r="A35" s="585"/>
      <c r="B35" s="592"/>
      <c r="C35" s="586">
        <v>0</v>
      </c>
      <c r="D35" s="587">
        <v>0</v>
      </c>
      <c r="E35" s="561">
        <v>0</v>
      </c>
      <c r="F35" s="554">
        <v>0</v>
      </c>
      <c r="G35" s="551">
        <v>0</v>
      </c>
      <c r="H35" s="561">
        <v>0</v>
      </c>
      <c r="I35" s="559"/>
    </row>
    <row r="36" spans="1:9">
      <c r="A36" s="585"/>
      <c r="B36" s="592"/>
      <c r="C36" s="586">
        <v>0</v>
      </c>
      <c r="D36" s="587">
        <v>0</v>
      </c>
      <c r="E36" s="561">
        <v>0</v>
      </c>
      <c r="F36" s="554">
        <v>0</v>
      </c>
      <c r="G36" s="551">
        <v>0</v>
      </c>
      <c r="H36" s="561">
        <v>0</v>
      </c>
      <c r="I36" s="559"/>
    </row>
    <row r="37" spans="1:9">
      <c r="A37" s="585"/>
      <c r="B37" s="592"/>
      <c r="C37" s="586">
        <v>0</v>
      </c>
      <c r="D37" s="587">
        <v>0</v>
      </c>
      <c r="E37" s="561">
        <v>0</v>
      </c>
      <c r="F37" s="554">
        <v>0</v>
      </c>
      <c r="G37" s="551">
        <v>0</v>
      </c>
      <c r="H37" s="561">
        <v>0</v>
      </c>
      <c r="I37" s="559"/>
    </row>
    <row r="38" spans="1:9">
      <c r="A38" s="585"/>
      <c r="B38" s="592"/>
      <c r="C38" s="586">
        <v>0</v>
      </c>
      <c r="D38" s="587">
        <v>0</v>
      </c>
      <c r="E38" s="561">
        <v>0</v>
      </c>
      <c r="F38" s="554">
        <v>0</v>
      </c>
      <c r="G38" s="551">
        <v>0</v>
      </c>
      <c r="H38" s="561">
        <v>0</v>
      </c>
      <c r="I38" s="559"/>
    </row>
    <row r="39" spans="1:9">
      <c r="A39" s="585"/>
      <c r="B39" s="592"/>
      <c r="C39" s="586">
        <v>0</v>
      </c>
      <c r="D39" s="587">
        <v>0</v>
      </c>
      <c r="E39" s="561">
        <v>0</v>
      </c>
      <c r="F39" s="554">
        <v>0</v>
      </c>
      <c r="G39" s="551">
        <v>0</v>
      </c>
      <c r="H39" s="561">
        <v>0</v>
      </c>
      <c r="I39" s="559"/>
    </row>
    <row r="40" spans="1:9">
      <c r="A40" s="585"/>
      <c r="B40" s="592"/>
      <c r="C40" s="586">
        <v>0</v>
      </c>
      <c r="D40" s="587">
        <v>0</v>
      </c>
      <c r="E40" s="561">
        <v>0</v>
      </c>
      <c r="F40" s="554">
        <v>0</v>
      </c>
      <c r="G40" s="551">
        <v>0</v>
      </c>
      <c r="H40" s="561">
        <v>0</v>
      </c>
      <c r="I40" s="559"/>
    </row>
    <row r="41" spans="1:9">
      <c r="A41" s="585"/>
      <c r="B41" s="592"/>
      <c r="C41" s="586">
        <v>0</v>
      </c>
      <c r="D41" s="587">
        <v>0</v>
      </c>
      <c r="E41" s="561">
        <v>0</v>
      </c>
      <c r="F41" s="554">
        <v>0</v>
      </c>
      <c r="G41" s="551">
        <v>0</v>
      </c>
      <c r="H41" s="561">
        <v>0</v>
      </c>
      <c r="I41" s="559"/>
    </row>
    <row r="42" spans="1:9">
      <c r="A42" s="585"/>
      <c r="B42" s="592"/>
      <c r="C42" s="586">
        <v>0</v>
      </c>
      <c r="D42" s="587">
        <v>0</v>
      </c>
      <c r="E42" s="561">
        <v>0</v>
      </c>
      <c r="F42" s="554">
        <v>0</v>
      </c>
      <c r="G42" s="551">
        <v>0</v>
      </c>
      <c r="H42" s="561">
        <v>0</v>
      </c>
      <c r="I42" s="559"/>
    </row>
    <row r="43" spans="1:9">
      <c r="A43" s="585"/>
      <c r="B43" s="592"/>
      <c r="C43" s="586">
        <v>0</v>
      </c>
      <c r="D43" s="587">
        <v>0</v>
      </c>
      <c r="E43" s="561">
        <v>0</v>
      </c>
      <c r="F43" s="554">
        <v>0</v>
      </c>
      <c r="G43" s="551">
        <v>0</v>
      </c>
      <c r="H43" s="561">
        <v>0</v>
      </c>
      <c r="I43" s="559"/>
    </row>
    <row r="44" spans="1:9">
      <c r="A44" s="585"/>
      <c r="B44" s="592"/>
      <c r="C44" s="586">
        <v>0</v>
      </c>
      <c r="D44" s="587">
        <v>0</v>
      </c>
      <c r="E44" s="561">
        <v>0</v>
      </c>
      <c r="F44" s="554">
        <v>0</v>
      </c>
      <c r="G44" s="551">
        <v>0</v>
      </c>
      <c r="H44" s="561">
        <v>0</v>
      </c>
      <c r="I44" s="559"/>
    </row>
    <row r="45" spans="1:9">
      <c r="A45" s="585"/>
      <c r="B45" s="592"/>
      <c r="C45" s="586">
        <v>0</v>
      </c>
      <c r="D45" s="587">
        <v>0</v>
      </c>
      <c r="E45" s="561">
        <v>0</v>
      </c>
      <c r="F45" s="554">
        <v>0</v>
      </c>
      <c r="G45" s="551">
        <v>0</v>
      </c>
      <c r="H45" s="561">
        <v>0</v>
      </c>
      <c r="I45" s="559"/>
    </row>
    <row r="46" spans="1:9">
      <c r="A46" s="585"/>
      <c r="B46" s="592"/>
      <c r="C46" s="586">
        <v>0</v>
      </c>
      <c r="D46" s="587">
        <v>0</v>
      </c>
      <c r="E46" s="561">
        <v>0</v>
      </c>
      <c r="F46" s="554">
        <v>0</v>
      </c>
      <c r="G46" s="551">
        <v>0</v>
      </c>
      <c r="H46" s="561">
        <v>0</v>
      </c>
      <c r="I46" s="559"/>
    </row>
    <row r="47" spans="1:9">
      <c r="A47" s="585"/>
      <c r="B47" s="592"/>
      <c r="C47" s="586">
        <v>0</v>
      </c>
      <c r="D47" s="587">
        <v>0</v>
      </c>
      <c r="E47" s="561">
        <v>0</v>
      </c>
      <c r="F47" s="554">
        <v>0</v>
      </c>
      <c r="G47" s="551">
        <v>0</v>
      </c>
      <c r="H47" s="561">
        <v>0</v>
      </c>
      <c r="I47" s="559"/>
    </row>
    <row r="48" spans="1:9">
      <c r="A48" s="585"/>
      <c r="B48" s="592"/>
      <c r="C48" s="586">
        <v>0</v>
      </c>
      <c r="D48" s="587">
        <v>0</v>
      </c>
      <c r="E48" s="561">
        <v>0</v>
      </c>
      <c r="F48" s="554">
        <v>0</v>
      </c>
      <c r="G48" s="551">
        <v>0</v>
      </c>
      <c r="H48" s="561">
        <v>0</v>
      </c>
      <c r="I48" s="559"/>
    </row>
    <row r="49" spans="1:9">
      <c r="A49" s="585"/>
      <c r="B49" s="592"/>
      <c r="C49" s="586">
        <v>0</v>
      </c>
      <c r="D49" s="587">
        <v>0</v>
      </c>
      <c r="E49" s="561">
        <v>0</v>
      </c>
      <c r="F49" s="554">
        <v>0</v>
      </c>
      <c r="G49" s="551">
        <v>0</v>
      </c>
      <c r="H49" s="561">
        <v>0</v>
      </c>
      <c r="I49" s="559"/>
    </row>
    <row r="50" spans="1:9">
      <c r="A50" s="585"/>
      <c r="B50" s="592"/>
      <c r="C50" s="586">
        <v>0</v>
      </c>
      <c r="D50" s="587">
        <v>0</v>
      </c>
      <c r="E50" s="561">
        <v>0</v>
      </c>
      <c r="F50" s="554">
        <v>0</v>
      </c>
      <c r="G50" s="551">
        <v>0</v>
      </c>
      <c r="H50" s="561">
        <v>0</v>
      </c>
      <c r="I50" s="559"/>
    </row>
    <row r="51" spans="1:9">
      <c r="A51" s="585"/>
      <c r="B51" s="592"/>
      <c r="C51" s="586">
        <v>0</v>
      </c>
      <c r="D51" s="587">
        <v>0</v>
      </c>
      <c r="E51" s="561">
        <v>0</v>
      </c>
      <c r="F51" s="554">
        <v>0</v>
      </c>
      <c r="G51" s="551">
        <v>0</v>
      </c>
      <c r="H51" s="561">
        <v>0</v>
      </c>
      <c r="I51" s="559"/>
    </row>
    <row r="52" spans="1:9">
      <c r="A52" s="585"/>
      <c r="B52" s="592"/>
      <c r="C52" s="586">
        <v>0</v>
      </c>
      <c r="D52" s="587">
        <v>0</v>
      </c>
      <c r="E52" s="561">
        <v>0</v>
      </c>
      <c r="F52" s="554">
        <v>0</v>
      </c>
      <c r="G52" s="551">
        <v>0</v>
      </c>
      <c r="H52" s="561">
        <v>0</v>
      </c>
      <c r="I52" s="559"/>
    </row>
    <row r="53" spans="1:9">
      <c r="A53" s="585"/>
      <c r="B53" s="592"/>
      <c r="C53" s="586">
        <v>0</v>
      </c>
      <c r="D53" s="587">
        <v>0</v>
      </c>
      <c r="E53" s="561">
        <v>0</v>
      </c>
      <c r="F53" s="554">
        <v>0</v>
      </c>
      <c r="G53" s="551">
        <v>0</v>
      </c>
      <c r="H53" s="561">
        <v>0</v>
      </c>
      <c r="I53" s="559"/>
    </row>
    <row r="54" spans="1:9">
      <c r="A54" s="585"/>
      <c r="B54" s="592"/>
      <c r="C54" s="586">
        <v>0</v>
      </c>
      <c r="D54" s="587">
        <v>0</v>
      </c>
      <c r="E54" s="561">
        <v>0</v>
      </c>
      <c r="F54" s="554">
        <v>0</v>
      </c>
      <c r="G54" s="551">
        <v>0</v>
      </c>
      <c r="H54" s="561">
        <v>0</v>
      </c>
      <c r="I54" s="559"/>
    </row>
    <row r="55" spans="1:9">
      <c r="A55" s="585"/>
      <c r="B55" s="592"/>
      <c r="C55" s="586">
        <v>0</v>
      </c>
      <c r="D55" s="587">
        <v>0</v>
      </c>
      <c r="E55" s="561">
        <v>0</v>
      </c>
      <c r="F55" s="554">
        <v>0</v>
      </c>
      <c r="G55" s="551">
        <v>0</v>
      </c>
      <c r="H55" s="561">
        <v>0</v>
      </c>
      <c r="I55" s="559"/>
    </row>
    <row r="56" spans="1:9">
      <c r="A56" s="585"/>
      <c r="B56" s="592"/>
      <c r="C56" s="586">
        <v>0</v>
      </c>
      <c r="D56" s="587">
        <v>0</v>
      </c>
      <c r="E56" s="561">
        <v>0</v>
      </c>
      <c r="F56" s="554">
        <v>0</v>
      </c>
      <c r="G56" s="551">
        <v>0</v>
      </c>
      <c r="H56" s="561">
        <v>0</v>
      </c>
      <c r="I56" s="559"/>
    </row>
    <row r="57" spans="1:9">
      <c r="A57" s="585"/>
      <c r="B57" s="592"/>
      <c r="C57" s="586">
        <v>0</v>
      </c>
      <c r="D57" s="587">
        <v>0</v>
      </c>
      <c r="E57" s="561">
        <v>0</v>
      </c>
      <c r="F57" s="554">
        <v>0</v>
      </c>
      <c r="G57" s="551">
        <v>0</v>
      </c>
      <c r="H57" s="561">
        <v>0</v>
      </c>
      <c r="I57" s="559"/>
    </row>
    <row r="58" spans="1:9">
      <c r="A58" s="585"/>
      <c r="B58" s="592"/>
      <c r="C58" s="586">
        <v>0</v>
      </c>
      <c r="D58" s="587">
        <v>0</v>
      </c>
      <c r="E58" s="561">
        <v>0</v>
      </c>
      <c r="F58" s="554">
        <v>0</v>
      </c>
      <c r="G58" s="551">
        <v>0</v>
      </c>
      <c r="H58" s="561">
        <v>0</v>
      </c>
      <c r="I58" s="559"/>
    </row>
    <row r="59" spans="1:9">
      <c r="A59" s="585"/>
      <c r="B59" s="592"/>
      <c r="C59" s="586">
        <v>0</v>
      </c>
      <c r="D59" s="587">
        <v>0</v>
      </c>
      <c r="E59" s="561">
        <v>0</v>
      </c>
      <c r="F59" s="554">
        <v>0</v>
      </c>
      <c r="G59" s="551">
        <v>0</v>
      </c>
      <c r="H59" s="561">
        <v>0</v>
      </c>
      <c r="I59" s="559"/>
    </row>
    <row r="60" spans="1:9">
      <c r="A60" s="585"/>
      <c r="B60" s="592"/>
      <c r="C60" s="586">
        <v>0</v>
      </c>
      <c r="D60" s="587">
        <v>0</v>
      </c>
      <c r="E60" s="561">
        <v>0</v>
      </c>
      <c r="F60" s="554">
        <v>0</v>
      </c>
      <c r="G60" s="551">
        <v>0</v>
      </c>
      <c r="H60" s="561">
        <v>0</v>
      </c>
      <c r="I60" s="559"/>
    </row>
    <row r="61" spans="1:9">
      <c r="A61" s="585"/>
      <c r="B61" s="592"/>
      <c r="C61" s="586">
        <v>0</v>
      </c>
      <c r="D61" s="587">
        <v>0</v>
      </c>
      <c r="E61" s="561">
        <v>0</v>
      </c>
      <c r="F61" s="554">
        <v>0</v>
      </c>
      <c r="G61" s="551">
        <v>0</v>
      </c>
      <c r="H61" s="561">
        <v>0</v>
      </c>
      <c r="I61" s="559"/>
    </row>
    <row r="62" spans="1:9">
      <c r="A62" s="585"/>
      <c r="B62" s="592"/>
      <c r="C62" s="586">
        <v>0</v>
      </c>
      <c r="D62" s="587">
        <v>0</v>
      </c>
      <c r="E62" s="561">
        <v>0</v>
      </c>
      <c r="F62" s="554">
        <v>0</v>
      </c>
      <c r="G62" s="551">
        <v>0</v>
      </c>
      <c r="H62" s="561">
        <v>0</v>
      </c>
      <c r="I62" s="559"/>
    </row>
    <row r="63" spans="1:9">
      <c r="A63" s="585"/>
      <c r="B63" s="592"/>
      <c r="C63" s="586">
        <v>0</v>
      </c>
      <c r="D63" s="587">
        <v>0</v>
      </c>
      <c r="E63" s="561">
        <v>0</v>
      </c>
      <c r="F63" s="554">
        <v>0</v>
      </c>
      <c r="G63" s="551">
        <v>0</v>
      </c>
      <c r="H63" s="561">
        <v>0</v>
      </c>
      <c r="I63" s="559"/>
    </row>
    <row r="64" spans="1:9">
      <c r="A64" s="585"/>
      <c r="B64" s="592"/>
      <c r="C64" s="586">
        <v>0</v>
      </c>
      <c r="D64" s="587">
        <v>0</v>
      </c>
      <c r="E64" s="561">
        <v>0</v>
      </c>
      <c r="F64" s="554">
        <v>0</v>
      </c>
      <c r="G64" s="551">
        <v>0</v>
      </c>
      <c r="H64" s="561">
        <v>0</v>
      </c>
      <c r="I64" s="559"/>
    </row>
    <row r="65" spans="1:9">
      <c r="A65" s="585"/>
      <c r="B65" s="592"/>
      <c r="C65" s="586">
        <v>0</v>
      </c>
      <c r="D65" s="587">
        <v>0</v>
      </c>
      <c r="E65" s="561">
        <v>0</v>
      </c>
      <c r="F65" s="554">
        <v>0</v>
      </c>
      <c r="G65" s="551">
        <v>0</v>
      </c>
      <c r="H65" s="561">
        <v>0</v>
      </c>
      <c r="I65" s="559"/>
    </row>
    <row r="66" spans="1:9">
      <c r="A66" s="585"/>
      <c r="B66" s="592"/>
      <c r="C66" s="586">
        <v>0</v>
      </c>
      <c r="D66" s="587">
        <v>0</v>
      </c>
      <c r="E66" s="561">
        <v>0</v>
      </c>
      <c r="F66" s="554">
        <v>0</v>
      </c>
      <c r="G66" s="551">
        <v>0</v>
      </c>
      <c r="H66" s="561">
        <v>0</v>
      </c>
      <c r="I66" s="559"/>
    </row>
    <row r="67" spans="1:9">
      <c r="A67" s="585"/>
      <c r="B67" s="592"/>
      <c r="C67" s="586">
        <v>0</v>
      </c>
      <c r="D67" s="587">
        <v>0</v>
      </c>
      <c r="E67" s="561">
        <v>0</v>
      </c>
      <c r="F67" s="554">
        <v>0</v>
      </c>
      <c r="G67" s="551">
        <v>0</v>
      </c>
      <c r="H67" s="561">
        <v>0</v>
      </c>
      <c r="I67" s="559"/>
    </row>
    <row r="68" spans="1:9">
      <c r="A68" s="585"/>
      <c r="B68" s="592"/>
      <c r="C68" s="586">
        <v>0</v>
      </c>
      <c r="D68" s="587">
        <v>0</v>
      </c>
      <c r="E68" s="561">
        <v>0</v>
      </c>
      <c r="F68" s="554">
        <v>0</v>
      </c>
      <c r="G68" s="551">
        <v>0</v>
      </c>
      <c r="H68" s="561">
        <v>0</v>
      </c>
      <c r="I68" s="559"/>
    </row>
    <row r="69" spans="1:9">
      <c r="A69" s="585"/>
      <c r="B69" s="592"/>
      <c r="C69" s="586">
        <v>0</v>
      </c>
      <c r="D69" s="587">
        <v>0</v>
      </c>
      <c r="E69" s="561">
        <v>0</v>
      </c>
      <c r="F69" s="554">
        <v>0</v>
      </c>
      <c r="G69" s="551">
        <v>0</v>
      </c>
      <c r="H69" s="561">
        <v>0</v>
      </c>
      <c r="I69" s="559"/>
    </row>
    <row r="70" spans="1:9">
      <c r="A70" s="585"/>
      <c r="B70" s="592"/>
      <c r="C70" s="586">
        <v>0</v>
      </c>
      <c r="D70" s="587">
        <v>0</v>
      </c>
      <c r="E70" s="561">
        <v>0</v>
      </c>
      <c r="F70" s="554">
        <v>0</v>
      </c>
      <c r="G70" s="551">
        <v>0</v>
      </c>
      <c r="H70" s="561">
        <v>0</v>
      </c>
      <c r="I70" s="559"/>
    </row>
    <row r="71" spans="1:9">
      <c r="A71" s="585"/>
      <c r="B71" s="592"/>
      <c r="C71" s="586">
        <v>0</v>
      </c>
      <c r="D71" s="587">
        <v>0</v>
      </c>
      <c r="E71" s="561">
        <v>0</v>
      </c>
      <c r="F71" s="554">
        <v>0</v>
      </c>
      <c r="G71" s="551">
        <v>0</v>
      </c>
      <c r="H71" s="561">
        <v>0</v>
      </c>
      <c r="I71" s="559"/>
    </row>
    <row r="72" spans="1:9">
      <c r="A72" s="585"/>
      <c r="B72" s="592"/>
      <c r="C72" s="586">
        <v>0</v>
      </c>
      <c r="D72" s="587">
        <v>0</v>
      </c>
      <c r="E72" s="561">
        <v>0</v>
      </c>
      <c r="F72" s="554">
        <v>0</v>
      </c>
      <c r="G72" s="551">
        <v>0</v>
      </c>
      <c r="H72" s="561">
        <v>0</v>
      </c>
      <c r="I72" s="559"/>
    </row>
    <row r="73" spans="1:9">
      <c r="A73" s="585"/>
      <c r="B73" s="592"/>
      <c r="C73" s="586">
        <v>0</v>
      </c>
      <c r="D73" s="587">
        <v>0</v>
      </c>
      <c r="E73" s="561">
        <v>0</v>
      </c>
      <c r="F73" s="554">
        <v>0</v>
      </c>
      <c r="G73" s="551">
        <v>0</v>
      </c>
      <c r="H73" s="561">
        <v>0</v>
      </c>
      <c r="I73" s="559"/>
    </row>
    <row r="74" spans="1:9">
      <c r="A74" s="585"/>
      <c r="B74" s="592"/>
      <c r="C74" s="586">
        <v>0</v>
      </c>
      <c r="D74" s="587">
        <v>0</v>
      </c>
      <c r="E74" s="561">
        <v>0</v>
      </c>
      <c r="F74" s="554">
        <v>0</v>
      </c>
      <c r="G74" s="551">
        <v>0</v>
      </c>
      <c r="H74" s="561">
        <v>0</v>
      </c>
      <c r="I74" s="559"/>
    </row>
    <row r="75" spans="1:9">
      <c r="A75" s="585"/>
      <c r="B75" s="592"/>
      <c r="C75" s="586">
        <v>0</v>
      </c>
      <c r="D75" s="587">
        <v>0</v>
      </c>
      <c r="E75" s="561">
        <v>0</v>
      </c>
      <c r="F75" s="554">
        <v>0</v>
      </c>
      <c r="G75" s="551">
        <v>0</v>
      </c>
      <c r="H75" s="561">
        <v>0</v>
      </c>
      <c r="I75" s="559"/>
    </row>
    <row r="76" spans="1:9">
      <c r="A76" s="585"/>
      <c r="B76" s="592"/>
      <c r="C76" s="586">
        <v>0</v>
      </c>
      <c r="D76" s="587">
        <v>0</v>
      </c>
      <c r="E76" s="561">
        <v>0</v>
      </c>
      <c r="F76" s="554">
        <v>0</v>
      </c>
      <c r="G76" s="551">
        <v>0</v>
      </c>
      <c r="H76" s="561">
        <v>0</v>
      </c>
      <c r="I76" s="559"/>
    </row>
    <row r="77" spans="1:9" ht="16">
      <c r="A77" s="585"/>
      <c r="B77" s="592"/>
      <c r="C77" s="586">
        <v>0</v>
      </c>
      <c r="D77" s="587">
        <v>0</v>
      </c>
      <c r="E77" s="561">
        <v>0</v>
      </c>
      <c r="F77" s="554">
        <v>0</v>
      </c>
      <c r="G77" s="551">
        <v>0</v>
      </c>
      <c r="H77" s="561">
        <v>0</v>
      </c>
      <c r="I77" s="560"/>
    </row>
    <row r="78" spans="1:9" ht="16">
      <c r="A78" s="585"/>
      <c r="B78" s="592"/>
      <c r="C78" s="586">
        <v>0</v>
      </c>
      <c r="D78" s="587">
        <v>0</v>
      </c>
      <c r="E78" s="561">
        <v>0</v>
      </c>
      <c r="F78" s="554">
        <v>0</v>
      </c>
      <c r="G78" s="551">
        <v>0</v>
      </c>
      <c r="H78" s="561">
        <v>0</v>
      </c>
      <c r="I78" s="560"/>
    </row>
    <row r="79" spans="1:9" ht="16">
      <c r="A79" s="585"/>
      <c r="B79" s="592"/>
      <c r="C79" s="586">
        <v>0</v>
      </c>
      <c r="D79" s="587">
        <v>0</v>
      </c>
      <c r="E79" s="561">
        <v>0</v>
      </c>
      <c r="F79" s="554">
        <v>0</v>
      </c>
      <c r="G79" s="551">
        <v>0</v>
      </c>
      <c r="H79" s="561">
        <v>0</v>
      </c>
      <c r="I79" s="560"/>
    </row>
    <row r="80" spans="1:9" ht="16">
      <c r="A80" s="585"/>
      <c r="B80" s="592"/>
      <c r="C80" s="586">
        <v>0</v>
      </c>
      <c r="D80" s="587">
        <v>0</v>
      </c>
      <c r="E80" s="561">
        <v>0</v>
      </c>
      <c r="F80" s="554">
        <v>0</v>
      </c>
      <c r="G80" s="551">
        <v>0</v>
      </c>
      <c r="H80" s="561">
        <v>0</v>
      </c>
      <c r="I80" s="560"/>
    </row>
    <row r="81" spans="1:9" ht="16">
      <c r="A81" s="585"/>
      <c r="B81" s="592"/>
      <c r="C81" s="586">
        <v>0</v>
      </c>
      <c r="D81" s="587">
        <v>0</v>
      </c>
      <c r="E81" s="561">
        <v>0</v>
      </c>
      <c r="F81" s="554">
        <v>0</v>
      </c>
      <c r="G81" s="551">
        <v>0</v>
      </c>
      <c r="H81" s="561">
        <v>0</v>
      </c>
      <c r="I81" s="560"/>
    </row>
    <row r="82" spans="1:9">
      <c r="A82" s="585"/>
      <c r="B82" s="592"/>
      <c r="C82" s="586">
        <v>0</v>
      </c>
      <c r="D82" s="587">
        <v>0</v>
      </c>
      <c r="E82" s="561">
        <v>0</v>
      </c>
      <c r="F82" s="554">
        <v>0</v>
      </c>
      <c r="G82" s="551">
        <v>0</v>
      </c>
      <c r="H82" s="561">
        <v>0</v>
      </c>
      <c r="I82" s="559"/>
    </row>
    <row r="83" spans="1:9" ht="16">
      <c r="A83" s="585"/>
      <c r="B83" s="592"/>
      <c r="C83" s="586">
        <v>0</v>
      </c>
      <c r="D83" s="587">
        <v>0</v>
      </c>
      <c r="E83" s="561">
        <v>0</v>
      </c>
      <c r="F83" s="554">
        <v>0</v>
      </c>
      <c r="G83" s="551">
        <v>0</v>
      </c>
      <c r="H83" s="561">
        <v>0</v>
      </c>
      <c r="I83" s="560"/>
    </row>
    <row r="84" spans="1:9">
      <c r="A84" s="585"/>
      <c r="B84" s="592"/>
      <c r="C84" s="586">
        <v>0</v>
      </c>
      <c r="D84" s="587">
        <v>0</v>
      </c>
      <c r="E84" s="561">
        <v>0</v>
      </c>
      <c r="F84" s="554">
        <v>0</v>
      </c>
      <c r="G84" s="551">
        <v>0</v>
      </c>
      <c r="H84" s="561">
        <v>0</v>
      </c>
      <c r="I84" s="559"/>
    </row>
    <row r="85" spans="1:9">
      <c r="A85" s="585"/>
      <c r="B85" s="592"/>
      <c r="C85" s="586">
        <v>0</v>
      </c>
      <c r="D85" s="587">
        <v>0</v>
      </c>
      <c r="E85" s="561">
        <v>0</v>
      </c>
      <c r="F85" s="554">
        <v>0</v>
      </c>
      <c r="G85" s="551">
        <v>0</v>
      </c>
      <c r="H85" s="561">
        <v>0</v>
      </c>
      <c r="I85" s="559"/>
    </row>
    <row r="86" spans="1:9">
      <c r="A86" s="585"/>
      <c r="B86" s="592"/>
      <c r="C86" s="586">
        <v>0</v>
      </c>
      <c r="D86" s="587">
        <v>0</v>
      </c>
      <c r="E86" s="561">
        <v>0</v>
      </c>
      <c r="F86" s="554">
        <v>0</v>
      </c>
      <c r="G86" s="551">
        <v>0</v>
      </c>
      <c r="H86" s="561">
        <v>0</v>
      </c>
      <c r="I86" s="559"/>
    </row>
    <row r="87" spans="1:9" ht="16">
      <c r="A87" s="585"/>
      <c r="B87" s="592"/>
      <c r="C87" s="586">
        <v>0</v>
      </c>
      <c r="D87" s="587">
        <v>0</v>
      </c>
      <c r="E87" s="561">
        <v>0</v>
      </c>
      <c r="F87" s="554">
        <v>0</v>
      </c>
      <c r="G87" s="551">
        <v>0</v>
      </c>
      <c r="H87" s="561">
        <v>0</v>
      </c>
      <c r="I87" s="560"/>
    </row>
    <row r="88" spans="1:9" ht="16">
      <c r="A88" s="585"/>
      <c r="B88" s="592"/>
      <c r="C88" s="586">
        <v>0</v>
      </c>
      <c r="D88" s="587">
        <v>0</v>
      </c>
      <c r="E88" s="561">
        <v>0</v>
      </c>
      <c r="F88" s="554">
        <v>0</v>
      </c>
      <c r="G88" s="551">
        <v>0</v>
      </c>
      <c r="H88" s="561">
        <v>0</v>
      </c>
      <c r="I88" s="560"/>
    </row>
    <row r="89" spans="1:9" ht="16">
      <c r="A89" s="585"/>
      <c r="B89" s="592"/>
      <c r="C89" s="586">
        <v>0</v>
      </c>
      <c r="D89" s="587">
        <v>0</v>
      </c>
      <c r="E89" s="561">
        <v>0</v>
      </c>
      <c r="F89" s="554">
        <v>0</v>
      </c>
      <c r="G89" s="551">
        <v>0</v>
      </c>
      <c r="H89" s="561">
        <v>0</v>
      </c>
      <c r="I89" s="560"/>
    </row>
    <row r="90" spans="1:9" ht="16">
      <c r="A90" s="585"/>
      <c r="B90" s="592"/>
      <c r="C90" s="586">
        <v>0</v>
      </c>
      <c r="D90" s="587">
        <v>0</v>
      </c>
      <c r="E90" s="561">
        <v>0</v>
      </c>
      <c r="F90" s="554">
        <v>0</v>
      </c>
      <c r="G90" s="551">
        <v>0</v>
      </c>
      <c r="H90" s="561">
        <v>0</v>
      </c>
      <c r="I90" s="560"/>
    </row>
    <row r="91" spans="1:9" ht="16">
      <c r="A91" s="585"/>
      <c r="B91" s="592"/>
      <c r="C91" s="586">
        <v>0</v>
      </c>
      <c r="D91" s="587">
        <v>0</v>
      </c>
      <c r="E91" s="561">
        <v>0</v>
      </c>
      <c r="F91" s="554">
        <v>0</v>
      </c>
      <c r="G91" s="551">
        <v>0</v>
      </c>
      <c r="H91" s="561">
        <v>0</v>
      </c>
      <c r="I91" s="560"/>
    </row>
    <row r="92" spans="1:9" ht="16">
      <c r="A92" s="585"/>
      <c r="B92" s="592"/>
      <c r="C92" s="586">
        <v>0</v>
      </c>
      <c r="D92" s="587">
        <v>0</v>
      </c>
      <c r="E92" s="561">
        <v>0</v>
      </c>
      <c r="F92" s="554">
        <v>0</v>
      </c>
      <c r="G92" s="551">
        <v>0</v>
      </c>
      <c r="H92" s="561">
        <v>0</v>
      </c>
      <c r="I92" s="560"/>
    </row>
    <row r="93" spans="1:9" ht="16">
      <c r="A93" s="585"/>
      <c r="B93" s="592"/>
      <c r="C93" s="586">
        <v>0</v>
      </c>
      <c r="D93" s="587">
        <v>0</v>
      </c>
      <c r="E93" s="561">
        <v>0</v>
      </c>
      <c r="F93" s="554">
        <v>0</v>
      </c>
      <c r="G93" s="551">
        <v>0</v>
      </c>
      <c r="H93" s="561">
        <v>0</v>
      </c>
      <c r="I93" s="560"/>
    </row>
    <row r="94" spans="1:9" ht="16">
      <c r="A94" s="585"/>
      <c r="B94" s="592"/>
      <c r="C94" s="586">
        <v>0</v>
      </c>
      <c r="D94" s="587">
        <v>0</v>
      </c>
      <c r="E94" s="561">
        <v>0</v>
      </c>
      <c r="F94" s="554">
        <v>0</v>
      </c>
      <c r="G94" s="551">
        <v>0</v>
      </c>
      <c r="H94" s="561">
        <v>0</v>
      </c>
      <c r="I94" s="560"/>
    </row>
    <row r="95" spans="1:9" ht="16">
      <c r="A95" s="585"/>
      <c r="B95" s="592"/>
      <c r="C95" s="586">
        <v>0</v>
      </c>
      <c r="D95" s="587">
        <v>0</v>
      </c>
      <c r="E95" s="561">
        <v>0</v>
      </c>
      <c r="F95" s="554">
        <v>0</v>
      </c>
      <c r="G95" s="551">
        <v>0</v>
      </c>
      <c r="H95" s="561">
        <v>0</v>
      </c>
      <c r="I95" s="560"/>
    </row>
    <row r="96" spans="1:9" ht="16">
      <c r="A96" s="585"/>
      <c r="B96" s="592"/>
      <c r="C96" s="586">
        <v>0</v>
      </c>
      <c r="D96" s="587">
        <v>0</v>
      </c>
      <c r="E96" s="561">
        <v>0</v>
      </c>
      <c r="F96" s="554">
        <v>0</v>
      </c>
      <c r="G96" s="551">
        <v>0</v>
      </c>
      <c r="H96" s="561">
        <v>0</v>
      </c>
      <c r="I96" s="560"/>
    </row>
    <row r="97" spans="1:9" ht="16">
      <c r="A97" s="585"/>
      <c r="B97" s="592"/>
      <c r="C97" s="586">
        <v>0</v>
      </c>
      <c r="D97" s="587">
        <v>0</v>
      </c>
      <c r="E97" s="561">
        <v>0</v>
      </c>
      <c r="F97" s="554">
        <v>0</v>
      </c>
      <c r="G97" s="551">
        <v>0</v>
      </c>
      <c r="H97" s="561">
        <v>0</v>
      </c>
      <c r="I97" s="560"/>
    </row>
    <row r="98" spans="1:9" ht="16">
      <c r="A98" s="585"/>
      <c r="B98" s="592"/>
      <c r="C98" s="586">
        <v>0</v>
      </c>
      <c r="D98" s="587">
        <v>0</v>
      </c>
      <c r="E98" s="561">
        <v>0</v>
      </c>
      <c r="F98" s="554">
        <v>0</v>
      </c>
      <c r="G98" s="551">
        <v>0</v>
      </c>
      <c r="H98" s="561">
        <v>0</v>
      </c>
      <c r="I98" s="560"/>
    </row>
    <row r="99" spans="1:9" ht="16">
      <c r="A99" s="585"/>
      <c r="B99" s="592"/>
      <c r="C99" s="586">
        <v>0</v>
      </c>
      <c r="D99" s="587">
        <v>0</v>
      </c>
      <c r="E99" s="561">
        <v>0</v>
      </c>
      <c r="F99" s="554">
        <v>0</v>
      </c>
      <c r="G99" s="551">
        <v>0</v>
      </c>
      <c r="H99" s="561">
        <v>0</v>
      </c>
      <c r="I99" s="560"/>
    </row>
    <row r="100" spans="1:9" ht="16">
      <c r="A100" s="585"/>
      <c r="B100" s="592"/>
      <c r="C100" s="586">
        <v>0</v>
      </c>
      <c r="D100" s="587">
        <v>0</v>
      </c>
      <c r="E100" s="561">
        <v>0</v>
      </c>
      <c r="F100" s="554">
        <v>0</v>
      </c>
      <c r="G100" s="551">
        <v>0</v>
      </c>
      <c r="H100" s="561">
        <v>0</v>
      </c>
      <c r="I100" s="560"/>
    </row>
    <row r="101" spans="1:9" ht="16">
      <c r="A101" s="585"/>
      <c r="B101" s="592"/>
      <c r="C101" s="586">
        <v>0</v>
      </c>
      <c r="D101" s="587">
        <v>0</v>
      </c>
      <c r="E101" s="561">
        <v>0</v>
      </c>
      <c r="F101" s="554">
        <v>0</v>
      </c>
      <c r="G101" s="551">
        <v>0</v>
      </c>
      <c r="H101" s="561">
        <v>0</v>
      </c>
      <c r="I101" s="560"/>
    </row>
    <row r="102" spans="1:9" ht="16">
      <c r="A102" s="585"/>
      <c r="B102" s="592"/>
      <c r="C102" s="586">
        <v>0</v>
      </c>
      <c r="D102" s="587">
        <v>0</v>
      </c>
      <c r="E102" s="561">
        <v>0</v>
      </c>
      <c r="F102" s="554">
        <v>0</v>
      </c>
      <c r="G102" s="551">
        <v>0</v>
      </c>
      <c r="H102" s="561">
        <v>0</v>
      </c>
      <c r="I102" s="560"/>
    </row>
    <row r="103" spans="1:9" ht="16">
      <c r="A103" s="585"/>
      <c r="B103" s="592"/>
      <c r="C103" s="586">
        <v>0</v>
      </c>
      <c r="D103" s="587">
        <v>0</v>
      </c>
      <c r="E103" s="561">
        <v>0</v>
      </c>
      <c r="F103" s="554">
        <v>0</v>
      </c>
      <c r="G103" s="551">
        <v>0</v>
      </c>
      <c r="H103" s="561">
        <v>0</v>
      </c>
      <c r="I103" s="560"/>
    </row>
    <row r="104" spans="1:9" ht="16">
      <c r="A104" s="585"/>
      <c r="B104" s="592"/>
      <c r="C104" s="586">
        <v>0</v>
      </c>
      <c r="D104" s="587">
        <v>0</v>
      </c>
      <c r="E104" s="561">
        <v>0</v>
      </c>
      <c r="F104" s="554">
        <v>0</v>
      </c>
      <c r="G104" s="551">
        <v>0</v>
      </c>
      <c r="H104" s="561">
        <v>0</v>
      </c>
      <c r="I104" s="560"/>
    </row>
    <row r="105" spans="1:9" ht="16">
      <c r="A105" s="585"/>
      <c r="B105" s="592"/>
      <c r="C105" s="586">
        <v>0</v>
      </c>
      <c r="D105" s="587">
        <v>0</v>
      </c>
      <c r="E105" s="561">
        <v>0</v>
      </c>
      <c r="F105" s="554">
        <v>0</v>
      </c>
      <c r="G105" s="551">
        <v>0</v>
      </c>
      <c r="H105" s="561">
        <v>0</v>
      </c>
      <c r="I105" s="560"/>
    </row>
    <row r="106" spans="1:9" ht="16">
      <c r="A106" s="585"/>
      <c r="B106" s="592"/>
      <c r="C106" s="586">
        <v>0</v>
      </c>
      <c r="D106" s="587">
        <v>0</v>
      </c>
      <c r="E106" s="561">
        <v>0</v>
      </c>
      <c r="F106" s="554">
        <v>0</v>
      </c>
      <c r="G106" s="551">
        <v>0</v>
      </c>
      <c r="H106" s="561">
        <v>0</v>
      </c>
      <c r="I106" s="560"/>
    </row>
    <row r="107" spans="1:9" ht="16">
      <c r="A107" s="585"/>
      <c r="B107" s="592"/>
      <c r="C107" s="586">
        <v>0</v>
      </c>
      <c r="D107" s="587">
        <v>0</v>
      </c>
      <c r="E107" s="561">
        <v>0</v>
      </c>
      <c r="F107" s="554">
        <v>0</v>
      </c>
      <c r="G107" s="551">
        <v>0</v>
      </c>
      <c r="H107" s="561">
        <v>0</v>
      </c>
      <c r="I107" s="560"/>
    </row>
    <row r="108" spans="1:9" ht="16">
      <c r="A108" s="585"/>
      <c r="B108" s="592"/>
      <c r="C108" s="586">
        <v>0</v>
      </c>
      <c r="D108" s="587">
        <v>0</v>
      </c>
      <c r="E108" s="561">
        <v>0</v>
      </c>
      <c r="F108" s="554">
        <v>0</v>
      </c>
      <c r="G108" s="551">
        <v>0</v>
      </c>
      <c r="H108" s="561">
        <v>0</v>
      </c>
      <c r="I108" s="560"/>
    </row>
    <row r="109" spans="1:9" ht="16">
      <c r="A109" s="585"/>
      <c r="B109" s="592"/>
      <c r="C109" s="586">
        <v>0</v>
      </c>
      <c r="D109" s="587">
        <v>0</v>
      </c>
      <c r="E109" s="561">
        <v>0</v>
      </c>
      <c r="F109" s="554">
        <v>0</v>
      </c>
      <c r="G109" s="551">
        <v>0</v>
      </c>
      <c r="H109" s="561">
        <v>0</v>
      </c>
      <c r="I109" s="560"/>
    </row>
    <row r="110" spans="1:9" ht="16">
      <c r="A110" s="585"/>
      <c r="B110" s="592"/>
      <c r="C110" s="586">
        <v>0</v>
      </c>
      <c r="D110" s="587">
        <v>0</v>
      </c>
      <c r="E110" s="561">
        <v>0</v>
      </c>
      <c r="F110" s="554">
        <v>0</v>
      </c>
      <c r="G110" s="551">
        <v>0</v>
      </c>
      <c r="H110" s="561">
        <v>0</v>
      </c>
      <c r="I110" s="560"/>
    </row>
    <row r="111" spans="1:9" ht="16">
      <c r="A111" s="585"/>
      <c r="B111" s="592"/>
      <c r="C111" s="586">
        <v>0</v>
      </c>
      <c r="D111" s="587">
        <v>0</v>
      </c>
      <c r="E111" s="561">
        <v>0</v>
      </c>
      <c r="F111" s="554">
        <v>0</v>
      </c>
      <c r="G111" s="551">
        <v>0</v>
      </c>
      <c r="H111" s="561">
        <v>0</v>
      </c>
      <c r="I111" s="560"/>
    </row>
    <row r="112" spans="1:9" ht="16">
      <c r="A112" s="585"/>
      <c r="B112" s="592"/>
      <c r="C112" s="586">
        <v>0</v>
      </c>
      <c r="D112" s="587">
        <v>0</v>
      </c>
      <c r="E112" s="561">
        <v>0</v>
      </c>
      <c r="F112" s="554">
        <v>0</v>
      </c>
      <c r="G112" s="551">
        <v>0</v>
      </c>
      <c r="H112" s="561">
        <v>0</v>
      </c>
      <c r="I112" s="560"/>
    </row>
    <row r="113" spans="1:9" ht="16">
      <c r="A113" s="585"/>
      <c r="B113" s="592"/>
      <c r="C113" s="586">
        <v>0</v>
      </c>
      <c r="D113" s="587">
        <v>0</v>
      </c>
      <c r="E113" s="561">
        <v>0</v>
      </c>
      <c r="F113" s="554">
        <v>0</v>
      </c>
      <c r="G113" s="551">
        <v>0</v>
      </c>
      <c r="H113" s="561">
        <v>0</v>
      </c>
      <c r="I113" s="560"/>
    </row>
    <row r="114" spans="1:9" ht="16">
      <c r="A114" s="585"/>
      <c r="B114" s="592"/>
      <c r="C114" s="586">
        <v>0</v>
      </c>
      <c r="D114" s="587">
        <v>0</v>
      </c>
      <c r="E114" s="561">
        <v>0</v>
      </c>
      <c r="F114" s="554">
        <v>0</v>
      </c>
      <c r="G114" s="551">
        <v>0</v>
      </c>
      <c r="H114" s="561">
        <v>0</v>
      </c>
      <c r="I114" s="560"/>
    </row>
    <row r="115" spans="1:9" ht="16">
      <c r="A115" s="585"/>
      <c r="B115" s="592"/>
      <c r="C115" s="586">
        <v>0</v>
      </c>
      <c r="D115" s="587">
        <v>0</v>
      </c>
      <c r="E115" s="561">
        <v>0</v>
      </c>
      <c r="F115" s="554">
        <v>0</v>
      </c>
      <c r="G115" s="551">
        <v>0</v>
      </c>
      <c r="H115" s="561">
        <v>0</v>
      </c>
      <c r="I115" s="560"/>
    </row>
    <row r="116" spans="1:9" ht="16">
      <c r="A116" s="585"/>
      <c r="B116" s="592"/>
      <c r="C116" s="586">
        <v>0</v>
      </c>
      <c r="D116" s="587">
        <v>0</v>
      </c>
      <c r="E116" s="561">
        <v>0</v>
      </c>
      <c r="F116" s="554">
        <v>0</v>
      </c>
      <c r="G116" s="551">
        <v>0</v>
      </c>
      <c r="H116" s="561">
        <v>0</v>
      </c>
      <c r="I116" s="560"/>
    </row>
    <row r="117" spans="1:9" ht="16">
      <c r="A117" s="585"/>
      <c r="B117" s="592"/>
      <c r="C117" s="586">
        <v>0</v>
      </c>
      <c r="D117" s="587">
        <v>0</v>
      </c>
      <c r="E117" s="561">
        <v>0</v>
      </c>
      <c r="F117" s="554">
        <v>0</v>
      </c>
      <c r="G117" s="551">
        <v>0</v>
      </c>
      <c r="H117" s="561">
        <v>0</v>
      </c>
      <c r="I117" s="560"/>
    </row>
    <row r="118" spans="1:9" ht="16">
      <c r="A118" s="585"/>
      <c r="B118" s="592"/>
      <c r="C118" s="586">
        <v>0</v>
      </c>
      <c r="D118" s="587">
        <v>0</v>
      </c>
      <c r="E118" s="561">
        <v>0</v>
      </c>
      <c r="F118" s="554">
        <v>0</v>
      </c>
      <c r="G118" s="551">
        <v>0</v>
      </c>
      <c r="H118" s="561">
        <v>0</v>
      </c>
      <c r="I118" s="560"/>
    </row>
    <row r="119" spans="1:9" ht="16">
      <c r="A119" s="585"/>
      <c r="B119" s="592"/>
      <c r="C119" s="586">
        <v>0</v>
      </c>
      <c r="D119" s="587">
        <v>0</v>
      </c>
      <c r="E119" s="561">
        <v>0</v>
      </c>
      <c r="F119" s="554">
        <v>0</v>
      </c>
      <c r="G119" s="551">
        <v>0</v>
      </c>
      <c r="H119" s="561">
        <v>0</v>
      </c>
      <c r="I119" s="560"/>
    </row>
    <row r="120" spans="1:9" ht="16">
      <c r="A120" s="585"/>
      <c r="B120" s="592"/>
      <c r="C120" s="586">
        <v>0</v>
      </c>
      <c r="D120" s="587">
        <v>0</v>
      </c>
      <c r="E120" s="561">
        <v>0</v>
      </c>
      <c r="F120" s="554">
        <v>0</v>
      </c>
      <c r="G120" s="551">
        <v>0</v>
      </c>
      <c r="H120" s="561">
        <v>0</v>
      </c>
      <c r="I120" s="560"/>
    </row>
    <row r="121" spans="1:9" ht="16">
      <c r="A121" s="585"/>
      <c r="B121" s="592"/>
      <c r="C121" s="586">
        <v>0</v>
      </c>
      <c r="D121" s="587">
        <v>0</v>
      </c>
      <c r="E121" s="561">
        <v>0</v>
      </c>
      <c r="F121" s="554">
        <v>0</v>
      </c>
      <c r="G121" s="551">
        <v>0</v>
      </c>
      <c r="H121" s="561">
        <v>0</v>
      </c>
      <c r="I121" s="560"/>
    </row>
    <row r="122" spans="1:9" ht="16">
      <c r="A122" s="585"/>
      <c r="B122" s="592"/>
      <c r="C122" s="586">
        <v>0</v>
      </c>
      <c r="D122" s="587">
        <v>0</v>
      </c>
      <c r="E122" s="561">
        <v>0</v>
      </c>
      <c r="F122" s="554">
        <v>0</v>
      </c>
      <c r="G122" s="551">
        <v>0</v>
      </c>
      <c r="H122" s="561">
        <v>0</v>
      </c>
      <c r="I122" s="560"/>
    </row>
    <row r="123" spans="1:9" ht="16">
      <c r="A123" s="585"/>
      <c r="B123" s="592"/>
      <c r="C123" s="586">
        <v>0</v>
      </c>
      <c r="D123" s="587">
        <v>0</v>
      </c>
      <c r="E123" s="561">
        <v>0</v>
      </c>
      <c r="F123" s="554">
        <v>0</v>
      </c>
      <c r="G123" s="551">
        <v>0</v>
      </c>
      <c r="H123" s="561">
        <v>0</v>
      </c>
      <c r="I123" s="560"/>
    </row>
    <row r="124" spans="1:9">
      <c r="A124" s="585"/>
      <c r="B124" s="592"/>
      <c r="C124" s="586">
        <v>0</v>
      </c>
      <c r="D124" s="587">
        <v>0</v>
      </c>
      <c r="E124" s="561">
        <v>0</v>
      </c>
      <c r="F124" s="554">
        <v>0</v>
      </c>
      <c r="G124" s="551">
        <v>0</v>
      </c>
      <c r="H124" s="561">
        <v>0</v>
      </c>
      <c r="I124" s="559"/>
    </row>
    <row r="125" spans="1:9">
      <c r="A125" s="585"/>
      <c r="B125" s="592"/>
      <c r="C125" s="586">
        <v>0</v>
      </c>
      <c r="D125" s="587">
        <v>0</v>
      </c>
      <c r="E125" s="561">
        <v>0</v>
      </c>
      <c r="F125" s="554">
        <v>0</v>
      </c>
      <c r="G125" s="551">
        <v>0</v>
      </c>
      <c r="H125" s="561">
        <v>0</v>
      </c>
      <c r="I125" s="559"/>
    </row>
    <row r="126" spans="1:9" ht="16">
      <c r="A126" s="585"/>
      <c r="B126" s="592"/>
      <c r="C126" s="586">
        <v>0</v>
      </c>
      <c r="D126" s="587">
        <v>0</v>
      </c>
      <c r="E126" s="561">
        <v>0</v>
      </c>
      <c r="F126" s="554">
        <v>0</v>
      </c>
      <c r="G126" s="551">
        <v>0</v>
      </c>
      <c r="H126" s="561">
        <v>0</v>
      </c>
      <c r="I126" s="560"/>
    </row>
    <row r="127" spans="1:9">
      <c r="A127" s="585"/>
      <c r="B127" s="592"/>
      <c r="C127" s="586">
        <v>0</v>
      </c>
      <c r="D127" s="587">
        <v>0</v>
      </c>
      <c r="E127" s="561">
        <v>0</v>
      </c>
      <c r="F127" s="554">
        <v>0</v>
      </c>
      <c r="G127" s="551">
        <v>0</v>
      </c>
      <c r="H127" s="561">
        <v>0</v>
      </c>
      <c r="I127" s="559"/>
    </row>
    <row r="128" spans="1:9" ht="16">
      <c r="A128" s="585"/>
      <c r="B128" s="592"/>
      <c r="C128" s="586">
        <v>0</v>
      </c>
      <c r="D128" s="587">
        <v>0</v>
      </c>
      <c r="E128" s="561">
        <v>0</v>
      </c>
      <c r="F128" s="554">
        <v>0</v>
      </c>
      <c r="G128" s="551">
        <v>0</v>
      </c>
      <c r="H128" s="561">
        <v>0</v>
      </c>
      <c r="I128" s="560"/>
    </row>
    <row r="129" spans="1:9" ht="16">
      <c r="A129" s="585"/>
      <c r="B129" s="592"/>
      <c r="C129" s="586">
        <v>0</v>
      </c>
      <c r="D129" s="587">
        <v>0</v>
      </c>
      <c r="E129" s="561">
        <v>0</v>
      </c>
      <c r="F129" s="554">
        <v>0</v>
      </c>
      <c r="G129" s="551">
        <v>0</v>
      </c>
      <c r="H129" s="561">
        <v>0</v>
      </c>
      <c r="I129" s="560"/>
    </row>
    <row r="130" spans="1:9" ht="16">
      <c r="A130" s="585"/>
      <c r="B130" s="592"/>
      <c r="C130" s="586">
        <v>0</v>
      </c>
      <c r="D130" s="587">
        <v>0</v>
      </c>
      <c r="E130" s="561">
        <v>0</v>
      </c>
      <c r="F130" s="554">
        <v>0</v>
      </c>
      <c r="G130" s="551">
        <v>0</v>
      </c>
      <c r="H130" s="561">
        <v>0</v>
      </c>
      <c r="I130" s="560"/>
    </row>
    <row r="131" spans="1:9" ht="16">
      <c r="A131" s="585"/>
      <c r="B131" s="592"/>
      <c r="C131" s="586">
        <v>0</v>
      </c>
      <c r="D131" s="587">
        <v>0</v>
      </c>
      <c r="E131" s="561">
        <v>0</v>
      </c>
      <c r="F131" s="554">
        <v>0</v>
      </c>
      <c r="G131" s="551">
        <v>0</v>
      </c>
      <c r="H131" s="561">
        <v>0</v>
      </c>
      <c r="I131" s="560"/>
    </row>
    <row r="132" spans="1:9" ht="16">
      <c r="A132" s="585"/>
      <c r="B132" s="592"/>
      <c r="C132" s="586">
        <v>0</v>
      </c>
      <c r="D132" s="587">
        <v>0</v>
      </c>
      <c r="E132" s="561">
        <v>0</v>
      </c>
      <c r="F132" s="554">
        <v>0</v>
      </c>
      <c r="G132" s="551">
        <v>0</v>
      </c>
      <c r="H132" s="561">
        <v>0</v>
      </c>
      <c r="I132" s="560"/>
    </row>
    <row r="133" spans="1:9" ht="16">
      <c r="A133" s="585"/>
      <c r="B133" s="592"/>
      <c r="C133" s="586">
        <v>0</v>
      </c>
      <c r="D133" s="587">
        <v>0</v>
      </c>
      <c r="E133" s="561">
        <v>0</v>
      </c>
      <c r="F133" s="554">
        <v>0</v>
      </c>
      <c r="G133" s="551">
        <v>0</v>
      </c>
      <c r="H133" s="561">
        <v>0</v>
      </c>
      <c r="I133" s="560"/>
    </row>
    <row r="134" spans="1:9" ht="16">
      <c r="A134" s="585"/>
      <c r="B134" s="592"/>
      <c r="C134" s="586">
        <v>0</v>
      </c>
      <c r="D134" s="587">
        <v>0</v>
      </c>
      <c r="E134" s="561">
        <v>0</v>
      </c>
      <c r="F134" s="554">
        <v>0</v>
      </c>
      <c r="G134" s="551">
        <v>0</v>
      </c>
      <c r="H134" s="561">
        <v>0</v>
      </c>
      <c r="I134" s="560"/>
    </row>
    <row r="135" spans="1:9" ht="16">
      <c r="A135" s="585"/>
      <c r="B135" s="592"/>
      <c r="C135" s="586">
        <v>0</v>
      </c>
      <c r="D135" s="587">
        <v>0</v>
      </c>
      <c r="E135" s="561">
        <v>0</v>
      </c>
      <c r="F135" s="554">
        <v>0</v>
      </c>
      <c r="G135" s="551">
        <v>0</v>
      </c>
      <c r="H135" s="561">
        <v>0</v>
      </c>
      <c r="I135" s="560"/>
    </row>
    <row r="136" spans="1:9" ht="16">
      <c r="A136" s="585"/>
      <c r="B136" s="592"/>
      <c r="C136" s="586">
        <v>0</v>
      </c>
      <c r="D136" s="587">
        <v>0</v>
      </c>
      <c r="E136" s="561">
        <v>0</v>
      </c>
      <c r="F136" s="554">
        <v>0</v>
      </c>
      <c r="G136" s="551">
        <v>0</v>
      </c>
      <c r="H136" s="561">
        <v>0</v>
      </c>
      <c r="I136" s="560"/>
    </row>
    <row r="137" spans="1:9" ht="16">
      <c r="A137" s="585"/>
      <c r="B137" s="592"/>
      <c r="C137" s="586">
        <v>0</v>
      </c>
      <c r="D137" s="587">
        <v>0</v>
      </c>
      <c r="E137" s="561">
        <v>0</v>
      </c>
      <c r="F137" s="554">
        <v>0</v>
      </c>
      <c r="G137" s="551">
        <v>0</v>
      </c>
      <c r="H137" s="561">
        <v>0</v>
      </c>
      <c r="I137" s="560"/>
    </row>
    <row r="138" spans="1:9" ht="16">
      <c r="A138" s="585"/>
      <c r="B138" s="592"/>
      <c r="C138" s="586">
        <v>0</v>
      </c>
      <c r="D138" s="587">
        <v>0</v>
      </c>
      <c r="E138" s="561">
        <v>0</v>
      </c>
      <c r="F138" s="554">
        <v>0</v>
      </c>
      <c r="G138" s="551">
        <v>0</v>
      </c>
      <c r="H138" s="561">
        <v>0</v>
      </c>
      <c r="I138" s="560"/>
    </row>
    <row r="139" spans="1:9" ht="16">
      <c r="A139" s="585"/>
      <c r="B139" s="592"/>
      <c r="C139" s="586">
        <v>0</v>
      </c>
      <c r="D139" s="587">
        <v>0</v>
      </c>
      <c r="E139" s="561">
        <v>0</v>
      </c>
      <c r="F139" s="554">
        <v>0</v>
      </c>
      <c r="G139" s="551">
        <v>0</v>
      </c>
      <c r="H139" s="561">
        <v>0</v>
      </c>
      <c r="I139" s="560"/>
    </row>
    <row r="140" spans="1:9" ht="16">
      <c r="A140" s="585"/>
      <c r="B140" s="592"/>
      <c r="C140" s="586">
        <v>0</v>
      </c>
      <c r="D140" s="587">
        <v>0</v>
      </c>
      <c r="E140" s="561">
        <v>0</v>
      </c>
      <c r="F140" s="554">
        <v>0</v>
      </c>
      <c r="G140" s="551">
        <v>0</v>
      </c>
      <c r="H140" s="561">
        <v>0</v>
      </c>
      <c r="I140" s="560"/>
    </row>
    <row r="141" spans="1:9" ht="16">
      <c r="A141" s="585"/>
      <c r="B141" s="592"/>
      <c r="C141" s="586">
        <v>0</v>
      </c>
      <c r="D141" s="587">
        <v>0</v>
      </c>
      <c r="E141" s="561">
        <v>0</v>
      </c>
      <c r="F141" s="554">
        <v>0</v>
      </c>
      <c r="G141" s="551">
        <v>0</v>
      </c>
      <c r="H141" s="561">
        <v>0</v>
      </c>
      <c r="I141" s="560"/>
    </row>
    <row r="142" spans="1:9" ht="16">
      <c r="A142" s="585"/>
      <c r="B142" s="592"/>
      <c r="C142" s="586">
        <v>0</v>
      </c>
      <c r="D142" s="587">
        <v>0</v>
      </c>
      <c r="E142" s="561">
        <v>0</v>
      </c>
      <c r="F142" s="554">
        <v>0</v>
      </c>
      <c r="G142" s="551">
        <v>0</v>
      </c>
      <c r="H142" s="561">
        <v>0</v>
      </c>
      <c r="I142" s="560"/>
    </row>
    <row r="143" spans="1:9" ht="16">
      <c r="A143" s="585"/>
      <c r="B143" s="592"/>
      <c r="C143" s="586">
        <v>0</v>
      </c>
      <c r="D143" s="587">
        <v>0</v>
      </c>
      <c r="E143" s="561">
        <v>0</v>
      </c>
      <c r="F143" s="554">
        <v>0</v>
      </c>
      <c r="G143" s="551">
        <v>0</v>
      </c>
      <c r="H143" s="561">
        <v>0</v>
      </c>
      <c r="I143" s="560"/>
    </row>
    <row r="144" spans="1:9" ht="16">
      <c r="A144" s="585"/>
      <c r="B144" s="592"/>
      <c r="C144" s="586">
        <v>0</v>
      </c>
      <c r="D144" s="587">
        <v>0</v>
      </c>
      <c r="E144" s="561">
        <v>0</v>
      </c>
      <c r="F144" s="554">
        <v>0</v>
      </c>
      <c r="G144" s="551">
        <v>0</v>
      </c>
      <c r="H144" s="561">
        <v>0</v>
      </c>
      <c r="I144" s="560"/>
    </row>
    <row r="145" spans="1:9" ht="16">
      <c r="A145" s="585"/>
      <c r="B145" s="592"/>
      <c r="C145" s="586">
        <v>0</v>
      </c>
      <c r="D145" s="587">
        <v>0</v>
      </c>
      <c r="E145" s="561">
        <v>0</v>
      </c>
      <c r="F145" s="554">
        <v>0</v>
      </c>
      <c r="G145" s="551">
        <v>0</v>
      </c>
      <c r="H145" s="561">
        <v>0</v>
      </c>
      <c r="I145" s="560"/>
    </row>
    <row r="146" spans="1:9" ht="16">
      <c r="A146" s="585"/>
      <c r="B146" s="592"/>
      <c r="C146" s="586">
        <v>0</v>
      </c>
      <c r="D146" s="587">
        <v>0</v>
      </c>
      <c r="E146" s="561">
        <v>0</v>
      </c>
      <c r="F146" s="554">
        <v>0</v>
      </c>
      <c r="G146" s="551">
        <v>0</v>
      </c>
      <c r="H146" s="561">
        <v>0</v>
      </c>
      <c r="I146" s="560"/>
    </row>
    <row r="147" spans="1:9" ht="16">
      <c r="A147" s="585"/>
      <c r="B147" s="592"/>
      <c r="C147" s="586">
        <v>0</v>
      </c>
      <c r="D147" s="587">
        <v>0</v>
      </c>
      <c r="E147" s="561">
        <v>0</v>
      </c>
      <c r="F147" s="554">
        <v>0</v>
      </c>
      <c r="G147" s="551">
        <v>0</v>
      </c>
      <c r="H147" s="561">
        <v>0</v>
      </c>
      <c r="I147" s="560"/>
    </row>
    <row r="148" spans="1:9" ht="16">
      <c r="A148" s="585"/>
      <c r="B148" s="592"/>
      <c r="C148" s="586">
        <v>0</v>
      </c>
      <c r="D148" s="587">
        <v>0</v>
      </c>
      <c r="E148" s="561">
        <v>0</v>
      </c>
      <c r="F148" s="554">
        <v>0</v>
      </c>
      <c r="G148" s="551">
        <v>0</v>
      </c>
      <c r="H148" s="561">
        <v>0</v>
      </c>
      <c r="I148" s="560"/>
    </row>
    <row r="149" spans="1:9" ht="16">
      <c r="A149" s="585"/>
      <c r="B149" s="592"/>
      <c r="C149" s="586">
        <v>0</v>
      </c>
      <c r="D149" s="587">
        <v>0</v>
      </c>
      <c r="E149" s="561">
        <v>0</v>
      </c>
      <c r="F149" s="554">
        <v>0</v>
      </c>
      <c r="G149" s="551">
        <v>0</v>
      </c>
      <c r="H149" s="561">
        <v>0</v>
      </c>
      <c r="I149" s="560"/>
    </row>
    <row r="150" spans="1:9">
      <c r="A150" s="183"/>
      <c r="B150"/>
      <c r="C150"/>
      <c r="D150"/>
      <c r="E150"/>
      <c r="F150"/>
      <c r="G150"/>
      <c r="H150"/>
      <c r="I150" s="464"/>
    </row>
    <row r="151" spans="1:9" ht="16">
      <c r="A151" s="183"/>
      <c r="B151" s="555" t="s">
        <v>92</v>
      </c>
      <c r="C151" s="556">
        <f>IFERROR(E151/D151, 0)</f>
        <v>0</v>
      </c>
      <c r="D151" s="557">
        <f>SUM(D11:D149)</f>
        <v>0</v>
      </c>
      <c r="E151" s="558">
        <f>SUM(E11:E149)</f>
        <v>0</v>
      </c>
      <c r="F151" s="556">
        <f>IFERROR(H151/G151, 0)</f>
        <v>0</v>
      </c>
      <c r="G151" s="557">
        <f>SUM(G11:G149)</f>
        <v>0</v>
      </c>
      <c r="H151" s="558">
        <f>SUM(H11:H149)</f>
        <v>0</v>
      </c>
      <c r="I151" s="559"/>
    </row>
    <row r="152" spans="1:9">
      <c r="A152" s="305"/>
      <c r="B152" s="597"/>
      <c r="C152" s="597"/>
      <c r="D152" s="597"/>
      <c r="E152" s="597"/>
      <c r="F152" s="597"/>
      <c r="G152" s="597"/>
      <c r="H152" s="597"/>
      <c r="I152" s="598"/>
    </row>
  </sheetData>
  <mergeCells count="11">
    <mergeCell ref="A7:A10"/>
    <mergeCell ref="B7:B10"/>
    <mergeCell ref="C7:E8"/>
    <mergeCell ref="F7:H8"/>
    <mergeCell ref="I7:I10"/>
    <mergeCell ref="C9:C10"/>
    <mergeCell ref="D9:D10"/>
    <mergeCell ref="E9:E10"/>
    <mergeCell ref="F9:F10"/>
    <mergeCell ref="G9:G10"/>
    <mergeCell ref="H9:H1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07D4F95-E81A-4032-8FE4-A4E451EFBC45}">
          <x14:formula1>
            <xm:f>INPUTS!$B$83:$B$115</xm:f>
          </x14:formula1>
          <xm:sqref>B11:B149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884C7-C87E-4040-B41E-CFCC74733BD9}">
  <sheetPr codeName="Sheet13">
    <tabColor theme="5"/>
  </sheetPr>
  <dimension ref="A1:E263"/>
  <sheetViews>
    <sheetView topLeftCell="A77" zoomScale="150" zoomScaleNormal="150" workbookViewId="0">
      <selection activeCell="A87" sqref="A87:XFD87"/>
    </sheetView>
  </sheetViews>
  <sheetFormatPr baseColWidth="10" defaultColWidth="8.83203125" defaultRowHeight="15"/>
  <cols>
    <col min="1" max="1" width="29.5" style="464" customWidth="1"/>
    <col min="2" max="2" width="11.6640625" bestFit="1" customWidth="1"/>
    <col min="3" max="4" width="29.5" style="465" customWidth="1"/>
    <col min="5" max="5" width="29.5" style="466" customWidth="1"/>
  </cols>
  <sheetData>
    <row r="1" spans="1:5" s="463" customFormat="1" ht="32">
      <c r="A1" s="472" t="s">
        <v>540</v>
      </c>
      <c r="B1" s="472" t="s">
        <v>541</v>
      </c>
      <c r="C1" s="473" t="s">
        <v>542</v>
      </c>
      <c r="D1" s="474" t="s">
        <v>543</v>
      </c>
      <c r="E1" s="475" t="s">
        <v>544</v>
      </c>
    </row>
    <row r="2" spans="1:5">
      <c r="A2" s="39" t="s">
        <v>545</v>
      </c>
      <c r="B2" s="39" t="s">
        <v>546</v>
      </c>
      <c r="C2" s="476">
        <v>3104.73</v>
      </c>
      <c r="D2" s="477">
        <v>3707.75</v>
      </c>
      <c r="E2" s="476">
        <v>-603.02</v>
      </c>
    </row>
    <row r="3" spans="1:5">
      <c r="A3" s="39" t="s">
        <v>547</v>
      </c>
      <c r="B3" s="39" t="s">
        <v>548</v>
      </c>
      <c r="C3" s="476">
        <v>620.37</v>
      </c>
      <c r="D3" s="477">
        <v>745.53</v>
      </c>
      <c r="E3" s="476">
        <v>-125.15999999999997</v>
      </c>
    </row>
    <row r="4" spans="1:5">
      <c r="A4" s="39" t="s">
        <v>549</v>
      </c>
      <c r="B4" s="39" t="s">
        <v>550</v>
      </c>
      <c r="C4" s="476">
        <v>107.89</v>
      </c>
      <c r="D4" s="477">
        <v>133.99</v>
      </c>
      <c r="E4" s="476">
        <v>-26.100000000000009</v>
      </c>
    </row>
    <row r="5" spans="1:5">
      <c r="A5" s="39" t="s">
        <v>551</v>
      </c>
      <c r="B5" s="39" t="s">
        <v>552</v>
      </c>
      <c r="C5" s="476">
        <v>2540.13</v>
      </c>
      <c r="D5" s="477">
        <v>3112.96</v>
      </c>
      <c r="E5" s="476">
        <v>-572.82999999999993</v>
      </c>
    </row>
    <row r="6" spans="1:5">
      <c r="A6" s="39" t="s">
        <v>553</v>
      </c>
      <c r="B6" s="39" t="s">
        <v>554</v>
      </c>
      <c r="C6" s="476">
        <v>5547.51</v>
      </c>
      <c r="D6" s="477">
        <v>6688.15</v>
      </c>
      <c r="E6" s="476">
        <v>-1140.6399999999994</v>
      </c>
    </row>
    <row r="7" spans="1:5">
      <c r="A7" s="39" t="s">
        <v>555</v>
      </c>
      <c r="B7" s="39" t="s">
        <v>556</v>
      </c>
      <c r="C7" s="476">
        <v>655.03</v>
      </c>
      <c r="D7" s="477">
        <v>764.16</v>
      </c>
      <c r="E7" s="476">
        <v>-109.13</v>
      </c>
    </row>
    <row r="8" spans="1:5">
      <c r="A8" s="39" t="s">
        <v>557</v>
      </c>
      <c r="B8" s="39" t="s">
        <v>558</v>
      </c>
      <c r="C8" s="476">
        <v>17452.419999999998</v>
      </c>
      <c r="D8" s="477">
        <v>21175.03</v>
      </c>
      <c r="E8" s="476">
        <v>-3722.6100000000006</v>
      </c>
    </row>
    <row r="9" spans="1:5">
      <c r="A9" s="39" t="s">
        <v>559</v>
      </c>
      <c r="B9" s="39" t="s">
        <v>560</v>
      </c>
      <c r="C9" s="476">
        <v>3451.8</v>
      </c>
      <c r="D9" s="477">
        <v>4132.8599999999997</v>
      </c>
      <c r="E9" s="476">
        <v>-681.05999999999949</v>
      </c>
    </row>
    <row r="10" spans="1:5">
      <c r="A10" s="39" t="s">
        <v>561</v>
      </c>
      <c r="B10" s="39" t="s">
        <v>562</v>
      </c>
      <c r="C10" s="476">
        <v>12582.48</v>
      </c>
      <c r="D10" s="477">
        <v>14856.81</v>
      </c>
      <c r="E10" s="476">
        <v>-2274.33</v>
      </c>
    </row>
    <row r="11" spans="1:5">
      <c r="A11" s="39" t="s">
        <v>563</v>
      </c>
      <c r="B11" s="39" t="s">
        <v>564</v>
      </c>
      <c r="C11" s="476">
        <v>19561.650000000001</v>
      </c>
      <c r="D11" s="477">
        <v>23474.880000000001</v>
      </c>
      <c r="E11" s="476">
        <v>-3913.2299999999996</v>
      </c>
    </row>
    <row r="12" spans="1:5">
      <c r="A12" s="39" t="s">
        <v>565</v>
      </c>
      <c r="B12" s="39" t="s">
        <v>566</v>
      </c>
      <c r="C12" s="476">
        <v>11070.43</v>
      </c>
      <c r="D12" s="477">
        <v>13143.73</v>
      </c>
      <c r="E12" s="476">
        <v>-2073.2999999999993</v>
      </c>
    </row>
    <row r="13" spans="1:5">
      <c r="A13" s="39" t="s">
        <v>567</v>
      </c>
      <c r="B13" s="39" t="s">
        <v>568</v>
      </c>
      <c r="C13" s="476">
        <v>20866.28</v>
      </c>
      <c r="D13" s="477">
        <v>25397.66</v>
      </c>
      <c r="E13" s="476">
        <v>-4531.380000000001</v>
      </c>
    </row>
    <row r="14" spans="1:5">
      <c r="A14" s="39" t="s">
        <v>569</v>
      </c>
      <c r="B14" s="39" t="s">
        <v>570</v>
      </c>
      <c r="C14" s="476">
        <v>1971.02</v>
      </c>
      <c r="D14" s="477">
        <v>2321.73</v>
      </c>
      <c r="E14" s="476">
        <v>-350.71000000000004</v>
      </c>
    </row>
    <row r="15" spans="1:5">
      <c r="A15" s="39" t="s">
        <v>571</v>
      </c>
      <c r="B15" s="39" t="s">
        <v>572</v>
      </c>
      <c r="C15" s="476">
        <v>293.66000000000003</v>
      </c>
      <c r="D15" s="477">
        <v>318.3</v>
      </c>
      <c r="E15" s="476">
        <v>-24.639999999999986</v>
      </c>
    </row>
    <row r="16" spans="1:5">
      <c r="A16" s="39" t="s">
        <v>573</v>
      </c>
      <c r="B16" s="39" t="s">
        <v>574</v>
      </c>
      <c r="C16" s="476">
        <v>4477.03</v>
      </c>
      <c r="D16" s="477">
        <v>5539.8</v>
      </c>
      <c r="E16" s="476">
        <v>-1062.7700000000004</v>
      </c>
    </row>
    <row r="17" spans="1:5">
      <c r="A17" s="39" t="s">
        <v>575</v>
      </c>
      <c r="B17" s="39" t="s">
        <v>576</v>
      </c>
      <c r="C17" s="476">
        <v>981.68</v>
      </c>
      <c r="D17" s="477">
        <v>1141.4100000000001</v>
      </c>
      <c r="E17" s="476">
        <v>-159.73000000000013</v>
      </c>
    </row>
    <row r="18" spans="1:5">
      <c r="A18" s="39" t="s">
        <v>577</v>
      </c>
      <c r="B18" s="39" t="s">
        <v>578</v>
      </c>
      <c r="C18" s="476">
        <v>749.65</v>
      </c>
      <c r="D18" s="477">
        <v>878.77</v>
      </c>
      <c r="E18" s="476">
        <v>-129.12</v>
      </c>
    </row>
    <row r="19" spans="1:5">
      <c r="A19" s="39" t="s">
        <v>579</v>
      </c>
      <c r="B19" s="39" t="s">
        <v>580</v>
      </c>
      <c r="C19" s="476">
        <v>3193.75</v>
      </c>
      <c r="D19" s="477">
        <v>3865.64</v>
      </c>
      <c r="E19" s="476">
        <v>-671.88999999999987</v>
      </c>
    </row>
    <row r="20" spans="1:5">
      <c r="A20" s="39" t="s">
        <v>581</v>
      </c>
      <c r="B20" s="39" t="s">
        <v>582</v>
      </c>
      <c r="C20" s="476">
        <v>7074.33</v>
      </c>
      <c r="D20" s="477">
        <v>8373.4599999999991</v>
      </c>
      <c r="E20" s="476">
        <v>-1299.1299999999992</v>
      </c>
    </row>
    <row r="21" spans="1:5">
      <c r="A21" s="39" t="s">
        <v>583</v>
      </c>
      <c r="B21" s="39" t="s">
        <v>584</v>
      </c>
      <c r="C21" s="476">
        <v>482.47</v>
      </c>
      <c r="D21" s="477">
        <v>579.57000000000005</v>
      </c>
      <c r="E21" s="476">
        <v>-97.100000000000023</v>
      </c>
    </row>
    <row r="22" spans="1:5">
      <c r="A22" s="39" t="s">
        <v>585</v>
      </c>
      <c r="B22" s="39" t="s">
        <v>586</v>
      </c>
      <c r="C22" s="476">
        <v>177.4</v>
      </c>
      <c r="D22" s="477">
        <v>227</v>
      </c>
      <c r="E22" s="476">
        <v>-49.599999999999994</v>
      </c>
    </row>
    <row r="23" spans="1:5">
      <c r="A23" s="39" t="s">
        <v>587</v>
      </c>
      <c r="B23" s="39" t="s">
        <v>588</v>
      </c>
      <c r="C23" s="476">
        <v>1208.75</v>
      </c>
      <c r="D23" s="477">
        <v>1439.3</v>
      </c>
      <c r="E23" s="476">
        <v>-230.54999999999995</v>
      </c>
    </row>
    <row r="24" spans="1:5">
      <c r="A24" s="39" t="s">
        <v>589</v>
      </c>
      <c r="B24" s="39" t="s">
        <v>590</v>
      </c>
      <c r="C24" s="476">
        <v>1604.79</v>
      </c>
      <c r="D24" s="477">
        <v>1958.71</v>
      </c>
      <c r="E24" s="476">
        <v>-353.92000000000007</v>
      </c>
    </row>
    <row r="25" spans="1:5">
      <c r="A25" s="39" t="s">
        <v>591</v>
      </c>
      <c r="B25" s="39" t="s">
        <v>592</v>
      </c>
      <c r="C25" s="476">
        <v>1419.9</v>
      </c>
      <c r="D25" s="477">
        <v>1769.13</v>
      </c>
      <c r="E25" s="476">
        <v>-349.23</v>
      </c>
    </row>
    <row r="26" spans="1:5">
      <c r="A26" s="39" t="s">
        <v>593</v>
      </c>
      <c r="B26" s="39" t="s">
        <v>594</v>
      </c>
      <c r="C26" s="476">
        <v>500.85</v>
      </c>
      <c r="D26" s="477">
        <v>659.95</v>
      </c>
      <c r="E26" s="476">
        <v>-159.10000000000002</v>
      </c>
    </row>
    <row r="27" spans="1:5">
      <c r="A27" s="39" t="s">
        <v>595</v>
      </c>
      <c r="B27" s="39" t="s">
        <v>596</v>
      </c>
      <c r="C27" s="476">
        <v>10923.53</v>
      </c>
      <c r="D27" s="477">
        <v>13283.53</v>
      </c>
      <c r="E27" s="476">
        <v>-2360</v>
      </c>
    </row>
    <row r="28" spans="1:5">
      <c r="A28" s="39" t="s">
        <v>597</v>
      </c>
      <c r="B28" s="39" t="s">
        <v>598</v>
      </c>
      <c r="C28" s="476">
        <v>14481.41</v>
      </c>
      <c r="D28" s="477">
        <v>17642.400000000001</v>
      </c>
      <c r="E28" s="476">
        <v>-3160.9900000000016</v>
      </c>
    </row>
    <row r="29" spans="1:5">
      <c r="A29" s="39" t="s">
        <v>599</v>
      </c>
      <c r="B29" s="39" t="s">
        <v>600</v>
      </c>
      <c r="C29" s="476">
        <v>3284.45</v>
      </c>
      <c r="D29" s="477">
        <v>4059.55</v>
      </c>
      <c r="E29" s="476">
        <v>-775.10000000000036</v>
      </c>
    </row>
    <row r="30" spans="1:5">
      <c r="A30" s="39" t="s">
        <v>601</v>
      </c>
      <c r="B30" s="39" t="s">
        <v>602</v>
      </c>
      <c r="C30" s="476">
        <v>2937.52</v>
      </c>
      <c r="D30" s="477">
        <v>3576.08</v>
      </c>
      <c r="E30" s="476">
        <v>-638.55999999999995</v>
      </c>
    </row>
    <row r="31" spans="1:5">
      <c r="A31" s="39" t="s">
        <v>603</v>
      </c>
      <c r="B31" s="39" t="s">
        <v>604</v>
      </c>
      <c r="C31" s="476">
        <v>785.71</v>
      </c>
      <c r="D31" s="477">
        <v>911.61</v>
      </c>
      <c r="E31" s="476">
        <v>-125.89999999999998</v>
      </c>
    </row>
    <row r="32" spans="1:5">
      <c r="A32" s="39" t="s">
        <v>605</v>
      </c>
      <c r="B32" s="39" t="s">
        <v>606</v>
      </c>
      <c r="C32" s="476">
        <v>643.72</v>
      </c>
      <c r="D32" s="477">
        <v>783.62</v>
      </c>
      <c r="E32" s="476">
        <v>-139.89999999999998</v>
      </c>
    </row>
    <row r="33" spans="1:5">
      <c r="A33" s="39" t="s">
        <v>607</v>
      </c>
      <c r="B33" s="39" t="s">
        <v>608</v>
      </c>
      <c r="C33" s="476">
        <v>675.6</v>
      </c>
      <c r="D33" s="477">
        <v>802.3</v>
      </c>
      <c r="E33" s="476">
        <v>-126.69999999999993</v>
      </c>
    </row>
    <row r="34" spans="1:5">
      <c r="A34" s="39" t="s">
        <v>609</v>
      </c>
      <c r="B34" s="39" t="s">
        <v>610</v>
      </c>
      <c r="C34" s="476">
        <v>2399.15</v>
      </c>
      <c r="D34" s="477">
        <v>2795.68</v>
      </c>
      <c r="E34" s="476">
        <v>-396.52999999999975</v>
      </c>
    </row>
    <row r="35" spans="1:5">
      <c r="A35" s="39" t="s">
        <v>611</v>
      </c>
      <c r="B35" s="39" t="s">
        <v>612</v>
      </c>
      <c r="C35" s="476">
        <v>968.98</v>
      </c>
      <c r="D35" s="477">
        <v>1137.78</v>
      </c>
      <c r="E35" s="476">
        <v>-168.79999999999995</v>
      </c>
    </row>
    <row r="36" spans="1:5">
      <c r="A36" s="39" t="s">
        <v>613</v>
      </c>
      <c r="B36" s="39" t="s">
        <v>614</v>
      </c>
      <c r="C36" s="476">
        <v>11697.15</v>
      </c>
      <c r="D36" s="477">
        <v>14758.02</v>
      </c>
      <c r="E36" s="476">
        <v>-3060.8700000000008</v>
      </c>
    </row>
    <row r="37" spans="1:5">
      <c r="A37" s="39" t="s">
        <v>615</v>
      </c>
      <c r="B37" s="39" t="s">
        <v>616</v>
      </c>
      <c r="C37" s="476">
        <v>1474.48</v>
      </c>
      <c r="D37" s="477">
        <v>1759.69</v>
      </c>
      <c r="E37" s="476">
        <v>-285.21000000000004</v>
      </c>
    </row>
    <row r="38" spans="1:5">
      <c r="A38" s="39" t="s">
        <v>617</v>
      </c>
      <c r="B38" s="39" t="s">
        <v>618</v>
      </c>
      <c r="C38" s="476">
        <v>111.38</v>
      </c>
      <c r="D38" s="477">
        <v>121.27</v>
      </c>
      <c r="E38" s="476">
        <v>-9.89</v>
      </c>
    </row>
    <row r="39" spans="1:5">
      <c r="A39" s="39" t="s">
        <v>619</v>
      </c>
      <c r="B39" s="39" t="s">
        <v>620</v>
      </c>
      <c r="C39" s="476">
        <v>782.28</v>
      </c>
      <c r="D39" s="477">
        <v>969.78</v>
      </c>
      <c r="E39" s="476">
        <v>-187.5</v>
      </c>
    </row>
    <row r="40" spans="1:5">
      <c r="A40" s="39" t="s">
        <v>621</v>
      </c>
      <c r="B40" s="39" t="s">
        <v>622</v>
      </c>
      <c r="C40" s="476">
        <v>1731.68</v>
      </c>
      <c r="D40" s="477">
        <v>2013.46</v>
      </c>
      <c r="E40" s="476">
        <v>-281.77999999999997</v>
      </c>
    </row>
    <row r="41" spans="1:5">
      <c r="A41" s="39" t="s">
        <v>623</v>
      </c>
      <c r="B41" s="39" t="s">
        <v>624</v>
      </c>
      <c r="C41" s="476">
        <v>417.18</v>
      </c>
      <c r="D41" s="477">
        <v>560.16</v>
      </c>
      <c r="E41" s="476">
        <v>-142.97999999999996</v>
      </c>
    </row>
    <row r="42" spans="1:5">
      <c r="A42" s="39" t="s">
        <v>625</v>
      </c>
      <c r="B42" s="39" t="s">
        <v>626</v>
      </c>
      <c r="C42" s="476">
        <v>185.72</v>
      </c>
      <c r="D42" s="477">
        <v>244.82</v>
      </c>
      <c r="E42" s="476">
        <v>-59.099999999999994</v>
      </c>
    </row>
    <row r="43" spans="1:5">
      <c r="A43" s="39" t="s">
        <v>627</v>
      </c>
      <c r="B43" s="39" t="s">
        <v>628</v>
      </c>
      <c r="C43" s="476">
        <v>194.53</v>
      </c>
      <c r="D43" s="477">
        <v>227.53</v>
      </c>
      <c r="E43" s="476">
        <v>-33</v>
      </c>
    </row>
    <row r="44" spans="1:5">
      <c r="A44" s="39" t="s">
        <v>629</v>
      </c>
      <c r="B44" s="39" t="s">
        <v>630</v>
      </c>
      <c r="C44" s="476">
        <v>1028.73</v>
      </c>
      <c r="D44" s="477">
        <v>1231.93</v>
      </c>
      <c r="E44" s="476">
        <v>-203.20000000000005</v>
      </c>
    </row>
    <row r="45" spans="1:5">
      <c r="A45" s="39" t="s">
        <v>631</v>
      </c>
      <c r="B45" s="39" t="s">
        <v>632</v>
      </c>
      <c r="C45" s="476">
        <v>381.63</v>
      </c>
      <c r="D45" s="477">
        <v>434.93</v>
      </c>
      <c r="E45" s="476">
        <v>-53.300000000000011</v>
      </c>
    </row>
    <row r="46" spans="1:5">
      <c r="A46" s="39" t="s">
        <v>633</v>
      </c>
      <c r="B46" s="39" t="s">
        <v>634</v>
      </c>
      <c r="C46" s="476">
        <v>73.22</v>
      </c>
      <c r="D46" s="477">
        <v>94.12</v>
      </c>
      <c r="E46" s="476">
        <v>-20.900000000000006</v>
      </c>
    </row>
    <row r="47" spans="1:5">
      <c r="A47" s="39" t="s">
        <v>635</v>
      </c>
      <c r="B47" s="39" t="s">
        <v>636</v>
      </c>
      <c r="C47" s="476">
        <v>279.13</v>
      </c>
      <c r="D47" s="477">
        <v>322.02999999999997</v>
      </c>
      <c r="E47" s="476">
        <v>-42.899999999999977</v>
      </c>
    </row>
    <row r="48" spans="1:5">
      <c r="A48" s="39" t="s">
        <v>637</v>
      </c>
      <c r="B48" s="39" t="s">
        <v>638</v>
      </c>
      <c r="C48" s="476">
        <v>385.38</v>
      </c>
      <c r="D48" s="477">
        <v>425.41</v>
      </c>
      <c r="E48" s="476">
        <v>-40.03000000000003</v>
      </c>
    </row>
    <row r="49" spans="1:5">
      <c r="A49" s="39" t="s">
        <v>639</v>
      </c>
      <c r="B49" s="39" t="s">
        <v>640</v>
      </c>
      <c r="C49" s="476">
        <v>424.93</v>
      </c>
      <c r="D49" s="477">
        <v>529.63</v>
      </c>
      <c r="E49" s="476">
        <v>-104.69999999999999</v>
      </c>
    </row>
    <row r="50" spans="1:5">
      <c r="A50" s="39" t="s">
        <v>641</v>
      </c>
      <c r="B50" s="39" t="s">
        <v>642</v>
      </c>
      <c r="C50" s="476">
        <v>675</v>
      </c>
      <c r="D50" s="477">
        <v>815.51</v>
      </c>
      <c r="E50" s="476">
        <v>-140.51</v>
      </c>
    </row>
    <row r="51" spans="1:5">
      <c r="A51" s="39" t="s">
        <v>643</v>
      </c>
      <c r="B51" s="39" t="s">
        <v>644</v>
      </c>
      <c r="C51" s="476">
        <v>351.03</v>
      </c>
      <c r="D51" s="477">
        <v>440.23</v>
      </c>
      <c r="E51" s="476">
        <v>-89.200000000000045</v>
      </c>
    </row>
    <row r="52" spans="1:5">
      <c r="A52" s="39" t="s">
        <v>645</v>
      </c>
      <c r="B52" s="39" t="s">
        <v>646</v>
      </c>
      <c r="C52" s="476">
        <v>2637.85</v>
      </c>
      <c r="D52" s="477">
        <v>3078.15</v>
      </c>
      <c r="E52" s="476">
        <v>-440.30000000000018</v>
      </c>
    </row>
    <row r="53" spans="1:5">
      <c r="A53" s="39" t="s">
        <v>647</v>
      </c>
      <c r="B53" s="39" t="s">
        <v>648</v>
      </c>
      <c r="C53" s="476">
        <v>3388.96</v>
      </c>
      <c r="D53" s="477">
        <v>4161.18</v>
      </c>
      <c r="E53" s="476">
        <v>-772.22000000000025</v>
      </c>
    </row>
    <row r="54" spans="1:5">
      <c r="A54" s="39" t="s">
        <v>649</v>
      </c>
      <c r="B54" s="39" t="s">
        <v>650</v>
      </c>
      <c r="C54" s="476">
        <v>3358.95</v>
      </c>
      <c r="D54" s="477">
        <v>3969.28</v>
      </c>
      <c r="E54" s="476">
        <v>-610.33000000000038</v>
      </c>
    </row>
    <row r="55" spans="1:5">
      <c r="A55" s="39" t="s">
        <v>651</v>
      </c>
      <c r="B55" s="39" t="s">
        <v>652</v>
      </c>
      <c r="C55" s="476">
        <v>5842.5</v>
      </c>
      <c r="D55" s="477">
        <v>7017.02</v>
      </c>
      <c r="E55" s="476">
        <v>-1174.5200000000004</v>
      </c>
    </row>
    <row r="56" spans="1:5">
      <c r="A56" s="39" t="s">
        <v>653</v>
      </c>
      <c r="B56" s="39" t="s">
        <v>654</v>
      </c>
      <c r="C56" s="476">
        <v>83.73</v>
      </c>
      <c r="D56" s="477">
        <v>101.03</v>
      </c>
      <c r="E56" s="476">
        <v>-17.299999999999997</v>
      </c>
    </row>
    <row r="57" spans="1:5">
      <c r="A57" s="39" t="s">
        <v>655</v>
      </c>
      <c r="B57" s="39" t="s">
        <v>656</v>
      </c>
      <c r="C57" s="476">
        <v>2003.51</v>
      </c>
      <c r="D57" s="477">
        <v>2417.38</v>
      </c>
      <c r="E57" s="476">
        <v>-413.87000000000012</v>
      </c>
    </row>
    <row r="58" spans="1:5">
      <c r="A58" s="39" t="s">
        <v>657</v>
      </c>
      <c r="B58" s="39" t="s">
        <v>658</v>
      </c>
      <c r="C58" s="476">
        <v>20187.62</v>
      </c>
      <c r="D58" s="477">
        <v>24697.67</v>
      </c>
      <c r="E58" s="476">
        <v>-4510.0499999999993</v>
      </c>
    </row>
    <row r="59" spans="1:5">
      <c r="A59" s="39" t="s">
        <v>659</v>
      </c>
      <c r="B59" s="39" t="s">
        <v>660</v>
      </c>
      <c r="C59" s="476">
        <v>3294.28</v>
      </c>
      <c r="D59" s="477">
        <v>3956.02</v>
      </c>
      <c r="E59" s="476">
        <v>-661.73999999999978</v>
      </c>
    </row>
    <row r="60" spans="1:5">
      <c r="A60" s="39" t="s">
        <v>661</v>
      </c>
      <c r="B60" s="39" t="s">
        <v>662</v>
      </c>
      <c r="C60" s="476">
        <v>1629.37</v>
      </c>
      <c r="D60" s="477">
        <v>1958.86</v>
      </c>
      <c r="E60" s="476">
        <v>-329.49</v>
      </c>
    </row>
    <row r="61" spans="1:5">
      <c r="A61" s="39" t="s">
        <v>663</v>
      </c>
      <c r="B61" s="39" t="s">
        <v>664</v>
      </c>
      <c r="C61" s="476">
        <v>72.150000000000006</v>
      </c>
      <c r="D61" s="477">
        <v>89.15</v>
      </c>
      <c r="E61" s="476">
        <v>-17</v>
      </c>
    </row>
    <row r="62" spans="1:5">
      <c r="A62" s="39" t="s">
        <v>665</v>
      </c>
      <c r="B62" s="39" t="s">
        <v>666</v>
      </c>
      <c r="C62" s="476">
        <v>403.84</v>
      </c>
      <c r="D62" s="477">
        <v>512.95000000000005</v>
      </c>
      <c r="E62" s="476">
        <v>-109.11000000000007</v>
      </c>
    </row>
    <row r="63" spans="1:5">
      <c r="A63" s="39" t="s">
        <v>667</v>
      </c>
      <c r="B63" s="39" t="s">
        <v>668</v>
      </c>
      <c r="C63" s="476">
        <v>4366.12</v>
      </c>
      <c r="D63" s="477">
        <v>5310.44</v>
      </c>
      <c r="E63" s="476">
        <v>-944.31999999999971</v>
      </c>
    </row>
    <row r="64" spans="1:5">
      <c r="A64" s="39" t="s">
        <v>669</v>
      </c>
      <c r="B64" s="39" t="s">
        <v>670</v>
      </c>
      <c r="C64" s="476">
        <v>2706.08</v>
      </c>
      <c r="D64" s="477">
        <v>3254.9</v>
      </c>
      <c r="E64" s="476">
        <v>-548.82000000000016</v>
      </c>
    </row>
    <row r="65" spans="1:5">
      <c r="A65" s="39" t="s">
        <v>671</v>
      </c>
      <c r="B65" s="39" t="s">
        <v>672</v>
      </c>
      <c r="C65" s="476">
        <v>53.8</v>
      </c>
      <c r="D65" s="477">
        <v>74.400000000000006</v>
      </c>
      <c r="E65" s="476">
        <v>-20.600000000000009</v>
      </c>
    </row>
    <row r="66" spans="1:5">
      <c r="A66" s="39" t="s">
        <v>673</v>
      </c>
      <c r="B66" s="39" t="s">
        <v>674</v>
      </c>
      <c r="C66" s="476">
        <v>22125.78</v>
      </c>
      <c r="D66" s="477">
        <v>26451.55</v>
      </c>
      <c r="E66" s="476">
        <v>-4325.7700000000004</v>
      </c>
    </row>
    <row r="67" spans="1:5">
      <c r="A67" s="39" t="s">
        <v>675</v>
      </c>
      <c r="B67" s="39" t="s">
        <v>676</v>
      </c>
      <c r="C67" s="476">
        <v>38.4</v>
      </c>
      <c r="D67" s="477">
        <v>53.7</v>
      </c>
      <c r="E67" s="476">
        <v>-15.300000000000004</v>
      </c>
    </row>
    <row r="68" spans="1:5">
      <c r="A68" s="39" t="s">
        <v>677</v>
      </c>
      <c r="B68" s="39" t="s">
        <v>678</v>
      </c>
      <c r="C68" s="476">
        <v>21301.78</v>
      </c>
      <c r="D68" s="477">
        <v>26070.3</v>
      </c>
      <c r="E68" s="476">
        <v>-4768.5200000000004</v>
      </c>
    </row>
    <row r="69" spans="1:5">
      <c r="A69" s="39" t="s">
        <v>679</v>
      </c>
      <c r="B69" s="39" t="s">
        <v>680</v>
      </c>
      <c r="C69" s="476">
        <v>4685.0200000000004</v>
      </c>
      <c r="D69" s="477">
        <v>5603.8</v>
      </c>
      <c r="E69" s="476">
        <v>-918.77999999999975</v>
      </c>
    </row>
    <row r="70" spans="1:5">
      <c r="A70" s="39" t="s">
        <v>681</v>
      </c>
      <c r="B70" s="39" t="s">
        <v>682</v>
      </c>
      <c r="C70" s="476">
        <v>3874.97</v>
      </c>
      <c r="D70" s="477">
        <v>4750.7700000000004</v>
      </c>
      <c r="E70" s="476">
        <v>-875.80000000000064</v>
      </c>
    </row>
    <row r="71" spans="1:5">
      <c r="A71" s="39" t="s">
        <v>683</v>
      </c>
      <c r="B71" s="39" t="s">
        <v>684</v>
      </c>
      <c r="C71" s="476">
        <v>859.2</v>
      </c>
      <c r="D71" s="477">
        <v>1037.17</v>
      </c>
      <c r="E71" s="476">
        <v>-177.97000000000003</v>
      </c>
    </row>
    <row r="72" spans="1:5">
      <c r="A72" s="39" t="s">
        <v>685</v>
      </c>
      <c r="B72" s="39" t="s">
        <v>686</v>
      </c>
      <c r="C72" s="476">
        <v>6908.38</v>
      </c>
      <c r="D72" s="477">
        <v>8550.7999999999993</v>
      </c>
      <c r="E72" s="476">
        <v>-1642.4199999999992</v>
      </c>
    </row>
    <row r="73" spans="1:5">
      <c r="A73" s="39" t="s">
        <v>687</v>
      </c>
      <c r="B73" s="39" t="s">
        <v>688</v>
      </c>
      <c r="C73" s="476">
        <v>872.74</v>
      </c>
      <c r="D73" s="477">
        <v>1015.24</v>
      </c>
      <c r="E73" s="476">
        <v>-142.5</v>
      </c>
    </row>
    <row r="74" spans="1:5">
      <c r="A74" s="39" t="s">
        <v>689</v>
      </c>
      <c r="B74" s="39" t="s">
        <v>690</v>
      </c>
      <c r="C74" s="476">
        <v>53.7</v>
      </c>
      <c r="D74" s="477">
        <v>66.3</v>
      </c>
      <c r="E74" s="476">
        <v>-12.599999999999994</v>
      </c>
    </row>
    <row r="75" spans="1:5">
      <c r="A75" s="39" t="s">
        <v>691</v>
      </c>
      <c r="B75" s="39" t="s">
        <v>692</v>
      </c>
      <c r="C75" s="476">
        <v>2944.37</v>
      </c>
      <c r="D75" s="477">
        <v>3133.39</v>
      </c>
      <c r="E75" s="476">
        <v>-189.01999999999998</v>
      </c>
    </row>
    <row r="76" spans="1:5">
      <c r="A76" s="39" t="s">
        <v>693</v>
      </c>
      <c r="B76" s="39" t="s">
        <v>694</v>
      </c>
      <c r="C76" s="476">
        <v>657.72</v>
      </c>
      <c r="D76" s="477">
        <v>811.6</v>
      </c>
      <c r="E76" s="476">
        <v>-153.88</v>
      </c>
    </row>
    <row r="77" spans="1:5">
      <c r="A77" s="39" t="s">
        <v>695</v>
      </c>
      <c r="B77" s="39" t="s">
        <v>696</v>
      </c>
      <c r="C77" s="476">
        <v>3540.55</v>
      </c>
      <c r="D77" s="477">
        <v>4186.8500000000004</v>
      </c>
      <c r="E77" s="476">
        <v>-646.30000000000018</v>
      </c>
    </row>
    <row r="78" spans="1:5">
      <c r="A78" s="39" t="s">
        <v>697</v>
      </c>
      <c r="B78" s="39" t="s">
        <v>698</v>
      </c>
      <c r="C78" s="476">
        <v>1382.25</v>
      </c>
      <c r="D78" s="477">
        <v>1711.95</v>
      </c>
      <c r="E78" s="476">
        <v>-329.70000000000005</v>
      </c>
    </row>
    <row r="79" spans="1:5">
      <c r="A79" s="39" t="s">
        <v>699</v>
      </c>
      <c r="B79" s="39" t="s">
        <v>700</v>
      </c>
      <c r="C79" s="476">
        <v>2237.6999999999998</v>
      </c>
      <c r="D79" s="477">
        <v>2741.01</v>
      </c>
      <c r="E79" s="476">
        <v>-503.3100000000004</v>
      </c>
    </row>
    <row r="80" spans="1:5">
      <c r="A80" s="39" t="s">
        <v>701</v>
      </c>
      <c r="B80" s="39" t="s">
        <v>702</v>
      </c>
      <c r="C80" s="476">
        <v>225.84</v>
      </c>
      <c r="D80" s="477">
        <v>277.83999999999997</v>
      </c>
      <c r="E80" s="476">
        <v>-51.999999999999972</v>
      </c>
    </row>
    <row r="81" spans="1:5">
      <c r="A81" s="39" t="s">
        <v>703</v>
      </c>
      <c r="B81" s="39" t="s">
        <v>704</v>
      </c>
      <c r="C81" s="476">
        <v>41.2</v>
      </c>
      <c r="D81" s="477">
        <v>59.9</v>
      </c>
      <c r="E81" s="476">
        <v>-18.699999999999996</v>
      </c>
    </row>
    <row r="82" spans="1:5">
      <c r="A82" s="39" t="s">
        <v>705</v>
      </c>
      <c r="B82" s="39" t="s">
        <v>706</v>
      </c>
      <c r="C82" s="476">
        <v>163.72999999999999</v>
      </c>
      <c r="D82" s="477">
        <v>223.53</v>
      </c>
      <c r="E82" s="476">
        <v>-59.800000000000011</v>
      </c>
    </row>
    <row r="83" spans="1:5">
      <c r="A83" s="39" t="s">
        <v>707</v>
      </c>
      <c r="B83" s="39" t="s">
        <v>708</v>
      </c>
      <c r="C83" s="476">
        <v>583.63</v>
      </c>
      <c r="D83" s="477">
        <v>728.34</v>
      </c>
      <c r="E83" s="476">
        <v>-144.71000000000004</v>
      </c>
    </row>
    <row r="84" spans="1:5">
      <c r="A84" s="39" t="s">
        <v>709</v>
      </c>
      <c r="B84" s="39" t="s">
        <v>710</v>
      </c>
      <c r="C84" s="476">
        <v>1053.03</v>
      </c>
      <c r="D84" s="477">
        <v>1222.6500000000001</v>
      </c>
      <c r="E84" s="476">
        <v>-169.62000000000012</v>
      </c>
    </row>
    <row r="85" spans="1:5">
      <c r="A85" s="39" t="s">
        <v>711</v>
      </c>
      <c r="B85" s="39" t="s">
        <v>712</v>
      </c>
      <c r="C85" s="476">
        <v>17814.59</v>
      </c>
      <c r="D85" s="477">
        <v>21741.68</v>
      </c>
      <c r="E85" s="476">
        <v>-3927.09</v>
      </c>
    </row>
    <row r="86" spans="1:5">
      <c r="A86" s="39" t="s">
        <v>713</v>
      </c>
      <c r="B86" s="39" t="s">
        <v>714</v>
      </c>
      <c r="C86" s="476">
        <v>2070.54</v>
      </c>
      <c r="D86" s="477">
        <v>2426.06</v>
      </c>
      <c r="E86" s="476">
        <v>-355.52</v>
      </c>
    </row>
    <row r="87" spans="1:5">
      <c r="A87" s="39" t="s">
        <v>715</v>
      </c>
      <c r="B87" s="39" t="s">
        <v>716</v>
      </c>
      <c r="C87" s="476">
        <v>201</v>
      </c>
      <c r="D87" s="477">
        <v>324.10000000000002</v>
      </c>
      <c r="E87" s="476">
        <v>-123.10000000000002</v>
      </c>
    </row>
    <row r="88" spans="1:5">
      <c r="A88" s="39" t="s">
        <v>717</v>
      </c>
      <c r="B88" s="39" t="s">
        <v>718</v>
      </c>
      <c r="C88" s="476">
        <v>225.8</v>
      </c>
      <c r="D88" s="477">
        <v>370.9</v>
      </c>
      <c r="E88" s="476">
        <v>-145.09999999999997</v>
      </c>
    </row>
    <row r="89" spans="1:5">
      <c r="A89" s="39" t="s">
        <v>719</v>
      </c>
      <c r="B89" s="39" t="s">
        <v>720</v>
      </c>
      <c r="C89" s="476">
        <v>493.6</v>
      </c>
      <c r="D89" s="477">
        <v>762.5</v>
      </c>
      <c r="E89" s="476">
        <v>-268.89999999999998</v>
      </c>
    </row>
    <row r="90" spans="1:5">
      <c r="A90" s="39" t="s">
        <v>721</v>
      </c>
      <c r="B90" s="39" t="s">
        <v>722</v>
      </c>
      <c r="C90" s="476">
        <v>384.2</v>
      </c>
      <c r="D90" s="477">
        <v>602.4</v>
      </c>
      <c r="E90" s="476">
        <v>-218.2</v>
      </c>
    </row>
    <row r="91" spans="1:5">
      <c r="A91" s="39" t="s">
        <v>723</v>
      </c>
      <c r="B91" s="39" t="s">
        <v>724</v>
      </c>
      <c r="C91" s="476">
        <v>186.94</v>
      </c>
      <c r="D91" s="477">
        <v>226.24</v>
      </c>
      <c r="E91" s="476">
        <v>-39.300000000000011</v>
      </c>
    </row>
    <row r="92" spans="1:5">
      <c r="A92" s="39" t="s">
        <v>725</v>
      </c>
      <c r="B92" s="39" t="s">
        <v>726</v>
      </c>
      <c r="C92" s="476">
        <v>32.93</v>
      </c>
      <c r="D92" s="477">
        <v>46.83</v>
      </c>
      <c r="E92" s="476">
        <v>-13.899999999999999</v>
      </c>
    </row>
    <row r="93" spans="1:5">
      <c r="A93" s="39" t="s">
        <v>727</v>
      </c>
      <c r="B93" s="39" t="s">
        <v>728</v>
      </c>
      <c r="C93" s="476">
        <v>18779.919999999998</v>
      </c>
      <c r="D93" s="477">
        <v>22649.52</v>
      </c>
      <c r="E93" s="476">
        <v>-3869.6000000000022</v>
      </c>
    </row>
    <row r="94" spans="1:5">
      <c r="A94" s="39" t="s">
        <v>729</v>
      </c>
      <c r="B94" s="39" t="s">
        <v>730</v>
      </c>
      <c r="C94" s="476">
        <v>1143.77</v>
      </c>
      <c r="D94" s="477">
        <v>1362.27</v>
      </c>
      <c r="E94" s="476">
        <v>-218.5</v>
      </c>
    </row>
    <row r="95" spans="1:5">
      <c r="A95" s="39" t="s">
        <v>731</v>
      </c>
      <c r="B95" s="39" t="s">
        <v>732</v>
      </c>
      <c r="C95" s="476">
        <v>37.4</v>
      </c>
      <c r="D95" s="477">
        <v>54.4</v>
      </c>
      <c r="E95" s="476">
        <v>-17</v>
      </c>
    </row>
    <row r="96" spans="1:5">
      <c r="A96" s="39" t="s">
        <v>733</v>
      </c>
      <c r="B96" s="39" t="s">
        <v>734</v>
      </c>
      <c r="C96" s="476">
        <v>5028.8900000000003</v>
      </c>
      <c r="D96" s="477">
        <v>5946.63</v>
      </c>
      <c r="E96" s="476">
        <v>-917.73999999999978</v>
      </c>
    </row>
    <row r="97" spans="1:5">
      <c r="A97" s="39" t="s">
        <v>735</v>
      </c>
      <c r="B97" s="39" t="s">
        <v>736</v>
      </c>
      <c r="C97" s="476">
        <v>18843.740000000002</v>
      </c>
      <c r="D97" s="477">
        <v>22782.53</v>
      </c>
      <c r="E97" s="476">
        <v>-3938.7899999999972</v>
      </c>
    </row>
    <row r="98" spans="1:5">
      <c r="A98" s="39" t="s">
        <v>737</v>
      </c>
      <c r="B98" s="39" t="s">
        <v>738</v>
      </c>
      <c r="C98" s="476">
        <v>25285.48</v>
      </c>
      <c r="D98" s="477">
        <v>31017.31</v>
      </c>
      <c r="E98" s="476">
        <v>-5731.8300000000017</v>
      </c>
    </row>
    <row r="99" spans="1:5">
      <c r="A99" s="39" t="s">
        <v>739</v>
      </c>
      <c r="B99" s="39" t="s">
        <v>740</v>
      </c>
      <c r="C99" s="476">
        <v>1084.94</v>
      </c>
      <c r="D99" s="477">
        <v>1208.32</v>
      </c>
      <c r="E99" s="476">
        <v>-123.37999999999988</v>
      </c>
    </row>
    <row r="100" spans="1:5">
      <c r="A100" s="39" t="s">
        <v>741</v>
      </c>
      <c r="B100" s="39" t="s">
        <v>742</v>
      </c>
      <c r="C100" s="476">
        <v>1325.81</v>
      </c>
      <c r="D100" s="477">
        <v>1612.59</v>
      </c>
      <c r="E100" s="476">
        <v>-286.77999999999997</v>
      </c>
    </row>
    <row r="101" spans="1:5">
      <c r="A101" s="39" t="s">
        <v>743</v>
      </c>
      <c r="B101" s="39" t="s">
        <v>744</v>
      </c>
      <c r="C101" s="476">
        <v>568.14</v>
      </c>
      <c r="D101" s="477">
        <v>658.94</v>
      </c>
      <c r="E101" s="476">
        <v>-90.800000000000068</v>
      </c>
    </row>
    <row r="102" spans="1:5">
      <c r="A102" s="39" t="s">
        <v>745</v>
      </c>
      <c r="B102" s="39" t="s">
        <v>746</v>
      </c>
      <c r="C102" s="476">
        <v>71.75</v>
      </c>
      <c r="D102" s="477">
        <v>91.65</v>
      </c>
      <c r="E102" s="476">
        <v>-19.900000000000006</v>
      </c>
    </row>
    <row r="103" spans="1:5">
      <c r="A103" s="39" t="s">
        <v>747</v>
      </c>
      <c r="B103" s="39" t="s">
        <v>748</v>
      </c>
      <c r="C103" s="476">
        <v>1795.4</v>
      </c>
      <c r="D103" s="477">
        <v>2183.5700000000002</v>
      </c>
      <c r="E103" s="476">
        <v>-388.17000000000007</v>
      </c>
    </row>
    <row r="104" spans="1:5">
      <c r="A104" s="39" t="s">
        <v>749</v>
      </c>
      <c r="B104" s="39" t="s">
        <v>750</v>
      </c>
      <c r="C104" s="476">
        <v>471.38</v>
      </c>
      <c r="D104" s="477">
        <v>560.58000000000004</v>
      </c>
      <c r="E104" s="476">
        <v>-89.200000000000045</v>
      </c>
    </row>
    <row r="105" spans="1:5">
      <c r="A105" s="39" t="s">
        <v>751</v>
      </c>
      <c r="B105" s="39" t="s">
        <v>752</v>
      </c>
      <c r="C105" s="476">
        <v>76.66</v>
      </c>
      <c r="D105" s="477">
        <v>86.38</v>
      </c>
      <c r="E105" s="476">
        <v>-9.7199999999999989</v>
      </c>
    </row>
    <row r="106" spans="1:5">
      <c r="A106" s="39" t="s">
        <v>753</v>
      </c>
      <c r="B106" s="39" t="s">
        <v>754</v>
      </c>
      <c r="C106" s="476">
        <v>1247.6500000000001</v>
      </c>
      <c r="D106" s="477">
        <v>1484.89</v>
      </c>
      <c r="E106" s="476">
        <v>-237.24</v>
      </c>
    </row>
    <row r="107" spans="1:5">
      <c r="A107" s="39" t="s">
        <v>755</v>
      </c>
      <c r="B107" s="39" t="s">
        <v>756</v>
      </c>
      <c r="C107" s="476">
        <v>210.4</v>
      </c>
      <c r="D107" s="477">
        <v>246</v>
      </c>
      <c r="E107" s="476">
        <v>-35.599999999999994</v>
      </c>
    </row>
    <row r="108" spans="1:5">
      <c r="A108" s="39" t="s">
        <v>757</v>
      </c>
      <c r="B108" s="39" t="s">
        <v>758</v>
      </c>
      <c r="C108" s="476">
        <v>9801.6</v>
      </c>
      <c r="D108" s="477">
        <v>12137.26</v>
      </c>
      <c r="E108" s="476">
        <v>-2335.66</v>
      </c>
    </row>
    <row r="109" spans="1:5">
      <c r="A109" s="39" t="s">
        <v>759</v>
      </c>
      <c r="B109" s="39" t="s">
        <v>760</v>
      </c>
      <c r="C109" s="476">
        <v>30751.48</v>
      </c>
      <c r="D109" s="477">
        <v>37532.22</v>
      </c>
      <c r="E109" s="476">
        <v>-6780.7400000000016</v>
      </c>
    </row>
    <row r="110" spans="1:5">
      <c r="A110" s="39" t="s">
        <v>761</v>
      </c>
      <c r="B110" s="39" t="s">
        <v>762</v>
      </c>
      <c r="C110" s="476">
        <v>2611.8000000000002</v>
      </c>
      <c r="D110" s="477">
        <v>3202.29</v>
      </c>
      <c r="E110" s="476">
        <v>-590.48999999999978</v>
      </c>
    </row>
    <row r="111" spans="1:5">
      <c r="A111" s="39" t="s">
        <v>763</v>
      </c>
      <c r="B111" s="39" t="s">
        <v>764</v>
      </c>
      <c r="C111" s="476">
        <v>600.35</v>
      </c>
      <c r="D111" s="477">
        <v>725.14</v>
      </c>
      <c r="E111" s="476">
        <v>-124.78999999999996</v>
      </c>
    </row>
    <row r="112" spans="1:5">
      <c r="A112" s="39" t="s">
        <v>765</v>
      </c>
      <c r="B112" s="39" t="s">
        <v>766</v>
      </c>
      <c r="C112" s="476">
        <v>172.35</v>
      </c>
      <c r="D112" s="477">
        <v>207.95</v>
      </c>
      <c r="E112" s="476">
        <v>-35.599999999999994</v>
      </c>
    </row>
    <row r="113" spans="1:5">
      <c r="A113" s="39" t="s">
        <v>767</v>
      </c>
      <c r="B113" s="39" t="s">
        <v>768</v>
      </c>
      <c r="C113" s="476">
        <v>6298.45</v>
      </c>
      <c r="D113" s="477">
        <v>7571.14</v>
      </c>
      <c r="E113" s="476">
        <v>-1272.6900000000005</v>
      </c>
    </row>
    <row r="114" spans="1:5">
      <c r="A114" s="39" t="s">
        <v>769</v>
      </c>
      <c r="B114" s="39" t="s">
        <v>770</v>
      </c>
      <c r="C114" s="476">
        <v>256.24</v>
      </c>
      <c r="D114" s="477">
        <v>301.74</v>
      </c>
      <c r="E114" s="476">
        <v>-45.5</v>
      </c>
    </row>
    <row r="115" spans="1:5">
      <c r="A115" s="39" t="s">
        <v>771</v>
      </c>
      <c r="B115" s="39" t="s">
        <v>772</v>
      </c>
      <c r="C115" s="476">
        <v>199.04</v>
      </c>
      <c r="D115" s="477">
        <v>228.43</v>
      </c>
      <c r="E115" s="476">
        <v>-29.390000000000015</v>
      </c>
    </row>
    <row r="116" spans="1:5">
      <c r="A116" s="39" t="s">
        <v>773</v>
      </c>
      <c r="B116" s="39" t="s">
        <v>774</v>
      </c>
      <c r="C116" s="476">
        <v>421.98</v>
      </c>
      <c r="D116" s="477">
        <v>517.98</v>
      </c>
      <c r="E116" s="476">
        <v>-96</v>
      </c>
    </row>
    <row r="117" spans="1:5">
      <c r="A117" s="39" t="s">
        <v>775</v>
      </c>
      <c r="B117" s="39" t="s">
        <v>776</v>
      </c>
      <c r="C117" s="476">
        <v>187.99</v>
      </c>
      <c r="D117" s="477">
        <v>221.69</v>
      </c>
      <c r="E117" s="476">
        <v>-33.699999999999989</v>
      </c>
    </row>
    <row r="118" spans="1:5">
      <c r="A118" s="39" t="s">
        <v>777</v>
      </c>
      <c r="B118" s="39" t="s">
        <v>778</v>
      </c>
      <c r="C118" s="476">
        <v>3548.06</v>
      </c>
      <c r="D118" s="477">
        <v>4174.4799999999996</v>
      </c>
      <c r="E118" s="476">
        <v>-626.41999999999962</v>
      </c>
    </row>
    <row r="119" spans="1:5">
      <c r="A119" s="39" t="s">
        <v>779</v>
      </c>
      <c r="B119" s="39" t="s">
        <v>780</v>
      </c>
      <c r="C119" s="476">
        <v>735.57</v>
      </c>
      <c r="D119" s="477">
        <v>842.97</v>
      </c>
      <c r="E119" s="476">
        <v>-107.39999999999998</v>
      </c>
    </row>
    <row r="120" spans="1:5">
      <c r="A120" s="39" t="s">
        <v>781</v>
      </c>
      <c r="B120" s="39" t="s">
        <v>782</v>
      </c>
      <c r="C120" s="476">
        <v>624.23</v>
      </c>
      <c r="D120" s="477">
        <v>732.19</v>
      </c>
      <c r="E120" s="476">
        <v>-107.96000000000004</v>
      </c>
    </row>
    <row r="121" spans="1:5">
      <c r="A121" s="39" t="s">
        <v>783</v>
      </c>
      <c r="B121" s="39" t="s">
        <v>784</v>
      </c>
      <c r="C121" s="476">
        <v>752.62</v>
      </c>
      <c r="D121" s="477">
        <v>788.22</v>
      </c>
      <c r="E121" s="476">
        <v>-35.600000000000023</v>
      </c>
    </row>
    <row r="122" spans="1:5">
      <c r="A122" s="39" t="s">
        <v>785</v>
      </c>
      <c r="B122" s="39" t="s">
        <v>786</v>
      </c>
      <c r="C122" s="476">
        <v>9234.14</v>
      </c>
      <c r="D122" s="477">
        <v>11392.6</v>
      </c>
      <c r="E122" s="476">
        <v>-2158.4600000000009</v>
      </c>
    </row>
    <row r="123" spans="1:5">
      <c r="A123" s="39" t="s">
        <v>787</v>
      </c>
      <c r="B123" s="39" t="s">
        <v>788</v>
      </c>
      <c r="C123" s="476">
        <v>310.62</v>
      </c>
      <c r="D123" s="477">
        <v>420.32</v>
      </c>
      <c r="E123" s="476">
        <v>-109.69999999999999</v>
      </c>
    </row>
    <row r="124" spans="1:5">
      <c r="A124" s="39" t="s">
        <v>789</v>
      </c>
      <c r="B124" s="39" t="s">
        <v>790</v>
      </c>
      <c r="C124" s="476">
        <v>1724.44</v>
      </c>
      <c r="D124" s="477">
        <v>2127.56</v>
      </c>
      <c r="E124" s="476">
        <v>-403.11999999999989</v>
      </c>
    </row>
    <row r="125" spans="1:5">
      <c r="A125" s="39" t="s">
        <v>791</v>
      </c>
      <c r="B125" s="39" t="s">
        <v>792</v>
      </c>
      <c r="C125" s="476">
        <v>1873.69</v>
      </c>
      <c r="D125" s="477">
        <v>2207.75</v>
      </c>
      <c r="E125" s="476">
        <v>-334.05999999999995</v>
      </c>
    </row>
    <row r="126" spans="1:5">
      <c r="A126" s="39" t="s">
        <v>793</v>
      </c>
      <c r="B126" s="39" t="s">
        <v>794</v>
      </c>
      <c r="C126" s="476">
        <v>763.43</v>
      </c>
      <c r="D126" s="477">
        <v>923.33</v>
      </c>
      <c r="E126" s="476">
        <v>-159.90000000000009</v>
      </c>
    </row>
    <row r="127" spans="1:5">
      <c r="A127" s="39" t="s">
        <v>795</v>
      </c>
      <c r="B127" s="39" t="s">
        <v>796</v>
      </c>
      <c r="C127" s="476">
        <v>58.74</v>
      </c>
      <c r="D127" s="477">
        <v>72.64</v>
      </c>
      <c r="E127" s="476">
        <v>-13.899999999999999</v>
      </c>
    </row>
    <row r="128" spans="1:5">
      <c r="A128" s="39" t="s">
        <v>797</v>
      </c>
      <c r="B128" s="39" t="s">
        <v>798</v>
      </c>
      <c r="C128" s="476">
        <v>5650.18</v>
      </c>
      <c r="D128" s="477">
        <v>6700.76</v>
      </c>
      <c r="E128" s="476">
        <v>-1050.58</v>
      </c>
    </row>
    <row r="129" spans="1:5">
      <c r="A129" s="39" t="s">
        <v>799</v>
      </c>
      <c r="B129" s="39" t="s">
        <v>800</v>
      </c>
      <c r="C129" s="476">
        <v>1471.32</v>
      </c>
      <c r="D129" s="477">
        <v>1727.09</v>
      </c>
      <c r="E129" s="476">
        <v>-255.76999999999998</v>
      </c>
    </row>
    <row r="130" spans="1:5">
      <c r="A130" s="39" t="s">
        <v>801</v>
      </c>
      <c r="B130" s="39" t="s">
        <v>802</v>
      </c>
      <c r="C130" s="476">
        <v>432.44</v>
      </c>
      <c r="D130" s="477">
        <v>502.05</v>
      </c>
      <c r="E130" s="476">
        <v>-69.610000000000014</v>
      </c>
    </row>
    <row r="131" spans="1:5">
      <c r="A131" s="39" t="s">
        <v>803</v>
      </c>
      <c r="B131" s="39" t="s">
        <v>804</v>
      </c>
      <c r="C131" s="476">
        <v>8437.92</v>
      </c>
      <c r="D131" s="477">
        <v>10346.14</v>
      </c>
      <c r="E131" s="476">
        <v>-1908.2199999999993</v>
      </c>
    </row>
    <row r="132" spans="1:5">
      <c r="A132" s="39" t="s">
        <v>805</v>
      </c>
      <c r="B132" s="39" t="s">
        <v>806</v>
      </c>
      <c r="C132" s="476">
        <v>643.95000000000005</v>
      </c>
      <c r="D132" s="477">
        <v>760.85</v>
      </c>
      <c r="E132" s="476">
        <v>-116.89999999999998</v>
      </c>
    </row>
    <row r="133" spans="1:5">
      <c r="A133" s="39" t="s">
        <v>807</v>
      </c>
      <c r="B133" s="39" t="s">
        <v>808</v>
      </c>
      <c r="C133" s="476">
        <v>826.87</v>
      </c>
      <c r="D133" s="477">
        <v>1002.37</v>
      </c>
      <c r="E133" s="476">
        <v>-175.5</v>
      </c>
    </row>
    <row r="134" spans="1:5">
      <c r="A134" s="39" t="s">
        <v>809</v>
      </c>
      <c r="B134" s="39" t="s">
        <v>810</v>
      </c>
      <c r="C134" s="476">
        <v>1547.71</v>
      </c>
      <c r="D134" s="477">
        <v>1876.68</v>
      </c>
      <c r="E134" s="476">
        <v>-328.97</v>
      </c>
    </row>
    <row r="135" spans="1:5">
      <c r="A135" s="39" t="s">
        <v>811</v>
      </c>
      <c r="B135" s="39" t="s">
        <v>812</v>
      </c>
      <c r="C135" s="476">
        <v>71.599999999999994</v>
      </c>
      <c r="D135" s="477">
        <v>96</v>
      </c>
      <c r="E135" s="476">
        <v>-24.400000000000006</v>
      </c>
    </row>
    <row r="136" spans="1:5">
      <c r="A136" s="39" t="s">
        <v>813</v>
      </c>
      <c r="B136" s="39" t="s">
        <v>814</v>
      </c>
      <c r="C136" s="476">
        <v>6536.76</v>
      </c>
      <c r="D136" s="477">
        <v>7690.62</v>
      </c>
      <c r="E136" s="476">
        <v>-1153.8599999999997</v>
      </c>
    </row>
    <row r="137" spans="1:5">
      <c r="A137" s="39" t="s">
        <v>815</v>
      </c>
      <c r="B137" s="39" t="s">
        <v>816</v>
      </c>
      <c r="C137" s="476">
        <v>464.16</v>
      </c>
      <c r="D137" s="477">
        <v>565.05999999999995</v>
      </c>
      <c r="E137" s="476">
        <v>-100.89999999999992</v>
      </c>
    </row>
    <row r="138" spans="1:5">
      <c r="A138" s="39" t="s">
        <v>817</v>
      </c>
      <c r="B138" s="39" t="s">
        <v>818</v>
      </c>
      <c r="C138" s="476">
        <v>15203.45</v>
      </c>
      <c r="D138" s="477">
        <v>18642.41</v>
      </c>
      <c r="E138" s="476">
        <v>-3438.9599999999991</v>
      </c>
    </row>
    <row r="139" spans="1:5">
      <c r="A139" s="39" t="s">
        <v>819</v>
      </c>
      <c r="B139" s="39" t="s">
        <v>820</v>
      </c>
      <c r="C139" s="476">
        <v>1296.24</v>
      </c>
      <c r="D139" s="477">
        <v>1542.07</v>
      </c>
      <c r="E139" s="476">
        <v>-245.82999999999993</v>
      </c>
    </row>
    <row r="140" spans="1:5">
      <c r="A140" s="39" t="s">
        <v>821</v>
      </c>
      <c r="B140" s="39" t="s">
        <v>822</v>
      </c>
      <c r="C140" s="476">
        <v>820.8</v>
      </c>
      <c r="D140" s="477">
        <v>987.1</v>
      </c>
      <c r="E140" s="476">
        <v>-166.30000000000007</v>
      </c>
    </row>
    <row r="141" spans="1:5">
      <c r="A141" s="39" t="s">
        <v>823</v>
      </c>
      <c r="B141" s="39" t="s">
        <v>824</v>
      </c>
      <c r="C141" s="476">
        <v>315.55</v>
      </c>
      <c r="D141" s="477">
        <v>379.35</v>
      </c>
      <c r="E141" s="476">
        <v>-63.800000000000011</v>
      </c>
    </row>
    <row r="142" spans="1:5">
      <c r="A142" s="39" t="s">
        <v>825</v>
      </c>
      <c r="B142" s="39" t="s">
        <v>826</v>
      </c>
      <c r="C142" s="476">
        <v>176.8</v>
      </c>
      <c r="D142" s="477">
        <v>212.8</v>
      </c>
      <c r="E142" s="476">
        <v>-36</v>
      </c>
    </row>
    <row r="143" spans="1:5">
      <c r="A143" s="39" t="s">
        <v>827</v>
      </c>
      <c r="B143" s="39" t="s">
        <v>828</v>
      </c>
      <c r="C143" s="476">
        <v>1164.1099999999999</v>
      </c>
      <c r="D143" s="477">
        <v>1384.45</v>
      </c>
      <c r="E143" s="476">
        <v>-220.34000000000015</v>
      </c>
    </row>
    <row r="144" spans="1:5">
      <c r="A144" s="39" t="s">
        <v>829</v>
      </c>
      <c r="B144" s="39" t="s">
        <v>830</v>
      </c>
      <c r="C144" s="476">
        <v>1410.43</v>
      </c>
      <c r="D144" s="477">
        <v>1636.33</v>
      </c>
      <c r="E144" s="476">
        <v>-225.89999999999986</v>
      </c>
    </row>
    <row r="145" spans="1:5">
      <c r="A145" s="39" t="s">
        <v>831</v>
      </c>
      <c r="B145" s="39" t="s">
        <v>832</v>
      </c>
      <c r="C145" s="476">
        <v>624.21</v>
      </c>
      <c r="D145" s="477">
        <v>739.24</v>
      </c>
      <c r="E145" s="476">
        <v>-115.02999999999997</v>
      </c>
    </row>
    <row r="146" spans="1:5">
      <c r="A146" s="39" t="s">
        <v>833</v>
      </c>
      <c r="B146" s="39" t="s">
        <v>834</v>
      </c>
      <c r="C146" s="476">
        <v>2028.2</v>
      </c>
      <c r="D146" s="477">
        <v>2425.0700000000002</v>
      </c>
      <c r="E146" s="476">
        <v>-396.87000000000012</v>
      </c>
    </row>
    <row r="147" spans="1:5">
      <c r="A147" s="39" t="s">
        <v>835</v>
      </c>
      <c r="B147" s="39" t="s">
        <v>836</v>
      </c>
      <c r="C147" s="476">
        <v>52.15</v>
      </c>
      <c r="D147" s="477">
        <v>59.56</v>
      </c>
      <c r="E147" s="476">
        <v>-7.4100000000000037</v>
      </c>
    </row>
    <row r="148" spans="1:5">
      <c r="A148" s="39" t="s">
        <v>837</v>
      </c>
      <c r="B148" s="39" t="s">
        <v>838</v>
      </c>
      <c r="C148" s="476">
        <v>14877.15</v>
      </c>
      <c r="D148" s="477">
        <v>18103.88</v>
      </c>
      <c r="E148" s="476">
        <v>-3226.7300000000014</v>
      </c>
    </row>
    <row r="149" spans="1:5">
      <c r="A149" s="39" t="s">
        <v>839</v>
      </c>
      <c r="B149" s="39" t="s">
        <v>840</v>
      </c>
      <c r="C149" s="476">
        <v>268.27999999999997</v>
      </c>
      <c r="D149" s="477">
        <v>301.77999999999997</v>
      </c>
      <c r="E149" s="476">
        <v>-33.5</v>
      </c>
    </row>
    <row r="150" spans="1:5">
      <c r="A150" s="39" t="s">
        <v>841</v>
      </c>
      <c r="B150" s="39" t="s">
        <v>842</v>
      </c>
      <c r="C150" s="476">
        <v>22137.360000000001</v>
      </c>
      <c r="D150" s="477">
        <v>26892.47</v>
      </c>
      <c r="E150" s="476">
        <v>-4755.1100000000006</v>
      </c>
    </row>
    <row r="151" spans="1:5">
      <c r="A151" s="39" t="s">
        <v>843</v>
      </c>
      <c r="B151" s="39" t="s">
        <v>844</v>
      </c>
      <c r="C151" s="476">
        <v>5470.1</v>
      </c>
      <c r="D151" s="477">
        <v>6656.61</v>
      </c>
      <c r="E151" s="476">
        <v>-1186.5099999999993</v>
      </c>
    </row>
    <row r="152" spans="1:5">
      <c r="A152" s="39" t="s">
        <v>845</v>
      </c>
      <c r="B152" s="39" t="s">
        <v>846</v>
      </c>
      <c r="C152" s="476">
        <v>146.22</v>
      </c>
      <c r="D152" s="477">
        <v>166.74</v>
      </c>
      <c r="E152" s="476">
        <v>-20.52000000000001</v>
      </c>
    </row>
    <row r="153" spans="1:5">
      <c r="A153" s="39" t="s">
        <v>847</v>
      </c>
      <c r="B153" s="39" t="s">
        <v>848</v>
      </c>
      <c r="C153" s="476">
        <v>321.89</v>
      </c>
      <c r="D153" s="477">
        <v>376.59</v>
      </c>
      <c r="E153" s="476">
        <v>-54.699999999999989</v>
      </c>
    </row>
    <row r="154" spans="1:5">
      <c r="A154" s="39" t="s">
        <v>849</v>
      </c>
      <c r="B154" s="39" t="s">
        <v>850</v>
      </c>
      <c r="C154" s="476">
        <v>582.44000000000005</v>
      </c>
      <c r="D154" s="477">
        <v>702.64</v>
      </c>
      <c r="E154" s="476">
        <v>-120.19999999999993</v>
      </c>
    </row>
    <row r="155" spans="1:5">
      <c r="A155" s="39" t="s">
        <v>851</v>
      </c>
      <c r="B155" s="39" t="s">
        <v>852</v>
      </c>
      <c r="C155" s="476">
        <v>1070.04</v>
      </c>
      <c r="D155" s="477">
        <v>1254.44</v>
      </c>
      <c r="E155" s="476">
        <v>-184.40000000000009</v>
      </c>
    </row>
    <row r="156" spans="1:5">
      <c r="A156" s="39" t="s">
        <v>853</v>
      </c>
      <c r="B156" s="39" t="s">
        <v>854</v>
      </c>
      <c r="C156" s="476">
        <v>9532.85</v>
      </c>
      <c r="D156" s="477">
        <v>11324.45</v>
      </c>
      <c r="E156" s="476">
        <v>-1791.6000000000004</v>
      </c>
    </row>
    <row r="157" spans="1:5">
      <c r="A157" s="39" t="s">
        <v>855</v>
      </c>
      <c r="B157" s="39" t="s">
        <v>856</v>
      </c>
      <c r="C157" s="476">
        <v>5974.26</v>
      </c>
      <c r="D157" s="477">
        <v>6329.74</v>
      </c>
      <c r="E157" s="476">
        <v>-355.47999999999956</v>
      </c>
    </row>
    <row r="158" spans="1:5">
      <c r="A158" s="39" t="s">
        <v>857</v>
      </c>
      <c r="B158" s="39" t="s">
        <v>858</v>
      </c>
      <c r="C158" s="476">
        <v>41.1</v>
      </c>
      <c r="D158" s="477">
        <v>53.5</v>
      </c>
      <c r="E158" s="476">
        <v>-12.399999999999999</v>
      </c>
    </row>
    <row r="159" spans="1:5">
      <c r="A159" s="39" t="s">
        <v>859</v>
      </c>
      <c r="B159" s="39" t="s">
        <v>860</v>
      </c>
      <c r="C159" s="476">
        <v>777.27</v>
      </c>
      <c r="D159" s="477">
        <v>882.48</v>
      </c>
      <c r="E159" s="476">
        <v>-105.21000000000004</v>
      </c>
    </row>
    <row r="160" spans="1:5">
      <c r="A160" s="39" t="s">
        <v>861</v>
      </c>
      <c r="B160" s="39" t="s">
        <v>862</v>
      </c>
      <c r="C160" s="476">
        <v>43.06</v>
      </c>
      <c r="D160" s="477">
        <v>59.06</v>
      </c>
      <c r="E160" s="476">
        <v>-16</v>
      </c>
    </row>
    <row r="161" spans="1:5">
      <c r="A161" s="39" t="s">
        <v>863</v>
      </c>
      <c r="B161" s="39" t="s">
        <v>864</v>
      </c>
      <c r="C161" s="476">
        <v>108</v>
      </c>
      <c r="D161" s="477">
        <v>148.9</v>
      </c>
      <c r="E161" s="476">
        <v>-40.900000000000006</v>
      </c>
    </row>
    <row r="162" spans="1:5">
      <c r="A162" s="39" t="s">
        <v>865</v>
      </c>
      <c r="B162" s="39" t="s">
        <v>866</v>
      </c>
      <c r="C162" s="476">
        <v>511.56</v>
      </c>
      <c r="D162" s="477">
        <v>624.95000000000005</v>
      </c>
      <c r="E162" s="476">
        <v>-113.39000000000004</v>
      </c>
    </row>
    <row r="163" spans="1:5">
      <c r="A163" s="39" t="s">
        <v>867</v>
      </c>
      <c r="B163" s="39" t="s">
        <v>868</v>
      </c>
      <c r="C163" s="476">
        <v>2787.7</v>
      </c>
      <c r="D163" s="477">
        <v>3433.04</v>
      </c>
      <c r="E163" s="476">
        <v>-645.34000000000015</v>
      </c>
    </row>
    <row r="164" spans="1:5">
      <c r="A164" s="39" t="s">
        <v>869</v>
      </c>
      <c r="B164" s="39" t="s">
        <v>870</v>
      </c>
      <c r="C164" s="476">
        <v>4536.3500000000004</v>
      </c>
      <c r="D164" s="477">
        <v>5421.58</v>
      </c>
      <c r="E164" s="476">
        <v>-885.22999999999956</v>
      </c>
    </row>
    <row r="165" spans="1:5">
      <c r="A165" s="39" t="s">
        <v>871</v>
      </c>
      <c r="B165" s="39" t="s">
        <v>872</v>
      </c>
      <c r="C165" s="476">
        <v>31.1</v>
      </c>
      <c r="D165" s="477">
        <v>40.700000000000003</v>
      </c>
      <c r="E165" s="476">
        <v>-9.6000000000000014</v>
      </c>
    </row>
    <row r="166" spans="1:5">
      <c r="A166" s="39" t="s">
        <v>873</v>
      </c>
      <c r="B166" s="39" t="s">
        <v>874</v>
      </c>
      <c r="C166" s="476">
        <v>177.95</v>
      </c>
      <c r="D166" s="477">
        <v>205.35</v>
      </c>
      <c r="E166" s="476">
        <v>-27.400000000000006</v>
      </c>
    </row>
    <row r="167" spans="1:5">
      <c r="A167" s="39" t="s">
        <v>875</v>
      </c>
      <c r="B167" s="39" t="s">
        <v>876</v>
      </c>
      <c r="C167" s="476">
        <v>147.32</v>
      </c>
      <c r="D167" s="477">
        <v>206.12</v>
      </c>
      <c r="E167" s="476">
        <v>-58.800000000000011</v>
      </c>
    </row>
    <row r="168" spans="1:5">
      <c r="A168" s="39" t="s">
        <v>877</v>
      </c>
      <c r="B168" s="39" t="s">
        <v>878</v>
      </c>
      <c r="C168" s="476">
        <v>18281.419999999998</v>
      </c>
      <c r="D168" s="477">
        <v>22317.93</v>
      </c>
      <c r="E168" s="476">
        <v>-4036.510000000002</v>
      </c>
    </row>
    <row r="169" spans="1:5">
      <c r="A169" s="39" t="s">
        <v>879</v>
      </c>
      <c r="B169" s="39" t="s">
        <v>880</v>
      </c>
      <c r="C169" s="476">
        <v>231.13</v>
      </c>
      <c r="D169" s="477">
        <v>283.13</v>
      </c>
      <c r="E169" s="476">
        <v>-52</v>
      </c>
    </row>
    <row r="170" spans="1:5">
      <c r="A170" s="39" t="s">
        <v>881</v>
      </c>
      <c r="B170" s="39" t="s">
        <v>882</v>
      </c>
      <c r="C170" s="476">
        <v>136</v>
      </c>
      <c r="D170" s="477">
        <v>181.6</v>
      </c>
      <c r="E170" s="476">
        <v>-45.599999999999994</v>
      </c>
    </row>
    <row r="171" spans="1:5">
      <c r="A171" s="39" t="s">
        <v>883</v>
      </c>
      <c r="B171" s="39" t="s">
        <v>884</v>
      </c>
      <c r="C171" s="476">
        <v>280.22000000000003</v>
      </c>
      <c r="D171" s="477">
        <v>311.72000000000003</v>
      </c>
      <c r="E171" s="476">
        <v>-31.5</v>
      </c>
    </row>
    <row r="172" spans="1:5">
      <c r="A172" s="39" t="s">
        <v>885</v>
      </c>
      <c r="B172" s="39" t="s">
        <v>886</v>
      </c>
      <c r="C172" s="476">
        <v>8745.86</v>
      </c>
      <c r="D172" s="477">
        <v>10531.64</v>
      </c>
      <c r="E172" s="476">
        <v>-1785.7799999999988</v>
      </c>
    </row>
    <row r="173" spans="1:5">
      <c r="A173" s="39" t="s">
        <v>887</v>
      </c>
      <c r="B173" s="39" t="s">
        <v>888</v>
      </c>
      <c r="C173" s="476">
        <v>720.55</v>
      </c>
      <c r="D173" s="477">
        <v>957.44</v>
      </c>
      <c r="E173" s="476">
        <v>-236.8900000000001</v>
      </c>
    </row>
    <row r="174" spans="1:5">
      <c r="A174" s="39" t="s">
        <v>889</v>
      </c>
      <c r="B174" s="39" t="s">
        <v>890</v>
      </c>
      <c r="C174" s="476">
        <v>339.77</v>
      </c>
      <c r="D174" s="477">
        <v>405.07</v>
      </c>
      <c r="E174" s="476">
        <v>-65.300000000000011</v>
      </c>
    </row>
    <row r="175" spans="1:5">
      <c r="A175" s="39" t="s">
        <v>891</v>
      </c>
      <c r="B175" s="39" t="s">
        <v>892</v>
      </c>
      <c r="C175" s="476">
        <v>3417.58</v>
      </c>
      <c r="D175" s="477">
        <v>4108.3999999999996</v>
      </c>
      <c r="E175" s="476">
        <v>-690.81999999999971</v>
      </c>
    </row>
    <row r="176" spans="1:5">
      <c r="A176" s="39" t="s">
        <v>893</v>
      </c>
      <c r="B176" s="39" t="s">
        <v>894</v>
      </c>
      <c r="C176" s="476">
        <v>1249.5899999999999</v>
      </c>
      <c r="D176" s="477">
        <v>1460.03</v>
      </c>
      <c r="E176" s="476">
        <v>-210.44000000000005</v>
      </c>
    </row>
    <row r="177" spans="1:5">
      <c r="A177" s="39" t="s">
        <v>895</v>
      </c>
      <c r="B177" s="39" t="s">
        <v>896</v>
      </c>
      <c r="C177" s="476">
        <v>2466.66</v>
      </c>
      <c r="D177" s="477">
        <v>2897.65</v>
      </c>
      <c r="E177" s="476">
        <v>-430.99000000000024</v>
      </c>
    </row>
    <row r="178" spans="1:5">
      <c r="A178" s="39" t="s">
        <v>897</v>
      </c>
      <c r="B178" s="39" t="s">
        <v>898</v>
      </c>
      <c r="C178" s="476">
        <v>2646.63</v>
      </c>
      <c r="D178" s="477">
        <v>3291.55</v>
      </c>
      <c r="E178" s="476">
        <v>-644.92000000000007</v>
      </c>
    </row>
    <row r="179" spans="1:5">
      <c r="A179" s="39" t="s">
        <v>899</v>
      </c>
      <c r="B179" s="39" t="s">
        <v>900</v>
      </c>
      <c r="C179" s="476">
        <v>23099.26</v>
      </c>
      <c r="D179" s="477">
        <v>27987.8</v>
      </c>
      <c r="E179" s="476">
        <v>-4888.5400000000009</v>
      </c>
    </row>
    <row r="180" spans="1:5">
      <c r="A180" s="39" t="s">
        <v>901</v>
      </c>
      <c r="B180" s="39" t="s">
        <v>902</v>
      </c>
      <c r="C180" s="476">
        <v>661.96</v>
      </c>
      <c r="D180" s="477">
        <v>693.36</v>
      </c>
      <c r="E180" s="476">
        <v>-31.399999999999977</v>
      </c>
    </row>
    <row r="181" spans="1:5">
      <c r="A181" s="39" t="s">
        <v>903</v>
      </c>
      <c r="B181" s="39" t="s">
        <v>904</v>
      </c>
      <c r="C181" s="476">
        <v>109.78</v>
      </c>
      <c r="D181" s="477">
        <v>133.88</v>
      </c>
      <c r="E181" s="476">
        <v>-24.099999999999994</v>
      </c>
    </row>
    <row r="182" spans="1:5">
      <c r="A182" s="39" t="s">
        <v>905</v>
      </c>
      <c r="B182" s="39" t="s">
        <v>906</v>
      </c>
      <c r="C182" s="476">
        <v>3996.5</v>
      </c>
      <c r="D182" s="477">
        <v>4187.45</v>
      </c>
      <c r="E182" s="476">
        <v>-190.94999999999982</v>
      </c>
    </row>
    <row r="183" spans="1:5">
      <c r="A183" s="39" t="s">
        <v>907</v>
      </c>
      <c r="B183" s="39" t="s">
        <v>908</v>
      </c>
      <c r="C183" s="476">
        <v>3233.12</v>
      </c>
      <c r="D183" s="477">
        <v>3866.81</v>
      </c>
      <c r="E183" s="476">
        <v>-633.69000000000005</v>
      </c>
    </row>
    <row r="184" spans="1:5">
      <c r="A184" s="39" t="s">
        <v>909</v>
      </c>
      <c r="B184" s="39" t="s">
        <v>910</v>
      </c>
      <c r="C184" s="476">
        <v>963.37</v>
      </c>
      <c r="D184" s="477">
        <v>1182.9000000000001</v>
      </c>
      <c r="E184" s="476">
        <v>-219.53000000000009</v>
      </c>
    </row>
    <row r="185" spans="1:5">
      <c r="A185" s="39" t="s">
        <v>911</v>
      </c>
      <c r="B185" s="39" t="s">
        <v>912</v>
      </c>
      <c r="C185" s="476">
        <v>481.78</v>
      </c>
      <c r="D185" s="477">
        <v>547.48</v>
      </c>
      <c r="E185" s="476">
        <v>-65.700000000000045</v>
      </c>
    </row>
    <row r="186" spans="1:5">
      <c r="A186" s="39" t="s">
        <v>913</v>
      </c>
      <c r="B186" s="39" t="s">
        <v>914</v>
      </c>
      <c r="C186" s="476">
        <v>14397.61</v>
      </c>
      <c r="D186" s="477">
        <v>17355.38</v>
      </c>
      <c r="E186" s="476">
        <v>-2957.7700000000004</v>
      </c>
    </row>
    <row r="187" spans="1:5">
      <c r="A187" s="39" t="s">
        <v>915</v>
      </c>
      <c r="B187" s="39" t="s">
        <v>916</v>
      </c>
      <c r="C187" s="476">
        <v>516.26</v>
      </c>
      <c r="D187" s="477">
        <v>590.07000000000005</v>
      </c>
      <c r="E187" s="476">
        <v>-73.810000000000059</v>
      </c>
    </row>
    <row r="188" spans="1:5">
      <c r="A188" s="39" t="s">
        <v>917</v>
      </c>
      <c r="B188" s="39" t="s">
        <v>918</v>
      </c>
      <c r="C188" s="476">
        <v>13856.77</v>
      </c>
      <c r="D188" s="477">
        <v>16681.990000000002</v>
      </c>
      <c r="E188" s="476">
        <v>-2825.2200000000012</v>
      </c>
    </row>
    <row r="189" spans="1:5">
      <c r="A189" s="39" t="s">
        <v>919</v>
      </c>
      <c r="B189" s="39" t="s">
        <v>920</v>
      </c>
      <c r="C189" s="476">
        <v>4155.03</v>
      </c>
      <c r="D189" s="477">
        <v>5033.1000000000004</v>
      </c>
      <c r="E189" s="476">
        <v>-878.07000000000062</v>
      </c>
    </row>
    <row r="190" spans="1:5">
      <c r="A190" s="39" t="s">
        <v>921</v>
      </c>
      <c r="B190" s="39" t="s">
        <v>922</v>
      </c>
      <c r="C190" s="476">
        <v>393.98</v>
      </c>
      <c r="D190" s="477">
        <v>456.78</v>
      </c>
      <c r="E190" s="476">
        <v>-62.799999999999955</v>
      </c>
    </row>
    <row r="191" spans="1:5">
      <c r="A191" s="39" t="s">
        <v>923</v>
      </c>
      <c r="B191" s="39" t="s">
        <v>924</v>
      </c>
      <c r="C191" s="476">
        <v>1462.1</v>
      </c>
      <c r="D191" s="477">
        <v>1780.56</v>
      </c>
      <c r="E191" s="476">
        <v>-318.46000000000004</v>
      </c>
    </row>
    <row r="192" spans="1:5">
      <c r="A192" s="39" t="s">
        <v>925</v>
      </c>
      <c r="B192" s="39" t="s">
        <v>926</v>
      </c>
      <c r="C192" s="476">
        <v>2959.54</v>
      </c>
      <c r="D192" s="477">
        <v>3617.87</v>
      </c>
      <c r="E192" s="476">
        <v>-658.32999999999993</v>
      </c>
    </row>
    <row r="193" spans="1:5">
      <c r="A193" s="39" t="s">
        <v>927</v>
      </c>
      <c r="B193" s="39" t="s">
        <v>928</v>
      </c>
      <c r="C193" s="476">
        <v>2102.19</v>
      </c>
      <c r="D193" s="477">
        <v>2534.2399999999998</v>
      </c>
      <c r="E193" s="476">
        <v>-432.04999999999973</v>
      </c>
    </row>
    <row r="194" spans="1:5">
      <c r="A194" s="39" t="s">
        <v>929</v>
      </c>
      <c r="B194" s="39" t="s">
        <v>930</v>
      </c>
      <c r="C194" s="476">
        <v>799.14</v>
      </c>
      <c r="D194" s="477">
        <v>928.24</v>
      </c>
      <c r="E194" s="476">
        <v>-129.10000000000002</v>
      </c>
    </row>
    <row r="195" spans="1:5">
      <c r="A195" s="39" t="s">
        <v>931</v>
      </c>
      <c r="B195" s="39" t="s">
        <v>932</v>
      </c>
      <c r="C195" s="476">
        <v>62.3</v>
      </c>
      <c r="D195" s="477">
        <v>88</v>
      </c>
      <c r="E195" s="476">
        <v>-25.700000000000003</v>
      </c>
    </row>
    <row r="196" spans="1:5">
      <c r="A196" s="39" t="s">
        <v>933</v>
      </c>
      <c r="B196" s="39" t="s">
        <v>934</v>
      </c>
      <c r="C196" s="476">
        <v>49853.77</v>
      </c>
      <c r="D196" s="477">
        <v>61527.62</v>
      </c>
      <c r="E196" s="476">
        <v>-11673.850000000006</v>
      </c>
    </row>
    <row r="197" spans="1:5">
      <c r="A197" s="39" t="s">
        <v>935</v>
      </c>
      <c r="B197" s="39" t="s">
        <v>936</v>
      </c>
      <c r="C197" s="476">
        <v>4424.26</v>
      </c>
      <c r="D197" s="477">
        <v>5283.43</v>
      </c>
      <c r="E197" s="476">
        <v>-859.17000000000007</v>
      </c>
    </row>
    <row r="198" spans="1:5">
      <c r="A198" s="39" t="s">
        <v>937</v>
      </c>
      <c r="B198" s="39" t="s">
        <v>938</v>
      </c>
      <c r="C198" s="476">
        <v>3640.85</v>
      </c>
      <c r="D198" s="477">
        <v>4377.53</v>
      </c>
      <c r="E198" s="476">
        <v>-736.67999999999984</v>
      </c>
    </row>
    <row r="199" spans="1:5">
      <c r="A199" s="39" t="s">
        <v>939</v>
      </c>
      <c r="B199" s="39" t="s">
        <v>940</v>
      </c>
      <c r="C199" s="476">
        <v>255.8</v>
      </c>
      <c r="D199" s="477">
        <v>306.2</v>
      </c>
      <c r="E199" s="476">
        <v>-50.399999999999977</v>
      </c>
    </row>
    <row r="200" spans="1:5">
      <c r="A200" s="39" t="s">
        <v>941</v>
      </c>
      <c r="B200" s="39" t="s">
        <v>942</v>
      </c>
      <c r="C200" s="476">
        <v>2565.83</v>
      </c>
      <c r="D200" s="477">
        <v>3089.21</v>
      </c>
      <c r="E200" s="476">
        <v>-523.38000000000011</v>
      </c>
    </row>
    <row r="201" spans="1:5">
      <c r="A201" s="39" t="s">
        <v>943</v>
      </c>
      <c r="B201" s="39" t="s">
        <v>944</v>
      </c>
      <c r="C201" s="476">
        <v>4341.13</v>
      </c>
      <c r="D201" s="477">
        <v>5248</v>
      </c>
      <c r="E201" s="476">
        <v>-906.86999999999989</v>
      </c>
    </row>
    <row r="202" spans="1:5">
      <c r="A202" s="39" t="s">
        <v>945</v>
      </c>
      <c r="B202" s="39" t="s">
        <v>946</v>
      </c>
      <c r="C202" s="476">
        <v>9239.7199999999993</v>
      </c>
      <c r="D202" s="477">
        <v>11204.16</v>
      </c>
      <c r="E202" s="476">
        <v>-1964.4400000000005</v>
      </c>
    </row>
    <row r="203" spans="1:5">
      <c r="A203" s="39" t="s">
        <v>947</v>
      </c>
      <c r="B203" s="39" t="s">
        <v>948</v>
      </c>
      <c r="C203" s="476">
        <v>109.7</v>
      </c>
      <c r="D203" s="477">
        <v>139.6</v>
      </c>
      <c r="E203" s="476">
        <v>-29.899999999999991</v>
      </c>
    </row>
    <row r="204" spans="1:5">
      <c r="A204" s="39" t="s">
        <v>949</v>
      </c>
      <c r="B204" s="39" t="s">
        <v>950</v>
      </c>
      <c r="C204" s="476">
        <v>40.56</v>
      </c>
      <c r="D204" s="477">
        <v>48.86</v>
      </c>
      <c r="E204" s="476">
        <v>-8.2999999999999972</v>
      </c>
    </row>
    <row r="205" spans="1:5">
      <c r="A205" s="39" t="s">
        <v>951</v>
      </c>
      <c r="B205" s="39" t="s">
        <v>952</v>
      </c>
      <c r="C205" s="476">
        <v>9564.1</v>
      </c>
      <c r="D205" s="477">
        <v>11554.67</v>
      </c>
      <c r="E205" s="476">
        <v>-1990.5699999999997</v>
      </c>
    </row>
    <row r="206" spans="1:5">
      <c r="A206" s="39" t="s">
        <v>953</v>
      </c>
      <c r="B206" s="39" t="s">
        <v>954</v>
      </c>
      <c r="C206" s="476">
        <v>7042.07</v>
      </c>
      <c r="D206" s="477">
        <v>8575.86</v>
      </c>
      <c r="E206" s="476">
        <v>-1533.7900000000009</v>
      </c>
    </row>
    <row r="207" spans="1:5">
      <c r="A207" s="39" t="s">
        <v>955</v>
      </c>
      <c r="B207" s="39" t="s">
        <v>956</v>
      </c>
      <c r="C207" s="476">
        <v>546.37</v>
      </c>
      <c r="D207" s="477">
        <v>635.26</v>
      </c>
      <c r="E207" s="476">
        <v>-88.889999999999986</v>
      </c>
    </row>
    <row r="208" spans="1:5">
      <c r="A208" s="39" t="s">
        <v>957</v>
      </c>
      <c r="B208" s="39" t="s">
        <v>958</v>
      </c>
      <c r="C208" s="476">
        <v>1378.77</v>
      </c>
      <c r="D208" s="477">
        <v>1494.07</v>
      </c>
      <c r="E208" s="476">
        <v>-115.29999999999995</v>
      </c>
    </row>
    <row r="209" spans="1:5">
      <c r="A209" s="39" t="s">
        <v>959</v>
      </c>
      <c r="B209" s="39" t="s">
        <v>960</v>
      </c>
      <c r="C209" s="476">
        <v>9164.24</v>
      </c>
      <c r="D209" s="477">
        <v>11314.38</v>
      </c>
      <c r="E209" s="476">
        <v>-2150.1399999999994</v>
      </c>
    </row>
    <row r="210" spans="1:5">
      <c r="A210" s="39" t="s">
        <v>961</v>
      </c>
      <c r="B210" s="39" t="s">
        <v>962</v>
      </c>
      <c r="C210" s="476">
        <v>1186.79</v>
      </c>
      <c r="D210" s="477">
        <v>1384.86</v>
      </c>
      <c r="E210" s="476">
        <v>-198.06999999999994</v>
      </c>
    </row>
    <row r="211" spans="1:5">
      <c r="A211" s="39" t="s">
        <v>963</v>
      </c>
      <c r="B211" s="39" t="s">
        <v>964</v>
      </c>
      <c r="C211" s="476">
        <v>209.8</v>
      </c>
      <c r="D211" s="477">
        <v>291.10000000000002</v>
      </c>
      <c r="E211" s="476">
        <v>-81.300000000000011</v>
      </c>
    </row>
    <row r="212" spans="1:5">
      <c r="A212" s="39" t="s">
        <v>965</v>
      </c>
      <c r="B212" s="39" t="s">
        <v>966</v>
      </c>
      <c r="C212" s="476">
        <v>826.19</v>
      </c>
      <c r="D212" s="477">
        <v>1080.99</v>
      </c>
      <c r="E212" s="476">
        <v>-254.79999999999995</v>
      </c>
    </row>
    <row r="213" spans="1:5">
      <c r="A213" s="39" t="s">
        <v>967</v>
      </c>
      <c r="B213" s="39" t="s">
        <v>968</v>
      </c>
      <c r="C213" s="476">
        <v>28788.32</v>
      </c>
      <c r="D213" s="477">
        <v>35093.42</v>
      </c>
      <c r="E213" s="476">
        <v>-6305.0999999999985</v>
      </c>
    </row>
    <row r="214" spans="1:5">
      <c r="A214" s="39" t="s">
        <v>969</v>
      </c>
      <c r="B214" s="39" t="s">
        <v>970</v>
      </c>
      <c r="C214" s="476">
        <v>47.55</v>
      </c>
      <c r="D214" s="477">
        <v>63.75</v>
      </c>
      <c r="E214" s="476">
        <v>-16.200000000000003</v>
      </c>
    </row>
    <row r="215" spans="1:5">
      <c r="A215" s="39" t="s">
        <v>971</v>
      </c>
      <c r="B215" s="39" t="s">
        <v>972</v>
      </c>
      <c r="C215" s="476">
        <v>153.25</v>
      </c>
      <c r="D215" s="477">
        <v>187.65</v>
      </c>
      <c r="E215" s="476">
        <v>-34.400000000000006</v>
      </c>
    </row>
    <row r="216" spans="1:5">
      <c r="A216" s="39" t="s">
        <v>973</v>
      </c>
      <c r="B216" s="39" t="s">
        <v>974</v>
      </c>
      <c r="C216" s="476">
        <v>4794.8900000000003</v>
      </c>
      <c r="D216" s="477">
        <v>5780.04</v>
      </c>
      <c r="E216" s="476">
        <v>-985.14999999999964</v>
      </c>
    </row>
    <row r="217" spans="1:5">
      <c r="A217" s="39" t="s">
        <v>975</v>
      </c>
      <c r="B217" s="39" t="s">
        <v>976</v>
      </c>
      <c r="C217" s="476">
        <v>787.4</v>
      </c>
      <c r="D217" s="477">
        <v>791.9</v>
      </c>
      <c r="E217" s="476">
        <v>-4.5</v>
      </c>
    </row>
    <row r="218" spans="1:5">
      <c r="A218" s="39" t="s">
        <v>977</v>
      </c>
      <c r="B218" s="39" t="s">
        <v>978</v>
      </c>
      <c r="C218" s="476">
        <v>3002.43</v>
      </c>
      <c r="D218" s="477">
        <v>3600.21</v>
      </c>
      <c r="E218" s="476">
        <v>-597.7800000000002</v>
      </c>
    </row>
    <row r="219" spans="1:5">
      <c r="A219" s="39" t="s">
        <v>979</v>
      </c>
      <c r="B219" s="39" t="s">
        <v>980</v>
      </c>
      <c r="C219" s="476">
        <v>732.91</v>
      </c>
      <c r="D219" s="477">
        <v>836.95</v>
      </c>
      <c r="E219" s="476">
        <v>-104.04000000000008</v>
      </c>
    </row>
    <row r="220" spans="1:5">
      <c r="A220" s="39" t="s">
        <v>981</v>
      </c>
      <c r="B220" s="39" t="s">
        <v>982</v>
      </c>
      <c r="C220" s="476">
        <v>2156.9</v>
      </c>
      <c r="D220" s="477">
        <v>2596.7800000000002</v>
      </c>
      <c r="E220" s="476">
        <v>-439.88000000000011</v>
      </c>
    </row>
    <row r="221" spans="1:5">
      <c r="A221" s="39" t="s">
        <v>983</v>
      </c>
      <c r="B221" s="39" t="s">
        <v>984</v>
      </c>
      <c r="C221" s="476">
        <v>95.7</v>
      </c>
      <c r="D221" s="477">
        <v>125.1</v>
      </c>
      <c r="E221" s="476">
        <v>-29.399999999999991</v>
      </c>
    </row>
    <row r="222" spans="1:5">
      <c r="A222" s="39" t="s">
        <v>985</v>
      </c>
      <c r="B222" s="39" t="s">
        <v>986</v>
      </c>
      <c r="C222" s="476">
        <v>10489.41</v>
      </c>
      <c r="D222" s="477">
        <v>12731.11</v>
      </c>
      <c r="E222" s="476">
        <v>-2241.7000000000007</v>
      </c>
    </row>
    <row r="223" spans="1:5">
      <c r="A223" s="39" t="s">
        <v>987</v>
      </c>
      <c r="B223" s="39" t="s">
        <v>988</v>
      </c>
      <c r="C223" s="476">
        <v>5985.19</v>
      </c>
      <c r="D223" s="477">
        <v>7215.89</v>
      </c>
      <c r="E223" s="476">
        <v>-1230.7000000000007</v>
      </c>
    </row>
    <row r="224" spans="1:5">
      <c r="A224" s="39" t="s">
        <v>989</v>
      </c>
      <c r="B224" s="39" t="s">
        <v>990</v>
      </c>
      <c r="C224" s="476">
        <v>27779.89</v>
      </c>
      <c r="D224" s="477">
        <v>33282.36</v>
      </c>
      <c r="E224" s="476">
        <v>-5502.4700000000012</v>
      </c>
    </row>
    <row r="225" spans="1:5">
      <c r="A225" s="39" t="s">
        <v>991</v>
      </c>
      <c r="B225" s="39" t="s">
        <v>992</v>
      </c>
      <c r="C225" s="476">
        <v>9017.77</v>
      </c>
      <c r="D225" s="477">
        <v>11004.26</v>
      </c>
      <c r="E225" s="476">
        <v>-1986.4899999999998</v>
      </c>
    </row>
    <row r="226" spans="1:5">
      <c r="A226" s="39" t="s">
        <v>993</v>
      </c>
      <c r="B226" s="39" t="s">
        <v>994</v>
      </c>
      <c r="C226" s="476">
        <v>193.23</v>
      </c>
      <c r="D226" s="477">
        <v>210.9</v>
      </c>
      <c r="E226" s="476">
        <v>-17.670000000000016</v>
      </c>
    </row>
    <row r="227" spans="1:5">
      <c r="A227" s="39" t="s">
        <v>995</v>
      </c>
      <c r="B227" s="39" t="s">
        <v>996</v>
      </c>
      <c r="C227" s="476">
        <v>249.91</v>
      </c>
      <c r="D227" s="477">
        <v>297.77</v>
      </c>
      <c r="E227" s="476">
        <v>-47.859999999999985</v>
      </c>
    </row>
    <row r="228" spans="1:5">
      <c r="A228" s="39" t="s">
        <v>997</v>
      </c>
      <c r="B228" s="39" t="s">
        <v>998</v>
      </c>
      <c r="C228" s="476">
        <v>906.19</v>
      </c>
      <c r="D228" s="477">
        <v>1121.29</v>
      </c>
      <c r="E228" s="476">
        <v>-215.09999999999991</v>
      </c>
    </row>
    <row r="229" spans="1:5">
      <c r="A229" s="39" t="s">
        <v>999</v>
      </c>
      <c r="B229" s="39" t="s">
        <v>1000</v>
      </c>
      <c r="C229" s="476">
        <v>3865.81</v>
      </c>
      <c r="D229" s="477">
        <v>4601.21</v>
      </c>
      <c r="E229" s="476">
        <v>-735.40000000000009</v>
      </c>
    </row>
    <row r="230" spans="1:5">
      <c r="A230" s="39" t="s">
        <v>1001</v>
      </c>
      <c r="B230" s="39" t="s">
        <v>1002</v>
      </c>
      <c r="C230" s="476">
        <v>248.06</v>
      </c>
      <c r="D230" s="477">
        <v>276.92</v>
      </c>
      <c r="E230" s="476">
        <v>-28.860000000000014</v>
      </c>
    </row>
    <row r="231" spans="1:5">
      <c r="A231" s="39" t="s">
        <v>1003</v>
      </c>
      <c r="B231" s="39" t="s">
        <v>1004</v>
      </c>
      <c r="C231" s="476">
        <v>665.12</v>
      </c>
      <c r="D231" s="477">
        <v>829.36</v>
      </c>
      <c r="E231" s="476">
        <v>-164.24</v>
      </c>
    </row>
    <row r="232" spans="1:5">
      <c r="A232" s="39" t="s">
        <v>1005</v>
      </c>
      <c r="B232" s="39" t="s">
        <v>1006</v>
      </c>
      <c r="C232" s="476">
        <v>211.17</v>
      </c>
      <c r="D232" s="477">
        <v>269.27</v>
      </c>
      <c r="E232" s="476">
        <v>-58.099999999999994</v>
      </c>
    </row>
    <row r="233" spans="1:5">
      <c r="A233" s="39" t="s">
        <v>1007</v>
      </c>
      <c r="B233" s="39" t="s">
        <v>1008</v>
      </c>
      <c r="C233" s="476">
        <v>2769.31</v>
      </c>
      <c r="D233" s="477">
        <v>3389.41</v>
      </c>
      <c r="E233" s="476">
        <v>-620.09999999999991</v>
      </c>
    </row>
    <row r="234" spans="1:5">
      <c r="A234" s="39" t="s">
        <v>1009</v>
      </c>
      <c r="B234" s="39" t="s">
        <v>1010</v>
      </c>
      <c r="C234" s="476">
        <v>6692.36</v>
      </c>
      <c r="D234" s="477">
        <v>8029.72</v>
      </c>
      <c r="E234" s="476">
        <v>-1337.3600000000006</v>
      </c>
    </row>
    <row r="235" spans="1:5">
      <c r="A235" s="39" t="s">
        <v>1011</v>
      </c>
      <c r="B235" s="39" t="s">
        <v>1012</v>
      </c>
      <c r="C235" s="476">
        <v>540.1</v>
      </c>
      <c r="D235" s="477">
        <v>694.7</v>
      </c>
      <c r="E235" s="476">
        <v>-154.60000000000002</v>
      </c>
    </row>
    <row r="236" spans="1:5">
      <c r="A236" s="39" t="s">
        <v>1013</v>
      </c>
      <c r="B236" s="39" t="s">
        <v>1014</v>
      </c>
      <c r="C236" s="476">
        <v>1014.68</v>
      </c>
      <c r="D236" s="477">
        <v>1066.8800000000001</v>
      </c>
      <c r="E236" s="476">
        <v>-52.200000000000159</v>
      </c>
    </row>
    <row r="237" spans="1:5">
      <c r="A237" s="39" t="s">
        <v>1015</v>
      </c>
      <c r="B237" s="39" t="s">
        <v>1016</v>
      </c>
      <c r="C237" s="476">
        <v>21227.27</v>
      </c>
      <c r="D237" s="477">
        <v>25571.59</v>
      </c>
      <c r="E237" s="476">
        <v>-4344.32</v>
      </c>
    </row>
    <row r="238" spans="1:5">
      <c r="A238" s="39" t="s">
        <v>1017</v>
      </c>
      <c r="B238" s="39" t="s">
        <v>1018</v>
      </c>
      <c r="C238" s="476">
        <v>1421.87</v>
      </c>
      <c r="D238" s="477">
        <v>1626.39</v>
      </c>
      <c r="E238" s="476">
        <v>-204.52000000000021</v>
      </c>
    </row>
    <row r="239" spans="1:5">
      <c r="A239" s="39" t="s">
        <v>1019</v>
      </c>
      <c r="B239" s="39" t="s">
        <v>1020</v>
      </c>
      <c r="C239" s="476">
        <v>135.1</v>
      </c>
      <c r="D239" s="477">
        <v>187.5</v>
      </c>
      <c r="E239" s="476">
        <v>-52.400000000000006</v>
      </c>
    </row>
    <row r="240" spans="1:5">
      <c r="A240" s="39" t="s">
        <v>1021</v>
      </c>
      <c r="B240" s="39" t="s">
        <v>1022</v>
      </c>
      <c r="C240" s="476">
        <v>398.8</v>
      </c>
      <c r="D240" s="477">
        <v>486.87</v>
      </c>
      <c r="E240" s="476">
        <v>-88.07</v>
      </c>
    </row>
    <row r="241" spans="1:5">
      <c r="A241" s="39" t="s">
        <v>1023</v>
      </c>
      <c r="B241" s="39" t="s">
        <v>1024</v>
      </c>
      <c r="C241" s="476">
        <v>2312.4699999999998</v>
      </c>
      <c r="D241" s="477">
        <v>2742.37</v>
      </c>
      <c r="E241" s="476">
        <v>-429.90000000000009</v>
      </c>
    </row>
    <row r="242" spans="1:5">
      <c r="A242" s="39" t="s">
        <v>1025</v>
      </c>
      <c r="B242" s="39" t="s">
        <v>1026</v>
      </c>
      <c r="C242" s="476">
        <v>278.98</v>
      </c>
      <c r="D242" s="477">
        <v>344.22</v>
      </c>
      <c r="E242" s="476">
        <v>-65.240000000000009</v>
      </c>
    </row>
    <row r="243" spans="1:5">
      <c r="A243" s="39" t="s">
        <v>1027</v>
      </c>
      <c r="B243" s="39" t="s">
        <v>1028</v>
      </c>
      <c r="C243" s="476">
        <v>5330.41</v>
      </c>
      <c r="D243" s="477">
        <v>6276.24</v>
      </c>
      <c r="E243" s="476">
        <v>-945.82999999999993</v>
      </c>
    </row>
    <row r="244" spans="1:5">
      <c r="A244" s="39" t="s">
        <v>1029</v>
      </c>
      <c r="B244" s="39" t="s">
        <v>1030</v>
      </c>
      <c r="C244" s="476">
        <v>3115.39</v>
      </c>
      <c r="D244" s="477">
        <v>3698.39</v>
      </c>
      <c r="E244" s="476">
        <v>-583</v>
      </c>
    </row>
    <row r="245" spans="1:5">
      <c r="A245" s="39" t="s">
        <v>1031</v>
      </c>
      <c r="B245" s="39" t="s">
        <v>1032</v>
      </c>
      <c r="C245" s="476">
        <v>2652.6</v>
      </c>
      <c r="D245" s="477">
        <v>3110.2</v>
      </c>
      <c r="E245" s="476">
        <v>-457.59999999999991</v>
      </c>
    </row>
    <row r="246" spans="1:5">
      <c r="A246" s="39" t="s">
        <v>1033</v>
      </c>
      <c r="B246" s="39" t="s">
        <v>1034</v>
      </c>
      <c r="C246" s="476">
        <v>59.68</v>
      </c>
      <c r="D246" s="477">
        <v>71.38</v>
      </c>
      <c r="E246" s="476">
        <v>-11.699999999999996</v>
      </c>
    </row>
    <row r="247" spans="1:5">
      <c r="A247" s="39" t="s">
        <v>1035</v>
      </c>
      <c r="B247" s="39" t="s">
        <v>1036</v>
      </c>
      <c r="C247" s="476">
        <v>258.72000000000003</v>
      </c>
      <c r="D247" s="477">
        <v>304.12</v>
      </c>
      <c r="E247" s="476">
        <v>-45.399999999999977</v>
      </c>
    </row>
    <row r="248" spans="1:5">
      <c r="A248" s="39" t="s">
        <v>1037</v>
      </c>
      <c r="B248" s="39" t="s">
        <v>1038</v>
      </c>
      <c r="C248" s="476">
        <v>415.78</v>
      </c>
      <c r="D248" s="477">
        <v>479.58</v>
      </c>
      <c r="E248" s="476">
        <v>-63.800000000000011</v>
      </c>
    </row>
    <row r="249" spans="1:5">
      <c r="A249" s="39" t="s">
        <v>1039</v>
      </c>
      <c r="B249" s="39" t="s">
        <v>1040</v>
      </c>
      <c r="C249" s="476">
        <v>6983.62</v>
      </c>
      <c r="D249" s="477">
        <v>8292.51</v>
      </c>
      <c r="E249" s="476">
        <v>-1308.8900000000003</v>
      </c>
    </row>
    <row r="250" spans="1:5">
      <c r="A250" s="39" t="s">
        <v>1041</v>
      </c>
      <c r="B250" s="39" t="s">
        <v>1042</v>
      </c>
      <c r="C250" s="476">
        <v>3398.88</v>
      </c>
      <c r="D250" s="477">
        <v>4028.77</v>
      </c>
      <c r="E250" s="476">
        <v>-629.88999999999987</v>
      </c>
    </row>
    <row r="251" spans="1:5">
      <c r="A251" s="39" t="s">
        <v>1043</v>
      </c>
      <c r="B251" s="39" t="s">
        <v>1044</v>
      </c>
      <c r="C251" s="476">
        <v>5344.62</v>
      </c>
      <c r="D251" s="477">
        <v>6472.72</v>
      </c>
      <c r="E251" s="476">
        <v>-1128.1000000000004</v>
      </c>
    </row>
    <row r="252" spans="1:5">
      <c r="A252" s="39" t="s">
        <v>1045</v>
      </c>
      <c r="B252" s="39" t="s">
        <v>1046</v>
      </c>
      <c r="C252" s="476">
        <v>4347.67</v>
      </c>
      <c r="D252" s="477">
        <v>5271.95</v>
      </c>
      <c r="E252" s="476">
        <v>-924.27999999999975</v>
      </c>
    </row>
    <row r="253" spans="1:5">
      <c r="A253" s="39" t="s">
        <v>1047</v>
      </c>
      <c r="B253" s="39" t="s">
        <v>1048</v>
      </c>
      <c r="C253" s="476">
        <v>1085.4100000000001</v>
      </c>
      <c r="D253" s="477">
        <v>1317.42</v>
      </c>
      <c r="E253" s="476">
        <v>-232.01</v>
      </c>
    </row>
    <row r="254" spans="1:5">
      <c r="A254" s="39" t="s">
        <v>1049</v>
      </c>
      <c r="B254" s="39" t="s">
        <v>1050</v>
      </c>
      <c r="C254" s="476">
        <v>226.12</v>
      </c>
      <c r="D254" s="477">
        <v>259.92</v>
      </c>
      <c r="E254" s="476">
        <v>-33.800000000000011</v>
      </c>
    </row>
    <row r="255" spans="1:5">
      <c r="A255" s="39" t="s">
        <v>1051</v>
      </c>
      <c r="B255" s="39" t="s">
        <v>1052</v>
      </c>
      <c r="C255" s="476">
        <v>350.9</v>
      </c>
      <c r="D255" s="477">
        <v>424.5</v>
      </c>
      <c r="E255" s="476">
        <v>-73.600000000000023</v>
      </c>
    </row>
    <row r="256" spans="1:5">
      <c r="A256" s="39" t="s">
        <v>1053</v>
      </c>
      <c r="B256" s="39" t="s">
        <v>1054</v>
      </c>
      <c r="C256" s="476">
        <v>122.83</v>
      </c>
      <c r="D256" s="477">
        <v>149.43</v>
      </c>
      <c r="E256" s="476">
        <v>-26.600000000000009</v>
      </c>
    </row>
    <row r="257" spans="1:5">
      <c r="A257" s="39" t="s">
        <v>1055</v>
      </c>
      <c r="B257" s="39" t="s">
        <v>1056</v>
      </c>
      <c r="C257" s="476">
        <v>765.13</v>
      </c>
      <c r="D257" s="477">
        <v>901.23</v>
      </c>
      <c r="E257" s="476">
        <v>-136.10000000000002</v>
      </c>
    </row>
    <row r="258" spans="1:5">
      <c r="A258" s="39" t="s">
        <v>1057</v>
      </c>
      <c r="B258" s="39" t="s">
        <v>1058</v>
      </c>
      <c r="C258" s="476">
        <v>174.41</v>
      </c>
      <c r="D258" s="477">
        <v>201.91</v>
      </c>
      <c r="E258" s="476">
        <v>-27.5</v>
      </c>
    </row>
    <row r="259" spans="1:5">
      <c r="A259" s="39" t="s">
        <v>1059</v>
      </c>
      <c r="B259" s="39" t="s">
        <v>1060</v>
      </c>
      <c r="C259" s="476">
        <v>90.79</v>
      </c>
      <c r="D259" s="477">
        <v>116.89</v>
      </c>
      <c r="E259" s="476">
        <v>-26.099999999999994</v>
      </c>
    </row>
    <row r="260" spans="1:5">
      <c r="A260" s="39" t="s">
        <v>1061</v>
      </c>
      <c r="B260" s="39" t="s">
        <v>1062</v>
      </c>
      <c r="C260" s="476">
        <v>2368.09</v>
      </c>
      <c r="D260" s="476">
        <v>2888.66</v>
      </c>
      <c r="E260" s="476">
        <v>-520.56999999999971</v>
      </c>
    </row>
    <row r="261" spans="1:5">
      <c r="A261" s="39" t="s">
        <v>1063</v>
      </c>
      <c r="B261" s="39" t="s">
        <v>1064</v>
      </c>
      <c r="C261" s="476">
        <v>15309.68</v>
      </c>
      <c r="D261" s="476">
        <v>18490.47</v>
      </c>
      <c r="E261" s="476">
        <v>-3180.7900000000009</v>
      </c>
    </row>
    <row r="262" spans="1:5">
      <c r="A262" s="39" t="s">
        <v>1065</v>
      </c>
      <c r="B262" s="39" t="s">
        <v>1066</v>
      </c>
      <c r="C262" s="476">
        <v>5567.83</v>
      </c>
      <c r="D262" s="476">
        <v>6813.22</v>
      </c>
      <c r="E262" s="476">
        <v>-1245.3900000000003</v>
      </c>
    </row>
    <row r="263" spans="1:5">
      <c r="A263" s="39" t="s">
        <v>1067</v>
      </c>
      <c r="B263" s="39" t="s">
        <v>1068</v>
      </c>
      <c r="C263" s="476">
        <v>1324.14</v>
      </c>
      <c r="D263" s="476">
        <v>1562.42</v>
      </c>
      <c r="E263" s="476">
        <v>-238.27999999999997</v>
      </c>
    </row>
  </sheetData>
  <autoFilter ref="A1:E259" xr:uid="{4B3D245E-C639-4F8C-888C-000E8AFAF3FE}">
    <sortState xmlns:xlrd2="http://schemas.microsoft.com/office/spreadsheetml/2017/richdata2" ref="A2:E259">
      <sortCondition ref="A1:A259"/>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98AC-72A2-4DBD-981E-16CDD2D0C203}">
  <sheetPr codeName="Sheet14">
    <tabColor theme="5"/>
  </sheetPr>
  <dimension ref="A1:P382"/>
  <sheetViews>
    <sheetView zoomScale="160" zoomScaleNormal="160" workbookViewId="0">
      <pane ySplit="3" topLeftCell="A284" activePane="bottomLeft" state="frozen"/>
      <selection pane="bottomLeft" activeCell="B317" sqref="B317"/>
    </sheetView>
  </sheetViews>
  <sheetFormatPr baseColWidth="10" defaultColWidth="8.83203125" defaultRowHeight="15"/>
  <cols>
    <col min="1" max="1" width="11.1640625" style="28" customWidth="1"/>
    <col min="2" max="2" width="53.5" style="28" bestFit="1" customWidth="1"/>
    <col min="3" max="3" width="11.5" style="470" customWidth="1"/>
    <col min="4" max="8" width="11.1640625" style="470" bestFit="1" customWidth="1"/>
    <col min="9" max="10" width="10.5" style="470" bestFit="1" customWidth="1"/>
    <col min="11" max="13" width="10.5" style="28" bestFit="1" customWidth="1"/>
    <col min="14" max="14" width="10.5" style="470" bestFit="1" customWidth="1"/>
  </cols>
  <sheetData>
    <row r="1" spans="1:16" s="295" customFormat="1" hidden="1">
      <c r="A1" s="467">
        <v>1</v>
      </c>
      <c r="B1" s="467">
        <f>A1+1</f>
        <v>2</v>
      </c>
      <c r="C1" s="468">
        <f t="shared" ref="C1:N1" si="0">B1+1</f>
        <v>3</v>
      </c>
      <c r="D1" s="468">
        <f t="shared" si="0"/>
        <v>4</v>
      </c>
      <c r="E1" s="468">
        <f t="shared" si="0"/>
        <v>5</v>
      </c>
      <c r="F1" s="468">
        <f t="shared" si="0"/>
        <v>6</v>
      </c>
      <c r="G1" s="469">
        <f t="shared" si="0"/>
        <v>7</v>
      </c>
      <c r="H1" s="468">
        <v>8</v>
      </c>
      <c r="I1" s="468">
        <f t="shared" si="0"/>
        <v>9</v>
      </c>
      <c r="J1" s="468">
        <f t="shared" si="0"/>
        <v>10</v>
      </c>
      <c r="K1" s="467">
        <f t="shared" si="0"/>
        <v>11</v>
      </c>
      <c r="L1" s="467">
        <f t="shared" si="0"/>
        <v>12</v>
      </c>
      <c r="M1" s="467">
        <f t="shared" si="0"/>
        <v>13</v>
      </c>
      <c r="N1" s="468">
        <f t="shared" si="0"/>
        <v>14</v>
      </c>
    </row>
    <row r="2" spans="1:16">
      <c r="C2" s="552" t="s">
        <v>1069</v>
      </c>
      <c r="D2" s="552" t="s">
        <v>1070</v>
      </c>
      <c r="E2" s="552" t="s">
        <v>1071</v>
      </c>
      <c r="F2" s="552" t="s">
        <v>1072</v>
      </c>
      <c r="G2" s="552" t="s">
        <v>1073</v>
      </c>
      <c r="H2" s="552" t="s">
        <v>1074</v>
      </c>
      <c r="I2" s="552" t="s">
        <v>1075</v>
      </c>
      <c r="J2" s="552" t="s">
        <v>1076</v>
      </c>
      <c r="K2" s="553" t="s">
        <v>1077</v>
      </c>
      <c r="L2" s="553" t="s">
        <v>1078</v>
      </c>
      <c r="M2" s="553" t="s">
        <v>1079</v>
      </c>
      <c r="N2" s="552" t="s">
        <v>1080</v>
      </c>
    </row>
    <row r="3" spans="1:16" ht="48">
      <c r="A3" s="478" t="s">
        <v>1081</v>
      </c>
      <c r="B3" s="478" t="s">
        <v>540</v>
      </c>
      <c r="C3" s="479" t="s">
        <v>1082</v>
      </c>
      <c r="D3" s="479" t="s">
        <v>1082</v>
      </c>
      <c r="E3" s="479" t="s">
        <v>1082</v>
      </c>
      <c r="F3" s="479" t="s">
        <v>1082</v>
      </c>
      <c r="G3" s="479" t="s">
        <v>1082</v>
      </c>
      <c r="H3" s="479" t="s">
        <v>1082</v>
      </c>
      <c r="I3" s="479" t="s">
        <v>1082</v>
      </c>
      <c r="J3" s="479" t="s">
        <v>1082</v>
      </c>
      <c r="K3" s="478" t="s">
        <v>1082</v>
      </c>
      <c r="L3" s="478" t="s">
        <v>1082</v>
      </c>
      <c r="M3" s="478" t="s">
        <v>1082</v>
      </c>
      <c r="N3" s="479" t="s">
        <v>1082</v>
      </c>
      <c r="O3" s="471"/>
      <c r="P3" s="471"/>
    </row>
    <row r="4" spans="1:16">
      <c r="A4" s="480" t="s">
        <v>1034</v>
      </c>
      <c r="B4" s="480" t="s">
        <v>1033</v>
      </c>
      <c r="C4" s="549">
        <v>10438.799999999999</v>
      </c>
      <c r="D4" s="549">
        <v>10438.799999999999</v>
      </c>
      <c r="E4" s="549">
        <v>10438.799999999999</v>
      </c>
      <c r="F4" s="549">
        <v>10438.799999999999</v>
      </c>
      <c r="G4" s="549">
        <v>10457.290000000001</v>
      </c>
      <c r="H4" s="549">
        <v>10455.280000000001</v>
      </c>
      <c r="I4" s="481"/>
      <c r="J4" s="481"/>
      <c r="K4" s="481"/>
      <c r="L4" s="481"/>
      <c r="M4" s="481"/>
      <c r="N4" s="481"/>
    </row>
    <row r="5" spans="1:16">
      <c r="A5" s="480" t="s">
        <v>1083</v>
      </c>
      <c r="B5" s="480" t="s">
        <v>1084</v>
      </c>
      <c r="C5" s="549">
        <v>10553.52</v>
      </c>
      <c r="D5" s="549">
        <v>10553.52</v>
      </c>
      <c r="E5" s="549">
        <v>10553.52</v>
      </c>
      <c r="F5" s="549">
        <v>10553.52</v>
      </c>
      <c r="G5" s="549">
        <v>10095.34</v>
      </c>
      <c r="H5" s="549">
        <v>10106.4</v>
      </c>
      <c r="I5" s="481"/>
      <c r="J5" s="481"/>
      <c r="K5" s="481"/>
      <c r="L5" s="481"/>
      <c r="M5" s="481"/>
      <c r="N5" s="481"/>
    </row>
    <row r="6" spans="1:16">
      <c r="A6" s="480" t="s">
        <v>870</v>
      </c>
      <c r="B6" s="480" t="s">
        <v>869</v>
      </c>
      <c r="C6" s="549">
        <v>10318.030000000001</v>
      </c>
      <c r="D6" s="549">
        <v>10318.030000000001</v>
      </c>
      <c r="E6" s="549">
        <v>10318.030000000001</v>
      </c>
      <c r="F6" s="549">
        <v>10318.030000000001</v>
      </c>
      <c r="G6" s="549">
        <v>10321.57</v>
      </c>
      <c r="H6" s="549">
        <v>10320.51</v>
      </c>
      <c r="I6" s="481"/>
      <c r="J6" s="481"/>
      <c r="K6" s="481"/>
      <c r="L6" s="481"/>
      <c r="M6" s="481"/>
      <c r="N6" s="481"/>
    </row>
    <row r="7" spans="1:16">
      <c r="A7" s="480" t="s">
        <v>766</v>
      </c>
      <c r="B7" s="480" t="s">
        <v>765</v>
      </c>
      <c r="C7" s="549">
        <v>10139.56</v>
      </c>
      <c r="D7" s="549">
        <v>10139.56</v>
      </c>
      <c r="E7" s="549">
        <v>10139.56</v>
      </c>
      <c r="F7" s="549">
        <v>10139.56</v>
      </c>
      <c r="G7" s="549">
        <v>10238.98</v>
      </c>
      <c r="H7" s="549">
        <v>10241.299999999999</v>
      </c>
      <c r="I7" s="481"/>
      <c r="J7" s="481"/>
      <c r="K7" s="481"/>
      <c r="L7" s="481"/>
      <c r="M7" s="481"/>
      <c r="N7" s="481"/>
    </row>
    <row r="8" spans="1:16">
      <c r="A8" s="480" t="s">
        <v>922</v>
      </c>
      <c r="B8" s="480" t="s">
        <v>921</v>
      </c>
      <c r="C8" s="549">
        <v>10496.51</v>
      </c>
      <c r="D8" s="549">
        <v>10496.51</v>
      </c>
      <c r="E8" s="549">
        <v>10496.51</v>
      </c>
      <c r="F8" s="549">
        <v>10496.51</v>
      </c>
      <c r="G8" s="549">
        <v>10450.06</v>
      </c>
      <c r="H8" s="549">
        <v>10448.129999999999</v>
      </c>
      <c r="I8" s="481"/>
      <c r="J8" s="481"/>
      <c r="K8" s="481"/>
      <c r="L8" s="481"/>
      <c r="M8" s="481"/>
      <c r="N8" s="481"/>
    </row>
    <row r="9" spans="1:16">
      <c r="A9" s="480" t="s">
        <v>610</v>
      </c>
      <c r="B9" s="480" t="s">
        <v>609</v>
      </c>
      <c r="C9" s="549">
        <v>10226.25</v>
      </c>
      <c r="D9" s="549">
        <v>10226.25</v>
      </c>
      <c r="E9" s="549">
        <v>10226.25</v>
      </c>
      <c r="F9" s="549">
        <v>10226.25</v>
      </c>
      <c r="G9" s="549">
        <v>10079.19</v>
      </c>
      <c r="H9" s="549">
        <v>10080.26</v>
      </c>
      <c r="I9" s="481"/>
      <c r="J9" s="481"/>
      <c r="K9" s="481"/>
      <c r="L9" s="481"/>
      <c r="M9" s="481"/>
      <c r="N9" s="481"/>
    </row>
    <row r="10" spans="1:16">
      <c r="A10" s="480" t="s">
        <v>556</v>
      </c>
      <c r="B10" s="480" t="s">
        <v>555</v>
      </c>
      <c r="C10" s="549">
        <v>10175.5</v>
      </c>
      <c r="D10" s="549">
        <v>10175.5</v>
      </c>
      <c r="E10" s="549">
        <v>10175.5</v>
      </c>
      <c r="F10" s="549">
        <v>10175.5</v>
      </c>
      <c r="G10" s="549">
        <v>10086.9</v>
      </c>
      <c r="H10" s="549">
        <v>10087.98</v>
      </c>
      <c r="I10" s="481"/>
      <c r="J10" s="481"/>
      <c r="K10" s="481"/>
      <c r="L10" s="481"/>
      <c r="M10" s="481"/>
      <c r="N10" s="481"/>
    </row>
    <row r="11" spans="1:16">
      <c r="A11" s="480" t="s">
        <v>736</v>
      </c>
      <c r="B11" s="480" t="s">
        <v>735</v>
      </c>
      <c r="C11" s="549">
        <v>10246.16</v>
      </c>
      <c r="D11" s="549">
        <v>10246.16</v>
      </c>
      <c r="E11" s="549">
        <v>10246.16</v>
      </c>
      <c r="F11" s="549">
        <v>10246.16</v>
      </c>
      <c r="G11" s="549">
        <v>10234.290000000001</v>
      </c>
      <c r="H11" s="549">
        <v>10235.25</v>
      </c>
      <c r="I11" s="481"/>
      <c r="J11" s="481"/>
      <c r="K11" s="481"/>
      <c r="L11" s="481"/>
      <c r="M11" s="481"/>
      <c r="N11" s="481"/>
    </row>
    <row r="12" spans="1:16">
      <c r="A12" s="480" t="s">
        <v>882</v>
      </c>
      <c r="B12" s="480" t="s">
        <v>881</v>
      </c>
      <c r="C12" s="549">
        <v>10584.3</v>
      </c>
      <c r="D12" s="549">
        <v>10584.3</v>
      </c>
      <c r="E12" s="549">
        <v>10584.3</v>
      </c>
      <c r="F12" s="549">
        <v>10584.3</v>
      </c>
      <c r="G12" s="549">
        <v>10210.030000000001</v>
      </c>
      <c r="H12" s="549">
        <v>10205.57</v>
      </c>
      <c r="I12" s="481"/>
      <c r="J12" s="481"/>
      <c r="K12" s="481"/>
      <c r="L12" s="481"/>
      <c r="M12" s="481"/>
      <c r="N12" s="481"/>
    </row>
    <row r="13" spans="1:16">
      <c r="A13" s="480" t="s">
        <v>742</v>
      </c>
      <c r="B13" s="480" t="s">
        <v>741</v>
      </c>
      <c r="C13" s="549">
        <v>10503.44</v>
      </c>
      <c r="D13" s="549">
        <v>10503.44</v>
      </c>
      <c r="E13" s="549">
        <v>10503.44</v>
      </c>
      <c r="F13" s="549">
        <v>10503.44</v>
      </c>
      <c r="G13" s="549">
        <v>10478.56</v>
      </c>
      <c r="H13" s="549">
        <v>10479.66</v>
      </c>
      <c r="I13" s="481"/>
      <c r="J13" s="481"/>
      <c r="K13" s="481"/>
      <c r="L13" s="481"/>
      <c r="M13" s="481"/>
      <c r="N13" s="481"/>
    </row>
    <row r="14" spans="1:16">
      <c r="A14" s="480" t="s">
        <v>684</v>
      </c>
      <c r="B14" s="480" t="s">
        <v>683</v>
      </c>
      <c r="C14" s="549">
        <v>10249.9</v>
      </c>
      <c r="D14" s="549">
        <v>10249.9</v>
      </c>
      <c r="E14" s="549">
        <v>10249.9</v>
      </c>
      <c r="F14" s="549">
        <v>10249.9</v>
      </c>
      <c r="G14" s="549">
        <v>10284.51</v>
      </c>
      <c r="H14" s="549">
        <v>10286.299999999999</v>
      </c>
      <c r="I14" s="481"/>
      <c r="J14" s="481"/>
      <c r="K14" s="481"/>
      <c r="L14" s="481"/>
      <c r="M14" s="481"/>
      <c r="N14" s="481"/>
    </row>
    <row r="15" spans="1:16">
      <c r="A15" s="480" t="s">
        <v>896</v>
      </c>
      <c r="B15" s="480" t="s">
        <v>895</v>
      </c>
      <c r="C15" s="549">
        <v>10164.43</v>
      </c>
      <c r="D15" s="549">
        <v>10164.43</v>
      </c>
      <c r="E15" s="549">
        <v>10164.43</v>
      </c>
      <c r="F15" s="549">
        <v>10164.43</v>
      </c>
      <c r="G15" s="549">
        <v>9643.99</v>
      </c>
      <c r="H15" s="549">
        <v>9645.06</v>
      </c>
      <c r="I15" s="481"/>
      <c r="J15" s="481"/>
      <c r="K15" s="481"/>
      <c r="L15" s="481"/>
      <c r="M15" s="481"/>
      <c r="N15" s="481"/>
    </row>
    <row r="16" spans="1:16">
      <c r="A16" s="480" t="s">
        <v>918</v>
      </c>
      <c r="B16" s="480" t="s">
        <v>917</v>
      </c>
      <c r="C16" s="549">
        <v>10058.6</v>
      </c>
      <c r="D16" s="549">
        <v>10058.6</v>
      </c>
      <c r="E16" s="549">
        <v>10058.6</v>
      </c>
      <c r="F16" s="549">
        <v>10058.6</v>
      </c>
      <c r="G16" s="549">
        <v>10073.39</v>
      </c>
      <c r="H16" s="549">
        <v>10073.530000000001</v>
      </c>
      <c r="I16" s="481"/>
      <c r="J16" s="481"/>
      <c r="K16" s="481"/>
      <c r="L16" s="481"/>
      <c r="M16" s="481"/>
      <c r="N16" s="481"/>
    </row>
    <row r="17" spans="1:14">
      <c r="A17" s="480" t="s">
        <v>782</v>
      </c>
      <c r="B17" s="480" t="s">
        <v>781</v>
      </c>
      <c r="C17" s="549">
        <v>10279.4</v>
      </c>
      <c r="D17" s="549">
        <v>10279.4</v>
      </c>
      <c r="E17" s="549">
        <v>10279.4</v>
      </c>
      <c r="F17" s="549">
        <v>10279.4</v>
      </c>
      <c r="G17" s="549">
        <v>10289.950000000001</v>
      </c>
      <c r="H17" s="549">
        <v>10284.620000000001</v>
      </c>
      <c r="I17" s="481"/>
      <c r="J17" s="481"/>
      <c r="K17" s="481"/>
      <c r="L17" s="481"/>
      <c r="M17" s="481"/>
      <c r="N17" s="481"/>
    </row>
    <row r="18" spans="1:14">
      <c r="A18" s="480" t="s">
        <v>1085</v>
      </c>
      <c r="B18" s="480" t="s">
        <v>1086</v>
      </c>
      <c r="C18" s="549">
        <v>10726.82</v>
      </c>
      <c r="D18" s="549">
        <v>10726.82</v>
      </c>
      <c r="E18" s="549">
        <v>10726.82</v>
      </c>
      <c r="F18" s="549">
        <v>10726.82</v>
      </c>
      <c r="G18" s="549">
        <v>10719.11</v>
      </c>
      <c r="H18" s="549">
        <v>10719.11</v>
      </c>
      <c r="I18" s="481"/>
      <c r="J18" s="481"/>
      <c r="K18" s="481"/>
      <c r="L18" s="481"/>
      <c r="M18" s="481"/>
      <c r="N18" s="481"/>
    </row>
    <row r="19" spans="1:14">
      <c r="A19" s="480" t="s">
        <v>666</v>
      </c>
      <c r="B19" s="480" t="s">
        <v>665</v>
      </c>
      <c r="C19" s="549">
        <v>10543.58</v>
      </c>
      <c r="D19" s="549">
        <v>10543.58</v>
      </c>
      <c r="E19" s="549">
        <v>10543.58</v>
      </c>
      <c r="F19" s="549">
        <v>10543.58</v>
      </c>
      <c r="G19" s="549">
        <v>10597.01</v>
      </c>
      <c r="H19" s="549">
        <v>10596.78</v>
      </c>
      <c r="I19" s="481"/>
      <c r="J19" s="481"/>
      <c r="K19" s="481"/>
      <c r="L19" s="481"/>
      <c r="M19" s="481"/>
      <c r="N19" s="481"/>
    </row>
    <row r="20" spans="1:14">
      <c r="A20" s="480" t="s">
        <v>754</v>
      </c>
      <c r="B20" s="480" t="s">
        <v>753</v>
      </c>
      <c r="C20" s="549">
        <v>10193.82</v>
      </c>
      <c r="D20" s="549">
        <v>10193.82</v>
      </c>
      <c r="E20" s="549">
        <v>10193.82</v>
      </c>
      <c r="F20" s="549">
        <v>10193.82</v>
      </c>
      <c r="G20" s="549">
        <v>10173.65</v>
      </c>
      <c r="H20" s="549">
        <v>10174.73</v>
      </c>
      <c r="I20" s="481"/>
      <c r="J20" s="481"/>
      <c r="K20" s="481"/>
      <c r="L20" s="481"/>
      <c r="M20" s="481"/>
      <c r="N20" s="481"/>
    </row>
    <row r="21" spans="1:14">
      <c r="A21" s="480" t="s">
        <v>590</v>
      </c>
      <c r="B21" s="480" t="s">
        <v>589</v>
      </c>
      <c r="C21" s="549">
        <v>10455.25</v>
      </c>
      <c r="D21" s="549">
        <v>10455.25</v>
      </c>
      <c r="E21" s="549">
        <v>10455.25</v>
      </c>
      <c r="F21" s="549">
        <v>10455.25</v>
      </c>
      <c r="G21" s="549">
        <v>10448.299999999999</v>
      </c>
      <c r="H21" s="549">
        <v>10449.41</v>
      </c>
      <c r="I21" s="481"/>
      <c r="J21" s="481"/>
      <c r="K21" s="481"/>
      <c r="L21" s="481"/>
      <c r="M21" s="481"/>
      <c r="N21" s="481"/>
    </row>
    <row r="22" spans="1:14">
      <c r="A22" s="480" t="s">
        <v>588</v>
      </c>
      <c r="B22" s="480" t="s">
        <v>587</v>
      </c>
      <c r="C22" s="549">
        <v>10244.950000000001</v>
      </c>
      <c r="D22" s="549">
        <v>10244.950000000001</v>
      </c>
      <c r="E22" s="549">
        <v>10244.950000000001</v>
      </c>
      <c r="F22" s="549">
        <v>10244.950000000001</v>
      </c>
      <c r="G22" s="549">
        <v>10259.15</v>
      </c>
      <c r="H22" s="549">
        <v>10259</v>
      </c>
      <c r="I22" s="481"/>
      <c r="J22" s="481"/>
      <c r="K22" s="481"/>
      <c r="L22" s="481"/>
      <c r="M22" s="481"/>
      <c r="N22" s="481"/>
    </row>
    <row r="23" spans="1:14">
      <c r="A23" s="480" t="s">
        <v>1040</v>
      </c>
      <c r="B23" s="480" t="s">
        <v>1039</v>
      </c>
      <c r="C23" s="549">
        <v>10015.9</v>
      </c>
      <c r="D23" s="549">
        <v>10015.9</v>
      </c>
      <c r="E23" s="549">
        <v>10015.9</v>
      </c>
      <c r="F23" s="549">
        <v>10015.9</v>
      </c>
      <c r="G23" s="549">
        <v>10062.16</v>
      </c>
      <c r="H23" s="549">
        <v>10062.06</v>
      </c>
      <c r="I23" s="481"/>
      <c r="J23" s="481"/>
      <c r="K23" s="481"/>
      <c r="L23" s="481"/>
      <c r="M23" s="481"/>
      <c r="N23" s="481"/>
    </row>
    <row r="24" spans="1:14">
      <c r="A24" s="480" t="s">
        <v>1087</v>
      </c>
      <c r="B24" s="480" t="s">
        <v>1088</v>
      </c>
      <c r="C24" s="549">
        <v>0</v>
      </c>
      <c r="D24" s="549">
        <v>0</v>
      </c>
      <c r="E24" s="549">
        <v>0</v>
      </c>
      <c r="F24" s="549">
        <v>0</v>
      </c>
      <c r="G24" s="549">
        <v>0</v>
      </c>
      <c r="H24" s="549">
        <v>0</v>
      </c>
      <c r="I24" s="481"/>
      <c r="J24" s="481"/>
      <c r="K24" s="481"/>
      <c r="L24" s="481"/>
      <c r="M24" s="481"/>
      <c r="N24" s="481"/>
    </row>
    <row r="25" spans="1:14">
      <c r="A25" s="480" t="s">
        <v>1089</v>
      </c>
      <c r="B25" s="480" t="s">
        <v>1090</v>
      </c>
      <c r="C25" s="549">
        <v>9451.15</v>
      </c>
      <c r="D25" s="549">
        <v>9451.15</v>
      </c>
      <c r="E25" s="549">
        <v>9451.15</v>
      </c>
      <c r="F25" s="549">
        <v>9451.15</v>
      </c>
      <c r="G25" s="549">
        <v>9453.9699999999993</v>
      </c>
      <c r="H25" s="549">
        <v>9453.9599999999991</v>
      </c>
      <c r="I25" s="481"/>
      <c r="J25" s="481"/>
      <c r="K25" s="481"/>
      <c r="L25" s="481"/>
      <c r="M25" s="481"/>
      <c r="N25" s="481"/>
    </row>
    <row r="26" spans="1:14">
      <c r="A26" s="480" t="s">
        <v>1091</v>
      </c>
      <c r="B26" s="480" t="s">
        <v>1092</v>
      </c>
      <c r="C26" s="549">
        <v>0</v>
      </c>
      <c r="D26" s="549">
        <v>0</v>
      </c>
      <c r="E26" s="549">
        <v>0</v>
      </c>
      <c r="F26" s="549">
        <v>0</v>
      </c>
      <c r="G26" s="549">
        <v>0</v>
      </c>
      <c r="H26" s="549">
        <v>0</v>
      </c>
      <c r="I26" s="481"/>
      <c r="J26" s="481"/>
      <c r="K26" s="481"/>
      <c r="L26" s="481"/>
      <c r="M26" s="481"/>
      <c r="N26" s="481"/>
    </row>
    <row r="27" spans="1:14">
      <c r="A27" s="480" t="s">
        <v>892</v>
      </c>
      <c r="B27" s="480" t="s">
        <v>891</v>
      </c>
      <c r="C27" s="549">
        <v>10419.719999999999</v>
      </c>
      <c r="D27" s="549">
        <v>10419.719999999999</v>
      </c>
      <c r="E27" s="549">
        <v>10419.719999999999</v>
      </c>
      <c r="F27" s="549">
        <v>10419.719999999999</v>
      </c>
      <c r="G27" s="549">
        <v>10423.290000000001</v>
      </c>
      <c r="H27" s="549">
        <v>10423.41</v>
      </c>
      <c r="I27" s="481"/>
      <c r="J27" s="481"/>
      <c r="K27" s="481"/>
      <c r="L27" s="481"/>
      <c r="M27" s="481"/>
      <c r="N27" s="481"/>
    </row>
    <row r="28" spans="1:14">
      <c r="A28" s="480" t="s">
        <v>632</v>
      </c>
      <c r="B28" s="480" t="s">
        <v>631</v>
      </c>
      <c r="C28" s="549">
        <v>9980.8700000000008</v>
      </c>
      <c r="D28" s="549">
        <v>9980.8700000000008</v>
      </c>
      <c r="E28" s="549">
        <v>9980.8700000000008</v>
      </c>
      <c r="F28" s="549">
        <v>9980.8700000000008</v>
      </c>
      <c r="G28" s="549">
        <v>9953.64</v>
      </c>
      <c r="H28" s="549">
        <v>9955.7800000000007</v>
      </c>
      <c r="I28" s="481"/>
      <c r="J28" s="481"/>
      <c r="K28" s="481"/>
      <c r="L28" s="481"/>
      <c r="M28" s="481"/>
      <c r="N28" s="481"/>
    </row>
    <row r="29" spans="1:14">
      <c r="A29" s="480" t="s">
        <v>942</v>
      </c>
      <c r="B29" s="480" t="s">
        <v>941</v>
      </c>
      <c r="C29" s="549">
        <v>10586.16</v>
      </c>
      <c r="D29" s="549">
        <v>10586.16</v>
      </c>
      <c r="E29" s="549">
        <v>10586.16</v>
      </c>
      <c r="F29" s="549">
        <v>10586.16</v>
      </c>
      <c r="G29" s="549">
        <v>10494.93</v>
      </c>
      <c r="H29" s="549">
        <v>10494.97</v>
      </c>
      <c r="I29" s="481"/>
      <c r="J29" s="481"/>
      <c r="K29" s="481"/>
      <c r="L29" s="481"/>
      <c r="M29" s="481"/>
      <c r="N29" s="481"/>
    </row>
    <row r="30" spans="1:14">
      <c r="A30" s="480" t="s">
        <v>584</v>
      </c>
      <c r="B30" s="480" t="s">
        <v>583</v>
      </c>
      <c r="C30" s="549">
        <v>10227.459999999999</v>
      </c>
      <c r="D30" s="549">
        <v>10227.459999999999</v>
      </c>
      <c r="E30" s="549">
        <v>10227.459999999999</v>
      </c>
      <c r="F30" s="549">
        <v>10227.459999999999</v>
      </c>
      <c r="G30" s="549">
        <v>10312.65</v>
      </c>
      <c r="H30" s="549">
        <v>10314.52</v>
      </c>
      <c r="I30" s="481"/>
      <c r="J30" s="481"/>
      <c r="K30" s="481"/>
      <c r="L30" s="481"/>
      <c r="M30" s="481"/>
      <c r="N30" s="481"/>
    </row>
    <row r="31" spans="1:14">
      <c r="A31" s="480" t="s">
        <v>906</v>
      </c>
      <c r="B31" s="480" t="s">
        <v>905</v>
      </c>
      <c r="C31" s="549">
        <v>9812.89</v>
      </c>
      <c r="D31" s="549">
        <v>9812.89</v>
      </c>
      <c r="E31" s="549">
        <v>9812.89</v>
      </c>
      <c r="F31" s="549">
        <v>9812.89</v>
      </c>
      <c r="G31" s="549">
        <v>9834.6</v>
      </c>
      <c r="H31" s="549">
        <v>9834.49</v>
      </c>
      <c r="I31" s="481"/>
      <c r="J31" s="481"/>
      <c r="K31" s="481"/>
      <c r="L31" s="481"/>
      <c r="M31" s="481"/>
      <c r="N31" s="481"/>
    </row>
    <row r="32" spans="1:14">
      <c r="A32" s="480" t="s">
        <v>904</v>
      </c>
      <c r="B32" s="480" t="s">
        <v>903</v>
      </c>
      <c r="C32" s="549">
        <v>10319.290000000001</v>
      </c>
      <c r="D32" s="549">
        <v>10319.290000000001</v>
      </c>
      <c r="E32" s="549">
        <v>10319.290000000001</v>
      </c>
      <c r="F32" s="549">
        <v>10319.290000000001</v>
      </c>
      <c r="G32" s="549">
        <v>10366.86</v>
      </c>
      <c r="H32" s="549">
        <v>10390.01</v>
      </c>
      <c r="I32" s="481"/>
      <c r="J32" s="481"/>
      <c r="K32" s="481"/>
      <c r="L32" s="481"/>
      <c r="M32" s="481"/>
      <c r="N32" s="481"/>
    </row>
    <row r="33" spans="1:14">
      <c r="A33" s="480" t="s">
        <v>1093</v>
      </c>
      <c r="B33" s="480" t="s">
        <v>1094</v>
      </c>
      <c r="C33" s="549">
        <v>0</v>
      </c>
      <c r="D33" s="549">
        <v>0</v>
      </c>
      <c r="E33" s="549">
        <v>0</v>
      </c>
      <c r="F33" s="549">
        <v>0</v>
      </c>
      <c r="G33" s="549">
        <v>0</v>
      </c>
      <c r="H33" s="549">
        <v>0</v>
      </c>
      <c r="I33" s="481"/>
      <c r="J33" s="481"/>
      <c r="K33" s="481"/>
      <c r="L33" s="481"/>
      <c r="M33" s="481"/>
      <c r="N33" s="481"/>
    </row>
    <row r="34" spans="1:14">
      <c r="A34" s="480" t="s">
        <v>1016</v>
      </c>
      <c r="B34" s="480" t="s">
        <v>1015</v>
      </c>
      <c r="C34" s="549">
        <v>10733.61</v>
      </c>
      <c r="D34" s="549">
        <v>10733.61</v>
      </c>
      <c r="E34" s="549">
        <v>10733.61</v>
      </c>
      <c r="F34" s="549">
        <v>10733.61</v>
      </c>
      <c r="G34" s="549">
        <v>10727.32</v>
      </c>
      <c r="H34" s="549">
        <v>10727.32</v>
      </c>
      <c r="I34" s="481"/>
      <c r="J34" s="481"/>
      <c r="K34" s="481"/>
      <c r="L34" s="481"/>
      <c r="M34" s="481"/>
      <c r="N34" s="481"/>
    </row>
    <row r="35" spans="1:14">
      <c r="A35" s="480" t="s">
        <v>714</v>
      </c>
      <c r="B35" s="480" t="s">
        <v>713</v>
      </c>
      <c r="C35" s="549">
        <v>10766.14</v>
      </c>
      <c r="D35" s="549">
        <v>10766.14</v>
      </c>
      <c r="E35" s="549">
        <v>10766.14</v>
      </c>
      <c r="F35" s="549">
        <v>10766.14</v>
      </c>
      <c r="G35" s="549">
        <v>10720.23</v>
      </c>
      <c r="H35" s="549">
        <v>10721.38</v>
      </c>
      <c r="I35" s="481"/>
      <c r="J35" s="481"/>
      <c r="K35" s="481"/>
      <c r="L35" s="481"/>
      <c r="M35" s="481"/>
      <c r="N35" s="481"/>
    </row>
    <row r="36" spans="1:14">
      <c r="A36" s="480" t="s">
        <v>748</v>
      </c>
      <c r="B36" s="480" t="s">
        <v>747</v>
      </c>
      <c r="C36" s="549">
        <v>10931.22</v>
      </c>
      <c r="D36" s="549">
        <v>10931.22</v>
      </c>
      <c r="E36" s="549">
        <v>10931.22</v>
      </c>
      <c r="F36" s="549">
        <v>10931.22</v>
      </c>
      <c r="G36" s="549">
        <v>10892.89</v>
      </c>
      <c r="H36" s="549">
        <v>10895.05</v>
      </c>
      <c r="I36" s="481"/>
      <c r="J36" s="481"/>
      <c r="K36" s="481"/>
      <c r="L36" s="481"/>
      <c r="M36" s="481"/>
      <c r="N36" s="481"/>
    </row>
    <row r="37" spans="1:14">
      <c r="A37" s="480" t="s">
        <v>706</v>
      </c>
      <c r="B37" s="480" t="s">
        <v>705</v>
      </c>
      <c r="C37" s="549">
        <v>11083.57</v>
      </c>
      <c r="D37" s="549">
        <v>11083.57</v>
      </c>
      <c r="E37" s="549">
        <v>11083.57</v>
      </c>
      <c r="F37" s="549">
        <v>11083.57</v>
      </c>
      <c r="G37" s="549">
        <v>11106.91</v>
      </c>
      <c r="H37" s="549">
        <v>11109.06</v>
      </c>
      <c r="I37" s="481"/>
      <c r="J37" s="481"/>
      <c r="K37" s="481"/>
      <c r="L37" s="481"/>
      <c r="M37" s="481"/>
      <c r="N37" s="481"/>
    </row>
    <row r="38" spans="1:14">
      <c r="A38" s="480" t="s">
        <v>1032</v>
      </c>
      <c r="B38" s="480" t="s">
        <v>1031</v>
      </c>
      <c r="C38" s="549">
        <v>10718.15</v>
      </c>
      <c r="D38" s="549">
        <v>10718.15</v>
      </c>
      <c r="E38" s="549">
        <v>10718.15</v>
      </c>
      <c r="F38" s="549">
        <v>10718.15</v>
      </c>
      <c r="G38" s="549">
        <v>10725.64</v>
      </c>
      <c r="H38" s="549">
        <v>10726.79</v>
      </c>
      <c r="I38" s="481"/>
      <c r="J38" s="481"/>
      <c r="K38" s="481"/>
      <c r="L38" s="481"/>
      <c r="M38" s="481"/>
      <c r="N38" s="481"/>
    </row>
    <row r="39" spans="1:14">
      <c r="A39" s="480" t="s">
        <v>674</v>
      </c>
      <c r="B39" s="480" t="s">
        <v>673</v>
      </c>
      <c r="C39" s="549">
        <v>10888.44</v>
      </c>
      <c r="D39" s="549">
        <v>10888.44</v>
      </c>
      <c r="E39" s="549">
        <v>10888.44</v>
      </c>
      <c r="F39" s="549">
        <v>10888.44</v>
      </c>
      <c r="G39" s="549">
        <v>10874.74</v>
      </c>
      <c r="H39" s="549">
        <v>10877.01</v>
      </c>
      <c r="I39" s="481"/>
      <c r="J39" s="481"/>
      <c r="K39" s="481"/>
      <c r="L39" s="481"/>
      <c r="M39" s="481"/>
      <c r="N39" s="481"/>
    </row>
    <row r="40" spans="1:14">
      <c r="A40" s="480" t="s">
        <v>582</v>
      </c>
      <c r="B40" s="480" t="s">
        <v>581</v>
      </c>
      <c r="C40" s="549">
        <v>10796.89</v>
      </c>
      <c r="D40" s="549">
        <v>10796.89</v>
      </c>
      <c r="E40" s="549">
        <v>10796.89</v>
      </c>
      <c r="F40" s="549">
        <v>10796.89</v>
      </c>
      <c r="G40" s="549">
        <v>10763.64</v>
      </c>
      <c r="H40" s="549">
        <v>10763.53</v>
      </c>
      <c r="I40" s="481"/>
      <c r="J40" s="481"/>
      <c r="K40" s="481"/>
      <c r="L40" s="481"/>
      <c r="M40" s="481"/>
      <c r="N40" s="481"/>
    </row>
    <row r="41" spans="1:14">
      <c r="A41" s="480" t="s">
        <v>562</v>
      </c>
      <c r="B41" s="480" t="s">
        <v>561</v>
      </c>
      <c r="C41" s="549">
        <v>10876.77</v>
      </c>
      <c r="D41" s="549">
        <v>10876.77</v>
      </c>
      <c r="E41" s="549">
        <v>10876.77</v>
      </c>
      <c r="F41" s="549">
        <v>10876.77</v>
      </c>
      <c r="G41" s="549">
        <v>10689.55</v>
      </c>
      <c r="H41" s="549">
        <v>10690.67</v>
      </c>
      <c r="I41" s="481"/>
      <c r="J41" s="481"/>
      <c r="K41" s="481"/>
      <c r="L41" s="481"/>
      <c r="M41" s="481"/>
      <c r="N41" s="481"/>
    </row>
    <row r="42" spans="1:14">
      <c r="A42" s="480" t="s">
        <v>920</v>
      </c>
      <c r="B42" s="480" t="s">
        <v>919</v>
      </c>
      <c r="C42" s="549">
        <v>10519.15</v>
      </c>
      <c r="D42" s="549">
        <v>10519.15</v>
      </c>
      <c r="E42" s="549">
        <v>10519.15</v>
      </c>
      <c r="F42" s="549">
        <v>10519.15</v>
      </c>
      <c r="G42" s="549">
        <v>10653.42</v>
      </c>
      <c r="H42" s="549">
        <v>10652.23</v>
      </c>
      <c r="I42" s="481"/>
      <c r="J42" s="481"/>
      <c r="K42" s="481"/>
      <c r="L42" s="481"/>
      <c r="M42" s="481"/>
      <c r="N42" s="481"/>
    </row>
    <row r="43" spans="1:14">
      <c r="A43" s="480" t="s">
        <v>1095</v>
      </c>
      <c r="B43" s="480" t="s">
        <v>1096</v>
      </c>
      <c r="C43" s="549">
        <v>10262.65</v>
      </c>
      <c r="D43" s="549">
        <v>10262.65</v>
      </c>
      <c r="E43" s="549">
        <v>10257.42</v>
      </c>
      <c r="F43" s="549">
        <v>10257.42</v>
      </c>
      <c r="G43" s="549">
        <v>10213.68</v>
      </c>
      <c r="H43" s="549">
        <v>10214.030000000001</v>
      </c>
      <c r="I43" s="481"/>
      <c r="J43" s="481"/>
      <c r="K43" s="481"/>
      <c r="L43" s="481"/>
      <c r="M43" s="481"/>
      <c r="N43" s="481"/>
    </row>
    <row r="44" spans="1:14">
      <c r="A44" s="480" t="s">
        <v>1097</v>
      </c>
      <c r="B44" s="480" t="s">
        <v>1098</v>
      </c>
      <c r="C44" s="549">
        <v>0</v>
      </c>
      <c r="D44" s="549">
        <v>0</v>
      </c>
      <c r="E44" s="549">
        <v>0</v>
      </c>
      <c r="F44" s="549">
        <v>0</v>
      </c>
      <c r="G44" s="549">
        <v>0</v>
      </c>
      <c r="H44" s="549">
        <v>0</v>
      </c>
      <c r="I44" s="481"/>
      <c r="J44" s="481"/>
      <c r="K44" s="481"/>
      <c r="L44" s="481"/>
      <c r="M44" s="481"/>
      <c r="N44" s="481"/>
    </row>
    <row r="45" spans="1:14">
      <c r="A45" s="480" t="s">
        <v>1099</v>
      </c>
      <c r="B45" s="480" t="s">
        <v>1100</v>
      </c>
      <c r="C45" s="549">
        <v>10077.530000000001</v>
      </c>
      <c r="D45" s="549">
        <v>10077.530000000001</v>
      </c>
      <c r="E45" s="549">
        <v>10077.530000000001</v>
      </c>
      <c r="F45" s="549">
        <v>10077.530000000001</v>
      </c>
      <c r="G45" s="549">
        <v>10078.23</v>
      </c>
      <c r="H45" s="549">
        <v>10076.370000000001</v>
      </c>
      <c r="I45" s="481"/>
      <c r="J45" s="481"/>
      <c r="K45" s="481"/>
      <c r="L45" s="481"/>
      <c r="M45" s="481"/>
      <c r="N45" s="481"/>
    </row>
    <row r="46" spans="1:14">
      <c r="A46" s="480" t="s">
        <v>1101</v>
      </c>
      <c r="B46" s="480" t="s">
        <v>1102</v>
      </c>
      <c r="C46" s="549">
        <v>0</v>
      </c>
      <c r="D46" s="549">
        <v>0</v>
      </c>
      <c r="E46" s="549">
        <v>0</v>
      </c>
      <c r="F46" s="549">
        <v>0</v>
      </c>
      <c r="G46" s="549">
        <v>0</v>
      </c>
      <c r="H46" s="549">
        <v>0</v>
      </c>
      <c r="I46" s="481"/>
      <c r="J46" s="481"/>
      <c r="K46" s="481"/>
      <c r="L46" s="481"/>
      <c r="M46" s="481"/>
      <c r="N46" s="481"/>
    </row>
    <row r="47" spans="1:14">
      <c r="A47" s="480" t="s">
        <v>644</v>
      </c>
      <c r="B47" s="480" t="s">
        <v>643</v>
      </c>
      <c r="C47" s="549">
        <v>10508.37</v>
      </c>
      <c r="D47" s="549">
        <v>10508.37</v>
      </c>
      <c r="E47" s="549">
        <v>10508.37</v>
      </c>
      <c r="F47" s="549">
        <v>10508.37</v>
      </c>
      <c r="G47" s="549">
        <v>10597.03</v>
      </c>
      <c r="H47" s="549">
        <v>10602.39</v>
      </c>
      <c r="I47" s="481"/>
      <c r="J47" s="481"/>
      <c r="K47" s="481"/>
      <c r="L47" s="481"/>
      <c r="M47" s="481"/>
      <c r="N47" s="481"/>
    </row>
    <row r="48" spans="1:14">
      <c r="A48" s="480" t="s">
        <v>976</v>
      </c>
      <c r="B48" s="480" t="s">
        <v>975</v>
      </c>
      <c r="C48" s="549">
        <v>9712.4500000000007</v>
      </c>
      <c r="D48" s="549">
        <v>9712.4500000000007</v>
      </c>
      <c r="E48" s="549">
        <v>9712.4500000000007</v>
      </c>
      <c r="F48" s="549">
        <v>9712.4500000000007</v>
      </c>
      <c r="G48" s="549">
        <v>9675.93</v>
      </c>
      <c r="H48" s="549">
        <v>9675.15</v>
      </c>
      <c r="I48" s="481"/>
      <c r="J48" s="481"/>
      <c r="K48" s="481"/>
      <c r="L48" s="481"/>
      <c r="M48" s="481"/>
      <c r="N48" s="481"/>
    </row>
    <row r="49" spans="1:14">
      <c r="A49" s="480" t="s">
        <v>768</v>
      </c>
      <c r="B49" s="480" t="s">
        <v>767</v>
      </c>
      <c r="C49" s="549">
        <v>10339.84</v>
      </c>
      <c r="D49" s="549">
        <v>10339.84</v>
      </c>
      <c r="E49" s="549">
        <v>10339.84</v>
      </c>
      <c r="F49" s="549">
        <v>10339.84</v>
      </c>
      <c r="G49" s="549">
        <v>10262.120000000001</v>
      </c>
      <c r="H49" s="549">
        <v>10263.1</v>
      </c>
      <c r="I49" s="481"/>
      <c r="J49" s="481"/>
      <c r="K49" s="481"/>
      <c r="L49" s="481"/>
      <c r="M49" s="481"/>
      <c r="N49" s="481"/>
    </row>
    <row r="50" spans="1:14">
      <c r="A50" s="480" t="s">
        <v>1004</v>
      </c>
      <c r="B50" s="480" t="s">
        <v>1003</v>
      </c>
      <c r="C50" s="549">
        <v>10253.77</v>
      </c>
      <c r="D50" s="549">
        <v>10253.77</v>
      </c>
      <c r="E50" s="549">
        <v>10253.77</v>
      </c>
      <c r="F50" s="549">
        <v>10253.77</v>
      </c>
      <c r="G50" s="549">
        <v>10284.67</v>
      </c>
      <c r="H50" s="549">
        <v>10285.52</v>
      </c>
      <c r="I50" s="481"/>
      <c r="J50" s="481"/>
      <c r="K50" s="481"/>
      <c r="L50" s="481"/>
      <c r="M50" s="481"/>
      <c r="N50" s="481"/>
    </row>
    <row r="51" spans="1:14">
      <c r="A51" s="480" t="s">
        <v>592</v>
      </c>
      <c r="B51" s="480" t="s">
        <v>591</v>
      </c>
      <c r="C51" s="549">
        <v>10309.1</v>
      </c>
      <c r="D51" s="549">
        <v>10309.1</v>
      </c>
      <c r="E51" s="549">
        <v>10309.1</v>
      </c>
      <c r="F51" s="549">
        <v>10309.1</v>
      </c>
      <c r="G51" s="549">
        <v>10282.879999999999</v>
      </c>
      <c r="H51" s="549">
        <v>10283.82</v>
      </c>
      <c r="I51" s="481"/>
      <c r="J51" s="481"/>
      <c r="K51" s="481"/>
      <c r="L51" s="481"/>
      <c r="M51" s="481"/>
      <c r="N51" s="481"/>
    </row>
    <row r="52" spans="1:14">
      <c r="A52" s="480" t="s">
        <v>730</v>
      </c>
      <c r="B52" s="480" t="s">
        <v>729</v>
      </c>
      <c r="C52" s="549">
        <v>10288.4</v>
      </c>
      <c r="D52" s="549">
        <v>10288.4</v>
      </c>
      <c r="E52" s="549">
        <v>10288.4</v>
      </c>
      <c r="F52" s="549">
        <v>10288.4</v>
      </c>
      <c r="G52" s="549">
        <v>10331.19</v>
      </c>
      <c r="H52" s="549">
        <v>10331.219999999999</v>
      </c>
      <c r="I52" s="481"/>
      <c r="J52" s="481"/>
      <c r="K52" s="481"/>
      <c r="L52" s="481"/>
      <c r="M52" s="481"/>
      <c r="N52" s="481"/>
    </row>
    <row r="53" spans="1:14">
      <c r="A53" s="480" t="s">
        <v>1062</v>
      </c>
      <c r="B53" s="480" t="s">
        <v>1061</v>
      </c>
      <c r="C53" s="549">
        <v>10307.879999999999</v>
      </c>
      <c r="D53" s="549">
        <v>10307.879999999999</v>
      </c>
      <c r="E53" s="549">
        <v>10307.879999999999</v>
      </c>
      <c r="F53" s="549">
        <v>10307.879999999999</v>
      </c>
      <c r="G53" s="549">
        <v>10287.6</v>
      </c>
      <c r="H53" s="549">
        <v>10288.629999999999</v>
      </c>
      <c r="I53" s="481"/>
      <c r="J53" s="481"/>
      <c r="K53" s="481"/>
      <c r="L53" s="481"/>
      <c r="M53" s="481"/>
      <c r="N53" s="481"/>
    </row>
    <row r="54" spans="1:14">
      <c r="A54" s="480" t="s">
        <v>734</v>
      </c>
      <c r="B54" s="480" t="s">
        <v>733</v>
      </c>
      <c r="C54" s="549">
        <v>10337.67</v>
      </c>
      <c r="D54" s="549">
        <v>10337.67</v>
      </c>
      <c r="E54" s="549">
        <v>10337.67</v>
      </c>
      <c r="F54" s="549">
        <v>10337.67</v>
      </c>
      <c r="G54" s="549">
        <v>10041.83</v>
      </c>
      <c r="H54" s="549">
        <v>10041.870000000001</v>
      </c>
      <c r="I54" s="481"/>
      <c r="J54" s="481"/>
      <c r="K54" s="481"/>
      <c r="L54" s="481"/>
      <c r="M54" s="481"/>
      <c r="N54" s="481"/>
    </row>
    <row r="55" spans="1:14">
      <c r="A55" s="480" t="s">
        <v>1103</v>
      </c>
      <c r="B55" s="480" t="s">
        <v>1104</v>
      </c>
      <c r="C55" s="549">
        <v>0</v>
      </c>
      <c r="D55" s="549">
        <v>0</v>
      </c>
      <c r="E55" s="549">
        <v>0</v>
      </c>
      <c r="F55" s="549">
        <v>0</v>
      </c>
      <c r="G55" s="549">
        <v>0</v>
      </c>
      <c r="H55" s="549">
        <v>0</v>
      </c>
      <c r="I55" s="481"/>
      <c r="J55" s="481"/>
      <c r="K55" s="481"/>
      <c r="L55" s="481"/>
      <c r="M55" s="481"/>
      <c r="N55" s="481"/>
    </row>
    <row r="56" spans="1:14">
      <c r="A56" s="480" t="s">
        <v>864</v>
      </c>
      <c r="B56" s="480" t="s">
        <v>863</v>
      </c>
      <c r="C56" s="549">
        <v>10631.61</v>
      </c>
      <c r="D56" s="549">
        <v>10631.61</v>
      </c>
      <c r="E56" s="549">
        <v>10631.61</v>
      </c>
      <c r="F56" s="549">
        <v>10631.61</v>
      </c>
      <c r="G56" s="549">
        <v>9486.6299999999992</v>
      </c>
      <c r="H56" s="549">
        <v>9487.06</v>
      </c>
      <c r="I56" s="481"/>
      <c r="J56" s="481"/>
      <c r="K56" s="481"/>
      <c r="L56" s="481"/>
      <c r="M56" s="481"/>
      <c r="N56" s="481"/>
    </row>
    <row r="57" spans="1:14">
      <c r="A57" s="480" t="s">
        <v>578</v>
      </c>
      <c r="B57" s="480" t="s">
        <v>577</v>
      </c>
      <c r="C57" s="549">
        <v>10350.219999999999</v>
      </c>
      <c r="D57" s="549">
        <v>10350.219999999999</v>
      </c>
      <c r="E57" s="549">
        <v>10350.219999999999</v>
      </c>
      <c r="F57" s="549">
        <v>10350.219999999999</v>
      </c>
      <c r="G57" s="549">
        <v>10338.92</v>
      </c>
      <c r="H57" s="549">
        <v>10342.620000000001</v>
      </c>
      <c r="I57" s="481"/>
      <c r="J57" s="481"/>
      <c r="K57" s="481"/>
      <c r="L57" s="481"/>
      <c r="M57" s="481"/>
      <c r="N57" s="481"/>
    </row>
    <row r="58" spans="1:14">
      <c r="A58" s="480" t="s">
        <v>872</v>
      </c>
      <c r="B58" s="480" t="s">
        <v>871</v>
      </c>
      <c r="C58" s="549">
        <v>10976.04</v>
      </c>
      <c r="D58" s="549">
        <v>10976.04</v>
      </c>
      <c r="E58" s="549">
        <v>10976.04</v>
      </c>
      <c r="F58" s="549">
        <v>10976.04</v>
      </c>
      <c r="G58" s="549">
        <v>10879.15</v>
      </c>
      <c r="H58" s="549">
        <v>10891.12</v>
      </c>
      <c r="I58" s="481"/>
      <c r="J58" s="481"/>
      <c r="K58" s="481"/>
      <c r="L58" s="481"/>
      <c r="M58" s="481"/>
      <c r="N58" s="481"/>
    </row>
    <row r="59" spans="1:14">
      <c r="A59" s="480" t="s">
        <v>652</v>
      </c>
      <c r="B59" s="480" t="s">
        <v>651</v>
      </c>
      <c r="C59" s="549">
        <v>10276.129999999999</v>
      </c>
      <c r="D59" s="549">
        <v>10276.129999999999</v>
      </c>
      <c r="E59" s="549">
        <v>10276.129999999999</v>
      </c>
      <c r="F59" s="549">
        <v>10276.129999999999</v>
      </c>
      <c r="G59" s="549">
        <v>10168.530000000001</v>
      </c>
      <c r="H59" s="549">
        <v>10168.530000000001</v>
      </c>
      <c r="I59" s="481"/>
      <c r="J59" s="481"/>
      <c r="K59" s="481"/>
      <c r="L59" s="481"/>
      <c r="M59" s="481"/>
      <c r="N59" s="481"/>
    </row>
    <row r="60" spans="1:14">
      <c r="A60" s="480" t="s">
        <v>1105</v>
      </c>
      <c r="B60" s="480" t="s">
        <v>1106</v>
      </c>
      <c r="C60" s="549">
        <v>10219.51</v>
      </c>
      <c r="D60" s="549">
        <v>10219.51</v>
      </c>
      <c r="E60" s="549">
        <v>10219.51</v>
      </c>
      <c r="F60" s="549">
        <v>10219.51</v>
      </c>
      <c r="G60" s="549">
        <v>10258.65</v>
      </c>
      <c r="H60" s="549">
        <v>10272.41</v>
      </c>
      <c r="I60" s="481"/>
      <c r="J60" s="481"/>
      <c r="K60" s="481"/>
      <c r="L60" s="481"/>
      <c r="M60" s="481"/>
      <c r="N60" s="481"/>
    </row>
    <row r="61" spans="1:14">
      <c r="A61" s="480" t="s">
        <v>1036</v>
      </c>
      <c r="B61" s="480" t="s">
        <v>1035</v>
      </c>
      <c r="C61" s="549">
        <v>10546.82</v>
      </c>
      <c r="D61" s="549">
        <v>10546.82</v>
      </c>
      <c r="E61" s="549">
        <v>10546.82</v>
      </c>
      <c r="F61" s="549">
        <v>10546.82</v>
      </c>
      <c r="G61" s="549">
        <v>10546.16</v>
      </c>
      <c r="H61" s="549">
        <v>10546.83</v>
      </c>
      <c r="I61" s="481"/>
      <c r="J61" s="481"/>
      <c r="K61" s="481"/>
      <c r="L61" s="481"/>
      <c r="M61" s="481"/>
      <c r="N61" s="481"/>
    </row>
    <row r="62" spans="1:14">
      <c r="A62" s="480" t="s">
        <v>732</v>
      </c>
      <c r="B62" s="480" t="s">
        <v>731</v>
      </c>
      <c r="C62" s="549">
        <v>11086.01</v>
      </c>
      <c r="D62" s="549">
        <v>11086.01</v>
      </c>
      <c r="E62" s="549">
        <v>11086.01</v>
      </c>
      <c r="F62" s="549">
        <v>11086.01</v>
      </c>
      <c r="G62" s="549">
        <v>10755.02</v>
      </c>
      <c r="H62" s="549">
        <v>10785.1</v>
      </c>
      <c r="I62" s="481"/>
      <c r="J62" s="481"/>
      <c r="K62" s="481"/>
      <c r="L62" s="481"/>
      <c r="M62" s="481"/>
      <c r="N62" s="481"/>
    </row>
    <row r="63" spans="1:14">
      <c r="A63" s="480" t="s">
        <v>636</v>
      </c>
      <c r="B63" s="480" t="s">
        <v>635</v>
      </c>
      <c r="C63" s="549">
        <v>10174.450000000001</v>
      </c>
      <c r="D63" s="549">
        <v>10174.450000000001</v>
      </c>
      <c r="E63" s="549">
        <v>10174.450000000001</v>
      </c>
      <c r="F63" s="549">
        <v>10174.450000000001</v>
      </c>
      <c r="G63" s="549">
        <v>10240.879999999999</v>
      </c>
      <c r="H63" s="549">
        <v>10242.57</v>
      </c>
      <c r="I63" s="481"/>
      <c r="J63" s="481"/>
      <c r="K63" s="481"/>
      <c r="L63" s="481"/>
      <c r="M63" s="481"/>
      <c r="N63" s="481"/>
    </row>
    <row r="64" spans="1:14">
      <c r="A64" s="480" t="s">
        <v>862</v>
      </c>
      <c r="B64" s="480" t="s">
        <v>861</v>
      </c>
      <c r="C64" s="549">
        <v>10402.69</v>
      </c>
      <c r="D64" s="549">
        <v>10402.69</v>
      </c>
      <c r="E64" s="549">
        <v>10402.69</v>
      </c>
      <c r="F64" s="549">
        <v>10402.69</v>
      </c>
      <c r="G64" s="549">
        <v>10519.44</v>
      </c>
      <c r="H64" s="549">
        <v>10515.18</v>
      </c>
      <c r="I64" s="481"/>
      <c r="J64" s="481"/>
      <c r="K64" s="481"/>
      <c r="L64" s="481"/>
      <c r="M64" s="481"/>
      <c r="N64" s="481"/>
    </row>
    <row r="65" spans="1:14">
      <c r="A65" s="480" t="s">
        <v>724</v>
      </c>
      <c r="B65" s="480" t="s">
        <v>723</v>
      </c>
      <c r="C65" s="549">
        <v>10205.07</v>
      </c>
      <c r="D65" s="549">
        <v>10205.07</v>
      </c>
      <c r="E65" s="549">
        <v>10205.07</v>
      </c>
      <c r="F65" s="549">
        <v>10205.07</v>
      </c>
      <c r="G65" s="549">
        <v>10209.129999999999</v>
      </c>
      <c r="H65" s="549">
        <v>10206.74</v>
      </c>
      <c r="I65" s="481"/>
      <c r="J65" s="481"/>
      <c r="K65" s="481"/>
      <c r="L65" s="481"/>
      <c r="M65" s="481"/>
      <c r="N65" s="481"/>
    </row>
    <row r="66" spans="1:14">
      <c r="A66" s="480" t="s">
        <v>916</v>
      </c>
      <c r="B66" s="480" t="s">
        <v>915</v>
      </c>
      <c r="C66" s="549">
        <v>9991.27</v>
      </c>
      <c r="D66" s="549">
        <v>9991.27</v>
      </c>
      <c r="E66" s="549">
        <v>9991.27</v>
      </c>
      <c r="F66" s="549">
        <v>9991.27</v>
      </c>
      <c r="G66" s="549">
        <v>9841.39</v>
      </c>
      <c r="H66" s="549">
        <v>9838.61</v>
      </c>
      <c r="I66" s="481"/>
      <c r="J66" s="481"/>
      <c r="K66" s="481"/>
      <c r="L66" s="481"/>
      <c r="M66" s="481"/>
      <c r="N66" s="481"/>
    </row>
    <row r="67" spans="1:14">
      <c r="A67" s="480" t="s">
        <v>878</v>
      </c>
      <c r="B67" s="480" t="s">
        <v>877</v>
      </c>
      <c r="C67" s="549">
        <v>10292.68</v>
      </c>
      <c r="D67" s="549">
        <v>10292.68</v>
      </c>
      <c r="E67" s="549">
        <v>10292.68</v>
      </c>
      <c r="F67" s="549">
        <v>10292.68</v>
      </c>
      <c r="G67" s="549">
        <v>10293.4</v>
      </c>
      <c r="H67" s="549">
        <v>10293.51</v>
      </c>
      <c r="I67" s="481"/>
      <c r="J67" s="481"/>
      <c r="K67" s="481"/>
      <c r="L67" s="481"/>
      <c r="M67" s="481"/>
      <c r="N67" s="481"/>
    </row>
    <row r="68" spans="1:14">
      <c r="A68" s="480" t="s">
        <v>834</v>
      </c>
      <c r="B68" s="480" t="s">
        <v>833</v>
      </c>
      <c r="C68" s="549">
        <v>10309.120000000001</v>
      </c>
      <c r="D68" s="549">
        <v>10309.120000000001</v>
      </c>
      <c r="E68" s="549">
        <v>10309.120000000001</v>
      </c>
      <c r="F68" s="549">
        <v>10309.120000000001</v>
      </c>
      <c r="G68" s="549">
        <v>10279.67</v>
      </c>
      <c r="H68" s="549">
        <v>10277.540000000001</v>
      </c>
      <c r="I68" s="481"/>
      <c r="J68" s="481"/>
      <c r="K68" s="481"/>
      <c r="L68" s="481"/>
      <c r="M68" s="481"/>
      <c r="N68" s="481"/>
    </row>
    <row r="69" spans="1:14">
      <c r="A69" s="480" t="s">
        <v>1107</v>
      </c>
      <c r="B69" s="480" t="s">
        <v>1108</v>
      </c>
      <c r="C69" s="549">
        <v>10463.1</v>
      </c>
      <c r="D69" s="549">
        <v>10463.1</v>
      </c>
      <c r="E69" s="549">
        <v>10463.1</v>
      </c>
      <c r="F69" s="549">
        <v>10463.1</v>
      </c>
      <c r="G69" s="549">
        <v>10395.629999999999</v>
      </c>
      <c r="H69" s="549">
        <v>10395.629999999999</v>
      </c>
      <c r="I69" s="481"/>
      <c r="J69" s="481"/>
      <c r="K69" s="481"/>
      <c r="L69" s="481"/>
      <c r="M69" s="481"/>
      <c r="N69" s="481"/>
    </row>
    <row r="70" spans="1:14">
      <c r="A70" s="480" t="s">
        <v>1109</v>
      </c>
      <c r="B70" s="480" t="s">
        <v>1110</v>
      </c>
      <c r="C70" s="549">
        <v>10145.75</v>
      </c>
      <c r="D70" s="549">
        <v>10145.75</v>
      </c>
      <c r="E70" s="549">
        <v>10145.75</v>
      </c>
      <c r="F70" s="549">
        <v>10145.75</v>
      </c>
      <c r="G70" s="549">
        <v>10224.11</v>
      </c>
      <c r="H70" s="549">
        <v>10217.77</v>
      </c>
      <c r="I70" s="481"/>
      <c r="J70" s="481"/>
      <c r="K70" s="481"/>
      <c r="L70" s="481"/>
      <c r="M70" s="481"/>
      <c r="N70" s="481"/>
    </row>
    <row r="71" spans="1:14">
      <c r="A71" s="480" t="s">
        <v>1111</v>
      </c>
      <c r="B71" s="480" t="s">
        <v>1112</v>
      </c>
      <c r="C71" s="549">
        <v>0</v>
      </c>
      <c r="D71" s="549">
        <v>0</v>
      </c>
      <c r="E71" s="549">
        <v>0</v>
      </c>
      <c r="F71" s="549">
        <v>0</v>
      </c>
      <c r="G71" s="549">
        <v>0</v>
      </c>
      <c r="H71" s="549">
        <v>0</v>
      </c>
      <c r="I71" s="481"/>
      <c r="J71" s="481"/>
      <c r="K71" s="481"/>
      <c r="L71" s="481"/>
      <c r="M71" s="481"/>
      <c r="N71" s="481"/>
    </row>
    <row r="72" spans="1:14">
      <c r="A72" s="480" t="s">
        <v>1113</v>
      </c>
      <c r="B72" s="480" t="s">
        <v>1114</v>
      </c>
      <c r="C72" s="549">
        <v>0</v>
      </c>
      <c r="D72" s="549">
        <v>0</v>
      </c>
      <c r="E72" s="549">
        <v>0</v>
      </c>
      <c r="F72" s="549">
        <v>0</v>
      </c>
      <c r="G72" s="549">
        <v>0</v>
      </c>
      <c r="H72" s="549">
        <v>0</v>
      </c>
      <c r="I72" s="481"/>
      <c r="J72" s="481"/>
      <c r="K72" s="481"/>
      <c r="L72" s="481"/>
      <c r="M72" s="481"/>
      <c r="N72" s="481"/>
    </row>
    <row r="73" spans="1:14">
      <c r="A73" s="480" t="s">
        <v>890</v>
      </c>
      <c r="B73" s="480" t="s">
        <v>889</v>
      </c>
      <c r="C73" s="549">
        <v>10576.64</v>
      </c>
      <c r="D73" s="549">
        <v>10576.64</v>
      </c>
      <c r="E73" s="549">
        <v>10576.64</v>
      </c>
      <c r="F73" s="549">
        <v>10576.64</v>
      </c>
      <c r="G73" s="549">
        <v>10446.74</v>
      </c>
      <c r="H73" s="549">
        <v>10446.61</v>
      </c>
      <c r="I73" s="481"/>
      <c r="J73" s="481"/>
      <c r="K73" s="481"/>
      <c r="L73" s="481"/>
      <c r="M73" s="481"/>
      <c r="N73" s="481"/>
    </row>
    <row r="74" spans="1:14">
      <c r="A74" s="480" t="s">
        <v>1024</v>
      </c>
      <c r="B74" s="480" t="s">
        <v>1023</v>
      </c>
      <c r="C74" s="549">
        <v>10260.81</v>
      </c>
      <c r="D74" s="549">
        <v>10260.81</v>
      </c>
      <c r="E74" s="549">
        <v>10260.81</v>
      </c>
      <c r="F74" s="549">
        <v>10260.81</v>
      </c>
      <c r="G74" s="549">
        <v>10281.23</v>
      </c>
      <c r="H74" s="549">
        <v>10282.34</v>
      </c>
      <c r="I74" s="481"/>
      <c r="J74" s="481"/>
      <c r="K74" s="481"/>
      <c r="L74" s="481"/>
      <c r="M74" s="481"/>
      <c r="N74" s="481"/>
    </row>
    <row r="75" spans="1:14">
      <c r="A75" s="480" t="s">
        <v>908</v>
      </c>
      <c r="B75" s="480" t="s">
        <v>907</v>
      </c>
      <c r="C75" s="549">
        <v>10312.780000000001</v>
      </c>
      <c r="D75" s="549">
        <v>10312.780000000001</v>
      </c>
      <c r="E75" s="549">
        <v>10312.780000000001</v>
      </c>
      <c r="F75" s="549">
        <v>10312.780000000001</v>
      </c>
      <c r="G75" s="549">
        <v>10298.549999999999</v>
      </c>
      <c r="H75" s="549">
        <v>10299.66</v>
      </c>
      <c r="I75" s="481"/>
      <c r="J75" s="481"/>
      <c r="K75" s="481"/>
      <c r="L75" s="481"/>
      <c r="M75" s="481"/>
      <c r="N75" s="481"/>
    </row>
    <row r="76" spans="1:14">
      <c r="A76" s="480" t="s">
        <v>1115</v>
      </c>
      <c r="B76" s="480" t="s">
        <v>1116</v>
      </c>
      <c r="C76" s="549">
        <v>10239.959999999999</v>
      </c>
      <c r="D76" s="549">
        <v>10239.959999999999</v>
      </c>
      <c r="E76" s="549">
        <v>10239.959999999999</v>
      </c>
      <c r="F76" s="549">
        <v>10239.959999999999</v>
      </c>
      <c r="G76" s="549">
        <v>10191.370000000001</v>
      </c>
      <c r="H76" s="549">
        <v>10190.370000000001</v>
      </c>
      <c r="I76" s="481"/>
      <c r="J76" s="481"/>
      <c r="K76" s="481"/>
      <c r="L76" s="481"/>
      <c r="M76" s="481"/>
      <c r="N76" s="481"/>
    </row>
    <row r="77" spans="1:14">
      <c r="A77" s="480" t="s">
        <v>628</v>
      </c>
      <c r="B77" s="480" t="s">
        <v>627</v>
      </c>
      <c r="C77" s="549">
        <v>10021.67</v>
      </c>
      <c r="D77" s="549">
        <v>10021.67</v>
      </c>
      <c r="E77" s="549">
        <v>10021.67</v>
      </c>
      <c r="F77" s="549">
        <v>10021.67</v>
      </c>
      <c r="G77" s="549">
        <v>10003.15</v>
      </c>
      <c r="H77" s="549">
        <v>9997.31</v>
      </c>
      <c r="I77" s="481"/>
      <c r="J77" s="481"/>
      <c r="K77" s="481"/>
      <c r="L77" s="481"/>
      <c r="M77" s="481"/>
      <c r="N77" s="481"/>
    </row>
    <row r="78" spans="1:14">
      <c r="A78" s="480" t="s">
        <v>956</v>
      </c>
      <c r="B78" s="480" t="s">
        <v>955</v>
      </c>
      <c r="C78" s="549">
        <v>10419.85</v>
      </c>
      <c r="D78" s="549">
        <v>10419.85</v>
      </c>
      <c r="E78" s="549">
        <v>10419.85</v>
      </c>
      <c r="F78" s="549">
        <v>10419.85</v>
      </c>
      <c r="G78" s="549">
        <v>10389.07</v>
      </c>
      <c r="H78" s="549">
        <v>10393.18</v>
      </c>
      <c r="I78" s="481"/>
      <c r="J78" s="481"/>
      <c r="K78" s="481"/>
      <c r="L78" s="481"/>
      <c r="M78" s="481"/>
      <c r="N78" s="481"/>
    </row>
    <row r="79" spans="1:14">
      <c r="A79" s="480" t="s">
        <v>1117</v>
      </c>
      <c r="B79" s="480" t="s">
        <v>1118</v>
      </c>
      <c r="C79" s="549">
        <v>10257.56</v>
      </c>
      <c r="D79" s="549">
        <v>10257.56</v>
      </c>
      <c r="E79" s="549">
        <v>10257.56</v>
      </c>
      <c r="F79" s="549">
        <v>10257.56</v>
      </c>
      <c r="G79" s="549">
        <v>10284.77</v>
      </c>
      <c r="H79" s="549">
        <v>10283.83</v>
      </c>
      <c r="I79" s="481"/>
      <c r="J79" s="481"/>
      <c r="K79" s="481"/>
      <c r="L79" s="481"/>
      <c r="M79" s="481"/>
      <c r="N79" s="481"/>
    </row>
    <row r="80" spans="1:14">
      <c r="A80" s="480" t="s">
        <v>804</v>
      </c>
      <c r="B80" s="480" t="s">
        <v>803</v>
      </c>
      <c r="C80" s="549">
        <v>10279.129999999999</v>
      </c>
      <c r="D80" s="549">
        <v>10279.129999999999</v>
      </c>
      <c r="E80" s="549">
        <v>10279.129999999999</v>
      </c>
      <c r="F80" s="549">
        <v>10279.129999999999</v>
      </c>
      <c r="G80" s="549">
        <v>10074.35</v>
      </c>
      <c r="H80" s="549">
        <v>10074.299999999999</v>
      </c>
      <c r="I80" s="481"/>
      <c r="J80" s="481"/>
      <c r="K80" s="481"/>
      <c r="L80" s="481"/>
      <c r="M80" s="481"/>
      <c r="N80" s="481"/>
    </row>
    <row r="81" spans="1:14">
      <c r="A81" s="480" t="s">
        <v>670</v>
      </c>
      <c r="B81" s="480" t="s">
        <v>669</v>
      </c>
      <c r="C81" s="549">
        <v>10446.68</v>
      </c>
      <c r="D81" s="549">
        <v>10446.68</v>
      </c>
      <c r="E81" s="549">
        <v>10446.68</v>
      </c>
      <c r="F81" s="549">
        <v>10446.68</v>
      </c>
      <c r="G81" s="549">
        <v>10453.76</v>
      </c>
      <c r="H81" s="549">
        <v>10453.879999999999</v>
      </c>
      <c r="I81" s="481"/>
      <c r="J81" s="481"/>
      <c r="K81" s="481"/>
      <c r="L81" s="481"/>
      <c r="M81" s="481"/>
      <c r="N81" s="481"/>
    </row>
    <row r="82" spans="1:14">
      <c r="A82" s="480" t="s">
        <v>1054</v>
      </c>
      <c r="B82" s="480" t="s">
        <v>1053</v>
      </c>
      <c r="C82" s="549">
        <v>10285.459999999999</v>
      </c>
      <c r="D82" s="549">
        <v>10285.459999999999</v>
      </c>
      <c r="E82" s="549">
        <v>10285.459999999999</v>
      </c>
      <c r="F82" s="549">
        <v>10285.459999999999</v>
      </c>
      <c r="G82" s="549">
        <v>10186.040000000001</v>
      </c>
      <c r="H82" s="549">
        <v>10190.18</v>
      </c>
      <c r="I82" s="481"/>
      <c r="J82" s="481"/>
      <c r="K82" s="481"/>
      <c r="L82" s="481"/>
      <c r="M82" s="481"/>
      <c r="N82" s="481"/>
    </row>
    <row r="83" spans="1:14">
      <c r="A83" s="480" t="s">
        <v>694</v>
      </c>
      <c r="B83" s="480" t="s">
        <v>693</v>
      </c>
      <c r="C83" s="549">
        <v>10265.91</v>
      </c>
      <c r="D83" s="549">
        <v>10265.91</v>
      </c>
      <c r="E83" s="549">
        <v>10265.91</v>
      </c>
      <c r="F83" s="549">
        <v>10265.91</v>
      </c>
      <c r="G83" s="549">
        <v>10242.959999999999</v>
      </c>
      <c r="H83" s="549">
        <v>10244.049999999999</v>
      </c>
      <c r="I83" s="481"/>
      <c r="J83" s="481"/>
      <c r="K83" s="481"/>
      <c r="L83" s="481"/>
      <c r="M83" s="481"/>
      <c r="N83" s="481"/>
    </row>
    <row r="84" spans="1:14">
      <c r="A84" s="480" t="s">
        <v>1119</v>
      </c>
      <c r="B84" s="480" t="s">
        <v>1120</v>
      </c>
      <c r="C84" s="549">
        <v>0</v>
      </c>
      <c r="D84" s="549">
        <v>0</v>
      </c>
      <c r="E84" s="549">
        <v>0</v>
      </c>
      <c r="F84" s="549">
        <v>0</v>
      </c>
      <c r="G84" s="549">
        <v>0</v>
      </c>
      <c r="H84" s="549">
        <v>0</v>
      </c>
      <c r="I84" s="481"/>
      <c r="J84" s="481"/>
      <c r="K84" s="481"/>
      <c r="L84" s="481"/>
      <c r="M84" s="481"/>
      <c r="N84" s="481"/>
    </row>
    <row r="85" spans="1:14">
      <c r="A85" s="480" t="s">
        <v>546</v>
      </c>
      <c r="B85" s="480" t="s">
        <v>545</v>
      </c>
      <c r="C85" s="549">
        <v>10200.66</v>
      </c>
      <c r="D85" s="549">
        <v>10200.66</v>
      </c>
      <c r="E85" s="549">
        <v>10200.66</v>
      </c>
      <c r="F85" s="549">
        <v>10200.66</v>
      </c>
      <c r="G85" s="549">
        <v>10135.25</v>
      </c>
      <c r="H85" s="549">
        <v>10137.34</v>
      </c>
      <c r="I85" s="481"/>
      <c r="J85" s="481"/>
      <c r="K85" s="481"/>
      <c r="L85" s="481"/>
      <c r="M85" s="481"/>
      <c r="N85" s="481"/>
    </row>
    <row r="86" spans="1:14">
      <c r="A86" s="480" t="s">
        <v>1121</v>
      </c>
      <c r="B86" s="480" t="s">
        <v>1122</v>
      </c>
      <c r="C86" s="549">
        <v>10206.07</v>
      </c>
      <c r="D86" s="549">
        <v>10206.07</v>
      </c>
      <c r="E86" s="549">
        <v>10206.07</v>
      </c>
      <c r="F86" s="549">
        <v>10206.07</v>
      </c>
      <c r="G86" s="549">
        <v>10263.030000000001</v>
      </c>
      <c r="H86" s="549">
        <v>10264.540000000001</v>
      </c>
      <c r="I86" s="481"/>
      <c r="J86" s="481"/>
      <c r="K86" s="481"/>
      <c r="L86" s="481"/>
      <c r="M86" s="481"/>
      <c r="N86" s="481"/>
    </row>
    <row r="87" spans="1:14">
      <c r="A87" s="480" t="s">
        <v>832</v>
      </c>
      <c r="B87" s="480" t="s">
        <v>831</v>
      </c>
      <c r="C87" s="549">
        <v>10330.120000000001</v>
      </c>
      <c r="D87" s="549">
        <v>10330.120000000001</v>
      </c>
      <c r="E87" s="549">
        <v>10330.120000000001</v>
      </c>
      <c r="F87" s="549">
        <v>10330.120000000001</v>
      </c>
      <c r="G87" s="549">
        <v>10356.799999999999</v>
      </c>
      <c r="H87" s="549">
        <v>10356.77</v>
      </c>
      <c r="I87" s="481"/>
      <c r="J87" s="481"/>
      <c r="K87" s="481"/>
      <c r="L87" s="481"/>
      <c r="M87" s="481"/>
      <c r="N87" s="481"/>
    </row>
    <row r="88" spans="1:14">
      <c r="A88" s="480" t="s">
        <v>788</v>
      </c>
      <c r="B88" s="480" t="s">
        <v>787</v>
      </c>
      <c r="C88" s="549">
        <v>10661.16</v>
      </c>
      <c r="D88" s="549">
        <v>10661.16</v>
      </c>
      <c r="E88" s="549">
        <v>10661.16</v>
      </c>
      <c r="F88" s="549">
        <v>10661.16</v>
      </c>
      <c r="G88" s="549">
        <v>10648.74</v>
      </c>
      <c r="H88" s="549">
        <v>10646.53</v>
      </c>
      <c r="I88" s="481"/>
      <c r="J88" s="481"/>
      <c r="K88" s="481"/>
      <c r="L88" s="481"/>
      <c r="M88" s="481"/>
      <c r="N88" s="481"/>
    </row>
    <row r="89" spans="1:14">
      <c r="A89" s="480" t="s">
        <v>800</v>
      </c>
      <c r="B89" s="480" t="s">
        <v>799</v>
      </c>
      <c r="C89" s="549">
        <v>10508.08</v>
      </c>
      <c r="D89" s="549">
        <v>10508.08</v>
      </c>
      <c r="E89" s="549">
        <v>10508.08</v>
      </c>
      <c r="F89" s="549">
        <v>10508.08</v>
      </c>
      <c r="G89" s="549">
        <v>10505.14</v>
      </c>
      <c r="H89" s="549">
        <v>10505.03</v>
      </c>
      <c r="I89" s="481"/>
      <c r="J89" s="481"/>
      <c r="K89" s="481"/>
      <c r="L89" s="481"/>
      <c r="M89" s="481"/>
      <c r="N89" s="481"/>
    </row>
    <row r="90" spans="1:14">
      <c r="A90" s="480" t="s">
        <v>662</v>
      </c>
      <c r="B90" s="480" t="s">
        <v>661</v>
      </c>
      <c r="C90" s="549">
        <v>10252.31</v>
      </c>
      <c r="D90" s="549">
        <v>10252.31</v>
      </c>
      <c r="E90" s="549">
        <v>10252.31</v>
      </c>
      <c r="F90" s="549">
        <v>10252.31</v>
      </c>
      <c r="G90" s="549">
        <v>10207.09</v>
      </c>
      <c r="H90" s="549">
        <v>10209.34</v>
      </c>
      <c r="I90" s="481"/>
      <c r="J90" s="481"/>
      <c r="K90" s="481"/>
      <c r="L90" s="481"/>
      <c r="M90" s="481"/>
      <c r="N90" s="481"/>
    </row>
    <row r="91" spans="1:14">
      <c r="A91" s="480" t="s">
        <v>1123</v>
      </c>
      <c r="B91" s="480" t="s">
        <v>1124</v>
      </c>
      <c r="C91" s="549">
        <v>10137.540000000001</v>
      </c>
      <c r="D91" s="549">
        <v>10137.540000000001</v>
      </c>
      <c r="E91" s="549">
        <v>10137.540000000001</v>
      </c>
      <c r="F91" s="549">
        <v>10137.540000000001</v>
      </c>
      <c r="G91" s="549">
        <v>10169.379999999999</v>
      </c>
      <c r="H91" s="549">
        <v>10170.73</v>
      </c>
      <c r="I91" s="481"/>
      <c r="J91" s="481"/>
      <c r="K91" s="481"/>
      <c r="L91" s="481"/>
      <c r="M91" s="481"/>
      <c r="N91" s="481"/>
    </row>
    <row r="92" spans="1:14">
      <c r="A92" s="480" t="s">
        <v>756</v>
      </c>
      <c r="B92" s="480" t="s">
        <v>755</v>
      </c>
      <c r="C92" s="549">
        <v>10113.61</v>
      </c>
      <c r="D92" s="549">
        <v>10113.61</v>
      </c>
      <c r="E92" s="549">
        <v>10113.61</v>
      </c>
      <c r="F92" s="549">
        <v>10113.61</v>
      </c>
      <c r="G92" s="549">
        <v>10152.84</v>
      </c>
      <c r="H92" s="549">
        <v>10155.24</v>
      </c>
      <c r="I92" s="481"/>
      <c r="J92" s="481"/>
      <c r="K92" s="481"/>
      <c r="L92" s="481"/>
      <c r="M92" s="481"/>
      <c r="N92" s="481"/>
    </row>
    <row r="93" spans="1:14">
      <c r="A93" s="480" t="s">
        <v>626</v>
      </c>
      <c r="B93" s="480" t="s">
        <v>625</v>
      </c>
      <c r="C93" s="549">
        <v>11023.53</v>
      </c>
      <c r="D93" s="549">
        <v>11023.53</v>
      </c>
      <c r="E93" s="549">
        <v>11023.53</v>
      </c>
      <c r="F93" s="549">
        <v>11023.53</v>
      </c>
      <c r="G93" s="549">
        <v>10993.53</v>
      </c>
      <c r="H93" s="549">
        <v>10983.75</v>
      </c>
      <c r="I93" s="481"/>
      <c r="J93" s="481"/>
      <c r="K93" s="481"/>
      <c r="L93" s="481"/>
      <c r="M93" s="481"/>
      <c r="N93" s="481"/>
    </row>
    <row r="94" spans="1:14">
      <c r="A94" s="480" t="s">
        <v>932</v>
      </c>
      <c r="B94" s="480" t="s">
        <v>931</v>
      </c>
      <c r="C94" s="549">
        <v>10714.78</v>
      </c>
      <c r="D94" s="549">
        <v>10714.78</v>
      </c>
      <c r="E94" s="549">
        <v>10714.78</v>
      </c>
      <c r="F94" s="549">
        <v>10714.78</v>
      </c>
      <c r="G94" s="549">
        <v>10723.27</v>
      </c>
      <c r="H94" s="549">
        <v>10719.51</v>
      </c>
      <c r="I94" s="481"/>
      <c r="J94" s="481"/>
      <c r="K94" s="481"/>
      <c r="L94" s="481"/>
      <c r="M94" s="481"/>
      <c r="N94" s="481"/>
    </row>
    <row r="95" spans="1:14">
      <c r="A95" s="480" t="s">
        <v>1058</v>
      </c>
      <c r="B95" s="480" t="s">
        <v>1057</v>
      </c>
      <c r="C95" s="549">
        <v>10324.59</v>
      </c>
      <c r="D95" s="549">
        <v>10324.59</v>
      </c>
      <c r="E95" s="549">
        <v>10324.59</v>
      </c>
      <c r="F95" s="549">
        <v>10324.59</v>
      </c>
      <c r="G95" s="549">
        <v>10404.99</v>
      </c>
      <c r="H95" s="549">
        <v>10399.58</v>
      </c>
      <c r="I95" s="481"/>
      <c r="J95" s="481"/>
      <c r="K95" s="481"/>
      <c r="L95" s="481"/>
      <c r="M95" s="481"/>
      <c r="N95" s="481"/>
    </row>
    <row r="96" spans="1:14">
      <c r="A96" s="480" t="s">
        <v>850</v>
      </c>
      <c r="B96" s="480" t="s">
        <v>849</v>
      </c>
      <c r="C96" s="549">
        <v>10178.83</v>
      </c>
      <c r="D96" s="549">
        <v>10178.83</v>
      </c>
      <c r="E96" s="549">
        <v>10178.83</v>
      </c>
      <c r="F96" s="549">
        <v>10178.83</v>
      </c>
      <c r="G96" s="549">
        <v>10209.459999999999</v>
      </c>
      <c r="H96" s="549">
        <v>10213.790000000001</v>
      </c>
      <c r="I96" s="481"/>
      <c r="J96" s="481"/>
      <c r="K96" s="481"/>
      <c r="L96" s="481"/>
      <c r="M96" s="481"/>
      <c r="N96" s="481"/>
    </row>
    <row r="97" spans="1:14">
      <c r="A97" s="480" t="s">
        <v>848</v>
      </c>
      <c r="B97" s="480" t="s">
        <v>847</v>
      </c>
      <c r="C97" s="549">
        <v>10342.57</v>
      </c>
      <c r="D97" s="549">
        <v>10342.57</v>
      </c>
      <c r="E97" s="549">
        <v>10342.57</v>
      </c>
      <c r="F97" s="549">
        <v>10342.57</v>
      </c>
      <c r="G97" s="549">
        <v>10466.870000000001</v>
      </c>
      <c r="H97" s="549">
        <v>10464.58</v>
      </c>
      <c r="I97" s="481"/>
      <c r="J97" s="481"/>
      <c r="K97" s="481"/>
      <c r="L97" s="481"/>
      <c r="M97" s="481"/>
      <c r="N97" s="481"/>
    </row>
    <row r="98" spans="1:14">
      <c r="A98" s="480" t="s">
        <v>1125</v>
      </c>
      <c r="B98" s="480" t="s">
        <v>1126</v>
      </c>
      <c r="C98" s="549">
        <v>0</v>
      </c>
      <c r="D98" s="549">
        <v>0</v>
      </c>
      <c r="E98" s="549">
        <v>0</v>
      </c>
      <c r="F98" s="549">
        <v>0</v>
      </c>
      <c r="G98" s="549">
        <v>0</v>
      </c>
      <c r="H98" s="549">
        <v>0</v>
      </c>
      <c r="I98" s="481"/>
      <c r="J98" s="481"/>
      <c r="K98" s="481"/>
      <c r="L98" s="481"/>
      <c r="M98" s="481"/>
      <c r="N98" s="481"/>
    </row>
    <row r="99" spans="1:14">
      <c r="A99" s="480" t="s">
        <v>844</v>
      </c>
      <c r="B99" s="480" t="s">
        <v>843</v>
      </c>
      <c r="C99" s="549">
        <v>11178.62</v>
      </c>
      <c r="D99" s="549">
        <v>11178.62</v>
      </c>
      <c r="E99" s="549">
        <v>11178.62</v>
      </c>
      <c r="F99" s="549">
        <v>11178.62</v>
      </c>
      <c r="G99" s="549">
        <v>11170.14</v>
      </c>
      <c r="H99" s="549">
        <v>11170.16</v>
      </c>
      <c r="I99" s="481"/>
      <c r="J99" s="481"/>
      <c r="K99" s="481"/>
      <c r="L99" s="481"/>
      <c r="M99" s="481"/>
      <c r="N99" s="481"/>
    </row>
    <row r="100" spans="1:14">
      <c r="A100" s="480" t="s">
        <v>630</v>
      </c>
      <c r="B100" s="480" t="s">
        <v>629</v>
      </c>
      <c r="C100" s="549">
        <v>11153.16</v>
      </c>
      <c r="D100" s="549">
        <v>11153.16</v>
      </c>
      <c r="E100" s="549">
        <v>11153.16</v>
      </c>
      <c r="F100" s="549">
        <v>11153.16</v>
      </c>
      <c r="G100" s="549">
        <v>11115.39</v>
      </c>
      <c r="H100" s="549">
        <v>11116.76</v>
      </c>
      <c r="I100" s="481"/>
      <c r="J100" s="481"/>
      <c r="K100" s="481"/>
      <c r="L100" s="481"/>
      <c r="M100" s="481"/>
      <c r="N100" s="481"/>
    </row>
    <row r="101" spans="1:14">
      <c r="A101" s="480" t="s">
        <v>962</v>
      </c>
      <c r="B101" s="480" t="s">
        <v>961</v>
      </c>
      <c r="C101" s="549">
        <v>11476.74</v>
      </c>
      <c r="D101" s="549">
        <v>11476.74</v>
      </c>
      <c r="E101" s="549">
        <v>11476.74</v>
      </c>
      <c r="F101" s="549">
        <v>11476.74</v>
      </c>
      <c r="G101" s="549">
        <v>11477.78</v>
      </c>
      <c r="H101" s="549">
        <v>11479.98</v>
      </c>
      <c r="I101" s="481"/>
      <c r="J101" s="481"/>
      <c r="K101" s="481"/>
      <c r="L101" s="481"/>
      <c r="M101" s="481"/>
      <c r="N101" s="481"/>
    </row>
    <row r="102" spans="1:14">
      <c r="A102" s="480" t="s">
        <v>1127</v>
      </c>
      <c r="B102" s="480" t="s">
        <v>1128</v>
      </c>
      <c r="C102" s="549">
        <v>10520.1</v>
      </c>
      <c r="D102" s="549">
        <v>10520.1</v>
      </c>
      <c r="E102" s="549">
        <v>10520.1</v>
      </c>
      <c r="F102" s="549">
        <v>10520.1</v>
      </c>
      <c r="G102" s="549">
        <v>10726.41</v>
      </c>
      <c r="H102" s="549">
        <v>10730.39</v>
      </c>
      <c r="I102" s="481"/>
      <c r="J102" s="481"/>
      <c r="K102" s="481"/>
      <c r="L102" s="481"/>
      <c r="M102" s="481"/>
      <c r="N102" s="481"/>
    </row>
    <row r="103" spans="1:14">
      <c r="A103" s="480" t="s">
        <v>1129</v>
      </c>
      <c r="B103" s="480" t="s">
        <v>1130</v>
      </c>
      <c r="C103" s="549">
        <v>10554.73</v>
      </c>
      <c r="D103" s="549">
        <v>10554.73</v>
      </c>
      <c r="E103" s="549">
        <v>10554.73</v>
      </c>
      <c r="F103" s="549">
        <v>10554.73</v>
      </c>
      <c r="G103" s="549">
        <v>10553.39</v>
      </c>
      <c r="H103" s="549">
        <v>10547.84</v>
      </c>
      <c r="I103" s="481"/>
      <c r="J103" s="481"/>
      <c r="K103" s="481"/>
      <c r="L103" s="481"/>
      <c r="M103" s="481"/>
      <c r="N103" s="481"/>
    </row>
    <row r="104" spans="1:14">
      <c r="A104" s="480" t="s">
        <v>902</v>
      </c>
      <c r="B104" s="480" t="s">
        <v>901</v>
      </c>
      <c r="C104" s="549">
        <v>10231.48</v>
      </c>
      <c r="D104" s="549">
        <v>10231.48</v>
      </c>
      <c r="E104" s="549">
        <v>10231.48</v>
      </c>
      <c r="F104" s="549">
        <v>10231.48</v>
      </c>
      <c r="G104" s="549">
        <v>10220.86</v>
      </c>
      <c r="H104" s="549">
        <v>10220.790000000001</v>
      </c>
      <c r="I104" s="481"/>
      <c r="J104" s="481"/>
      <c r="K104" s="481"/>
      <c r="L104" s="481"/>
      <c r="M104" s="481"/>
      <c r="N104" s="481"/>
    </row>
    <row r="105" spans="1:14">
      <c r="A105" s="480" t="s">
        <v>608</v>
      </c>
      <c r="B105" s="480" t="s">
        <v>607</v>
      </c>
      <c r="C105" s="549">
        <v>11368.61</v>
      </c>
      <c r="D105" s="549">
        <v>11368.61</v>
      </c>
      <c r="E105" s="549">
        <v>11368.61</v>
      </c>
      <c r="F105" s="549">
        <v>11368.61</v>
      </c>
      <c r="G105" s="549">
        <v>11282.93</v>
      </c>
      <c r="H105" s="549">
        <v>11284.5</v>
      </c>
      <c r="I105" s="481"/>
      <c r="J105" s="481"/>
      <c r="K105" s="481"/>
      <c r="L105" s="481"/>
      <c r="M105" s="481"/>
      <c r="N105" s="481"/>
    </row>
    <row r="106" spans="1:14">
      <c r="A106" s="480" t="s">
        <v>894</v>
      </c>
      <c r="B106" s="480" t="s">
        <v>893</v>
      </c>
      <c r="C106" s="549">
        <v>11122.84</v>
      </c>
      <c r="D106" s="549">
        <v>11122.84</v>
      </c>
      <c r="E106" s="549">
        <v>11122.84</v>
      </c>
      <c r="F106" s="549">
        <v>11122.84</v>
      </c>
      <c r="G106" s="549">
        <v>11101.19</v>
      </c>
      <c r="H106" s="549">
        <v>11101.18</v>
      </c>
      <c r="I106" s="481"/>
      <c r="J106" s="481"/>
      <c r="K106" s="481"/>
      <c r="L106" s="481"/>
      <c r="M106" s="481"/>
      <c r="N106" s="481"/>
    </row>
    <row r="107" spans="1:14">
      <c r="A107" s="480" t="s">
        <v>934</v>
      </c>
      <c r="B107" s="480" t="s">
        <v>933</v>
      </c>
      <c r="C107" s="549">
        <v>11634.15</v>
      </c>
      <c r="D107" s="549">
        <v>11634.15</v>
      </c>
      <c r="E107" s="549">
        <v>11634.15</v>
      </c>
      <c r="F107" s="549">
        <v>11634.15</v>
      </c>
      <c r="G107" s="549">
        <v>11647.33</v>
      </c>
      <c r="H107" s="549">
        <v>11647.23</v>
      </c>
      <c r="I107" s="481"/>
      <c r="J107" s="481"/>
      <c r="K107" s="481"/>
      <c r="L107" s="481"/>
      <c r="M107" s="481"/>
      <c r="N107" s="481"/>
    </row>
    <row r="108" spans="1:14">
      <c r="A108" s="480" t="s">
        <v>678</v>
      </c>
      <c r="B108" s="480" t="s">
        <v>677</v>
      </c>
      <c r="C108" s="549">
        <v>11197.38</v>
      </c>
      <c r="D108" s="549">
        <v>11197.38</v>
      </c>
      <c r="E108" s="549">
        <v>11197.38</v>
      </c>
      <c r="F108" s="549">
        <v>11197.38</v>
      </c>
      <c r="G108" s="549">
        <v>11190.4</v>
      </c>
      <c r="H108" s="549">
        <v>11190.29</v>
      </c>
      <c r="I108" s="481"/>
      <c r="J108" s="481"/>
      <c r="K108" s="481"/>
      <c r="L108" s="481"/>
      <c r="M108" s="481"/>
      <c r="N108" s="481"/>
    </row>
    <row r="109" spans="1:14">
      <c r="A109" s="480" t="s">
        <v>668</v>
      </c>
      <c r="B109" s="480" t="s">
        <v>667</v>
      </c>
      <c r="C109" s="549">
        <v>11160.38</v>
      </c>
      <c r="D109" s="549">
        <v>11160.38</v>
      </c>
      <c r="E109" s="549">
        <v>11160.38</v>
      </c>
      <c r="F109" s="549">
        <v>11160.38</v>
      </c>
      <c r="G109" s="549">
        <v>11136.79</v>
      </c>
      <c r="H109" s="549">
        <v>11139.1</v>
      </c>
      <c r="I109" s="481"/>
      <c r="J109" s="481"/>
      <c r="K109" s="481"/>
      <c r="L109" s="481"/>
      <c r="M109" s="481"/>
      <c r="N109" s="481"/>
    </row>
    <row r="110" spans="1:14">
      <c r="A110" s="480" t="s">
        <v>1131</v>
      </c>
      <c r="B110" s="480" t="s">
        <v>1132</v>
      </c>
      <c r="C110" s="549">
        <v>11435.28</v>
      </c>
      <c r="D110" s="549">
        <v>11435.28</v>
      </c>
      <c r="E110" s="549">
        <v>11435.28</v>
      </c>
      <c r="F110" s="549">
        <v>11435.28</v>
      </c>
      <c r="G110" s="549">
        <v>11453.35</v>
      </c>
      <c r="H110" s="549">
        <v>11453.29</v>
      </c>
      <c r="I110" s="481"/>
      <c r="J110" s="481"/>
      <c r="K110" s="481"/>
      <c r="L110" s="481"/>
      <c r="M110" s="481"/>
      <c r="N110" s="481"/>
    </row>
    <row r="111" spans="1:14">
      <c r="A111" s="480" t="s">
        <v>712</v>
      </c>
      <c r="B111" s="480" t="s">
        <v>711</v>
      </c>
      <c r="C111" s="549">
        <v>11617.1</v>
      </c>
      <c r="D111" s="549">
        <v>11617.1</v>
      </c>
      <c r="E111" s="549">
        <v>11617.1</v>
      </c>
      <c r="F111" s="549">
        <v>11617.1</v>
      </c>
      <c r="G111" s="549">
        <v>11621.84</v>
      </c>
      <c r="H111" s="549">
        <v>11623.09</v>
      </c>
      <c r="I111" s="481"/>
      <c r="J111" s="481"/>
      <c r="K111" s="481"/>
      <c r="L111" s="481"/>
      <c r="M111" s="481"/>
      <c r="N111" s="481"/>
    </row>
    <row r="112" spans="1:14">
      <c r="A112" s="480" t="s">
        <v>1018</v>
      </c>
      <c r="B112" s="480" t="s">
        <v>1017</v>
      </c>
      <c r="C112" s="549">
        <v>11065.39</v>
      </c>
      <c r="D112" s="549">
        <v>11065.39</v>
      </c>
      <c r="E112" s="549">
        <v>11065.39</v>
      </c>
      <c r="F112" s="549">
        <v>11065.39</v>
      </c>
      <c r="G112" s="549">
        <v>11033.23</v>
      </c>
      <c r="H112" s="549">
        <v>11035.36</v>
      </c>
      <c r="I112" s="481"/>
      <c r="J112" s="481"/>
      <c r="K112" s="481"/>
      <c r="L112" s="481"/>
      <c r="M112" s="481"/>
      <c r="N112" s="481"/>
    </row>
    <row r="113" spans="1:14">
      <c r="A113" s="480" t="s">
        <v>914</v>
      </c>
      <c r="B113" s="480" t="s">
        <v>913</v>
      </c>
      <c r="C113" s="549">
        <v>11655.42</v>
      </c>
      <c r="D113" s="549">
        <v>11655.42</v>
      </c>
      <c r="E113" s="549">
        <v>11655.42</v>
      </c>
      <c r="F113" s="549">
        <v>11655.42</v>
      </c>
      <c r="G113" s="549">
        <v>11652.97</v>
      </c>
      <c r="H113" s="549">
        <v>11654.19</v>
      </c>
      <c r="I113" s="481"/>
      <c r="J113" s="481"/>
      <c r="K113" s="481"/>
      <c r="L113" s="481"/>
      <c r="M113" s="481"/>
      <c r="N113" s="481"/>
    </row>
    <row r="114" spans="1:14">
      <c r="A114" s="480" t="s">
        <v>950</v>
      </c>
      <c r="B114" s="480" t="s">
        <v>949</v>
      </c>
      <c r="C114" s="549">
        <v>11867.9</v>
      </c>
      <c r="D114" s="549">
        <v>11867.9</v>
      </c>
      <c r="E114" s="549">
        <v>11867.9</v>
      </c>
      <c r="F114" s="549">
        <v>11867.9</v>
      </c>
      <c r="G114" s="549">
        <v>11731.7</v>
      </c>
      <c r="H114" s="549">
        <v>11729.63</v>
      </c>
      <c r="I114" s="481"/>
      <c r="J114" s="481"/>
      <c r="K114" s="481"/>
      <c r="L114" s="481"/>
      <c r="M114" s="481"/>
      <c r="N114" s="481"/>
    </row>
    <row r="115" spans="1:14">
      <c r="A115" s="480" t="s">
        <v>564</v>
      </c>
      <c r="B115" s="480" t="s">
        <v>563</v>
      </c>
      <c r="C115" s="549">
        <v>11370.95</v>
      </c>
      <c r="D115" s="549">
        <v>11370.95</v>
      </c>
      <c r="E115" s="549">
        <v>11370.95</v>
      </c>
      <c r="F115" s="549">
        <v>11370.95</v>
      </c>
      <c r="G115" s="549">
        <v>11228.05</v>
      </c>
      <c r="H115" s="549">
        <v>11229.29</v>
      </c>
      <c r="I115" s="481"/>
      <c r="J115" s="481"/>
      <c r="K115" s="481"/>
      <c r="L115" s="481"/>
      <c r="M115" s="481"/>
      <c r="N115" s="481"/>
    </row>
    <row r="116" spans="1:14">
      <c r="A116" s="480" t="s">
        <v>1008</v>
      </c>
      <c r="B116" s="480" t="s">
        <v>1007</v>
      </c>
      <c r="C116" s="549">
        <v>11592.23</v>
      </c>
      <c r="D116" s="549">
        <v>11592.23</v>
      </c>
      <c r="E116" s="549">
        <v>11592.23</v>
      </c>
      <c r="F116" s="549">
        <v>11592.23</v>
      </c>
      <c r="G116" s="549">
        <v>11628.79</v>
      </c>
      <c r="H116" s="549">
        <v>11626.4</v>
      </c>
      <c r="I116" s="481"/>
      <c r="J116" s="481"/>
      <c r="K116" s="481"/>
      <c r="L116" s="481"/>
      <c r="M116" s="481"/>
      <c r="N116" s="481"/>
    </row>
    <row r="117" spans="1:14">
      <c r="A117" s="480" t="s">
        <v>926</v>
      </c>
      <c r="B117" s="480" t="s">
        <v>925</v>
      </c>
      <c r="C117" s="549">
        <v>11557.3</v>
      </c>
      <c r="D117" s="549">
        <v>11557.3</v>
      </c>
      <c r="E117" s="549">
        <v>11557.3</v>
      </c>
      <c r="F117" s="549">
        <v>11557.3</v>
      </c>
      <c r="G117" s="549">
        <v>11541.53</v>
      </c>
      <c r="H117" s="549">
        <v>11540.49</v>
      </c>
      <c r="I117" s="481"/>
      <c r="J117" s="481"/>
      <c r="K117" s="481"/>
      <c r="L117" s="481"/>
      <c r="M117" s="481"/>
      <c r="N117" s="481"/>
    </row>
    <row r="118" spans="1:14">
      <c r="A118" s="480" t="s">
        <v>558</v>
      </c>
      <c r="B118" s="480" t="s">
        <v>557</v>
      </c>
      <c r="C118" s="549">
        <v>11150.64</v>
      </c>
      <c r="D118" s="549">
        <v>11150.64</v>
      </c>
      <c r="E118" s="549">
        <v>11150.64</v>
      </c>
      <c r="F118" s="549">
        <v>11150.64</v>
      </c>
      <c r="G118" s="549">
        <v>11172.38</v>
      </c>
      <c r="H118" s="549">
        <v>11173.44</v>
      </c>
      <c r="I118" s="481"/>
      <c r="J118" s="481"/>
      <c r="K118" s="481"/>
      <c r="L118" s="481"/>
      <c r="M118" s="481"/>
      <c r="N118" s="481"/>
    </row>
    <row r="119" spans="1:14">
      <c r="A119" s="480" t="s">
        <v>992</v>
      </c>
      <c r="B119" s="480" t="s">
        <v>991</v>
      </c>
      <c r="C119" s="549">
        <v>11738.84</v>
      </c>
      <c r="D119" s="549">
        <v>11738.84</v>
      </c>
      <c r="E119" s="549">
        <v>11738.84</v>
      </c>
      <c r="F119" s="549">
        <v>11738.84</v>
      </c>
      <c r="G119" s="549">
        <v>11693.33</v>
      </c>
      <c r="H119" s="549">
        <v>11694.61</v>
      </c>
      <c r="I119" s="481"/>
      <c r="J119" s="481"/>
      <c r="K119" s="481"/>
      <c r="L119" s="481"/>
      <c r="M119" s="481"/>
      <c r="N119" s="481"/>
    </row>
    <row r="120" spans="1:14">
      <c r="A120" s="480" t="s">
        <v>954</v>
      </c>
      <c r="B120" s="480" t="s">
        <v>953</v>
      </c>
      <c r="C120" s="549">
        <v>11542.46</v>
      </c>
      <c r="D120" s="549">
        <v>11542.46</v>
      </c>
      <c r="E120" s="549">
        <v>11542.46</v>
      </c>
      <c r="F120" s="549">
        <v>11542.46</v>
      </c>
      <c r="G120" s="549">
        <v>11543.48</v>
      </c>
      <c r="H120" s="549">
        <v>11543.44</v>
      </c>
      <c r="I120" s="481"/>
      <c r="J120" s="481"/>
      <c r="K120" s="481"/>
      <c r="L120" s="481"/>
      <c r="M120" s="481"/>
      <c r="N120" s="481"/>
    </row>
    <row r="121" spans="1:14">
      <c r="A121" s="480" t="s">
        <v>728</v>
      </c>
      <c r="B121" s="480" t="s">
        <v>727</v>
      </c>
      <c r="C121" s="549">
        <v>11525.09</v>
      </c>
      <c r="D121" s="549">
        <v>11525.09</v>
      </c>
      <c r="E121" s="549">
        <v>11525.09</v>
      </c>
      <c r="F121" s="549">
        <v>11525.09</v>
      </c>
      <c r="G121" s="549">
        <v>11470.04</v>
      </c>
      <c r="H121" s="549">
        <v>11471.24</v>
      </c>
      <c r="I121" s="481"/>
      <c r="J121" s="481"/>
      <c r="K121" s="481"/>
      <c r="L121" s="481"/>
      <c r="M121" s="481"/>
      <c r="N121" s="481"/>
    </row>
    <row r="122" spans="1:14">
      <c r="A122" s="480" t="s">
        <v>946</v>
      </c>
      <c r="B122" s="480" t="s">
        <v>945</v>
      </c>
      <c r="C122" s="549">
        <v>11550.68</v>
      </c>
      <c r="D122" s="549">
        <v>11550.68</v>
      </c>
      <c r="E122" s="549">
        <v>11550.68</v>
      </c>
      <c r="F122" s="549">
        <v>11550.68</v>
      </c>
      <c r="G122" s="549">
        <v>11527.69</v>
      </c>
      <c r="H122" s="549">
        <v>11528.88</v>
      </c>
      <c r="I122" s="481"/>
      <c r="J122" s="481"/>
      <c r="K122" s="481"/>
      <c r="L122" s="481"/>
      <c r="M122" s="481"/>
      <c r="N122" s="481"/>
    </row>
    <row r="123" spans="1:14">
      <c r="A123" s="480" t="s">
        <v>760</v>
      </c>
      <c r="B123" s="480" t="s">
        <v>759</v>
      </c>
      <c r="C123" s="549">
        <v>11523.65</v>
      </c>
      <c r="D123" s="549">
        <v>11523.65</v>
      </c>
      <c r="E123" s="549">
        <v>11523.65</v>
      </c>
      <c r="F123" s="549">
        <v>11523.65</v>
      </c>
      <c r="G123" s="549">
        <v>11518.24</v>
      </c>
      <c r="H123" s="549">
        <v>11519.51</v>
      </c>
      <c r="I123" s="481"/>
      <c r="J123" s="481"/>
      <c r="K123" s="481"/>
      <c r="L123" s="481"/>
      <c r="M123" s="481"/>
      <c r="N123" s="481"/>
    </row>
    <row r="124" spans="1:14">
      <c r="A124" s="480" t="s">
        <v>738</v>
      </c>
      <c r="B124" s="480" t="s">
        <v>737</v>
      </c>
      <c r="C124" s="549">
        <v>11606.22</v>
      </c>
      <c r="D124" s="549">
        <v>11606.22</v>
      </c>
      <c r="E124" s="549">
        <v>11606.22</v>
      </c>
      <c r="F124" s="549">
        <v>11606.22</v>
      </c>
      <c r="G124" s="549">
        <v>11452.73</v>
      </c>
      <c r="H124" s="549">
        <v>11453.85</v>
      </c>
      <c r="I124" s="481"/>
      <c r="J124" s="481"/>
      <c r="K124" s="481"/>
      <c r="L124" s="481"/>
      <c r="M124" s="481"/>
      <c r="N124" s="481"/>
    </row>
    <row r="125" spans="1:14">
      <c r="A125" s="480" t="s">
        <v>842</v>
      </c>
      <c r="B125" s="480" t="s">
        <v>841</v>
      </c>
      <c r="C125" s="549">
        <v>11520.84</v>
      </c>
      <c r="D125" s="549">
        <v>11520.84</v>
      </c>
      <c r="E125" s="549">
        <v>11520.84</v>
      </c>
      <c r="F125" s="549">
        <v>11520.84</v>
      </c>
      <c r="G125" s="549">
        <v>11499.6</v>
      </c>
      <c r="H125" s="549">
        <v>11499.57</v>
      </c>
      <c r="I125" s="481"/>
      <c r="J125" s="481"/>
      <c r="K125" s="481"/>
      <c r="L125" s="481"/>
      <c r="M125" s="481"/>
      <c r="N125" s="481"/>
    </row>
    <row r="126" spans="1:14">
      <c r="A126" s="480" t="s">
        <v>1133</v>
      </c>
      <c r="B126" s="480" t="s">
        <v>1134</v>
      </c>
      <c r="C126" s="549">
        <v>0</v>
      </c>
      <c r="D126" s="549">
        <v>0</v>
      </c>
      <c r="E126" s="549">
        <v>0</v>
      </c>
      <c r="F126" s="549">
        <v>0</v>
      </c>
      <c r="G126" s="549">
        <v>0</v>
      </c>
      <c r="H126" s="549">
        <v>0</v>
      </c>
      <c r="I126" s="481"/>
      <c r="J126" s="481"/>
      <c r="K126" s="481"/>
      <c r="L126" s="481"/>
      <c r="M126" s="481"/>
      <c r="N126" s="481"/>
    </row>
    <row r="127" spans="1:14">
      <c r="A127" s="480" t="s">
        <v>1135</v>
      </c>
      <c r="B127" s="480" t="s">
        <v>1136</v>
      </c>
      <c r="C127" s="549">
        <v>10862.99</v>
      </c>
      <c r="D127" s="549">
        <v>10862.99</v>
      </c>
      <c r="E127" s="549">
        <v>10862.99</v>
      </c>
      <c r="F127" s="549">
        <v>10862.99</v>
      </c>
      <c r="G127" s="549">
        <v>10861.98</v>
      </c>
      <c r="H127" s="549">
        <v>10862.99</v>
      </c>
      <c r="I127" s="481"/>
      <c r="J127" s="481"/>
      <c r="K127" s="481"/>
      <c r="L127" s="481"/>
      <c r="M127" s="481"/>
      <c r="N127" s="481"/>
    </row>
    <row r="128" spans="1:14">
      <c r="A128" s="480" t="s">
        <v>816</v>
      </c>
      <c r="B128" s="480" t="s">
        <v>815</v>
      </c>
      <c r="C128" s="549">
        <v>11075.02</v>
      </c>
      <c r="D128" s="549">
        <v>11075.02</v>
      </c>
      <c r="E128" s="549">
        <v>11075.02</v>
      </c>
      <c r="F128" s="549">
        <v>11075.02</v>
      </c>
      <c r="G128" s="549">
        <v>11071.33</v>
      </c>
      <c r="H128" s="549">
        <v>11069.65</v>
      </c>
      <c r="I128" s="481"/>
      <c r="J128" s="481"/>
      <c r="K128" s="481"/>
      <c r="L128" s="481"/>
      <c r="M128" s="481"/>
      <c r="N128" s="481"/>
    </row>
    <row r="129" spans="1:14">
      <c r="A129" s="480" t="s">
        <v>1137</v>
      </c>
      <c r="B129" s="480" t="s">
        <v>1138</v>
      </c>
      <c r="C129" s="549">
        <v>0</v>
      </c>
      <c r="D129" s="549">
        <v>0</v>
      </c>
      <c r="E129" s="549">
        <v>0</v>
      </c>
      <c r="F129" s="549">
        <v>0</v>
      </c>
      <c r="G129" s="549">
        <v>0</v>
      </c>
      <c r="H129" s="549">
        <v>0</v>
      </c>
      <c r="I129" s="481"/>
      <c r="J129" s="481"/>
      <c r="K129" s="481"/>
      <c r="L129" s="481"/>
      <c r="M129" s="481"/>
      <c r="N129" s="481"/>
    </row>
    <row r="130" spans="1:14">
      <c r="A130" s="480" t="s">
        <v>1139</v>
      </c>
      <c r="B130" s="480" t="s">
        <v>1140</v>
      </c>
      <c r="C130" s="549">
        <v>10667.59</v>
      </c>
      <c r="D130" s="549">
        <v>10667.59</v>
      </c>
      <c r="E130" s="549">
        <v>10667.59</v>
      </c>
      <c r="F130" s="549">
        <v>10667.59</v>
      </c>
      <c r="G130" s="549">
        <v>10656.64</v>
      </c>
      <c r="H130" s="549">
        <v>10656.5</v>
      </c>
      <c r="I130" s="481"/>
      <c r="J130" s="481"/>
      <c r="K130" s="481"/>
      <c r="L130" s="481"/>
      <c r="M130" s="481"/>
      <c r="N130" s="481"/>
    </row>
    <row r="131" spans="1:14">
      <c r="A131" s="480" t="s">
        <v>1141</v>
      </c>
      <c r="B131" s="480" t="s">
        <v>1142</v>
      </c>
      <c r="C131" s="549">
        <v>10481.629999999999</v>
      </c>
      <c r="D131" s="549">
        <v>10481.629999999999</v>
      </c>
      <c r="E131" s="549">
        <v>10481.629999999999</v>
      </c>
      <c r="F131" s="549">
        <v>10481.629999999999</v>
      </c>
      <c r="G131" s="549">
        <v>10483.41</v>
      </c>
      <c r="H131" s="549">
        <v>10481.629999999999</v>
      </c>
      <c r="I131" s="481"/>
      <c r="J131" s="481"/>
      <c r="K131" s="481"/>
      <c r="L131" s="481"/>
      <c r="M131" s="481"/>
      <c r="N131" s="481"/>
    </row>
    <row r="132" spans="1:14">
      <c r="A132" s="480" t="s">
        <v>1143</v>
      </c>
      <c r="B132" s="480" t="s">
        <v>1144</v>
      </c>
      <c r="C132" s="549">
        <v>11152.92</v>
      </c>
      <c r="D132" s="549">
        <v>11152.92</v>
      </c>
      <c r="E132" s="549">
        <v>11152.92</v>
      </c>
      <c r="F132" s="549">
        <v>11152.92</v>
      </c>
      <c r="G132" s="549">
        <v>10678.09</v>
      </c>
      <c r="H132" s="549">
        <v>10677.93</v>
      </c>
      <c r="I132" s="481"/>
      <c r="J132" s="481"/>
      <c r="K132" s="481"/>
      <c r="L132" s="481"/>
      <c r="M132" s="481"/>
      <c r="N132" s="481"/>
    </row>
    <row r="133" spans="1:14">
      <c r="A133" s="480" t="s">
        <v>720</v>
      </c>
      <c r="B133" s="480" t="s">
        <v>719</v>
      </c>
      <c r="C133" s="549">
        <v>12913.48</v>
      </c>
      <c r="D133" s="549">
        <v>12913.48</v>
      </c>
      <c r="E133" s="549">
        <v>12913.48</v>
      </c>
      <c r="F133" s="549">
        <v>12913.48</v>
      </c>
      <c r="G133" s="549">
        <v>12942.68</v>
      </c>
      <c r="H133" s="549">
        <v>12940.12</v>
      </c>
      <c r="I133" s="481"/>
      <c r="J133" s="481"/>
      <c r="K133" s="481"/>
      <c r="L133" s="481"/>
      <c r="M133" s="481"/>
      <c r="N133" s="481"/>
    </row>
    <row r="134" spans="1:14">
      <c r="A134" s="480" t="s">
        <v>722</v>
      </c>
      <c r="B134" s="480" t="s">
        <v>721</v>
      </c>
      <c r="C134" s="549">
        <v>13006.75</v>
      </c>
      <c r="D134" s="549">
        <v>13006.75</v>
      </c>
      <c r="E134" s="549">
        <v>13006.75</v>
      </c>
      <c r="F134" s="549">
        <v>13006.75</v>
      </c>
      <c r="G134" s="549">
        <v>12953.96</v>
      </c>
      <c r="H134" s="549">
        <v>12951.67</v>
      </c>
      <c r="I134" s="481"/>
      <c r="J134" s="481"/>
      <c r="K134" s="481"/>
      <c r="L134" s="481"/>
      <c r="M134" s="481"/>
      <c r="N134" s="481"/>
    </row>
    <row r="135" spans="1:14">
      <c r="A135" s="480" t="s">
        <v>1145</v>
      </c>
      <c r="B135" s="480" t="s">
        <v>1146</v>
      </c>
      <c r="C135" s="549">
        <v>10862.99</v>
      </c>
      <c r="D135" s="549">
        <v>10862.99</v>
      </c>
      <c r="E135" s="549">
        <v>10862.99</v>
      </c>
      <c r="F135" s="549">
        <v>10862.99</v>
      </c>
      <c r="G135" s="549">
        <v>10861.98</v>
      </c>
      <c r="H135" s="549">
        <v>10861.98</v>
      </c>
      <c r="I135" s="481"/>
      <c r="J135" s="481"/>
      <c r="K135" s="481"/>
      <c r="L135" s="481"/>
      <c r="M135" s="481"/>
      <c r="N135" s="481"/>
    </row>
    <row r="136" spans="1:14">
      <c r="A136" s="480" t="s">
        <v>1147</v>
      </c>
      <c r="B136" s="480" t="s">
        <v>1148</v>
      </c>
      <c r="C136" s="549">
        <v>0</v>
      </c>
      <c r="D136" s="549">
        <v>0</v>
      </c>
      <c r="E136" s="549">
        <v>0</v>
      </c>
      <c r="F136" s="549">
        <v>0</v>
      </c>
      <c r="G136" s="549">
        <v>0</v>
      </c>
      <c r="H136" s="549">
        <v>0</v>
      </c>
      <c r="I136" s="481"/>
      <c r="J136" s="481"/>
      <c r="K136" s="481"/>
      <c r="L136" s="481"/>
      <c r="M136" s="481"/>
      <c r="N136" s="481"/>
    </row>
    <row r="137" spans="1:14">
      <c r="A137" s="480" t="s">
        <v>716</v>
      </c>
      <c r="B137" s="480" t="s">
        <v>715</v>
      </c>
      <c r="C137" s="549">
        <v>13390.27</v>
      </c>
      <c r="D137" s="549">
        <v>13390.27</v>
      </c>
      <c r="E137" s="549">
        <v>13390.27</v>
      </c>
      <c r="F137" s="549">
        <v>13390.27</v>
      </c>
      <c r="G137" s="549">
        <v>13402.82</v>
      </c>
      <c r="H137" s="549">
        <v>13396.42</v>
      </c>
      <c r="I137" s="481"/>
      <c r="J137" s="481"/>
      <c r="K137" s="481"/>
      <c r="L137" s="481"/>
      <c r="M137" s="481"/>
      <c r="N137" s="481"/>
    </row>
    <row r="138" spans="1:14">
      <c r="A138" s="480" t="s">
        <v>1149</v>
      </c>
      <c r="B138" s="480" t="s">
        <v>1150</v>
      </c>
      <c r="C138" s="549">
        <v>0</v>
      </c>
      <c r="D138" s="549">
        <v>0</v>
      </c>
      <c r="E138" s="549">
        <v>0</v>
      </c>
      <c r="F138" s="549">
        <v>0</v>
      </c>
      <c r="G138" s="549">
        <v>0</v>
      </c>
      <c r="H138" s="549">
        <v>0</v>
      </c>
      <c r="I138" s="481"/>
      <c r="J138" s="481"/>
      <c r="K138" s="481"/>
      <c r="L138" s="481"/>
      <c r="M138" s="481"/>
      <c r="N138" s="481"/>
    </row>
    <row r="139" spans="1:14">
      <c r="A139" s="480" t="s">
        <v>1151</v>
      </c>
      <c r="B139" s="480" t="s">
        <v>1152</v>
      </c>
      <c r="C139" s="549">
        <v>0</v>
      </c>
      <c r="D139" s="549">
        <v>0</v>
      </c>
      <c r="E139" s="549">
        <v>0</v>
      </c>
      <c r="F139" s="549">
        <v>0</v>
      </c>
      <c r="G139" s="549">
        <v>0</v>
      </c>
      <c r="H139" s="549">
        <v>0</v>
      </c>
      <c r="I139" s="481"/>
      <c r="J139" s="481"/>
      <c r="K139" s="481"/>
      <c r="L139" s="481"/>
      <c r="M139" s="481"/>
      <c r="N139" s="481"/>
    </row>
    <row r="140" spans="1:14">
      <c r="A140" s="480" t="s">
        <v>1153</v>
      </c>
      <c r="B140" s="480" t="s">
        <v>1154</v>
      </c>
      <c r="C140" s="549">
        <v>0</v>
      </c>
      <c r="D140" s="549">
        <v>0</v>
      </c>
      <c r="E140" s="549">
        <v>0</v>
      </c>
      <c r="F140" s="549">
        <v>0</v>
      </c>
      <c r="G140" s="549">
        <v>0</v>
      </c>
      <c r="H140" s="549">
        <v>0</v>
      </c>
      <c r="I140" s="481"/>
      <c r="J140" s="481"/>
      <c r="K140" s="481"/>
      <c r="L140" s="481"/>
      <c r="M140" s="481"/>
      <c r="N140" s="481"/>
    </row>
    <row r="141" spans="1:14">
      <c r="A141" s="480" t="s">
        <v>1155</v>
      </c>
      <c r="B141" s="480" t="s">
        <v>1156</v>
      </c>
      <c r="C141" s="549">
        <v>0</v>
      </c>
      <c r="D141" s="549">
        <v>0</v>
      </c>
      <c r="E141" s="549">
        <v>0</v>
      </c>
      <c r="F141" s="549">
        <v>0</v>
      </c>
      <c r="G141" s="549">
        <v>0</v>
      </c>
      <c r="H141" s="549">
        <v>0</v>
      </c>
      <c r="I141" s="481"/>
      <c r="J141" s="481"/>
      <c r="K141" s="481"/>
      <c r="L141" s="481"/>
      <c r="M141" s="481"/>
      <c r="N141" s="481"/>
    </row>
    <row r="142" spans="1:14">
      <c r="A142" s="480" t="s">
        <v>1157</v>
      </c>
      <c r="B142" s="480" t="s">
        <v>1158</v>
      </c>
      <c r="C142" s="549">
        <v>0</v>
      </c>
      <c r="D142" s="549">
        <v>0</v>
      </c>
      <c r="E142" s="549">
        <v>0</v>
      </c>
      <c r="F142" s="549">
        <v>0</v>
      </c>
      <c r="G142" s="549">
        <v>0</v>
      </c>
      <c r="H142" s="549">
        <v>0</v>
      </c>
      <c r="I142" s="481"/>
      <c r="J142" s="481"/>
      <c r="K142" s="481"/>
      <c r="L142" s="481"/>
      <c r="M142" s="481"/>
      <c r="N142" s="481"/>
    </row>
    <row r="143" spans="1:14">
      <c r="A143" s="480" t="s">
        <v>1159</v>
      </c>
      <c r="B143" s="480" t="s">
        <v>1160</v>
      </c>
      <c r="C143" s="549">
        <v>0</v>
      </c>
      <c r="D143" s="549">
        <v>0</v>
      </c>
      <c r="E143" s="549">
        <v>0</v>
      </c>
      <c r="F143" s="549">
        <v>0</v>
      </c>
      <c r="G143" s="549">
        <v>0</v>
      </c>
      <c r="H143" s="549">
        <v>0</v>
      </c>
      <c r="I143" s="481"/>
      <c r="J143" s="481"/>
      <c r="K143" s="481"/>
      <c r="L143" s="481"/>
      <c r="M143" s="481"/>
      <c r="N143" s="481"/>
    </row>
    <row r="144" spans="1:14">
      <c r="A144" s="480" t="s">
        <v>1161</v>
      </c>
      <c r="B144" s="480" t="s">
        <v>1162</v>
      </c>
      <c r="C144" s="549">
        <v>0</v>
      </c>
      <c r="D144" s="549">
        <v>0</v>
      </c>
      <c r="E144" s="549">
        <v>0</v>
      </c>
      <c r="F144" s="549">
        <v>0</v>
      </c>
      <c r="G144" s="549">
        <v>0</v>
      </c>
      <c r="H144" s="549">
        <v>0</v>
      </c>
      <c r="I144" s="481"/>
      <c r="J144" s="481"/>
      <c r="K144" s="481"/>
      <c r="L144" s="481"/>
      <c r="M144" s="481"/>
      <c r="N144" s="481"/>
    </row>
    <row r="145" spans="1:14">
      <c r="A145" s="480" t="s">
        <v>1163</v>
      </c>
      <c r="B145" s="480" t="s">
        <v>1164</v>
      </c>
      <c r="C145" s="549">
        <v>0</v>
      </c>
      <c r="D145" s="549">
        <v>0</v>
      </c>
      <c r="E145" s="549">
        <v>0</v>
      </c>
      <c r="F145" s="549">
        <v>0</v>
      </c>
      <c r="G145" s="549">
        <v>0</v>
      </c>
      <c r="H145" s="549">
        <v>0</v>
      </c>
      <c r="I145" s="481"/>
      <c r="J145" s="481"/>
      <c r="K145" s="481"/>
      <c r="L145" s="481"/>
      <c r="M145" s="481"/>
      <c r="N145" s="481"/>
    </row>
    <row r="146" spans="1:14">
      <c r="A146" s="480" t="s">
        <v>1165</v>
      </c>
      <c r="B146" s="480" t="s">
        <v>1166</v>
      </c>
      <c r="C146" s="549">
        <v>0</v>
      </c>
      <c r="D146" s="549">
        <v>0</v>
      </c>
      <c r="E146" s="549">
        <v>0</v>
      </c>
      <c r="F146" s="549">
        <v>0</v>
      </c>
      <c r="G146" s="549">
        <v>0</v>
      </c>
      <c r="H146" s="549">
        <v>0</v>
      </c>
      <c r="I146" s="481"/>
      <c r="J146" s="481"/>
      <c r="K146" s="481"/>
      <c r="L146" s="481"/>
      <c r="M146" s="481"/>
      <c r="N146" s="481"/>
    </row>
    <row r="147" spans="1:14">
      <c r="A147" s="480" t="s">
        <v>574</v>
      </c>
      <c r="B147" s="480" t="s">
        <v>573</v>
      </c>
      <c r="C147" s="549">
        <v>11655.92</v>
      </c>
      <c r="D147" s="549">
        <v>11655.92</v>
      </c>
      <c r="E147" s="549">
        <v>11655.92</v>
      </c>
      <c r="F147" s="549">
        <v>11655.92</v>
      </c>
      <c r="G147" s="549">
        <v>11645.7</v>
      </c>
      <c r="H147" s="549">
        <v>11645.55</v>
      </c>
      <c r="I147" s="481"/>
      <c r="J147" s="481"/>
      <c r="K147" s="481"/>
      <c r="L147" s="481"/>
      <c r="M147" s="481"/>
      <c r="N147" s="481"/>
    </row>
    <row r="148" spans="1:14">
      <c r="A148" s="480" t="s">
        <v>560</v>
      </c>
      <c r="B148" s="480" t="s">
        <v>559</v>
      </c>
      <c r="C148" s="549">
        <v>11648.48</v>
      </c>
      <c r="D148" s="549">
        <v>11648.48</v>
      </c>
      <c r="E148" s="549">
        <v>11648.48</v>
      </c>
      <c r="F148" s="549">
        <v>11648.48</v>
      </c>
      <c r="G148" s="549">
        <v>11582.17</v>
      </c>
      <c r="H148" s="549">
        <v>11582.1</v>
      </c>
      <c r="I148" s="481"/>
      <c r="J148" s="481"/>
      <c r="K148" s="481"/>
      <c r="L148" s="481"/>
      <c r="M148" s="481"/>
      <c r="N148" s="481"/>
    </row>
    <row r="149" spans="1:14">
      <c r="A149" s="480" t="s">
        <v>1167</v>
      </c>
      <c r="B149" s="480" t="s">
        <v>1168</v>
      </c>
      <c r="C149" s="549">
        <v>11756.38</v>
      </c>
      <c r="D149" s="549">
        <v>11756.38</v>
      </c>
      <c r="E149" s="549">
        <v>11756.38</v>
      </c>
      <c r="F149" s="549">
        <v>11756.38</v>
      </c>
      <c r="G149" s="549">
        <v>11745.64</v>
      </c>
      <c r="H149" s="549">
        <v>11746.84</v>
      </c>
      <c r="I149" s="481"/>
      <c r="J149" s="481"/>
      <c r="K149" s="481"/>
      <c r="L149" s="481"/>
      <c r="M149" s="481"/>
      <c r="N149" s="481"/>
    </row>
    <row r="150" spans="1:14">
      <c r="A150" s="480" t="s">
        <v>596</v>
      </c>
      <c r="B150" s="480" t="s">
        <v>595</v>
      </c>
      <c r="C150" s="549">
        <v>11781.61</v>
      </c>
      <c r="D150" s="549">
        <v>11781.61</v>
      </c>
      <c r="E150" s="549">
        <v>11781.61</v>
      </c>
      <c r="F150" s="549">
        <v>11781.61</v>
      </c>
      <c r="G150" s="549">
        <v>11762.77</v>
      </c>
      <c r="H150" s="549">
        <v>11769.6</v>
      </c>
      <c r="I150" s="481"/>
      <c r="J150" s="481"/>
      <c r="K150" s="481"/>
      <c r="L150" s="481"/>
      <c r="M150" s="481"/>
      <c r="N150" s="481"/>
    </row>
    <row r="151" spans="1:14">
      <c r="A151" s="480" t="s">
        <v>960</v>
      </c>
      <c r="B151" s="480" t="s">
        <v>959</v>
      </c>
      <c r="C151" s="549">
        <v>11597.77</v>
      </c>
      <c r="D151" s="549">
        <v>11597.77</v>
      </c>
      <c r="E151" s="549">
        <v>11597.77</v>
      </c>
      <c r="F151" s="549">
        <v>11597.77</v>
      </c>
      <c r="G151" s="549">
        <v>11584.5</v>
      </c>
      <c r="H151" s="549">
        <v>11585.78</v>
      </c>
      <c r="I151" s="481"/>
      <c r="J151" s="481"/>
      <c r="K151" s="481"/>
      <c r="L151" s="481"/>
      <c r="M151" s="481"/>
      <c r="N151" s="481"/>
    </row>
    <row r="152" spans="1:14">
      <c r="A152" s="480" t="s">
        <v>1169</v>
      </c>
      <c r="B152" s="480" t="s">
        <v>1170</v>
      </c>
      <c r="C152" s="549">
        <v>0</v>
      </c>
      <c r="D152" s="549">
        <v>0</v>
      </c>
      <c r="E152" s="549">
        <v>0</v>
      </c>
      <c r="F152" s="549">
        <v>0</v>
      </c>
      <c r="G152" s="549">
        <v>0</v>
      </c>
      <c r="H152" s="549">
        <v>0</v>
      </c>
      <c r="I152" s="481"/>
      <c r="J152" s="481"/>
      <c r="K152" s="481"/>
      <c r="L152" s="481"/>
      <c r="M152" s="481"/>
      <c r="N152" s="481"/>
    </row>
    <row r="153" spans="1:14">
      <c r="A153" s="480" t="s">
        <v>594</v>
      </c>
      <c r="B153" s="480" t="s">
        <v>593</v>
      </c>
      <c r="C153" s="549">
        <v>11884.7</v>
      </c>
      <c r="D153" s="549">
        <v>11884.7</v>
      </c>
      <c r="E153" s="549">
        <v>11884.7</v>
      </c>
      <c r="F153" s="549">
        <v>11884.7</v>
      </c>
      <c r="G153" s="549">
        <v>11154.95</v>
      </c>
      <c r="H153" s="549">
        <v>11154.82</v>
      </c>
      <c r="I153" s="481"/>
      <c r="J153" s="481"/>
      <c r="K153" s="481"/>
      <c r="L153" s="481"/>
      <c r="M153" s="481"/>
      <c r="N153" s="481"/>
    </row>
    <row r="154" spans="1:14">
      <c r="A154" s="480" t="s">
        <v>1171</v>
      </c>
      <c r="B154" s="480" t="s">
        <v>1172</v>
      </c>
      <c r="C154" s="549">
        <v>10694.56</v>
      </c>
      <c r="D154" s="549">
        <v>10694.56</v>
      </c>
      <c r="E154" s="549">
        <v>10694.56</v>
      </c>
      <c r="F154" s="549">
        <v>10694.56</v>
      </c>
      <c r="G154" s="549">
        <v>10698.74</v>
      </c>
      <c r="H154" s="549">
        <v>10695.24</v>
      </c>
      <c r="I154" s="481"/>
      <c r="J154" s="481"/>
      <c r="K154" s="481"/>
      <c r="L154" s="481"/>
      <c r="M154" s="481"/>
      <c r="N154" s="481"/>
    </row>
    <row r="155" spans="1:14">
      <c r="A155" s="480" t="s">
        <v>1173</v>
      </c>
      <c r="B155" s="480" t="s">
        <v>1174</v>
      </c>
      <c r="C155" s="549">
        <v>0</v>
      </c>
      <c r="D155" s="549">
        <v>0</v>
      </c>
      <c r="E155" s="549">
        <v>0</v>
      </c>
      <c r="F155" s="549">
        <v>0</v>
      </c>
      <c r="G155" s="549">
        <v>0</v>
      </c>
      <c r="H155" s="549">
        <v>0</v>
      </c>
      <c r="I155" s="481"/>
      <c r="J155" s="481"/>
      <c r="K155" s="481"/>
      <c r="L155" s="481"/>
      <c r="M155" s="481"/>
      <c r="N155" s="481"/>
    </row>
    <row r="156" spans="1:14">
      <c r="A156" s="480" t="s">
        <v>1175</v>
      </c>
      <c r="B156" s="480" t="s">
        <v>1176</v>
      </c>
      <c r="C156" s="549">
        <v>11470.6</v>
      </c>
      <c r="D156" s="549">
        <v>11470.6</v>
      </c>
      <c r="E156" s="549">
        <v>11470.6</v>
      </c>
      <c r="F156" s="549">
        <v>11470.6</v>
      </c>
      <c r="G156" s="549">
        <v>10388.26</v>
      </c>
      <c r="H156" s="549">
        <v>10388.26</v>
      </c>
      <c r="I156" s="481"/>
      <c r="J156" s="481"/>
      <c r="K156" s="481"/>
      <c r="L156" s="481"/>
      <c r="M156" s="481"/>
      <c r="N156" s="481"/>
    </row>
    <row r="157" spans="1:14">
      <c r="A157" s="480" t="s">
        <v>654</v>
      </c>
      <c r="B157" s="480" t="s">
        <v>653</v>
      </c>
      <c r="C157" s="549">
        <v>10787.69</v>
      </c>
      <c r="D157" s="549">
        <v>10787.69</v>
      </c>
      <c r="E157" s="549">
        <v>10787.69</v>
      </c>
      <c r="F157" s="549">
        <v>10787.69</v>
      </c>
      <c r="G157" s="549">
        <v>11043.76</v>
      </c>
      <c r="H157" s="549">
        <v>11061.4</v>
      </c>
      <c r="I157" s="481"/>
      <c r="J157" s="481"/>
      <c r="K157" s="481"/>
      <c r="L157" s="481"/>
      <c r="M157" s="481"/>
      <c r="N157" s="481"/>
    </row>
    <row r="158" spans="1:14">
      <c r="A158" s="480" t="s">
        <v>996</v>
      </c>
      <c r="B158" s="480" t="s">
        <v>995</v>
      </c>
      <c r="C158" s="549">
        <v>10928.85</v>
      </c>
      <c r="D158" s="549">
        <v>10928.85</v>
      </c>
      <c r="E158" s="549">
        <v>10928.85</v>
      </c>
      <c r="F158" s="549">
        <v>10928.85</v>
      </c>
      <c r="G158" s="549">
        <v>10950.41</v>
      </c>
      <c r="H158" s="549">
        <v>10953.45</v>
      </c>
      <c r="I158" s="481"/>
      <c r="J158" s="481"/>
      <c r="K158" s="481"/>
      <c r="L158" s="481"/>
      <c r="M158" s="481"/>
      <c r="N158" s="481"/>
    </row>
    <row r="159" spans="1:14">
      <c r="A159" s="480" t="s">
        <v>660</v>
      </c>
      <c r="B159" s="480" t="s">
        <v>659</v>
      </c>
      <c r="C159" s="549">
        <v>10246.99</v>
      </c>
      <c r="D159" s="549">
        <v>10246.99</v>
      </c>
      <c r="E159" s="549">
        <v>10246.99</v>
      </c>
      <c r="F159" s="549">
        <v>10246.99</v>
      </c>
      <c r="G159" s="549">
        <v>10248.879999999999</v>
      </c>
      <c r="H159" s="549">
        <v>10249.85</v>
      </c>
      <c r="I159" s="481"/>
      <c r="J159" s="481"/>
      <c r="K159" s="481"/>
      <c r="L159" s="481"/>
      <c r="M159" s="481"/>
      <c r="N159" s="481"/>
    </row>
    <row r="160" spans="1:14">
      <c r="A160" s="480" t="s">
        <v>744</v>
      </c>
      <c r="B160" s="480" t="s">
        <v>743</v>
      </c>
      <c r="C160" s="549">
        <v>10251.280000000001</v>
      </c>
      <c r="D160" s="549">
        <v>10251.280000000001</v>
      </c>
      <c r="E160" s="549">
        <v>10251.280000000001</v>
      </c>
      <c r="F160" s="549">
        <v>10251.280000000001</v>
      </c>
      <c r="G160" s="549">
        <v>10151.74</v>
      </c>
      <c r="H160" s="549">
        <v>10153.700000000001</v>
      </c>
      <c r="I160" s="481"/>
      <c r="J160" s="481"/>
      <c r="K160" s="481"/>
      <c r="L160" s="481"/>
      <c r="M160" s="481"/>
      <c r="N160" s="481"/>
    </row>
    <row r="161" spans="1:14">
      <c r="A161" s="480" t="s">
        <v>612</v>
      </c>
      <c r="B161" s="480" t="s">
        <v>611</v>
      </c>
      <c r="C161" s="549">
        <v>10872.62</v>
      </c>
      <c r="D161" s="549">
        <v>10872.62</v>
      </c>
      <c r="E161" s="549">
        <v>10872.62</v>
      </c>
      <c r="F161" s="549">
        <v>10872.62</v>
      </c>
      <c r="G161" s="549">
        <v>10895.54</v>
      </c>
      <c r="H161" s="549">
        <v>10897.62</v>
      </c>
      <c r="I161" s="481"/>
      <c r="J161" s="481"/>
      <c r="K161" s="481"/>
      <c r="L161" s="481"/>
      <c r="M161" s="481"/>
      <c r="N161" s="481"/>
    </row>
    <row r="162" spans="1:14">
      <c r="A162" s="480" t="s">
        <v>1177</v>
      </c>
      <c r="B162" s="480" t="s">
        <v>1178</v>
      </c>
      <c r="C162" s="549">
        <v>0</v>
      </c>
      <c r="D162" s="549">
        <v>0</v>
      </c>
      <c r="E162" s="549">
        <v>0</v>
      </c>
      <c r="F162" s="549">
        <v>0</v>
      </c>
      <c r="G162" s="549">
        <v>0</v>
      </c>
      <c r="H162" s="549">
        <v>0</v>
      </c>
      <c r="I162" s="481"/>
      <c r="J162" s="481"/>
      <c r="K162" s="481"/>
      <c r="L162" s="481"/>
      <c r="M162" s="481"/>
      <c r="N162" s="481"/>
    </row>
    <row r="163" spans="1:14">
      <c r="A163" s="480" t="s">
        <v>1060</v>
      </c>
      <c r="B163" s="480" t="s">
        <v>1059</v>
      </c>
      <c r="C163" s="549">
        <v>10474.549999999999</v>
      </c>
      <c r="D163" s="549">
        <v>10474.549999999999</v>
      </c>
      <c r="E163" s="549">
        <v>10474.549999999999</v>
      </c>
      <c r="F163" s="549">
        <v>10474.549999999999</v>
      </c>
      <c r="G163" s="549">
        <v>9726.11</v>
      </c>
      <c r="H163" s="549">
        <v>9723.44</v>
      </c>
      <c r="I163" s="481"/>
      <c r="J163" s="481"/>
      <c r="K163" s="481"/>
      <c r="L163" s="481"/>
      <c r="M163" s="481"/>
      <c r="N163" s="481"/>
    </row>
    <row r="164" spans="1:14">
      <c r="A164" s="480" t="s">
        <v>1179</v>
      </c>
      <c r="B164" s="480" t="s">
        <v>1180</v>
      </c>
      <c r="C164" s="549">
        <v>10401.02</v>
      </c>
      <c r="D164" s="549">
        <v>10401.02</v>
      </c>
      <c r="E164" s="549">
        <v>10401.02</v>
      </c>
      <c r="F164" s="549">
        <v>10401.02</v>
      </c>
      <c r="G164" s="549">
        <v>10358.879999999999</v>
      </c>
      <c r="H164" s="549">
        <v>10365.93</v>
      </c>
      <c r="I164" s="481"/>
      <c r="J164" s="481"/>
      <c r="K164" s="481"/>
      <c r="L164" s="481"/>
      <c r="M164" s="481"/>
      <c r="N164" s="481"/>
    </row>
    <row r="165" spans="1:14">
      <c r="A165" s="480" t="s">
        <v>1181</v>
      </c>
      <c r="B165" s="480" t="s">
        <v>1182</v>
      </c>
      <c r="C165" s="549">
        <v>10678.75</v>
      </c>
      <c r="D165" s="549">
        <v>10678.75</v>
      </c>
      <c r="E165" s="549">
        <v>10678.75</v>
      </c>
      <c r="F165" s="549">
        <v>10678.75</v>
      </c>
      <c r="G165" s="549">
        <v>10679.65</v>
      </c>
      <c r="H165" s="549">
        <v>10683</v>
      </c>
      <c r="I165" s="481"/>
      <c r="J165" s="481"/>
      <c r="K165" s="481"/>
      <c r="L165" s="481"/>
      <c r="M165" s="481"/>
      <c r="N165" s="481"/>
    </row>
    <row r="166" spans="1:14">
      <c r="A166" s="480" t="s">
        <v>1006</v>
      </c>
      <c r="B166" s="480" t="s">
        <v>1005</v>
      </c>
      <c r="C166" s="549">
        <v>10418.379999999999</v>
      </c>
      <c r="D166" s="549">
        <v>10418.379999999999</v>
      </c>
      <c r="E166" s="549">
        <v>10418.379999999999</v>
      </c>
      <c r="F166" s="549">
        <v>10418.379999999999</v>
      </c>
      <c r="G166" s="549">
        <v>10415.73</v>
      </c>
      <c r="H166" s="549">
        <v>10415.370000000001</v>
      </c>
      <c r="I166" s="481"/>
      <c r="J166" s="481"/>
      <c r="K166" s="481"/>
      <c r="L166" s="481"/>
      <c r="M166" s="481"/>
      <c r="N166" s="481"/>
    </row>
    <row r="167" spans="1:14">
      <c r="A167" s="480" t="s">
        <v>690</v>
      </c>
      <c r="B167" s="480" t="s">
        <v>689</v>
      </c>
      <c r="C167" s="549">
        <v>10636.72</v>
      </c>
      <c r="D167" s="549">
        <v>10636.72</v>
      </c>
      <c r="E167" s="549">
        <v>10636.72</v>
      </c>
      <c r="F167" s="549">
        <v>10636.72</v>
      </c>
      <c r="G167" s="549">
        <v>10772.55</v>
      </c>
      <c r="H167" s="549">
        <v>10779.74</v>
      </c>
      <c r="I167" s="481"/>
      <c r="J167" s="481"/>
      <c r="K167" s="481"/>
      <c r="L167" s="481"/>
      <c r="M167" s="481"/>
      <c r="N167" s="481"/>
    </row>
    <row r="168" spans="1:14">
      <c r="A168" s="480" t="s">
        <v>746</v>
      </c>
      <c r="B168" s="480" t="s">
        <v>745</v>
      </c>
      <c r="C168" s="549">
        <v>10414.5</v>
      </c>
      <c r="D168" s="549">
        <v>10414.5</v>
      </c>
      <c r="E168" s="549">
        <v>10414.5</v>
      </c>
      <c r="F168" s="549">
        <v>10414.5</v>
      </c>
      <c r="G168" s="549">
        <v>10600.28</v>
      </c>
      <c r="H168" s="549">
        <v>10601.13</v>
      </c>
      <c r="I168" s="481"/>
      <c r="J168" s="481"/>
      <c r="K168" s="481"/>
      <c r="L168" s="481"/>
      <c r="M168" s="481"/>
      <c r="N168" s="481"/>
    </row>
    <row r="169" spans="1:14">
      <c r="A169" s="480" t="s">
        <v>1183</v>
      </c>
      <c r="B169" s="480" t="s">
        <v>1184</v>
      </c>
      <c r="C169" s="549">
        <v>11191.74</v>
      </c>
      <c r="D169" s="549">
        <v>11191.74</v>
      </c>
      <c r="E169" s="549">
        <v>11191.74</v>
      </c>
      <c r="F169" s="549">
        <v>11191.74</v>
      </c>
      <c r="G169" s="549">
        <v>11168.03</v>
      </c>
      <c r="H169" s="549">
        <v>11143.54</v>
      </c>
      <c r="I169" s="481"/>
      <c r="J169" s="481"/>
      <c r="K169" s="481"/>
      <c r="L169" s="481"/>
      <c r="M169" s="481"/>
      <c r="N169" s="481"/>
    </row>
    <row r="170" spans="1:14">
      <c r="A170" s="480" t="s">
        <v>692</v>
      </c>
      <c r="B170" s="480" t="s">
        <v>691</v>
      </c>
      <c r="C170" s="549">
        <v>9850</v>
      </c>
      <c r="D170" s="549">
        <v>9850</v>
      </c>
      <c r="E170" s="549">
        <v>9837.83</v>
      </c>
      <c r="F170" s="549">
        <v>9837.83</v>
      </c>
      <c r="G170" s="549">
        <v>9829.16</v>
      </c>
      <c r="H170" s="549">
        <v>9829.1</v>
      </c>
      <c r="I170" s="481"/>
      <c r="J170" s="481"/>
      <c r="K170" s="481"/>
      <c r="L170" s="481"/>
      <c r="M170" s="481"/>
      <c r="N170" s="481"/>
    </row>
    <row r="171" spans="1:14">
      <c r="A171" s="480" t="s">
        <v>1048</v>
      </c>
      <c r="B171" s="480" t="s">
        <v>1047</v>
      </c>
      <c r="C171" s="549">
        <v>10436.98</v>
      </c>
      <c r="D171" s="549">
        <v>10436.98</v>
      </c>
      <c r="E171" s="549">
        <v>10436.98</v>
      </c>
      <c r="F171" s="549">
        <v>10436.98</v>
      </c>
      <c r="G171" s="549">
        <v>10395.65</v>
      </c>
      <c r="H171" s="549">
        <v>10398.17</v>
      </c>
      <c r="I171" s="481"/>
      <c r="J171" s="481"/>
      <c r="K171" s="481"/>
      <c r="L171" s="481"/>
      <c r="M171" s="481"/>
      <c r="N171" s="481"/>
    </row>
    <row r="172" spans="1:14">
      <c r="A172" s="480" t="s">
        <v>776</v>
      </c>
      <c r="B172" s="480" t="s">
        <v>775</v>
      </c>
      <c r="C172" s="549">
        <v>10412.64</v>
      </c>
      <c r="D172" s="549">
        <v>10412.64</v>
      </c>
      <c r="E172" s="549">
        <v>10412.64</v>
      </c>
      <c r="F172" s="549">
        <v>10412.64</v>
      </c>
      <c r="G172" s="549">
        <v>10444.049999999999</v>
      </c>
      <c r="H172" s="549">
        <v>10447.81</v>
      </c>
      <c r="I172" s="481"/>
      <c r="J172" s="481"/>
      <c r="K172" s="481"/>
      <c r="L172" s="481"/>
      <c r="M172" s="481"/>
      <c r="N172" s="481"/>
    </row>
    <row r="173" spans="1:14">
      <c r="A173" s="480" t="s">
        <v>822</v>
      </c>
      <c r="B173" s="480" t="s">
        <v>821</v>
      </c>
      <c r="C173" s="549">
        <v>10233.469999999999</v>
      </c>
      <c r="D173" s="549">
        <v>10233.469999999999</v>
      </c>
      <c r="E173" s="549">
        <v>10233.469999999999</v>
      </c>
      <c r="F173" s="549">
        <v>10233.469999999999</v>
      </c>
      <c r="G173" s="549">
        <v>10235.450000000001</v>
      </c>
      <c r="H173" s="549">
        <v>10235.48</v>
      </c>
      <c r="I173" s="481"/>
      <c r="J173" s="481"/>
      <c r="K173" s="481"/>
      <c r="L173" s="481"/>
      <c r="M173" s="481"/>
      <c r="N173" s="481"/>
    </row>
    <row r="174" spans="1:14">
      <c r="A174" s="480" t="s">
        <v>1185</v>
      </c>
      <c r="B174" s="480" t="s">
        <v>1186</v>
      </c>
      <c r="C174" s="549">
        <v>0</v>
      </c>
      <c r="D174" s="549">
        <v>0</v>
      </c>
      <c r="E174" s="549">
        <v>0</v>
      </c>
      <c r="F174" s="549">
        <v>0</v>
      </c>
      <c r="G174" s="549">
        <v>0</v>
      </c>
      <c r="H174" s="549">
        <v>0</v>
      </c>
      <c r="I174" s="481"/>
      <c r="J174" s="481"/>
      <c r="K174" s="481"/>
      <c r="L174" s="481"/>
      <c r="M174" s="481"/>
      <c r="N174" s="481"/>
    </row>
    <row r="175" spans="1:14">
      <c r="A175" s="480" t="s">
        <v>672</v>
      </c>
      <c r="B175" s="480" t="s">
        <v>671</v>
      </c>
      <c r="C175" s="549">
        <v>11123.95</v>
      </c>
      <c r="D175" s="549">
        <v>11123.95</v>
      </c>
      <c r="E175" s="549">
        <v>11123.95</v>
      </c>
      <c r="F175" s="549">
        <v>11123.95</v>
      </c>
      <c r="G175" s="549">
        <v>11217.34</v>
      </c>
      <c r="H175" s="549">
        <v>11210.87</v>
      </c>
      <c r="I175" s="481"/>
      <c r="J175" s="481"/>
      <c r="K175" s="481"/>
      <c r="L175" s="481"/>
      <c r="M175" s="481"/>
      <c r="N175" s="481"/>
    </row>
    <row r="176" spans="1:14">
      <c r="A176" s="480" t="s">
        <v>806</v>
      </c>
      <c r="B176" s="480" t="s">
        <v>805</v>
      </c>
      <c r="C176" s="549">
        <v>10295.94</v>
      </c>
      <c r="D176" s="549">
        <v>10295.94</v>
      </c>
      <c r="E176" s="549">
        <v>10295.94</v>
      </c>
      <c r="F176" s="549">
        <v>10295.94</v>
      </c>
      <c r="G176" s="549">
        <v>10321.41</v>
      </c>
      <c r="H176" s="549">
        <v>10324.120000000001</v>
      </c>
      <c r="I176" s="481"/>
      <c r="J176" s="481"/>
      <c r="K176" s="481"/>
      <c r="L176" s="481"/>
      <c r="M176" s="481"/>
      <c r="N176" s="481"/>
    </row>
    <row r="177" spans="1:14">
      <c r="A177" s="480" t="s">
        <v>802</v>
      </c>
      <c r="B177" s="480" t="s">
        <v>801</v>
      </c>
      <c r="C177" s="549">
        <v>10323.35</v>
      </c>
      <c r="D177" s="549">
        <v>10323.35</v>
      </c>
      <c r="E177" s="549">
        <v>10323.35</v>
      </c>
      <c r="F177" s="549">
        <v>10323.35</v>
      </c>
      <c r="G177" s="549">
        <v>10367.67</v>
      </c>
      <c r="H177" s="549">
        <v>10368.81</v>
      </c>
      <c r="I177" s="481"/>
      <c r="J177" s="481"/>
      <c r="K177" s="481"/>
      <c r="L177" s="481"/>
      <c r="M177" s="481"/>
      <c r="N177" s="481"/>
    </row>
    <row r="178" spans="1:14">
      <c r="A178" s="480" t="s">
        <v>548</v>
      </c>
      <c r="B178" s="480" t="s">
        <v>547</v>
      </c>
      <c r="C178" s="549">
        <v>10458.36</v>
      </c>
      <c r="D178" s="549">
        <v>10458.36</v>
      </c>
      <c r="E178" s="549">
        <v>10458.36</v>
      </c>
      <c r="F178" s="549">
        <v>10458.36</v>
      </c>
      <c r="G178" s="549">
        <v>10456.129999999999</v>
      </c>
      <c r="H178" s="549">
        <v>10457.26</v>
      </c>
      <c r="I178" s="481"/>
      <c r="J178" s="481"/>
      <c r="K178" s="481"/>
      <c r="L178" s="481"/>
      <c r="M178" s="481"/>
      <c r="N178" s="481"/>
    </row>
    <row r="179" spans="1:14">
      <c r="A179" s="480" t="s">
        <v>1056</v>
      </c>
      <c r="B179" s="480" t="s">
        <v>1055</v>
      </c>
      <c r="C179" s="549">
        <v>10449.51</v>
      </c>
      <c r="D179" s="549">
        <v>10449.51</v>
      </c>
      <c r="E179" s="549">
        <v>10449.51</v>
      </c>
      <c r="F179" s="549">
        <v>10449.51</v>
      </c>
      <c r="G179" s="549">
        <v>10441.49</v>
      </c>
      <c r="H179" s="549">
        <v>10436.18</v>
      </c>
      <c r="I179" s="481"/>
      <c r="J179" s="481"/>
      <c r="K179" s="481"/>
      <c r="L179" s="481"/>
      <c r="M179" s="481"/>
      <c r="N179" s="481"/>
    </row>
    <row r="180" spans="1:14">
      <c r="A180" s="480" t="s">
        <v>572</v>
      </c>
      <c r="B180" s="480" t="s">
        <v>571</v>
      </c>
      <c r="C180" s="549">
        <v>9916.31</v>
      </c>
      <c r="D180" s="549">
        <v>9916.31</v>
      </c>
      <c r="E180" s="549">
        <v>9916.31</v>
      </c>
      <c r="F180" s="549">
        <v>9916.31</v>
      </c>
      <c r="G180" s="549">
        <v>9890.52</v>
      </c>
      <c r="H180" s="549">
        <v>9888.76</v>
      </c>
      <c r="I180" s="481"/>
      <c r="J180" s="481"/>
      <c r="K180" s="481"/>
      <c r="L180" s="481"/>
      <c r="M180" s="481"/>
      <c r="N180" s="481"/>
    </row>
    <row r="181" spans="1:14">
      <c r="A181" s="480" t="s">
        <v>998</v>
      </c>
      <c r="B181" s="480" t="s">
        <v>997</v>
      </c>
      <c r="C181" s="549">
        <v>10306.64</v>
      </c>
      <c r="D181" s="549">
        <v>10306.64</v>
      </c>
      <c r="E181" s="549">
        <v>10307.09</v>
      </c>
      <c r="F181" s="549">
        <v>10307.09</v>
      </c>
      <c r="G181" s="549">
        <v>10345.98</v>
      </c>
      <c r="H181" s="549">
        <v>10345.879999999999</v>
      </c>
      <c r="I181" s="481"/>
      <c r="J181" s="481"/>
      <c r="K181" s="481"/>
      <c r="L181" s="481"/>
      <c r="M181" s="481"/>
      <c r="N181" s="481"/>
    </row>
    <row r="182" spans="1:14">
      <c r="A182" s="480" t="s">
        <v>1187</v>
      </c>
      <c r="B182" s="480" t="s">
        <v>1188</v>
      </c>
      <c r="C182" s="549">
        <v>10365.700000000001</v>
      </c>
      <c r="D182" s="549">
        <v>10365.700000000001</v>
      </c>
      <c r="E182" s="549">
        <v>10365.700000000001</v>
      </c>
      <c r="F182" s="549">
        <v>10365.700000000001</v>
      </c>
      <c r="G182" s="549">
        <v>10373.31</v>
      </c>
      <c r="H182" s="549">
        <v>10374.5</v>
      </c>
      <c r="I182" s="481"/>
      <c r="J182" s="481"/>
      <c r="K182" s="481"/>
      <c r="L182" s="481"/>
      <c r="M182" s="481"/>
      <c r="N182" s="481"/>
    </row>
    <row r="183" spans="1:14">
      <c r="A183" s="480" t="s">
        <v>884</v>
      </c>
      <c r="B183" s="480" t="s">
        <v>883</v>
      </c>
      <c r="C183" s="549">
        <v>10599.73</v>
      </c>
      <c r="D183" s="549">
        <v>10599.73</v>
      </c>
      <c r="E183" s="549">
        <v>10599.73</v>
      </c>
      <c r="F183" s="549">
        <v>10599.73</v>
      </c>
      <c r="G183" s="549">
        <v>10608.24</v>
      </c>
      <c r="H183" s="549">
        <v>10607.23</v>
      </c>
      <c r="I183" s="481"/>
      <c r="J183" s="481"/>
      <c r="K183" s="481"/>
      <c r="L183" s="481"/>
      <c r="M183" s="481"/>
      <c r="N183" s="481"/>
    </row>
    <row r="184" spans="1:14">
      <c r="A184" s="480" t="s">
        <v>602</v>
      </c>
      <c r="B184" s="480" t="s">
        <v>601</v>
      </c>
      <c r="C184" s="549">
        <v>10389.870000000001</v>
      </c>
      <c r="D184" s="549">
        <v>10389.870000000001</v>
      </c>
      <c r="E184" s="549">
        <v>10389.870000000001</v>
      </c>
      <c r="F184" s="549">
        <v>10389.870000000001</v>
      </c>
      <c r="G184" s="549">
        <v>10348.469999999999</v>
      </c>
      <c r="H184" s="549">
        <v>10349.540000000001</v>
      </c>
      <c r="I184" s="481"/>
      <c r="J184" s="481"/>
      <c r="K184" s="481"/>
      <c r="L184" s="481"/>
      <c r="M184" s="481"/>
      <c r="N184" s="481"/>
    </row>
    <row r="185" spans="1:14">
      <c r="A185" s="480" t="s">
        <v>1189</v>
      </c>
      <c r="B185" s="480" t="s">
        <v>1190</v>
      </c>
      <c r="C185" s="549">
        <v>10262.59</v>
      </c>
      <c r="D185" s="549">
        <v>10262.59</v>
      </c>
      <c r="E185" s="549">
        <v>10262.59</v>
      </c>
      <c r="F185" s="549">
        <v>10262.59</v>
      </c>
      <c r="G185" s="549">
        <v>9947.0499999999993</v>
      </c>
      <c r="H185" s="549">
        <v>9948.82</v>
      </c>
      <c r="I185" s="481"/>
      <c r="J185" s="481"/>
      <c r="K185" s="481"/>
      <c r="L185" s="481"/>
      <c r="M185" s="481"/>
      <c r="N185" s="481"/>
    </row>
    <row r="186" spans="1:14">
      <c r="A186" s="480" t="s">
        <v>600</v>
      </c>
      <c r="B186" s="480" t="s">
        <v>599</v>
      </c>
      <c r="C186" s="549">
        <v>10293.41</v>
      </c>
      <c r="D186" s="549">
        <v>10293.41</v>
      </c>
      <c r="E186" s="549">
        <v>10293.41</v>
      </c>
      <c r="F186" s="549">
        <v>10293.41</v>
      </c>
      <c r="G186" s="549">
        <v>10299.32</v>
      </c>
      <c r="H186" s="549">
        <v>10299.19</v>
      </c>
      <c r="I186" s="481"/>
      <c r="J186" s="481"/>
      <c r="K186" s="481"/>
      <c r="L186" s="481"/>
      <c r="M186" s="481"/>
      <c r="N186" s="481"/>
    </row>
    <row r="187" spans="1:14">
      <c r="A187" s="480" t="s">
        <v>1191</v>
      </c>
      <c r="B187" s="480" t="s">
        <v>1192</v>
      </c>
      <c r="C187" s="549">
        <v>0</v>
      </c>
      <c r="D187" s="549">
        <v>0</v>
      </c>
      <c r="E187" s="549">
        <v>0</v>
      </c>
      <c r="F187" s="549">
        <v>0</v>
      </c>
      <c r="G187" s="549">
        <v>0</v>
      </c>
      <c r="H187" s="549">
        <v>0</v>
      </c>
      <c r="I187" s="481"/>
      <c r="J187" s="481"/>
      <c r="K187" s="481"/>
      <c r="L187" s="481"/>
      <c r="M187" s="481"/>
      <c r="N187" s="481"/>
    </row>
    <row r="188" spans="1:14">
      <c r="A188" s="480" t="s">
        <v>970</v>
      </c>
      <c r="B188" s="480" t="s">
        <v>969</v>
      </c>
      <c r="C188" s="549">
        <v>10692.79</v>
      </c>
      <c r="D188" s="549">
        <v>10692.79</v>
      </c>
      <c r="E188" s="549">
        <v>10692.79</v>
      </c>
      <c r="F188" s="549">
        <v>10692.79</v>
      </c>
      <c r="G188" s="549">
        <v>10661.68</v>
      </c>
      <c r="H188" s="549">
        <v>10673.54</v>
      </c>
      <c r="I188" s="481"/>
      <c r="J188" s="481"/>
      <c r="K188" s="481"/>
      <c r="L188" s="481"/>
      <c r="M188" s="481"/>
      <c r="N188" s="481"/>
    </row>
    <row r="189" spans="1:14">
      <c r="A189" s="480" t="s">
        <v>1193</v>
      </c>
      <c r="B189" s="480" t="s">
        <v>1194</v>
      </c>
      <c r="C189" s="549">
        <v>10192.379999999999</v>
      </c>
      <c r="D189" s="549">
        <v>10192.379999999999</v>
      </c>
      <c r="E189" s="549">
        <v>10192.379999999999</v>
      </c>
      <c r="F189" s="549">
        <v>10192.379999999999</v>
      </c>
      <c r="G189" s="549">
        <v>10162.68</v>
      </c>
      <c r="H189" s="549">
        <v>10162.709999999999</v>
      </c>
      <c r="I189" s="481"/>
      <c r="J189" s="481"/>
      <c r="K189" s="481"/>
      <c r="L189" s="481"/>
      <c r="M189" s="481"/>
      <c r="N189" s="481"/>
    </row>
    <row r="190" spans="1:14">
      <c r="A190" s="480" t="s">
        <v>550</v>
      </c>
      <c r="B190" s="480" t="s">
        <v>549</v>
      </c>
      <c r="C190" s="549">
        <v>10057.370000000001</v>
      </c>
      <c r="D190" s="549">
        <v>10057.370000000001</v>
      </c>
      <c r="E190" s="549">
        <v>10057.370000000001</v>
      </c>
      <c r="F190" s="549">
        <v>10057.370000000001</v>
      </c>
      <c r="G190" s="549">
        <v>10131.35</v>
      </c>
      <c r="H190" s="549">
        <v>10125.02</v>
      </c>
      <c r="I190" s="481"/>
      <c r="J190" s="481"/>
      <c r="K190" s="481"/>
      <c r="L190" s="481"/>
      <c r="M190" s="481"/>
      <c r="N190" s="481"/>
    </row>
    <row r="191" spans="1:14">
      <c r="A191" s="480" t="s">
        <v>634</v>
      </c>
      <c r="B191" s="480" t="s">
        <v>633</v>
      </c>
      <c r="C191" s="549">
        <v>10478.129999999999</v>
      </c>
      <c r="D191" s="549">
        <v>10478.129999999999</v>
      </c>
      <c r="E191" s="549">
        <v>10478.129999999999</v>
      </c>
      <c r="F191" s="549">
        <v>10478.129999999999</v>
      </c>
      <c r="G191" s="549">
        <v>10643.52</v>
      </c>
      <c r="H191" s="549">
        <v>10640.93</v>
      </c>
      <c r="I191" s="481"/>
      <c r="J191" s="481"/>
      <c r="K191" s="481"/>
      <c r="L191" s="481"/>
      <c r="M191" s="481"/>
      <c r="N191" s="481"/>
    </row>
    <row r="192" spans="1:14">
      <c r="A192" s="480" t="s">
        <v>1195</v>
      </c>
      <c r="B192" s="480" t="s">
        <v>1196</v>
      </c>
      <c r="C192" s="549">
        <v>10529.45</v>
      </c>
      <c r="D192" s="549">
        <v>10529.45</v>
      </c>
      <c r="E192" s="549">
        <v>10529.45</v>
      </c>
      <c r="F192" s="549">
        <v>10529.45</v>
      </c>
      <c r="G192" s="549">
        <v>10518.11</v>
      </c>
      <c r="H192" s="549">
        <v>10519.35</v>
      </c>
      <c r="I192" s="481"/>
      <c r="J192" s="481"/>
      <c r="K192" s="481"/>
      <c r="L192" s="481"/>
      <c r="M192" s="481"/>
      <c r="N192" s="481"/>
    </row>
    <row r="193" spans="1:14">
      <c r="A193" s="480" t="s">
        <v>1050</v>
      </c>
      <c r="B193" s="480" t="s">
        <v>1049</v>
      </c>
      <c r="C193" s="549">
        <v>10367.6</v>
      </c>
      <c r="D193" s="549">
        <v>10367.6</v>
      </c>
      <c r="E193" s="549">
        <v>10367.6</v>
      </c>
      <c r="F193" s="549">
        <v>10367.6</v>
      </c>
      <c r="G193" s="549">
        <v>10380.700000000001</v>
      </c>
      <c r="H193" s="549">
        <v>10382.790000000001</v>
      </c>
      <c r="I193" s="481"/>
      <c r="J193" s="481"/>
      <c r="K193" s="481"/>
      <c r="L193" s="481"/>
      <c r="M193" s="481"/>
      <c r="N193" s="481"/>
    </row>
    <row r="194" spans="1:14">
      <c r="A194" s="480" t="s">
        <v>1197</v>
      </c>
      <c r="B194" s="480" t="s">
        <v>1198</v>
      </c>
      <c r="C194" s="549">
        <v>10545.43</v>
      </c>
      <c r="D194" s="549">
        <v>10545.43</v>
      </c>
      <c r="E194" s="549">
        <v>10545.43</v>
      </c>
      <c r="F194" s="549">
        <v>10545.43</v>
      </c>
      <c r="G194" s="549">
        <v>10589.47</v>
      </c>
      <c r="H194" s="549">
        <v>10599.21</v>
      </c>
      <c r="I194" s="481"/>
      <c r="J194" s="481"/>
      <c r="K194" s="481"/>
      <c r="L194" s="481"/>
      <c r="M194" s="481"/>
      <c r="N194" s="481"/>
    </row>
    <row r="195" spans="1:14">
      <c r="A195" s="480" t="s">
        <v>642</v>
      </c>
      <c r="B195" s="480" t="s">
        <v>641</v>
      </c>
      <c r="C195" s="549">
        <v>10283.719999999999</v>
      </c>
      <c r="D195" s="549">
        <v>10283.719999999999</v>
      </c>
      <c r="E195" s="549">
        <v>10283.719999999999</v>
      </c>
      <c r="F195" s="549">
        <v>10283.719999999999</v>
      </c>
      <c r="G195" s="549">
        <v>9851.89</v>
      </c>
      <c r="H195" s="549">
        <v>9851.0300000000007</v>
      </c>
      <c r="I195" s="481"/>
      <c r="J195" s="481"/>
      <c r="K195" s="481"/>
      <c r="L195" s="481"/>
      <c r="M195" s="481"/>
      <c r="N195" s="481"/>
    </row>
    <row r="196" spans="1:14">
      <c r="A196" s="480" t="s">
        <v>964</v>
      </c>
      <c r="B196" s="480" t="s">
        <v>963</v>
      </c>
      <c r="C196" s="549">
        <v>10709.45</v>
      </c>
      <c r="D196" s="549">
        <v>10709.45</v>
      </c>
      <c r="E196" s="549">
        <v>10709.45</v>
      </c>
      <c r="F196" s="549">
        <v>10709.45</v>
      </c>
      <c r="G196" s="549">
        <v>10572.98</v>
      </c>
      <c r="H196" s="549">
        <v>10577.42</v>
      </c>
      <c r="I196" s="481"/>
      <c r="J196" s="481"/>
      <c r="K196" s="481"/>
      <c r="L196" s="481"/>
      <c r="M196" s="481"/>
      <c r="N196" s="481"/>
    </row>
    <row r="197" spans="1:14">
      <c r="A197" s="480" t="s">
        <v>702</v>
      </c>
      <c r="B197" s="480" t="s">
        <v>701</v>
      </c>
      <c r="C197" s="549">
        <v>11035.68</v>
      </c>
      <c r="D197" s="549">
        <v>11035.68</v>
      </c>
      <c r="E197" s="549">
        <v>11035.68</v>
      </c>
      <c r="F197" s="549">
        <v>11035.68</v>
      </c>
      <c r="G197" s="549">
        <v>11118.38</v>
      </c>
      <c r="H197" s="549">
        <v>11120.73</v>
      </c>
      <c r="I197" s="481"/>
      <c r="J197" s="481"/>
      <c r="K197" s="481"/>
      <c r="L197" s="481"/>
      <c r="M197" s="481"/>
      <c r="N197" s="481"/>
    </row>
    <row r="198" spans="1:14">
      <c r="A198" s="480" t="s">
        <v>944</v>
      </c>
      <c r="B198" s="480" t="s">
        <v>943</v>
      </c>
      <c r="C198" s="549">
        <v>10233.280000000001</v>
      </c>
      <c r="D198" s="549">
        <v>10233.280000000001</v>
      </c>
      <c r="E198" s="549">
        <v>10233.280000000001</v>
      </c>
      <c r="F198" s="549">
        <v>10233.280000000001</v>
      </c>
      <c r="G198" s="549">
        <v>10174.6</v>
      </c>
      <c r="H198" s="549">
        <v>10175.790000000001</v>
      </c>
      <c r="I198" s="481"/>
      <c r="J198" s="481"/>
      <c r="K198" s="481"/>
      <c r="L198" s="481"/>
      <c r="M198" s="481"/>
      <c r="N198" s="481"/>
    </row>
    <row r="199" spans="1:14">
      <c r="A199" s="480" t="s">
        <v>784</v>
      </c>
      <c r="B199" s="480" t="s">
        <v>783</v>
      </c>
      <c r="C199" s="549">
        <v>9818.2000000000007</v>
      </c>
      <c r="D199" s="549">
        <v>9818.2000000000007</v>
      </c>
      <c r="E199" s="549">
        <v>9818.2000000000007</v>
      </c>
      <c r="F199" s="549">
        <v>9818.2000000000007</v>
      </c>
      <c r="G199" s="549">
        <v>9799.7199999999993</v>
      </c>
      <c r="H199" s="549">
        <v>9799.7999999999993</v>
      </c>
      <c r="I199" s="481"/>
      <c r="J199" s="481"/>
      <c r="K199" s="481"/>
      <c r="L199" s="481"/>
      <c r="M199" s="481"/>
      <c r="N199" s="481"/>
    </row>
    <row r="200" spans="1:14">
      <c r="A200" s="480" t="s">
        <v>888</v>
      </c>
      <c r="B200" s="480" t="s">
        <v>887</v>
      </c>
      <c r="C200" s="549">
        <v>10942.5</v>
      </c>
      <c r="D200" s="549">
        <v>10942.5</v>
      </c>
      <c r="E200" s="549">
        <v>10942.5</v>
      </c>
      <c r="F200" s="549">
        <v>10942.5</v>
      </c>
      <c r="G200" s="549">
        <v>10966.8</v>
      </c>
      <c r="H200" s="549">
        <v>10960.96</v>
      </c>
      <c r="I200" s="481"/>
      <c r="J200" s="481"/>
      <c r="K200" s="481"/>
      <c r="L200" s="481"/>
      <c r="M200" s="481"/>
      <c r="N200" s="481"/>
    </row>
    <row r="201" spans="1:14">
      <c r="A201" s="480" t="s">
        <v>1199</v>
      </c>
      <c r="B201" s="480" t="s">
        <v>1200</v>
      </c>
      <c r="C201" s="549">
        <v>11121.93</v>
      </c>
      <c r="D201" s="549">
        <v>11121.93</v>
      </c>
      <c r="E201" s="549">
        <v>11121.93</v>
      </c>
      <c r="F201" s="549">
        <v>11121.93</v>
      </c>
      <c r="G201" s="549">
        <v>11129.65</v>
      </c>
      <c r="H201" s="549">
        <v>11132.01</v>
      </c>
      <c r="I201" s="481"/>
      <c r="J201" s="481"/>
      <c r="K201" s="481"/>
      <c r="L201" s="481"/>
      <c r="M201" s="481"/>
      <c r="N201" s="481"/>
    </row>
    <row r="202" spans="1:14">
      <c r="A202" s="480" t="s">
        <v>1201</v>
      </c>
      <c r="B202" s="480" t="s">
        <v>1202</v>
      </c>
      <c r="C202" s="549">
        <v>10668.54</v>
      </c>
      <c r="D202" s="549">
        <v>10668.54</v>
      </c>
      <c r="E202" s="549">
        <v>10668.54</v>
      </c>
      <c r="F202" s="549">
        <v>10668.54</v>
      </c>
      <c r="G202" s="549">
        <v>10633.19</v>
      </c>
      <c r="H202" s="549">
        <v>10637</v>
      </c>
      <c r="I202" s="481"/>
      <c r="J202" s="481"/>
      <c r="K202" s="481"/>
      <c r="L202" s="481"/>
      <c r="M202" s="481"/>
      <c r="N202" s="481"/>
    </row>
    <row r="203" spans="1:14">
      <c r="A203" s="480" t="s">
        <v>826</v>
      </c>
      <c r="B203" s="480" t="s">
        <v>825</v>
      </c>
      <c r="C203" s="549">
        <v>10295.58</v>
      </c>
      <c r="D203" s="549">
        <v>10295.58</v>
      </c>
      <c r="E203" s="549">
        <v>10295.58</v>
      </c>
      <c r="F203" s="549">
        <v>10295.58</v>
      </c>
      <c r="G203" s="549">
        <v>10450.530000000001</v>
      </c>
      <c r="H203" s="549">
        <v>10452.74</v>
      </c>
      <c r="I203" s="481"/>
      <c r="J203" s="481"/>
      <c r="K203" s="481"/>
      <c r="L203" s="481"/>
      <c r="M203" s="481"/>
      <c r="N203" s="481"/>
    </row>
    <row r="204" spans="1:14">
      <c r="A204" s="480" t="s">
        <v>856</v>
      </c>
      <c r="B204" s="480" t="s">
        <v>855</v>
      </c>
      <c r="C204" s="549">
        <v>9810.35</v>
      </c>
      <c r="D204" s="549">
        <v>9810.35</v>
      </c>
      <c r="E204" s="549">
        <v>9810.35</v>
      </c>
      <c r="F204" s="549">
        <v>9810.35</v>
      </c>
      <c r="G204" s="549">
        <v>9812.44</v>
      </c>
      <c r="H204" s="549">
        <v>9811.65</v>
      </c>
      <c r="I204" s="481"/>
      <c r="J204" s="481"/>
      <c r="K204" s="481"/>
      <c r="L204" s="481"/>
      <c r="M204" s="481"/>
      <c r="N204" s="481"/>
    </row>
    <row r="205" spans="1:14">
      <c r="A205" s="480" t="s">
        <v>852</v>
      </c>
      <c r="B205" s="480" t="s">
        <v>851</v>
      </c>
      <c r="C205" s="549">
        <v>10148.11</v>
      </c>
      <c r="D205" s="549">
        <v>10148.11</v>
      </c>
      <c r="E205" s="549">
        <v>10148.11</v>
      </c>
      <c r="F205" s="549">
        <v>10148.11</v>
      </c>
      <c r="G205" s="549">
        <v>10166.92</v>
      </c>
      <c r="H205" s="549">
        <v>10165.24</v>
      </c>
      <c r="I205" s="481"/>
      <c r="J205" s="481"/>
      <c r="K205" s="481"/>
      <c r="L205" s="481"/>
      <c r="M205" s="481"/>
      <c r="N205" s="481"/>
    </row>
    <row r="206" spans="1:14">
      <c r="A206" s="480" t="s">
        <v>576</v>
      </c>
      <c r="B206" s="480" t="s">
        <v>575</v>
      </c>
      <c r="C206" s="549">
        <v>10226.540000000001</v>
      </c>
      <c r="D206" s="549">
        <v>10226.540000000001</v>
      </c>
      <c r="E206" s="549">
        <v>10226.540000000001</v>
      </c>
      <c r="F206" s="549">
        <v>10226.540000000001</v>
      </c>
      <c r="G206" s="549">
        <v>10280.91</v>
      </c>
      <c r="H206" s="549">
        <v>10279.950000000001</v>
      </c>
      <c r="I206" s="481"/>
      <c r="J206" s="481"/>
      <c r="K206" s="481"/>
      <c r="L206" s="481"/>
      <c r="M206" s="481"/>
      <c r="N206" s="481"/>
    </row>
    <row r="207" spans="1:14">
      <c r="A207" s="480" t="s">
        <v>880</v>
      </c>
      <c r="B207" s="480" t="s">
        <v>879</v>
      </c>
      <c r="C207" s="549">
        <v>10246.98</v>
      </c>
      <c r="D207" s="549">
        <v>10246.98</v>
      </c>
      <c r="E207" s="549">
        <v>10246.98</v>
      </c>
      <c r="F207" s="549">
        <v>10246.98</v>
      </c>
      <c r="G207" s="549">
        <v>10224.58</v>
      </c>
      <c r="H207" s="549">
        <v>10225.92</v>
      </c>
      <c r="I207" s="481"/>
      <c r="J207" s="481"/>
      <c r="K207" s="481"/>
      <c r="L207" s="481"/>
      <c r="M207" s="481"/>
      <c r="N207" s="481"/>
    </row>
    <row r="208" spans="1:14">
      <c r="A208" s="480" t="s">
        <v>794</v>
      </c>
      <c r="B208" s="480" t="s">
        <v>793</v>
      </c>
      <c r="C208" s="549">
        <v>10195.02</v>
      </c>
      <c r="D208" s="549">
        <v>10195.02</v>
      </c>
      <c r="E208" s="549">
        <v>10195.02</v>
      </c>
      <c r="F208" s="549">
        <v>10195.02</v>
      </c>
      <c r="G208" s="549">
        <v>10179.209999999999</v>
      </c>
      <c r="H208" s="549">
        <v>10180.35</v>
      </c>
      <c r="I208" s="481"/>
      <c r="J208" s="481"/>
      <c r="K208" s="481"/>
      <c r="L208" s="481"/>
      <c r="M208" s="481"/>
      <c r="N208" s="481"/>
    </row>
    <row r="209" spans="1:14">
      <c r="A209" s="480" t="s">
        <v>1203</v>
      </c>
      <c r="B209" s="480" t="s">
        <v>1204</v>
      </c>
      <c r="C209" s="549">
        <v>10221.98</v>
      </c>
      <c r="D209" s="549">
        <v>10221.98</v>
      </c>
      <c r="E209" s="549">
        <v>10221.98</v>
      </c>
      <c r="F209" s="549">
        <v>10221.98</v>
      </c>
      <c r="G209" s="549">
        <v>10257.780000000001</v>
      </c>
      <c r="H209" s="549">
        <v>10258.9</v>
      </c>
      <c r="I209" s="481"/>
      <c r="J209" s="481"/>
      <c r="K209" s="481"/>
      <c r="L209" s="481"/>
      <c r="M209" s="481"/>
      <c r="N209" s="481"/>
    </row>
    <row r="210" spans="1:14">
      <c r="A210" s="480" t="s">
        <v>866</v>
      </c>
      <c r="B210" s="480" t="s">
        <v>865</v>
      </c>
      <c r="C210" s="549">
        <v>10313.549999999999</v>
      </c>
      <c r="D210" s="549">
        <v>10313.549999999999</v>
      </c>
      <c r="E210" s="549">
        <v>10313.549999999999</v>
      </c>
      <c r="F210" s="549">
        <v>10313.549999999999</v>
      </c>
      <c r="G210" s="549">
        <v>10365.65</v>
      </c>
      <c r="H210" s="549">
        <v>10365.74</v>
      </c>
      <c r="I210" s="481"/>
      <c r="J210" s="481"/>
      <c r="K210" s="481"/>
      <c r="L210" s="481"/>
      <c r="M210" s="481"/>
      <c r="N210" s="481"/>
    </row>
    <row r="211" spans="1:14">
      <c r="A211" s="480" t="s">
        <v>876</v>
      </c>
      <c r="B211" s="480" t="s">
        <v>875</v>
      </c>
      <c r="C211" s="549">
        <v>10557.69</v>
      </c>
      <c r="D211" s="549">
        <v>10557.69</v>
      </c>
      <c r="E211" s="549">
        <v>10557.69</v>
      </c>
      <c r="F211" s="549">
        <v>10557.69</v>
      </c>
      <c r="G211" s="549">
        <v>9512.68</v>
      </c>
      <c r="H211" s="549">
        <v>9511.98</v>
      </c>
      <c r="I211" s="481"/>
      <c r="J211" s="481"/>
      <c r="K211" s="481"/>
      <c r="L211" s="481"/>
      <c r="M211" s="481"/>
      <c r="N211" s="481"/>
    </row>
    <row r="212" spans="1:14">
      <c r="A212" s="480" t="s">
        <v>1205</v>
      </c>
      <c r="B212" s="480" t="s">
        <v>1206</v>
      </c>
      <c r="C212" s="549">
        <v>10240.280000000001</v>
      </c>
      <c r="D212" s="549">
        <v>10240.280000000001</v>
      </c>
      <c r="E212" s="549">
        <v>10240.280000000001</v>
      </c>
      <c r="F212" s="549">
        <v>10240.280000000001</v>
      </c>
      <c r="G212" s="549">
        <v>10263.92</v>
      </c>
      <c r="H212" s="549">
        <v>10264.879999999999</v>
      </c>
      <c r="I212" s="481"/>
      <c r="J212" s="481"/>
      <c r="K212" s="481"/>
      <c r="L212" s="481"/>
      <c r="M212" s="481"/>
      <c r="N212" s="481"/>
    </row>
    <row r="213" spans="1:14">
      <c r="A213" s="480" t="s">
        <v>912</v>
      </c>
      <c r="B213" s="480" t="s">
        <v>911</v>
      </c>
      <c r="C213" s="549">
        <v>10214.879999999999</v>
      </c>
      <c r="D213" s="549">
        <v>10214.879999999999</v>
      </c>
      <c r="E213" s="549">
        <v>10214.879999999999</v>
      </c>
      <c r="F213" s="549">
        <v>10214.879999999999</v>
      </c>
      <c r="G213" s="549">
        <v>10172.61</v>
      </c>
      <c r="H213" s="549">
        <v>10173.370000000001</v>
      </c>
      <c r="I213" s="481"/>
      <c r="J213" s="481"/>
      <c r="K213" s="481"/>
      <c r="L213" s="481"/>
      <c r="M213" s="481"/>
      <c r="N213" s="481"/>
    </row>
    <row r="214" spans="1:14">
      <c r="A214" s="480" t="s">
        <v>958</v>
      </c>
      <c r="B214" s="480" t="s">
        <v>957</v>
      </c>
      <c r="C214" s="549">
        <v>9842.8700000000008</v>
      </c>
      <c r="D214" s="549">
        <v>9842.8700000000008</v>
      </c>
      <c r="E214" s="549">
        <v>9842.8700000000008</v>
      </c>
      <c r="F214" s="549">
        <v>9842.8700000000008</v>
      </c>
      <c r="G214" s="549">
        <v>9837.7999999999993</v>
      </c>
      <c r="H214" s="549">
        <v>9832.49</v>
      </c>
      <c r="I214" s="481"/>
      <c r="J214" s="481"/>
      <c r="K214" s="481"/>
      <c r="L214" s="481"/>
      <c r="M214" s="481"/>
      <c r="N214" s="481"/>
    </row>
    <row r="215" spans="1:14">
      <c r="A215" s="480" t="s">
        <v>824</v>
      </c>
      <c r="B215" s="480" t="s">
        <v>823</v>
      </c>
      <c r="C215" s="549">
        <v>10224.91</v>
      </c>
      <c r="D215" s="549">
        <v>10224.91</v>
      </c>
      <c r="E215" s="549">
        <v>10224.91</v>
      </c>
      <c r="F215" s="549">
        <v>10224.91</v>
      </c>
      <c r="G215" s="549">
        <v>10193.969999999999</v>
      </c>
      <c r="H215" s="549">
        <v>10197.549999999999</v>
      </c>
      <c r="I215" s="481"/>
      <c r="J215" s="481"/>
      <c r="K215" s="481"/>
      <c r="L215" s="481"/>
      <c r="M215" s="481"/>
      <c r="N215" s="481"/>
    </row>
    <row r="216" spans="1:14">
      <c r="A216" s="480" t="s">
        <v>1052</v>
      </c>
      <c r="B216" s="480" t="s">
        <v>1051</v>
      </c>
      <c r="C216" s="549">
        <v>10166.67</v>
      </c>
      <c r="D216" s="549">
        <v>10166.67</v>
      </c>
      <c r="E216" s="549">
        <v>10166.67</v>
      </c>
      <c r="F216" s="549">
        <v>10166.67</v>
      </c>
      <c r="G216" s="549">
        <v>10192.5</v>
      </c>
      <c r="H216" s="549">
        <v>10190.57</v>
      </c>
      <c r="I216" s="481"/>
      <c r="J216" s="481"/>
      <c r="K216" s="481"/>
      <c r="L216" s="481"/>
      <c r="M216" s="481"/>
      <c r="N216" s="481"/>
    </row>
    <row r="217" spans="1:14">
      <c r="A217" s="480" t="s">
        <v>836</v>
      </c>
      <c r="B217" s="480" t="s">
        <v>835</v>
      </c>
      <c r="C217" s="549">
        <v>10000.16</v>
      </c>
      <c r="D217" s="549">
        <v>10000.16</v>
      </c>
      <c r="E217" s="549">
        <v>10000.16</v>
      </c>
      <c r="F217" s="549">
        <v>10000.16</v>
      </c>
      <c r="G217" s="549">
        <v>9932.5499999999993</v>
      </c>
      <c r="H217" s="549">
        <v>9950.36</v>
      </c>
      <c r="I217" s="481"/>
      <c r="J217" s="481"/>
      <c r="K217" s="481"/>
      <c r="L217" s="481"/>
      <c r="M217" s="481"/>
      <c r="N217" s="481"/>
    </row>
    <row r="218" spans="1:14">
      <c r="A218" s="480" t="s">
        <v>828</v>
      </c>
      <c r="B218" s="480" t="s">
        <v>827</v>
      </c>
      <c r="C218" s="549">
        <v>10217.89</v>
      </c>
      <c r="D218" s="549">
        <v>10217.89</v>
      </c>
      <c r="E218" s="549">
        <v>10217.89</v>
      </c>
      <c r="F218" s="549">
        <v>10217.89</v>
      </c>
      <c r="G218" s="549">
        <v>10229.61</v>
      </c>
      <c r="H218" s="549">
        <v>10228.59</v>
      </c>
      <c r="I218" s="481"/>
      <c r="J218" s="481"/>
      <c r="K218" s="481"/>
      <c r="L218" s="481"/>
      <c r="M218" s="481"/>
      <c r="N218" s="481"/>
    </row>
    <row r="219" spans="1:14">
      <c r="A219" s="480" t="s">
        <v>638</v>
      </c>
      <c r="B219" s="480" t="s">
        <v>637</v>
      </c>
      <c r="C219" s="549">
        <v>10108.36</v>
      </c>
      <c r="D219" s="549">
        <v>10108.36</v>
      </c>
      <c r="E219" s="549">
        <v>10108.36</v>
      </c>
      <c r="F219" s="549">
        <v>10108.36</v>
      </c>
      <c r="G219" s="549">
        <v>10103.86</v>
      </c>
      <c r="H219" s="549">
        <v>10104.030000000001</v>
      </c>
      <c r="I219" s="481"/>
      <c r="J219" s="481"/>
      <c r="K219" s="481"/>
      <c r="L219" s="481"/>
      <c r="M219" s="481"/>
      <c r="N219" s="481"/>
    </row>
    <row r="220" spans="1:14">
      <c r="A220" s="480" t="s">
        <v>940</v>
      </c>
      <c r="B220" s="480" t="s">
        <v>939</v>
      </c>
      <c r="C220" s="549">
        <v>10282.64</v>
      </c>
      <c r="D220" s="549">
        <v>10282.64</v>
      </c>
      <c r="E220" s="549">
        <v>10282.64</v>
      </c>
      <c r="F220" s="549">
        <v>10282.64</v>
      </c>
      <c r="G220" s="549">
        <v>10324.120000000001</v>
      </c>
      <c r="H220" s="549">
        <v>10325.08</v>
      </c>
      <c r="I220" s="481"/>
      <c r="J220" s="481"/>
      <c r="K220" s="481"/>
      <c r="L220" s="481"/>
      <c r="M220" s="481"/>
      <c r="N220" s="481"/>
    </row>
    <row r="221" spans="1:14">
      <c r="A221" s="480" t="s">
        <v>978</v>
      </c>
      <c r="B221" s="480" t="s">
        <v>977</v>
      </c>
      <c r="C221" s="549">
        <v>10566.98</v>
      </c>
      <c r="D221" s="549">
        <v>10566.98</v>
      </c>
      <c r="E221" s="549">
        <v>10566.98</v>
      </c>
      <c r="F221" s="549">
        <v>10566.98</v>
      </c>
      <c r="G221" s="549">
        <v>10664.68</v>
      </c>
      <c r="H221" s="549">
        <v>10664.67</v>
      </c>
      <c r="I221" s="481"/>
      <c r="J221" s="481"/>
      <c r="K221" s="481"/>
      <c r="L221" s="481"/>
      <c r="M221" s="481"/>
      <c r="N221" s="481"/>
    </row>
    <row r="222" spans="1:14">
      <c r="A222" s="480" t="s">
        <v>900</v>
      </c>
      <c r="B222" s="480" t="s">
        <v>899</v>
      </c>
      <c r="C222" s="549">
        <v>11133.38</v>
      </c>
      <c r="D222" s="549">
        <v>11133.38</v>
      </c>
      <c r="E222" s="549">
        <v>11133.38</v>
      </c>
      <c r="F222" s="549">
        <v>11133.38</v>
      </c>
      <c r="G222" s="549">
        <v>11062.39</v>
      </c>
      <c r="H222" s="549">
        <v>11064.68</v>
      </c>
      <c r="I222" s="481"/>
      <c r="J222" s="481"/>
      <c r="K222" s="481"/>
      <c r="L222" s="481"/>
      <c r="M222" s="481"/>
      <c r="N222" s="481"/>
    </row>
    <row r="223" spans="1:14">
      <c r="A223" s="480" t="s">
        <v>990</v>
      </c>
      <c r="B223" s="480" t="s">
        <v>989</v>
      </c>
      <c r="C223" s="549">
        <v>11077.01</v>
      </c>
      <c r="D223" s="549">
        <v>11077.01</v>
      </c>
      <c r="E223" s="549">
        <v>11077.01</v>
      </c>
      <c r="F223" s="549">
        <v>11077.01</v>
      </c>
      <c r="G223" s="549">
        <v>11048.79</v>
      </c>
      <c r="H223" s="549">
        <v>11049.86</v>
      </c>
      <c r="I223" s="481"/>
      <c r="J223" s="481"/>
      <c r="K223" s="481"/>
      <c r="L223" s="481"/>
      <c r="M223" s="481"/>
      <c r="N223" s="481"/>
    </row>
    <row r="224" spans="1:14">
      <c r="A224" s="480" t="s">
        <v>586</v>
      </c>
      <c r="B224" s="480" t="s">
        <v>585</v>
      </c>
      <c r="C224" s="549">
        <v>10921.94</v>
      </c>
      <c r="D224" s="549">
        <v>10921.94</v>
      </c>
      <c r="E224" s="549">
        <v>10921.94</v>
      </c>
      <c r="F224" s="549">
        <v>10921.94</v>
      </c>
      <c r="G224" s="549">
        <v>10889.95</v>
      </c>
      <c r="H224" s="549">
        <v>10895.06</v>
      </c>
      <c r="I224" s="481"/>
      <c r="J224" s="481"/>
      <c r="K224" s="481"/>
      <c r="L224" s="481"/>
      <c r="M224" s="481"/>
      <c r="N224" s="481"/>
    </row>
    <row r="225" spans="1:14">
      <c r="A225" s="480" t="s">
        <v>1207</v>
      </c>
      <c r="B225" s="480" t="s">
        <v>1208</v>
      </c>
      <c r="C225" s="549">
        <v>10918.14</v>
      </c>
      <c r="D225" s="549">
        <v>10918.14</v>
      </c>
      <c r="E225" s="549">
        <v>10918.14</v>
      </c>
      <c r="F225" s="549">
        <v>10918.14</v>
      </c>
      <c r="G225" s="549">
        <v>10905.43</v>
      </c>
      <c r="H225" s="549">
        <v>10906.46</v>
      </c>
      <c r="I225" s="481"/>
      <c r="J225" s="481"/>
      <c r="K225" s="481"/>
      <c r="L225" s="481"/>
      <c r="M225" s="481"/>
      <c r="N225" s="481"/>
    </row>
    <row r="226" spans="1:14">
      <c r="A226" s="480" t="s">
        <v>986</v>
      </c>
      <c r="B226" s="480" t="s">
        <v>985</v>
      </c>
      <c r="C226" s="549">
        <v>11116.99</v>
      </c>
      <c r="D226" s="549">
        <v>11116.99</v>
      </c>
      <c r="E226" s="549">
        <v>11116.99</v>
      </c>
      <c r="F226" s="549">
        <v>11116.99</v>
      </c>
      <c r="G226" s="549">
        <v>11102.37</v>
      </c>
      <c r="H226" s="549">
        <v>11102.28</v>
      </c>
      <c r="I226" s="481"/>
      <c r="J226" s="481"/>
      <c r="K226" s="481"/>
      <c r="L226" s="481"/>
      <c r="M226" s="481"/>
      <c r="N226" s="481"/>
    </row>
    <row r="227" spans="1:14">
      <c r="A227" s="480" t="s">
        <v>1209</v>
      </c>
      <c r="B227" s="480" t="s">
        <v>1210</v>
      </c>
      <c r="C227" s="549">
        <v>11613.01</v>
      </c>
      <c r="D227" s="549">
        <v>11613.01</v>
      </c>
      <c r="E227" s="549">
        <v>11613.01</v>
      </c>
      <c r="F227" s="549">
        <v>11613.01</v>
      </c>
      <c r="G227" s="549">
        <v>11582.02</v>
      </c>
      <c r="H227" s="549">
        <v>11583.3</v>
      </c>
      <c r="I227" s="481"/>
      <c r="J227" s="481"/>
      <c r="K227" s="481"/>
      <c r="L227" s="481"/>
      <c r="M227" s="481"/>
      <c r="N227" s="481"/>
    </row>
    <row r="228" spans="1:14">
      <c r="A228" s="480" t="s">
        <v>868</v>
      </c>
      <c r="B228" s="480" t="s">
        <v>867</v>
      </c>
      <c r="C228" s="549">
        <v>10566.87</v>
      </c>
      <c r="D228" s="549">
        <v>10566.87</v>
      </c>
      <c r="E228" s="549">
        <v>10566.87</v>
      </c>
      <c r="F228" s="549">
        <v>10566.87</v>
      </c>
      <c r="G228" s="549">
        <v>10668.49</v>
      </c>
      <c r="H228" s="549">
        <v>10669.58</v>
      </c>
      <c r="I228" s="481"/>
      <c r="J228" s="481"/>
      <c r="K228" s="481"/>
      <c r="L228" s="481"/>
      <c r="M228" s="481"/>
      <c r="N228" s="481"/>
    </row>
    <row r="229" spans="1:14">
      <c r="A229" s="480" t="s">
        <v>614</v>
      </c>
      <c r="B229" s="480" t="s">
        <v>613</v>
      </c>
      <c r="C229" s="549">
        <v>10887.2</v>
      </c>
      <c r="D229" s="549">
        <v>10887.2</v>
      </c>
      <c r="E229" s="549">
        <v>10887.2</v>
      </c>
      <c r="F229" s="549">
        <v>10887.2</v>
      </c>
      <c r="G229" s="549">
        <v>10668.67</v>
      </c>
      <c r="H229" s="549">
        <v>10668.61</v>
      </c>
      <c r="I229" s="481"/>
      <c r="J229" s="481"/>
      <c r="K229" s="481"/>
      <c r="L229" s="481"/>
      <c r="M229" s="481"/>
      <c r="N229" s="481"/>
    </row>
    <row r="230" spans="1:14">
      <c r="A230" s="480" t="s">
        <v>886</v>
      </c>
      <c r="B230" s="480" t="s">
        <v>885</v>
      </c>
      <c r="C230" s="549">
        <v>11133.75</v>
      </c>
      <c r="D230" s="549">
        <v>11133.75</v>
      </c>
      <c r="E230" s="549">
        <v>11133.75</v>
      </c>
      <c r="F230" s="549">
        <v>11133.75</v>
      </c>
      <c r="G230" s="549">
        <v>11147.82</v>
      </c>
      <c r="H230" s="549">
        <v>11148.83</v>
      </c>
      <c r="I230" s="481"/>
      <c r="J230" s="481"/>
      <c r="K230" s="481"/>
      <c r="L230" s="481"/>
      <c r="M230" s="481"/>
      <c r="N230" s="481"/>
    </row>
    <row r="231" spans="1:14">
      <c r="A231" s="480" t="s">
        <v>686</v>
      </c>
      <c r="B231" s="480" t="s">
        <v>685</v>
      </c>
      <c r="C231" s="549">
        <v>10723.74</v>
      </c>
      <c r="D231" s="549">
        <v>10723.74</v>
      </c>
      <c r="E231" s="549">
        <v>10723.74</v>
      </c>
      <c r="F231" s="549">
        <v>10723.74</v>
      </c>
      <c r="G231" s="549">
        <v>10704.22</v>
      </c>
      <c r="H231" s="549">
        <v>10706.3</v>
      </c>
      <c r="I231" s="481"/>
      <c r="J231" s="481"/>
      <c r="K231" s="481"/>
      <c r="L231" s="481"/>
      <c r="M231" s="481"/>
      <c r="N231" s="481"/>
    </row>
    <row r="232" spans="1:14">
      <c r="A232" s="480" t="s">
        <v>568</v>
      </c>
      <c r="B232" s="480" t="s">
        <v>567</v>
      </c>
      <c r="C232" s="549">
        <v>10731.6</v>
      </c>
      <c r="D232" s="549">
        <v>10731.6</v>
      </c>
      <c r="E232" s="549">
        <v>10731.6</v>
      </c>
      <c r="F232" s="549">
        <v>10731.6</v>
      </c>
      <c r="G232" s="549">
        <v>10719.75</v>
      </c>
      <c r="H232" s="549">
        <v>10719.75</v>
      </c>
      <c r="I232" s="481"/>
      <c r="J232" s="481"/>
      <c r="K232" s="481"/>
      <c r="L232" s="481"/>
      <c r="M232" s="481"/>
      <c r="N232" s="481"/>
    </row>
    <row r="233" spans="1:14">
      <c r="A233" s="480" t="s">
        <v>656</v>
      </c>
      <c r="B233" s="480" t="s">
        <v>655</v>
      </c>
      <c r="C233" s="549">
        <v>10285.92</v>
      </c>
      <c r="D233" s="549">
        <v>10285.92</v>
      </c>
      <c r="E233" s="549">
        <v>10285.92</v>
      </c>
      <c r="F233" s="549">
        <v>10285.92</v>
      </c>
      <c r="G233" s="549">
        <v>10304.280000000001</v>
      </c>
      <c r="H233" s="549">
        <v>10304.24</v>
      </c>
      <c r="I233" s="481"/>
      <c r="J233" s="481"/>
      <c r="K233" s="481"/>
      <c r="L233" s="481"/>
      <c r="M233" s="481"/>
      <c r="N233" s="481"/>
    </row>
    <row r="234" spans="1:14">
      <c r="A234" s="480" t="s">
        <v>1046</v>
      </c>
      <c r="B234" s="480" t="s">
        <v>1045</v>
      </c>
      <c r="C234" s="549">
        <v>10737.66</v>
      </c>
      <c r="D234" s="549">
        <v>10737.66</v>
      </c>
      <c r="E234" s="549">
        <v>10737.66</v>
      </c>
      <c r="F234" s="549">
        <v>10737.66</v>
      </c>
      <c r="G234" s="549">
        <v>10719.79</v>
      </c>
      <c r="H234" s="549">
        <v>10720.78</v>
      </c>
      <c r="I234" s="481"/>
      <c r="J234" s="481"/>
      <c r="K234" s="481"/>
      <c r="L234" s="481"/>
      <c r="M234" s="481"/>
      <c r="N234" s="481"/>
    </row>
    <row r="235" spans="1:14">
      <c r="A235" s="480" t="s">
        <v>682</v>
      </c>
      <c r="B235" s="480" t="s">
        <v>681</v>
      </c>
      <c r="C235" s="549">
        <v>11165.71</v>
      </c>
      <c r="D235" s="549">
        <v>11165.71</v>
      </c>
      <c r="E235" s="549">
        <v>11165.71</v>
      </c>
      <c r="F235" s="549">
        <v>11165.71</v>
      </c>
      <c r="G235" s="549">
        <v>10905.53</v>
      </c>
      <c r="H235" s="549">
        <v>10905.4</v>
      </c>
      <c r="I235" s="481"/>
      <c r="J235" s="481"/>
      <c r="K235" s="481"/>
      <c r="L235" s="481"/>
      <c r="M235" s="481"/>
      <c r="N235" s="481"/>
    </row>
    <row r="236" spans="1:14">
      <c r="A236" s="480" t="s">
        <v>606</v>
      </c>
      <c r="B236" s="480" t="s">
        <v>605</v>
      </c>
      <c r="C236" s="549">
        <v>11216.78</v>
      </c>
      <c r="D236" s="549">
        <v>11216.78</v>
      </c>
      <c r="E236" s="549">
        <v>11216.78</v>
      </c>
      <c r="F236" s="549">
        <v>11216.78</v>
      </c>
      <c r="G236" s="549">
        <v>10590.85</v>
      </c>
      <c r="H236" s="549">
        <v>10589.62</v>
      </c>
      <c r="I236" s="481"/>
      <c r="J236" s="481"/>
      <c r="K236" s="481"/>
      <c r="L236" s="481"/>
      <c r="M236" s="481"/>
      <c r="N236" s="481"/>
    </row>
    <row r="237" spans="1:14">
      <c r="A237" s="480" t="s">
        <v>718</v>
      </c>
      <c r="B237" s="480" t="s">
        <v>717</v>
      </c>
      <c r="C237" s="549">
        <v>12646.05</v>
      </c>
      <c r="D237" s="549">
        <v>12646.05</v>
      </c>
      <c r="E237" s="549">
        <v>12646.05</v>
      </c>
      <c r="F237" s="549">
        <v>12646.05</v>
      </c>
      <c r="G237" s="549">
        <v>12354.15</v>
      </c>
      <c r="H237" s="549">
        <v>12352.9</v>
      </c>
      <c r="I237" s="481"/>
      <c r="J237" s="481"/>
      <c r="K237" s="481"/>
      <c r="L237" s="481"/>
      <c r="M237" s="481"/>
      <c r="N237" s="481"/>
    </row>
    <row r="238" spans="1:14">
      <c r="A238" s="480" t="s">
        <v>1211</v>
      </c>
      <c r="B238" s="480" t="s">
        <v>1212</v>
      </c>
      <c r="C238" s="549">
        <v>0</v>
      </c>
      <c r="D238" s="549">
        <v>0</v>
      </c>
      <c r="E238" s="549">
        <v>0</v>
      </c>
      <c r="F238" s="549">
        <v>0</v>
      </c>
      <c r="G238" s="549">
        <v>0</v>
      </c>
      <c r="H238" s="549">
        <v>0</v>
      </c>
      <c r="I238" s="481"/>
      <c r="J238" s="481"/>
      <c r="K238" s="481"/>
      <c r="L238" s="481"/>
      <c r="M238" s="481"/>
      <c r="N238" s="481"/>
    </row>
    <row r="239" spans="1:14">
      <c r="A239" s="480" t="s">
        <v>1213</v>
      </c>
      <c r="B239" s="480" t="s">
        <v>1214</v>
      </c>
      <c r="C239" s="549">
        <v>0</v>
      </c>
      <c r="D239" s="549">
        <v>0</v>
      </c>
      <c r="E239" s="549">
        <v>0</v>
      </c>
      <c r="F239" s="549">
        <v>0</v>
      </c>
      <c r="G239" s="549">
        <v>0</v>
      </c>
      <c r="H239" s="549">
        <v>0</v>
      </c>
      <c r="I239" s="481"/>
      <c r="J239" s="481"/>
      <c r="K239" s="481"/>
      <c r="L239" s="481"/>
      <c r="M239" s="481"/>
      <c r="N239" s="481"/>
    </row>
    <row r="240" spans="1:14">
      <c r="A240" s="480" t="s">
        <v>1215</v>
      </c>
      <c r="B240" s="480" t="s">
        <v>1216</v>
      </c>
      <c r="C240" s="549">
        <v>0</v>
      </c>
      <c r="D240" s="549">
        <v>0</v>
      </c>
      <c r="E240" s="549">
        <v>0</v>
      </c>
      <c r="F240" s="549">
        <v>0</v>
      </c>
      <c r="G240" s="549">
        <v>0</v>
      </c>
      <c r="H240" s="549">
        <v>0</v>
      </c>
      <c r="I240" s="481"/>
      <c r="J240" s="481"/>
      <c r="K240" s="481"/>
      <c r="L240" s="481"/>
      <c r="M240" s="481"/>
      <c r="N240" s="481"/>
    </row>
    <row r="241" spans="1:14">
      <c r="A241" s="480" t="s">
        <v>1217</v>
      </c>
      <c r="B241" s="480" t="s">
        <v>1218</v>
      </c>
      <c r="C241" s="549">
        <v>0</v>
      </c>
      <c r="D241" s="549">
        <v>0</v>
      </c>
      <c r="E241" s="549">
        <v>0</v>
      </c>
      <c r="F241" s="549">
        <v>0</v>
      </c>
      <c r="G241" s="549">
        <v>0</v>
      </c>
      <c r="H241" s="549">
        <v>0</v>
      </c>
      <c r="I241" s="481"/>
      <c r="J241" s="481"/>
      <c r="K241" s="481"/>
      <c r="L241" s="481"/>
      <c r="M241" s="481"/>
      <c r="N241" s="481"/>
    </row>
    <row r="242" spans="1:14">
      <c r="A242" s="480" t="s">
        <v>1219</v>
      </c>
      <c r="B242" s="480" t="s">
        <v>1220</v>
      </c>
      <c r="C242" s="549">
        <v>12417.96</v>
      </c>
      <c r="D242" s="549">
        <v>12417.96</v>
      </c>
      <c r="E242" s="549">
        <v>12417.96</v>
      </c>
      <c r="F242" s="549">
        <v>12417.96</v>
      </c>
      <c r="G242" s="549">
        <v>12165.14</v>
      </c>
      <c r="H242" s="549">
        <v>12165.14</v>
      </c>
      <c r="I242" s="481"/>
      <c r="J242" s="481"/>
      <c r="K242" s="481"/>
      <c r="L242" s="481"/>
      <c r="M242" s="481"/>
      <c r="N242" s="481"/>
    </row>
    <row r="243" spans="1:14">
      <c r="A243" s="480" t="s">
        <v>860</v>
      </c>
      <c r="B243" s="480" t="s">
        <v>859</v>
      </c>
      <c r="C243" s="549">
        <v>10778.87</v>
      </c>
      <c r="D243" s="549">
        <v>10778.87</v>
      </c>
      <c r="E243" s="549">
        <v>10778.87</v>
      </c>
      <c r="F243" s="549">
        <v>10778.87</v>
      </c>
      <c r="G243" s="549">
        <v>10635.14</v>
      </c>
      <c r="H243" s="549">
        <v>10593.53</v>
      </c>
      <c r="I243" s="481"/>
      <c r="J243" s="481"/>
      <c r="K243" s="481"/>
      <c r="L243" s="481"/>
      <c r="M243" s="481"/>
      <c r="N243" s="481"/>
    </row>
    <row r="244" spans="1:14">
      <c r="A244" s="480" t="s">
        <v>772</v>
      </c>
      <c r="B244" s="480" t="s">
        <v>1221</v>
      </c>
      <c r="C244" s="549">
        <v>11093.82</v>
      </c>
      <c r="D244" s="549">
        <v>11093.82</v>
      </c>
      <c r="E244" s="549">
        <v>11093.82</v>
      </c>
      <c r="F244" s="549">
        <v>11093.82</v>
      </c>
      <c r="G244" s="549">
        <v>10329.33</v>
      </c>
      <c r="H244" s="549">
        <v>10330.209999999999</v>
      </c>
      <c r="I244" s="481"/>
      <c r="J244" s="481"/>
      <c r="K244" s="481"/>
      <c r="L244" s="481"/>
      <c r="M244" s="481"/>
      <c r="N244" s="481"/>
    </row>
    <row r="245" spans="1:14">
      <c r="A245" s="480" t="s">
        <v>930</v>
      </c>
      <c r="B245" s="480" t="s">
        <v>929</v>
      </c>
      <c r="C245" s="549">
        <v>11115.93</v>
      </c>
      <c r="D245" s="549">
        <v>11115.93</v>
      </c>
      <c r="E245" s="549">
        <v>11115.93</v>
      </c>
      <c r="F245" s="549">
        <v>11115.93</v>
      </c>
      <c r="G245" s="549">
        <v>11095.51</v>
      </c>
      <c r="H245" s="549">
        <v>11096.52</v>
      </c>
      <c r="I245" s="481"/>
      <c r="J245" s="481"/>
      <c r="K245" s="481"/>
      <c r="L245" s="481"/>
      <c r="M245" s="481"/>
      <c r="N245" s="481"/>
    </row>
    <row r="246" spans="1:14">
      <c r="A246" s="480" t="s">
        <v>1222</v>
      </c>
      <c r="B246" s="480" t="s">
        <v>1223</v>
      </c>
      <c r="C246" s="549">
        <v>10937.27</v>
      </c>
      <c r="D246" s="549">
        <v>10937.27</v>
      </c>
      <c r="E246" s="549">
        <v>10937.27</v>
      </c>
      <c r="F246" s="549">
        <v>10937.27</v>
      </c>
      <c r="G246" s="549">
        <v>10911.93</v>
      </c>
      <c r="H246" s="549">
        <v>10914.19</v>
      </c>
      <c r="I246" s="481"/>
      <c r="J246" s="481"/>
      <c r="K246" s="481"/>
      <c r="L246" s="481"/>
      <c r="M246" s="481"/>
      <c r="N246" s="481"/>
    </row>
    <row r="247" spans="1:14">
      <c r="A247" s="480" t="s">
        <v>580</v>
      </c>
      <c r="B247" s="480" t="s">
        <v>579</v>
      </c>
      <c r="C247" s="549">
        <v>11160.62</v>
      </c>
      <c r="D247" s="549">
        <v>11160.62</v>
      </c>
      <c r="E247" s="549">
        <v>11160.62</v>
      </c>
      <c r="F247" s="549">
        <v>11160.62</v>
      </c>
      <c r="G247" s="549">
        <v>11124.58</v>
      </c>
      <c r="H247" s="549">
        <v>11124.59</v>
      </c>
      <c r="I247" s="481"/>
      <c r="J247" s="481"/>
      <c r="K247" s="481"/>
      <c r="L247" s="481"/>
      <c r="M247" s="481"/>
      <c r="N247" s="481"/>
    </row>
    <row r="248" spans="1:14">
      <c r="A248" s="480" t="s">
        <v>936</v>
      </c>
      <c r="B248" s="480" t="s">
        <v>935</v>
      </c>
      <c r="C248" s="549">
        <v>11198.8</v>
      </c>
      <c r="D248" s="549">
        <v>11198.8</v>
      </c>
      <c r="E248" s="549">
        <v>11198.8</v>
      </c>
      <c r="F248" s="549">
        <v>11198.8</v>
      </c>
      <c r="G248" s="549">
        <v>11170.27</v>
      </c>
      <c r="H248" s="549">
        <v>11173.63</v>
      </c>
      <c r="I248" s="481"/>
      <c r="J248" s="481"/>
      <c r="K248" s="481"/>
      <c r="L248" s="481"/>
      <c r="M248" s="481"/>
      <c r="N248" s="481"/>
    </row>
    <row r="249" spans="1:14">
      <c r="A249" s="480" t="s">
        <v>552</v>
      </c>
      <c r="B249" s="480" t="s">
        <v>551</v>
      </c>
      <c r="C249" s="549">
        <v>11325.42</v>
      </c>
      <c r="D249" s="549">
        <v>11325.42</v>
      </c>
      <c r="E249" s="549">
        <v>11325.42</v>
      </c>
      <c r="F249" s="549">
        <v>11325.42</v>
      </c>
      <c r="G249" s="549">
        <v>11301.23</v>
      </c>
      <c r="H249" s="549">
        <v>11301.27</v>
      </c>
      <c r="I249" s="481"/>
      <c r="J249" s="481"/>
      <c r="K249" s="481"/>
      <c r="L249" s="481"/>
      <c r="M249" s="481"/>
      <c r="N249" s="481"/>
    </row>
    <row r="250" spans="1:14">
      <c r="A250" s="480" t="s">
        <v>750</v>
      </c>
      <c r="B250" s="480" t="s">
        <v>749</v>
      </c>
      <c r="C250" s="549">
        <v>11059.25</v>
      </c>
      <c r="D250" s="549">
        <v>11059.25</v>
      </c>
      <c r="E250" s="549">
        <v>11059.25</v>
      </c>
      <c r="F250" s="549">
        <v>11059.25</v>
      </c>
      <c r="G250" s="549">
        <v>11052.62</v>
      </c>
      <c r="H250" s="549">
        <v>11053.57</v>
      </c>
      <c r="I250" s="481"/>
      <c r="J250" s="481"/>
      <c r="K250" s="481"/>
      <c r="L250" s="481"/>
      <c r="M250" s="481"/>
      <c r="N250" s="481"/>
    </row>
    <row r="251" spans="1:14">
      <c r="A251" s="480" t="s">
        <v>624</v>
      </c>
      <c r="B251" s="480" t="s">
        <v>623</v>
      </c>
      <c r="C251" s="549">
        <v>11642.27</v>
      </c>
      <c r="D251" s="549">
        <v>11642.27</v>
      </c>
      <c r="E251" s="549">
        <v>11642.27</v>
      </c>
      <c r="F251" s="549">
        <v>11642.27</v>
      </c>
      <c r="G251" s="549">
        <v>11654.38</v>
      </c>
      <c r="H251" s="549">
        <v>11656.19</v>
      </c>
      <c r="I251" s="481"/>
      <c r="J251" s="481"/>
      <c r="K251" s="481"/>
      <c r="L251" s="481"/>
      <c r="M251" s="481"/>
      <c r="N251" s="481"/>
    </row>
    <row r="252" spans="1:14">
      <c r="A252" s="480" t="s">
        <v>814</v>
      </c>
      <c r="B252" s="480" t="s">
        <v>813</v>
      </c>
      <c r="C252" s="549">
        <v>11139.19</v>
      </c>
      <c r="D252" s="549">
        <v>11139.19</v>
      </c>
      <c r="E252" s="549">
        <v>11139.19</v>
      </c>
      <c r="F252" s="549">
        <v>11139.19</v>
      </c>
      <c r="G252" s="549">
        <v>11114.68</v>
      </c>
      <c r="H252" s="549">
        <v>11119.36</v>
      </c>
      <c r="I252" s="481"/>
      <c r="J252" s="481"/>
      <c r="K252" s="481"/>
      <c r="L252" s="481"/>
      <c r="M252" s="481"/>
      <c r="N252" s="481"/>
    </row>
    <row r="253" spans="1:14">
      <c r="A253" s="480" t="s">
        <v>1224</v>
      </c>
      <c r="B253" s="480" t="s">
        <v>1225</v>
      </c>
      <c r="C253" s="549">
        <v>0</v>
      </c>
      <c r="D253" s="549">
        <v>0</v>
      </c>
      <c r="E253" s="549">
        <v>0</v>
      </c>
      <c r="F253" s="549">
        <v>0</v>
      </c>
      <c r="G253" s="549">
        <v>0</v>
      </c>
      <c r="H253" s="549">
        <v>0</v>
      </c>
      <c r="I253" s="481"/>
      <c r="J253" s="481"/>
      <c r="K253" s="481"/>
      <c r="L253" s="481"/>
      <c r="M253" s="481"/>
      <c r="N253" s="481"/>
    </row>
    <row r="254" spans="1:14">
      <c r="A254" s="480" t="s">
        <v>1226</v>
      </c>
      <c r="B254" s="480" t="s">
        <v>1227</v>
      </c>
      <c r="C254" s="549">
        <v>0</v>
      </c>
      <c r="D254" s="549">
        <v>0</v>
      </c>
      <c r="E254" s="549">
        <v>0</v>
      </c>
      <c r="F254" s="549">
        <v>0</v>
      </c>
      <c r="G254" s="549">
        <v>0</v>
      </c>
      <c r="H254" s="549">
        <v>0</v>
      </c>
      <c r="I254" s="481"/>
      <c r="J254" s="481"/>
      <c r="K254" s="481"/>
      <c r="L254" s="481"/>
      <c r="M254" s="481"/>
      <c r="N254" s="481"/>
    </row>
    <row r="255" spans="1:14">
      <c r="A255" s="480" t="s">
        <v>948</v>
      </c>
      <c r="B255" s="480" t="s">
        <v>947</v>
      </c>
      <c r="C255" s="549">
        <v>11115.83</v>
      </c>
      <c r="D255" s="549">
        <v>11115.83</v>
      </c>
      <c r="E255" s="549">
        <v>11115.83</v>
      </c>
      <c r="F255" s="549">
        <v>11115.83</v>
      </c>
      <c r="G255" s="549">
        <v>11159.25</v>
      </c>
      <c r="H255" s="549">
        <v>11162.3</v>
      </c>
      <c r="I255" s="481"/>
      <c r="J255" s="481"/>
      <c r="K255" s="481"/>
      <c r="L255" s="481"/>
      <c r="M255" s="481"/>
      <c r="N255" s="481"/>
    </row>
    <row r="256" spans="1:14">
      <c r="A256" s="480" t="s">
        <v>812</v>
      </c>
      <c r="B256" s="480" t="s">
        <v>811</v>
      </c>
      <c r="C256" s="549">
        <v>11105.54</v>
      </c>
      <c r="D256" s="549">
        <v>11105.54</v>
      </c>
      <c r="E256" s="549">
        <v>11105.54</v>
      </c>
      <c r="F256" s="549">
        <v>11105.54</v>
      </c>
      <c r="G256" s="549">
        <v>11176.54</v>
      </c>
      <c r="H256" s="549">
        <v>11176.54</v>
      </c>
      <c r="I256" s="481"/>
      <c r="J256" s="481"/>
      <c r="K256" s="481"/>
      <c r="L256" s="481"/>
      <c r="M256" s="481"/>
      <c r="N256" s="481"/>
    </row>
    <row r="257" spans="1:14">
      <c r="A257" s="480" t="s">
        <v>796</v>
      </c>
      <c r="B257" s="480" t="s">
        <v>795</v>
      </c>
      <c r="C257" s="549">
        <v>10189.629999999999</v>
      </c>
      <c r="D257" s="549">
        <v>10189.629999999999</v>
      </c>
      <c r="E257" s="549">
        <v>10189.629999999999</v>
      </c>
      <c r="F257" s="549">
        <v>10189.629999999999</v>
      </c>
      <c r="G257" s="549">
        <v>9730.33</v>
      </c>
      <c r="H257" s="549">
        <v>9726.7900000000009</v>
      </c>
      <c r="I257" s="481"/>
      <c r="J257" s="481"/>
      <c r="K257" s="481"/>
      <c r="L257" s="481"/>
      <c r="M257" s="481"/>
      <c r="N257" s="481"/>
    </row>
    <row r="258" spans="1:14">
      <c r="A258" s="480" t="s">
        <v>980</v>
      </c>
      <c r="B258" s="480" t="s">
        <v>979</v>
      </c>
      <c r="C258" s="549">
        <v>10188.36</v>
      </c>
      <c r="D258" s="549">
        <v>10188.36</v>
      </c>
      <c r="E258" s="549">
        <v>10188.36</v>
      </c>
      <c r="F258" s="549">
        <v>10188.36</v>
      </c>
      <c r="G258" s="549">
        <v>10158.780000000001</v>
      </c>
      <c r="H258" s="549">
        <v>10158.629999999999</v>
      </c>
      <c r="I258" s="481"/>
      <c r="J258" s="481"/>
      <c r="K258" s="481"/>
      <c r="L258" s="481"/>
      <c r="M258" s="481"/>
      <c r="N258" s="481"/>
    </row>
    <row r="259" spans="1:14">
      <c r="A259" s="480" t="s">
        <v>1228</v>
      </c>
      <c r="B259" s="480" t="s">
        <v>1229</v>
      </c>
      <c r="C259" s="549">
        <v>11653.03</v>
      </c>
      <c r="D259" s="549">
        <v>11653.03</v>
      </c>
      <c r="E259" s="549">
        <v>11653.03</v>
      </c>
      <c r="F259" s="549">
        <v>11653.03</v>
      </c>
      <c r="G259" s="549">
        <v>11636.21</v>
      </c>
      <c r="H259" s="549">
        <v>11638.68</v>
      </c>
      <c r="I259" s="481"/>
      <c r="J259" s="481"/>
      <c r="K259" s="481"/>
      <c r="L259" s="481"/>
      <c r="M259" s="481"/>
      <c r="N259" s="481"/>
    </row>
    <row r="260" spans="1:14">
      <c r="A260" s="480" t="s">
        <v>758</v>
      </c>
      <c r="B260" s="480" t="s">
        <v>757</v>
      </c>
      <c r="C260" s="549">
        <v>11607.32</v>
      </c>
      <c r="D260" s="549">
        <v>11607.32</v>
      </c>
      <c r="E260" s="549">
        <v>11607.32</v>
      </c>
      <c r="F260" s="549">
        <v>11607.32</v>
      </c>
      <c r="G260" s="549">
        <v>11357.23</v>
      </c>
      <c r="H260" s="549">
        <v>11357.18</v>
      </c>
      <c r="I260" s="481"/>
      <c r="J260" s="481"/>
      <c r="K260" s="481"/>
      <c r="L260" s="481"/>
      <c r="M260" s="481"/>
      <c r="N260" s="481"/>
    </row>
    <row r="261" spans="1:14">
      <c r="A261" s="480" t="s">
        <v>818</v>
      </c>
      <c r="B261" s="480" t="s">
        <v>817</v>
      </c>
      <c r="C261" s="549">
        <v>11568.57</v>
      </c>
      <c r="D261" s="549">
        <v>11568.57</v>
      </c>
      <c r="E261" s="549">
        <v>11568.57</v>
      </c>
      <c r="F261" s="549">
        <v>11568.57</v>
      </c>
      <c r="G261" s="549">
        <v>11565.15</v>
      </c>
      <c r="H261" s="549">
        <v>11566.27</v>
      </c>
      <c r="I261" s="481"/>
      <c r="J261" s="481"/>
      <c r="K261" s="481"/>
      <c r="L261" s="481"/>
      <c r="M261" s="481"/>
      <c r="N261" s="481"/>
    </row>
    <row r="262" spans="1:14">
      <c r="A262" s="480" t="s">
        <v>658</v>
      </c>
      <c r="B262" s="480" t="s">
        <v>657</v>
      </c>
      <c r="C262" s="549">
        <v>11592.98</v>
      </c>
      <c r="D262" s="549">
        <v>11592.98</v>
      </c>
      <c r="E262" s="549">
        <v>11592.98</v>
      </c>
      <c r="F262" s="549">
        <v>11592.98</v>
      </c>
      <c r="G262" s="549">
        <v>11568.74</v>
      </c>
      <c r="H262" s="549">
        <v>11568.75</v>
      </c>
      <c r="I262" s="481"/>
      <c r="J262" s="481"/>
      <c r="K262" s="481"/>
      <c r="L262" s="481"/>
      <c r="M262" s="481"/>
      <c r="N262" s="481"/>
    </row>
    <row r="263" spans="1:14">
      <c r="A263" s="480" t="s">
        <v>554</v>
      </c>
      <c r="B263" s="480" t="s">
        <v>553</v>
      </c>
      <c r="C263" s="549">
        <v>11267.61</v>
      </c>
      <c r="D263" s="549">
        <v>11267.61</v>
      </c>
      <c r="E263" s="549">
        <v>11267.61</v>
      </c>
      <c r="F263" s="549">
        <v>11267.61</v>
      </c>
      <c r="G263" s="549">
        <v>11280.23</v>
      </c>
      <c r="H263" s="549">
        <v>11282.57</v>
      </c>
      <c r="I263" s="481"/>
      <c r="J263" s="481"/>
      <c r="K263" s="481"/>
      <c r="L263" s="481"/>
      <c r="M263" s="481"/>
      <c r="N263" s="481"/>
    </row>
    <row r="264" spans="1:14">
      <c r="A264" s="480" t="s">
        <v>786</v>
      </c>
      <c r="B264" s="480" t="s">
        <v>785</v>
      </c>
      <c r="C264" s="549">
        <v>11594.34</v>
      </c>
      <c r="D264" s="549">
        <v>11594.34</v>
      </c>
      <c r="E264" s="549">
        <v>11594.34</v>
      </c>
      <c r="F264" s="549">
        <v>11594.34</v>
      </c>
      <c r="G264" s="549">
        <v>11528.3</v>
      </c>
      <c r="H264" s="549">
        <v>11529.43</v>
      </c>
      <c r="I264" s="481"/>
      <c r="J264" s="481"/>
      <c r="K264" s="481"/>
      <c r="L264" s="481"/>
      <c r="M264" s="481"/>
      <c r="N264" s="481"/>
    </row>
    <row r="265" spans="1:14">
      <c r="A265" s="480" t="s">
        <v>726</v>
      </c>
      <c r="B265" s="480" t="s">
        <v>725</v>
      </c>
      <c r="C265" s="549">
        <v>12001.16</v>
      </c>
      <c r="D265" s="549">
        <v>12001.16</v>
      </c>
      <c r="E265" s="549">
        <v>12001.16</v>
      </c>
      <c r="F265" s="549">
        <v>12001.16</v>
      </c>
      <c r="G265" s="549">
        <v>11760.57</v>
      </c>
      <c r="H265" s="549">
        <v>11742.89</v>
      </c>
      <c r="I265" s="481"/>
      <c r="J265" s="481"/>
      <c r="K265" s="481"/>
      <c r="L265" s="481"/>
      <c r="M265" s="481"/>
      <c r="N265" s="481"/>
    </row>
    <row r="266" spans="1:14">
      <c r="A266" s="480" t="s">
        <v>798</v>
      </c>
      <c r="B266" s="480" t="s">
        <v>797</v>
      </c>
      <c r="C266" s="549">
        <v>11535.72</v>
      </c>
      <c r="D266" s="549">
        <v>11535.72</v>
      </c>
      <c r="E266" s="549">
        <v>11535.72</v>
      </c>
      <c r="F266" s="549">
        <v>11535.72</v>
      </c>
      <c r="G266" s="549">
        <v>11463.63</v>
      </c>
      <c r="H266" s="549">
        <v>11464.75</v>
      </c>
      <c r="I266" s="481"/>
      <c r="J266" s="481"/>
      <c r="K266" s="481"/>
      <c r="L266" s="481"/>
      <c r="M266" s="481"/>
      <c r="N266" s="481"/>
    </row>
    <row r="267" spans="1:14">
      <c r="A267" s="480" t="s">
        <v>952</v>
      </c>
      <c r="B267" s="480" t="s">
        <v>951</v>
      </c>
      <c r="C267" s="549">
        <v>11784.23</v>
      </c>
      <c r="D267" s="549">
        <v>11784.23</v>
      </c>
      <c r="E267" s="549">
        <v>11784.23</v>
      </c>
      <c r="F267" s="549">
        <v>11784.23</v>
      </c>
      <c r="G267" s="549">
        <v>11794.38</v>
      </c>
      <c r="H267" s="549">
        <v>11795.56</v>
      </c>
      <c r="I267" s="481"/>
      <c r="J267" s="481"/>
      <c r="K267" s="481"/>
      <c r="L267" s="481"/>
      <c r="M267" s="481"/>
      <c r="N267" s="481"/>
    </row>
    <row r="268" spans="1:14">
      <c r="A268" s="480" t="s">
        <v>762</v>
      </c>
      <c r="B268" s="480" t="s">
        <v>761</v>
      </c>
      <c r="C268" s="549">
        <v>11180.66</v>
      </c>
      <c r="D268" s="549">
        <v>11180.66</v>
      </c>
      <c r="E268" s="549">
        <v>11180.66</v>
      </c>
      <c r="F268" s="549">
        <v>11180.66</v>
      </c>
      <c r="G268" s="549">
        <v>11169</v>
      </c>
      <c r="H268" s="549">
        <v>11171.34</v>
      </c>
      <c r="I268" s="481"/>
      <c r="J268" s="481"/>
      <c r="K268" s="481"/>
      <c r="L268" s="481"/>
      <c r="M268" s="481"/>
      <c r="N268" s="481"/>
    </row>
    <row r="269" spans="1:14">
      <c r="A269" s="480" t="s">
        <v>982</v>
      </c>
      <c r="B269" s="480" t="s">
        <v>981</v>
      </c>
      <c r="C269" s="549">
        <v>11709.07</v>
      </c>
      <c r="D269" s="549">
        <v>11709.07</v>
      </c>
      <c r="E269" s="549">
        <v>11709.07</v>
      </c>
      <c r="F269" s="549">
        <v>11709.07</v>
      </c>
      <c r="G269" s="549">
        <v>11703.08</v>
      </c>
      <c r="H269" s="549">
        <v>11705.54</v>
      </c>
      <c r="I269" s="481"/>
      <c r="J269" s="481"/>
      <c r="K269" s="481"/>
      <c r="L269" s="481"/>
      <c r="M269" s="481"/>
      <c r="N269" s="481"/>
    </row>
    <row r="270" spans="1:14">
      <c r="A270" s="480" t="s">
        <v>640</v>
      </c>
      <c r="B270" s="480" t="s">
        <v>639</v>
      </c>
      <c r="C270" s="549">
        <v>11292.95</v>
      </c>
      <c r="D270" s="549">
        <v>11292.95</v>
      </c>
      <c r="E270" s="549">
        <v>11292.95</v>
      </c>
      <c r="F270" s="549">
        <v>11292.95</v>
      </c>
      <c r="G270" s="549">
        <v>10959.08</v>
      </c>
      <c r="H270" s="549">
        <v>10954.67</v>
      </c>
      <c r="I270" s="481"/>
      <c r="J270" s="481"/>
      <c r="K270" s="481"/>
      <c r="L270" s="481"/>
      <c r="M270" s="481"/>
      <c r="N270" s="481"/>
    </row>
    <row r="271" spans="1:14">
      <c r="A271" s="480" t="s">
        <v>700</v>
      </c>
      <c r="B271" s="480" t="s">
        <v>699</v>
      </c>
      <c r="C271" s="549">
        <v>11141.11</v>
      </c>
      <c r="D271" s="549">
        <v>11141.11</v>
      </c>
      <c r="E271" s="549">
        <v>11141.11</v>
      </c>
      <c r="F271" s="549">
        <v>11141.11</v>
      </c>
      <c r="G271" s="549">
        <v>11156.77</v>
      </c>
      <c r="H271" s="549">
        <v>11158.76</v>
      </c>
      <c r="I271" s="481"/>
      <c r="J271" s="481"/>
      <c r="K271" s="481"/>
      <c r="L271" s="481"/>
      <c r="M271" s="481"/>
      <c r="N271" s="481"/>
    </row>
    <row r="272" spans="1:14">
      <c r="A272" s="480" t="s">
        <v>974</v>
      </c>
      <c r="B272" s="480" t="s">
        <v>973</v>
      </c>
      <c r="C272" s="549">
        <v>11360.56</v>
      </c>
      <c r="D272" s="549">
        <v>11360.56</v>
      </c>
      <c r="E272" s="549">
        <v>11360.56</v>
      </c>
      <c r="F272" s="549">
        <v>11360.56</v>
      </c>
      <c r="G272" s="549">
        <v>11329.2</v>
      </c>
      <c r="H272" s="549">
        <v>11329.2</v>
      </c>
      <c r="I272" s="481"/>
      <c r="J272" s="481"/>
      <c r="K272" s="481"/>
      <c r="L272" s="481"/>
      <c r="M272" s="481"/>
      <c r="N272" s="481"/>
    </row>
    <row r="273" spans="1:14">
      <c r="A273" s="480" t="s">
        <v>1230</v>
      </c>
      <c r="B273" s="480" t="s">
        <v>1231</v>
      </c>
      <c r="C273" s="549">
        <v>0</v>
      </c>
      <c r="D273" s="549">
        <v>0</v>
      </c>
      <c r="E273" s="549">
        <v>0</v>
      </c>
      <c r="F273" s="549">
        <v>0</v>
      </c>
      <c r="G273" s="549">
        <v>0</v>
      </c>
      <c r="H273" s="549">
        <v>0</v>
      </c>
      <c r="I273" s="481"/>
      <c r="J273" s="481"/>
      <c r="K273" s="481"/>
      <c r="L273" s="481"/>
      <c r="M273" s="481"/>
      <c r="N273" s="481"/>
    </row>
    <row r="274" spans="1:14">
      <c r="A274" s="480" t="s">
        <v>1232</v>
      </c>
      <c r="B274" s="480" t="s">
        <v>1233</v>
      </c>
      <c r="C274" s="549">
        <v>0</v>
      </c>
      <c r="D274" s="549">
        <v>0</v>
      </c>
      <c r="E274" s="549">
        <v>0</v>
      </c>
      <c r="F274" s="549">
        <v>0</v>
      </c>
      <c r="G274" s="549">
        <v>0</v>
      </c>
      <c r="H274" s="549">
        <v>0</v>
      </c>
      <c r="I274" s="481"/>
      <c r="J274" s="481"/>
      <c r="K274" s="481"/>
      <c r="L274" s="481"/>
      <c r="M274" s="481"/>
      <c r="N274" s="481"/>
    </row>
    <row r="275" spans="1:14">
      <c r="A275" s="480" t="s">
        <v>968</v>
      </c>
      <c r="B275" s="480" t="s">
        <v>967</v>
      </c>
      <c r="C275" s="549">
        <v>10288.99</v>
      </c>
      <c r="D275" s="549">
        <v>10288.99</v>
      </c>
      <c r="E275" s="549">
        <v>10288.99</v>
      </c>
      <c r="F275" s="549">
        <v>10288.99</v>
      </c>
      <c r="G275" s="549">
        <v>10280.01</v>
      </c>
      <c r="H275" s="549">
        <v>10279.969999999999</v>
      </c>
      <c r="I275" s="481"/>
      <c r="J275" s="481"/>
      <c r="K275" s="481"/>
      <c r="L275" s="481"/>
      <c r="M275" s="481"/>
      <c r="N275" s="481"/>
    </row>
    <row r="276" spans="1:14">
      <c r="A276" s="480" t="s">
        <v>1234</v>
      </c>
      <c r="B276" s="480" t="s">
        <v>1235</v>
      </c>
      <c r="C276" s="549">
        <v>11068.65</v>
      </c>
      <c r="D276" s="549">
        <v>11068.65</v>
      </c>
      <c r="E276" s="549">
        <v>11068.65</v>
      </c>
      <c r="F276" s="549">
        <v>11068.65</v>
      </c>
      <c r="G276" s="549">
        <v>10982.18</v>
      </c>
      <c r="H276" s="549">
        <v>10985.97</v>
      </c>
      <c r="I276" s="481"/>
      <c r="J276" s="481"/>
      <c r="K276" s="481"/>
      <c r="L276" s="481"/>
      <c r="M276" s="481"/>
      <c r="N276" s="481"/>
    </row>
    <row r="277" spans="1:14">
      <c r="A277" s="480" t="s">
        <v>704</v>
      </c>
      <c r="B277" s="480" t="s">
        <v>703</v>
      </c>
      <c r="C277" s="549">
        <v>11226.47</v>
      </c>
      <c r="D277" s="549">
        <v>11226.47</v>
      </c>
      <c r="E277" s="549">
        <v>11226.47</v>
      </c>
      <c r="F277" s="549">
        <v>11226.47</v>
      </c>
      <c r="G277" s="549">
        <v>11246.92</v>
      </c>
      <c r="H277" s="549">
        <v>11241.76</v>
      </c>
      <c r="I277" s="481"/>
      <c r="J277" s="481"/>
      <c r="K277" s="481"/>
      <c r="L277" s="481"/>
      <c r="M277" s="481"/>
      <c r="N277" s="481"/>
    </row>
    <row r="278" spans="1:14">
      <c r="A278" s="480" t="s">
        <v>830</v>
      </c>
      <c r="B278" s="480" t="s">
        <v>829</v>
      </c>
      <c r="C278" s="549">
        <v>10389.549999999999</v>
      </c>
      <c r="D278" s="549">
        <v>10389.549999999999</v>
      </c>
      <c r="E278" s="549">
        <v>10389.549999999999</v>
      </c>
      <c r="F278" s="549">
        <v>10389.549999999999</v>
      </c>
      <c r="G278" s="549">
        <v>10415.09</v>
      </c>
      <c r="H278" s="549">
        <v>10417.07</v>
      </c>
      <c r="I278" s="481"/>
      <c r="J278" s="481"/>
      <c r="K278" s="481"/>
      <c r="L278" s="481"/>
      <c r="M278" s="481"/>
      <c r="N278" s="481"/>
    </row>
    <row r="279" spans="1:14">
      <c r="A279" s="480" t="s">
        <v>790</v>
      </c>
      <c r="B279" s="480" t="s">
        <v>789</v>
      </c>
      <c r="C279" s="549">
        <v>10427.26</v>
      </c>
      <c r="D279" s="549">
        <v>10427.26</v>
      </c>
      <c r="E279" s="549">
        <v>10427.26</v>
      </c>
      <c r="F279" s="549">
        <v>10427.26</v>
      </c>
      <c r="G279" s="549">
        <v>10417.77</v>
      </c>
      <c r="H279" s="549">
        <v>10416.82</v>
      </c>
      <c r="I279" s="481"/>
      <c r="J279" s="481"/>
      <c r="K279" s="481"/>
      <c r="L279" s="481"/>
      <c r="M279" s="481"/>
      <c r="N279" s="481"/>
    </row>
    <row r="280" spans="1:14">
      <c r="A280" s="480" t="s">
        <v>1236</v>
      </c>
      <c r="B280" s="480" t="s">
        <v>1237</v>
      </c>
      <c r="C280" s="549">
        <v>10418.530000000001</v>
      </c>
      <c r="D280" s="549">
        <v>10418.530000000001</v>
      </c>
      <c r="E280" s="549">
        <v>10418.530000000001</v>
      </c>
      <c r="F280" s="549">
        <v>10418.530000000001</v>
      </c>
      <c r="G280" s="549">
        <v>10401.85</v>
      </c>
      <c r="H280" s="549">
        <v>10402.799999999999</v>
      </c>
      <c r="I280" s="481"/>
      <c r="J280" s="481"/>
      <c r="K280" s="481"/>
      <c r="L280" s="481"/>
      <c r="M280" s="481"/>
      <c r="N280" s="481"/>
    </row>
    <row r="281" spans="1:14">
      <c r="A281" s="480" t="s">
        <v>598</v>
      </c>
      <c r="B281" s="480" t="s">
        <v>597</v>
      </c>
      <c r="C281" s="549">
        <v>10444.709999999999</v>
      </c>
      <c r="D281" s="549">
        <v>10444.709999999999</v>
      </c>
      <c r="E281" s="549">
        <v>10444.709999999999</v>
      </c>
      <c r="F281" s="549">
        <v>10444.709999999999</v>
      </c>
      <c r="G281" s="549">
        <v>10450.27</v>
      </c>
      <c r="H281" s="549">
        <v>10451.280000000001</v>
      </c>
      <c r="I281" s="481"/>
      <c r="J281" s="481"/>
      <c r="K281" s="481"/>
      <c r="L281" s="481"/>
      <c r="M281" s="481"/>
      <c r="N281" s="481"/>
    </row>
    <row r="282" spans="1:14">
      <c r="A282" s="480" t="s">
        <v>688</v>
      </c>
      <c r="B282" s="480" t="s">
        <v>687</v>
      </c>
      <c r="C282" s="549">
        <v>10584.72</v>
      </c>
      <c r="D282" s="549">
        <v>10584.72</v>
      </c>
      <c r="E282" s="549">
        <v>10584.72</v>
      </c>
      <c r="F282" s="549">
        <v>10584.72</v>
      </c>
      <c r="G282" s="549">
        <v>10586.07</v>
      </c>
      <c r="H282" s="549">
        <v>10585.94</v>
      </c>
      <c r="I282" s="481"/>
      <c r="J282" s="481"/>
      <c r="K282" s="481"/>
      <c r="L282" s="481"/>
      <c r="M282" s="481"/>
      <c r="N282" s="481"/>
    </row>
    <row r="283" spans="1:14">
      <c r="A283" s="480" t="s">
        <v>1238</v>
      </c>
      <c r="B283" s="480" t="s">
        <v>1239</v>
      </c>
      <c r="C283" s="549">
        <v>10267.17</v>
      </c>
      <c r="D283" s="549">
        <v>10267.17</v>
      </c>
      <c r="E283" s="549">
        <v>10267.17</v>
      </c>
      <c r="F283" s="549">
        <v>10267.17</v>
      </c>
      <c r="G283" s="549">
        <v>10259.51</v>
      </c>
      <c r="H283" s="549">
        <v>10259.370000000001</v>
      </c>
      <c r="I283" s="481"/>
      <c r="J283" s="481"/>
      <c r="K283" s="481"/>
      <c r="L283" s="481"/>
      <c r="M283" s="481"/>
      <c r="N283" s="481"/>
    </row>
    <row r="284" spans="1:14">
      <c r="A284" s="480" t="s">
        <v>648</v>
      </c>
      <c r="B284" s="480" t="s">
        <v>647</v>
      </c>
      <c r="C284" s="549">
        <v>10577.71</v>
      </c>
      <c r="D284" s="549">
        <v>10577.71</v>
      </c>
      <c r="E284" s="549">
        <v>10577.71</v>
      </c>
      <c r="F284" s="549">
        <v>10577.71</v>
      </c>
      <c r="G284" s="549">
        <v>10536.15</v>
      </c>
      <c r="H284" s="549">
        <v>10537.19</v>
      </c>
      <c r="I284" s="481"/>
      <c r="J284" s="481"/>
      <c r="K284" s="481"/>
      <c r="L284" s="481"/>
      <c r="M284" s="481"/>
      <c r="N284" s="481"/>
    </row>
    <row r="285" spans="1:14">
      <c r="A285" s="480" t="s">
        <v>764</v>
      </c>
      <c r="B285" s="480" t="s">
        <v>763</v>
      </c>
      <c r="C285" s="549">
        <v>10322.969999999999</v>
      </c>
      <c r="D285" s="549">
        <v>10322.969999999999</v>
      </c>
      <c r="E285" s="549">
        <v>10322.969999999999</v>
      </c>
      <c r="F285" s="549">
        <v>10322.969999999999</v>
      </c>
      <c r="G285" s="549">
        <v>10301.1</v>
      </c>
      <c r="H285" s="549">
        <v>10301.040000000001</v>
      </c>
      <c r="I285" s="481"/>
      <c r="J285" s="481"/>
      <c r="K285" s="481"/>
      <c r="L285" s="481"/>
      <c r="M285" s="481"/>
      <c r="N285" s="481"/>
    </row>
    <row r="286" spans="1:14">
      <c r="A286" s="480" t="s">
        <v>1042</v>
      </c>
      <c r="B286" s="480" t="s">
        <v>1041</v>
      </c>
      <c r="C286" s="549">
        <v>10225.56</v>
      </c>
      <c r="D286" s="549">
        <v>10225.56</v>
      </c>
      <c r="E286" s="549">
        <v>10225.56</v>
      </c>
      <c r="F286" s="549">
        <v>10225.56</v>
      </c>
      <c r="G286" s="549">
        <v>10229.290000000001</v>
      </c>
      <c r="H286" s="549">
        <v>10228.34</v>
      </c>
      <c r="I286" s="481"/>
      <c r="J286" s="481"/>
      <c r="K286" s="481"/>
      <c r="L286" s="481"/>
      <c r="M286" s="481"/>
      <c r="N286" s="481"/>
    </row>
    <row r="287" spans="1:14">
      <c r="A287" s="480" t="s">
        <v>646</v>
      </c>
      <c r="B287" s="480" t="s">
        <v>645</v>
      </c>
      <c r="C287" s="549">
        <v>10096.74</v>
      </c>
      <c r="D287" s="549">
        <v>10096.74</v>
      </c>
      <c r="E287" s="549">
        <v>10096.74</v>
      </c>
      <c r="F287" s="549">
        <v>10096.74</v>
      </c>
      <c r="G287" s="549">
        <v>10087.57</v>
      </c>
      <c r="H287" s="549">
        <v>10087.459999999999</v>
      </c>
      <c r="I287" s="481"/>
      <c r="J287" s="481"/>
      <c r="K287" s="481"/>
      <c r="L287" s="481"/>
      <c r="M287" s="481"/>
      <c r="N287" s="481"/>
    </row>
    <row r="288" spans="1:14">
      <c r="A288" s="480" t="s">
        <v>924</v>
      </c>
      <c r="B288" s="480" t="s">
        <v>923</v>
      </c>
      <c r="C288" s="549">
        <v>10245.379999999999</v>
      </c>
      <c r="D288" s="549">
        <v>10245.379999999999</v>
      </c>
      <c r="E288" s="549">
        <v>10245.379999999999</v>
      </c>
      <c r="F288" s="549">
        <v>10245.379999999999</v>
      </c>
      <c r="G288" s="549">
        <v>10206.35</v>
      </c>
      <c r="H288" s="549">
        <v>10206.15</v>
      </c>
      <c r="I288" s="481"/>
      <c r="J288" s="481"/>
      <c r="K288" s="481"/>
      <c r="L288" s="481"/>
      <c r="M288" s="481"/>
      <c r="N288" s="481"/>
    </row>
    <row r="289" spans="1:14">
      <c r="A289" s="480" t="s">
        <v>1240</v>
      </c>
      <c r="B289" s="480" t="s">
        <v>1241</v>
      </c>
      <c r="C289" s="549">
        <v>0</v>
      </c>
      <c r="D289" s="549">
        <v>0</v>
      </c>
      <c r="E289" s="549">
        <v>0</v>
      </c>
      <c r="F289" s="549">
        <v>0</v>
      </c>
      <c r="G289" s="549">
        <v>0</v>
      </c>
      <c r="H289" s="549">
        <v>0</v>
      </c>
      <c r="I289" s="481"/>
      <c r="J289" s="481"/>
      <c r="K289" s="481"/>
      <c r="L289" s="481"/>
      <c r="M289" s="481"/>
      <c r="N289" s="481"/>
    </row>
    <row r="290" spans="1:14">
      <c r="A290" s="480" t="s">
        <v>966</v>
      </c>
      <c r="B290" s="480" t="s">
        <v>965</v>
      </c>
      <c r="C290" s="549">
        <v>10480.92</v>
      </c>
      <c r="D290" s="549">
        <v>10480.92</v>
      </c>
      <c r="E290" s="549">
        <v>10480.92</v>
      </c>
      <c r="F290" s="549">
        <v>10480.92</v>
      </c>
      <c r="G290" s="549">
        <v>10488.07</v>
      </c>
      <c r="H290" s="549">
        <v>10490.19</v>
      </c>
      <c r="I290" s="481"/>
      <c r="J290" s="481"/>
      <c r="K290" s="481"/>
      <c r="L290" s="481"/>
      <c r="M290" s="481"/>
      <c r="N290" s="481"/>
    </row>
    <row r="291" spans="1:14">
      <c r="A291" s="480" t="s">
        <v>1242</v>
      </c>
      <c r="B291" s="480" t="s">
        <v>1243</v>
      </c>
      <c r="C291" s="549">
        <v>0</v>
      </c>
      <c r="D291" s="549">
        <v>0</v>
      </c>
      <c r="E291" s="549">
        <v>0</v>
      </c>
      <c r="F291" s="549">
        <v>0</v>
      </c>
      <c r="G291" s="549">
        <v>0</v>
      </c>
      <c r="H291" s="549">
        <v>0</v>
      </c>
      <c r="I291" s="481"/>
      <c r="J291" s="481"/>
      <c r="K291" s="481"/>
      <c r="L291" s="481"/>
      <c r="M291" s="481"/>
      <c r="N291" s="481"/>
    </row>
    <row r="292" spans="1:14">
      <c r="A292" s="480" t="s">
        <v>1244</v>
      </c>
      <c r="B292" s="480" t="s">
        <v>1245</v>
      </c>
      <c r="C292" s="549">
        <v>9682.6</v>
      </c>
      <c r="D292" s="549">
        <v>9682.6</v>
      </c>
      <c r="E292" s="549">
        <v>9682.6</v>
      </c>
      <c r="F292" s="549">
        <v>9682.6</v>
      </c>
      <c r="G292" s="549">
        <v>9683.5</v>
      </c>
      <c r="H292" s="549">
        <v>9683.1299999999992</v>
      </c>
      <c r="I292" s="481"/>
      <c r="J292" s="481"/>
      <c r="K292" s="481"/>
      <c r="L292" s="481"/>
      <c r="M292" s="481"/>
      <c r="N292" s="481"/>
    </row>
    <row r="293" spans="1:14">
      <c r="A293" s="480" t="s">
        <v>1246</v>
      </c>
      <c r="B293" s="480" t="s">
        <v>1247</v>
      </c>
      <c r="C293" s="549">
        <v>9683.0499999999993</v>
      </c>
      <c r="D293" s="549">
        <v>9683.0499999999993</v>
      </c>
      <c r="E293" s="549">
        <v>9683.0499999999993</v>
      </c>
      <c r="F293" s="549">
        <v>9683.0499999999993</v>
      </c>
      <c r="G293" s="549">
        <v>9682.16</v>
      </c>
      <c r="H293" s="549">
        <v>9682.16</v>
      </c>
      <c r="I293" s="481"/>
      <c r="J293" s="481"/>
      <c r="K293" s="481"/>
      <c r="L293" s="481"/>
      <c r="M293" s="481"/>
      <c r="N293" s="481"/>
    </row>
    <row r="294" spans="1:14">
      <c r="A294" s="480" t="s">
        <v>1248</v>
      </c>
      <c r="B294" s="480" t="s">
        <v>1249</v>
      </c>
      <c r="C294" s="549">
        <v>0</v>
      </c>
      <c r="D294" s="549">
        <v>0</v>
      </c>
      <c r="E294" s="549">
        <v>0</v>
      </c>
      <c r="F294" s="549">
        <v>0</v>
      </c>
      <c r="G294" s="549">
        <v>0</v>
      </c>
      <c r="H294" s="549">
        <v>0</v>
      </c>
      <c r="I294" s="481"/>
      <c r="J294" s="481"/>
      <c r="K294" s="481"/>
      <c r="L294" s="481"/>
      <c r="M294" s="481"/>
      <c r="N294" s="481"/>
    </row>
    <row r="295" spans="1:14">
      <c r="A295" s="480" t="s">
        <v>1250</v>
      </c>
      <c r="B295" s="480" t="s">
        <v>1251</v>
      </c>
      <c r="C295" s="549">
        <v>0</v>
      </c>
      <c r="D295" s="549">
        <v>0</v>
      </c>
      <c r="E295" s="549">
        <v>0</v>
      </c>
      <c r="F295" s="549">
        <v>0</v>
      </c>
      <c r="G295" s="549">
        <v>0</v>
      </c>
      <c r="H295" s="549">
        <v>0</v>
      </c>
      <c r="I295" s="481"/>
      <c r="J295" s="481"/>
      <c r="K295" s="481"/>
      <c r="L295" s="481"/>
      <c r="M295" s="481"/>
      <c r="N295" s="481"/>
    </row>
    <row r="296" spans="1:14">
      <c r="A296" s="480" t="s">
        <v>1252</v>
      </c>
      <c r="B296" s="480" t="s">
        <v>1253</v>
      </c>
      <c r="C296" s="549">
        <v>0</v>
      </c>
      <c r="D296" s="549">
        <v>0</v>
      </c>
      <c r="E296" s="549">
        <v>0</v>
      </c>
      <c r="F296" s="549">
        <v>0</v>
      </c>
      <c r="G296" s="549">
        <v>0</v>
      </c>
      <c r="H296" s="549">
        <v>0</v>
      </c>
      <c r="I296" s="481"/>
      <c r="J296" s="481"/>
      <c r="K296" s="481"/>
      <c r="L296" s="481"/>
      <c r="M296" s="481"/>
      <c r="N296" s="481"/>
    </row>
    <row r="297" spans="1:14">
      <c r="A297" s="480" t="s">
        <v>858</v>
      </c>
      <c r="B297" s="480" t="s">
        <v>857</v>
      </c>
      <c r="C297" s="549">
        <v>10516.97</v>
      </c>
      <c r="D297" s="549">
        <v>10516.97</v>
      </c>
      <c r="E297" s="549">
        <v>10516.97</v>
      </c>
      <c r="F297" s="549">
        <v>10516.97</v>
      </c>
      <c r="G297" s="549">
        <v>10664.77</v>
      </c>
      <c r="H297" s="549">
        <v>10673.19</v>
      </c>
      <c r="I297" s="481"/>
      <c r="J297" s="481"/>
      <c r="K297" s="481"/>
      <c r="L297" s="481"/>
      <c r="M297" s="481"/>
      <c r="N297" s="481"/>
    </row>
    <row r="298" spans="1:14">
      <c r="A298" s="480" t="s">
        <v>604</v>
      </c>
      <c r="B298" s="480" t="s">
        <v>603</v>
      </c>
      <c r="C298" s="549">
        <v>10098.370000000001</v>
      </c>
      <c r="D298" s="549">
        <v>10098.370000000001</v>
      </c>
      <c r="E298" s="549">
        <v>10098.370000000001</v>
      </c>
      <c r="F298" s="549">
        <v>10098.370000000001</v>
      </c>
      <c r="G298" s="549">
        <v>10119.74</v>
      </c>
      <c r="H298" s="549">
        <v>10122.69</v>
      </c>
      <c r="I298" s="481"/>
      <c r="J298" s="481"/>
      <c r="K298" s="481"/>
      <c r="L298" s="481"/>
      <c r="M298" s="481"/>
      <c r="N298" s="481"/>
    </row>
    <row r="299" spans="1:14">
      <c r="A299" s="480" t="s">
        <v>1038</v>
      </c>
      <c r="B299" s="480" t="s">
        <v>1037</v>
      </c>
      <c r="C299" s="549">
        <v>10056.34</v>
      </c>
      <c r="D299" s="549">
        <v>10056.34</v>
      </c>
      <c r="E299" s="549">
        <v>10056.34</v>
      </c>
      <c r="F299" s="549">
        <v>10056.34</v>
      </c>
      <c r="G299" s="549">
        <v>10088.52</v>
      </c>
      <c r="H299" s="549">
        <v>10082.370000000001</v>
      </c>
      <c r="I299" s="481"/>
      <c r="J299" s="481"/>
      <c r="K299" s="481"/>
      <c r="L299" s="481"/>
      <c r="M299" s="481"/>
      <c r="N299" s="481"/>
    </row>
    <row r="300" spans="1:14">
      <c r="A300" s="480" t="s">
        <v>1014</v>
      </c>
      <c r="B300" s="480" t="s">
        <v>1013</v>
      </c>
      <c r="C300" s="549">
        <v>9893.7900000000009</v>
      </c>
      <c r="D300" s="549">
        <v>9893.7900000000009</v>
      </c>
      <c r="E300" s="549">
        <v>9893.7900000000009</v>
      </c>
      <c r="F300" s="549">
        <v>9893.7900000000009</v>
      </c>
      <c r="G300" s="549">
        <v>9924.3700000000008</v>
      </c>
      <c r="H300" s="549">
        <v>9923.34</v>
      </c>
      <c r="I300" s="481"/>
      <c r="J300" s="481"/>
      <c r="K300" s="481"/>
      <c r="L300" s="481"/>
      <c r="M300" s="481"/>
      <c r="N300" s="481"/>
    </row>
    <row r="301" spans="1:14">
      <c r="A301" s="480" t="s">
        <v>622</v>
      </c>
      <c r="B301" s="480" t="s">
        <v>621</v>
      </c>
      <c r="C301" s="549">
        <v>10530.01</v>
      </c>
      <c r="D301" s="549">
        <v>10530.01</v>
      </c>
      <c r="E301" s="549">
        <v>10530.01</v>
      </c>
      <c r="F301" s="549">
        <v>10530.01</v>
      </c>
      <c r="G301" s="549">
        <v>10530.43</v>
      </c>
      <c r="H301" s="549">
        <v>10530.45</v>
      </c>
      <c r="I301" s="481"/>
      <c r="J301" s="481"/>
      <c r="K301" s="481"/>
      <c r="L301" s="481"/>
      <c r="M301" s="481"/>
      <c r="N301" s="481"/>
    </row>
    <row r="302" spans="1:14">
      <c r="A302" s="480" t="s">
        <v>770</v>
      </c>
      <c r="B302" s="480" t="s">
        <v>769</v>
      </c>
      <c r="C302" s="549">
        <v>10276.92</v>
      </c>
      <c r="D302" s="549">
        <v>10276.92</v>
      </c>
      <c r="E302" s="549">
        <v>10276.92</v>
      </c>
      <c r="F302" s="549">
        <v>10276.92</v>
      </c>
      <c r="G302" s="549">
        <v>10167.94</v>
      </c>
      <c r="H302" s="549">
        <v>10163.86</v>
      </c>
      <c r="I302" s="481"/>
      <c r="J302" s="481"/>
      <c r="K302" s="481"/>
      <c r="L302" s="481"/>
      <c r="M302" s="481"/>
      <c r="N302" s="481"/>
    </row>
    <row r="303" spans="1:14">
      <c r="A303" s="480" t="s">
        <v>984</v>
      </c>
      <c r="B303" s="480" t="s">
        <v>983</v>
      </c>
      <c r="C303" s="549">
        <v>10587.16</v>
      </c>
      <c r="D303" s="549">
        <v>10587.16</v>
      </c>
      <c r="E303" s="549">
        <v>10587.16</v>
      </c>
      <c r="F303" s="549">
        <v>10587.16</v>
      </c>
      <c r="G303" s="549">
        <v>10390.77</v>
      </c>
      <c r="H303" s="549">
        <v>10392.09</v>
      </c>
      <c r="I303" s="481"/>
      <c r="J303" s="481"/>
      <c r="K303" s="481"/>
      <c r="L303" s="481"/>
      <c r="M303" s="481"/>
      <c r="N303" s="481"/>
    </row>
    <row r="304" spans="1:14">
      <c r="A304" s="480" t="s">
        <v>676</v>
      </c>
      <c r="B304" s="480" t="s">
        <v>675</v>
      </c>
      <c r="C304" s="549">
        <v>11358.64</v>
      </c>
      <c r="D304" s="549">
        <v>11358.64</v>
      </c>
      <c r="E304" s="549">
        <v>11358.64</v>
      </c>
      <c r="F304" s="549">
        <v>11358.64</v>
      </c>
      <c r="G304" s="549">
        <v>11125.73</v>
      </c>
      <c r="H304" s="549">
        <v>11130.27</v>
      </c>
      <c r="I304" s="481"/>
      <c r="J304" s="481"/>
      <c r="K304" s="481"/>
      <c r="L304" s="481"/>
      <c r="M304" s="481"/>
      <c r="N304" s="481"/>
    </row>
    <row r="305" spans="1:14">
      <c r="A305" s="480" t="s">
        <v>618</v>
      </c>
      <c r="B305" s="480" t="s">
        <v>617</v>
      </c>
      <c r="C305" s="549">
        <v>10256.299999999999</v>
      </c>
      <c r="D305" s="549">
        <v>10256.299999999999</v>
      </c>
      <c r="E305" s="549">
        <v>10256.299999999999</v>
      </c>
      <c r="F305" s="549">
        <v>10256.299999999999</v>
      </c>
      <c r="G305" s="549">
        <v>10230.950000000001</v>
      </c>
      <c r="H305" s="549">
        <v>10226.620000000001</v>
      </c>
      <c r="I305" s="481"/>
      <c r="J305" s="481"/>
      <c r="K305" s="481"/>
      <c r="L305" s="481"/>
      <c r="M305" s="481"/>
      <c r="N305" s="481"/>
    </row>
    <row r="306" spans="1:14">
      <c r="A306" s="480" t="s">
        <v>1254</v>
      </c>
      <c r="B306" s="480" t="s">
        <v>1255</v>
      </c>
      <c r="C306" s="549">
        <v>10111.74</v>
      </c>
      <c r="D306" s="549">
        <v>10111.74</v>
      </c>
      <c r="E306" s="549">
        <v>10111.74</v>
      </c>
      <c r="F306" s="549">
        <v>10111.74</v>
      </c>
      <c r="G306" s="549">
        <v>10144.549999999999</v>
      </c>
      <c r="H306" s="549">
        <v>10152.32</v>
      </c>
      <c r="I306" s="481"/>
      <c r="J306" s="481"/>
      <c r="K306" s="481"/>
      <c r="L306" s="481"/>
      <c r="M306" s="481"/>
      <c r="N306" s="481"/>
    </row>
    <row r="307" spans="1:14">
      <c r="A307" s="480" t="s">
        <v>840</v>
      </c>
      <c r="B307" s="480" t="s">
        <v>839</v>
      </c>
      <c r="C307" s="549">
        <v>9954.2000000000007</v>
      </c>
      <c r="D307" s="549">
        <v>9954.2000000000007</v>
      </c>
      <c r="E307" s="549">
        <v>9954.2000000000007</v>
      </c>
      <c r="F307" s="549">
        <v>9954.2000000000007</v>
      </c>
      <c r="G307" s="549">
        <v>9987.57</v>
      </c>
      <c r="H307" s="549">
        <v>9987.73</v>
      </c>
      <c r="I307" s="481"/>
      <c r="J307" s="481"/>
      <c r="K307" s="481"/>
      <c r="L307" s="481"/>
      <c r="M307" s="481"/>
      <c r="N307" s="481"/>
    </row>
    <row r="308" spans="1:14">
      <c r="A308" s="480" t="s">
        <v>740</v>
      </c>
      <c r="B308" s="480" t="s">
        <v>739</v>
      </c>
      <c r="C308" s="549">
        <v>10015.39</v>
      </c>
      <c r="D308" s="549">
        <v>10015.39</v>
      </c>
      <c r="E308" s="549">
        <v>10015.39</v>
      </c>
      <c r="F308" s="549">
        <v>10015.39</v>
      </c>
      <c r="G308" s="549">
        <v>9932.89</v>
      </c>
      <c r="H308" s="549">
        <v>9932.25</v>
      </c>
      <c r="I308" s="481"/>
      <c r="J308" s="481"/>
      <c r="K308" s="481"/>
      <c r="L308" s="481"/>
      <c r="M308" s="481"/>
      <c r="N308" s="481"/>
    </row>
    <row r="309" spans="1:14">
      <c r="A309" s="480" t="s">
        <v>1066</v>
      </c>
      <c r="B309" s="480" t="s">
        <v>1065</v>
      </c>
      <c r="C309" s="549">
        <v>10741.82</v>
      </c>
      <c r="D309" s="549">
        <v>10741.82</v>
      </c>
      <c r="E309" s="549">
        <v>10741.82</v>
      </c>
      <c r="F309" s="549">
        <v>10741.82</v>
      </c>
      <c r="G309" s="549">
        <v>10708.52</v>
      </c>
      <c r="H309" s="549">
        <v>10710.59</v>
      </c>
      <c r="I309" s="481"/>
      <c r="J309" s="481"/>
      <c r="K309" s="481"/>
      <c r="L309" s="481"/>
      <c r="M309" s="481"/>
      <c r="N309" s="481"/>
    </row>
    <row r="310" spans="1:14">
      <c r="A310" s="480" t="s">
        <v>838</v>
      </c>
      <c r="B310" s="480" t="s">
        <v>837</v>
      </c>
      <c r="C310" s="549">
        <v>10305.040000000001</v>
      </c>
      <c r="D310" s="549">
        <v>10305.040000000001</v>
      </c>
      <c r="E310" s="549">
        <v>10305.040000000001</v>
      </c>
      <c r="F310" s="549">
        <v>10305.040000000001</v>
      </c>
      <c r="G310" s="549">
        <v>10293.76</v>
      </c>
      <c r="H310" s="549">
        <v>10295.879999999999</v>
      </c>
      <c r="I310" s="481"/>
      <c r="J310" s="481"/>
      <c r="K310" s="481"/>
      <c r="L310" s="481"/>
      <c r="M310" s="481"/>
      <c r="N310" s="481"/>
    </row>
    <row r="311" spans="1:14">
      <c r="A311" s="480" t="s">
        <v>1010</v>
      </c>
      <c r="B311" s="480" t="s">
        <v>1009</v>
      </c>
      <c r="C311" s="549">
        <v>10235.15</v>
      </c>
      <c r="D311" s="549">
        <v>10235.15</v>
      </c>
      <c r="E311" s="549">
        <v>10235.15</v>
      </c>
      <c r="F311" s="549">
        <v>10235.15</v>
      </c>
      <c r="G311" s="549">
        <v>10105.379999999999</v>
      </c>
      <c r="H311" s="549">
        <v>10106.4</v>
      </c>
      <c r="I311" s="481"/>
      <c r="J311" s="481"/>
      <c r="K311" s="481"/>
      <c r="L311" s="481"/>
      <c r="M311" s="481"/>
      <c r="N311" s="481"/>
    </row>
    <row r="312" spans="1:14">
      <c r="A312" s="480" t="s">
        <v>854</v>
      </c>
      <c r="B312" s="480" t="s">
        <v>853</v>
      </c>
      <c r="C312" s="549">
        <v>10383.719999999999</v>
      </c>
      <c r="D312" s="549">
        <v>10383.719999999999</v>
      </c>
      <c r="E312" s="549">
        <v>10383.719999999999</v>
      </c>
      <c r="F312" s="549">
        <v>10383.719999999999</v>
      </c>
      <c r="G312" s="549">
        <v>10305.92</v>
      </c>
      <c r="H312" s="549">
        <v>10306.969999999999</v>
      </c>
      <c r="I312" s="481"/>
      <c r="J312" s="481"/>
      <c r="K312" s="481"/>
      <c r="L312" s="481"/>
      <c r="M312" s="481"/>
      <c r="N312" s="481"/>
    </row>
    <row r="313" spans="1:14">
      <c r="A313" s="480" t="s">
        <v>910</v>
      </c>
      <c r="B313" s="480" t="s">
        <v>909</v>
      </c>
      <c r="C313" s="549">
        <v>10292.950000000001</v>
      </c>
      <c r="D313" s="549">
        <v>10292.950000000001</v>
      </c>
      <c r="E313" s="549">
        <v>10292.950000000001</v>
      </c>
      <c r="F313" s="549">
        <v>10292.950000000001</v>
      </c>
      <c r="G313" s="549">
        <v>10272.59</v>
      </c>
      <c r="H313" s="549">
        <v>10273.700000000001</v>
      </c>
      <c r="I313" s="481"/>
      <c r="J313" s="481"/>
      <c r="K313" s="481"/>
      <c r="L313" s="481"/>
      <c r="M313" s="481"/>
      <c r="N313" s="481"/>
    </row>
    <row r="314" spans="1:14">
      <c r="A314" s="480" t="s">
        <v>708</v>
      </c>
      <c r="B314" s="480" t="s">
        <v>707</v>
      </c>
      <c r="C314" s="549">
        <v>10561.39</v>
      </c>
      <c r="D314" s="549">
        <v>10561.39</v>
      </c>
      <c r="E314" s="549">
        <v>10561.39</v>
      </c>
      <c r="F314" s="549">
        <v>10561.39</v>
      </c>
      <c r="G314" s="549">
        <v>10430.280000000001</v>
      </c>
      <c r="H314" s="549">
        <v>10430.280000000001</v>
      </c>
      <c r="I314" s="481"/>
      <c r="J314" s="481"/>
      <c r="K314" s="481"/>
      <c r="L314" s="481"/>
      <c r="M314" s="481"/>
      <c r="N314" s="481"/>
    </row>
    <row r="315" spans="1:14">
      <c r="A315" s="480" t="s">
        <v>928</v>
      </c>
      <c r="B315" s="480" t="s">
        <v>927</v>
      </c>
      <c r="C315" s="549">
        <v>10262</v>
      </c>
      <c r="D315" s="549">
        <v>10262</v>
      </c>
      <c r="E315" s="549">
        <v>10262</v>
      </c>
      <c r="F315" s="549">
        <v>10262</v>
      </c>
      <c r="G315" s="549">
        <v>10122.18</v>
      </c>
      <c r="H315" s="549">
        <v>10123.209999999999</v>
      </c>
      <c r="I315" s="481"/>
      <c r="J315" s="481"/>
      <c r="K315" s="481"/>
      <c r="L315" s="481"/>
      <c r="M315" s="481"/>
      <c r="N315" s="481"/>
    </row>
    <row r="316" spans="1:14">
      <c r="A316" s="480" t="s">
        <v>1256</v>
      </c>
      <c r="B316" s="480" t="s">
        <v>1257</v>
      </c>
      <c r="C316" s="549">
        <v>10332.51</v>
      </c>
      <c r="D316" s="549">
        <v>10332.51</v>
      </c>
      <c r="E316" s="549">
        <v>10332.51</v>
      </c>
      <c r="F316" s="549">
        <v>10332.51</v>
      </c>
      <c r="G316" s="549">
        <v>10329.469999999999</v>
      </c>
      <c r="H316" s="549">
        <v>10331.620000000001</v>
      </c>
      <c r="I316" s="481"/>
      <c r="J316" s="481"/>
      <c r="K316" s="481"/>
      <c r="L316" s="481"/>
      <c r="M316" s="481"/>
      <c r="N316" s="481"/>
    </row>
    <row r="317" spans="1:14">
      <c r="A317" s="480" t="s">
        <v>1258</v>
      </c>
      <c r="B317" s="480" t="s">
        <v>1259</v>
      </c>
      <c r="C317" s="549">
        <v>0</v>
      </c>
      <c r="D317" s="549">
        <v>0</v>
      </c>
      <c r="E317" s="549">
        <v>0</v>
      </c>
      <c r="F317" s="549">
        <v>0</v>
      </c>
      <c r="G317" s="549">
        <v>0</v>
      </c>
      <c r="H317" s="549">
        <v>0</v>
      </c>
      <c r="I317" s="481"/>
      <c r="J317" s="481"/>
      <c r="K317" s="481"/>
      <c r="L317" s="481"/>
      <c r="M317" s="481"/>
      <c r="N317" s="481"/>
    </row>
    <row r="318" spans="1:14">
      <c r="A318" s="480" t="s">
        <v>1020</v>
      </c>
      <c r="B318" s="480" t="s">
        <v>1019</v>
      </c>
      <c r="C318" s="549">
        <v>11031.95</v>
      </c>
      <c r="D318" s="549">
        <v>10850.14</v>
      </c>
      <c r="E318" s="549">
        <v>10850.14</v>
      </c>
      <c r="F318" s="549">
        <v>10850.14</v>
      </c>
      <c r="G318" s="549">
        <v>9913.7800000000007</v>
      </c>
      <c r="H318" s="549">
        <v>9911.77</v>
      </c>
      <c r="I318" s="481"/>
      <c r="J318" s="481"/>
      <c r="K318" s="481"/>
      <c r="L318" s="481"/>
      <c r="M318" s="481"/>
      <c r="N318" s="481"/>
    </row>
    <row r="319" spans="1:14">
      <c r="A319" s="480" t="s">
        <v>1260</v>
      </c>
      <c r="B319" s="480" t="s">
        <v>1261</v>
      </c>
      <c r="C319" s="549">
        <v>0</v>
      </c>
      <c r="D319" s="549">
        <v>0</v>
      </c>
      <c r="E319" s="549">
        <v>0</v>
      </c>
      <c r="F319" s="549">
        <v>0</v>
      </c>
      <c r="G319" s="549">
        <v>0</v>
      </c>
      <c r="H319" s="549">
        <v>0</v>
      </c>
      <c r="I319" s="481"/>
      <c r="J319" s="481"/>
      <c r="K319" s="481"/>
      <c r="L319" s="481"/>
      <c r="M319" s="481"/>
      <c r="N319" s="481"/>
    </row>
    <row r="320" spans="1:14">
      <c r="A320" s="480" t="s">
        <v>1262</v>
      </c>
      <c r="B320" s="480" t="s">
        <v>1263</v>
      </c>
      <c r="C320" s="549">
        <v>0</v>
      </c>
      <c r="D320" s="549">
        <v>0</v>
      </c>
      <c r="E320" s="549">
        <v>0</v>
      </c>
      <c r="F320" s="549">
        <v>0</v>
      </c>
      <c r="G320" s="549">
        <v>0</v>
      </c>
      <c r="H320" s="549">
        <v>0</v>
      </c>
      <c r="I320" s="481"/>
      <c r="J320" s="481"/>
      <c r="K320" s="481"/>
      <c r="L320" s="481"/>
      <c r="M320" s="481"/>
      <c r="N320" s="481"/>
    </row>
    <row r="321" spans="1:14">
      <c r="A321" s="480" t="s">
        <v>1264</v>
      </c>
      <c r="B321" s="480" t="s">
        <v>1265</v>
      </c>
      <c r="C321" s="549">
        <v>0</v>
      </c>
      <c r="D321" s="549">
        <v>0</v>
      </c>
      <c r="E321" s="549">
        <v>0</v>
      </c>
      <c r="F321" s="549">
        <v>0</v>
      </c>
      <c r="G321" s="549">
        <v>0</v>
      </c>
      <c r="H321" s="549">
        <v>0</v>
      </c>
      <c r="I321" s="481"/>
      <c r="J321" s="481"/>
      <c r="K321" s="481"/>
      <c r="L321" s="481"/>
      <c r="M321" s="481"/>
      <c r="N321" s="481"/>
    </row>
    <row r="322" spans="1:14">
      <c r="A322" s="480" t="s">
        <v>1266</v>
      </c>
      <c r="B322" s="480" t="s">
        <v>1267</v>
      </c>
      <c r="C322" s="549">
        <v>0</v>
      </c>
      <c r="D322" s="549">
        <v>0</v>
      </c>
      <c r="E322" s="549">
        <v>0</v>
      </c>
      <c r="F322" s="549">
        <v>0</v>
      </c>
      <c r="G322" s="549">
        <v>0</v>
      </c>
      <c r="H322" s="549">
        <v>0</v>
      </c>
      <c r="I322" s="481"/>
      <c r="J322" s="481"/>
      <c r="K322" s="481"/>
      <c r="L322" s="481"/>
      <c r="M322" s="481"/>
      <c r="N322" s="481"/>
    </row>
    <row r="323" spans="1:14">
      <c r="A323" s="480" t="s">
        <v>1268</v>
      </c>
      <c r="B323" s="480" t="s">
        <v>1269</v>
      </c>
      <c r="C323" s="549">
        <v>0</v>
      </c>
      <c r="D323" s="549">
        <v>0</v>
      </c>
      <c r="E323" s="549">
        <v>0</v>
      </c>
      <c r="F323" s="549">
        <v>0</v>
      </c>
      <c r="G323" s="549">
        <v>0</v>
      </c>
      <c r="H323" s="549">
        <v>0</v>
      </c>
      <c r="I323" s="481"/>
      <c r="J323" s="481"/>
      <c r="K323" s="481"/>
      <c r="L323" s="481"/>
      <c r="M323" s="481"/>
      <c r="N323" s="481"/>
    </row>
    <row r="324" spans="1:14">
      <c r="A324" s="480" t="s">
        <v>1270</v>
      </c>
      <c r="B324" s="480" t="s">
        <v>1271</v>
      </c>
      <c r="C324" s="550">
        <v>0</v>
      </c>
      <c r="D324" s="549">
        <v>0</v>
      </c>
      <c r="E324" s="549">
        <v>0</v>
      </c>
      <c r="F324" s="549">
        <v>0</v>
      </c>
      <c r="G324" s="549">
        <v>0</v>
      </c>
      <c r="H324" s="549">
        <v>0</v>
      </c>
      <c r="I324" s="482"/>
      <c r="J324" s="482"/>
      <c r="K324" s="482"/>
      <c r="L324" s="482"/>
      <c r="M324" s="482"/>
      <c r="N324" s="482"/>
    </row>
    <row r="325" spans="1:14">
      <c r="A325" s="480" t="s">
        <v>1272</v>
      </c>
      <c r="B325" s="480" t="s">
        <v>1273</v>
      </c>
      <c r="C325" s="549">
        <v>0</v>
      </c>
      <c r="D325" s="549">
        <v>0</v>
      </c>
      <c r="E325" s="549">
        <v>0</v>
      </c>
      <c r="F325" s="549">
        <v>0</v>
      </c>
      <c r="G325" s="549">
        <v>0</v>
      </c>
      <c r="H325" s="549">
        <v>0</v>
      </c>
      <c r="I325" s="481"/>
      <c r="J325" s="481"/>
      <c r="K325" s="480"/>
      <c r="L325" s="480"/>
      <c r="M325" s="480"/>
      <c r="N325" s="481"/>
    </row>
    <row r="326" spans="1:14">
      <c r="A326" s="480" t="s">
        <v>1274</v>
      </c>
      <c r="B326" s="480" t="s">
        <v>1275</v>
      </c>
      <c r="C326" s="549">
        <v>0</v>
      </c>
      <c r="D326" s="549">
        <v>0</v>
      </c>
      <c r="E326" s="549">
        <v>0</v>
      </c>
      <c r="F326" s="549">
        <v>0</v>
      </c>
      <c r="G326" s="549">
        <v>0</v>
      </c>
      <c r="H326" s="549">
        <v>0</v>
      </c>
      <c r="I326" s="481"/>
      <c r="J326" s="481"/>
      <c r="K326" s="480"/>
      <c r="L326" s="480"/>
      <c r="M326" s="480"/>
      <c r="N326" s="481"/>
    </row>
    <row r="327" spans="1:14">
      <c r="A327" s="480" t="s">
        <v>1276</v>
      </c>
      <c r="B327" s="480" t="s">
        <v>1277</v>
      </c>
      <c r="C327" s="549">
        <v>0</v>
      </c>
      <c r="D327" s="549">
        <v>0</v>
      </c>
      <c r="E327" s="549">
        <v>0</v>
      </c>
      <c r="F327" s="549">
        <v>0</v>
      </c>
      <c r="G327" s="549">
        <v>0</v>
      </c>
      <c r="H327" s="549">
        <v>0</v>
      </c>
      <c r="I327" s="481"/>
      <c r="J327" s="481"/>
      <c r="K327" s="480"/>
      <c r="L327" s="480"/>
      <c r="M327" s="480"/>
      <c r="N327" s="481"/>
    </row>
    <row r="328" spans="1:14">
      <c r="A328" s="480" t="s">
        <v>1278</v>
      </c>
      <c r="B328" s="480" t="s">
        <v>1279</v>
      </c>
      <c r="C328" s="549">
        <v>0</v>
      </c>
      <c r="D328" s="549">
        <v>0</v>
      </c>
      <c r="E328" s="549">
        <v>0</v>
      </c>
      <c r="F328" s="549">
        <v>0</v>
      </c>
      <c r="G328" s="549">
        <v>0</v>
      </c>
      <c r="H328" s="549">
        <v>0</v>
      </c>
      <c r="I328" s="481"/>
      <c r="J328" s="481"/>
      <c r="K328" s="480"/>
      <c r="L328" s="480"/>
      <c r="M328" s="480"/>
      <c r="N328" s="481"/>
    </row>
    <row r="329" spans="1:14">
      <c r="A329" s="480" t="s">
        <v>1022</v>
      </c>
      <c r="B329" s="480" t="s">
        <v>1021</v>
      </c>
      <c r="C329" s="549">
        <v>10435.129999999999</v>
      </c>
      <c r="D329" s="549">
        <v>10435.129999999999</v>
      </c>
      <c r="E329" s="549">
        <v>10435.129999999999</v>
      </c>
      <c r="F329" s="549">
        <v>10435.129999999999</v>
      </c>
      <c r="G329" s="549">
        <v>10379.969999999999</v>
      </c>
      <c r="H329" s="549">
        <v>10377.94</v>
      </c>
      <c r="I329" s="481"/>
      <c r="J329" s="481"/>
      <c r="K329" s="480"/>
      <c r="L329" s="480"/>
      <c r="M329" s="480"/>
      <c r="N329" s="481"/>
    </row>
    <row r="330" spans="1:14">
      <c r="A330" s="480" t="s">
        <v>1280</v>
      </c>
      <c r="B330" s="480" t="s">
        <v>1281</v>
      </c>
      <c r="C330" s="549">
        <v>11028.12</v>
      </c>
      <c r="D330" s="549">
        <v>11028.12</v>
      </c>
      <c r="E330" s="549">
        <v>11028.12</v>
      </c>
      <c r="F330" s="549">
        <v>11028.12</v>
      </c>
      <c r="G330" s="549">
        <v>11334.05</v>
      </c>
      <c r="H330" s="549">
        <v>11339.78</v>
      </c>
      <c r="I330" s="481"/>
      <c r="J330" s="481"/>
      <c r="K330" s="480"/>
      <c r="L330" s="480"/>
      <c r="M330" s="480"/>
      <c r="N330" s="481"/>
    </row>
    <row r="331" spans="1:14">
      <c r="A331" s="480" t="s">
        <v>1028</v>
      </c>
      <c r="B331" s="480" t="s">
        <v>1027</v>
      </c>
      <c r="C331" s="549">
        <v>10244.32</v>
      </c>
      <c r="D331" s="549">
        <v>10244.32</v>
      </c>
      <c r="E331" s="549">
        <v>10244.32</v>
      </c>
      <c r="F331" s="549">
        <v>10244.32</v>
      </c>
      <c r="G331" s="549">
        <v>10225.61</v>
      </c>
      <c r="H331" s="549">
        <v>10225.549999999999</v>
      </c>
      <c r="I331" s="481"/>
      <c r="J331" s="481"/>
      <c r="K331" s="480"/>
      <c r="L331" s="480"/>
      <c r="M331" s="480"/>
      <c r="N331" s="481"/>
    </row>
    <row r="332" spans="1:14">
      <c r="A332" s="480" t="s">
        <v>616</v>
      </c>
      <c r="B332" s="480" t="s">
        <v>615</v>
      </c>
      <c r="C332" s="549">
        <v>10236.92</v>
      </c>
      <c r="D332" s="549">
        <v>10236.92</v>
      </c>
      <c r="E332" s="549">
        <v>10236.92</v>
      </c>
      <c r="F332" s="549">
        <v>10236.92</v>
      </c>
      <c r="G332" s="549">
        <v>10232.61</v>
      </c>
      <c r="H332" s="549">
        <v>10231.35</v>
      </c>
      <c r="I332" s="481"/>
      <c r="J332" s="481"/>
      <c r="K332" s="480"/>
      <c r="L332" s="480"/>
      <c r="M332" s="480"/>
      <c r="N332" s="481"/>
    </row>
    <row r="333" spans="1:14">
      <c r="A333" s="480" t="s">
        <v>1002</v>
      </c>
      <c r="B333" s="480" t="s">
        <v>1001</v>
      </c>
      <c r="C333" s="549">
        <v>10326.41</v>
      </c>
      <c r="D333" s="549">
        <v>10326.41</v>
      </c>
      <c r="E333" s="549">
        <v>10326.41</v>
      </c>
      <c r="F333" s="549">
        <v>10326.41</v>
      </c>
      <c r="G333" s="549">
        <v>10328.43</v>
      </c>
      <c r="H333" s="549">
        <v>10320.799999999999</v>
      </c>
      <c r="I333" s="481"/>
      <c r="J333" s="481"/>
      <c r="K333" s="480"/>
      <c r="L333" s="480"/>
      <c r="M333" s="480"/>
      <c r="N333" s="481"/>
    </row>
    <row r="334" spans="1:14">
      <c r="A334" s="480" t="s">
        <v>620</v>
      </c>
      <c r="B334" s="480" t="s">
        <v>619</v>
      </c>
      <c r="C334" s="549">
        <v>10334.39</v>
      </c>
      <c r="D334" s="549">
        <v>10334.39</v>
      </c>
      <c r="E334" s="549">
        <v>10334.39</v>
      </c>
      <c r="F334" s="549">
        <v>10334.39</v>
      </c>
      <c r="G334" s="549">
        <v>10357.23</v>
      </c>
      <c r="H334" s="549">
        <v>10358.18</v>
      </c>
      <c r="I334" s="481"/>
      <c r="J334" s="481"/>
      <c r="K334" s="480"/>
      <c r="L334" s="480"/>
      <c r="M334" s="480"/>
      <c r="N334" s="481"/>
    </row>
    <row r="335" spans="1:14">
      <c r="A335" s="480" t="s">
        <v>1026</v>
      </c>
      <c r="B335" s="480" t="s">
        <v>1025</v>
      </c>
      <c r="C335" s="549">
        <v>10281.84</v>
      </c>
      <c r="D335" s="549">
        <v>10281.84</v>
      </c>
      <c r="E335" s="549">
        <v>10281.84</v>
      </c>
      <c r="F335" s="549">
        <v>10281.84</v>
      </c>
      <c r="G335" s="549">
        <v>10231.59</v>
      </c>
      <c r="H335" s="549">
        <v>10235.57</v>
      </c>
      <c r="I335" s="481"/>
      <c r="J335" s="481"/>
      <c r="K335" s="480"/>
      <c r="L335" s="480"/>
      <c r="M335" s="480"/>
      <c r="N335" s="481"/>
    </row>
    <row r="336" spans="1:14">
      <c r="A336" s="480" t="s">
        <v>1282</v>
      </c>
      <c r="B336" s="480" t="s">
        <v>1283</v>
      </c>
      <c r="C336" s="549">
        <v>10407.379999999999</v>
      </c>
      <c r="D336" s="549">
        <v>10407.379999999999</v>
      </c>
      <c r="E336" s="549">
        <v>10407.379999999999</v>
      </c>
      <c r="F336" s="549">
        <v>10407.379999999999</v>
      </c>
      <c r="G336" s="549">
        <v>10364.870000000001</v>
      </c>
      <c r="H336" s="549">
        <v>10369.5</v>
      </c>
      <c r="I336" s="481"/>
      <c r="J336" s="481"/>
      <c r="K336" s="480"/>
      <c r="L336" s="480"/>
      <c r="M336" s="480"/>
      <c r="N336" s="481"/>
    </row>
    <row r="337" spans="1:14">
      <c r="A337" s="480" t="s">
        <v>1284</v>
      </c>
      <c r="B337" s="480" t="s">
        <v>1285</v>
      </c>
      <c r="C337" s="549">
        <v>0</v>
      </c>
      <c r="D337" s="549">
        <v>0</v>
      </c>
      <c r="E337" s="549">
        <v>0</v>
      </c>
      <c r="F337" s="549">
        <v>0</v>
      </c>
      <c r="G337" s="549">
        <v>0</v>
      </c>
      <c r="H337" s="549">
        <v>0</v>
      </c>
      <c r="I337" s="481"/>
      <c r="J337" s="481"/>
      <c r="K337" s="480"/>
      <c r="L337" s="480"/>
      <c r="M337" s="480"/>
      <c r="N337" s="481"/>
    </row>
    <row r="338" spans="1:14">
      <c r="A338" s="480" t="s">
        <v>566</v>
      </c>
      <c r="B338" s="480" t="s">
        <v>565</v>
      </c>
      <c r="C338" s="549">
        <v>10686.3</v>
      </c>
      <c r="D338" s="549">
        <v>10686.3</v>
      </c>
      <c r="E338" s="549">
        <v>10686.3</v>
      </c>
      <c r="F338" s="549">
        <v>10686.3</v>
      </c>
      <c r="G338" s="549">
        <v>10655.57</v>
      </c>
      <c r="H338" s="549">
        <v>10656.53</v>
      </c>
      <c r="I338" s="481"/>
      <c r="J338" s="481"/>
      <c r="K338" s="480"/>
      <c r="L338" s="480"/>
      <c r="M338" s="480"/>
      <c r="N338" s="481"/>
    </row>
    <row r="339" spans="1:14">
      <c r="A339" s="480" t="s">
        <v>680</v>
      </c>
      <c r="B339" s="480" t="s">
        <v>679</v>
      </c>
      <c r="C339" s="549">
        <v>10764.62</v>
      </c>
      <c r="D339" s="549">
        <v>10764.62</v>
      </c>
      <c r="E339" s="549">
        <v>10764.62</v>
      </c>
      <c r="F339" s="549">
        <v>10764.62</v>
      </c>
      <c r="G339" s="549">
        <v>10588.64</v>
      </c>
      <c r="H339" s="549">
        <v>10589.87</v>
      </c>
      <c r="I339" s="481"/>
      <c r="J339" s="481"/>
      <c r="K339" s="480"/>
      <c r="L339" s="480"/>
      <c r="M339" s="480"/>
      <c r="N339" s="481"/>
    </row>
    <row r="340" spans="1:14">
      <c r="A340" s="480" t="s">
        <v>570</v>
      </c>
      <c r="B340" s="480" t="s">
        <v>569</v>
      </c>
      <c r="C340" s="549">
        <v>11087.88</v>
      </c>
      <c r="D340" s="549">
        <v>11087.88</v>
      </c>
      <c r="E340" s="549">
        <v>11087.88</v>
      </c>
      <c r="F340" s="549">
        <v>11087.88</v>
      </c>
      <c r="G340" s="549">
        <v>11083.33</v>
      </c>
      <c r="H340" s="549">
        <v>11084.41</v>
      </c>
      <c r="I340" s="481"/>
      <c r="J340" s="481"/>
      <c r="K340" s="480"/>
      <c r="L340" s="480"/>
      <c r="M340" s="480"/>
      <c r="N340" s="481"/>
    </row>
    <row r="341" spans="1:14">
      <c r="A341" s="480" t="s">
        <v>778</v>
      </c>
      <c r="B341" s="480" t="s">
        <v>777</v>
      </c>
      <c r="C341" s="549">
        <v>11100.98</v>
      </c>
      <c r="D341" s="549">
        <v>11100.98</v>
      </c>
      <c r="E341" s="549">
        <v>11100.98</v>
      </c>
      <c r="F341" s="549">
        <v>11100.98</v>
      </c>
      <c r="G341" s="549">
        <v>11083.24</v>
      </c>
      <c r="H341" s="549">
        <v>11082.06</v>
      </c>
      <c r="I341" s="481"/>
      <c r="J341" s="481"/>
      <c r="K341" s="480"/>
      <c r="L341" s="480"/>
      <c r="M341" s="480"/>
      <c r="N341" s="481"/>
    </row>
    <row r="342" spans="1:14">
      <c r="A342" s="480" t="s">
        <v>792</v>
      </c>
      <c r="B342" s="480" t="s">
        <v>791</v>
      </c>
      <c r="C342" s="549">
        <v>11141.92</v>
      </c>
      <c r="D342" s="549">
        <v>11141.92</v>
      </c>
      <c r="E342" s="549">
        <v>11141.92</v>
      </c>
      <c r="F342" s="549">
        <v>11141.92</v>
      </c>
      <c r="G342" s="549">
        <v>10927.06</v>
      </c>
      <c r="H342" s="549">
        <v>10927.08</v>
      </c>
      <c r="I342" s="481"/>
      <c r="J342" s="481"/>
      <c r="K342" s="480"/>
      <c r="L342" s="480"/>
      <c r="M342" s="480"/>
      <c r="N342" s="481"/>
    </row>
    <row r="343" spans="1:14">
      <c r="A343" s="480" t="s">
        <v>1286</v>
      </c>
      <c r="B343" s="480" t="s">
        <v>1287</v>
      </c>
      <c r="C343" s="549">
        <v>10766.52</v>
      </c>
      <c r="D343" s="549">
        <v>10766.52</v>
      </c>
      <c r="E343" s="549">
        <v>10766.52</v>
      </c>
      <c r="F343" s="549">
        <v>10766.52</v>
      </c>
      <c r="G343" s="549">
        <v>10680.63</v>
      </c>
      <c r="H343" s="549">
        <v>10682.77</v>
      </c>
      <c r="I343" s="481"/>
      <c r="J343" s="481"/>
      <c r="K343" s="480"/>
      <c r="L343" s="480"/>
      <c r="M343" s="480"/>
      <c r="N343" s="481"/>
    </row>
    <row r="344" spans="1:14">
      <c r="A344" s="480" t="s">
        <v>810</v>
      </c>
      <c r="B344" s="480" t="s">
        <v>809</v>
      </c>
      <c r="C344" s="549">
        <v>10663.81</v>
      </c>
      <c r="D344" s="549">
        <v>10663.81</v>
      </c>
      <c r="E344" s="549">
        <v>10663.81</v>
      </c>
      <c r="F344" s="549">
        <v>10663.81</v>
      </c>
      <c r="G344" s="549">
        <v>10659.7</v>
      </c>
      <c r="H344" s="549">
        <v>10661.71</v>
      </c>
      <c r="I344" s="481"/>
      <c r="J344" s="481"/>
      <c r="K344" s="480"/>
      <c r="L344" s="480"/>
      <c r="M344" s="480"/>
      <c r="N344" s="481"/>
    </row>
    <row r="345" spans="1:14">
      <c r="A345" s="480" t="s">
        <v>1288</v>
      </c>
      <c r="B345" s="480" t="s">
        <v>1289</v>
      </c>
      <c r="C345" s="549">
        <v>0</v>
      </c>
      <c r="D345" s="549">
        <v>0</v>
      </c>
      <c r="E345" s="549">
        <v>0</v>
      </c>
      <c r="F345" s="549">
        <v>0</v>
      </c>
      <c r="G345" s="549">
        <v>0</v>
      </c>
      <c r="H345" s="549">
        <v>0</v>
      </c>
      <c r="I345" s="481"/>
      <c r="J345" s="481"/>
      <c r="K345" s="480"/>
      <c r="L345" s="480"/>
      <c r="M345" s="480"/>
      <c r="N345" s="481"/>
    </row>
    <row r="346" spans="1:14">
      <c r="A346" s="480" t="s">
        <v>1290</v>
      </c>
      <c r="B346" s="480" t="s">
        <v>1291</v>
      </c>
      <c r="C346" s="549">
        <v>10077.530000000001</v>
      </c>
      <c r="D346" s="549">
        <v>10077.530000000001</v>
      </c>
      <c r="E346" s="549">
        <v>10077.530000000001</v>
      </c>
      <c r="F346" s="549">
        <v>10077.530000000001</v>
      </c>
      <c r="G346" s="549">
        <v>10076.6</v>
      </c>
      <c r="H346" s="549">
        <v>10075.44</v>
      </c>
      <c r="I346" s="481"/>
      <c r="J346" s="481"/>
      <c r="K346" s="480"/>
      <c r="L346" s="480"/>
      <c r="M346" s="480"/>
      <c r="N346" s="481"/>
    </row>
    <row r="347" spans="1:14">
      <c r="A347" s="480" t="s">
        <v>774</v>
      </c>
      <c r="B347" s="480" t="s">
        <v>773</v>
      </c>
      <c r="C347" s="549">
        <v>10686.71</v>
      </c>
      <c r="D347" s="549">
        <v>10686.71</v>
      </c>
      <c r="E347" s="549">
        <v>10686.71</v>
      </c>
      <c r="F347" s="549">
        <v>10686.71</v>
      </c>
      <c r="G347" s="549">
        <v>9926.44</v>
      </c>
      <c r="H347" s="549">
        <v>9926.3700000000008</v>
      </c>
      <c r="I347" s="481"/>
      <c r="J347" s="481"/>
      <c r="K347" s="480"/>
      <c r="L347" s="480"/>
      <c r="M347" s="480"/>
      <c r="N347" s="481"/>
    </row>
    <row r="348" spans="1:14">
      <c r="A348" s="480" t="s">
        <v>1292</v>
      </c>
      <c r="B348" s="480" t="s">
        <v>1293</v>
      </c>
      <c r="C348" s="549">
        <v>0</v>
      </c>
      <c r="D348" s="549">
        <v>0</v>
      </c>
      <c r="E348" s="549">
        <v>0</v>
      </c>
      <c r="F348" s="549">
        <v>0</v>
      </c>
      <c r="G348" s="549">
        <v>0</v>
      </c>
      <c r="H348" s="549">
        <v>0</v>
      </c>
      <c r="I348" s="481"/>
      <c r="J348" s="481"/>
      <c r="K348" s="480"/>
      <c r="L348" s="480"/>
      <c r="M348" s="480"/>
      <c r="N348" s="481"/>
    </row>
    <row r="349" spans="1:14">
      <c r="A349" s="480" t="s">
        <v>1294</v>
      </c>
      <c r="B349" s="480" t="s">
        <v>1295</v>
      </c>
      <c r="C349" s="549">
        <v>0</v>
      </c>
      <c r="D349" s="549">
        <v>0</v>
      </c>
      <c r="E349" s="549">
        <v>0</v>
      </c>
      <c r="F349" s="549">
        <v>0</v>
      </c>
      <c r="G349" s="549">
        <v>0</v>
      </c>
      <c r="H349" s="549">
        <v>0</v>
      </c>
      <c r="I349" s="481"/>
      <c r="J349" s="481"/>
      <c r="K349" s="480"/>
      <c r="L349" s="480"/>
      <c r="M349" s="480"/>
      <c r="N349" s="481"/>
    </row>
    <row r="350" spans="1:14">
      <c r="A350" s="480" t="s">
        <v>752</v>
      </c>
      <c r="B350" s="480" t="s">
        <v>751</v>
      </c>
      <c r="C350" s="549">
        <v>10404.48</v>
      </c>
      <c r="D350" s="549">
        <v>10404.48</v>
      </c>
      <c r="E350" s="549">
        <v>10404.48</v>
      </c>
      <c r="F350" s="549">
        <v>10404.48</v>
      </c>
      <c r="G350" s="549">
        <v>10512.64</v>
      </c>
      <c r="H350" s="549">
        <v>10514.16</v>
      </c>
      <c r="I350" s="481"/>
      <c r="J350" s="481"/>
      <c r="K350" s="480"/>
      <c r="L350" s="480"/>
      <c r="M350" s="480"/>
      <c r="N350" s="481"/>
    </row>
    <row r="351" spans="1:14">
      <c r="A351" s="480" t="s">
        <v>1296</v>
      </c>
      <c r="B351" s="480" t="s">
        <v>1297</v>
      </c>
      <c r="C351" s="549">
        <v>9330.01</v>
      </c>
      <c r="D351" s="549">
        <v>9330.01</v>
      </c>
      <c r="E351" s="549">
        <v>9330.01</v>
      </c>
      <c r="F351" s="549">
        <v>9330.01</v>
      </c>
      <c r="G351" s="549">
        <v>9321.84</v>
      </c>
      <c r="H351" s="549">
        <v>9327.4699999999993</v>
      </c>
      <c r="I351" s="481"/>
      <c r="J351" s="481"/>
      <c r="K351" s="480"/>
      <c r="L351" s="480"/>
      <c r="M351" s="480"/>
      <c r="N351" s="481"/>
    </row>
    <row r="352" spans="1:14">
      <c r="A352" s="480" t="s">
        <v>994</v>
      </c>
      <c r="B352" s="480" t="s">
        <v>993</v>
      </c>
      <c r="C352" s="549">
        <v>10348.48</v>
      </c>
      <c r="D352" s="549">
        <v>10348.48</v>
      </c>
      <c r="E352" s="549">
        <v>10348.48</v>
      </c>
      <c r="F352" s="549">
        <v>10348.48</v>
      </c>
      <c r="G352" s="549">
        <v>10208.219999999999</v>
      </c>
      <c r="H352" s="549">
        <v>10209.25</v>
      </c>
      <c r="I352" s="481"/>
      <c r="J352" s="481"/>
      <c r="K352" s="480"/>
      <c r="L352" s="480"/>
      <c r="M352" s="480"/>
      <c r="N352" s="481"/>
    </row>
    <row r="353" spans="1:14">
      <c r="A353" s="480" t="s">
        <v>898</v>
      </c>
      <c r="B353" s="480" t="s">
        <v>897</v>
      </c>
      <c r="C353" s="549">
        <v>10299.790000000001</v>
      </c>
      <c r="D353" s="549">
        <v>10299.790000000001</v>
      </c>
      <c r="E353" s="549">
        <v>10299.790000000001</v>
      </c>
      <c r="F353" s="549">
        <v>10299.790000000001</v>
      </c>
      <c r="G353" s="549">
        <v>10303.25</v>
      </c>
      <c r="H353" s="549">
        <v>10298.74</v>
      </c>
      <c r="I353" s="481"/>
      <c r="J353" s="481"/>
      <c r="K353" s="480"/>
      <c r="L353" s="480"/>
      <c r="M353" s="480"/>
      <c r="N353" s="481"/>
    </row>
    <row r="354" spans="1:14">
      <c r="A354" s="480" t="s">
        <v>1298</v>
      </c>
      <c r="B354" s="480" t="s">
        <v>1299</v>
      </c>
      <c r="C354" s="549">
        <v>10527.25</v>
      </c>
      <c r="D354" s="549">
        <v>10527.25</v>
      </c>
      <c r="E354" s="549">
        <v>10527.25</v>
      </c>
      <c r="F354" s="549">
        <v>10527.25</v>
      </c>
      <c r="G354" s="549">
        <v>10503.8</v>
      </c>
      <c r="H354" s="549">
        <v>10503.54</v>
      </c>
      <c r="I354" s="481"/>
      <c r="J354" s="481"/>
      <c r="K354" s="480"/>
      <c r="L354" s="480"/>
      <c r="M354" s="480"/>
      <c r="N354" s="481"/>
    </row>
    <row r="355" spans="1:14">
      <c r="A355" s="480" t="s">
        <v>874</v>
      </c>
      <c r="B355" s="480" t="s">
        <v>873</v>
      </c>
      <c r="C355" s="549">
        <v>10337.32</v>
      </c>
      <c r="D355" s="549">
        <v>10337.32</v>
      </c>
      <c r="E355" s="549">
        <v>10337.32</v>
      </c>
      <c r="F355" s="549">
        <v>10337.32</v>
      </c>
      <c r="G355" s="549">
        <v>10356.24</v>
      </c>
      <c r="H355" s="549">
        <v>10354.1</v>
      </c>
      <c r="I355" s="481"/>
      <c r="J355" s="481"/>
      <c r="K355" s="480"/>
      <c r="L355" s="480"/>
      <c r="M355" s="480"/>
      <c r="N355" s="481"/>
    </row>
    <row r="356" spans="1:14">
      <c r="A356" s="480" t="s">
        <v>1300</v>
      </c>
      <c r="B356" s="480" t="s">
        <v>1301</v>
      </c>
      <c r="C356" s="549">
        <v>10035.08</v>
      </c>
      <c r="D356" s="549">
        <v>10035.08</v>
      </c>
      <c r="E356" s="549">
        <v>10035.08</v>
      </c>
      <c r="F356" s="549">
        <v>10035.08</v>
      </c>
      <c r="G356" s="549">
        <v>10077.98</v>
      </c>
      <c r="H356" s="549">
        <v>10077.36</v>
      </c>
      <c r="I356" s="481"/>
      <c r="J356" s="481"/>
      <c r="K356" s="480"/>
      <c r="L356" s="480"/>
      <c r="M356" s="480"/>
      <c r="N356" s="481"/>
    </row>
    <row r="357" spans="1:14">
      <c r="A357" s="480" t="s">
        <v>1302</v>
      </c>
      <c r="B357" s="480" t="s">
        <v>1303</v>
      </c>
      <c r="C357" s="549">
        <v>11256.62</v>
      </c>
      <c r="D357" s="549">
        <v>11256.62</v>
      </c>
      <c r="E357" s="549">
        <v>11256.62</v>
      </c>
      <c r="F357" s="549">
        <v>11256.62</v>
      </c>
      <c r="G357" s="549">
        <v>10970.54</v>
      </c>
      <c r="H357" s="549">
        <v>10975.64</v>
      </c>
      <c r="I357" s="481"/>
      <c r="J357" s="481"/>
      <c r="K357" s="480"/>
      <c r="L357" s="480"/>
      <c r="M357" s="480"/>
      <c r="N357" s="481"/>
    </row>
    <row r="358" spans="1:14">
      <c r="A358" s="480" t="s">
        <v>1304</v>
      </c>
      <c r="B358" s="480" t="s">
        <v>1305</v>
      </c>
      <c r="C358" s="549">
        <v>10622.84</v>
      </c>
      <c r="D358" s="549">
        <v>10622.84</v>
      </c>
      <c r="E358" s="549">
        <v>10622.84</v>
      </c>
      <c r="F358" s="549">
        <v>10622.84</v>
      </c>
      <c r="G358" s="549">
        <v>10613.54</v>
      </c>
      <c r="H358" s="549">
        <v>10617.7</v>
      </c>
      <c r="I358" s="481"/>
      <c r="J358" s="481"/>
      <c r="K358" s="480"/>
      <c r="L358" s="480"/>
      <c r="M358" s="480"/>
      <c r="N358" s="481"/>
    </row>
    <row r="359" spans="1:14">
      <c r="A359" s="480" t="s">
        <v>664</v>
      </c>
      <c r="B359" s="480" t="s">
        <v>663</v>
      </c>
      <c r="C359" s="549">
        <v>10232.719999999999</v>
      </c>
      <c r="D359" s="549">
        <v>10232.719999999999</v>
      </c>
      <c r="E359" s="549">
        <v>10232.719999999999</v>
      </c>
      <c r="F359" s="549">
        <v>10232.719999999999</v>
      </c>
      <c r="G359" s="549">
        <v>10122.799999999999</v>
      </c>
      <c r="H359" s="549">
        <v>10130.11</v>
      </c>
      <c r="I359" s="481"/>
      <c r="J359" s="481"/>
      <c r="K359" s="480"/>
      <c r="L359" s="480"/>
      <c r="M359" s="480"/>
      <c r="N359" s="481"/>
    </row>
    <row r="360" spans="1:14">
      <c r="A360" s="480" t="s">
        <v>1306</v>
      </c>
      <c r="B360" s="480" t="s">
        <v>1307</v>
      </c>
      <c r="C360" s="549">
        <v>10673.96</v>
      </c>
      <c r="D360" s="549">
        <v>10673.96</v>
      </c>
      <c r="E360" s="549">
        <v>10673.96</v>
      </c>
      <c r="F360" s="549">
        <v>10673.96</v>
      </c>
      <c r="G360" s="549">
        <v>10582.98</v>
      </c>
      <c r="H360" s="549">
        <v>10576.3</v>
      </c>
      <c r="I360" s="481"/>
      <c r="J360" s="481"/>
      <c r="K360" s="480"/>
      <c r="L360" s="480"/>
      <c r="M360" s="480"/>
      <c r="N360" s="481"/>
    </row>
    <row r="361" spans="1:14">
      <c r="A361" s="480" t="s">
        <v>972</v>
      </c>
      <c r="B361" s="480" t="s">
        <v>971</v>
      </c>
      <c r="C361" s="549">
        <v>10466.799999999999</v>
      </c>
      <c r="D361" s="549">
        <v>10466.799999999999</v>
      </c>
      <c r="E361" s="549">
        <v>10466.799999999999</v>
      </c>
      <c r="F361" s="549">
        <v>10466.799999999999</v>
      </c>
      <c r="G361" s="549">
        <v>10342.27</v>
      </c>
      <c r="H361" s="549">
        <v>10337.56</v>
      </c>
      <c r="I361" s="481"/>
      <c r="J361" s="481"/>
      <c r="K361" s="480"/>
      <c r="L361" s="480"/>
      <c r="M361" s="480"/>
      <c r="N361" s="481"/>
    </row>
    <row r="362" spans="1:14">
      <c r="A362" s="480" t="s">
        <v>846</v>
      </c>
      <c r="B362" s="480" t="s">
        <v>845</v>
      </c>
      <c r="C362" s="549">
        <v>10289.709999999999</v>
      </c>
      <c r="D362" s="549">
        <v>10289.709999999999</v>
      </c>
      <c r="E362" s="549">
        <v>10289.709999999999</v>
      </c>
      <c r="F362" s="549">
        <v>10289.709999999999</v>
      </c>
      <c r="G362" s="549">
        <v>10151.64</v>
      </c>
      <c r="H362" s="549">
        <v>10152.41</v>
      </c>
      <c r="I362" s="481"/>
      <c r="J362" s="481"/>
      <c r="K362" s="480"/>
      <c r="L362" s="480"/>
      <c r="M362" s="480"/>
      <c r="N362" s="481"/>
    </row>
    <row r="363" spans="1:14">
      <c r="A363" s="480" t="s">
        <v>1308</v>
      </c>
      <c r="B363" s="480" t="s">
        <v>1309</v>
      </c>
      <c r="C363" s="549">
        <v>0</v>
      </c>
      <c r="D363" s="549">
        <v>0</v>
      </c>
      <c r="E363" s="549">
        <v>0</v>
      </c>
      <c r="F363" s="549">
        <v>0</v>
      </c>
      <c r="G363" s="549">
        <v>0</v>
      </c>
      <c r="H363" s="549">
        <v>0</v>
      </c>
      <c r="I363" s="481"/>
      <c r="J363" s="481"/>
      <c r="K363" s="480"/>
      <c r="L363" s="480"/>
      <c r="M363" s="480"/>
      <c r="N363" s="481"/>
    </row>
    <row r="364" spans="1:14">
      <c r="A364" s="480" t="s">
        <v>1012</v>
      </c>
      <c r="B364" s="480" t="s">
        <v>1011</v>
      </c>
      <c r="C364" s="549">
        <v>10551.39</v>
      </c>
      <c r="D364" s="549">
        <v>10551.39</v>
      </c>
      <c r="E364" s="549">
        <v>10551.39</v>
      </c>
      <c r="F364" s="549">
        <v>10551.39</v>
      </c>
      <c r="G364" s="549">
        <v>10039.15</v>
      </c>
      <c r="H364" s="549">
        <v>10037.120000000001</v>
      </c>
      <c r="I364" s="481"/>
      <c r="J364" s="481"/>
      <c r="K364" s="480"/>
      <c r="L364" s="480"/>
      <c r="M364" s="480"/>
      <c r="N364" s="481"/>
    </row>
    <row r="365" spans="1:14">
      <c r="A365" s="480" t="s">
        <v>820</v>
      </c>
      <c r="B365" s="480" t="s">
        <v>819</v>
      </c>
      <c r="C365" s="549">
        <v>10313.969999999999</v>
      </c>
      <c r="D365" s="549">
        <v>10313.969999999999</v>
      </c>
      <c r="E365" s="549">
        <v>10313.969999999999</v>
      </c>
      <c r="F365" s="549">
        <v>10313.969999999999</v>
      </c>
      <c r="G365" s="549">
        <v>10303.280000000001</v>
      </c>
      <c r="H365" s="549">
        <v>10303.32</v>
      </c>
      <c r="I365" s="481"/>
      <c r="J365" s="481"/>
      <c r="K365" s="480"/>
      <c r="L365" s="480"/>
      <c r="M365" s="480"/>
      <c r="N365" s="481"/>
    </row>
    <row r="366" spans="1:14">
      <c r="A366" s="480" t="s">
        <v>1064</v>
      </c>
      <c r="B366" s="480" t="s">
        <v>1063</v>
      </c>
      <c r="C366" s="549">
        <v>10192.68</v>
      </c>
      <c r="D366" s="549">
        <v>10192.68</v>
      </c>
      <c r="E366" s="549">
        <v>10192.68</v>
      </c>
      <c r="F366" s="549">
        <v>10192.68</v>
      </c>
      <c r="G366" s="549">
        <v>10195.07</v>
      </c>
      <c r="H366" s="549">
        <v>10195.1</v>
      </c>
      <c r="I366" s="481"/>
      <c r="J366" s="481"/>
      <c r="K366" s="480"/>
      <c r="L366" s="480"/>
      <c r="M366" s="480"/>
      <c r="N366" s="481"/>
    </row>
    <row r="367" spans="1:14">
      <c r="A367" s="480" t="s">
        <v>650</v>
      </c>
      <c r="B367" s="480" t="s">
        <v>649</v>
      </c>
      <c r="C367" s="549">
        <v>10249.59</v>
      </c>
      <c r="D367" s="549">
        <v>10249.59</v>
      </c>
      <c r="E367" s="549">
        <v>10249.59</v>
      </c>
      <c r="F367" s="549">
        <v>10249.59</v>
      </c>
      <c r="G367" s="549">
        <v>10267.98</v>
      </c>
      <c r="H367" s="549">
        <v>10270.07</v>
      </c>
      <c r="I367" s="481"/>
      <c r="J367" s="481"/>
      <c r="K367" s="480"/>
      <c r="L367" s="480"/>
      <c r="M367" s="480"/>
      <c r="N367" s="481"/>
    </row>
    <row r="368" spans="1:14">
      <c r="A368" s="480" t="s">
        <v>938</v>
      </c>
      <c r="B368" s="480" t="s">
        <v>937</v>
      </c>
      <c r="C368" s="549">
        <v>10235.86</v>
      </c>
      <c r="D368" s="549">
        <v>10235.86</v>
      </c>
      <c r="E368" s="549">
        <v>10235.86</v>
      </c>
      <c r="F368" s="549">
        <v>10235.86</v>
      </c>
      <c r="G368" s="549">
        <v>10214.65</v>
      </c>
      <c r="H368" s="549">
        <v>10215.83</v>
      </c>
      <c r="I368" s="481"/>
      <c r="J368" s="481"/>
      <c r="K368" s="480"/>
      <c r="L368" s="480"/>
      <c r="M368" s="480"/>
      <c r="N368" s="481"/>
    </row>
    <row r="369" spans="1:14">
      <c r="A369" s="480" t="s">
        <v>780</v>
      </c>
      <c r="B369" s="480" t="s">
        <v>779</v>
      </c>
      <c r="C369" s="549">
        <v>10306.549999999999</v>
      </c>
      <c r="D369" s="549">
        <v>10306.549999999999</v>
      </c>
      <c r="E369" s="549">
        <v>10306.549999999999</v>
      </c>
      <c r="F369" s="549">
        <v>10306.549999999999</v>
      </c>
      <c r="G369" s="549">
        <v>9969.75</v>
      </c>
      <c r="H369" s="549">
        <v>9971.34</v>
      </c>
      <c r="I369" s="481"/>
      <c r="J369" s="481"/>
      <c r="K369" s="480"/>
      <c r="L369" s="480"/>
      <c r="M369" s="480"/>
      <c r="N369" s="481"/>
    </row>
    <row r="370" spans="1:14">
      <c r="A370" s="480" t="s">
        <v>696</v>
      </c>
      <c r="B370" s="480" t="s">
        <v>695</v>
      </c>
      <c r="C370" s="549">
        <v>10309.780000000001</v>
      </c>
      <c r="D370" s="549">
        <v>10309.780000000001</v>
      </c>
      <c r="E370" s="549">
        <v>10309.780000000001</v>
      </c>
      <c r="F370" s="549">
        <v>10309.780000000001</v>
      </c>
      <c r="G370" s="549">
        <v>10304.69</v>
      </c>
      <c r="H370" s="549">
        <v>10304.709999999999</v>
      </c>
      <c r="I370" s="481"/>
      <c r="J370" s="481"/>
      <c r="K370" s="480"/>
      <c r="L370" s="480"/>
      <c r="M370" s="480"/>
      <c r="N370" s="481"/>
    </row>
    <row r="371" spans="1:14">
      <c r="A371" s="480" t="s">
        <v>988</v>
      </c>
      <c r="B371" s="480" t="s">
        <v>987</v>
      </c>
      <c r="C371" s="549">
        <v>10137.61</v>
      </c>
      <c r="D371" s="549">
        <v>10137.61</v>
      </c>
      <c r="E371" s="549">
        <v>10137.61</v>
      </c>
      <c r="F371" s="549">
        <v>10137.61</v>
      </c>
      <c r="G371" s="549">
        <v>10249.280000000001</v>
      </c>
      <c r="H371" s="549">
        <v>10249.209999999999</v>
      </c>
      <c r="I371" s="481"/>
      <c r="J371" s="481"/>
      <c r="K371" s="480"/>
      <c r="L371" s="480"/>
      <c r="M371" s="480"/>
      <c r="N371" s="481"/>
    </row>
    <row r="372" spans="1:14">
      <c r="A372" s="480" t="s">
        <v>1000</v>
      </c>
      <c r="B372" s="480" t="s">
        <v>999</v>
      </c>
      <c r="C372" s="549">
        <v>10229.01</v>
      </c>
      <c r="D372" s="549">
        <v>10229.01</v>
      </c>
      <c r="E372" s="549">
        <v>10229.01</v>
      </c>
      <c r="F372" s="549">
        <v>10229.01</v>
      </c>
      <c r="G372" s="549">
        <v>10217.59</v>
      </c>
      <c r="H372" s="549">
        <v>10215.75</v>
      </c>
      <c r="I372" s="481"/>
      <c r="J372" s="481"/>
      <c r="K372" s="480"/>
      <c r="L372" s="480"/>
      <c r="M372" s="480"/>
      <c r="N372" s="481"/>
    </row>
    <row r="373" spans="1:14">
      <c r="A373" s="480" t="s">
        <v>710</v>
      </c>
      <c r="B373" s="480" t="s">
        <v>709</v>
      </c>
      <c r="C373" s="549">
        <v>10282.11</v>
      </c>
      <c r="D373" s="549">
        <v>10282.11</v>
      </c>
      <c r="E373" s="549">
        <v>10282.11</v>
      </c>
      <c r="F373" s="549">
        <v>10282.11</v>
      </c>
      <c r="G373" s="549">
        <v>10310.51</v>
      </c>
      <c r="H373" s="549">
        <v>10310.459999999999</v>
      </c>
      <c r="I373" s="481"/>
      <c r="J373" s="481"/>
      <c r="K373" s="480"/>
      <c r="L373" s="480"/>
      <c r="M373" s="480"/>
      <c r="N373" s="481"/>
    </row>
    <row r="374" spans="1:14">
      <c r="A374" s="480" t="s">
        <v>698</v>
      </c>
      <c r="B374" s="480" t="s">
        <v>697</v>
      </c>
      <c r="C374" s="549">
        <v>10290.219999999999</v>
      </c>
      <c r="D374" s="549">
        <v>10290.219999999999</v>
      </c>
      <c r="E374" s="549">
        <v>10290.219999999999</v>
      </c>
      <c r="F374" s="549">
        <v>10290.219999999999</v>
      </c>
      <c r="G374" s="549">
        <v>10293.379999999999</v>
      </c>
      <c r="H374" s="549">
        <v>10294.42</v>
      </c>
      <c r="I374" s="481"/>
      <c r="J374" s="481"/>
      <c r="K374" s="480"/>
      <c r="L374" s="480"/>
      <c r="M374" s="480"/>
      <c r="N374" s="481"/>
    </row>
    <row r="375" spans="1:14">
      <c r="A375" s="480" t="s">
        <v>1068</v>
      </c>
      <c r="B375" s="480" t="s">
        <v>1067</v>
      </c>
      <c r="C375" s="549">
        <v>10314.85</v>
      </c>
      <c r="D375" s="549">
        <v>10314.85</v>
      </c>
      <c r="E375" s="549">
        <v>10314.85</v>
      </c>
      <c r="F375" s="549">
        <v>10314.85</v>
      </c>
      <c r="G375" s="549">
        <v>10307.23</v>
      </c>
      <c r="H375" s="549">
        <v>10306.08</v>
      </c>
      <c r="I375" s="481"/>
      <c r="J375" s="481"/>
      <c r="K375" s="480"/>
      <c r="L375" s="480"/>
      <c r="M375" s="480"/>
      <c r="N375" s="481"/>
    </row>
    <row r="376" spans="1:14">
      <c r="A376" s="480" t="s">
        <v>1030</v>
      </c>
      <c r="B376" s="480" t="s">
        <v>1029</v>
      </c>
      <c r="C376" s="549">
        <v>10334.86</v>
      </c>
      <c r="D376" s="549">
        <v>10334.86</v>
      </c>
      <c r="E376" s="549">
        <v>10334.86</v>
      </c>
      <c r="F376" s="549">
        <v>10334.86</v>
      </c>
      <c r="G376" s="549">
        <v>10126.41</v>
      </c>
      <c r="H376" s="549">
        <v>10126.51</v>
      </c>
      <c r="I376" s="481"/>
      <c r="J376" s="481"/>
      <c r="K376" s="480"/>
      <c r="L376" s="480"/>
      <c r="M376" s="480"/>
      <c r="N376" s="481"/>
    </row>
    <row r="377" spans="1:14">
      <c r="A377" s="480" t="s">
        <v>1044</v>
      </c>
      <c r="B377" s="480" t="s">
        <v>1043</v>
      </c>
      <c r="C377" s="549">
        <v>10269.76</v>
      </c>
      <c r="D377" s="549">
        <v>10269.76</v>
      </c>
      <c r="E377" s="549">
        <v>10269.76</v>
      </c>
      <c r="F377" s="549">
        <v>10269.76</v>
      </c>
      <c r="G377" s="549">
        <v>10290.98</v>
      </c>
      <c r="H377" s="549">
        <v>10291.959999999999</v>
      </c>
      <c r="I377" s="481"/>
      <c r="J377" s="481"/>
      <c r="K377" s="480"/>
      <c r="L377" s="480"/>
      <c r="M377" s="480"/>
      <c r="N377" s="481"/>
    </row>
    <row r="378" spans="1:14">
      <c r="A378" s="480" t="s">
        <v>808</v>
      </c>
      <c r="B378" s="480" t="s">
        <v>807</v>
      </c>
      <c r="C378" s="549">
        <v>10311.19</v>
      </c>
      <c r="D378" s="549">
        <v>10311.19</v>
      </c>
      <c r="E378" s="549">
        <v>10311.19</v>
      </c>
      <c r="F378" s="549">
        <v>10311.19</v>
      </c>
      <c r="G378" s="549">
        <v>10296.450000000001</v>
      </c>
      <c r="H378" s="549">
        <v>10295.52</v>
      </c>
      <c r="I378" s="481"/>
      <c r="J378" s="481"/>
      <c r="K378" s="480"/>
      <c r="L378" s="480"/>
      <c r="M378" s="480"/>
      <c r="N378" s="481"/>
    </row>
    <row r="379" spans="1:14">
      <c r="A379" s="480" t="s">
        <v>1310</v>
      </c>
      <c r="B379" s="480" t="s">
        <v>1311</v>
      </c>
      <c r="C379" s="549">
        <v>0</v>
      </c>
      <c r="D379" s="549">
        <v>0</v>
      </c>
      <c r="E379" s="549">
        <v>0</v>
      </c>
      <c r="F379" s="549">
        <v>0</v>
      </c>
      <c r="G379" s="549">
        <v>0</v>
      </c>
      <c r="H379" s="549">
        <v>0</v>
      </c>
      <c r="I379" s="481"/>
      <c r="J379" s="481"/>
      <c r="K379" s="480"/>
      <c r="L379" s="480"/>
      <c r="M379" s="480"/>
      <c r="N379" s="481"/>
    </row>
    <row r="380" spans="1:14">
      <c r="A380" s="480" t="s">
        <v>1312</v>
      </c>
      <c r="B380" s="480" t="s">
        <v>1313</v>
      </c>
      <c r="C380" s="549">
        <v>9635.0400000000009</v>
      </c>
      <c r="D380" s="549">
        <v>9635.0400000000009</v>
      </c>
      <c r="E380" s="549">
        <v>9635.0400000000009</v>
      </c>
      <c r="F380" s="549">
        <v>9635.0400000000009</v>
      </c>
      <c r="G380" s="549">
        <v>9644.9</v>
      </c>
      <c r="H380" s="549">
        <v>9644.24</v>
      </c>
      <c r="I380" s="481"/>
      <c r="J380" s="481"/>
      <c r="K380" s="480"/>
      <c r="L380" s="480"/>
      <c r="M380" s="480"/>
      <c r="N380" s="481"/>
    </row>
    <row r="381" spans="1:14">
      <c r="A381" s="480" t="s">
        <v>1314</v>
      </c>
      <c r="B381" s="480" t="s">
        <v>1315</v>
      </c>
      <c r="C381" s="549">
        <v>0</v>
      </c>
      <c r="D381" s="549">
        <v>0</v>
      </c>
      <c r="E381" s="549">
        <v>0</v>
      </c>
      <c r="F381" s="549">
        <v>0</v>
      </c>
      <c r="G381" s="549">
        <v>0</v>
      </c>
      <c r="H381" s="549">
        <v>0</v>
      </c>
      <c r="I381" s="481"/>
      <c r="J381" s="481"/>
      <c r="K381" s="480"/>
      <c r="L381" s="480"/>
      <c r="M381" s="480"/>
      <c r="N381" s="481"/>
    </row>
    <row r="382" spans="1:14" s="5" customFormat="1">
      <c r="A382" s="483" t="s">
        <v>1316</v>
      </c>
      <c r="B382" s="484" t="s">
        <v>1317</v>
      </c>
      <c r="C382" s="550">
        <v>10646.510531249993</v>
      </c>
      <c r="D382" s="550">
        <v>10645.942375000002</v>
      </c>
      <c r="E382" s="550">
        <v>10645.89</v>
      </c>
      <c r="F382" s="550">
        <v>10645.889406249999</v>
      </c>
      <c r="G382" s="550">
        <v>10591.822937499992</v>
      </c>
      <c r="H382" s="550">
        <v>10592.348531249994</v>
      </c>
      <c r="I382" s="482"/>
      <c r="J382" s="482"/>
      <c r="K382" s="484"/>
      <c r="L382" s="484"/>
      <c r="M382" s="484"/>
      <c r="N382" s="482"/>
    </row>
  </sheetData>
  <autoFilter ref="A3:P381" xr:uid="{FD965F5B-F12F-4822-92EC-AC63282DC12B}"/>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2DEA65F790BE4C8A4BE0F859093E92" ma:contentTypeVersion="3" ma:contentTypeDescription="Create a new document." ma:contentTypeScope="" ma:versionID="2859b000b7c200465478f85f9137899a">
  <xsd:schema xmlns:xsd="http://www.w3.org/2001/XMLSchema" xmlns:xs="http://www.w3.org/2001/XMLSchema" xmlns:p="http://schemas.microsoft.com/office/2006/metadata/properties" xmlns:ns2="3fc19a14-a33e-41ad-ae64-683c24812384" targetNamespace="http://schemas.microsoft.com/office/2006/metadata/properties" ma:root="true" ma:fieldsID="285347eb38560249e64b6b94efecdee7" ns2:_="">
    <xsd:import namespace="3fc19a14-a33e-41ad-ae64-683c2481238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c19a14-a33e-41ad-ae64-683c248123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31B253-8553-4D9D-8073-16B90223A637}">
  <ds:schemaRefs>
    <ds:schemaRef ds:uri="http://schemas.microsoft.com/office/2006/documentManagement/types"/>
    <ds:schemaRef ds:uri="http://www.w3.org/XML/1998/namespace"/>
    <ds:schemaRef ds:uri="http://schemas.openxmlformats.org/package/2006/metadata/core-properties"/>
    <ds:schemaRef ds:uri="3fc19a14-a33e-41ad-ae64-683c24812384"/>
    <ds:schemaRef ds:uri="http://purl.org/dc/dcmitype/"/>
    <ds:schemaRef ds:uri="http://purl.org/dc/elements/1.1/"/>
    <ds:schemaRef ds:uri="http://purl.org/dc/term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08912B84-D4DF-4E34-9034-F654892D84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c19a14-a33e-41ad-ae64-683c248123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038418-16B5-4733-8FFF-BC8E87757F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GUIDE</vt:lpstr>
      <vt:lpstr>INPUTS</vt:lpstr>
      <vt:lpstr>ENROLLMENT</vt:lpstr>
      <vt:lpstr>STAFFING</vt:lpstr>
      <vt:lpstr>DEBT</vt:lpstr>
      <vt:lpstr>P&amp;L</vt:lpstr>
      <vt:lpstr>Cash</vt:lpstr>
      <vt:lpstr>Balance Sheet</vt:lpstr>
      <vt:lpstr>REPORTS</vt:lpstr>
      <vt:lpstr>DASHBOARD</vt:lpstr>
      <vt:lpstr>Drivers</vt:lpstr>
      <vt:lpstr>Roster</vt:lpstr>
      <vt:lpstr>FY26 LAP Corrections</vt:lpstr>
      <vt:lpstr>FY26 SpEd BEA Rates</vt:lpstr>
      <vt:lpstr>REPORTS!Print_Area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Nowlin</dc:creator>
  <cp:lastModifiedBy>ashleywiegner6@gmail.com</cp:lastModifiedBy>
  <dcterms:created xsi:type="dcterms:W3CDTF">2015-06-05T18:17:20Z</dcterms:created>
  <dcterms:modified xsi:type="dcterms:W3CDTF">2026-05-19T19:17:53Z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0x010100E52DEA65F790BE4C8A4BE0F859093E92</vt:lpwstr>
  </property>
  <property fmtid="{D5CDD505-2E9C-101B-9397-08002B2CF9AE}" pid="3" name="TAX_BASE_YR" linkTarget="PROP_TAX_BASE_YR">
    <vt:lpwstr>#REF!</vt:lpwstr>
  </property>
  <property fmtid="{D5CDD505-2E9C-101B-9397-08002B2CF9AE}" pid="4" name="revenue" linkTarget="prop_revenue">
    <vt:lpwstr>#REF!</vt:lpwstr>
  </property>
</Properties>
</file>